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Universe'!$A$1:$J$476</definedName>
    <definedName name="_xlnm._FilterDatabase" localSheetId="3" hidden="1">'Confluence Overlap'!$A$1:$K$98</definedName>
    <definedName name="_xlnm._FilterDatabase" localSheetId="4" hidden="1">'Monit Non Financial'!$A$1:$CE$407</definedName>
    <definedName name="_xlnm._FilterDatabase" localSheetId="5" hidden="1">'Monit Banks NBFC'!$A$1:$CA$70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Financial'!$A$1:$CG$91</definedName>
    <definedName name="_xlnm._FilterDatabase" localSheetId="9" hidden="1">'Scan Match Banks NBFC'!$A$1:$CC$11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02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40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510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70</v>
      </c>
      <c r="G6" s="19" t="n">
        <v>15178.5</v>
      </c>
      <c r="H6" s="18" t="inlineStr">
        <is>
          <t>Potential Leader</t>
        </is>
      </c>
      <c r="J6" s="18" t="inlineStr">
        <is>
          <t>fmcg</t>
        </is>
      </c>
      <c r="K6" s="16" t="n">
        <v>114</v>
      </c>
      <c r="L6" s="16" t="n">
        <v>98</v>
      </c>
      <c r="M6" s="20" t="inlineStr">
        <is>
          <t>16.3%</t>
        </is>
      </c>
    </row>
    <row r="7">
      <c r="A7" s="16" t="n">
        <v>2</v>
      </c>
      <c r="B7" s="17" t="n">
        <v>498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68</v>
      </c>
      <c r="G7" s="19" t="n">
        <v>5538.58</v>
      </c>
      <c r="H7" s="18" t="inlineStr">
        <is>
          <t>Potential Leader</t>
        </is>
      </c>
      <c r="J7" s="18" t="inlineStr">
        <is>
          <t>plastic products</t>
        </is>
      </c>
      <c r="K7" s="16" t="n">
        <v>8</v>
      </c>
      <c r="L7" s="16" t="n">
        <v>7</v>
      </c>
      <c r="M7" s="20" t="inlineStr">
        <is>
          <t>14.3%</t>
        </is>
      </c>
    </row>
    <row r="8">
      <c r="A8" s="16" t="n">
        <v>3</v>
      </c>
      <c r="B8" s="17" t="n">
        <v>492</v>
      </c>
      <c r="C8" s="17" t="inlineStr">
        <is>
          <t>ARVIND</t>
        </is>
      </c>
      <c r="D8" s="18" t="inlineStr">
        <is>
          <t>Arvind Limited</t>
        </is>
      </c>
      <c r="E8" s="18" t="inlineStr">
        <is>
          <t>textiles</t>
        </is>
      </c>
      <c r="F8" s="16" t="n">
        <v>67</v>
      </c>
      <c r="G8" s="19" t="n">
        <v>14687.59</v>
      </c>
      <c r="H8" s="18" t="inlineStr">
        <is>
          <t>Potential Leader</t>
        </is>
      </c>
      <c r="J8" s="18" t="inlineStr">
        <is>
          <t>telecom</t>
        </is>
      </c>
      <c r="K8" s="16" t="n">
        <v>18</v>
      </c>
      <c r="L8" s="16" t="n">
        <v>16</v>
      </c>
      <c r="M8" s="20" t="inlineStr">
        <is>
          <t>12.5%</t>
        </is>
      </c>
    </row>
    <row r="9">
      <c r="A9" s="16" t="n">
        <v>4</v>
      </c>
      <c r="B9" s="17" t="n">
        <v>492</v>
      </c>
      <c r="C9" s="17" t="inlineStr">
        <is>
          <t>NITINSPIN</t>
        </is>
      </c>
      <c r="D9" s="18" t="inlineStr">
        <is>
          <t>Nitin Spinners Limited</t>
        </is>
      </c>
      <c r="E9" s="18" t="inlineStr">
        <is>
          <t>textiles</t>
        </is>
      </c>
      <c r="F9" s="16" t="n">
        <v>67</v>
      </c>
      <c r="G9" s="19" t="n">
        <v>3126.68</v>
      </c>
      <c r="H9" s="18" t="inlineStr">
        <is>
          <t>Potential Leader</t>
        </is>
      </c>
      <c r="J9" s="18" t="inlineStr">
        <is>
          <t>building materials</t>
        </is>
      </c>
      <c r="K9" s="16" t="n">
        <v>73</v>
      </c>
      <c r="L9" s="16" t="n">
        <v>69</v>
      </c>
      <c r="M9" s="20" t="inlineStr">
        <is>
          <t>5.8%</t>
        </is>
      </c>
    </row>
    <row r="10">
      <c r="A10" s="16" t="n">
        <v>5</v>
      </c>
      <c r="B10" s="17" t="n">
        <v>492</v>
      </c>
      <c r="C10" s="17" t="inlineStr">
        <is>
          <t>WELCORP</t>
        </is>
      </c>
      <c r="D10" s="18" t="inlineStr">
        <is>
          <t>Welspun Corp Limited</t>
        </is>
      </c>
      <c r="E10" s="18" t="inlineStr">
        <is>
          <t>industrials</t>
        </is>
      </c>
      <c r="F10" s="16" t="n">
        <v>67</v>
      </c>
      <c r="G10" s="19" t="n">
        <v>38977.71</v>
      </c>
      <c r="H10" s="18" t="inlineStr">
        <is>
          <t>Potential Leader</t>
        </is>
      </c>
      <c r="J10" s="18" t="inlineStr">
        <is>
          <t>power &amp; utilities</t>
        </is>
      </c>
      <c r="K10" s="16" t="n">
        <v>20</v>
      </c>
      <c r="L10" s="16" t="n">
        <v>19</v>
      </c>
      <c r="M10" s="20" t="inlineStr">
        <is>
          <t>5.3%</t>
        </is>
      </c>
    </row>
    <row r="11">
      <c r="A11" s="16" t="n">
        <v>6</v>
      </c>
      <c r="B11" s="17" t="n">
        <v>486</v>
      </c>
      <c r="C11" s="17" t="inlineStr">
        <is>
          <t>STYLAMIND</t>
        </is>
      </c>
      <c r="D11" s="18" t="inlineStr">
        <is>
          <t>Stylam Industries Ltd</t>
        </is>
      </c>
      <c r="E11" s="18" t="inlineStr">
        <is>
          <t>building materials</t>
        </is>
      </c>
      <c r="F11" s="16" t="n">
        <v>66</v>
      </c>
      <c r="G11" s="19" t="n">
        <v>5438.97</v>
      </c>
      <c r="H11" s="18" t="inlineStr">
        <is>
          <t>Potential Leader</t>
        </is>
      </c>
      <c r="J11" s="18" t="inlineStr">
        <is>
          <t>healthcare</t>
        </is>
      </c>
      <c r="K11" s="16" t="n">
        <v>308</v>
      </c>
      <c r="L11" s="16" t="n">
        <v>302</v>
      </c>
      <c r="M11" s="20" t="inlineStr">
        <is>
          <t>2.0%</t>
        </is>
      </c>
    </row>
    <row r="12">
      <c r="A12" s="16" t="n">
        <v>7</v>
      </c>
      <c r="B12" s="17" t="n">
        <v>474</v>
      </c>
      <c r="C12" s="17" t="inlineStr">
        <is>
          <t>ADANIGREEN</t>
        </is>
      </c>
      <c r="D12" s="18" t="inlineStr">
        <is>
          <t>Adani Green Energy Ltd</t>
        </is>
      </c>
      <c r="E12" s="18" t="inlineStr">
        <is>
          <t>power &amp; utilities</t>
        </is>
      </c>
      <c r="F12" s="16" t="n">
        <v>64</v>
      </c>
      <c r="G12" s="19" t="n">
        <v>252841.54</v>
      </c>
      <c r="H12" s="18" t="inlineStr">
        <is>
          <t>Potential Leader</t>
        </is>
      </c>
      <c r="J12" s="18" t="inlineStr">
        <is>
          <t>auto</t>
        </is>
      </c>
      <c r="K12" s="16" t="n">
        <v>174</v>
      </c>
      <c r="L12" s="16" t="n">
        <v>171</v>
      </c>
      <c r="M12" s="20" t="inlineStr">
        <is>
          <t>1.8%</t>
        </is>
      </c>
    </row>
    <row r="13">
      <c r="A13" s="16" t="n">
        <v>8</v>
      </c>
      <c r="B13" s="17" t="n">
        <v>474</v>
      </c>
      <c r="C13" s="17" t="inlineStr">
        <is>
          <t>SHILPAMED</t>
        </is>
      </c>
      <c r="D13" s="18" t="inlineStr">
        <is>
          <t>Shilpa Medicare Limited</t>
        </is>
      </c>
      <c r="E13" s="18" t="inlineStr">
        <is>
          <t>healthcare</t>
        </is>
      </c>
      <c r="F13" s="16" t="n">
        <v>64</v>
      </c>
      <c r="G13" s="19" t="n">
        <v>11162.83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165</v>
      </c>
      <c r="L13" s="16" t="n">
        <v>169</v>
      </c>
      <c r="M13" s="21" t="inlineStr">
        <is>
          <t>-2.4%</t>
        </is>
      </c>
    </row>
    <row r="14">
      <c r="A14" s="16" t="n">
        <v>9</v>
      </c>
      <c r="B14" s="17" t="n">
        <v>450</v>
      </c>
      <c r="C14" s="17" t="inlineStr">
        <is>
          <t>NINSYS</t>
        </is>
      </c>
      <c r="D14" s="18" t="inlineStr">
        <is>
          <t>NINtec Systems Ltd</t>
        </is>
      </c>
      <c r="E14" s="18" t="inlineStr">
        <is>
          <t>i.t</t>
        </is>
      </c>
      <c r="F14" s="16" t="n">
        <v>60</v>
      </c>
      <c r="G14" s="19" t="n">
        <v>1559.73</v>
      </c>
      <c r="H14" s="18" t="inlineStr">
        <is>
          <t>Potential Leader</t>
        </is>
      </c>
      <c r="J14" s="18" t="inlineStr">
        <is>
          <t>textiles</t>
        </is>
      </c>
      <c r="K14" s="16" t="n">
        <v>84</v>
      </c>
      <c r="L14" s="16" t="n">
        <v>90</v>
      </c>
      <c r="M14" s="21" t="inlineStr">
        <is>
          <t>-6.7%</t>
        </is>
      </c>
    </row>
    <row r="15">
      <c r="A15" s="16" t="n">
        <v>10</v>
      </c>
      <c r="B15" s="17" t="n">
        <v>444</v>
      </c>
      <c r="C15" s="17" t="inlineStr">
        <is>
          <t>NRBBEARING</t>
        </is>
      </c>
      <c r="D15" s="18" t="inlineStr">
        <is>
          <t>Nrb Bearing Limited</t>
        </is>
      </c>
      <c r="E15" s="18" t="inlineStr">
        <is>
          <t>industrials</t>
        </is>
      </c>
      <c r="F15" s="16" t="n">
        <v>59</v>
      </c>
      <c r="G15" s="19" t="n">
        <v>4106.13</v>
      </c>
      <c r="H15" s="18" t="inlineStr">
        <is>
          <t>Potential Leader</t>
        </is>
      </c>
      <c r="J15" s="18" t="inlineStr">
        <is>
          <t>financials</t>
        </is>
      </c>
      <c r="K15" s="16" t="n">
        <v>215</v>
      </c>
      <c r="L15" s="16" t="n">
        <v>233</v>
      </c>
      <c r="M15" s="21" t="inlineStr">
        <is>
          <t>-7.7%</t>
        </is>
      </c>
    </row>
    <row r="16">
      <c r="A16" s="16" t="n">
        <v>11</v>
      </c>
      <c r="B16" s="17" t="n">
        <v>444</v>
      </c>
      <c r="C16" s="17" t="inlineStr">
        <is>
          <t>SIGMAADV</t>
        </is>
      </c>
      <c r="D16" s="18" t="inlineStr">
        <is>
          <t>Sigma Advanced System Ltd</t>
        </is>
      </c>
      <c r="E16" s="18" t="inlineStr">
        <is>
          <t>aerospace &amp; defence</t>
        </is>
      </c>
      <c r="F16" s="16" t="n">
        <v>59</v>
      </c>
      <c r="G16" s="19" t="n">
        <v>10245.7</v>
      </c>
      <c r="H16" s="18" t="inlineStr">
        <is>
          <t>Potential Leader</t>
        </is>
      </c>
      <c r="J16" s="18" t="inlineStr">
        <is>
          <t>telecom-service</t>
        </is>
      </c>
      <c r="K16" s="16" t="n">
        <v>11</v>
      </c>
      <c r="L16" s="16" t="n">
        <v>12</v>
      </c>
      <c r="M16" s="21" t="inlineStr">
        <is>
          <t>-8.3%</t>
        </is>
      </c>
    </row>
    <row r="17">
      <c r="A17" s="16" t="n">
        <v>12</v>
      </c>
      <c r="B17" s="17" t="n">
        <v>444</v>
      </c>
      <c r="C17" s="17" t="inlineStr">
        <is>
          <t>TALBROAUTO</t>
        </is>
      </c>
      <c r="D17" s="18" t="inlineStr">
        <is>
          <t>Talbros Automotive Components Limited</t>
        </is>
      </c>
      <c r="E17" s="18" t="inlineStr">
        <is>
          <t>auto</t>
        </is>
      </c>
      <c r="F17" s="16" t="n">
        <v>59</v>
      </c>
      <c r="G17" s="19" t="n">
        <v>2629.31</v>
      </c>
      <c r="H17" s="18" t="inlineStr">
        <is>
          <t>Potential Leader</t>
        </is>
      </c>
      <c r="J17" s="18" t="inlineStr">
        <is>
          <t>media</t>
        </is>
      </c>
      <c r="K17" s="16" t="n">
        <v>11</v>
      </c>
      <c r="L17" s="16" t="n">
        <v>12</v>
      </c>
      <c r="M17" s="21" t="inlineStr">
        <is>
          <t>-8.3%</t>
        </is>
      </c>
    </row>
    <row r="18">
      <c r="A18" s="16" t="n">
        <v>13</v>
      </c>
      <c r="B18" s="17" t="n">
        <v>420</v>
      </c>
      <c r="C18" s="17" t="inlineStr">
        <is>
          <t>ADANIENT</t>
        </is>
      </c>
      <c r="D18" s="18" t="inlineStr">
        <is>
          <t>Adani Enterprises Limited</t>
        </is>
      </c>
      <c r="E18" s="18" t="inlineStr">
        <is>
          <t>services</t>
        </is>
      </c>
      <c r="F18" s="16" t="n">
        <v>55</v>
      </c>
      <c r="G18" s="19" t="n">
        <v>406367.64</v>
      </c>
      <c r="H18" s="18" t="inlineStr">
        <is>
          <t>Potential Leader</t>
        </is>
      </c>
      <c r="J18" s="18" t="inlineStr">
        <is>
          <t>i.t</t>
        </is>
      </c>
      <c r="K18" s="16" t="n">
        <v>72</v>
      </c>
      <c r="L18" s="16" t="n">
        <v>81</v>
      </c>
      <c r="M18" s="21" t="inlineStr">
        <is>
          <t>-11.1%</t>
        </is>
      </c>
    </row>
    <row r="19">
      <c r="A19" s="16" t="n">
        <v>14</v>
      </c>
      <c r="B19" s="17" t="n">
        <v>420</v>
      </c>
      <c r="C19" s="17" t="inlineStr">
        <is>
          <t>SAILIFE</t>
        </is>
      </c>
      <c r="D19" s="18" t="inlineStr">
        <is>
          <t>Sai Life Sciences Ltd</t>
        </is>
      </c>
      <c r="E19" s="18" t="inlineStr">
        <is>
          <t>healthcare</t>
        </is>
      </c>
      <c r="F19" s="16" t="n">
        <v>55</v>
      </c>
      <c r="G19" s="19" t="n">
        <v>26341.1</v>
      </c>
      <c r="H19" s="18" t="inlineStr">
        <is>
          <t>Potential Leader</t>
        </is>
      </c>
      <c r="J19" s="18" t="inlineStr">
        <is>
          <t>metals &amp; mining</t>
        </is>
      </c>
      <c r="K19" s="16" t="n">
        <v>78</v>
      </c>
      <c r="L19" s="16" t="n">
        <v>89</v>
      </c>
      <c r="M19" s="21" t="inlineStr">
        <is>
          <t>-12.4%</t>
        </is>
      </c>
    </row>
    <row r="20">
      <c r="A20" s="16" t="n">
        <v>15</v>
      </c>
      <c r="B20" s="17" t="n">
        <v>402</v>
      </c>
      <c r="C20" s="17" t="inlineStr">
        <is>
          <t>RRKABEL</t>
        </is>
      </c>
      <c r="D20" s="18" t="inlineStr">
        <is>
          <t>R R Kabel Ltd</t>
        </is>
      </c>
      <c r="E20" s="18" t="inlineStr">
        <is>
          <t>industrials</t>
        </is>
      </c>
      <c r="F20" s="16" t="n">
        <v>52</v>
      </c>
      <c r="G20" s="19" t="n">
        <v>26938.34</v>
      </c>
      <c r="H20" s="18" t="inlineStr">
        <is>
          <t>Potential Leader</t>
        </is>
      </c>
      <c r="J20" s="18" t="inlineStr">
        <is>
          <t>chemicals</t>
        </is>
      </c>
      <c r="K20" s="16" t="n">
        <v>106</v>
      </c>
      <c r="L20" s="16" t="n">
        <v>129</v>
      </c>
      <c r="M20" s="21" t="inlineStr">
        <is>
          <t>-17.8%</t>
        </is>
      </c>
    </row>
    <row r="21">
      <c r="A21" s="16" t="n">
        <v>16</v>
      </c>
      <c r="B21" s="17" t="n">
        <v>390</v>
      </c>
      <c r="C21" s="17" t="inlineStr">
        <is>
          <t>INDOBORAX</t>
        </is>
      </c>
      <c r="D21" s="18" t="inlineStr">
        <is>
          <t>Indo Borax &amp; Chemicals Ltd</t>
        </is>
      </c>
      <c r="E21" s="18" t="inlineStr">
        <is>
          <t>chemicals</t>
        </is>
      </c>
      <c r="F21" s="16" t="n">
        <v>50</v>
      </c>
      <c r="G21" s="19" t="n">
        <v>1208.19</v>
      </c>
      <c r="H21" s="18" t="inlineStr">
        <is>
          <t>Potential Leader</t>
        </is>
      </c>
    </row>
    <row r="22">
      <c r="A22" s="16" t="n">
        <v>17</v>
      </c>
      <c r="B22" s="17" t="n">
        <v>384</v>
      </c>
      <c r="C22" s="17" t="inlineStr">
        <is>
          <t>BLSE</t>
        </is>
      </c>
      <c r="D22" s="18" t="inlineStr">
        <is>
          <t>BLS E-Services Ltd</t>
        </is>
      </c>
      <c r="E22" s="18" t="inlineStr">
        <is>
          <t>i.t</t>
        </is>
      </c>
      <c r="F22" s="16" t="n">
        <v>49</v>
      </c>
      <c r="G22" s="19" t="n">
        <v>2320.66</v>
      </c>
      <c r="H22" s="18" t="inlineStr">
        <is>
          <t>Potential Leader</t>
        </is>
      </c>
    </row>
    <row r="23">
      <c r="A23" s="16" t="n">
        <v>18</v>
      </c>
      <c r="B23" s="17" t="n">
        <v>384</v>
      </c>
      <c r="C23" s="17" t="inlineStr">
        <is>
          <t>CEMPRO</t>
        </is>
      </c>
      <c r="D23" s="18" t="inlineStr">
        <is>
          <t>Cemindia Projects Ltd</t>
        </is>
      </c>
      <c r="E23" s="18" t="inlineStr">
        <is>
          <t>realty</t>
        </is>
      </c>
      <c r="F23" s="16" t="n">
        <v>49</v>
      </c>
      <c r="G23" s="19" t="n">
        <v>23419.8</v>
      </c>
      <c r="H23" s="18" t="inlineStr">
        <is>
          <t>Potential Leader</t>
        </is>
      </c>
    </row>
    <row r="24">
      <c r="A24" s="16" t="n">
        <v>19</v>
      </c>
      <c r="B24" s="17" t="n">
        <v>384</v>
      </c>
      <c r="C24" s="17" t="inlineStr">
        <is>
          <t>RATEGAIN</t>
        </is>
      </c>
      <c r="D24" s="18" t="inlineStr">
        <is>
          <t>Rategain Travel Technologies Ltd</t>
        </is>
      </c>
      <c r="E24" s="18" t="inlineStr">
        <is>
          <t>i.t</t>
        </is>
      </c>
      <c r="F24" s="16" t="n">
        <v>49</v>
      </c>
      <c r="G24" s="19" t="n">
        <v>10669.75</v>
      </c>
      <c r="H24" s="18" t="inlineStr">
        <is>
          <t>Potential Leader</t>
        </is>
      </c>
    </row>
    <row r="25">
      <c r="A25" s="16" t="n">
        <v>20</v>
      </c>
      <c r="B25" s="17" t="n">
        <v>378</v>
      </c>
      <c r="C25" s="17" t="inlineStr">
        <is>
          <t>AVALON</t>
        </is>
      </c>
      <c r="D25" s="18" t="inlineStr">
        <is>
          <t>Avalon Technologies Ltd</t>
        </is>
      </c>
      <c r="E25" s="18" t="inlineStr">
        <is>
          <t>consumer discretionary</t>
        </is>
      </c>
      <c r="F25" s="16" t="n">
        <v>48</v>
      </c>
      <c r="G25" s="19" t="n">
        <v>11986.53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RELTD</t>
        </is>
      </c>
      <c r="B30" s="18" t="inlineStr">
        <is>
          <t>Ravindra Energy Ltd</t>
        </is>
      </c>
      <c r="C30" s="18" t="inlineStr">
        <is>
          <t>industrials</t>
        </is>
      </c>
      <c r="D30" s="16" t="n">
        <v>10</v>
      </c>
      <c r="E30" s="16" t="n">
        <v>0</v>
      </c>
      <c r="F30" s="19" t="n">
        <v>3260.78</v>
      </c>
      <c r="J30" s="17" t="inlineStr">
        <is>
          <t>OMAXAUTO</t>
        </is>
      </c>
      <c r="K30" s="18" t="inlineStr">
        <is>
          <t>auto</t>
        </is>
      </c>
      <c r="L30" s="19" t="n">
        <v>303</v>
      </c>
      <c r="M30" s="19" t="n">
        <v>500.57</v>
      </c>
      <c r="N30" s="16" t="n">
        <v>13</v>
      </c>
    </row>
    <row r="31">
      <c r="A31" s="17" t="inlineStr">
        <is>
          <t>GOKEX</t>
        </is>
      </c>
      <c r="B31" s="18" t="inlineStr">
        <is>
          <t>Gokaldas Exports Limited</t>
        </is>
      </c>
      <c r="C31" s="18" t="inlineStr">
        <is>
          <t>consumer discretionary</t>
        </is>
      </c>
      <c r="D31" s="16" t="n">
        <v>10</v>
      </c>
      <c r="E31" s="16" t="n">
        <v>1</v>
      </c>
      <c r="F31" s="19" t="n">
        <v>6509.48</v>
      </c>
      <c r="J31" s="17" t="inlineStr">
        <is>
          <t>SATIN</t>
        </is>
      </c>
      <c r="K31" s="18" t="inlineStr">
        <is>
          <t>financials</t>
        </is>
      </c>
      <c r="L31" s="19" t="n">
        <v>302</v>
      </c>
      <c r="M31" s="19" t="n">
        <v>2779.78</v>
      </c>
      <c r="N31" s="16" t="n">
        <v>27</v>
      </c>
    </row>
    <row r="32">
      <c r="A32" s="17" t="inlineStr">
        <is>
          <t>MANBA</t>
        </is>
      </c>
      <c r="B32" s="18" t="inlineStr">
        <is>
          <t>Manba Finance Ltd</t>
        </is>
      </c>
      <c r="C32" s="18" t="inlineStr">
        <is>
          <t>financials</t>
        </is>
      </c>
      <c r="D32" s="16" t="n">
        <v>10</v>
      </c>
      <c r="E32" s="16" t="n">
        <v>2</v>
      </c>
      <c r="F32" s="19" t="n">
        <v>697.72</v>
      </c>
      <c r="J32" s="17" t="inlineStr">
        <is>
          <t>BAJAJCON</t>
        </is>
      </c>
      <c r="K32" s="18" t="inlineStr">
        <is>
          <t>fmcg</t>
        </is>
      </c>
      <c r="L32" s="19" t="n">
        <v>292</v>
      </c>
      <c r="M32" s="19" t="n">
        <v>8027.15</v>
      </c>
      <c r="N32" s="16" t="n">
        <v>27</v>
      </c>
    </row>
    <row r="33">
      <c r="A33" s="17" t="inlineStr">
        <is>
          <t>BORORENEW</t>
        </is>
      </c>
      <c r="B33" s="18" t="inlineStr">
        <is>
          <t>Borosil Renewables Ltd</t>
        </is>
      </c>
      <c r="C33" s="18" t="inlineStr">
        <is>
          <t>building materials</t>
        </is>
      </c>
      <c r="D33" s="16" t="n">
        <v>10</v>
      </c>
      <c r="E33" s="16" t="n">
        <v>2</v>
      </c>
      <c r="F33" s="19" t="n">
        <v>8582.360000000001</v>
      </c>
      <c r="J33" s="17" t="inlineStr">
        <is>
          <t>IOLCP</t>
        </is>
      </c>
      <c r="K33" s="18" t="inlineStr">
        <is>
          <t>healthcare</t>
        </is>
      </c>
      <c r="L33" s="19" t="n">
        <v>287</v>
      </c>
      <c r="M33" s="19" t="n">
        <v>4321.02</v>
      </c>
      <c r="N33" s="16" t="n">
        <v>28</v>
      </c>
    </row>
    <row r="34">
      <c r="A34" s="17" t="inlineStr">
        <is>
          <t>RBA</t>
        </is>
      </c>
      <c r="B34" s="18" t="inlineStr">
        <is>
          <t>Restaurant Brands Asia Ltd</t>
        </is>
      </c>
      <c r="C34" s="18" t="inlineStr">
        <is>
          <t>consumer discretionary</t>
        </is>
      </c>
      <c r="D34" s="16" t="n">
        <v>10</v>
      </c>
      <c r="E34" s="16" t="n">
        <v>0</v>
      </c>
      <c r="F34" s="19" t="n">
        <v>5484.55</v>
      </c>
      <c r="J34" s="17" t="inlineStr">
        <is>
          <t>INDOBORAX</t>
        </is>
      </c>
      <c r="K34" s="18" t="inlineStr">
        <is>
          <t>chemicals</t>
        </is>
      </c>
      <c r="L34" s="19" t="n">
        <v>285</v>
      </c>
      <c r="M34" s="19" t="n">
        <v>1208.19</v>
      </c>
      <c r="N34" s="16" t="n">
        <v>30</v>
      </c>
    </row>
    <row r="35">
      <c r="A35" s="17" t="inlineStr">
        <is>
          <t>BLUSPRING</t>
        </is>
      </c>
      <c r="B35" s="18" t="inlineStr">
        <is>
          <t>Bluspring Enterprises Ltd</t>
        </is>
      </c>
      <c r="C35" s="18" t="inlineStr">
        <is>
          <t>miscellaneous</t>
        </is>
      </c>
      <c r="D35" s="16" t="n">
        <v>10</v>
      </c>
      <c r="E35" s="16" t="n">
        <v>2</v>
      </c>
      <c r="F35" s="19" t="n">
        <v>1643.59</v>
      </c>
      <c r="J35" s="17" t="inlineStr">
        <is>
          <t>RPTECH</t>
        </is>
      </c>
      <c r="K35" s="18" t="inlineStr">
        <is>
          <t>services</t>
        </is>
      </c>
      <c r="L35" s="19" t="n">
        <v>285</v>
      </c>
      <c r="M35" s="19" t="n">
        <v>5192.56</v>
      </c>
      <c r="N35" s="16" t="n">
        <v>28</v>
      </c>
    </row>
    <row r="36">
      <c r="A36" s="17" t="inlineStr">
        <is>
          <t>HCC</t>
        </is>
      </c>
      <c r="B36" s="18" t="inlineStr">
        <is>
          <t>Hindustan Construction Company Limited</t>
        </is>
      </c>
      <c r="C36" s="18" t="inlineStr">
        <is>
          <t>realty</t>
        </is>
      </c>
      <c r="D36" s="16" t="n">
        <v>10</v>
      </c>
      <c r="E36" s="16" t="n">
        <v>0</v>
      </c>
      <c r="F36" s="19" t="n">
        <v>6732.03</v>
      </c>
      <c r="J36" s="17" t="inlineStr">
        <is>
          <t>NORTHARC</t>
        </is>
      </c>
      <c r="K36" s="18" t="inlineStr">
        <is>
          <t>financials</t>
        </is>
      </c>
      <c r="L36" s="19" t="n">
        <v>285</v>
      </c>
      <c r="M36" s="19" t="n">
        <v>4914.21</v>
      </c>
      <c r="N36" s="16" t="n">
        <v>20</v>
      </c>
    </row>
    <row r="37">
      <c r="A37" s="17" t="inlineStr">
        <is>
          <t>JASH</t>
        </is>
      </c>
      <c r="B37" s="18" t="inlineStr">
        <is>
          <t>Jash Engineering Ltd</t>
        </is>
      </c>
      <c r="C37" s="18" t="inlineStr">
        <is>
          <t>industrials</t>
        </is>
      </c>
      <c r="D37" s="16" t="n">
        <v>10</v>
      </c>
      <c r="E37" s="16" t="n">
        <v>2</v>
      </c>
      <c r="F37" s="19" t="n">
        <v>3185.6</v>
      </c>
      <c r="J37" s="17" t="inlineStr">
        <is>
          <t>UJJIVANSFB</t>
        </is>
      </c>
      <c r="K37" s="18" t="inlineStr">
        <is>
          <t>bank</t>
        </is>
      </c>
      <c r="L37" s="19" t="n">
        <v>285</v>
      </c>
      <c r="M37" s="19" t="n">
        <v>11910.78</v>
      </c>
      <c r="N37" s="16" t="n">
        <v>9</v>
      </c>
    </row>
    <row r="38">
      <c r="A38" s="17" t="inlineStr">
        <is>
          <t>LICI</t>
        </is>
      </c>
      <c r="B38" s="18" t="inlineStr">
        <is>
          <t>Life Insurance Corporation of India Ltd</t>
        </is>
      </c>
      <c r="C38" s="18" t="inlineStr">
        <is>
          <t>financials</t>
        </is>
      </c>
      <c r="D38" s="16" t="n">
        <v>10</v>
      </c>
      <c r="E38" s="16" t="n">
        <v>2</v>
      </c>
      <c r="F38" s="19" t="n">
        <v>549895.3</v>
      </c>
      <c r="J38" s="17" t="inlineStr">
        <is>
          <t>STYLAMIND</t>
        </is>
      </c>
      <c r="K38" s="18" t="inlineStr">
        <is>
          <t>building materials</t>
        </is>
      </c>
      <c r="L38" s="19" t="n">
        <v>283</v>
      </c>
      <c r="M38" s="19" t="n">
        <v>5438.97</v>
      </c>
      <c r="N38" s="16" t="n">
        <v>30</v>
      </c>
    </row>
    <row r="39">
      <c r="A39" s="17" t="inlineStr">
        <is>
          <t>REDINGTON</t>
        </is>
      </c>
      <c r="B39" s="18" t="inlineStr">
        <is>
          <t>Redington (india) Limited</t>
        </is>
      </c>
      <c r="C39" s="18" t="inlineStr">
        <is>
          <t>services</t>
        </is>
      </c>
      <c r="D39" s="16" t="n">
        <v>10</v>
      </c>
      <c r="E39" s="16" t="n">
        <v>1</v>
      </c>
      <c r="F39" s="19" t="n">
        <v>21393.26</v>
      </c>
      <c r="J39" s="17" t="inlineStr">
        <is>
          <t>RACLGEAR</t>
        </is>
      </c>
      <c r="K39" s="18" t="inlineStr">
        <is>
          <t>auto</t>
        </is>
      </c>
      <c r="L39" s="19" t="n">
        <v>283</v>
      </c>
      <c r="M39" s="19" t="n">
        <v>1619.09</v>
      </c>
      <c r="N39" s="16" t="n">
        <v>6</v>
      </c>
    </row>
    <row r="40">
      <c r="A40" s="17" t="inlineStr">
        <is>
          <t>GREAVESCOT</t>
        </is>
      </c>
      <c r="B40" s="18" t="inlineStr">
        <is>
          <t>Greaves Cotton Limited</t>
        </is>
      </c>
      <c r="C40" s="18" t="inlineStr">
        <is>
          <t>industrials</t>
        </is>
      </c>
      <c r="D40" s="16" t="n">
        <v>10</v>
      </c>
      <c r="E40" s="16" t="n">
        <v>0</v>
      </c>
      <c r="F40" s="19" t="n">
        <v>5147.23</v>
      </c>
      <c r="J40" s="17" t="inlineStr">
        <is>
          <t>PAISALO</t>
        </is>
      </c>
      <c r="K40" s="18" t="inlineStr">
        <is>
          <t>financials</t>
        </is>
      </c>
      <c r="L40" s="19" t="n">
        <v>282</v>
      </c>
      <c r="M40" s="19" t="n">
        <v>6443.05</v>
      </c>
      <c r="N40" s="16" t="n">
        <v>30</v>
      </c>
    </row>
    <row r="41">
      <c r="A41" s="17" t="inlineStr">
        <is>
          <t>OLECTRA</t>
        </is>
      </c>
      <c r="B41" s="18" t="inlineStr">
        <is>
          <t>Olectra Greentech Ltd</t>
        </is>
      </c>
      <c r="C41" s="18" t="inlineStr">
        <is>
          <t>auto</t>
        </is>
      </c>
      <c r="D41" s="16" t="n">
        <v>10</v>
      </c>
      <c r="E41" s="16" t="n">
        <v>1</v>
      </c>
      <c r="F41" s="19" t="n">
        <v>12413.89</v>
      </c>
      <c r="J41" s="17" t="inlineStr">
        <is>
          <t>SURYODAY</t>
        </is>
      </c>
      <c r="K41" s="18" t="inlineStr">
        <is>
          <t>bank</t>
        </is>
      </c>
      <c r="L41" s="19" t="n">
        <v>282</v>
      </c>
      <c r="M41" s="19" t="n">
        <v>1897.38</v>
      </c>
      <c r="N41" s="16" t="n">
        <v>29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121.75</v>
      </c>
      <c r="D47" s="28" t="n">
        <v>0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Consumer Cyclical</t>
        </is>
      </c>
      <c r="H47" s="19" t="n">
        <v>679.15</v>
      </c>
    </row>
    <row r="48">
      <c r="A48" s="16" t="n">
        <v>2</v>
      </c>
      <c r="B48" s="27" t="n">
        <v>99</v>
      </c>
      <c r="C48" s="28" t="n">
        <v>114.37</v>
      </c>
      <c r="D48" s="28" t="n">
        <v>250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10245.7</v>
      </c>
    </row>
    <row r="49">
      <c r="A49" s="16" t="n">
        <v>3</v>
      </c>
      <c r="B49" s="27" t="n">
        <v>99</v>
      </c>
      <c r="C49" s="28" t="n">
        <v>87.18000000000001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26003.05</v>
      </c>
    </row>
    <row r="50">
      <c r="A50" s="16" t="n">
        <v>4</v>
      </c>
      <c r="B50" s="27" t="n">
        <v>98</v>
      </c>
      <c r="C50" s="28" t="n">
        <v>79.5</v>
      </c>
      <c r="D50" s="28" t="n">
        <v>263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2505.24</v>
      </c>
    </row>
    <row r="51">
      <c r="A51" s="16" t="n">
        <v>5</v>
      </c>
      <c r="B51" s="27" t="n">
        <v>98</v>
      </c>
      <c r="C51" s="28" t="n">
        <v>79.27</v>
      </c>
      <c r="D51" s="28" t="n">
        <v>270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1312.75</v>
      </c>
    </row>
    <row r="52">
      <c r="A52" s="16" t="n">
        <v>6</v>
      </c>
      <c r="B52" s="27" t="n">
        <v>98</v>
      </c>
      <c r="C52" s="28" t="n">
        <v>77.52</v>
      </c>
      <c r="D52" s="28" t="n">
        <v>263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11881.93</v>
      </c>
    </row>
    <row r="53">
      <c r="A53" s="16" t="n">
        <v>7</v>
      </c>
      <c r="B53" s="27" t="n">
        <v>98</v>
      </c>
      <c r="C53" s="28" t="n">
        <v>71.09999999999999</v>
      </c>
      <c r="D53" s="28" t="n">
        <v>255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32462.55</v>
      </c>
    </row>
    <row r="54">
      <c r="A54" s="16" t="n">
        <v>8</v>
      </c>
      <c r="B54" s="27" t="n">
        <v>98</v>
      </c>
      <c r="C54" s="28" t="n">
        <v>66.83</v>
      </c>
      <c r="D54" s="28" t="n">
        <v>287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2500.04</v>
      </c>
    </row>
    <row r="55">
      <c r="A55" s="16" t="n">
        <v>9</v>
      </c>
      <c r="B55" s="27" t="n">
        <v>97</v>
      </c>
      <c r="C55" s="28" t="n">
        <v>60.68</v>
      </c>
      <c r="D55" s="28" t="n">
        <v>303</v>
      </c>
      <c r="E55" s="17" t="inlineStr">
        <is>
          <t>OMAXAUTO</t>
        </is>
      </c>
      <c r="F55" s="18" t="inlineStr">
        <is>
          <t>Omax Autos Limited</t>
        </is>
      </c>
      <c r="G55" s="18" t="inlineStr">
        <is>
          <t>auto</t>
        </is>
      </c>
      <c r="H55" s="19" t="n">
        <v>500.57</v>
      </c>
    </row>
    <row r="56">
      <c r="A56" s="16" t="n">
        <v>10</v>
      </c>
      <c r="B56" s="27" t="n">
        <v>97</v>
      </c>
      <c r="C56" s="28" t="n">
        <v>59.81</v>
      </c>
      <c r="D56" s="28" t="n">
        <v>277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5538.58</v>
      </c>
    </row>
    <row r="57">
      <c r="A57" s="16" t="n">
        <v>11</v>
      </c>
      <c r="B57" s="27" t="n">
        <v>97</v>
      </c>
      <c r="C57" s="28" t="n">
        <v>58.51</v>
      </c>
      <c r="D57" s="28" t="n">
        <v>280</v>
      </c>
      <c r="E57" s="17" t="inlineStr">
        <is>
          <t>IBULLSLTD</t>
        </is>
      </c>
      <c r="F57" s="18" t="inlineStr">
        <is>
          <t>Indiabulls Limited</t>
        </is>
      </c>
      <c r="G57" s="18" t="inlineStr">
        <is>
          <t>miscellaneous</t>
        </is>
      </c>
      <c r="H57" s="19" t="n">
        <v>6445.51</v>
      </c>
    </row>
    <row r="58">
      <c r="A58" s="16" t="n">
        <v>12</v>
      </c>
      <c r="B58" s="27" t="n">
        <v>97</v>
      </c>
      <c r="C58" s="28" t="n">
        <v>57.47</v>
      </c>
      <c r="D58" s="28" t="n">
        <v>270</v>
      </c>
      <c r="E58" s="17" t="inlineStr">
        <is>
          <t>CEMPRO</t>
        </is>
      </c>
      <c r="F58" s="18" t="inlineStr">
        <is>
          <t>Cemindia Projects Ltd</t>
        </is>
      </c>
      <c r="G58" s="18" t="inlineStr">
        <is>
          <t>realty</t>
        </is>
      </c>
      <c r="H58" s="19" t="n">
        <v>23419.8</v>
      </c>
    </row>
    <row r="59">
      <c r="A59" s="16" t="n">
        <v>13</v>
      </c>
      <c r="B59" s="27" t="n">
        <v>97</v>
      </c>
      <c r="C59" s="28" t="n">
        <v>56.48</v>
      </c>
      <c r="D59" s="28" t="n">
        <v>260</v>
      </c>
      <c r="E59" s="17" t="inlineStr">
        <is>
          <t>KERNEX</t>
        </is>
      </c>
      <c r="F59" s="18" t="inlineStr">
        <is>
          <t>Kernex Microsystems (india) Limited</t>
        </is>
      </c>
      <c r="G59" s="18" t="inlineStr">
        <is>
          <t>consumer discretionary</t>
        </is>
      </c>
      <c r="H59" s="19" t="n">
        <v>3853.8</v>
      </c>
    </row>
    <row r="60">
      <c r="A60" s="16" t="n">
        <v>14</v>
      </c>
      <c r="B60" s="27" t="n">
        <v>96</v>
      </c>
      <c r="C60" s="28" t="n">
        <v>55.68</v>
      </c>
      <c r="D60" s="28" t="n">
        <v>275</v>
      </c>
      <c r="E60" s="17" t="inlineStr">
        <is>
          <t>VENUSREM</t>
        </is>
      </c>
      <c r="F60" s="18" t="inlineStr">
        <is>
          <t>Venus Remedies Limited</t>
        </is>
      </c>
      <c r="G60" s="18" t="inlineStr">
        <is>
          <t>healthcare</t>
        </is>
      </c>
      <c r="H60" s="19" t="n">
        <v>2341.76</v>
      </c>
    </row>
    <row r="61">
      <c r="A61" s="16" t="n">
        <v>15</v>
      </c>
      <c r="B61" s="27" t="n">
        <v>96</v>
      </c>
      <c r="C61" s="28" t="n">
        <v>55.47</v>
      </c>
      <c r="D61" s="28" t="n">
        <v>223</v>
      </c>
      <c r="E61" s="17" t="inlineStr">
        <is>
          <t>DEEDEV</t>
        </is>
      </c>
      <c r="F61" s="18" t="inlineStr">
        <is>
          <t>DEE Development Engineers Ltd</t>
        </is>
      </c>
      <c r="G61" s="18" t="inlineStr">
        <is>
          <t>metals &amp; mining</t>
        </is>
      </c>
      <c r="H61" s="19" t="n">
        <v>4679.09</v>
      </c>
    </row>
    <row r="62">
      <c r="A62" s="16" t="n">
        <v>16</v>
      </c>
      <c r="B62" s="27" t="n">
        <v>96</v>
      </c>
      <c r="C62" s="28" t="n">
        <v>55.31</v>
      </c>
      <c r="D62" s="28" t="n">
        <v>257</v>
      </c>
      <c r="E62" s="17" t="inlineStr">
        <is>
          <t>APOLLO</t>
        </is>
      </c>
      <c r="F62" s="18" t="inlineStr">
        <is>
          <t>Apollo Micro Systems Ltd</t>
        </is>
      </c>
      <c r="G62" s="18" t="inlineStr">
        <is>
          <t>aerospace &amp; defence</t>
        </is>
      </c>
      <c r="H62" s="19" t="n">
        <v>15474.68</v>
      </c>
    </row>
    <row r="63">
      <c r="A63" s="16" t="n">
        <v>17</v>
      </c>
      <c r="B63" s="27" t="n">
        <v>96</v>
      </c>
      <c r="C63" s="28" t="n">
        <v>55.29</v>
      </c>
      <c r="D63" s="28" t="n">
        <v>272</v>
      </c>
      <c r="E63" s="17" t="inlineStr">
        <is>
          <t>GVPIL</t>
        </is>
      </c>
      <c r="F63" s="18" t="inlineStr">
        <is>
          <t>GE Power India Limited</t>
        </is>
      </c>
      <c r="G63" s="18" t="inlineStr">
        <is>
          <t>Industrials</t>
        </is>
      </c>
      <c r="H63" s="19" t="n">
        <v>6182.91</v>
      </c>
    </row>
    <row r="64">
      <c r="A64" s="16" t="n">
        <v>18</v>
      </c>
      <c r="B64" s="27" t="n">
        <v>96</v>
      </c>
      <c r="C64" s="28" t="n">
        <v>54.75</v>
      </c>
      <c r="D64" s="28" t="n">
        <v>270</v>
      </c>
      <c r="E64" s="17" t="inlineStr">
        <is>
          <t>INDOTECH</t>
        </is>
      </c>
      <c r="F64" s="18" t="inlineStr">
        <is>
          <t>Indo Tech Transformers Limited</t>
        </is>
      </c>
      <c r="G64" s="18" t="inlineStr">
        <is>
          <t>industrials</t>
        </is>
      </c>
      <c r="H64" s="19" t="n">
        <v>3440.77</v>
      </c>
    </row>
    <row r="65">
      <c r="A65" s="16" t="n">
        <v>19</v>
      </c>
      <c r="B65" s="27" t="n">
        <v>95</v>
      </c>
      <c r="C65" s="28" t="n">
        <v>52.95</v>
      </c>
      <c r="D65" s="28" t="n">
        <v>243</v>
      </c>
      <c r="E65" s="17" t="inlineStr">
        <is>
          <t>MODISONLTD</t>
        </is>
      </c>
      <c r="F65" s="18" t="inlineStr">
        <is>
          <t>Modison Ltd</t>
        </is>
      </c>
      <c r="G65" s="18" t="inlineStr">
        <is>
          <t>industrials</t>
        </is>
      </c>
      <c r="H65" s="19" t="n">
        <v>952.41</v>
      </c>
    </row>
    <row r="66">
      <c r="A66" s="16" t="n">
        <v>20</v>
      </c>
      <c r="B66" s="27" t="n">
        <v>95</v>
      </c>
      <c r="C66" s="28" t="n">
        <v>51.96</v>
      </c>
      <c r="D66" s="28" t="n">
        <v>285</v>
      </c>
      <c r="E66" s="17" t="inlineStr">
        <is>
          <t>RPTECH</t>
        </is>
      </c>
      <c r="F66" s="18" t="inlineStr">
        <is>
          <t>Rashi Peripherals Ltd</t>
        </is>
      </c>
      <c r="G66" s="18" t="inlineStr">
        <is>
          <t>services</t>
        </is>
      </c>
      <c r="H66" s="19" t="n">
        <v>5192.56</v>
      </c>
    </row>
    <row r="67">
      <c r="A67" s="16" t="n">
        <v>21</v>
      </c>
      <c r="B67" s="27" t="n">
        <v>95</v>
      </c>
      <c r="C67" s="28" t="n">
        <v>48.49</v>
      </c>
      <c r="D67" s="28" t="n">
        <v>255</v>
      </c>
      <c r="E67" s="17" t="inlineStr">
        <is>
          <t>SETL</t>
        </is>
      </c>
      <c r="F67" s="18" t="inlineStr">
        <is>
          <t>Standard Enginnering Technology Ltd</t>
        </is>
      </c>
      <c r="G67" s="18" t="inlineStr">
        <is>
          <t>industrials</t>
        </is>
      </c>
      <c r="H67" s="19" t="n">
        <v>5634.64</v>
      </c>
    </row>
    <row r="68">
      <c r="A68" s="16" t="n">
        <v>22</v>
      </c>
      <c r="B68" s="27" t="n">
        <v>95</v>
      </c>
      <c r="C68" s="28" t="n">
        <v>48.01</v>
      </c>
      <c r="D68" s="28" t="n">
        <v>270</v>
      </c>
      <c r="E68" s="17" t="inlineStr">
        <is>
          <t>RAMCOSYS</t>
        </is>
      </c>
      <c r="F68" s="18" t="inlineStr">
        <is>
          <t>Ramco Systems Limited</t>
        </is>
      </c>
      <c r="G68" s="18" t="inlineStr">
        <is>
          <t>i.t</t>
        </is>
      </c>
      <c r="H68" s="19" t="n">
        <v>2975.37</v>
      </c>
    </row>
    <row r="69">
      <c r="A69" s="16" t="n">
        <v>23</v>
      </c>
      <c r="B69" s="27" t="n">
        <v>95</v>
      </c>
      <c r="C69" s="28" t="n">
        <v>47.17</v>
      </c>
      <c r="D69" s="28" t="n">
        <v>275</v>
      </c>
      <c r="E69" s="17" t="inlineStr">
        <is>
          <t>TIMEX</t>
        </is>
      </c>
      <c r="F69" s="18" t="inlineStr">
        <is>
          <t>Timex Group India Limited</t>
        </is>
      </c>
      <c r="G69" s="18" t="inlineStr">
        <is>
          <t>Consumer Cyclical</t>
        </is>
      </c>
      <c r="H69" s="19" t="n">
        <v>5350.85</v>
      </c>
    </row>
    <row r="70">
      <c r="A70" s="16" t="n">
        <v>24</v>
      </c>
      <c r="B70" s="29" t="n">
        <v>94</v>
      </c>
      <c r="C70" s="28" t="n">
        <v>47.06</v>
      </c>
      <c r="D70" s="28" t="n">
        <v>265</v>
      </c>
      <c r="E70" s="17" t="inlineStr">
        <is>
          <t>NINSYS</t>
        </is>
      </c>
      <c r="F70" s="18" t="inlineStr">
        <is>
          <t>NINtec Systems Ltd</t>
        </is>
      </c>
      <c r="G70" s="18" t="inlineStr">
        <is>
          <t>i.t</t>
        </is>
      </c>
      <c r="H70" s="19" t="n">
        <v>1559.73</v>
      </c>
    </row>
    <row r="71">
      <c r="A71" s="16" t="n">
        <v>25</v>
      </c>
      <c r="B71" s="29" t="n">
        <v>94</v>
      </c>
      <c r="C71" s="28" t="n">
        <v>46.73</v>
      </c>
      <c r="D71" s="28" t="n">
        <v>268</v>
      </c>
      <c r="E71" s="17" t="inlineStr">
        <is>
          <t>HITECHCORP</t>
        </is>
      </c>
      <c r="F71" s="18" t="inlineStr">
        <is>
          <t>Hitech Corporation</t>
        </is>
      </c>
      <c r="G71" s="18" t="inlineStr">
        <is>
          <t>industrials</t>
        </is>
      </c>
      <c r="H71" s="19" t="n">
        <v>542.75</v>
      </c>
    </row>
    <row r="72">
      <c r="A72" s="16" t="n">
        <v>26</v>
      </c>
      <c r="B72" s="29" t="n">
        <v>94</v>
      </c>
      <c r="C72" s="28" t="n">
        <v>46.3</v>
      </c>
      <c r="D72" s="28" t="n">
        <v>270</v>
      </c>
      <c r="E72" s="17" t="inlineStr">
        <is>
          <t>THANGAMAYL</t>
        </is>
      </c>
      <c r="F72" s="18" t="inlineStr">
        <is>
          <t>Thangamayil Jewellery Limited</t>
        </is>
      </c>
      <c r="G72" s="18" t="inlineStr">
        <is>
          <t>consumer discretionary</t>
        </is>
      </c>
      <c r="H72" s="19" t="n">
        <v>18479.82</v>
      </c>
    </row>
    <row r="73">
      <c r="A73" s="16" t="n">
        <v>27</v>
      </c>
      <c r="B73" s="29" t="n">
        <v>94</v>
      </c>
      <c r="C73" s="28" t="n">
        <v>46</v>
      </c>
      <c r="D73" s="28" t="n">
        <v>275</v>
      </c>
      <c r="E73" s="17" t="inlineStr">
        <is>
          <t>AEGISLOG</t>
        </is>
      </c>
      <c r="F73" s="18" t="inlineStr">
        <is>
          <t>Aegis Logistics Ltd</t>
        </is>
      </c>
      <c r="G73" s="18" t="inlineStr">
        <is>
          <t>services</t>
        </is>
      </c>
      <c r="H73" s="19" t="n">
        <v>44039.97</v>
      </c>
    </row>
    <row r="74">
      <c r="A74" s="16" t="n">
        <v>28</v>
      </c>
      <c r="B74" s="29" t="n">
        <v>94</v>
      </c>
      <c r="C74" s="28" t="n">
        <v>44.2</v>
      </c>
      <c r="D74" s="28" t="n">
        <v>265</v>
      </c>
      <c r="E74" s="17" t="inlineStr">
        <is>
          <t>JAYBARMARU</t>
        </is>
      </c>
      <c r="F74" s="18" t="inlineStr">
        <is>
          <t>Jay Bharat Maruti Limited</t>
        </is>
      </c>
      <c r="G74" s="18" t="inlineStr">
        <is>
          <t>auto</t>
        </is>
      </c>
      <c r="H74" s="19" t="n">
        <v>1856.27</v>
      </c>
    </row>
    <row r="75">
      <c r="A75" s="16" t="n">
        <v>29</v>
      </c>
      <c r="B75" s="29" t="n">
        <v>93</v>
      </c>
      <c r="C75" s="28" t="n">
        <v>44.17</v>
      </c>
      <c r="D75" s="28" t="n">
        <v>282</v>
      </c>
      <c r="E75" s="17" t="inlineStr">
        <is>
          <t>PAISALO</t>
        </is>
      </c>
      <c r="F75" s="18" t="inlineStr">
        <is>
          <t>Paisalo Digital Ltd</t>
        </is>
      </c>
      <c r="G75" s="18" t="inlineStr">
        <is>
          <t>financials</t>
        </is>
      </c>
      <c r="H75" s="19" t="n">
        <v>6443.05</v>
      </c>
    </row>
    <row r="76">
      <c r="A76" s="16" t="n">
        <v>30</v>
      </c>
      <c r="B76" s="29" t="n">
        <v>93</v>
      </c>
      <c r="C76" s="28" t="n">
        <v>44.12</v>
      </c>
      <c r="D76" s="28" t="n">
        <v>267</v>
      </c>
      <c r="E76" s="17" t="inlineStr">
        <is>
          <t>SKMEGGPROD</t>
        </is>
      </c>
      <c r="F76" s="18" t="inlineStr">
        <is>
          <t>Skm Egg Products Export (india) Limited</t>
        </is>
      </c>
      <c r="G76" s="18" t="inlineStr">
        <is>
          <t>fmcg</t>
        </is>
      </c>
      <c r="H76" s="19" t="n">
        <v>1670.9</v>
      </c>
    </row>
    <row r="77">
      <c r="A77" s="16" t="n">
        <v>31</v>
      </c>
      <c r="B77" s="29" t="n">
        <v>93</v>
      </c>
      <c r="C77" s="28" t="n">
        <v>44.08</v>
      </c>
      <c r="D77" s="28" t="n">
        <v>267</v>
      </c>
      <c r="E77" s="17" t="inlineStr">
        <is>
          <t>ACUTAAS</t>
        </is>
      </c>
      <c r="F77" s="18" t="inlineStr">
        <is>
          <t>Acutaas Chemicals Ltd</t>
        </is>
      </c>
      <c r="G77" s="18" t="inlineStr">
        <is>
          <t>healthcare</t>
        </is>
      </c>
      <c r="H77" s="19" t="n">
        <v>29207.52</v>
      </c>
    </row>
    <row r="78">
      <c r="A78" s="16" t="n">
        <v>32</v>
      </c>
      <c r="B78" s="29" t="n">
        <v>93</v>
      </c>
      <c r="C78" s="28" t="n">
        <v>43.06</v>
      </c>
      <c r="D78" s="28" t="n">
        <v>0</v>
      </c>
      <c r="E78" s="17" t="inlineStr">
        <is>
          <t>FREDUN</t>
        </is>
      </c>
      <c r="F78" s="18" t="inlineStr">
        <is>
          <t>Fredun Pharmaceuticals Limited</t>
        </is>
      </c>
      <c r="G78" s="18" t="inlineStr">
        <is>
          <t>Healthcare</t>
        </is>
      </c>
      <c r="H78" s="19" t="n">
        <v>1509.81</v>
      </c>
    </row>
    <row r="79">
      <c r="A79" s="16" t="n">
        <v>33</v>
      </c>
      <c r="B79" s="29" t="n">
        <v>93</v>
      </c>
      <c r="C79" s="28" t="n">
        <v>42.82</v>
      </c>
      <c r="D79" s="28" t="n">
        <v>255</v>
      </c>
      <c r="E79" s="17" t="inlineStr">
        <is>
          <t>RPEL</t>
        </is>
      </c>
      <c r="F79" s="18" t="inlineStr">
        <is>
          <t>Raghav Productivity Enhancers Ltd</t>
        </is>
      </c>
      <c r="G79" s="18" t="inlineStr">
        <is>
          <t>building materials</t>
        </is>
      </c>
      <c r="H79" s="19" t="n">
        <v>5716.96</v>
      </c>
    </row>
    <row r="80">
      <c r="A80" s="16" t="n">
        <v>34</v>
      </c>
      <c r="B80" s="29" t="n">
        <v>92</v>
      </c>
      <c r="C80" s="28" t="n">
        <v>42</v>
      </c>
      <c r="D80" s="28" t="n">
        <v>272</v>
      </c>
      <c r="E80" s="17" t="inlineStr">
        <is>
          <t>KPL</t>
        </is>
      </c>
      <c r="F80" s="18" t="inlineStr">
        <is>
          <t>Kwality Pharmaceuticals Limited</t>
        </is>
      </c>
      <c r="G80" s="18" t="inlineStr">
        <is>
          <t>Healthcare</t>
        </is>
      </c>
      <c r="H80" s="19" t="n">
        <v>2826.63</v>
      </c>
    </row>
    <row r="81">
      <c r="A81" s="16" t="n">
        <v>35</v>
      </c>
      <c r="B81" s="29" t="n">
        <v>92</v>
      </c>
      <c r="C81" s="28" t="n">
        <v>41.69</v>
      </c>
      <c r="D81" s="28" t="n">
        <v>280</v>
      </c>
      <c r="E81" s="17" t="inlineStr">
        <is>
          <t>ATHERENERG</t>
        </is>
      </c>
      <c r="F81" s="18" t="inlineStr">
        <is>
          <t>Ather Energy Ltd</t>
        </is>
      </c>
      <c r="G81" s="18" t="inlineStr">
        <is>
          <t>auto</t>
        </is>
      </c>
      <c r="H81" s="19" t="n">
        <v>43257.37</v>
      </c>
    </row>
    <row r="82">
      <c r="A82" s="16" t="n">
        <v>36</v>
      </c>
      <c r="B82" s="29" t="n">
        <v>92</v>
      </c>
      <c r="C82" s="28" t="n">
        <v>41.15</v>
      </c>
      <c r="D82" s="28" t="n">
        <v>245</v>
      </c>
      <c r="E82" s="17" t="inlineStr">
        <is>
          <t>AEROFLEX</t>
        </is>
      </c>
      <c r="F82" s="18" t="inlineStr">
        <is>
          <t>Aeroflex Industries Ltd</t>
        </is>
      </c>
      <c r="G82" s="18" t="inlineStr">
        <is>
          <t>metals &amp; mining</t>
        </is>
      </c>
      <c r="H82" s="19" t="n">
        <v>6464.36</v>
      </c>
    </row>
    <row r="83">
      <c r="A83" s="16" t="n">
        <v>37</v>
      </c>
      <c r="B83" s="29" t="n">
        <v>92</v>
      </c>
      <c r="C83" s="28" t="n">
        <v>41.06</v>
      </c>
      <c r="D83" s="28" t="n">
        <v>260</v>
      </c>
      <c r="E83" s="17" t="inlineStr">
        <is>
          <t>RATEGAIN</t>
        </is>
      </c>
      <c r="F83" s="18" t="inlineStr">
        <is>
          <t>Rategain Travel Technologies Ltd</t>
        </is>
      </c>
      <c r="G83" s="18" t="inlineStr">
        <is>
          <t>i.t</t>
        </is>
      </c>
      <c r="H83" s="19" t="n">
        <v>10669.75</v>
      </c>
    </row>
    <row r="84">
      <c r="A84" s="16" t="n">
        <v>38</v>
      </c>
      <c r="B84" s="29" t="n">
        <v>92</v>
      </c>
      <c r="C84" s="28" t="n">
        <v>40.05</v>
      </c>
      <c r="D84" s="28" t="n">
        <v>270</v>
      </c>
      <c r="E84" s="17" t="inlineStr">
        <is>
          <t>AVALON</t>
        </is>
      </c>
      <c r="F84" s="18" t="inlineStr">
        <is>
          <t>Avalon Technologies Ltd</t>
        </is>
      </c>
      <c r="G84" s="18" t="inlineStr">
        <is>
          <t>consumer discretionary</t>
        </is>
      </c>
      <c r="H84" s="19" t="n">
        <v>11986.53</v>
      </c>
    </row>
    <row r="85">
      <c r="A85" s="16" t="n">
        <v>39</v>
      </c>
      <c r="B85" s="29" t="n">
        <v>92</v>
      </c>
      <c r="C85" s="28" t="n">
        <v>38.89</v>
      </c>
      <c r="D85" s="28" t="n">
        <v>292</v>
      </c>
      <c r="E85" s="17" t="inlineStr">
        <is>
          <t>BAJAJCON</t>
        </is>
      </c>
      <c r="F85" s="18" t="inlineStr">
        <is>
          <t>Bajaj Consumer Care Ltd</t>
        </is>
      </c>
      <c r="G85" s="18" t="inlineStr">
        <is>
          <t>fmcg</t>
        </is>
      </c>
      <c r="H85" s="19" t="n">
        <v>8027.15</v>
      </c>
    </row>
    <row r="86">
      <c r="A86" s="16" t="n">
        <v>40</v>
      </c>
      <c r="B86" s="29" t="n">
        <v>91</v>
      </c>
      <c r="C86" s="28" t="n">
        <v>38.23</v>
      </c>
      <c r="D86" s="28" t="n">
        <v>238</v>
      </c>
      <c r="E86" s="17" t="inlineStr">
        <is>
          <t>KIRLOSENG</t>
        </is>
      </c>
      <c r="F86" s="18" t="inlineStr">
        <is>
          <t>Kirloskar Oil Engines Limited</t>
        </is>
      </c>
      <c r="G86" s="18" t="inlineStr">
        <is>
          <t>industrials</t>
        </is>
      </c>
      <c r="H86" s="19" t="n">
        <v>34030.04</v>
      </c>
    </row>
    <row r="87">
      <c r="A87" s="16" t="n">
        <v>41</v>
      </c>
      <c r="B87" s="29" t="n">
        <v>91</v>
      </c>
      <c r="C87" s="28" t="n">
        <v>37.59</v>
      </c>
      <c r="D87" s="28" t="n">
        <v>268</v>
      </c>
      <c r="E87" s="17" t="inlineStr">
        <is>
          <t>PARACABLES</t>
        </is>
      </c>
      <c r="F87" s="18" t="inlineStr">
        <is>
          <t>Paramount Communications Limited</t>
        </is>
      </c>
      <c r="G87" s="18" t="inlineStr">
        <is>
          <t>industrials</t>
        </is>
      </c>
      <c r="H87" s="19" t="n">
        <v>2262.52</v>
      </c>
    </row>
    <row r="88">
      <c r="A88" s="16" t="n">
        <v>42</v>
      </c>
      <c r="B88" s="29" t="n">
        <v>91</v>
      </c>
      <c r="C88" s="28" t="n">
        <v>37.57</v>
      </c>
      <c r="D88" s="28" t="n">
        <v>275</v>
      </c>
      <c r="E88" s="17" t="inlineStr">
        <is>
          <t>PARAS</t>
        </is>
      </c>
      <c r="F88" s="18" t="inlineStr">
        <is>
          <t>Paras Defence and Space Technologies Ltd</t>
        </is>
      </c>
      <c r="G88" s="18" t="inlineStr">
        <is>
          <t>aerospace &amp; defence</t>
        </is>
      </c>
      <c r="H88" s="19" t="n">
        <v>10298.25</v>
      </c>
    </row>
    <row r="89">
      <c r="A89" s="16" t="n">
        <v>43</v>
      </c>
      <c r="B89" s="29" t="n">
        <v>91</v>
      </c>
      <c r="C89" s="28" t="n">
        <v>37.08</v>
      </c>
      <c r="D89" s="28" t="n">
        <v>243</v>
      </c>
      <c r="E89" s="17" t="inlineStr">
        <is>
          <t>YASHO</t>
        </is>
      </c>
      <c r="F89" s="18" t="inlineStr">
        <is>
          <t>Yasho Industries Ltd</t>
        </is>
      </c>
      <c r="G89" s="18" t="inlineStr">
        <is>
          <t>chemicals</t>
        </is>
      </c>
      <c r="H89" s="19" t="n">
        <v>3695.14</v>
      </c>
    </row>
    <row r="90">
      <c r="A90" s="16" t="n">
        <v>44</v>
      </c>
      <c r="B90" s="29" t="n">
        <v>91</v>
      </c>
      <c r="C90" s="28" t="n">
        <v>36.97</v>
      </c>
      <c r="D90" s="28" t="n">
        <v>263</v>
      </c>
      <c r="E90" s="17" t="inlineStr">
        <is>
          <t>KANORICHEM</t>
        </is>
      </c>
      <c r="F90" s="18" t="inlineStr">
        <is>
          <t>Kanoria Chemicals &amp; Industries Limited</t>
        </is>
      </c>
      <c r="G90" s="18" t="inlineStr">
        <is>
          <t>chemicals</t>
        </is>
      </c>
      <c r="H90" s="19" t="n">
        <v>571.86</v>
      </c>
    </row>
    <row r="91">
      <c r="A91" s="16" t="n">
        <v>45</v>
      </c>
      <c r="B91" s="29" t="n">
        <v>90</v>
      </c>
      <c r="C91" s="28" t="n">
        <v>36.85</v>
      </c>
      <c r="D91" s="28" t="n">
        <v>275</v>
      </c>
      <c r="E91" s="17" t="inlineStr">
        <is>
          <t>SYRMA</t>
        </is>
      </c>
      <c r="F91" s="18" t="inlineStr">
        <is>
          <t>Syrma SGS Technology Ltd</t>
        </is>
      </c>
      <c r="G91" s="18" t="inlineStr">
        <is>
          <t>consumer discretionary</t>
        </is>
      </c>
      <c r="H91" s="19" t="n">
        <v>27412.78</v>
      </c>
    </row>
    <row r="92">
      <c r="A92" s="16" t="n">
        <v>46</v>
      </c>
      <c r="B92" s="29" t="n">
        <v>90</v>
      </c>
      <c r="C92" s="28" t="n">
        <v>36.56</v>
      </c>
      <c r="D92" s="28" t="n">
        <v>273</v>
      </c>
      <c r="E92" s="17" t="inlineStr">
        <is>
          <t>BLUSPRING</t>
        </is>
      </c>
      <c r="F92" s="18" t="inlineStr">
        <is>
          <t>Bluspring Enterprises Ltd</t>
        </is>
      </c>
      <c r="G92" s="18" t="inlineStr">
        <is>
          <t>miscellaneous</t>
        </is>
      </c>
      <c r="H92" s="19" t="n">
        <v>1643.59</v>
      </c>
    </row>
    <row r="93">
      <c r="A93" s="16" t="n">
        <v>47</v>
      </c>
      <c r="B93" s="29" t="n">
        <v>90</v>
      </c>
      <c r="C93" s="28" t="n">
        <v>35.75</v>
      </c>
      <c r="D93" s="28" t="n">
        <v>262</v>
      </c>
      <c r="E93" s="17" t="inlineStr">
        <is>
          <t>SENORES</t>
        </is>
      </c>
      <c r="F93" s="18" t="inlineStr">
        <is>
          <t>Senores Pharmaceuticals Ltd</t>
        </is>
      </c>
      <c r="G93" s="18" t="inlineStr">
        <is>
          <t>healthcare</t>
        </is>
      </c>
      <c r="H93" s="19" t="n">
        <v>6047.3</v>
      </c>
    </row>
    <row r="94">
      <c r="A94" s="16" t="n">
        <v>48</v>
      </c>
      <c r="B94" s="29" t="n">
        <v>90</v>
      </c>
      <c r="C94" s="28" t="n">
        <v>35.07</v>
      </c>
      <c r="D94" s="28" t="n">
        <v>255</v>
      </c>
      <c r="E94" s="17" t="inlineStr">
        <is>
          <t>KMEW</t>
        </is>
      </c>
      <c r="F94" s="18" t="inlineStr">
        <is>
          <t>Knowledge Marine &amp; Engineering Works Ltd</t>
        </is>
      </c>
      <c r="G94" s="18" t="inlineStr">
        <is>
          <t>transportation</t>
        </is>
      </c>
      <c r="H94" s="19" t="n">
        <v>5351.06</v>
      </c>
    </row>
    <row r="95">
      <c r="A95" s="16" t="n">
        <v>49</v>
      </c>
      <c r="B95" s="29" t="n">
        <v>90</v>
      </c>
      <c r="C95" s="28" t="n">
        <v>34.91</v>
      </c>
      <c r="D95" s="28" t="n">
        <v>287</v>
      </c>
      <c r="E95" s="17" t="inlineStr">
        <is>
          <t>IOLCP</t>
        </is>
      </c>
      <c r="F95" s="18" t="inlineStr">
        <is>
          <t>Iol Chemicals And Pharmaceuticals Limited</t>
        </is>
      </c>
      <c r="G95" s="18" t="inlineStr">
        <is>
          <t>healthcare</t>
        </is>
      </c>
      <c r="H95" s="19" t="n">
        <v>4321.02</v>
      </c>
    </row>
    <row r="9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ONMOBILE</t>
        </is>
      </c>
      <c r="B2" s="31" t="inlineStr">
        <is>
          <t>Onmobile Global Limited</t>
        </is>
      </c>
      <c r="C2" s="31" t="inlineStr">
        <is>
          <t>telecom-service</t>
        </is>
      </c>
      <c r="D2" s="31" t="inlineStr">
        <is>
          <t>telecommunications - service provider</t>
        </is>
      </c>
      <c r="E2" s="31" t="inlineStr">
        <is>
          <t>smallcap</t>
        </is>
      </c>
      <c r="F2" s="31" t="n">
        <v>688.3200000000001</v>
      </c>
      <c r="G2" s="31" t="n">
        <v>77.68000000000001</v>
      </c>
      <c r="H2" s="31" t="n">
        <v>19.99</v>
      </c>
      <c r="I2" s="31" t="n">
        <v>6977101</v>
      </c>
      <c r="J2" s="31" t="inlineStr">
        <is>
          <t>532944</t>
        </is>
      </c>
    </row>
    <row r="3">
      <c r="A3" s="31" t="inlineStr">
        <is>
          <t>COMSYN</t>
        </is>
      </c>
      <c r="B3" s="31" t="inlineStr">
        <is>
          <t>Commercial Syn Bags Ltd</t>
        </is>
      </c>
      <c r="C3" s="31" t="inlineStr">
        <is>
          <t>industrials</t>
        </is>
      </c>
      <c r="D3" s="31" t="inlineStr">
        <is>
          <t>packaging</t>
        </is>
      </c>
      <c r="E3" s="31" t="inlineStr">
        <is>
          <t>smallcap</t>
        </is>
      </c>
      <c r="F3" s="31" t="n">
        <v>630.86</v>
      </c>
      <c r="G3" s="31" t="n">
        <v>186.76</v>
      </c>
      <c r="H3" s="31" t="n">
        <v>19.42</v>
      </c>
      <c r="I3" s="31" t="n">
        <v>4682555</v>
      </c>
      <c r="J3" s="31" t="inlineStr">
        <is>
          <t>539986</t>
        </is>
      </c>
    </row>
    <row r="4">
      <c r="A4" s="31" t="inlineStr">
        <is>
          <t>CANTABIL</t>
        </is>
      </c>
      <c r="B4" s="31" t="inlineStr">
        <is>
          <t>Cantabil Retail India Limited</t>
        </is>
      </c>
      <c r="C4" s="31" t="inlineStr">
        <is>
          <t>textiles</t>
        </is>
      </c>
      <c r="D4" s="31" t="inlineStr">
        <is>
          <t>textiles - products</t>
        </is>
      </c>
      <c r="E4" s="31" t="inlineStr">
        <is>
          <t>smallcap</t>
        </is>
      </c>
      <c r="F4" s="31" t="n">
        <v>2023.62</v>
      </c>
      <c r="G4" s="31" t="n">
        <v>269.36</v>
      </c>
      <c r="H4" s="31" t="n">
        <v>11.33</v>
      </c>
      <c r="I4" s="31" t="n">
        <v>3547455</v>
      </c>
      <c r="J4" s="31" t="inlineStr">
        <is>
          <t>533267</t>
        </is>
      </c>
    </row>
    <row r="5">
      <c r="A5" s="31" t="inlineStr">
        <is>
          <t>RISHABH</t>
        </is>
      </c>
      <c r="B5" s="31" t="inlineStr">
        <is>
          <t>Rishabh Instruments Ltd</t>
        </is>
      </c>
      <c r="C5" s="31" t="inlineStr">
        <is>
          <t>industrials</t>
        </is>
      </c>
      <c r="D5" s="31" t="inlineStr">
        <is>
          <t>electric equipment</t>
        </is>
      </c>
      <c r="E5" s="31" t="inlineStr">
        <is>
          <t>smallcap</t>
        </is>
      </c>
      <c r="F5" s="31" t="n">
        <v>2254.17</v>
      </c>
      <c r="G5" s="31" t="n">
        <v>645.75</v>
      </c>
      <c r="H5" s="31" t="n">
        <v>10.42</v>
      </c>
      <c r="I5" s="31" t="n">
        <v>1380579</v>
      </c>
      <c r="J5" s="31" t="inlineStr">
        <is>
          <t>543977</t>
        </is>
      </c>
    </row>
    <row r="6">
      <c r="A6" s="31" t="inlineStr">
        <is>
          <t>SUVEN</t>
        </is>
      </c>
      <c r="B6" s="31" t="inlineStr">
        <is>
          <t>Suven Life Sciences Limited</t>
        </is>
      </c>
      <c r="C6" s="31" t="inlineStr">
        <is>
          <t>healthcare</t>
        </is>
      </c>
      <c r="D6" s="31" t="inlineStr">
        <is>
          <t>miscellaneous</t>
        </is>
      </c>
      <c r="E6" s="31" t="inlineStr">
        <is>
          <t>midcap</t>
        </is>
      </c>
      <c r="F6" s="31" t="n">
        <v>7221.99</v>
      </c>
      <c r="G6" s="31" t="n">
        <v>297.95</v>
      </c>
      <c r="H6" s="31" t="n">
        <v>8.800000000000001</v>
      </c>
      <c r="I6" s="31" t="n">
        <v>4099357</v>
      </c>
      <c r="J6" s="31" t="inlineStr">
        <is>
          <t>530239</t>
        </is>
      </c>
    </row>
    <row r="7">
      <c r="A7" s="31" t="inlineStr">
        <is>
          <t>BLUSPRING</t>
        </is>
      </c>
      <c r="B7" s="31" t="inlineStr">
        <is>
          <t>Bluspring Enterprises Ltd</t>
        </is>
      </c>
      <c r="C7" s="31" t="inlineStr">
        <is>
          <t>miscellaneous</t>
        </is>
      </c>
      <c r="D7" s="31" t="inlineStr">
        <is>
          <t>diversified - large</t>
        </is>
      </c>
      <c r="E7" s="31" t="inlineStr">
        <is>
          <t>smallcap</t>
        </is>
      </c>
      <c r="F7" s="31" t="n">
        <v>1643.59</v>
      </c>
      <c r="G7" s="31" t="n">
        <v>119.84</v>
      </c>
      <c r="H7" s="31" t="n">
        <v>8.74</v>
      </c>
      <c r="I7" s="31" t="n">
        <v>2210630</v>
      </c>
      <c r="J7" s="31" t="inlineStr">
        <is>
          <t>544414</t>
        </is>
      </c>
    </row>
    <row r="8">
      <c r="A8" s="31" t="inlineStr">
        <is>
          <t>TIRUPATIFL</t>
        </is>
      </c>
      <c r="B8" s="31" t="inlineStr">
        <is>
          <t>Tirupati Forge Ltd</t>
        </is>
      </c>
      <c r="C8" s="31" t="inlineStr">
        <is>
          <t>industrials</t>
        </is>
      </c>
      <c r="D8" s="31" t="inlineStr">
        <is>
          <t>castings &amp; forgings</t>
        </is>
      </c>
      <c r="E8" s="31" t="inlineStr">
        <is>
          <t>smallcap</t>
        </is>
      </c>
      <c r="F8" s="31" t="n">
        <v>826.5599999999999</v>
      </c>
      <c r="G8" s="31" t="n">
        <v>69.52</v>
      </c>
      <c r="H8" s="31" t="n">
        <v>8.66</v>
      </c>
      <c r="I8" s="31" t="n">
        <v>4922010</v>
      </c>
      <c r="J8" s="31" t="inlineStr">
        <is>
          <t>535021</t>
        </is>
      </c>
    </row>
    <row r="9">
      <c r="A9" s="31" t="inlineStr">
        <is>
          <t>NELCAST</t>
        </is>
      </c>
      <c r="B9" s="31" t="inlineStr">
        <is>
          <t>Nelcast Limited</t>
        </is>
      </c>
      <c r="C9" s="31" t="inlineStr">
        <is>
          <t>industrials</t>
        </is>
      </c>
      <c r="D9" s="31" t="inlineStr">
        <is>
          <t>castings &amp; forgings</t>
        </is>
      </c>
      <c r="E9" s="31" t="inlineStr">
        <is>
          <t>smallcap</t>
        </is>
      </c>
      <c r="F9" s="31" t="n">
        <v>1176</v>
      </c>
      <c r="G9" s="31" t="n">
        <v>146.79</v>
      </c>
      <c r="H9" s="31" t="n">
        <v>8.6</v>
      </c>
      <c r="I9" s="31" t="n">
        <v>3867764</v>
      </c>
      <c r="J9" s="31" t="inlineStr">
        <is>
          <t>532864</t>
        </is>
      </c>
    </row>
    <row r="10">
      <c r="A10" s="31" t="inlineStr">
        <is>
          <t>BHARATSE</t>
        </is>
      </c>
      <c r="B10" s="31" t="inlineStr">
        <is>
          <t>Bharat Seats Ltd</t>
        </is>
      </c>
      <c r="C10" s="31" t="inlineStr">
        <is>
          <t>auto</t>
        </is>
      </c>
      <c r="D10" s="31" t="inlineStr">
        <is>
          <t>auto ancillaries</t>
        </is>
      </c>
      <c r="E10" s="31" t="inlineStr">
        <is>
          <t>smallcap</t>
        </is>
      </c>
      <c r="F10" s="31" t="n">
        <v>1397.8</v>
      </c>
      <c r="G10" s="31" t="n">
        <v>240.76</v>
      </c>
      <c r="H10" s="31" t="n">
        <v>8.17</v>
      </c>
      <c r="I10" s="31" t="n">
        <v>19925783</v>
      </c>
      <c r="J10" s="31" t="inlineStr">
        <is>
          <t>523229</t>
        </is>
      </c>
    </row>
    <row r="11">
      <c r="A11" s="31" t="inlineStr">
        <is>
          <t>AYMSYNTEX</t>
        </is>
      </c>
      <c r="B11" s="31" t="inlineStr">
        <is>
          <t>Aym Syntex Limited</t>
        </is>
      </c>
      <c r="C11" s="31" t="inlineStr">
        <is>
          <t>textiles</t>
        </is>
      </c>
      <c r="D11" s="31" t="inlineStr">
        <is>
          <t>textiles - processing</t>
        </is>
      </c>
      <c r="E11" s="31" t="inlineStr">
        <is>
          <t>smallcap</t>
        </is>
      </c>
      <c r="F11" s="31" t="n">
        <v>1453.22</v>
      </c>
      <c r="G11" s="31" t="n">
        <v>267.96</v>
      </c>
      <c r="H11" s="31" t="n">
        <v>8.08</v>
      </c>
      <c r="I11" s="31" t="n">
        <v>275978</v>
      </c>
      <c r="J11" s="31" t="inlineStr">
        <is>
          <t>508933</t>
        </is>
      </c>
    </row>
    <row r="12">
      <c r="A12" s="31" t="inlineStr">
        <is>
          <t>THEMISMED</t>
        </is>
      </c>
      <c r="B12" s="31" t="inlineStr">
        <is>
          <t>Themis Medicare Limited</t>
        </is>
      </c>
      <c r="C12" s="31" t="inlineStr">
        <is>
          <t>healthcare</t>
        </is>
      </c>
      <c r="D12" s="31" t="inlineStr">
        <is>
          <t>pharmaceuticals - indian - bulk drugs &amp; formln</t>
        </is>
      </c>
      <c r="E12" s="31" t="inlineStr">
        <is>
          <t>smallcap</t>
        </is>
      </c>
      <c r="F12" s="31" t="n">
        <v>1019.36</v>
      </c>
      <c r="G12" s="31" t="n">
        <v>119.11</v>
      </c>
      <c r="H12" s="31" t="n">
        <v>7.62</v>
      </c>
      <c r="I12" s="31" t="n">
        <v>1924896</v>
      </c>
      <c r="J12" s="31" t="inlineStr">
        <is>
          <t>530199</t>
        </is>
      </c>
    </row>
    <row r="13">
      <c r="A13" s="31" t="inlineStr">
        <is>
          <t>RBZJEWEL</t>
        </is>
      </c>
      <c r="B13" s="31" t="inlineStr">
        <is>
          <t>RBZ Jewellers Ltd</t>
        </is>
      </c>
      <c r="C13" s="31" t="inlineStr">
        <is>
          <t>consumer discretionary</t>
        </is>
      </c>
      <c r="D13" s="31" t="inlineStr">
        <is>
          <t>diamond cutting / jewellery</t>
        </is>
      </c>
      <c r="E13" s="31" t="inlineStr">
        <is>
          <t>smallcap</t>
        </is>
      </c>
      <c r="F13" s="31" t="n">
        <v>542.36</v>
      </c>
      <c r="G13" s="31" t="n">
        <v>145.9</v>
      </c>
      <c r="H13" s="31" t="n">
        <v>7.6</v>
      </c>
      <c r="I13" s="31" t="n">
        <v>198573</v>
      </c>
      <c r="J13" s="31" t="inlineStr">
        <is>
          <t>544060</t>
        </is>
      </c>
    </row>
    <row r="14">
      <c r="A14" s="31" t="inlineStr">
        <is>
          <t>SKYGOLD</t>
        </is>
      </c>
      <c r="B14" s="31" t="inlineStr">
        <is>
          <t>Sky Gold Ltd</t>
        </is>
      </c>
      <c r="C14" s="31" t="inlineStr">
        <is>
          <t>consumer discretionary</t>
        </is>
      </c>
      <c r="D14" s="31" t="inlineStr">
        <is>
          <t>diamond cutting / jewellery</t>
        </is>
      </c>
      <c r="E14" s="31" t="inlineStr">
        <is>
          <t>midcap</t>
        </is>
      </c>
      <c r="F14" s="31" t="n">
        <v>8191.28</v>
      </c>
      <c r="G14" s="31" t="n">
        <v>568.85</v>
      </c>
      <c r="H14" s="31" t="n">
        <v>7.55</v>
      </c>
      <c r="I14" s="31" t="n">
        <v>2390039</v>
      </c>
      <c r="J14" s="31" t="inlineStr">
        <is>
          <t>541967</t>
        </is>
      </c>
    </row>
    <row r="15">
      <c r="A15" s="31" t="inlineStr">
        <is>
          <t>EXIDEIND</t>
        </is>
      </c>
      <c r="B15" s="31" t="inlineStr">
        <is>
          <t>Exide Industries Limited</t>
        </is>
      </c>
      <c r="C15" s="31" t="inlineStr">
        <is>
          <t>auto</t>
        </is>
      </c>
      <c r="D15" s="31" t="inlineStr">
        <is>
          <t>auto ancillaries</t>
        </is>
      </c>
      <c r="E15" s="31" t="inlineStr">
        <is>
          <t>largecap</t>
        </is>
      </c>
      <c r="F15" s="31" t="n">
        <v>33179.75</v>
      </c>
      <c r="G15" s="31" t="n">
        <v>419.35</v>
      </c>
      <c r="H15" s="31" t="n">
        <v>7.43</v>
      </c>
      <c r="I15" s="31" t="n">
        <v>21063500</v>
      </c>
      <c r="J15" s="31" t="inlineStr">
        <is>
          <t>500086</t>
        </is>
      </c>
    </row>
    <row r="16">
      <c r="A16" s="31" t="inlineStr">
        <is>
          <t>GHCLTEXTIL</t>
        </is>
      </c>
      <c r="B16" s="31" t="inlineStr">
        <is>
          <t>GHCL Textiles Ltd</t>
        </is>
      </c>
      <c r="C16" s="31" t="inlineStr">
        <is>
          <t>textiles</t>
        </is>
      </c>
      <c r="D16" s="31" t="inlineStr">
        <is>
          <t>textiles - spinning - synthetic / blended</t>
        </is>
      </c>
      <c r="E16" s="31" t="inlineStr">
        <is>
          <t>smallcap</t>
        </is>
      </c>
      <c r="F16" s="31" t="n">
        <v>928.42</v>
      </c>
      <c r="G16" s="31" t="n">
        <v>104.06</v>
      </c>
      <c r="H16" s="31" t="n">
        <v>7.13</v>
      </c>
      <c r="I16" s="31" t="n">
        <v>1408179</v>
      </c>
      <c r="J16" s="31" t="inlineStr">
        <is>
          <t>543918</t>
        </is>
      </c>
    </row>
    <row r="17">
      <c r="A17" s="31" t="inlineStr">
        <is>
          <t>EMIL</t>
        </is>
      </c>
      <c r="B17" s="31" t="inlineStr">
        <is>
          <t>Electronics Mart India Ltd</t>
        </is>
      </c>
      <c r="C17" s="31" t="inlineStr">
        <is>
          <t>consumer discretionary</t>
        </is>
      </c>
      <c r="D17" s="31" t="inlineStr">
        <is>
          <t>trading</t>
        </is>
      </c>
      <c r="E17" s="31" t="inlineStr">
        <is>
          <t>smallcap</t>
        </is>
      </c>
      <c r="F17" s="31" t="n">
        <v>4917.86</v>
      </c>
      <c r="G17" s="31" t="n">
        <v>136.9</v>
      </c>
      <c r="H17" s="31" t="n">
        <v>7.1</v>
      </c>
      <c r="I17" s="31" t="n">
        <v>6397703</v>
      </c>
      <c r="J17" s="31" t="inlineStr">
        <is>
          <t>543626</t>
        </is>
      </c>
    </row>
    <row r="18">
      <c r="A18" s="31" t="inlineStr">
        <is>
          <t>SONACOMS</t>
        </is>
      </c>
      <c r="B18" s="31" t="inlineStr">
        <is>
          <t>Sona BLW Precision Forgings Ltd</t>
        </is>
      </c>
      <c r="C18" s="31" t="inlineStr">
        <is>
          <t>auto</t>
        </is>
      </c>
      <c r="D18" s="31" t="inlineStr">
        <is>
          <t>auto ancillaries</t>
        </is>
      </c>
      <c r="E18" s="31" t="inlineStr">
        <is>
          <t>largecap</t>
        </is>
      </c>
      <c r="F18" s="31" t="n">
        <v>38517.2</v>
      </c>
      <c r="G18" s="31" t="n">
        <v>662.3</v>
      </c>
      <c r="H18" s="31" t="n">
        <v>6.93</v>
      </c>
      <c r="I18" s="31" t="n">
        <v>7802225</v>
      </c>
      <c r="J18" s="31" t="inlineStr">
        <is>
          <t>543300</t>
        </is>
      </c>
    </row>
    <row r="19">
      <c r="A19" s="31" t="inlineStr">
        <is>
          <t>BALAMINES</t>
        </is>
      </c>
      <c r="B19" s="31" t="inlineStr">
        <is>
          <t>Balaji Amines Limited</t>
        </is>
      </c>
      <c r="C19" s="31" t="inlineStr">
        <is>
          <t>chemicals</t>
        </is>
      </c>
      <c r="D19" s="31" t="inlineStr">
        <is>
          <t>chemicals</t>
        </is>
      </c>
      <c r="E19" s="31" t="inlineStr">
        <is>
          <t>midcap</t>
        </is>
      </c>
      <c r="F19" s="31" t="n">
        <v>6772.46</v>
      </c>
      <c r="G19" s="31" t="n">
        <v>2231.3</v>
      </c>
      <c r="H19" s="31" t="n">
        <v>6.75</v>
      </c>
      <c r="I19" s="31" t="n">
        <v>669270</v>
      </c>
      <c r="J19" s="31" t="inlineStr">
        <is>
          <t>530999</t>
        </is>
      </c>
    </row>
    <row r="20">
      <c r="A20" s="31" t="inlineStr">
        <is>
          <t>BIL</t>
        </is>
      </c>
      <c r="B20" s="31" t="inlineStr">
        <is>
          <t>Bhartiya International Limited</t>
        </is>
      </c>
      <c r="C20" s="31" t="inlineStr">
        <is>
          <t>consumer discretionary</t>
        </is>
      </c>
      <c r="D20" s="31" t="inlineStr">
        <is>
          <t>leather / leather products</t>
        </is>
      </c>
      <c r="E20" s="31" t="inlineStr">
        <is>
          <t>smallcap</t>
        </is>
      </c>
      <c r="F20" s="31" t="n">
        <v>1008.26</v>
      </c>
      <c r="G20" s="31" t="n">
        <v>799.8</v>
      </c>
      <c r="H20" s="31" t="n">
        <v>6.38</v>
      </c>
      <c r="I20" s="31" t="n">
        <v>8617</v>
      </c>
      <c r="J20" s="31" t="inlineStr">
        <is>
          <t>526666</t>
        </is>
      </c>
    </row>
    <row r="21">
      <c r="A21" s="31" t="inlineStr">
        <is>
          <t>THANGAMAYL</t>
        </is>
      </c>
      <c r="B21" s="31" t="inlineStr">
        <is>
          <t>Thangamayil Jewellery Limited</t>
        </is>
      </c>
      <c r="C21" s="31" t="inlineStr">
        <is>
          <t>consumer discretionary</t>
        </is>
      </c>
      <c r="D21" s="31" t="inlineStr">
        <is>
          <t>diamond cutting / jewellery</t>
        </is>
      </c>
      <c r="E21" s="31" t="inlineStr">
        <is>
          <t>midcap</t>
        </is>
      </c>
      <c r="F21" s="31" t="n">
        <v>18479.82</v>
      </c>
      <c r="G21" s="31" t="n">
        <v>6315.5</v>
      </c>
      <c r="H21" s="31" t="n">
        <v>6.22</v>
      </c>
      <c r="I21" s="31" t="n">
        <v>436902</v>
      </c>
      <c r="J21" s="31" t="inlineStr">
        <is>
          <t>533158</t>
        </is>
      </c>
    </row>
    <row r="22">
      <c r="A22" s="31" t="inlineStr">
        <is>
          <t>FUSION</t>
        </is>
      </c>
      <c r="B22" s="31" t="inlineStr">
        <is>
          <t>Fusion Micro Finance Ltd</t>
        </is>
      </c>
      <c r="C22" s="31" t="inlineStr">
        <is>
          <t>financials</t>
        </is>
      </c>
      <c r="D22" s="31" t="inlineStr">
        <is>
          <t>finance &amp; investments</t>
        </is>
      </c>
      <c r="E22" s="31" t="inlineStr">
        <is>
          <t>smallcap</t>
        </is>
      </c>
      <c r="F22" s="31" t="n">
        <v>3305.02</v>
      </c>
      <c r="G22" s="31" t="n">
        <v>216.21</v>
      </c>
      <c r="H22" s="31" t="n">
        <v>6.03</v>
      </c>
      <c r="I22" s="31" t="n">
        <v>2510455</v>
      </c>
      <c r="J22" s="31" t="inlineStr">
        <is>
          <t>543652</t>
        </is>
      </c>
    </row>
    <row r="23">
      <c r="A23" s="31" t="inlineStr">
        <is>
          <t>5PAISA</t>
        </is>
      </c>
      <c r="B23" s="31" t="inlineStr">
        <is>
          <t>5Paisa Capital Ltd</t>
        </is>
      </c>
      <c r="C23" s="31" t="inlineStr">
        <is>
          <t>financials</t>
        </is>
      </c>
      <c r="D23" s="31" t="inlineStr">
        <is>
          <t>finance &amp; investments</t>
        </is>
      </c>
      <c r="E23" s="31" t="inlineStr">
        <is>
          <t>smallcap</t>
        </is>
      </c>
      <c r="F23" s="31" t="n">
        <v>1703.94</v>
      </c>
      <c r="G23" s="31" t="n">
        <v>385.3</v>
      </c>
      <c r="H23" s="31" t="n">
        <v>6.01</v>
      </c>
      <c r="I23" s="31" t="n">
        <v>327776</v>
      </c>
      <c r="J23" s="31" t="inlineStr">
        <is>
          <t>540776</t>
        </is>
      </c>
    </row>
    <row r="24">
      <c r="A24" s="31" t="inlineStr">
        <is>
          <t>GNA</t>
        </is>
      </c>
      <c r="B24" s="31" t="inlineStr">
        <is>
          <t>Gna Axles Limited</t>
        </is>
      </c>
      <c r="C24" s="31" t="inlineStr">
        <is>
          <t>auto</t>
        </is>
      </c>
      <c r="D24" s="31" t="inlineStr">
        <is>
          <t>auto ancillaries</t>
        </is>
      </c>
      <c r="E24" s="31" t="inlineStr">
        <is>
          <t>smallcap</t>
        </is>
      </c>
      <c r="F24" s="31" t="n">
        <v>1902.48</v>
      </c>
      <c r="G24" s="31" t="n">
        <v>469.7</v>
      </c>
      <c r="H24" s="31" t="n">
        <v>5.99</v>
      </c>
      <c r="I24" s="31" t="n">
        <v>686308</v>
      </c>
      <c r="J24" s="31" t="inlineStr">
        <is>
          <t>540124</t>
        </is>
      </c>
    </row>
    <row r="25">
      <c r="A25" s="31" t="inlineStr">
        <is>
          <t>GALAPREC</t>
        </is>
      </c>
      <c r="B25" s="31" t="inlineStr">
        <is>
          <t>Gala Precision Engineering Ltd</t>
        </is>
      </c>
      <c r="C25" s="31" t="inlineStr">
        <is>
          <t>industrials</t>
        </is>
      </c>
      <c r="D25" s="31" t="inlineStr">
        <is>
          <t>fasteners</t>
        </is>
      </c>
      <c r="E25" s="31" t="inlineStr">
        <is>
          <t>smallcap</t>
        </is>
      </c>
      <c r="F25" s="31" t="n">
        <v>1418.47</v>
      </c>
      <c r="G25" s="31" t="n">
        <v>1177.9</v>
      </c>
      <c r="H25" s="31" t="n">
        <v>5.88</v>
      </c>
      <c r="I25" s="31" t="n">
        <v>120659</v>
      </c>
      <c r="J25" s="31" t="inlineStr">
        <is>
          <t>544244</t>
        </is>
      </c>
    </row>
    <row r="26">
      <c r="A26" s="31" t="inlineStr">
        <is>
          <t>APOLLOTYRE</t>
        </is>
      </c>
      <c r="B26" s="31" t="inlineStr">
        <is>
          <t>Apollo Tyres Limited</t>
        </is>
      </c>
      <c r="C26" s="31" t="inlineStr">
        <is>
          <t>auto</t>
        </is>
      </c>
      <c r="D26" s="31" t="inlineStr">
        <is>
          <t>tyres</t>
        </is>
      </c>
      <c r="E26" s="31" t="inlineStr">
        <is>
          <t>largecap</t>
        </is>
      </c>
      <c r="F26" s="31" t="n">
        <v>27414.13</v>
      </c>
      <c r="G26" s="31" t="n">
        <v>456.6</v>
      </c>
      <c r="H26" s="31" t="n">
        <v>5.78</v>
      </c>
      <c r="I26" s="31" t="n">
        <v>4300516</v>
      </c>
      <c r="J26" s="31" t="inlineStr">
        <is>
          <t>500877</t>
        </is>
      </c>
    </row>
    <row r="27">
      <c r="A27" s="31" t="inlineStr">
        <is>
          <t>INDIGOPNTS</t>
        </is>
      </c>
      <c r="B27" s="31" t="inlineStr">
        <is>
          <t>Indigo Paints Ltd</t>
        </is>
      </c>
      <c r="C27" s="31" t="inlineStr">
        <is>
          <t>building materials</t>
        </is>
      </c>
      <c r="D27" s="31" t="inlineStr">
        <is>
          <t>paints / varnishes</t>
        </is>
      </c>
      <c r="E27" s="31" t="inlineStr">
        <is>
          <t>smallcap</t>
        </is>
      </c>
      <c r="F27" s="31" t="n">
        <v>4876.74</v>
      </c>
      <c r="G27" s="31" t="n">
        <v>1079.1</v>
      </c>
      <c r="H27" s="31" t="n">
        <v>5.49</v>
      </c>
      <c r="I27" s="31" t="n">
        <v>437413</v>
      </c>
      <c r="J27" s="31" t="inlineStr">
        <is>
          <t>543258</t>
        </is>
      </c>
    </row>
    <row r="28">
      <c r="A28" s="31" t="inlineStr">
        <is>
          <t>J&amp;KBANK</t>
        </is>
      </c>
      <c r="B28" s="31" t="inlineStr">
        <is>
          <t>The Jammu &amp; Kashmir Bank Limited</t>
        </is>
      </c>
      <c r="C28" s="31" t="inlineStr">
        <is>
          <t>bank</t>
        </is>
      </c>
      <c r="D28" s="31" t="inlineStr">
        <is>
          <t>banks - private sector</t>
        </is>
      </c>
      <c r="E28" s="31" t="inlineStr">
        <is>
          <t>midcap</t>
        </is>
      </c>
      <c r="F28" s="31" t="n">
        <v>17200.47</v>
      </c>
      <c r="G28" s="31" t="n">
        <v>164.7</v>
      </c>
      <c r="H28" s="31" t="n">
        <v>5.44</v>
      </c>
      <c r="I28" s="31" t="n">
        <v>7874766</v>
      </c>
      <c r="J28" s="31" t="inlineStr">
        <is>
          <t>532209</t>
        </is>
      </c>
    </row>
    <row r="29">
      <c r="A29" s="31" t="inlineStr">
        <is>
          <t>DIAMONDYD</t>
        </is>
      </c>
      <c r="B29" s="31" t="inlineStr">
        <is>
          <t>Prataap Snacks Ltd</t>
        </is>
      </c>
      <c r="C29" s="31" t="inlineStr">
        <is>
          <t>fmcg</t>
        </is>
      </c>
      <c r="D29" s="31" t="inlineStr">
        <is>
          <t>food - processing - indian</t>
        </is>
      </c>
      <c r="E29" s="31" t="inlineStr">
        <is>
          <t>smallcap</t>
        </is>
      </c>
      <c r="F29" s="31" t="n">
        <v>2703.01</v>
      </c>
      <c r="G29" s="31" t="n">
        <v>1192.2</v>
      </c>
      <c r="H29" s="31" t="n">
        <v>5.43</v>
      </c>
      <c r="I29" s="31" t="n">
        <v>156748</v>
      </c>
      <c r="J29" s="31" t="inlineStr">
        <is>
          <t>540724</t>
        </is>
      </c>
    </row>
    <row r="30">
      <c r="A30" s="31" t="inlineStr">
        <is>
          <t>AEGISLOG</t>
        </is>
      </c>
      <c r="B30" s="31" t="inlineStr">
        <is>
          <t>Aegis Logistics Ltd</t>
        </is>
      </c>
      <c r="C30" s="31" t="inlineStr">
        <is>
          <t>services</t>
        </is>
      </c>
      <c r="D30" s="31" t="inlineStr">
        <is>
          <t>trading</t>
        </is>
      </c>
      <c r="E30" s="31" t="inlineStr">
        <is>
          <t>largecap</t>
        </is>
      </c>
      <c r="F30" s="31" t="n">
        <v>44039.97</v>
      </c>
      <c r="G30" s="31" t="n">
        <v>1321.9</v>
      </c>
      <c r="H30" s="31" t="n">
        <v>5.36</v>
      </c>
      <c r="I30" s="31" t="n">
        <v>4447810</v>
      </c>
      <c r="J30" s="31" t="inlineStr">
        <is>
          <t>500003</t>
        </is>
      </c>
    </row>
    <row r="31">
      <c r="A31" s="31" t="inlineStr">
        <is>
          <t>XPROINDIA</t>
        </is>
      </c>
      <c r="B31" s="31" t="inlineStr">
        <is>
          <t>Xpro India Limited</t>
        </is>
      </c>
      <c r="C31" s="31" t="inlineStr">
        <is>
          <t>industrials</t>
        </is>
      </c>
      <c r="D31" s="31" t="inlineStr">
        <is>
          <t>packaging</t>
        </is>
      </c>
      <c r="E31" s="31" t="inlineStr">
        <is>
          <t>smallcap</t>
        </is>
      </c>
      <c r="F31" s="31" t="n">
        <v>3350.16</v>
      </c>
      <c r="G31" s="31" t="n">
        <v>1503.6</v>
      </c>
      <c r="H31" s="31" t="n">
        <v>5.34</v>
      </c>
      <c r="I31" s="31" t="n">
        <v>151143</v>
      </c>
      <c r="J31" s="31" t="inlineStr">
        <is>
          <t>590013</t>
        </is>
      </c>
    </row>
    <row r="32">
      <c r="A32" s="31" t="inlineStr">
        <is>
          <t>SHILPAMED</t>
        </is>
      </c>
      <c r="B32" s="31" t="inlineStr">
        <is>
          <t>Shilpa Medicare Limited</t>
        </is>
      </c>
      <c r="C32" s="31" t="inlineStr">
        <is>
          <t>healthcare</t>
        </is>
      </c>
      <c r="D32" s="31" t="inlineStr">
        <is>
          <t>pharmaceuticals - indian - formulations</t>
        </is>
      </c>
      <c r="E32" s="31" t="inlineStr">
        <is>
          <t>midcap</t>
        </is>
      </c>
      <c r="F32" s="31" t="n">
        <v>11162.83</v>
      </c>
      <c r="G32" s="31" t="n">
        <v>600.85</v>
      </c>
      <c r="H32" s="31" t="n">
        <v>5.27</v>
      </c>
      <c r="I32" s="31" t="n">
        <v>1794552</v>
      </c>
      <c r="J32" s="31" t="inlineStr">
        <is>
          <t>530549</t>
        </is>
      </c>
    </row>
    <row r="33">
      <c r="A33" s="31" t="inlineStr">
        <is>
          <t>MMFL</t>
        </is>
      </c>
      <c r="B33" s="31" t="inlineStr">
        <is>
          <t>Mm Forgings Limited</t>
        </is>
      </c>
      <c r="C33" s="31" t="inlineStr">
        <is>
          <t>industrials</t>
        </is>
      </c>
      <c r="D33" s="31" t="inlineStr">
        <is>
          <t>castings &amp; forgings</t>
        </is>
      </c>
      <c r="E33" s="31" t="inlineStr">
        <is>
          <t>smallcap</t>
        </is>
      </c>
      <c r="F33" s="31" t="n">
        <v>2231.09</v>
      </c>
      <c r="G33" s="31" t="n">
        <v>486.2</v>
      </c>
      <c r="H33" s="31" t="n">
        <v>5.22</v>
      </c>
      <c r="I33" s="31" t="n">
        <v>890101</v>
      </c>
      <c r="J33" s="31" t="inlineStr">
        <is>
          <t>522241</t>
        </is>
      </c>
    </row>
    <row r="34">
      <c r="A34" s="31" t="inlineStr">
        <is>
          <t>WABAG</t>
        </is>
      </c>
      <c r="B34" s="31" t="inlineStr">
        <is>
          <t>Va Tech Wabag Limited</t>
        </is>
      </c>
      <c r="C34" s="31" t="inlineStr">
        <is>
          <t>realty</t>
        </is>
      </c>
      <c r="D34" s="31" t="inlineStr">
        <is>
          <t>engineering - turnkey services</t>
        </is>
      </c>
      <c r="E34" s="31" t="inlineStr">
        <is>
          <t>midcap</t>
        </is>
      </c>
      <c r="F34" s="31" t="n">
        <v>12977.84</v>
      </c>
      <c r="G34" s="31" t="n">
        <v>2190.3</v>
      </c>
      <c r="H34" s="31" t="n">
        <v>5.16</v>
      </c>
      <c r="I34" s="31" t="n">
        <v>1497465</v>
      </c>
      <c r="J34" s="31" t="inlineStr">
        <is>
          <t>533269</t>
        </is>
      </c>
    </row>
    <row r="35">
      <c r="A35" s="31" t="inlineStr">
        <is>
          <t>PARAS</t>
        </is>
      </c>
      <c r="B35" s="31" t="inlineStr">
        <is>
          <t>Paras Defence and Space Technologies Ltd</t>
        </is>
      </c>
      <c r="C35" s="31" t="inlineStr">
        <is>
          <t>aerospace &amp; defence</t>
        </is>
      </c>
      <c r="D35" s="31" t="inlineStr">
        <is>
          <t>engineering</t>
        </is>
      </c>
      <c r="E35" s="31" t="inlineStr">
        <is>
          <t>midcap</t>
        </is>
      </c>
      <c r="F35" s="31" t="n">
        <v>10298.25</v>
      </c>
      <c r="G35" s="31" t="n">
        <v>1343.8</v>
      </c>
      <c r="H35" s="31" t="n">
        <v>5.16</v>
      </c>
      <c r="I35" s="31" t="n">
        <v>4423867</v>
      </c>
      <c r="J35" s="31" t="inlineStr">
        <is>
          <t>543367</t>
        </is>
      </c>
    </row>
    <row r="36">
      <c r="A36" s="31" t="inlineStr">
        <is>
          <t>KABRAEXTRU</t>
        </is>
      </c>
      <c r="B36" s="31" t="inlineStr">
        <is>
          <t>Kabra Extrusion Technik Limited</t>
        </is>
      </c>
      <c r="C36" s="31" t="inlineStr">
        <is>
          <t>industrials</t>
        </is>
      </c>
      <c r="D36" s="31" t="inlineStr">
        <is>
          <t>engineering</t>
        </is>
      </c>
      <c r="E36" s="31" t="inlineStr">
        <is>
          <t>smallcap</t>
        </is>
      </c>
      <c r="F36" s="31" t="n">
        <v>926.78</v>
      </c>
      <c r="G36" s="31" t="n">
        <v>278.45</v>
      </c>
      <c r="H36" s="31" t="n">
        <v>5.08</v>
      </c>
      <c r="I36" s="31" t="n">
        <v>518303</v>
      </c>
      <c r="J36" s="31" t="inlineStr">
        <is>
          <t>524109</t>
        </is>
      </c>
    </row>
    <row r="37">
      <c r="A37" s="31" t="inlineStr">
        <is>
          <t>CEMPRO</t>
        </is>
      </c>
      <c r="B37" s="31" t="inlineStr">
        <is>
          <t>Cemindia Projects Ltd</t>
        </is>
      </c>
      <c r="C37" s="31" t="inlineStr">
        <is>
          <t>realty</t>
        </is>
      </c>
      <c r="D37" s="31" t="inlineStr">
        <is>
          <t>construction</t>
        </is>
      </c>
      <c r="E37" s="31" t="inlineStr">
        <is>
          <t>largecap</t>
        </is>
      </c>
      <c r="F37" s="31" t="n">
        <v>23419.8</v>
      </c>
      <c r="G37" s="31" t="n">
        <v>1431.4</v>
      </c>
      <c r="H37" s="31" t="n">
        <v>5</v>
      </c>
      <c r="I37" s="31" t="n">
        <v>1253313</v>
      </c>
      <c r="J37" s="31" t="inlineStr">
        <is>
          <t>509496</t>
        </is>
      </c>
    </row>
    <row r="38">
      <c r="A38" s="31" t="inlineStr">
        <is>
          <t>DEEDEV</t>
        </is>
      </c>
      <c r="B38" s="31" t="inlineStr">
        <is>
          <t>DEE Development Engineers Ltd</t>
        </is>
      </c>
      <c r="C38" s="31" t="inlineStr">
        <is>
          <t>metals &amp; mining</t>
        </is>
      </c>
      <c r="D38" s="31" t="inlineStr">
        <is>
          <t>steel - medium / small</t>
        </is>
      </c>
      <c r="E38" s="31" t="inlineStr">
        <is>
          <t>smallcap</t>
        </is>
      </c>
      <c r="F38" s="31" t="n">
        <v>4679.09</v>
      </c>
      <c r="G38" s="31" t="n">
        <v>709.3</v>
      </c>
      <c r="H38" s="31" t="n">
        <v>5</v>
      </c>
      <c r="I38" s="31" t="n">
        <v>32858</v>
      </c>
      <c r="J38" s="31" t="n"/>
    </row>
    <row r="39">
      <c r="A39" s="31" t="inlineStr">
        <is>
          <t>UFBL</t>
        </is>
      </c>
      <c r="B39" s="31" t="inlineStr">
        <is>
          <t>United Foodbrands Ltd</t>
        </is>
      </c>
      <c r="C39" s="31" t="inlineStr">
        <is>
          <t>consumer discretionary</t>
        </is>
      </c>
      <c r="D39" s="31" t="inlineStr">
        <is>
          <t>hotels</t>
        </is>
      </c>
      <c r="E39" s="31" t="inlineStr">
        <is>
          <t>smallcap</t>
        </is>
      </c>
      <c r="F39" s="31" t="n">
        <v>2505.24</v>
      </c>
      <c r="G39" s="31" t="n">
        <v>672.95</v>
      </c>
      <c r="H39" s="31" t="n">
        <v>4.99</v>
      </c>
      <c r="I39" s="31" t="n">
        <v>129239</v>
      </c>
      <c r="J39" s="31" t="inlineStr">
        <is>
          <t>543283</t>
        </is>
      </c>
    </row>
    <row r="40">
      <c r="A40" s="31" t="inlineStr">
        <is>
          <t>SETL</t>
        </is>
      </c>
      <c r="B40" s="31" t="inlineStr">
        <is>
          <t>Standard Enginnering Technology Ltd</t>
        </is>
      </c>
      <c r="C40" s="31" t="inlineStr">
        <is>
          <t>industrials</t>
        </is>
      </c>
      <c r="D40" s="31" t="inlineStr">
        <is>
          <t>engineering</t>
        </is>
      </c>
      <c r="E40" s="31" t="inlineStr">
        <is>
          <t>midcap</t>
        </is>
      </c>
      <c r="F40" s="31" t="n">
        <v>5634.64</v>
      </c>
      <c r="G40" s="31" t="n">
        <v>296.55</v>
      </c>
      <c r="H40" s="31" t="n">
        <v>4.99</v>
      </c>
      <c r="I40" s="31" t="n">
        <v>2530686</v>
      </c>
      <c r="J40" s="31" t="inlineStr">
        <is>
          <t>544333</t>
        </is>
      </c>
    </row>
    <row r="41">
      <c r="A41" s="31" t="inlineStr">
        <is>
          <t>MODISONLTD</t>
        </is>
      </c>
      <c r="B41" s="31" t="inlineStr">
        <is>
          <t>Modison Ltd</t>
        </is>
      </c>
      <c r="C41" s="31" t="inlineStr">
        <is>
          <t>industrials</t>
        </is>
      </c>
      <c r="D41" s="31" t="inlineStr">
        <is>
          <t>electric equipment</t>
        </is>
      </c>
      <c r="E41" s="31" t="inlineStr">
        <is>
          <t>smallcap</t>
        </is>
      </c>
      <c r="F41" s="31" t="n">
        <v>952.41</v>
      </c>
      <c r="G41" s="31" t="n">
        <v>308.15</v>
      </c>
      <c r="H41" s="31" t="n">
        <v>4.99</v>
      </c>
      <c r="I41" s="31" t="n">
        <v>84439</v>
      </c>
      <c r="J41" s="31" t="inlineStr">
        <is>
          <t>506261</t>
        </is>
      </c>
    </row>
    <row r="42">
      <c r="A42" s="31" t="inlineStr">
        <is>
          <t>LOKESHMACH</t>
        </is>
      </c>
      <c r="B42" s="31" t="inlineStr">
        <is>
          <t>Lokesh Machines Limited</t>
        </is>
      </c>
      <c r="C42" s="31" t="inlineStr">
        <is>
          <t>industrials</t>
        </is>
      </c>
      <c r="D42" s="31" t="inlineStr">
        <is>
          <t>engineering</t>
        </is>
      </c>
      <c r="E42" s="31" t="inlineStr">
        <is>
          <t>smallcap</t>
        </is>
      </c>
      <c r="F42" s="31" t="n">
        <v>608.45</v>
      </c>
      <c r="G42" s="31" t="n">
        <v>299.95</v>
      </c>
      <c r="H42" s="31" t="n">
        <v>4.99</v>
      </c>
      <c r="I42" s="31" t="n">
        <v>18189</v>
      </c>
      <c r="J42" s="31" t="inlineStr">
        <is>
          <t>532740</t>
        </is>
      </c>
    </row>
    <row r="43">
      <c r="A43" s="31" t="inlineStr">
        <is>
          <t>APOLLO</t>
        </is>
      </c>
      <c r="B43" s="31" t="inlineStr">
        <is>
          <t>Apollo Micro Systems Ltd</t>
        </is>
      </c>
      <c r="C43" s="31" t="inlineStr">
        <is>
          <t>aerospace &amp; defence</t>
        </is>
      </c>
      <c r="D43" s="31" t="inlineStr">
        <is>
          <t>electronics - components</t>
        </is>
      </c>
      <c r="E43" s="31" t="inlineStr">
        <is>
          <t>midcap</t>
        </is>
      </c>
      <c r="F43" s="31" t="n">
        <v>15474.68</v>
      </c>
      <c r="G43" s="31" t="n">
        <v>439.55</v>
      </c>
      <c r="H43" s="31" t="n">
        <v>4.94</v>
      </c>
      <c r="I43" s="31" t="n">
        <v>17880802</v>
      </c>
      <c r="J43" s="31" t="inlineStr">
        <is>
          <t>540879</t>
        </is>
      </c>
    </row>
    <row r="44">
      <c r="A44" s="31" t="inlineStr">
        <is>
          <t>SCHNEIDER</t>
        </is>
      </c>
      <c r="B44" s="31" t="inlineStr">
        <is>
          <t>Schneider Electric Infrastructure Limited</t>
        </is>
      </c>
      <c r="C44" s="31" t="inlineStr">
        <is>
          <t>industrials</t>
        </is>
      </c>
      <c r="D44" s="31" t="inlineStr">
        <is>
          <t>electric equipment</t>
        </is>
      </c>
      <c r="E44" s="31" t="inlineStr">
        <is>
          <t>largecap</t>
        </is>
      </c>
      <c r="F44" s="31" t="n">
        <v>33163.73</v>
      </c>
      <c r="G44" s="31" t="n">
        <v>1453.9</v>
      </c>
      <c r="H44" s="31" t="n">
        <v>4.82</v>
      </c>
      <c r="I44" s="31" t="n">
        <v>444627</v>
      </c>
      <c r="J44" s="31" t="inlineStr">
        <is>
          <t>534139</t>
        </is>
      </c>
    </row>
    <row r="45">
      <c r="A45" s="31" t="inlineStr">
        <is>
          <t>CEATLTD</t>
        </is>
      </c>
      <c r="B45" s="31" t="inlineStr">
        <is>
          <t>Ceat Limited</t>
        </is>
      </c>
      <c r="C45" s="31" t="inlineStr">
        <is>
          <t>auto</t>
        </is>
      </c>
      <c r="D45" s="31" t="inlineStr">
        <is>
          <t>tyres</t>
        </is>
      </c>
      <c r="E45" s="31" t="inlineStr">
        <is>
          <t>midcap</t>
        </is>
      </c>
      <c r="F45" s="31" t="n">
        <v>14702.8</v>
      </c>
      <c r="G45" s="31" t="n">
        <v>3805.8</v>
      </c>
      <c r="H45" s="31" t="n">
        <v>4.7</v>
      </c>
      <c r="I45" s="31" t="n">
        <v>514759</v>
      </c>
      <c r="J45" s="31" t="inlineStr">
        <is>
          <t>500878</t>
        </is>
      </c>
    </row>
    <row r="46">
      <c r="A46" s="31" t="inlineStr">
        <is>
          <t>RATEGAIN</t>
        </is>
      </c>
      <c r="B46" s="31" t="inlineStr">
        <is>
          <t>Rategain Travel Technologies Ltd</t>
        </is>
      </c>
      <c r="C46" s="31" t="inlineStr">
        <is>
          <t>i.t</t>
        </is>
      </c>
      <c r="D46" s="31" t="inlineStr">
        <is>
          <t>computers - software - medium / small</t>
        </is>
      </c>
      <c r="E46" s="31" t="inlineStr">
        <is>
          <t>midcap</t>
        </is>
      </c>
      <c r="F46" s="31" t="n">
        <v>10669.75</v>
      </c>
      <c r="G46" s="31" t="n">
        <v>945.2</v>
      </c>
      <c r="H46" s="31" t="n">
        <v>4.68</v>
      </c>
      <c r="I46" s="31" t="n">
        <v>921131</v>
      </c>
      <c r="J46" s="31" t="inlineStr">
        <is>
          <t>543417</t>
        </is>
      </c>
    </row>
    <row r="47">
      <c r="A47" s="31" t="inlineStr">
        <is>
          <t>INDIAGLYCO</t>
        </is>
      </c>
      <c r="B47" s="31" t="inlineStr">
        <is>
          <t>India Glycols Limited</t>
        </is>
      </c>
      <c r="C47" s="31" t="inlineStr">
        <is>
          <t>fmcg</t>
        </is>
      </c>
      <c r="D47" s="31" t="inlineStr">
        <is>
          <t>breweries &amp; distilleries</t>
        </is>
      </c>
      <c r="E47" s="31" t="inlineStr">
        <is>
          <t>midcap</t>
        </is>
      </c>
      <c r="F47" s="31" t="n">
        <v>6892.36</v>
      </c>
      <c r="G47" s="31" t="n">
        <v>1075.35</v>
      </c>
      <c r="H47" s="31" t="n">
        <v>4.58</v>
      </c>
      <c r="I47" s="31" t="n">
        <v>383478</v>
      </c>
      <c r="J47" s="31" t="inlineStr">
        <is>
          <t>500201</t>
        </is>
      </c>
    </row>
    <row r="48">
      <c r="A48" s="31" t="inlineStr">
        <is>
          <t>ZYDUSWELL</t>
        </is>
      </c>
      <c r="B48" s="31" t="inlineStr">
        <is>
          <t>Zydus Wellness Limited</t>
        </is>
      </c>
      <c r="C48" s="31" t="inlineStr">
        <is>
          <t>fmcg</t>
        </is>
      </c>
      <c r="D48" s="31" t="inlineStr">
        <is>
          <t>food - processing - indian</t>
        </is>
      </c>
      <c r="E48" s="31" t="inlineStr">
        <is>
          <t>midcap</t>
        </is>
      </c>
      <c r="F48" s="31" t="n">
        <v>18087.44</v>
      </c>
      <c r="G48" s="31" t="n">
        <v>594.45</v>
      </c>
      <c r="H48" s="31" t="n">
        <v>4.56</v>
      </c>
      <c r="I48" s="31" t="n">
        <v>2140111</v>
      </c>
      <c r="J48" s="31" t="inlineStr">
        <is>
          <t>531335</t>
        </is>
      </c>
    </row>
    <row r="49">
      <c r="A49" s="31" t="inlineStr">
        <is>
          <t>GREAVESCOT</t>
        </is>
      </c>
      <c r="B49" s="31" t="inlineStr">
        <is>
          <t>Greaves Cotton Limited</t>
        </is>
      </c>
      <c r="C49" s="31" t="inlineStr">
        <is>
          <t>industrials</t>
        </is>
      </c>
      <c r="D49" s="31" t="inlineStr">
        <is>
          <t>engines</t>
        </is>
      </c>
      <c r="E49" s="31" t="inlineStr">
        <is>
          <t>midcap</t>
        </is>
      </c>
      <c r="F49" s="31" t="n">
        <v>5147.23</v>
      </c>
      <c r="G49" s="31" t="n">
        <v>231.03</v>
      </c>
      <c r="H49" s="31" t="n">
        <v>4.54</v>
      </c>
      <c r="I49" s="31" t="n">
        <v>9114807</v>
      </c>
      <c r="J49" s="31" t="inlineStr">
        <is>
          <t>501455</t>
        </is>
      </c>
    </row>
    <row r="50">
      <c r="A50" s="31" t="inlineStr">
        <is>
          <t>DCBBANK</t>
        </is>
      </c>
      <c r="B50" s="31" t="inlineStr">
        <is>
          <t>Dcb Bank Limited</t>
        </is>
      </c>
      <c r="C50" s="31" t="inlineStr">
        <is>
          <t>bank</t>
        </is>
      </c>
      <c r="D50" s="31" t="inlineStr">
        <is>
          <t>banks - private sector</t>
        </is>
      </c>
      <c r="E50" s="31" t="inlineStr">
        <is>
          <t>midcap</t>
        </is>
      </c>
      <c r="F50" s="31" t="n">
        <v>5962.59</v>
      </c>
      <c r="G50" s="31" t="n">
        <v>193.49</v>
      </c>
      <c r="H50" s="31" t="n">
        <v>4.46</v>
      </c>
      <c r="I50" s="31" t="n">
        <v>2606537</v>
      </c>
      <c r="J50" s="31" t="inlineStr">
        <is>
          <t>532772</t>
        </is>
      </c>
    </row>
    <row r="51">
      <c r="A51" s="31" t="inlineStr">
        <is>
          <t>SARLAPOLY</t>
        </is>
      </c>
      <c r="B51" s="31" t="inlineStr">
        <is>
          <t>Sarla Performance Fibers Limited</t>
        </is>
      </c>
      <c r="C51" s="31" t="inlineStr">
        <is>
          <t>textiles</t>
        </is>
      </c>
      <c r="D51" s="31" t="inlineStr">
        <is>
          <t>textiles - spinning - synthetic / blended</t>
        </is>
      </c>
      <c r="E51" s="31" t="inlineStr">
        <is>
          <t>smallcap</t>
        </is>
      </c>
      <c r="F51" s="31" t="n">
        <v>829.27</v>
      </c>
      <c r="G51" s="31" t="n">
        <v>103.68</v>
      </c>
      <c r="H51" s="31" t="n">
        <v>4.4</v>
      </c>
      <c r="I51" s="31" t="n">
        <v>173427</v>
      </c>
      <c r="J51" s="31" t="inlineStr">
        <is>
          <t>526885</t>
        </is>
      </c>
    </row>
    <row r="52">
      <c r="A52" s="31" t="inlineStr">
        <is>
          <t>VISHNU</t>
        </is>
      </c>
      <c r="B52" s="31" t="inlineStr">
        <is>
          <t>Vishnu Chemicals Limited</t>
        </is>
      </c>
      <c r="C52" s="31" t="inlineStr">
        <is>
          <t>chemicals</t>
        </is>
      </c>
      <c r="D52" s="31" t="inlineStr">
        <is>
          <t>chemicals</t>
        </is>
      </c>
      <c r="E52" s="31" t="inlineStr">
        <is>
          <t>smallcap</t>
        </is>
      </c>
      <c r="F52" s="31" t="n">
        <v>4066.85</v>
      </c>
      <c r="G52" s="31" t="n">
        <v>630.5</v>
      </c>
      <c r="H52" s="31" t="n">
        <v>4.36</v>
      </c>
      <c r="I52" s="31" t="n">
        <v>133179</v>
      </c>
      <c r="J52" s="31" t="inlineStr">
        <is>
          <t>516072</t>
        </is>
      </c>
    </row>
    <row r="53">
      <c r="A53" s="31" t="inlineStr">
        <is>
          <t>BEPL</t>
        </is>
      </c>
      <c r="B53" s="31" t="inlineStr">
        <is>
          <t>Bhansali Engineering Polymers Limited</t>
        </is>
      </c>
      <c r="C53" s="31" t="inlineStr">
        <is>
          <t>energy</t>
        </is>
      </c>
      <c r="D53" s="31" t="inlineStr">
        <is>
          <t>petrochemicals</t>
        </is>
      </c>
      <c r="E53" s="31" t="inlineStr">
        <is>
          <t>smallcap</t>
        </is>
      </c>
      <c r="F53" s="31" t="n">
        <v>2443.29</v>
      </c>
      <c r="G53" s="31" t="n">
        <v>102.38</v>
      </c>
      <c r="H53" s="31" t="n">
        <v>4.28</v>
      </c>
      <c r="I53" s="31" t="n">
        <v>716761</v>
      </c>
      <c r="J53" s="31" t="inlineStr">
        <is>
          <t>500052</t>
        </is>
      </c>
    </row>
    <row r="54">
      <c r="A54" s="31" t="inlineStr">
        <is>
          <t>KMEW</t>
        </is>
      </c>
      <c r="B54" s="31" t="inlineStr">
        <is>
          <t>Knowledge Marine &amp; Engineering Works Ltd</t>
        </is>
      </c>
      <c r="C54" s="31" t="inlineStr">
        <is>
          <t>transportation</t>
        </is>
      </c>
      <c r="D54" s="31" t="inlineStr">
        <is>
          <t>miscellaneous</t>
        </is>
      </c>
      <c r="E54" s="31" t="inlineStr">
        <is>
          <t>midcap</t>
        </is>
      </c>
      <c r="F54" s="31" t="n">
        <v>5351.06</v>
      </c>
      <c r="G54" s="31" t="n">
        <v>2282.8</v>
      </c>
      <c r="H54" s="31" t="n">
        <v>4.28</v>
      </c>
      <c r="I54" s="31" t="n">
        <v>217827</v>
      </c>
      <c r="J54" s="31" t="inlineStr">
        <is>
          <t>543273</t>
        </is>
      </c>
    </row>
    <row r="55">
      <c r="A55" s="31" t="inlineStr">
        <is>
          <t>GPTHEALTH</t>
        </is>
      </c>
      <c r="B55" s="31" t="inlineStr">
        <is>
          <t>GPT Healthcare Ltd</t>
        </is>
      </c>
      <c r="C55" s="31" t="inlineStr">
        <is>
          <t>healthcare</t>
        </is>
      </c>
      <c r="D55" s="31" t="inlineStr">
        <is>
          <t>healthcare</t>
        </is>
      </c>
      <c r="E55" s="31" t="inlineStr">
        <is>
          <t>smallcap</t>
        </is>
      </c>
      <c r="F55" s="31" t="n">
        <v>1231.31</v>
      </c>
      <c r="G55" s="31" t="n">
        <v>156.47</v>
      </c>
      <c r="H55" s="31" t="n">
        <v>4.27</v>
      </c>
      <c r="I55" s="31" t="n">
        <v>333973</v>
      </c>
      <c r="J55" s="31" t="inlineStr">
        <is>
          <t>544131</t>
        </is>
      </c>
    </row>
    <row r="56">
      <c r="A56" s="31" t="inlineStr">
        <is>
          <t>KERNEX</t>
        </is>
      </c>
      <c r="B56" s="31" t="inlineStr">
        <is>
          <t>Kernex Microsystems (india) Limited</t>
        </is>
      </c>
      <c r="C56" s="31" t="inlineStr">
        <is>
          <t>consumer discretionary</t>
        </is>
      </c>
      <c r="D56" s="31" t="inlineStr">
        <is>
          <t>electronics - components</t>
        </is>
      </c>
      <c r="E56" s="31" t="inlineStr">
        <is>
          <t>smallcap</t>
        </is>
      </c>
      <c r="F56" s="31" t="n">
        <v>3853.8</v>
      </c>
      <c r="G56" s="31" t="n">
        <v>2389.1</v>
      </c>
      <c r="H56" s="31" t="n">
        <v>4.16</v>
      </c>
      <c r="I56" s="31" t="n">
        <v>383691</v>
      </c>
      <c r="J56" s="31" t="inlineStr">
        <is>
          <t>532686</t>
        </is>
      </c>
    </row>
    <row r="57">
      <c r="A57" s="31" t="inlineStr">
        <is>
          <t>SUYOG</t>
        </is>
      </c>
      <c r="B57" s="31" t="inlineStr">
        <is>
          <t>Suyog Telematics Ltd</t>
        </is>
      </c>
      <c r="C57" s="31" t="inlineStr">
        <is>
          <t>telecom</t>
        </is>
      </c>
      <c r="D57" s="31" t="inlineStr">
        <is>
          <t>transmisson line towers / equipment</t>
        </is>
      </c>
      <c r="E57" s="31" t="inlineStr">
        <is>
          <t>smallcap</t>
        </is>
      </c>
      <c r="F57" s="31" t="n">
        <v>982.0700000000001</v>
      </c>
      <c r="G57" s="31" t="n">
        <v>872.75</v>
      </c>
      <c r="H57" s="31" t="n">
        <v>4.13</v>
      </c>
      <c r="I57" s="31" t="n">
        <v>141978</v>
      </c>
      <c r="J57" s="31" t="inlineStr">
        <is>
          <t>537259</t>
        </is>
      </c>
    </row>
    <row r="58">
      <c r="A58" s="31" t="inlineStr">
        <is>
          <t>ABSLAMC</t>
        </is>
      </c>
      <c r="B58" s="31" t="inlineStr">
        <is>
          <t>Aditya Birla Sun Life AMC Ltd</t>
        </is>
      </c>
      <c r="C58" s="31" t="inlineStr">
        <is>
          <t>financials</t>
        </is>
      </c>
      <c r="D58" s="31" t="inlineStr">
        <is>
          <t>finance &amp; investments</t>
        </is>
      </c>
      <c r="E58" s="31" t="inlineStr">
        <is>
          <t>largecap</t>
        </is>
      </c>
      <c r="F58" s="31" t="n">
        <v>33056.76</v>
      </c>
      <c r="G58" s="31" t="n">
        <v>1191.3</v>
      </c>
      <c r="H58" s="31" t="n">
        <v>4.08</v>
      </c>
      <c r="I58" s="31" t="n">
        <v>260053</v>
      </c>
      <c r="J58" s="31" t="inlineStr">
        <is>
          <t>543374</t>
        </is>
      </c>
    </row>
    <row r="59">
      <c r="A59" s="31" t="inlineStr">
        <is>
          <t>MAHLOG</t>
        </is>
      </c>
      <c r="B59" s="31" t="inlineStr">
        <is>
          <t>Mahindra Logistics Ltd</t>
        </is>
      </c>
      <c r="C59" s="31" t="inlineStr">
        <is>
          <t>transportation</t>
        </is>
      </c>
      <c r="D59" s="31" t="inlineStr">
        <is>
          <t>miscellaneous</t>
        </is>
      </c>
      <c r="E59" s="31" t="inlineStr">
        <is>
          <t>smallcap</t>
        </is>
      </c>
      <c r="F59" s="31" t="n">
        <v>3685.12</v>
      </c>
      <c r="G59" s="31" t="n">
        <v>386.4</v>
      </c>
      <c r="H59" s="31" t="n">
        <v>4.04</v>
      </c>
      <c r="I59" s="31" t="n">
        <v>198057</v>
      </c>
      <c r="J59" s="31" t="inlineStr">
        <is>
          <t>540768</t>
        </is>
      </c>
    </row>
    <row r="60">
      <c r="A60" s="31" t="inlineStr">
        <is>
          <t>RUBYMILLS</t>
        </is>
      </c>
      <c r="B60" s="31" t="inlineStr">
        <is>
          <t>The Ruby Mills Limited</t>
        </is>
      </c>
      <c r="C60" s="31" t="inlineStr">
        <is>
          <t>textiles</t>
        </is>
      </c>
      <c r="D60" s="31" t="inlineStr">
        <is>
          <t>textiles - composite</t>
        </is>
      </c>
      <c r="E60" s="31" t="inlineStr">
        <is>
          <t>smallcap</t>
        </is>
      </c>
      <c r="F60" s="31" t="n">
        <v>1070.08</v>
      </c>
      <c r="G60" s="31" t="n">
        <v>332.9</v>
      </c>
      <c r="H60" s="31" t="n">
        <v>4.03</v>
      </c>
      <c r="I60" s="31" t="n">
        <v>8109</v>
      </c>
      <c r="J60" s="31" t="inlineStr">
        <is>
          <t>503169</t>
        </is>
      </c>
    </row>
    <row r="61">
      <c r="A61" s="31" t="inlineStr">
        <is>
          <t>INDOBORAX</t>
        </is>
      </c>
      <c r="B61" s="31" t="inlineStr">
        <is>
          <t>Indo Borax &amp; Chemicals Ltd</t>
        </is>
      </c>
      <c r="C61" s="31" t="inlineStr">
        <is>
          <t>chemicals</t>
        </is>
      </c>
      <c r="D61" s="31" t="inlineStr">
        <is>
          <t>chemicals</t>
        </is>
      </c>
      <c r="E61" s="31" t="inlineStr">
        <is>
          <t>smallcap</t>
        </is>
      </c>
      <c r="F61" s="31" t="n">
        <v>1208.19</v>
      </c>
      <c r="G61" s="31" t="n">
        <v>391.6</v>
      </c>
      <c r="H61" s="31" t="n">
        <v>4.01</v>
      </c>
      <c r="I61" s="31" t="n">
        <v>76550</v>
      </c>
      <c r="J61" s="31" t="inlineStr">
        <is>
          <t>524342</t>
        </is>
      </c>
    </row>
    <row r="62">
      <c r="A62" s="31" t="inlineStr">
        <is>
          <t>VERANDA</t>
        </is>
      </c>
      <c r="B62" s="31" t="inlineStr">
        <is>
          <t>Veranda Learning Solutions Ltd</t>
        </is>
      </c>
      <c r="C62" s="31" t="inlineStr">
        <is>
          <t>services</t>
        </is>
      </c>
      <c r="D62" s="31" t="inlineStr">
        <is>
          <t>miscellaneous</t>
        </is>
      </c>
      <c r="E62" s="31" t="inlineStr">
        <is>
          <t>smallcap</t>
        </is>
      </c>
      <c r="F62" s="31" t="n">
        <v>2284.7</v>
      </c>
      <c r="G62" s="31" t="n">
        <v>247.1</v>
      </c>
      <c r="H62" s="31" t="n">
        <v>4.01</v>
      </c>
      <c r="I62" s="31" t="n">
        <v>592459</v>
      </c>
      <c r="J62" s="31" t="inlineStr">
        <is>
          <t>543514</t>
        </is>
      </c>
    </row>
    <row r="63">
      <c r="A63" s="31" t="inlineStr">
        <is>
          <t>RPEL</t>
        </is>
      </c>
      <c r="B63" s="31" t="inlineStr">
        <is>
          <t>Raghav Productivity Enhancers Ltd</t>
        </is>
      </c>
      <c r="C63" s="31" t="inlineStr">
        <is>
          <t>building materials</t>
        </is>
      </c>
      <c r="D63" s="31" t="inlineStr">
        <is>
          <t>refractories / intermediates</t>
        </is>
      </c>
      <c r="E63" s="31" t="inlineStr">
        <is>
          <t>midcap</t>
        </is>
      </c>
      <c r="F63" s="31" t="n">
        <v>5716.96</v>
      </c>
      <c r="G63" s="31" t="n">
        <v>1294.9</v>
      </c>
      <c r="H63" s="31" t="n">
        <v>3.99</v>
      </c>
      <c r="I63" s="31" t="n">
        <v>143388</v>
      </c>
      <c r="J63" s="31" t="inlineStr">
        <is>
          <t>539837</t>
        </is>
      </c>
    </row>
    <row r="64">
      <c r="A64" s="31" t="inlineStr">
        <is>
          <t>BALRAMCHIN</t>
        </is>
      </c>
      <c r="B64" s="31" t="inlineStr">
        <is>
          <t>Balrampur Chini Mills Limited</t>
        </is>
      </c>
      <c r="C64" s="31" t="inlineStr">
        <is>
          <t>fmcg</t>
        </is>
      </c>
      <c r="D64" s="31" t="inlineStr">
        <is>
          <t>sugar</t>
        </is>
      </c>
      <c r="E64" s="31" t="inlineStr">
        <is>
          <t>midcap</t>
        </is>
      </c>
      <c r="F64" s="31" t="n">
        <v>11529.91</v>
      </c>
      <c r="G64" s="31" t="n">
        <v>567.2</v>
      </c>
      <c r="H64" s="31" t="n">
        <v>3.93</v>
      </c>
      <c r="I64" s="31" t="n">
        <v>673438</v>
      </c>
      <c r="J64" s="31" t="inlineStr">
        <is>
          <t>500038</t>
        </is>
      </c>
    </row>
    <row r="65">
      <c r="A65" s="31" t="inlineStr">
        <is>
          <t>SWANDEF</t>
        </is>
      </c>
      <c r="B65" s="31" t="inlineStr">
        <is>
          <t>Swan Defence and Heavy Industries Ltd</t>
        </is>
      </c>
      <c r="C65" s="31" t="inlineStr">
        <is>
          <t>transportation</t>
        </is>
      </c>
      <c r="D65" s="31" t="inlineStr">
        <is>
          <t>miscellaneous</t>
        </is>
      </c>
      <c r="E65" s="31" t="inlineStr">
        <is>
          <t>midcap</t>
        </is>
      </c>
      <c r="F65" s="31" t="n">
        <v>11881.93</v>
      </c>
      <c r="G65" s="31" t="n">
        <v>2343.8</v>
      </c>
      <c r="H65" s="31" t="n">
        <v>3.92</v>
      </c>
      <c r="I65" s="31" t="n">
        <v>34130</v>
      </c>
      <c r="J65" s="31" t="inlineStr">
        <is>
          <t>533107</t>
        </is>
      </c>
    </row>
    <row r="66">
      <c r="A66" s="31" t="inlineStr">
        <is>
          <t>KIRLOSIND</t>
        </is>
      </c>
      <c r="B66" s="31" t="inlineStr">
        <is>
          <t>Kirloskar Industries Limited</t>
        </is>
      </c>
      <c r="C66" s="31" t="inlineStr">
        <is>
          <t>financials</t>
        </is>
      </c>
      <c r="D66" s="31" t="inlineStr">
        <is>
          <t>finance &amp; investments</t>
        </is>
      </c>
      <c r="E66" s="31" t="inlineStr">
        <is>
          <t>smallcap</t>
        </is>
      </c>
      <c r="F66" s="31" t="n">
        <v>4144.27</v>
      </c>
      <c r="G66" s="31" t="n">
        <v>4097.2</v>
      </c>
      <c r="H66" s="31" t="n">
        <v>3.9</v>
      </c>
      <c r="I66" s="31" t="n">
        <v>21471</v>
      </c>
      <c r="J66" s="31" t="inlineStr">
        <is>
          <t>500243</t>
        </is>
      </c>
    </row>
    <row r="67">
      <c r="A67" s="31" t="inlineStr">
        <is>
          <t>ORBTEXP</t>
        </is>
      </c>
      <c r="B67" s="31" t="inlineStr">
        <is>
          <t>Orbit Exports Limited</t>
        </is>
      </c>
      <c r="C67" s="31" t="inlineStr">
        <is>
          <t>textiles</t>
        </is>
      </c>
      <c r="D67" s="31" t="inlineStr">
        <is>
          <t>textiles - processing</t>
        </is>
      </c>
      <c r="E67" s="31" t="inlineStr">
        <is>
          <t>smallcap</t>
        </is>
      </c>
      <c r="F67" s="31" t="n">
        <v>571.5</v>
      </c>
      <c r="G67" s="31" t="n">
        <v>223.97</v>
      </c>
      <c r="H67" s="31" t="n">
        <v>3.9</v>
      </c>
      <c r="I67" s="31" t="n">
        <v>7436</v>
      </c>
      <c r="J67" s="31" t="inlineStr">
        <is>
          <t>512626</t>
        </is>
      </c>
    </row>
    <row r="68">
      <c r="A68" s="31" t="inlineStr">
        <is>
          <t>TVSMOTOR</t>
        </is>
      </c>
      <c r="B68" s="31" t="inlineStr">
        <is>
          <t>Tvs Motor Company Limited</t>
        </is>
      </c>
      <c r="C68" s="31" t="inlineStr">
        <is>
          <t>auto</t>
        </is>
      </c>
      <c r="D68" s="31" t="inlineStr">
        <is>
          <t>automobiles - motorcycles / mopeds</t>
        </is>
      </c>
      <c r="E68" s="31" t="inlineStr">
        <is>
          <t>largecap</t>
        </is>
      </c>
      <c r="F68" s="31" t="n">
        <v>165995.44</v>
      </c>
      <c r="G68" s="31" t="n">
        <v>3626.8</v>
      </c>
      <c r="H68" s="31" t="n">
        <v>3.8</v>
      </c>
      <c r="I68" s="31" t="n">
        <v>1765456</v>
      </c>
      <c r="J68" s="31" t="inlineStr">
        <is>
          <t>532343</t>
        </is>
      </c>
    </row>
    <row r="69">
      <c r="A69" s="31" t="inlineStr">
        <is>
          <t>DEEPAKFERT</t>
        </is>
      </c>
      <c r="B69" s="31" t="inlineStr">
        <is>
          <t>Deepak Fertilizers And Petrochemicals Corporation Limited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largecap</t>
        </is>
      </c>
      <c r="F69" s="31" t="n">
        <v>20256.12</v>
      </c>
      <c r="G69" s="31" t="n">
        <v>1664.3</v>
      </c>
      <c r="H69" s="31" t="n">
        <v>3.72</v>
      </c>
      <c r="I69" s="31" t="n">
        <v>340171</v>
      </c>
      <c r="J69" s="31" t="inlineStr">
        <is>
          <t>500645</t>
        </is>
      </c>
    </row>
    <row r="70">
      <c r="A70" s="31" t="inlineStr">
        <is>
          <t>QUESS</t>
        </is>
      </c>
      <c r="B70" s="31" t="inlineStr">
        <is>
          <t>Quess Corp Limited</t>
        </is>
      </c>
      <c r="C70" s="31" t="inlineStr">
        <is>
          <t>miscellaneous</t>
        </is>
      </c>
      <c r="D70" s="31" t="inlineStr">
        <is>
          <t>diversified - large</t>
        </is>
      </c>
      <c r="E70" s="31" t="inlineStr">
        <is>
          <t>smallcap</t>
        </is>
      </c>
      <c r="F70" s="31" t="n">
        <v>4082.72</v>
      </c>
      <c r="G70" s="31" t="n">
        <v>283.55</v>
      </c>
      <c r="H70" s="31" t="n">
        <v>3.71</v>
      </c>
      <c r="I70" s="31" t="n">
        <v>1242878</v>
      </c>
      <c r="J70" s="31" t="inlineStr">
        <is>
          <t>539978</t>
        </is>
      </c>
    </row>
    <row r="71">
      <c r="A71" s="31" t="inlineStr">
        <is>
          <t>MACPOWER</t>
        </is>
      </c>
      <c r="B71" s="31" t="inlineStr">
        <is>
          <t>Macpower CNC Machines Ltd</t>
        </is>
      </c>
      <c r="C71" s="31" t="inlineStr">
        <is>
          <t>industrials</t>
        </is>
      </c>
      <c r="D71" s="31" t="inlineStr">
        <is>
          <t>engineering</t>
        </is>
      </c>
      <c r="E71" s="31" t="inlineStr">
        <is>
          <t>midcap</t>
        </is>
      </c>
      <c r="F71" s="31" t="n">
        <v>11241.23</v>
      </c>
      <c r="G71" s="31" t="n">
        <v>1393.5</v>
      </c>
      <c r="H71" s="31" t="n">
        <v>3.69</v>
      </c>
      <c r="I71" s="31" t="n">
        <v>68871</v>
      </c>
      <c r="J71" s="31" t="inlineStr">
        <is>
          <t>535057</t>
        </is>
      </c>
    </row>
    <row r="72">
      <c r="A72" s="31" t="inlineStr">
        <is>
          <t>TRIVENI</t>
        </is>
      </c>
      <c r="B72" s="31" t="inlineStr">
        <is>
          <t>Triveni Engineering &amp; Industries Limited</t>
        </is>
      </c>
      <c r="C72" s="31" t="inlineStr">
        <is>
          <t>fmcg</t>
        </is>
      </c>
      <c r="D72" s="31" t="inlineStr">
        <is>
          <t>sugar</t>
        </is>
      </c>
      <c r="E72" s="31" t="inlineStr">
        <is>
          <t>midcap</t>
        </is>
      </c>
      <c r="F72" s="31" t="n">
        <v>9888.719999999999</v>
      </c>
      <c r="G72" s="31" t="n">
        <v>468.3</v>
      </c>
      <c r="H72" s="31" t="n">
        <v>3.66</v>
      </c>
      <c r="I72" s="31" t="n">
        <v>1491784</v>
      </c>
      <c r="J72" s="31" t="inlineStr">
        <is>
          <t>532356</t>
        </is>
      </c>
    </row>
    <row r="73">
      <c r="A73" s="31" t="inlineStr">
        <is>
          <t>MAYURUNIQ</t>
        </is>
      </c>
      <c r="B73" s="31" t="inlineStr">
        <is>
          <t>Mayur Uniquoters Ltd</t>
        </is>
      </c>
      <c r="C73" s="31" t="inlineStr">
        <is>
          <t>consumer discretionary</t>
        </is>
      </c>
      <c r="D73" s="31" t="inlineStr">
        <is>
          <t>leather / leather products</t>
        </is>
      </c>
      <c r="E73" s="31" t="inlineStr">
        <is>
          <t>smallcap</t>
        </is>
      </c>
      <c r="F73" s="31" t="n">
        <v>3699.99</v>
      </c>
      <c r="G73" s="31" t="n">
        <v>882.65</v>
      </c>
      <c r="H73" s="31" t="n">
        <v>3.66</v>
      </c>
      <c r="I73" s="31" t="n">
        <v>198073</v>
      </c>
      <c r="J73" s="31" t="inlineStr">
        <is>
          <t>522249</t>
        </is>
      </c>
    </row>
    <row r="74">
      <c r="A74" s="31" t="inlineStr">
        <is>
          <t>JAMNAAUTO</t>
        </is>
      </c>
      <c r="B74" s="31" t="inlineStr">
        <is>
          <t>Jamna Auto Industries Limited</t>
        </is>
      </c>
      <c r="C74" s="31" t="inlineStr">
        <is>
          <t>auto</t>
        </is>
      </c>
      <c r="D74" s="31" t="inlineStr">
        <is>
          <t>auto ancillaries</t>
        </is>
      </c>
      <c r="E74" s="31" t="inlineStr">
        <is>
          <t>midcap</t>
        </is>
      </c>
      <c r="F74" s="31" t="n">
        <v>5379.71</v>
      </c>
      <c r="G74" s="31" t="n">
        <v>139.46</v>
      </c>
      <c r="H74" s="31" t="n">
        <v>3.62</v>
      </c>
      <c r="I74" s="31" t="n">
        <v>5572207</v>
      </c>
      <c r="J74" s="31" t="inlineStr">
        <is>
          <t>520051</t>
        </is>
      </c>
    </row>
    <row r="75">
      <c r="A75" s="31" t="inlineStr">
        <is>
          <t>SFL</t>
        </is>
      </c>
      <c r="B75" s="31" t="inlineStr">
        <is>
          <t>Sheela Foam Limited</t>
        </is>
      </c>
      <c r="C75" s="31" t="inlineStr">
        <is>
          <t>consumer discretionary</t>
        </is>
      </c>
      <c r="D75" s="31" t="inlineStr">
        <is>
          <t>miscellaneous</t>
        </is>
      </c>
      <c r="E75" s="31" t="inlineStr">
        <is>
          <t>midcap</t>
        </is>
      </c>
      <c r="F75" s="31" t="n">
        <v>8010.9</v>
      </c>
      <c r="G75" s="31" t="n">
        <v>763</v>
      </c>
      <c r="H75" s="31" t="n">
        <v>3.54</v>
      </c>
      <c r="I75" s="31" t="n">
        <v>274876</v>
      </c>
      <c r="J75" s="31" t="inlineStr">
        <is>
          <t>540203</t>
        </is>
      </c>
    </row>
    <row r="76">
      <c r="A76" s="31" t="inlineStr">
        <is>
          <t>APCOTEXIND</t>
        </is>
      </c>
      <c r="B76" s="31" t="inlineStr">
        <is>
          <t>Apcotex Industries Limited</t>
        </is>
      </c>
      <c r="C76" s="31" t="inlineStr">
        <is>
          <t>chemicals</t>
        </is>
      </c>
      <c r="D76" s="31" t="inlineStr">
        <is>
          <t>miscellaneous</t>
        </is>
      </c>
      <c r="E76" s="31" t="inlineStr">
        <is>
          <t>smallcap</t>
        </is>
      </c>
      <c r="F76" s="31" t="n">
        <v>2629.58</v>
      </c>
      <c r="G76" s="31" t="n">
        <v>525</v>
      </c>
      <c r="H76" s="31" t="n">
        <v>3.51</v>
      </c>
      <c r="I76" s="31" t="n">
        <v>94963</v>
      </c>
      <c r="J76" s="31" t="inlineStr">
        <is>
          <t>523694</t>
        </is>
      </c>
    </row>
    <row r="77">
      <c r="A77" s="31" t="inlineStr">
        <is>
          <t>ACUTAAS</t>
        </is>
      </c>
      <c r="B77" s="31" t="inlineStr">
        <is>
          <t>Acutaas Chemicals Ltd</t>
        </is>
      </c>
      <c r="C77" s="31" t="inlineStr">
        <is>
          <t>healthcare</t>
        </is>
      </c>
      <c r="D77" s="31" t="inlineStr">
        <is>
          <t>pharmaceuticals - indian - bulk drugs</t>
        </is>
      </c>
      <c r="E77" s="31" t="inlineStr">
        <is>
          <t>largecap</t>
        </is>
      </c>
      <c r="F77" s="31" t="n">
        <v>29207.52</v>
      </c>
      <c r="G77" s="31" t="n">
        <v>3691.8</v>
      </c>
      <c r="H77" s="31" t="n">
        <v>3.48</v>
      </c>
      <c r="I77" s="31" t="n">
        <v>402275</v>
      </c>
      <c r="J77" s="31" t="inlineStr">
        <is>
          <t>543349</t>
        </is>
      </c>
    </row>
    <row r="78">
      <c r="A78" s="31" t="inlineStr">
        <is>
          <t>AADHARHFC</t>
        </is>
      </c>
      <c r="B78" s="31" t="inlineStr">
        <is>
          <t>Aadhar Housing Finance Ltd</t>
        </is>
      </c>
      <c r="C78" s="31" t="inlineStr">
        <is>
          <t>financials</t>
        </is>
      </c>
      <c r="D78" s="31" t="inlineStr">
        <is>
          <t>finance - housing</t>
        </is>
      </c>
      <c r="E78" s="31" t="inlineStr">
        <is>
          <t>largecap</t>
        </is>
      </c>
      <c r="F78" s="31" t="n">
        <v>22558.56</v>
      </c>
      <c r="G78" s="31" t="n">
        <v>535.7</v>
      </c>
      <c r="H78" s="31" t="n">
        <v>3.47</v>
      </c>
      <c r="I78" s="31" t="n">
        <v>1367969</v>
      </c>
      <c r="J78" s="31" t="inlineStr">
        <is>
          <t>544176</t>
        </is>
      </c>
    </row>
    <row r="79">
      <c r="A79" s="31" t="inlineStr">
        <is>
          <t>AETHER</t>
        </is>
      </c>
      <c r="B79" s="31" t="inlineStr">
        <is>
          <t>Aether Industries Ltd</t>
        </is>
      </c>
      <c r="C79" s="31" t="inlineStr">
        <is>
          <t>chemicals</t>
        </is>
      </c>
      <c r="D79" s="31" t="inlineStr">
        <is>
          <t>chemicals</t>
        </is>
      </c>
      <c r="E79" s="31" t="inlineStr">
        <is>
          <t>midcap</t>
        </is>
      </c>
      <c r="F79" s="31" t="n">
        <v>17605.29</v>
      </c>
      <c r="G79" s="31" t="n">
        <v>1372.4</v>
      </c>
      <c r="H79" s="31" t="n">
        <v>3.43</v>
      </c>
      <c r="I79" s="31" t="n">
        <v>456848</v>
      </c>
      <c r="J79" s="31" t="inlineStr">
        <is>
          <t>543534</t>
        </is>
      </c>
    </row>
    <row r="80">
      <c r="A80" s="31" t="inlineStr">
        <is>
          <t>NRL</t>
        </is>
      </c>
      <c r="B80" s="31" t="inlineStr">
        <is>
          <t>Nupur Recyclers Ltd</t>
        </is>
      </c>
      <c r="C80" s="31" t="inlineStr">
        <is>
          <t>services</t>
        </is>
      </c>
      <c r="D80" s="31" t="inlineStr">
        <is>
          <t>trading</t>
        </is>
      </c>
      <c r="E80" s="31" t="inlineStr">
        <is>
          <t>smallcap</t>
        </is>
      </c>
      <c r="F80" s="31" t="n">
        <v>589.16</v>
      </c>
      <c r="G80" s="31" t="n">
        <v>88.2</v>
      </c>
      <c r="H80" s="31" t="n">
        <v>3.4</v>
      </c>
      <c r="I80" s="31" t="n">
        <v>132757</v>
      </c>
      <c r="J80" s="31" t="inlineStr">
        <is>
          <t>535413</t>
        </is>
      </c>
    </row>
    <row r="81">
      <c r="A81" s="31" t="inlineStr">
        <is>
          <t>POONAWALLA</t>
        </is>
      </c>
      <c r="B81" s="31" t="inlineStr">
        <is>
          <t>Poonawalla Fincorp Ltd</t>
        </is>
      </c>
      <c r="C81" s="31" t="inlineStr">
        <is>
          <t>financials</t>
        </is>
      </c>
      <c r="D81" s="31" t="inlineStr">
        <is>
          <t>finance &amp; investments</t>
        </is>
      </c>
      <c r="E81" s="31" t="inlineStr">
        <is>
          <t>largecap</t>
        </is>
      </c>
      <c r="F81" s="31" t="n">
        <v>38920.19</v>
      </c>
      <c r="G81" s="31" t="n">
        <v>456.9</v>
      </c>
      <c r="H81" s="31" t="n">
        <v>3.34</v>
      </c>
      <c r="I81" s="31" t="n">
        <v>2003328</v>
      </c>
      <c r="J81" s="31" t="inlineStr">
        <is>
          <t>524000</t>
        </is>
      </c>
    </row>
    <row r="82">
      <c r="A82" s="31" t="inlineStr">
        <is>
          <t>TVSSRICHAK</t>
        </is>
      </c>
      <c r="B82" s="31" t="inlineStr">
        <is>
          <t>Tvs Srichakra Limited</t>
        </is>
      </c>
      <c r="C82" s="31" t="inlineStr">
        <is>
          <t>auto</t>
        </is>
      </c>
      <c r="D82" s="31" t="inlineStr">
        <is>
          <t>tyres</t>
        </is>
      </c>
      <c r="E82" s="31" t="inlineStr">
        <is>
          <t>smallcap</t>
        </is>
      </c>
      <c r="F82" s="31" t="n">
        <v>3206.24</v>
      </c>
      <c r="G82" s="31" t="n">
        <v>4327.3</v>
      </c>
      <c r="H82" s="31" t="n">
        <v>3.34</v>
      </c>
      <c r="I82" s="31" t="n">
        <v>14004</v>
      </c>
      <c r="J82" s="31" t="inlineStr">
        <is>
          <t>509243</t>
        </is>
      </c>
    </row>
    <row r="83">
      <c r="A83" s="31" t="inlineStr">
        <is>
          <t>NRBBEARING</t>
        </is>
      </c>
      <c r="B83" s="31" t="inlineStr">
        <is>
          <t>Nrb Bearing Limited</t>
        </is>
      </c>
      <c r="C83" s="31" t="inlineStr">
        <is>
          <t>industrials</t>
        </is>
      </c>
      <c r="D83" s="31" t="inlineStr">
        <is>
          <t>bearings</t>
        </is>
      </c>
      <c r="E83" s="31" t="inlineStr">
        <is>
          <t>smallcap</t>
        </is>
      </c>
      <c r="F83" s="31" t="n">
        <v>4106.13</v>
      </c>
      <c r="G83" s="31" t="n">
        <v>437.8</v>
      </c>
      <c r="H83" s="31" t="n">
        <v>3.34</v>
      </c>
      <c r="I83" s="31" t="n">
        <v>438618</v>
      </c>
      <c r="J83" s="31" t="inlineStr">
        <is>
          <t>530367</t>
        </is>
      </c>
    </row>
    <row r="84">
      <c r="A84" s="31" t="inlineStr">
        <is>
          <t>GATEWAY</t>
        </is>
      </c>
      <c r="B84" s="31" t="inlineStr">
        <is>
          <t>Gateway Distriparks Ltd</t>
        </is>
      </c>
      <c r="C84" s="31" t="inlineStr">
        <is>
          <t>transportation</t>
        </is>
      </c>
      <c r="D84" s="31" t="inlineStr">
        <is>
          <t>miscellaneous</t>
        </is>
      </c>
      <c r="E84" s="31" t="inlineStr">
        <is>
          <t>smallcap</t>
        </is>
      </c>
      <c r="F84" s="31" t="n">
        <v>2969.38</v>
      </c>
      <c r="G84" s="31" t="n">
        <v>61.41</v>
      </c>
      <c r="H84" s="31" t="n">
        <v>3.33</v>
      </c>
      <c r="I84" s="31" t="n">
        <v>1258141</v>
      </c>
      <c r="J84" s="31" t="inlineStr">
        <is>
          <t>543489</t>
        </is>
      </c>
    </row>
    <row r="85">
      <c r="A85" s="31" t="inlineStr">
        <is>
          <t>OBEROIRLTY</t>
        </is>
      </c>
      <c r="B85" s="31" t="inlineStr">
        <is>
          <t>Oberoi Realty Limited</t>
        </is>
      </c>
      <c r="C85" s="31" t="inlineStr">
        <is>
          <t>realty</t>
        </is>
      </c>
      <c r="D85" s="31" t="inlineStr">
        <is>
          <t>construction</t>
        </is>
      </c>
      <c r="E85" s="31" t="inlineStr">
        <is>
          <t>largecap</t>
        </is>
      </c>
      <c r="F85" s="31" t="n">
        <v>65615.66</v>
      </c>
      <c r="G85" s="31" t="n">
        <v>1864.7</v>
      </c>
      <c r="H85" s="31" t="n">
        <v>3.33</v>
      </c>
      <c r="I85" s="31" t="n">
        <v>1203888</v>
      </c>
      <c r="J85" s="31" t="inlineStr">
        <is>
          <t>533273</t>
        </is>
      </c>
    </row>
    <row r="86">
      <c r="A86" s="31" t="inlineStr">
        <is>
          <t>CIEINDIA</t>
        </is>
      </c>
      <c r="B86" s="31" t="inlineStr">
        <is>
          <t>CIE Automotive India Ltd</t>
        </is>
      </c>
      <c r="C86" s="31" t="inlineStr">
        <is>
          <t>industrials</t>
        </is>
      </c>
      <c r="D86" s="31" t="inlineStr">
        <is>
          <t>castings &amp; forgings</t>
        </is>
      </c>
      <c r="E86" s="31" t="inlineStr">
        <is>
          <t>midcap</t>
        </is>
      </c>
      <c r="F86" s="31" t="n">
        <v>17408.94</v>
      </c>
      <c r="G86" s="31" t="n">
        <v>474.15</v>
      </c>
      <c r="H86" s="31" t="n">
        <v>3.32</v>
      </c>
      <c r="I86" s="31" t="n">
        <v>282004</v>
      </c>
      <c r="J86" s="31" t="inlineStr">
        <is>
          <t>532756</t>
        </is>
      </c>
    </row>
    <row r="87">
      <c r="A87" s="31" t="inlineStr">
        <is>
          <t>SATIN</t>
        </is>
      </c>
      <c r="B87" s="31" t="inlineStr">
        <is>
          <t>Satin Creditcare Network Limited</t>
        </is>
      </c>
      <c r="C87" s="31" t="inlineStr">
        <is>
          <t>financials</t>
        </is>
      </c>
      <c r="D87" s="31" t="inlineStr">
        <is>
          <t>finance &amp; investments</t>
        </is>
      </c>
      <c r="E87" s="31" t="inlineStr">
        <is>
          <t>smallcap</t>
        </is>
      </c>
      <c r="F87" s="31" t="n">
        <v>2779.78</v>
      </c>
      <c r="G87" s="31" t="n">
        <v>259.68</v>
      </c>
      <c r="H87" s="31" t="n">
        <v>3.2</v>
      </c>
      <c r="I87" s="31" t="n">
        <v>955416</v>
      </c>
      <c r="J87" s="31" t="inlineStr">
        <is>
          <t>539404</t>
        </is>
      </c>
    </row>
    <row r="88">
      <c r="A88" s="31" t="inlineStr">
        <is>
          <t>TVSHLTD</t>
        </is>
      </c>
      <c r="B88" s="31" t="inlineStr">
        <is>
          <t>TVS Holdings Ltd</t>
        </is>
      </c>
      <c r="C88" s="31" t="inlineStr">
        <is>
          <t>financials</t>
        </is>
      </c>
      <c r="D88" s="31" t="inlineStr">
        <is>
          <t>finance &amp; investments</t>
        </is>
      </c>
      <c r="E88" s="31" t="inlineStr">
        <is>
          <t>largecap</t>
        </is>
      </c>
      <c r="F88" s="31" t="n">
        <v>27815.1</v>
      </c>
      <c r="G88" s="31" t="n">
        <v>14178</v>
      </c>
      <c r="H88" s="31" t="n">
        <v>3.13</v>
      </c>
      <c r="I88" s="31" t="n">
        <v>6712</v>
      </c>
      <c r="J88" s="31" t="inlineStr">
        <is>
          <t>520056</t>
        </is>
      </c>
    </row>
    <row r="89">
      <c r="A89" s="31" t="inlineStr">
        <is>
          <t>BFINVEST</t>
        </is>
      </c>
      <c r="B89" s="31" t="inlineStr">
        <is>
          <t>Bf Investment Limited</t>
        </is>
      </c>
      <c r="C89" s="31" t="inlineStr">
        <is>
          <t>financials</t>
        </is>
      </c>
      <c r="D89" s="31" t="inlineStr">
        <is>
          <t>finance &amp; investments</t>
        </is>
      </c>
      <c r="E89" s="31" t="inlineStr">
        <is>
          <t>smallcap</t>
        </is>
      </c>
      <c r="F89" s="31" t="n">
        <v>1682.99</v>
      </c>
      <c r="G89" s="31" t="n">
        <v>460.75</v>
      </c>
      <c r="H89" s="31" t="n">
        <v>3.12</v>
      </c>
      <c r="I89" s="31" t="n">
        <v>37623</v>
      </c>
      <c r="J89" s="31" t="inlineStr">
        <is>
          <t>533303</t>
        </is>
      </c>
    </row>
    <row r="90">
      <c r="A90" s="31" t="inlineStr">
        <is>
          <t>QUADFUTURE</t>
        </is>
      </c>
      <c r="B90" s="31" t="inlineStr">
        <is>
          <t>Quadrant Future Tek Ltd</t>
        </is>
      </c>
      <c r="C90" s="31" t="inlineStr">
        <is>
          <t>industrials</t>
        </is>
      </c>
      <c r="D90" s="31" t="inlineStr">
        <is>
          <t>cables - power</t>
        </is>
      </c>
      <c r="E90" s="31" t="inlineStr">
        <is>
          <t>smallcap</t>
        </is>
      </c>
      <c r="F90" s="31" t="n">
        <v>1769</v>
      </c>
      <c r="G90" s="31" t="n">
        <v>456</v>
      </c>
      <c r="H90" s="31" t="n">
        <v>3.11</v>
      </c>
      <c r="I90" s="31" t="n">
        <v>278158</v>
      </c>
      <c r="J90" s="31" t="inlineStr">
        <is>
          <t>544336</t>
        </is>
      </c>
    </row>
    <row r="91">
      <c r="A91" s="31" t="inlineStr">
        <is>
          <t>MASFIN</t>
        </is>
      </c>
      <c r="B91" s="31" t="inlineStr">
        <is>
          <t>MAS Financial Services Ltd</t>
        </is>
      </c>
      <c r="C91" s="31" t="inlineStr">
        <is>
          <t>financials</t>
        </is>
      </c>
      <c r="D91" s="31" t="inlineStr">
        <is>
          <t>finance &amp; investments</t>
        </is>
      </c>
      <c r="E91" s="31" t="inlineStr">
        <is>
          <t>midcap</t>
        </is>
      </c>
      <c r="F91" s="31" t="n">
        <v>5622.33</v>
      </c>
      <c r="G91" s="31" t="n">
        <v>319.5</v>
      </c>
      <c r="H91" s="31" t="n">
        <v>3.11</v>
      </c>
      <c r="I91" s="31" t="n">
        <v>282301</v>
      </c>
      <c r="J91" s="31" t="inlineStr">
        <is>
          <t>540749</t>
        </is>
      </c>
    </row>
    <row r="92">
      <c r="A92" s="31" t="inlineStr">
        <is>
          <t>EXICOM</t>
        </is>
      </c>
      <c r="B92" s="31" t="inlineStr">
        <is>
          <t>Exicom Tele-Systems Ltd</t>
        </is>
      </c>
      <c r="C92" s="31" t="inlineStr">
        <is>
          <t>industrials</t>
        </is>
      </c>
      <c r="D92" s="31" t="inlineStr">
        <is>
          <t>electric equipment</t>
        </is>
      </c>
      <c r="E92" s="31" t="inlineStr">
        <is>
          <t>smallcap</t>
        </is>
      </c>
      <c r="F92" s="31" t="n">
        <v>2316.23</v>
      </c>
      <c r="G92" s="31" t="n">
        <v>171.68</v>
      </c>
      <c r="H92" s="31" t="n">
        <v>3.09</v>
      </c>
      <c r="I92" s="31" t="n">
        <v>4238794</v>
      </c>
      <c r="J92" s="31" t="inlineStr">
        <is>
          <t>544133</t>
        </is>
      </c>
    </row>
    <row r="93">
      <c r="A93" s="31" t="inlineStr">
        <is>
          <t>AARTIIND</t>
        </is>
      </c>
      <c r="B93" s="31" t="inlineStr">
        <is>
          <t>Aarti Industries Limited</t>
        </is>
      </c>
      <c r="C93" s="31" t="inlineStr">
        <is>
          <t>chemicals</t>
        </is>
      </c>
      <c r="D93" s="31" t="inlineStr">
        <is>
          <t>chemicals</t>
        </is>
      </c>
      <c r="E93" s="31" t="inlineStr">
        <is>
          <t>midcap</t>
        </is>
      </c>
      <c r="F93" s="31" t="n">
        <v>16954.91</v>
      </c>
      <c r="G93" s="31" t="n">
        <v>482.05</v>
      </c>
      <c r="H93" s="31" t="n">
        <v>3.09</v>
      </c>
      <c r="I93" s="31" t="n">
        <v>1032420</v>
      </c>
      <c r="J93" s="31" t="inlineStr">
        <is>
          <t>524208</t>
        </is>
      </c>
    </row>
    <row r="94">
      <c r="A94" s="31" t="inlineStr">
        <is>
          <t>UNIMECH</t>
        </is>
      </c>
      <c r="B94" s="31" t="inlineStr">
        <is>
          <t>Unimech Aerospace and Manufacturing Ltd</t>
        </is>
      </c>
      <c r="C94" s="31" t="inlineStr">
        <is>
          <t>aerospace &amp; defence</t>
        </is>
      </c>
      <c r="D94" s="31" t="inlineStr">
        <is>
          <t>engineering</t>
        </is>
      </c>
      <c r="E94" s="31" t="inlineStr">
        <is>
          <t>midcap</t>
        </is>
      </c>
      <c r="F94" s="31" t="n">
        <v>5819.55</v>
      </c>
      <c r="G94" s="31" t="n">
        <v>1179</v>
      </c>
      <c r="H94" s="31" t="n">
        <v>3.03</v>
      </c>
      <c r="I94" s="31" t="n">
        <v>190565</v>
      </c>
      <c r="J94" s="31" t="inlineStr">
        <is>
          <t>544322</t>
        </is>
      </c>
    </row>
    <row r="95">
      <c r="A95" s="31" t="inlineStr">
        <is>
          <t>ADOR</t>
        </is>
      </c>
      <c r="B95" s="31" t="inlineStr">
        <is>
          <t>Ador Welding Ltd</t>
        </is>
      </c>
      <c r="C95" s="31" t="inlineStr">
        <is>
          <t>industrials</t>
        </is>
      </c>
      <c r="D95" s="31" t="inlineStr">
        <is>
          <t>electrodes - welding equipment</t>
        </is>
      </c>
      <c r="E95" s="31" t="inlineStr">
        <is>
          <t>smallcap</t>
        </is>
      </c>
      <c r="F95" s="31" t="n">
        <v>2172.57</v>
      </c>
      <c r="G95" s="31" t="n">
        <v>1286.1</v>
      </c>
      <c r="H95" s="31" t="n">
        <v>3.02</v>
      </c>
      <c r="I95" s="31" t="n">
        <v>24908</v>
      </c>
      <c r="J95" s="31" t="inlineStr">
        <is>
          <t>517041</t>
        </is>
      </c>
    </row>
    <row r="96">
      <c r="A96" s="31" t="inlineStr">
        <is>
          <t>NINSYS</t>
        </is>
      </c>
      <c r="B96" s="31" t="inlineStr">
        <is>
          <t>NINtec Systems Ltd</t>
        </is>
      </c>
      <c r="C96" s="31" t="inlineStr">
        <is>
          <t>i.t</t>
        </is>
      </c>
      <c r="D96" s="31" t="inlineStr">
        <is>
          <t>computers - software - medium / small</t>
        </is>
      </c>
      <c r="E96" s="31" t="inlineStr">
        <is>
          <t>smallcap</t>
        </is>
      </c>
      <c r="F96" s="31" t="n">
        <v>1559.73</v>
      </c>
      <c r="G96" s="31" t="n">
        <v>865</v>
      </c>
      <c r="H96" s="31" t="n">
        <v>3.02</v>
      </c>
      <c r="I96" s="31" t="n">
        <v>7602</v>
      </c>
      <c r="J96" s="31" t="inlineStr">
        <is>
          <t>539843</t>
        </is>
      </c>
    </row>
    <row r="97">
      <c r="A97" s="31" t="inlineStr">
        <is>
          <t>VARROC</t>
        </is>
      </c>
      <c r="B97" s="31" t="inlineStr">
        <is>
          <t>Varroc Engineering Ltd</t>
        </is>
      </c>
      <c r="C97" s="31" t="inlineStr">
        <is>
          <t>auto</t>
        </is>
      </c>
      <c r="D97" s="31" t="inlineStr">
        <is>
          <t>auto ancillaries</t>
        </is>
      </c>
      <c r="E97" s="31" t="inlineStr">
        <is>
          <t>midcap</t>
        </is>
      </c>
      <c r="F97" s="31" t="n">
        <v>9734.790000000001</v>
      </c>
      <c r="G97" s="31" t="n">
        <v>656.3</v>
      </c>
      <c r="H97" s="31" t="n">
        <v>3.01</v>
      </c>
      <c r="I97" s="31" t="n">
        <v>240405</v>
      </c>
      <c r="J97" s="31" t="inlineStr">
        <is>
          <t>541578</t>
        </is>
      </c>
    </row>
    <row r="98">
      <c r="A98" s="31" t="inlineStr">
        <is>
          <t>PRESTIGE</t>
        </is>
      </c>
      <c r="B98" s="31" t="inlineStr">
        <is>
          <t>Prestige Estates Projects Limited</t>
        </is>
      </c>
      <c r="C98" s="31" t="inlineStr">
        <is>
          <t>realty</t>
        </is>
      </c>
      <c r="D98" s="31" t="inlineStr">
        <is>
          <t>construction</t>
        </is>
      </c>
      <c r="E98" s="31" t="inlineStr">
        <is>
          <t>largecap</t>
        </is>
      </c>
      <c r="F98" s="31" t="n">
        <v>70006.58</v>
      </c>
      <c r="G98" s="31" t="n">
        <v>1674.1</v>
      </c>
      <c r="H98" s="31" t="n">
        <v>3</v>
      </c>
      <c r="I98" s="31" t="n">
        <v>1774104</v>
      </c>
      <c r="J98" s="31" t="inlineStr">
        <is>
          <t>533274</t>
        </is>
      </c>
    </row>
    <row r="99">
      <c r="A99" s="31" t="inlineStr">
        <is>
          <t>ADFFOODS</t>
        </is>
      </c>
      <c r="B99" s="31" t="inlineStr">
        <is>
          <t>Adf Foods Limited</t>
        </is>
      </c>
      <c r="C99" s="31" t="inlineStr">
        <is>
          <t>fmcg</t>
        </is>
      </c>
      <c r="D99" s="31" t="inlineStr">
        <is>
          <t>food - processing - indian</t>
        </is>
      </c>
      <c r="E99" s="31" t="inlineStr">
        <is>
          <t>smallcap</t>
        </is>
      </c>
      <c r="F99" s="31" t="n">
        <v>3382.15</v>
      </c>
      <c r="G99" s="31" t="n">
        <v>317.1</v>
      </c>
      <c r="H99" s="31" t="n">
        <v>3</v>
      </c>
      <c r="I99" s="31" t="n">
        <v>15187964</v>
      </c>
      <c r="J99" s="31" t="inlineStr">
        <is>
          <t>519183</t>
        </is>
      </c>
    </row>
    <row r="100">
      <c r="A100" s="31" t="inlineStr">
        <is>
          <t>STAR</t>
        </is>
      </c>
      <c r="B100" s="31" t="inlineStr">
        <is>
          <t>Strides Shasun Limited</t>
        </is>
      </c>
      <c r="C100" s="31" t="inlineStr">
        <is>
          <t>healthcare</t>
        </is>
      </c>
      <c r="D100" s="31" t="inlineStr">
        <is>
          <t>pharmaceuticals - indian - bulk drugs &amp; formln</t>
        </is>
      </c>
      <c r="E100" s="31" t="inlineStr">
        <is>
          <t>midcap</t>
        </is>
      </c>
      <c r="F100" s="31" t="n">
        <v>10084.62</v>
      </c>
      <c r="G100" s="31" t="n">
        <v>1126.4</v>
      </c>
      <c r="H100" s="31" t="n">
        <v>2.95</v>
      </c>
      <c r="I100" s="31" t="n">
        <v>186169</v>
      </c>
      <c r="J100" s="31" t="inlineStr">
        <is>
          <t>532531</t>
        </is>
      </c>
    </row>
    <row r="101">
      <c r="A101" s="31" t="inlineStr">
        <is>
          <t>SURYODAY</t>
        </is>
      </c>
      <c r="B101" s="31" t="inlineStr">
        <is>
          <t>Suryoday Small Finance Bank Ltd</t>
        </is>
      </c>
      <c r="C101" s="31" t="inlineStr">
        <is>
          <t>bank</t>
        </is>
      </c>
      <c r="D101" s="31" t="inlineStr">
        <is>
          <t>banks - private sector</t>
        </is>
      </c>
      <c r="E101" s="31" t="inlineStr">
        <is>
          <t>smallcap</t>
        </is>
      </c>
      <c r="F101" s="31" t="n">
        <v>1897.38</v>
      </c>
      <c r="G101" s="31" t="n">
        <v>183.7</v>
      </c>
      <c r="H101" s="31" t="n">
        <v>2.91</v>
      </c>
      <c r="I101" s="31" t="n">
        <v>1104756</v>
      </c>
      <c r="J101" s="31" t="inlineStr">
        <is>
          <t>543279</t>
        </is>
      </c>
    </row>
    <row r="102">
      <c r="A102" s="31" t="inlineStr">
        <is>
          <t>TIPSMUSIC</t>
        </is>
      </c>
      <c r="B102" s="31" t="inlineStr">
        <is>
          <t>Tips Music Ltd</t>
        </is>
      </c>
      <c r="C102" s="31" t="inlineStr">
        <is>
          <t>media</t>
        </is>
      </c>
      <c r="D102" s="31" t="inlineStr">
        <is>
          <t>entertainment / electronic media software</t>
        </is>
      </c>
      <c r="E102" s="31" t="inlineStr">
        <is>
          <t>midcap</t>
        </is>
      </c>
      <c r="F102" s="31" t="n">
        <v>8410.68</v>
      </c>
      <c r="G102" s="31" t="n">
        <v>677.1</v>
      </c>
      <c r="H102" s="31" t="n">
        <v>2.91</v>
      </c>
      <c r="I102" s="31" t="n">
        <v>552506</v>
      </c>
      <c r="J102" s="31" t="inlineStr">
        <is>
          <t>532375</t>
        </is>
      </c>
    </row>
    <row r="103">
      <c r="A103" s="31" t="inlineStr">
        <is>
          <t>KIRLFER</t>
        </is>
      </c>
      <c r="B103" s="31" t="inlineStr">
        <is>
          <t>Kirloskar Ferrous Industries Ltd</t>
        </is>
      </c>
      <c r="C103" s="31" t="inlineStr">
        <is>
          <t>metals &amp; mining</t>
        </is>
      </c>
      <c r="D103" s="31" t="inlineStr">
        <is>
          <t>steel - large</t>
        </is>
      </c>
      <c r="E103" s="31" t="inlineStr">
        <is>
          <t>midcap</t>
        </is>
      </c>
      <c r="F103" s="31" t="n">
        <v>7530.32</v>
      </c>
      <c r="G103" s="31" t="n">
        <v>469.7</v>
      </c>
      <c r="H103" s="31" t="n">
        <v>2.87</v>
      </c>
      <c r="I103" s="31" t="n">
        <v>128738</v>
      </c>
      <c r="J103" s="31" t="inlineStr">
        <is>
          <t>500245</t>
        </is>
      </c>
    </row>
    <row r="104">
      <c r="A104" s="31" t="inlineStr">
        <is>
          <t>KICL</t>
        </is>
      </c>
      <c r="B104" s="31" t="inlineStr">
        <is>
          <t>Kalyani Investment Company Limited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smallcap</t>
        </is>
      </c>
      <c r="F104" s="31" t="n">
        <v>2300.95</v>
      </c>
      <c r="G104" s="31" t="n">
        <v>5422</v>
      </c>
      <c r="H104" s="31" t="n">
        <v>2.86</v>
      </c>
      <c r="I104" s="31" t="n">
        <v>4534</v>
      </c>
      <c r="J104" s="31" t="inlineStr">
        <is>
          <t>533302</t>
        </is>
      </c>
    </row>
    <row r="105">
      <c r="A105" s="31" t="inlineStr">
        <is>
          <t>SANDHAR</t>
        </is>
      </c>
      <c r="B105" s="31" t="inlineStr">
        <is>
          <t>Sandhar Technologies Limited</t>
        </is>
      </c>
      <c r="C105" s="31" t="inlineStr">
        <is>
          <t>auto</t>
        </is>
      </c>
      <c r="D105" s="31" t="inlineStr">
        <is>
          <t>auto ancillaries</t>
        </is>
      </c>
      <c r="E105" s="31" t="inlineStr">
        <is>
          <t>smallcap</t>
        </is>
      </c>
      <c r="F105" s="31" t="n">
        <v>4256.99</v>
      </c>
      <c r="G105" s="31" t="n">
        <v>727.2</v>
      </c>
      <c r="H105" s="31" t="n">
        <v>2.82</v>
      </c>
      <c r="I105" s="31" t="n">
        <v>583384</v>
      </c>
      <c r="J105" s="31" t="inlineStr">
        <is>
          <t>541163</t>
        </is>
      </c>
    </row>
    <row r="106">
      <c r="A106" s="31" t="inlineStr">
        <is>
          <t>SANGHVIMOV</t>
        </is>
      </c>
      <c r="B106" s="31" t="inlineStr">
        <is>
          <t>Sanghvi Movers Limited</t>
        </is>
      </c>
      <c r="C106" s="31" t="inlineStr">
        <is>
          <t>miscellaneous</t>
        </is>
      </c>
      <c r="D106" s="31" t="inlineStr">
        <is>
          <t>miscellaneous</t>
        </is>
      </c>
      <c r="E106" s="31" t="inlineStr">
        <is>
          <t>smallcap</t>
        </is>
      </c>
      <c r="F106" s="31" t="n">
        <v>3827.09</v>
      </c>
      <c r="G106" s="31" t="n">
        <v>454.25</v>
      </c>
      <c r="H106" s="31" t="n">
        <v>2.76</v>
      </c>
      <c r="I106" s="31" t="n">
        <v>439391</v>
      </c>
      <c r="J106" s="31" t="inlineStr">
        <is>
          <t>530073</t>
        </is>
      </c>
    </row>
    <row r="107">
      <c r="A107" s="31" t="inlineStr">
        <is>
          <t>ORIENTHOT</t>
        </is>
      </c>
      <c r="B107" s="31" t="inlineStr">
        <is>
          <t>Oriental Hotels Limited</t>
        </is>
      </c>
      <c r="C107" s="31" t="inlineStr">
        <is>
          <t>services</t>
        </is>
      </c>
      <c r="D107" s="31" t="inlineStr">
        <is>
          <t>hotels</t>
        </is>
      </c>
      <c r="E107" s="31" t="inlineStr">
        <is>
          <t>smallcap</t>
        </is>
      </c>
      <c r="F107" s="31" t="n">
        <v>2453.6</v>
      </c>
      <c r="G107" s="31" t="n">
        <v>141.16</v>
      </c>
      <c r="H107" s="31" t="n">
        <v>2.75</v>
      </c>
      <c r="I107" s="31" t="n">
        <v>1464614</v>
      </c>
      <c r="J107" s="31" t="inlineStr">
        <is>
          <t>500314</t>
        </is>
      </c>
    </row>
    <row r="108">
      <c r="A108" s="31" t="inlineStr">
        <is>
          <t>RGL</t>
        </is>
      </c>
      <c r="B108" s="31" t="inlineStr">
        <is>
          <t>Renaissance Global Ltd</t>
        </is>
      </c>
      <c r="C108" s="31" t="inlineStr">
        <is>
          <t>consumer discretionary</t>
        </is>
      </c>
      <c r="D108" s="31" t="inlineStr">
        <is>
          <t>diamond cutting / jewellery</t>
        </is>
      </c>
      <c r="E108" s="31" t="inlineStr">
        <is>
          <t>smallcap</t>
        </is>
      </c>
      <c r="F108" s="31" t="n">
        <v>1259.04</v>
      </c>
      <c r="G108" s="31" t="n">
        <v>120.52</v>
      </c>
      <c r="H108" s="31" t="n">
        <v>2.74</v>
      </c>
      <c r="I108" s="31" t="n">
        <v>531857</v>
      </c>
      <c r="J108" s="31" t="inlineStr">
        <is>
          <t>532923</t>
        </is>
      </c>
    </row>
    <row r="109">
      <c r="A109" s="31" t="inlineStr">
        <is>
          <t>INDSWFTLAB</t>
        </is>
      </c>
      <c r="B109" s="31" t="inlineStr">
        <is>
          <t>Ind-swift Laboratories Limited</t>
        </is>
      </c>
      <c r="C109" s="31" t="inlineStr">
        <is>
          <t>healthcare</t>
        </is>
      </c>
      <c r="D109" s="31" t="inlineStr">
        <is>
          <t>pharmaceuticals - indian - bulk drugs &amp; formln</t>
        </is>
      </c>
      <c r="E109" s="31" t="inlineStr">
        <is>
          <t>smallcap</t>
        </is>
      </c>
      <c r="F109" s="31" t="n">
        <v>1743.07</v>
      </c>
      <c r="G109" s="31" t="n">
        <v>206.22</v>
      </c>
      <c r="H109" s="31" t="n">
        <v>2.74</v>
      </c>
      <c r="I109" s="31" t="n">
        <v>526610</v>
      </c>
      <c r="J109" s="31" t="inlineStr">
        <is>
          <t>532305</t>
        </is>
      </c>
    </row>
    <row r="110">
      <c r="A110" s="31" t="inlineStr">
        <is>
          <t>CREDITACC</t>
        </is>
      </c>
      <c r="B110" s="31" t="inlineStr">
        <is>
          <t>CreditAccess Grameen Ltd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largecap</t>
        </is>
      </c>
      <c r="F110" s="31" t="n">
        <v>24066.25</v>
      </c>
      <c r="G110" s="31" t="n">
        <v>1543.3</v>
      </c>
      <c r="H110" s="31" t="n">
        <v>2.73</v>
      </c>
      <c r="I110" s="31" t="n">
        <v>360516</v>
      </c>
      <c r="J110" s="31" t="inlineStr">
        <is>
          <t>541770</t>
        </is>
      </c>
    </row>
    <row r="111">
      <c r="A111" s="31" t="inlineStr">
        <is>
          <t>FORTIS</t>
        </is>
      </c>
      <c r="B111" s="31" t="inlineStr">
        <is>
          <t>Fortis Healthcare Limited</t>
        </is>
      </c>
      <c r="C111" s="31" t="inlineStr">
        <is>
          <t>healthcare</t>
        </is>
      </c>
      <c r="D111" s="31" t="inlineStr">
        <is>
          <t>healthcare</t>
        </is>
      </c>
      <c r="E111" s="31" t="inlineStr">
        <is>
          <t>largecap</t>
        </is>
      </c>
      <c r="F111" s="31" t="n">
        <v>71649.3</v>
      </c>
      <c r="G111" s="31" t="n">
        <v>974.95</v>
      </c>
      <c r="H111" s="31" t="n">
        <v>2.73</v>
      </c>
      <c r="I111" s="31" t="n">
        <v>1255791</v>
      </c>
      <c r="J111" s="31" t="inlineStr">
        <is>
          <t>532843</t>
        </is>
      </c>
    </row>
    <row r="112">
      <c r="A112" s="31" t="inlineStr">
        <is>
          <t>DATAPATTNS</t>
        </is>
      </c>
      <c r="B112" s="31" t="inlineStr">
        <is>
          <t>Data Patterns (India) Ltd</t>
        </is>
      </c>
      <c r="C112" s="31" t="inlineStr">
        <is>
          <t>aerospace &amp; defence</t>
        </is>
      </c>
      <c r="D112" s="31" t="inlineStr">
        <is>
          <t>electronics - components</t>
        </is>
      </c>
      <c r="E112" s="31" t="inlineStr">
        <is>
          <t>largecap</t>
        </is>
      </c>
      <c r="F112" s="31" t="n">
        <v>25380.33</v>
      </c>
      <c r="G112" s="31" t="n">
        <v>4656.7</v>
      </c>
      <c r="H112" s="31" t="n">
        <v>2.72</v>
      </c>
      <c r="I112" s="31" t="n">
        <v>856356</v>
      </c>
      <c r="J112" s="31" t="inlineStr">
        <is>
          <t>543428</t>
        </is>
      </c>
    </row>
    <row r="113">
      <c r="A113" s="31" t="inlineStr">
        <is>
          <t>SAKAR</t>
        </is>
      </c>
      <c r="B113" s="31" t="inlineStr">
        <is>
          <t>Sakar Healthcare Ltd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smallcap</t>
        </is>
      </c>
      <c r="F113" s="31" t="n">
        <v>1807.25</v>
      </c>
      <c r="G113" s="31" t="n">
        <v>834.2</v>
      </c>
      <c r="H113" s="31" t="n">
        <v>2.7</v>
      </c>
      <c r="I113" s="31" t="n">
        <v>111017</v>
      </c>
      <c r="J113" s="31" t="inlineStr">
        <is>
          <t>538377</t>
        </is>
      </c>
    </row>
    <row r="114">
      <c r="A114" s="31" t="inlineStr">
        <is>
          <t>SCPL</t>
        </is>
      </c>
      <c r="B114" s="31" t="inlineStr">
        <is>
          <t>Sheetal Cool Products Ltd</t>
        </is>
      </c>
      <c r="C114" s="31" t="inlineStr">
        <is>
          <t>fmcg</t>
        </is>
      </c>
      <c r="D114" s="31" t="inlineStr">
        <is>
          <t>food - processing - indian</t>
        </is>
      </c>
      <c r="E114" s="31" t="inlineStr">
        <is>
          <t>smallcap</t>
        </is>
      </c>
      <c r="F114" s="31" t="n">
        <v>566</v>
      </c>
      <c r="G114" s="31" t="n">
        <v>553</v>
      </c>
      <c r="H114" s="31" t="n">
        <v>2.59</v>
      </c>
      <c r="I114" s="31" t="n">
        <v>110266</v>
      </c>
      <c r="J114" s="31" t="inlineStr">
        <is>
          <t>540757</t>
        </is>
      </c>
    </row>
    <row r="115">
      <c r="A115" s="31" t="inlineStr">
        <is>
          <t>THYROCARE</t>
        </is>
      </c>
      <c r="B115" s="31" t="inlineStr">
        <is>
          <t>Thyrocare Technologies Limited</t>
        </is>
      </c>
      <c r="C115" s="31" t="inlineStr">
        <is>
          <t>healthcare</t>
        </is>
      </c>
      <c r="D115" s="31" t="inlineStr">
        <is>
          <t>healthcare</t>
        </is>
      </c>
      <c r="E115" s="31" t="inlineStr">
        <is>
          <t>midcap</t>
        </is>
      </c>
      <c r="F115" s="31" t="n">
        <v>8649.040000000001</v>
      </c>
      <c r="G115" s="31" t="n">
        <v>557.2</v>
      </c>
      <c r="H115" s="31" t="n">
        <v>2.54</v>
      </c>
      <c r="I115" s="31" t="n">
        <v>183823</v>
      </c>
      <c r="J115" s="31" t="inlineStr">
        <is>
          <t>539871</t>
        </is>
      </c>
    </row>
    <row r="116">
      <c r="A116" s="31" t="inlineStr">
        <is>
          <t>NIACL</t>
        </is>
      </c>
      <c r="B116" s="31" t="inlineStr">
        <is>
          <t>New India Assurance Company Ltd</t>
        </is>
      </c>
      <c r="C116" s="31" t="inlineStr">
        <is>
          <t>financials</t>
        </is>
      </c>
      <c r="D116" s="31" t="inlineStr">
        <is>
          <t>finance &amp; investments</t>
        </is>
      </c>
      <c r="E116" s="31" t="inlineStr">
        <is>
          <t>largecap</t>
        </is>
      </c>
      <c r="F116" s="31" t="n">
        <v>30176.53</v>
      </c>
      <c r="G116" s="31" t="n">
        <v>187.68</v>
      </c>
      <c r="H116" s="31" t="n">
        <v>2.5</v>
      </c>
      <c r="I116" s="31" t="n">
        <v>3045802</v>
      </c>
      <c r="J116" s="31" t="inlineStr">
        <is>
          <t>540769</t>
        </is>
      </c>
    </row>
    <row r="117">
      <c r="A117" s="31" t="inlineStr">
        <is>
          <t>SHAILY</t>
        </is>
      </c>
      <c r="B117" s="31" t="inlineStr">
        <is>
          <t>Shaily Engineering Plastics Ltd</t>
        </is>
      </c>
      <c r="C117" s="31" t="inlineStr">
        <is>
          <t>plastic products</t>
        </is>
      </c>
      <c r="D117" s="31" t="inlineStr">
        <is>
          <t>plastics products</t>
        </is>
      </c>
      <c r="E117" s="31" t="inlineStr">
        <is>
          <t>midcap</t>
        </is>
      </c>
      <c r="F117" s="31" t="n">
        <v>13185.44</v>
      </c>
      <c r="G117" s="31" t="n">
        <v>2940.4</v>
      </c>
      <c r="H117" s="31" t="n">
        <v>2.48</v>
      </c>
      <c r="I117" s="31" t="n">
        <v>203244</v>
      </c>
      <c r="J117" s="31" t="inlineStr">
        <is>
          <t>501423</t>
        </is>
      </c>
    </row>
    <row r="118">
      <c r="A118" s="31" t="inlineStr">
        <is>
          <t>ASTRAMICRO</t>
        </is>
      </c>
      <c r="B118" s="31" t="inlineStr">
        <is>
          <t>Astra Microwave Products Limited</t>
        </is>
      </c>
      <c r="C118" s="31" t="inlineStr">
        <is>
          <t>aerospace &amp; defence</t>
        </is>
      </c>
      <c r="D118" s="31" t="inlineStr">
        <is>
          <t>telecommunications - equipment</t>
        </is>
      </c>
      <c r="E118" s="31" t="inlineStr">
        <is>
          <t>midcap</t>
        </is>
      </c>
      <c r="F118" s="31" t="n">
        <v>16639.11</v>
      </c>
      <c r="G118" s="31" t="n">
        <v>1795.7</v>
      </c>
      <c r="H118" s="31" t="n">
        <v>2.47</v>
      </c>
      <c r="I118" s="31" t="n">
        <v>697917</v>
      </c>
      <c r="J118" s="31" t="inlineStr">
        <is>
          <t>532493</t>
        </is>
      </c>
    </row>
    <row r="119">
      <c r="A119" s="31" t="inlineStr">
        <is>
          <t>TTKPRESTIG</t>
        </is>
      </c>
      <c r="B119" s="31" t="inlineStr">
        <is>
          <t>Ttk Prestige Limited</t>
        </is>
      </c>
      <c r="C119" s="31" t="inlineStr">
        <is>
          <t>consumer discretionary</t>
        </is>
      </c>
      <c r="D119" s="31" t="inlineStr">
        <is>
          <t>domestic appliances</t>
        </is>
      </c>
      <c r="E119" s="31" t="inlineStr">
        <is>
          <t>midcap</t>
        </is>
      </c>
      <c r="F119" s="31" t="n">
        <v>8634.07</v>
      </c>
      <c r="G119" s="31" t="n">
        <v>645.95</v>
      </c>
      <c r="H119" s="31" t="n">
        <v>2.46</v>
      </c>
      <c r="I119" s="31" t="n">
        <v>206316</v>
      </c>
      <c r="J119" s="31" t="inlineStr">
        <is>
          <t>517506</t>
        </is>
      </c>
    </row>
    <row r="120">
      <c r="A120" s="31" t="inlineStr">
        <is>
          <t>JSFB</t>
        </is>
      </c>
      <c r="B120" s="31" t="inlineStr">
        <is>
          <t>Jana Small Finance Bank Ltd</t>
        </is>
      </c>
      <c r="C120" s="31" t="inlineStr">
        <is>
          <t>bank</t>
        </is>
      </c>
      <c r="D120" s="31" t="inlineStr">
        <is>
          <t>banks - private sector</t>
        </is>
      </c>
      <c r="E120" s="31" t="inlineStr">
        <is>
          <t>smallcap</t>
        </is>
      </c>
      <c r="F120" s="31" t="n">
        <v>4927.61</v>
      </c>
      <c r="G120" s="31" t="n">
        <v>479.1</v>
      </c>
      <c r="H120" s="31" t="n">
        <v>2.4</v>
      </c>
      <c r="I120" s="31" t="n">
        <v>453231</v>
      </c>
      <c r="J120" s="31" t="n"/>
    </row>
    <row r="121">
      <c r="A121" s="31" t="inlineStr">
        <is>
          <t>STOVEKRAFT</t>
        </is>
      </c>
      <c r="B121" s="31" t="inlineStr">
        <is>
          <t>Stove Kraft Ltd</t>
        </is>
      </c>
      <c r="C121" s="31" t="inlineStr">
        <is>
          <t>consumer discretionary</t>
        </is>
      </c>
      <c r="D121" s="31" t="inlineStr">
        <is>
          <t>domestic appliances</t>
        </is>
      </c>
      <c r="E121" s="31" t="inlineStr">
        <is>
          <t>smallcap</t>
        </is>
      </c>
      <c r="F121" s="31" t="n">
        <v>2502.58</v>
      </c>
      <c r="G121" s="31" t="n">
        <v>773.85</v>
      </c>
      <c r="H121" s="31" t="n">
        <v>2.37</v>
      </c>
      <c r="I121" s="31" t="n">
        <v>68234</v>
      </c>
      <c r="J121" s="31" t="inlineStr">
        <is>
          <t>543260</t>
        </is>
      </c>
    </row>
    <row r="122">
      <c r="A122" s="31" t="inlineStr">
        <is>
          <t>MANINDS</t>
        </is>
      </c>
      <c r="B122" s="31" t="inlineStr">
        <is>
          <t>Man Industries (india) Limited</t>
        </is>
      </c>
      <c r="C122" s="31" t="inlineStr">
        <is>
          <t>metals &amp; mining</t>
        </is>
      </c>
      <c r="D122" s="31" t="inlineStr">
        <is>
          <t>steel - medium / small</t>
        </is>
      </c>
      <c r="E122" s="31" t="inlineStr">
        <is>
          <t>smallcap</t>
        </is>
      </c>
      <c r="F122" s="31" t="n">
        <v>4375.31</v>
      </c>
      <c r="G122" s="31" t="n">
        <v>597.1</v>
      </c>
      <c r="H122" s="31" t="n">
        <v>2.37</v>
      </c>
      <c r="I122" s="31" t="n">
        <v>256458</v>
      </c>
      <c r="J122" s="31" t="inlineStr">
        <is>
          <t>513269</t>
        </is>
      </c>
    </row>
    <row r="123">
      <c r="A123" s="31" t="inlineStr">
        <is>
          <t>HMVL</t>
        </is>
      </c>
      <c r="B123" s="31" t="inlineStr">
        <is>
          <t>Hindustan Media Ventures Limited</t>
        </is>
      </c>
      <c r="C123" s="31" t="inlineStr">
        <is>
          <t>media</t>
        </is>
      </c>
      <c r="D123" s="31" t="inlineStr">
        <is>
          <t>entertainment / electronic media software</t>
        </is>
      </c>
      <c r="E123" s="31" t="inlineStr">
        <is>
          <t>smallcap</t>
        </is>
      </c>
      <c r="F123" s="31" t="n">
        <v>642.1900000000001</v>
      </c>
      <c r="G123" s="31" t="n">
        <v>89.20999999999999</v>
      </c>
      <c r="H123" s="31" t="n">
        <v>2.34</v>
      </c>
      <c r="I123" s="31" t="n">
        <v>128033</v>
      </c>
      <c r="J123" s="31" t="inlineStr">
        <is>
          <t>533217</t>
        </is>
      </c>
    </row>
    <row r="124">
      <c r="A124" s="31" t="inlineStr">
        <is>
          <t>ADANIENSOL</t>
        </is>
      </c>
      <c r="B124" s="31" t="inlineStr">
        <is>
          <t>Adani Energy Solutions Ltd</t>
        </is>
      </c>
      <c r="C124" s="31" t="inlineStr">
        <is>
          <t>power &amp; utilities</t>
        </is>
      </c>
      <c r="D124" s="31" t="inlineStr">
        <is>
          <t>power generation and supply</t>
        </is>
      </c>
      <c r="E124" s="31" t="inlineStr">
        <is>
          <t>largecap</t>
        </is>
      </c>
      <c r="F124" s="31" t="n">
        <v>182763.14</v>
      </c>
      <c r="G124" s="31" t="n">
        <v>1556.9</v>
      </c>
      <c r="H124" s="31" t="n">
        <v>2.33</v>
      </c>
      <c r="I124" s="31" t="n">
        <v>2583257</v>
      </c>
      <c r="J124" s="31" t="inlineStr">
        <is>
          <t>539254</t>
        </is>
      </c>
    </row>
    <row r="125">
      <c r="A125" s="31" t="inlineStr">
        <is>
          <t>LAURUSLABS</t>
        </is>
      </c>
      <c r="B125" s="31" t="inlineStr">
        <is>
          <t>Laurus Labs Limited</t>
        </is>
      </c>
      <c r="C125" s="31" t="inlineStr">
        <is>
          <t>healthcare</t>
        </is>
      </c>
      <c r="D125" s="31" t="inlineStr">
        <is>
          <t>pharmaceuticals - indian - bulk drugs &amp; formln</t>
        </is>
      </c>
      <c r="E125" s="31" t="inlineStr">
        <is>
          <t>largecap</t>
        </is>
      </c>
      <c r="F125" s="31" t="n">
        <v>80616.78</v>
      </c>
      <c r="G125" s="31" t="n">
        <v>1528</v>
      </c>
      <c r="H125" s="31" t="n">
        <v>2.32</v>
      </c>
      <c r="I125" s="31" t="n">
        <v>2761759</v>
      </c>
      <c r="J125" s="31" t="inlineStr">
        <is>
          <t>540222</t>
        </is>
      </c>
    </row>
    <row r="126">
      <c r="A126" s="31" t="inlineStr">
        <is>
          <t>KRISHANA</t>
        </is>
      </c>
      <c r="B126" s="31" t="inlineStr">
        <is>
          <t>Krishana Phoschem Ltd</t>
        </is>
      </c>
      <c r="C126" s="31" t="inlineStr">
        <is>
          <t>chemicals</t>
        </is>
      </c>
      <c r="D126" s="31" t="inlineStr">
        <is>
          <t>fertilizers</t>
        </is>
      </c>
      <c r="E126" s="31" t="inlineStr">
        <is>
          <t>smallcap</t>
        </is>
      </c>
      <c r="F126" s="31" t="n">
        <v>4313.4</v>
      </c>
      <c r="G126" s="31" t="n">
        <v>713.5</v>
      </c>
      <c r="H126" s="31" t="n">
        <v>2.27</v>
      </c>
      <c r="I126" s="31" t="n">
        <v>525867</v>
      </c>
      <c r="J126" s="31" t="inlineStr">
        <is>
          <t>538405</t>
        </is>
      </c>
    </row>
    <row r="127">
      <c r="A127" s="31" t="inlineStr">
        <is>
          <t>SRF</t>
        </is>
      </c>
      <c r="B127" s="31" t="inlineStr">
        <is>
          <t>Srf Limited</t>
        </is>
      </c>
      <c r="C127" s="31" t="inlineStr">
        <is>
          <t>chemicals</t>
        </is>
      </c>
      <c r="D127" s="31" t="inlineStr">
        <is>
          <t>chemicals</t>
        </is>
      </c>
      <c r="E127" s="31" t="inlineStr">
        <is>
          <t>largecap</t>
        </is>
      </c>
      <c r="F127" s="31" t="n">
        <v>81217.44</v>
      </c>
      <c r="G127" s="31" t="n">
        <v>2799.4</v>
      </c>
      <c r="H127" s="31" t="n">
        <v>2.17</v>
      </c>
      <c r="I127" s="31" t="n">
        <v>563679</v>
      </c>
      <c r="J127" s="31" t="inlineStr">
        <is>
          <t>503806</t>
        </is>
      </c>
    </row>
    <row r="128">
      <c r="A128" s="31" t="inlineStr">
        <is>
          <t>INDNIPPON</t>
        </is>
      </c>
      <c r="B128" s="31" t="inlineStr">
        <is>
          <t>India Nippon Electricals Limited</t>
        </is>
      </c>
      <c r="C128" s="31" t="inlineStr">
        <is>
          <t>auto</t>
        </is>
      </c>
      <c r="D128" s="31" t="inlineStr">
        <is>
          <t>auto ancillaries</t>
        </is>
      </c>
      <c r="E128" s="31" t="inlineStr">
        <is>
          <t>smallcap</t>
        </is>
      </c>
      <c r="F128" s="31" t="n">
        <v>2205.82</v>
      </c>
      <c r="G128" s="31" t="n">
        <v>996</v>
      </c>
      <c r="H128" s="31" t="n">
        <v>2.14</v>
      </c>
      <c r="I128" s="31" t="n">
        <v>21049</v>
      </c>
      <c r="J128" s="31" t="inlineStr">
        <is>
          <t>532240</t>
        </is>
      </c>
    </row>
    <row r="129">
      <c r="A129" s="31" t="inlineStr">
        <is>
          <t>CHOICEIN</t>
        </is>
      </c>
      <c r="B129" s="31" t="inlineStr">
        <is>
          <t>Choice International Ltd</t>
        </is>
      </c>
      <c r="C129" s="31" t="inlineStr">
        <is>
          <t>financials</t>
        </is>
      </c>
      <c r="D129" s="31" t="inlineStr">
        <is>
          <t>finance &amp; investments</t>
        </is>
      </c>
      <c r="E129" s="31" t="inlineStr">
        <is>
          <t>midcap</t>
        </is>
      </c>
      <c r="F129" s="31" t="n">
        <v>17016.78</v>
      </c>
      <c r="G129" s="31" t="n">
        <v>780.2</v>
      </c>
      <c r="H129" s="31" t="n">
        <v>2.14</v>
      </c>
      <c r="I129" s="31" t="n">
        <v>1380671</v>
      </c>
      <c r="J129" s="31" t="inlineStr">
        <is>
          <t>531358</t>
        </is>
      </c>
    </row>
    <row r="130">
      <c r="A130" s="31" t="inlineStr">
        <is>
          <t>PANACHE</t>
        </is>
      </c>
      <c r="B130" s="31" t="inlineStr">
        <is>
          <t>Panache Digilife Ltd</t>
        </is>
      </c>
      <c r="C130" s="31" t="inlineStr">
        <is>
          <t>i.t</t>
        </is>
      </c>
      <c r="D130" s="31" t="inlineStr">
        <is>
          <t>computers - hardware</t>
        </is>
      </c>
      <c r="E130" s="31" t="inlineStr">
        <is>
          <t>smallcap</t>
        </is>
      </c>
      <c r="F130" s="31" t="n">
        <v>658.58</v>
      </c>
      <c r="G130" s="31" t="n">
        <v>420</v>
      </c>
      <c r="H130" s="31" t="n">
        <v>2.13</v>
      </c>
      <c r="I130" s="31" t="n">
        <v>71877</v>
      </c>
      <c r="J130" s="31" t="inlineStr">
        <is>
          <t>538424</t>
        </is>
      </c>
    </row>
    <row r="131">
      <c r="A131" s="31" t="inlineStr">
        <is>
          <t>SMSPHARMA</t>
        </is>
      </c>
      <c r="B131" s="31" t="inlineStr">
        <is>
          <t>Sms Pharmaceuticals Limited</t>
        </is>
      </c>
      <c r="C131" s="31" t="inlineStr">
        <is>
          <t>healthcare</t>
        </is>
      </c>
      <c r="D131" s="31" t="inlineStr">
        <is>
          <t>pharmaceuticals - indian - bulk drugs</t>
        </is>
      </c>
      <c r="E131" s="31" t="inlineStr">
        <is>
          <t>smallcap</t>
        </is>
      </c>
      <c r="F131" s="31" t="n">
        <v>3829.9</v>
      </c>
      <c r="G131" s="31" t="n">
        <v>417.65</v>
      </c>
      <c r="H131" s="31" t="n">
        <v>2.13</v>
      </c>
      <c r="I131" s="31" t="n">
        <v>370111</v>
      </c>
      <c r="J131" s="31" t="inlineStr">
        <is>
          <t>532815</t>
        </is>
      </c>
    </row>
    <row r="132">
      <c r="A132" s="31" t="inlineStr">
        <is>
          <t>PDSL</t>
        </is>
      </c>
      <c r="B132" s="31" t="inlineStr">
        <is>
          <t>PDS Ltd</t>
        </is>
      </c>
      <c r="C132" s="31" t="inlineStr">
        <is>
          <t>textiles</t>
        </is>
      </c>
      <c r="D132" s="31" t="inlineStr">
        <is>
          <t>trading</t>
        </is>
      </c>
      <c r="E132" s="31" t="inlineStr">
        <is>
          <t>midcap</t>
        </is>
      </c>
      <c r="F132" s="31" t="n">
        <v>5124.45</v>
      </c>
      <c r="G132" s="31" t="n">
        <v>370</v>
      </c>
      <c r="H132" s="31" t="n">
        <v>2.13</v>
      </c>
      <c r="I132" s="31" t="n">
        <v>378460</v>
      </c>
      <c r="J132" s="31" t="inlineStr">
        <is>
          <t>538730</t>
        </is>
      </c>
    </row>
    <row r="133">
      <c r="A133" s="31" t="inlineStr">
        <is>
          <t>DIFFNKG</t>
        </is>
      </c>
      <c r="B133" s="31" t="inlineStr">
        <is>
          <t>Diffusion Engineers Ltd</t>
        </is>
      </c>
      <c r="C133" s="31" t="inlineStr">
        <is>
          <t>industrials</t>
        </is>
      </c>
      <c r="D133" s="31" t="inlineStr">
        <is>
          <t>electrodes - welding equipment</t>
        </is>
      </c>
      <c r="E133" s="31" t="inlineStr">
        <is>
          <t>smallcap</t>
        </is>
      </c>
      <c r="F133" s="31" t="n">
        <v>1558.8</v>
      </c>
      <c r="G133" s="31" t="n">
        <v>425.35</v>
      </c>
      <c r="H133" s="31" t="n">
        <v>2.12</v>
      </c>
      <c r="I133" s="31" t="n">
        <v>126402</v>
      </c>
      <c r="J133" s="31" t="inlineStr">
        <is>
          <t>544264</t>
        </is>
      </c>
    </row>
    <row r="134">
      <c r="A134" s="31" t="inlineStr">
        <is>
          <t>IOLCP</t>
        </is>
      </c>
      <c r="B134" s="31" t="inlineStr">
        <is>
          <t>Iol Chemicals And Pharmaceuticals Limited</t>
        </is>
      </c>
      <c r="C134" s="31" t="inlineStr">
        <is>
          <t>healthcare</t>
        </is>
      </c>
      <c r="D134" s="31" t="inlineStr">
        <is>
          <t>pharmaceuticals - indian - bulk drugs &amp; formln</t>
        </is>
      </c>
      <c r="E134" s="31" t="inlineStr">
        <is>
          <t>smallcap</t>
        </is>
      </c>
      <c r="F134" s="31" t="n">
        <v>4321.02</v>
      </c>
      <c r="G134" s="31" t="n">
        <v>150.31</v>
      </c>
      <c r="H134" s="31" t="n">
        <v>2.11</v>
      </c>
      <c r="I134" s="31" t="n">
        <v>4077186</v>
      </c>
      <c r="J134" s="31" t="inlineStr">
        <is>
          <t>524164</t>
        </is>
      </c>
    </row>
    <row r="135">
      <c r="A135" s="31" t="inlineStr">
        <is>
          <t>SPANDANA</t>
        </is>
      </c>
      <c r="B135" s="31" t="inlineStr">
        <is>
          <t>Spandana Sphoorty Financial Ltd</t>
        </is>
      </c>
      <c r="C135" s="31" t="inlineStr">
        <is>
          <t>financials</t>
        </is>
      </c>
      <c r="D135" s="31" t="inlineStr">
        <is>
          <t>finance &amp; investments</t>
        </is>
      </c>
      <c r="E135" s="31" t="inlineStr">
        <is>
          <t>smallcap</t>
        </is>
      </c>
      <c r="F135" s="31" t="n">
        <v>2462.85</v>
      </c>
      <c r="G135" s="31" t="n">
        <v>283.7</v>
      </c>
      <c r="H135" s="31" t="n">
        <v>2.11</v>
      </c>
      <c r="I135" s="31" t="n">
        <v>416227</v>
      </c>
      <c r="J135" s="31" t="inlineStr">
        <is>
          <t>542759</t>
        </is>
      </c>
    </row>
    <row r="136">
      <c r="A136" s="31" t="inlineStr">
        <is>
          <t>IKS</t>
        </is>
      </c>
      <c r="B136" s="31" t="inlineStr">
        <is>
          <t>Inventurus Knowledge Solutions Ltd</t>
        </is>
      </c>
      <c r="C136" s="31" t="inlineStr">
        <is>
          <t>i.t</t>
        </is>
      </c>
      <c r="D136" s="31" t="inlineStr">
        <is>
          <t>computers - software - medium / small</t>
        </is>
      </c>
      <c r="E136" s="31" t="inlineStr">
        <is>
          <t>largecap</t>
        </is>
      </c>
      <c r="F136" s="31" t="n">
        <v>30886.6</v>
      </c>
      <c r="G136" s="31" t="n">
        <v>1837.5</v>
      </c>
      <c r="H136" s="31" t="n">
        <v>2.07</v>
      </c>
      <c r="I136" s="31" t="n">
        <v>1276806</v>
      </c>
      <c r="J136" s="31" t="inlineStr">
        <is>
          <t>544309</t>
        </is>
      </c>
    </row>
    <row r="137">
      <c r="A137" s="31" t="inlineStr">
        <is>
          <t>SANGAMIND</t>
        </is>
      </c>
      <c r="B137" s="31" t="inlineStr">
        <is>
          <t>Sangam (india) Limited</t>
        </is>
      </c>
      <c r="C137" s="31" t="inlineStr">
        <is>
          <t>textiles</t>
        </is>
      </c>
      <c r="D137" s="31" t="inlineStr">
        <is>
          <t>textiles - spinning - synthetic / blended</t>
        </is>
      </c>
      <c r="E137" s="31" t="inlineStr">
        <is>
          <t>smallcap</t>
        </is>
      </c>
      <c r="F137" s="31" t="n">
        <v>2723.36</v>
      </c>
      <c r="G137" s="31" t="n">
        <v>553.1</v>
      </c>
      <c r="H137" s="31" t="n">
        <v>2.05</v>
      </c>
      <c r="I137" s="31" t="n">
        <v>50924</v>
      </c>
      <c r="J137" s="31" t="inlineStr">
        <is>
          <t>514234</t>
        </is>
      </c>
    </row>
    <row r="138">
      <c r="A138" s="31" t="inlineStr">
        <is>
          <t>MANAPPURAM</t>
        </is>
      </c>
      <c r="B138" s="31" t="inlineStr">
        <is>
          <t>Manappuram Finance Limited</t>
        </is>
      </c>
      <c r="C138" s="31" t="inlineStr">
        <is>
          <t>financials</t>
        </is>
      </c>
      <c r="D138" s="31" t="inlineStr">
        <is>
          <t>finance &amp; investments</t>
        </is>
      </c>
      <c r="E138" s="31" t="inlineStr">
        <is>
          <t>largecap</t>
        </is>
      </c>
      <c r="F138" s="31" t="n">
        <v>29744.08</v>
      </c>
      <c r="G138" s="31" t="n">
        <v>323.1</v>
      </c>
      <c r="H138" s="31" t="n">
        <v>2.04</v>
      </c>
      <c r="I138" s="31" t="n">
        <v>2185040</v>
      </c>
      <c r="J138" s="31" t="inlineStr">
        <is>
          <t>531213</t>
        </is>
      </c>
    </row>
    <row r="139">
      <c r="A139" s="31" t="inlineStr">
        <is>
          <t>VIJAYA</t>
        </is>
      </c>
      <c r="B139" s="31" t="inlineStr">
        <is>
          <t>Vijaya Diagnostic Centre Ltd</t>
        </is>
      </c>
      <c r="C139" s="31" t="inlineStr">
        <is>
          <t>healthcare</t>
        </is>
      </c>
      <c r="D139" s="31" t="inlineStr">
        <is>
          <t>healthcare</t>
        </is>
      </c>
      <c r="E139" s="31" t="inlineStr">
        <is>
          <t>midcap</t>
        </is>
      </c>
      <c r="F139" s="31" t="n">
        <v>14095.82</v>
      </c>
      <c r="G139" s="31" t="n">
        <v>1397.8</v>
      </c>
      <c r="H139" s="31" t="n">
        <v>2.04</v>
      </c>
      <c r="I139" s="31" t="n">
        <v>382382</v>
      </c>
      <c r="J139" s="31" t="inlineStr">
        <is>
          <t>543350</t>
        </is>
      </c>
    </row>
    <row r="140">
      <c r="A140" s="31" t="inlineStr">
        <is>
          <t>REDINGTON</t>
        </is>
      </c>
      <c r="B140" s="31" t="inlineStr">
        <is>
          <t>Redington (india) Limited</t>
        </is>
      </c>
      <c r="C140" s="31" t="inlineStr">
        <is>
          <t>services</t>
        </is>
      </c>
      <c r="D140" s="31" t="inlineStr">
        <is>
          <t>trading</t>
        </is>
      </c>
      <c r="E140" s="31" t="inlineStr">
        <is>
          <t>largecap</t>
        </is>
      </c>
      <c r="F140" s="31" t="n">
        <v>21393.26</v>
      </c>
      <c r="G140" s="31" t="n">
        <v>279.2</v>
      </c>
      <c r="H140" s="31" t="n">
        <v>2.03</v>
      </c>
      <c r="I140" s="31" t="n">
        <v>3556931</v>
      </c>
      <c r="J140" s="31" t="inlineStr">
        <is>
          <t>532805</t>
        </is>
      </c>
    </row>
    <row r="141">
      <c r="A141" s="31" t="inlineStr">
        <is>
          <t>ALIVUS</t>
        </is>
      </c>
      <c r="B141" s="31" t="inlineStr">
        <is>
          <t>Alivus Life Sciences Ltd</t>
        </is>
      </c>
      <c r="C141" s="31" t="inlineStr">
        <is>
          <t>healthcare</t>
        </is>
      </c>
      <c r="D141" s="31" t="inlineStr">
        <is>
          <t>pharmaceuticals - indian - bulk drugs &amp; formln</t>
        </is>
      </c>
      <c r="E141" s="31" t="inlineStr">
        <is>
          <t>midcap</t>
        </is>
      </c>
      <c r="F141" s="31" t="n">
        <v>13947.76</v>
      </c>
      <c r="G141" s="31" t="n">
        <v>1159.2</v>
      </c>
      <c r="H141" s="31" t="n">
        <v>2.01</v>
      </c>
      <c r="I141" s="31" t="n">
        <v>310933</v>
      </c>
      <c r="J141" s="31" t="inlineStr">
        <is>
          <t>543322</t>
        </is>
      </c>
    </row>
    <row r="142">
      <c r="A142" s="31" t="inlineStr">
        <is>
          <t>MONARCH</t>
        </is>
      </c>
      <c r="B142" s="31" t="inlineStr">
        <is>
          <t>Monarch Networth Capital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smallcap</t>
        </is>
      </c>
      <c r="F142" s="31" t="n">
        <v>2716.53</v>
      </c>
      <c r="G142" s="31" t="n">
        <v>349.6</v>
      </c>
      <c r="H142" s="31" t="n">
        <v>2.01</v>
      </c>
      <c r="I142" s="31" t="n">
        <v>70588</v>
      </c>
      <c r="J142" s="31" t="inlineStr">
        <is>
          <t>511551</t>
        </is>
      </c>
    </row>
    <row r="143">
      <c r="A143" s="31" t="inlineStr">
        <is>
          <t>NORTHARC</t>
        </is>
      </c>
      <c r="B143" s="31" t="inlineStr">
        <is>
          <t>Northern ARC Capital Ltd</t>
        </is>
      </c>
      <c r="C143" s="31" t="inlineStr">
        <is>
          <t>financials</t>
        </is>
      </c>
      <c r="D143" s="31" t="inlineStr">
        <is>
          <t>finance &amp; investments</t>
        </is>
      </c>
      <c r="E143" s="31" t="inlineStr">
        <is>
          <t>smallcap</t>
        </is>
      </c>
      <c r="F143" s="31" t="n">
        <v>4914.21</v>
      </c>
      <c r="G143" s="31" t="n">
        <v>310.2</v>
      </c>
      <c r="H143" s="31" t="n">
        <v>1.99</v>
      </c>
      <c r="I143" s="31" t="n">
        <v>1247678</v>
      </c>
      <c r="J143" s="31" t="n"/>
    </row>
    <row r="144">
      <c r="A144" s="31" t="inlineStr">
        <is>
          <t>PRECOT</t>
        </is>
      </c>
      <c r="B144" s="31" t="inlineStr">
        <is>
          <t>Precot Meridian Limited</t>
        </is>
      </c>
      <c r="C144" s="31" t="inlineStr">
        <is>
          <t>textiles</t>
        </is>
      </c>
      <c r="D144" s="31" t="inlineStr">
        <is>
          <t>textiles - cotton/blended</t>
        </is>
      </c>
      <c r="E144" s="31" t="inlineStr">
        <is>
          <t>smallcap</t>
        </is>
      </c>
      <c r="F144" s="31" t="n">
        <v>881.58</v>
      </c>
      <c r="G144" s="31" t="n">
        <v>749</v>
      </c>
      <c r="H144" s="31" t="n">
        <v>1.95</v>
      </c>
      <c r="I144" s="31" t="n">
        <v>13767</v>
      </c>
      <c r="J144" s="31" t="inlineStr">
        <is>
          <t>521184</t>
        </is>
      </c>
    </row>
    <row r="145">
      <c r="A145" s="31" t="inlineStr">
        <is>
          <t>USHAMART</t>
        </is>
      </c>
      <c r="B145" s="31" t="inlineStr">
        <is>
          <t>Usha Martin Limited</t>
        </is>
      </c>
      <c r="C145" s="31" t="inlineStr">
        <is>
          <t>metals &amp; mining</t>
        </is>
      </c>
      <c r="D145" s="31" t="inlineStr">
        <is>
          <t>steel - medium / small</t>
        </is>
      </c>
      <c r="E145" s="31" t="inlineStr">
        <is>
          <t>midcap</t>
        </is>
      </c>
      <c r="F145" s="31" t="n">
        <v>15017.69</v>
      </c>
      <c r="G145" s="31" t="n">
        <v>502.4</v>
      </c>
      <c r="H145" s="31" t="n">
        <v>1.95</v>
      </c>
      <c r="I145" s="31" t="n">
        <v>420517</v>
      </c>
      <c r="J145" s="31" t="inlineStr">
        <is>
          <t>517146</t>
        </is>
      </c>
    </row>
    <row r="146">
      <c r="A146" s="31" t="inlineStr">
        <is>
          <t>ASTERDM</t>
        </is>
      </c>
      <c r="B146" s="31" t="inlineStr">
        <is>
          <t>Aster DM Healthcare Ltd</t>
        </is>
      </c>
      <c r="C146" s="31" t="inlineStr">
        <is>
          <t>healthcare</t>
        </is>
      </c>
      <c r="D146" s="31" t="inlineStr">
        <is>
          <t>healthcare</t>
        </is>
      </c>
      <c r="E146" s="31" t="inlineStr">
        <is>
          <t>largecap</t>
        </is>
      </c>
      <c r="F146" s="31" t="n">
        <v>40206.19</v>
      </c>
      <c r="G146" s="31" t="n">
        <v>790.95</v>
      </c>
      <c r="H146" s="31" t="n">
        <v>1.93</v>
      </c>
      <c r="I146" s="31" t="n">
        <v>420186</v>
      </c>
      <c r="J146" s="31" t="inlineStr">
        <is>
          <t>540975</t>
        </is>
      </c>
    </row>
    <row r="147">
      <c r="A147" s="31" t="inlineStr">
        <is>
          <t>BHARATFORG</t>
        </is>
      </c>
      <c r="B147" s="31" t="inlineStr">
        <is>
          <t>Bharat Forge Limited</t>
        </is>
      </c>
      <c r="C147" s="31" t="inlineStr">
        <is>
          <t>industrials</t>
        </is>
      </c>
      <c r="D147" s="31" t="inlineStr">
        <is>
          <t>castings &amp; forgings</t>
        </is>
      </c>
      <c r="E147" s="31" t="inlineStr">
        <is>
          <t>largecap</t>
        </is>
      </c>
      <c r="F147" s="31" t="n">
        <v>100819.33</v>
      </c>
      <c r="G147" s="31" t="n">
        <v>2148.9</v>
      </c>
      <c r="H147" s="31" t="n">
        <v>1.9</v>
      </c>
      <c r="I147" s="31" t="n">
        <v>773564</v>
      </c>
      <c r="J147" s="31" t="inlineStr">
        <is>
          <t>500493</t>
        </is>
      </c>
    </row>
    <row r="148">
      <c r="A148" s="31" t="inlineStr">
        <is>
          <t>ADANIPORTS</t>
        </is>
      </c>
      <c r="B148" s="31" t="inlineStr">
        <is>
          <t>Adani Ports And Special Economic Zone Limited</t>
        </is>
      </c>
      <c r="C148" s="31" t="inlineStr">
        <is>
          <t>transportation</t>
        </is>
      </c>
      <c r="D148" s="31" t="inlineStr">
        <is>
          <t>miscellaneous</t>
        </is>
      </c>
      <c r="E148" s="31" t="inlineStr">
        <is>
          <t>largecap</t>
        </is>
      </c>
      <c r="F148" s="31" t="n">
        <v>425817.72</v>
      </c>
      <c r="G148" s="31" t="n">
        <v>1883.2</v>
      </c>
      <c r="H148" s="31" t="n">
        <v>1.89</v>
      </c>
      <c r="I148" s="31" t="n">
        <v>3089068</v>
      </c>
      <c r="J148" s="31" t="inlineStr">
        <is>
          <t>532921</t>
        </is>
      </c>
    </row>
    <row r="149">
      <c r="A149" s="31" t="inlineStr">
        <is>
          <t>TITAN</t>
        </is>
      </c>
      <c r="B149" s="31" t="inlineStr">
        <is>
          <t>Titan Company Limited</t>
        </is>
      </c>
      <c r="C149" s="31" t="inlineStr">
        <is>
          <t>consumer discretionary</t>
        </is>
      </c>
      <c r="D149" s="31" t="inlineStr">
        <is>
          <t>diamond cutting / jewellery</t>
        </is>
      </c>
      <c r="E149" s="31" t="inlineStr">
        <is>
          <t>largecap</t>
        </is>
      </c>
      <c r="F149" s="31" t="n">
        <v>390501.62</v>
      </c>
      <c r="G149" s="31" t="n">
        <v>4481.1</v>
      </c>
      <c r="H149" s="31" t="n">
        <v>1.88</v>
      </c>
      <c r="I149" s="31" t="n">
        <v>820755</v>
      </c>
      <c r="J149" s="31" t="inlineStr">
        <is>
          <t>500114</t>
        </is>
      </c>
    </row>
    <row r="150">
      <c r="A150" s="31" t="inlineStr">
        <is>
          <t>PANAMAPET</t>
        </is>
      </c>
      <c r="B150" s="31" t="inlineStr">
        <is>
          <t>Panama Petrochem Limited</t>
        </is>
      </c>
      <c r="C150" s="31" t="inlineStr">
        <is>
          <t>energy</t>
        </is>
      </c>
      <c r="D150" s="31" t="inlineStr">
        <is>
          <t>petrochemicals</t>
        </is>
      </c>
      <c r="E150" s="31" t="inlineStr">
        <is>
          <t>smallcap</t>
        </is>
      </c>
      <c r="F150" s="31" t="n">
        <v>2522.89</v>
      </c>
      <c r="G150" s="31" t="n">
        <v>424.85</v>
      </c>
      <c r="H150" s="31" t="n">
        <v>1.87</v>
      </c>
      <c r="I150" s="31" t="n">
        <v>593846</v>
      </c>
      <c r="J150" s="31" t="inlineStr">
        <is>
          <t>524820</t>
        </is>
      </c>
    </row>
    <row r="151">
      <c r="A151" s="31" t="inlineStr">
        <is>
          <t>MBAPL</t>
        </is>
      </c>
      <c r="B151" s="31" t="inlineStr">
        <is>
          <t>Madhya Bharat Agro Products Ltd</t>
        </is>
      </c>
      <c r="C151" s="31" t="inlineStr">
        <is>
          <t>chemicals</t>
        </is>
      </c>
      <c r="D151" s="31" t="inlineStr">
        <is>
          <t>fertilizers</t>
        </is>
      </c>
      <c r="E151" s="31" t="inlineStr">
        <is>
          <t>midcap</t>
        </is>
      </c>
      <c r="F151" s="31" t="n">
        <v>5198.47</v>
      </c>
      <c r="G151" s="31" t="n">
        <v>604.3</v>
      </c>
      <c r="H151" s="31" t="n">
        <v>1.86</v>
      </c>
      <c r="I151" s="31" t="n">
        <v>403332</v>
      </c>
      <c r="J151" s="31" t="inlineStr">
        <is>
          <t>538370</t>
        </is>
      </c>
    </row>
    <row r="152">
      <c r="A152" s="31" t="inlineStr">
        <is>
          <t>TFCILTD</t>
        </is>
      </c>
      <c r="B152" s="31" t="inlineStr">
        <is>
          <t>Tourism Finance Corporation Of India Limited</t>
        </is>
      </c>
      <c r="C152" s="31" t="inlineStr">
        <is>
          <t>financials</t>
        </is>
      </c>
      <c r="D152" s="31" t="inlineStr">
        <is>
          <t>finance - term-lending institutions</t>
        </is>
      </c>
      <c r="E152" s="31" t="inlineStr">
        <is>
          <t>smallcap</t>
        </is>
      </c>
      <c r="F152" s="31" t="n">
        <v>3543.63</v>
      </c>
      <c r="G152" s="31" t="n">
        <v>77.93000000000001</v>
      </c>
      <c r="H152" s="31" t="n">
        <v>1.82</v>
      </c>
      <c r="I152" s="31" t="n">
        <v>2509071</v>
      </c>
      <c r="J152" s="31" t="inlineStr">
        <is>
          <t>526650</t>
        </is>
      </c>
    </row>
    <row r="153">
      <c r="A153" s="31" t="inlineStr">
        <is>
          <t>PRIVISCL</t>
        </is>
      </c>
      <c r="B153" s="31" t="inlineStr">
        <is>
          <t>Privi Speciality Chemicals Ltd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midcap</t>
        </is>
      </c>
      <c r="F153" s="31" t="n">
        <v>14391.48</v>
      </c>
      <c r="G153" s="31" t="n">
        <v>3750.8</v>
      </c>
      <c r="H153" s="31" t="n">
        <v>1.81</v>
      </c>
      <c r="I153" s="31" t="n">
        <v>115368</v>
      </c>
      <c r="J153" s="31" t="inlineStr">
        <is>
          <t>530117</t>
        </is>
      </c>
    </row>
    <row r="154">
      <c r="A154" s="31" t="inlineStr">
        <is>
          <t>GREENLAM</t>
        </is>
      </c>
      <c r="B154" s="31" t="inlineStr">
        <is>
          <t>Greenlam Industries Limited</t>
        </is>
      </c>
      <c r="C154" s="31" t="inlineStr">
        <is>
          <t>building materials</t>
        </is>
      </c>
      <c r="D154" s="31" t="inlineStr">
        <is>
          <t>miscellaneous</t>
        </is>
      </c>
      <c r="E154" s="31" t="inlineStr">
        <is>
          <t>midcap</t>
        </is>
      </c>
      <c r="F154" s="31" t="n">
        <v>6516.47</v>
      </c>
      <c r="G154" s="31" t="n">
        <v>260</v>
      </c>
      <c r="H154" s="31" t="n">
        <v>1.8</v>
      </c>
      <c r="I154" s="31" t="n">
        <v>86787</v>
      </c>
      <c r="J154" s="31" t="inlineStr">
        <is>
          <t>538979</t>
        </is>
      </c>
    </row>
    <row r="155">
      <c r="A155" s="31" t="inlineStr">
        <is>
          <t>AVADHSUGAR</t>
        </is>
      </c>
      <c r="B155" s="31" t="inlineStr">
        <is>
          <t>Avadh Sugar &amp; Energy</t>
        </is>
      </c>
      <c r="C155" s="31" t="inlineStr">
        <is>
          <t>fmcg</t>
        </is>
      </c>
      <c r="D155" s="31" t="inlineStr">
        <is>
          <t>sugar</t>
        </is>
      </c>
      <c r="E155" s="31" t="inlineStr">
        <is>
          <t>smallcap</t>
        </is>
      </c>
      <c r="F155" s="31" t="n">
        <v>963.59</v>
      </c>
      <c r="G155" s="31" t="n">
        <v>490</v>
      </c>
      <c r="H155" s="31" t="n">
        <v>1.8</v>
      </c>
      <c r="I155" s="31" t="n">
        <v>11233</v>
      </c>
      <c r="J155" s="31" t="inlineStr">
        <is>
          <t>540649</t>
        </is>
      </c>
    </row>
    <row r="156">
      <c r="A156" s="31" t="inlineStr">
        <is>
          <t>STYLAMIND</t>
        </is>
      </c>
      <c r="B156" s="31" t="inlineStr">
        <is>
          <t>Stylam Industries Ltd</t>
        </is>
      </c>
      <c r="C156" s="31" t="inlineStr">
        <is>
          <t>building materials</t>
        </is>
      </c>
      <c r="D156" s="31" t="inlineStr">
        <is>
          <t>miscellaneous</t>
        </is>
      </c>
      <c r="E156" s="31" t="inlineStr">
        <is>
          <t>midcap</t>
        </is>
      </c>
      <c r="F156" s="31" t="n">
        <v>5438.97</v>
      </c>
      <c r="G156" s="31" t="n">
        <v>3266.8</v>
      </c>
      <c r="H156" s="31" t="n">
        <v>1.79</v>
      </c>
      <c r="I156" s="31" t="n">
        <v>12371</v>
      </c>
      <c r="J156" s="31" t="inlineStr">
        <is>
          <t>526951</t>
        </is>
      </c>
    </row>
    <row r="157">
      <c r="A157" s="31" t="inlineStr">
        <is>
          <t>BOSCHLTD</t>
        </is>
      </c>
      <c r="B157" s="31" t="inlineStr">
        <is>
          <t>Bosch Limited</t>
        </is>
      </c>
      <c r="C157" s="31" t="inlineStr">
        <is>
          <t>auto</t>
        </is>
      </c>
      <c r="D157" s="31" t="inlineStr">
        <is>
          <t>auto ancillaries</t>
        </is>
      </c>
      <c r="E157" s="31" t="inlineStr">
        <is>
          <t>largecap</t>
        </is>
      </c>
      <c r="F157" s="31" t="n">
        <v>120289.81</v>
      </c>
      <c r="G157" s="31" t="n">
        <v>41515</v>
      </c>
      <c r="H157" s="31" t="n">
        <v>1.79</v>
      </c>
      <c r="I157" s="31" t="n">
        <v>43271</v>
      </c>
      <c r="J157" s="31" t="inlineStr">
        <is>
          <t>500530</t>
        </is>
      </c>
    </row>
    <row r="158">
      <c r="A158" s="31" t="inlineStr">
        <is>
          <t>VTL</t>
        </is>
      </c>
      <c r="B158" s="31" t="inlineStr">
        <is>
          <t>Vardhman Textiles Limited</t>
        </is>
      </c>
      <c r="C158" s="31" t="inlineStr">
        <is>
          <t>textiles</t>
        </is>
      </c>
      <c r="D158" s="31" t="inlineStr">
        <is>
          <t>textiles - cotton/blended</t>
        </is>
      </c>
      <c r="E158" s="31" t="inlineStr">
        <is>
          <t>midcap</t>
        </is>
      </c>
      <c r="F158" s="31" t="n">
        <v>18693.39</v>
      </c>
      <c r="G158" s="31" t="n">
        <v>657.65</v>
      </c>
      <c r="H158" s="31" t="n">
        <v>1.77</v>
      </c>
      <c r="I158" s="31" t="n">
        <v>334161</v>
      </c>
      <c r="J158" s="31" t="inlineStr">
        <is>
          <t>502986</t>
        </is>
      </c>
    </row>
    <row r="159">
      <c r="A159" s="31" t="inlineStr">
        <is>
          <t>SENORES</t>
        </is>
      </c>
      <c r="B159" s="31" t="inlineStr">
        <is>
          <t>Senores Pharmaceuticals Ltd</t>
        </is>
      </c>
      <c r="C159" s="31" t="inlineStr">
        <is>
          <t>healthcare</t>
        </is>
      </c>
      <c r="D159" s="31" t="inlineStr">
        <is>
          <t>pharmaceuticals - indian - formulations</t>
        </is>
      </c>
      <c r="E159" s="31" t="inlineStr">
        <is>
          <t>midcap</t>
        </is>
      </c>
      <c r="F159" s="31" t="n">
        <v>6047.3</v>
      </c>
      <c r="G159" s="31" t="n">
        <v>1336.4</v>
      </c>
      <c r="H159" s="31" t="n">
        <v>1.77</v>
      </c>
      <c r="I159" s="31" t="n">
        <v>207554</v>
      </c>
      <c r="J159" s="31" t="inlineStr">
        <is>
          <t>544319</t>
        </is>
      </c>
    </row>
    <row r="160">
      <c r="A160" s="31" t="inlineStr">
        <is>
          <t>SHRIRAMFIN</t>
        </is>
      </c>
      <c r="B160" s="31" t="inlineStr">
        <is>
          <t>Shriram Finance Ltd</t>
        </is>
      </c>
      <c r="C160" s="31" t="inlineStr">
        <is>
          <t>financials</t>
        </is>
      </c>
      <c r="D160" s="31" t="inlineStr">
        <is>
          <t>finance &amp; investments</t>
        </is>
      </c>
      <c r="E160" s="31" t="inlineStr">
        <is>
          <t>largecap</t>
        </is>
      </c>
      <c r="F160" s="31" t="n">
        <v>246585.06</v>
      </c>
      <c r="G160" s="31" t="n">
        <v>1066.7</v>
      </c>
      <c r="H160" s="31" t="n">
        <v>1.77</v>
      </c>
      <c r="I160" s="31" t="n">
        <v>5736445</v>
      </c>
      <c r="J160" s="31" t="inlineStr">
        <is>
          <t>511218</t>
        </is>
      </c>
    </row>
    <row r="161">
      <c r="A161" s="31" t="inlineStr">
        <is>
          <t>GRANULES</t>
        </is>
      </c>
      <c r="B161" s="31" t="inlineStr">
        <is>
          <t>Granules India Limited</t>
        </is>
      </c>
      <c r="C161" s="31" t="inlineStr">
        <is>
          <t>healthcare</t>
        </is>
      </c>
      <c r="D161" s="31" t="inlineStr">
        <is>
          <t>pharmaceuticals - indian - bulk drugs &amp; formln</t>
        </is>
      </c>
      <c r="E161" s="31" t="inlineStr">
        <is>
          <t>largecap</t>
        </is>
      </c>
      <c r="F161" s="31" t="n">
        <v>20106.24</v>
      </c>
      <c r="G161" s="31" t="n">
        <v>825.7</v>
      </c>
      <c r="H161" s="31" t="n">
        <v>1.76</v>
      </c>
      <c r="I161" s="31" t="n">
        <v>1310179</v>
      </c>
      <c r="J161" s="31" t="inlineStr">
        <is>
          <t>532482</t>
        </is>
      </c>
    </row>
    <row r="162">
      <c r="A162" s="31" t="inlineStr">
        <is>
          <t>ACE</t>
        </is>
      </c>
      <c r="B162" s="31" t="inlineStr">
        <is>
          <t>Action Construction Equipment Limited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midcap</t>
        </is>
      </c>
      <c r="F162" s="31" t="n">
        <v>11897.6</v>
      </c>
      <c r="G162" s="31" t="n">
        <v>1016.7</v>
      </c>
      <c r="H162" s="31" t="n">
        <v>1.76</v>
      </c>
      <c r="I162" s="31" t="n">
        <v>208951</v>
      </c>
      <c r="J162" s="31" t="inlineStr">
        <is>
          <t>532762</t>
        </is>
      </c>
    </row>
    <row r="163">
      <c r="A163" s="31" t="inlineStr">
        <is>
          <t>HCG</t>
        </is>
      </c>
      <c r="B163" s="31" t="inlineStr">
        <is>
          <t>Healthcare Global Enterprises Limited</t>
        </is>
      </c>
      <c r="C163" s="31" t="inlineStr">
        <is>
          <t>healthcare</t>
        </is>
      </c>
      <c r="D163" s="31" t="inlineStr">
        <is>
          <t>healthcare</t>
        </is>
      </c>
      <c r="E163" s="31" t="inlineStr">
        <is>
          <t>midcap</t>
        </is>
      </c>
      <c r="F163" s="31" t="n">
        <v>9465.01</v>
      </c>
      <c r="G163" s="31" t="n">
        <v>645.1</v>
      </c>
      <c r="H163" s="31" t="n">
        <v>1.76</v>
      </c>
      <c r="I163" s="31" t="n">
        <v>212756</v>
      </c>
      <c r="J163" s="31" t="inlineStr">
        <is>
          <t>539787</t>
        </is>
      </c>
    </row>
    <row r="164">
      <c r="A164" s="31" t="inlineStr">
        <is>
          <t>GAEL</t>
        </is>
      </c>
      <c r="B164" s="31" t="inlineStr">
        <is>
          <t>Gujarat Ambuja Exports Limited</t>
        </is>
      </c>
      <c r="C164" s="31" t="inlineStr">
        <is>
          <t>fmcg</t>
        </is>
      </c>
      <c r="D164" s="31" t="inlineStr">
        <is>
          <t>miscellaneous</t>
        </is>
      </c>
      <c r="E164" s="31" t="inlineStr">
        <is>
          <t>midcap</t>
        </is>
      </c>
      <c r="F164" s="31" t="n">
        <v>7453.4</v>
      </c>
      <c r="G164" s="31" t="n">
        <v>165.35</v>
      </c>
      <c r="H164" s="31" t="n">
        <v>1.75</v>
      </c>
      <c r="I164" s="31" t="n">
        <v>593323</v>
      </c>
      <c r="J164" s="31" t="inlineStr">
        <is>
          <t>524226</t>
        </is>
      </c>
    </row>
    <row r="165">
      <c r="A165" s="31" t="inlineStr">
        <is>
          <t>RPGLIFE</t>
        </is>
      </c>
      <c r="B165" s="31" t="inlineStr">
        <is>
          <t>Rpg Life Sciences Limited</t>
        </is>
      </c>
      <c r="C165" s="31" t="inlineStr">
        <is>
          <t>healthcare</t>
        </is>
      </c>
      <c r="D165" s="31" t="inlineStr">
        <is>
          <t>pharmaceuticals - indian - bulk drugs &amp; formln</t>
        </is>
      </c>
      <c r="E165" s="31" t="inlineStr">
        <is>
          <t>smallcap</t>
        </is>
      </c>
      <c r="F165" s="31" t="n">
        <v>3890.97</v>
      </c>
      <c r="G165" s="31" t="n">
        <v>2393.7</v>
      </c>
      <c r="H165" s="31" t="n">
        <v>1.75</v>
      </c>
      <c r="I165" s="31" t="n">
        <v>18317</v>
      </c>
      <c r="J165" s="31" t="inlineStr">
        <is>
          <t>532983</t>
        </is>
      </c>
    </row>
    <row r="166">
      <c r="A166" s="31" t="inlineStr">
        <is>
          <t>KSL</t>
        </is>
      </c>
      <c r="B166" s="31" t="inlineStr">
        <is>
          <t>Kalyani Steels Limited</t>
        </is>
      </c>
      <c r="C166" s="31" t="inlineStr">
        <is>
          <t>metals &amp; mining</t>
        </is>
      </c>
      <c r="D166" s="31" t="inlineStr">
        <is>
          <t>steel - medium / small</t>
        </is>
      </c>
      <c r="E166" s="31" t="inlineStr">
        <is>
          <t>smallcap</t>
        </is>
      </c>
      <c r="F166" s="31" t="n">
        <v>3788.21</v>
      </c>
      <c r="G166" s="31" t="n">
        <v>882.9</v>
      </c>
      <c r="H166" s="31" t="n">
        <v>1.74</v>
      </c>
      <c r="I166" s="31" t="n">
        <v>38603</v>
      </c>
      <c r="J166" s="31" t="inlineStr">
        <is>
          <t>500235</t>
        </is>
      </c>
    </row>
    <row r="167">
      <c r="A167" s="31" t="inlineStr">
        <is>
          <t>NYKAA</t>
        </is>
      </c>
      <c r="B167" s="31" t="inlineStr">
        <is>
          <t>FSN E-Commerce Ventures Ltd</t>
        </is>
      </c>
      <c r="C167" s="31" t="inlineStr">
        <is>
          <t>i.t</t>
        </is>
      </c>
      <c r="D167" s="31" t="inlineStr">
        <is>
          <t>trading</t>
        </is>
      </c>
      <c r="E167" s="31" t="inlineStr">
        <is>
          <t>largecap</t>
        </is>
      </c>
      <c r="F167" s="31" t="n">
        <v>88373.50999999999</v>
      </c>
      <c r="G167" s="31" t="n">
        <v>314</v>
      </c>
      <c r="H167" s="31" t="n">
        <v>1.73</v>
      </c>
      <c r="I167" s="31" t="n">
        <v>5391222</v>
      </c>
      <c r="J167" s="31" t="inlineStr">
        <is>
          <t>543384</t>
        </is>
      </c>
    </row>
    <row r="168">
      <c r="A168" s="31" t="inlineStr">
        <is>
          <t>NUVAMA</t>
        </is>
      </c>
      <c r="B168" s="31" t="inlineStr">
        <is>
          <t>Nuvama Wealth Management Ltd</t>
        </is>
      </c>
      <c r="C168" s="31" t="inlineStr">
        <is>
          <t>financials</t>
        </is>
      </c>
      <c r="D168" s="31" t="inlineStr">
        <is>
          <t>finance &amp; investments</t>
        </is>
      </c>
      <c r="E168" s="31" t="inlineStr">
        <is>
          <t>largecap</t>
        </is>
      </c>
      <c r="F168" s="31" t="n">
        <v>32550.84</v>
      </c>
      <c r="G168" s="31" t="n">
        <v>1819.1</v>
      </c>
      <c r="H168" s="31" t="n">
        <v>1.73</v>
      </c>
      <c r="I168" s="31" t="n">
        <v>226338</v>
      </c>
      <c r="J168" s="31" t="inlineStr">
        <is>
          <t>543988</t>
        </is>
      </c>
    </row>
    <row r="169">
      <c r="A169" s="31" t="inlineStr">
        <is>
          <t>SANSERA</t>
        </is>
      </c>
      <c r="B169" s="31" t="inlineStr">
        <is>
          <t>Sansera Engineering Ltd</t>
        </is>
      </c>
      <c r="C169" s="31" t="inlineStr">
        <is>
          <t>auto</t>
        </is>
      </c>
      <c r="D169" s="31" t="inlineStr">
        <is>
          <t>auto ancillaries</t>
        </is>
      </c>
      <c r="E169" s="31" t="inlineStr">
        <is>
          <t>midcap</t>
        </is>
      </c>
      <c r="F169" s="31" t="n">
        <v>19728.72</v>
      </c>
      <c r="G169" s="31" t="n">
        <v>3219.8</v>
      </c>
      <c r="H169" s="31" t="n">
        <v>1.73</v>
      </c>
      <c r="I169" s="31" t="n">
        <v>137182</v>
      </c>
      <c r="J169" s="31" t="inlineStr">
        <is>
          <t>543358</t>
        </is>
      </c>
    </row>
    <row r="170">
      <c r="A170" s="31" t="inlineStr">
        <is>
          <t>SPECIALITY</t>
        </is>
      </c>
      <c r="B170" s="31" t="inlineStr">
        <is>
          <t>Speciality Restaurants Limited</t>
        </is>
      </c>
      <c r="C170" s="31" t="inlineStr">
        <is>
          <t>services</t>
        </is>
      </c>
      <c r="D170" s="31" t="inlineStr">
        <is>
          <t>hotels</t>
        </is>
      </c>
      <c r="E170" s="31" t="inlineStr">
        <is>
          <t>smallcap</t>
        </is>
      </c>
      <c r="F170" s="31" t="n">
        <v>616.45</v>
      </c>
      <c r="G170" s="31" t="n">
        <v>130</v>
      </c>
      <c r="H170" s="31" t="n">
        <v>1.72</v>
      </c>
      <c r="I170" s="31" t="n">
        <v>48077</v>
      </c>
      <c r="J170" s="31" t="inlineStr">
        <is>
          <t>534425</t>
        </is>
      </c>
    </row>
    <row r="171">
      <c r="A171" s="31" t="inlineStr">
        <is>
          <t>SOBHA</t>
        </is>
      </c>
      <c r="B171" s="31" t="inlineStr">
        <is>
          <t>Sobha Limited</t>
        </is>
      </c>
      <c r="C171" s="31" t="inlineStr">
        <is>
          <t>realty</t>
        </is>
      </c>
      <c r="D171" s="31" t="inlineStr">
        <is>
          <t>construction</t>
        </is>
      </c>
      <c r="E171" s="31" t="inlineStr">
        <is>
          <t>midcap</t>
        </is>
      </c>
      <c r="F171" s="31" t="n">
        <v>15084.77</v>
      </c>
      <c r="G171" s="31" t="n">
        <v>1434.6</v>
      </c>
      <c r="H171" s="31" t="n">
        <v>1.72</v>
      </c>
      <c r="I171" s="31" t="n">
        <v>192952</v>
      </c>
      <c r="J171" s="31" t="inlineStr">
        <is>
          <t>532784</t>
        </is>
      </c>
    </row>
    <row r="172">
      <c r="A172" s="31" t="inlineStr">
        <is>
          <t>KANORICHEM</t>
        </is>
      </c>
      <c r="B172" s="31" t="inlineStr">
        <is>
          <t>Kanoria Chemicals &amp; Industries Limited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smallcap</t>
        </is>
      </c>
      <c r="F172" s="31" t="n">
        <v>571.86</v>
      </c>
      <c r="G172" s="31" t="n">
        <v>133.1</v>
      </c>
      <c r="H172" s="31" t="n">
        <v>1.7</v>
      </c>
      <c r="I172" s="31" t="n">
        <v>99287</v>
      </c>
      <c r="J172" s="31" t="inlineStr">
        <is>
          <t>506525</t>
        </is>
      </c>
    </row>
    <row r="173">
      <c r="A173" s="31" t="inlineStr">
        <is>
          <t>PGHL</t>
        </is>
      </c>
      <c r="B173" s="31" t="inlineStr">
        <is>
          <t>Procter &amp; Gamble Health Ltd</t>
        </is>
      </c>
      <c r="C173" s="31" t="inlineStr">
        <is>
          <t>healthcare</t>
        </is>
      </c>
      <c r="D173" s="31" t="inlineStr">
        <is>
          <t>pharmaceuticals - multinational</t>
        </is>
      </c>
      <c r="E173" s="31" t="inlineStr">
        <is>
          <t>midcap</t>
        </is>
      </c>
      <c r="F173" s="31" t="n">
        <v>10531.48</v>
      </c>
      <c r="G173" s="31" t="n">
        <v>6452</v>
      </c>
      <c r="H173" s="31" t="n">
        <v>1.69</v>
      </c>
      <c r="I173" s="31" t="n">
        <v>9081</v>
      </c>
      <c r="J173" s="31" t="inlineStr">
        <is>
          <t>500126</t>
        </is>
      </c>
    </row>
    <row r="174">
      <c r="A174" s="31" t="inlineStr">
        <is>
          <t>ANGELONE</t>
        </is>
      </c>
      <c r="B174" s="31" t="inlineStr">
        <is>
          <t>Angel One Ltd</t>
        </is>
      </c>
      <c r="C174" s="31" t="inlineStr">
        <is>
          <t>financials</t>
        </is>
      </c>
      <c r="D174" s="31" t="inlineStr">
        <is>
          <t>finance &amp; investments</t>
        </is>
      </c>
      <c r="E174" s="31" t="inlineStr">
        <is>
          <t>largecap</t>
        </is>
      </c>
      <c r="F174" s="31" t="n">
        <v>31005.65</v>
      </c>
      <c r="G174" s="31" t="n">
        <v>346.15</v>
      </c>
      <c r="H174" s="31" t="n">
        <v>1.69</v>
      </c>
      <c r="I174" s="31" t="n">
        <v>7642733</v>
      </c>
      <c r="J174" s="31" t="n"/>
    </row>
    <row r="175">
      <c r="A175" s="31" t="inlineStr">
        <is>
          <t>3MINDIA</t>
        </is>
      </c>
      <c r="B175" s="31" t="inlineStr">
        <is>
          <t>3m India Limited</t>
        </is>
      </c>
      <c r="C175" s="31" t="inlineStr">
        <is>
          <t>miscellaneous</t>
        </is>
      </c>
      <c r="D175" s="31" t="inlineStr">
        <is>
          <t>diversified - large</t>
        </is>
      </c>
      <c r="E175" s="31" t="inlineStr">
        <is>
          <t>largecap</t>
        </is>
      </c>
      <c r="F175" s="31" t="n">
        <v>37664.76</v>
      </c>
      <c r="G175" s="31" t="n">
        <v>34000</v>
      </c>
      <c r="H175" s="31" t="n">
        <v>1.69</v>
      </c>
      <c r="I175" s="31" t="n">
        <v>2869</v>
      </c>
      <c r="J175" s="31" t="inlineStr">
        <is>
          <t>523395</t>
        </is>
      </c>
    </row>
    <row r="176">
      <c r="A176" s="31" t="inlineStr">
        <is>
          <t>SBCL</t>
        </is>
      </c>
      <c r="B176" s="31" t="inlineStr">
        <is>
          <t>Shivalik Bimetal Controls Ltd</t>
        </is>
      </c>
      <c r="C176" s="31" t="inlineStr">
        <is>
          <t>metals &amp; mining</t>
        </is>
      </c>
      <c r="D176" s="31" t="inlineStr">
        <is>
          <t>mining / minerals / metals</t>
        </is>
      </c>
      <c r="E176" s="31" t="inlineStr">
        <is>
          <t>smallcap</t>
        </is>
      </c>
      <c r="F176" s="31" t="n">
        <v>4323.2</v>
      </c>
      <c r="G176" s="31" t="n">
        <v>763.2</v>
      </c>
      <c r="H176" s="31" t="n">
        <v>1.69</v>
      </c>
      <c r="I176" s="31" t="n">
        <v>191733</v>
      </c>
      <c r="J176" s="31" t="inlineStr">
        <is>
          <t>513097</t>
        </is>
      </c>
    </row>
    <row r="177">
      <c r="A177" s="31" t="inlineStr">
        <is>
          <t>OLECTRA</t>
        </is>
      </c>
      <c r="B177" s="31" t="inlineStr">
        <is>
          <t>Olectra Greentech Ltd</t>
        </is>
      </c>
      <c r="C177" s="31" t="inlineStr">
        <is>
          <t>auto</t>
        </is>
      </c>
      <c r="D177" s="31" t="inlineStr">
        <is>
          <t>automobiles - lcvs / hcvs</t>
        </is>
      </c>
      <c r="E177" s="31" t="inlineStr">
        <is>
          <t>midcap</t>
        </is>
      </c>
      <c r="F177" s="31" t="n">
        <v>12413.89</v>
      </c>
      <c r="G177" s="31" t="n">
        <v>1537.8</v>
      </c>
      <c r="H177" s="31" t="n">
        <v>1.68</v>
      </c>
      <c r="I177" s="31" t="n">
        <v>1105726</v>
      </c>
      <c r="J177" s="31" t="inlineStr">
        <is>
          <t>532439</t>
        </is>
      </c>
    </row>
    <row r="178">
      <c r="A178" s="31" t="inlineStr">
        <is>
          <t>BORORENEW</t>
        </is>
      </c>
      <c r="B178" s="31" t="inlineStr">
        <is>
          <t>Borosil Renewables Ltd</t>
        </is>
      </c>
      <c r="C178" s="31" t="inlineStr">
        <is>
          <t>building materials</t>
        </is>
      </c>
      <c r="D178" s="31" t="inlineStr">
        <is>
          <t>glass &amp; glass products</t>
        </is>
      </c>
      <c r="E178" s="31" t="inlineStr">
        <is>
          <t>midcap</t>
        </is>
      </c>
      <c r="F178" s="31" t="n">
        <v>8582.360000000001</v>
      </c>
      <c r="G178" s="31" t="n">
        <v>622.45</v>
      </c>
      <c r="H178" s="31" t="n">
        <v>1.67</v>
      </c>
      <c r="I178" s="31" t="n">
        <v>421561</v>
      </c>
      <c r="J178" s="31" t="inlineStr">
        <is>
          <t>502219</t>
        </is>
      </c>
    </row>
    <row r="179">
      <c r="A179" s="31" t="inlineStr">
        <is>
          <t>CYIENTDLM</t>
        </is>
      </c>
      <c r="B179" s="31" t="inlineStr">
        <is>
          <t>Cyient DLM Ltd</t>
        </is>
      </c>
      <c r="C179" s="31" t="inlineStr">
        <is>
          <t>consumer discretionary</t>
        </is>
      </c>
      <c r="D179" s="31" t="inlineStr">
        <is>
          <t>electronics - components</t>
        </is>
      </c>
      <c r="E179" s="31" t="inlineStr">
        <is>
          <t>smallcap</t>
        </is>
      </c>
      <c r="F179" s="31" t="n">
        <v>3684.49</v>
      </c>
      <c r="G179" s="31" t="n">
        <v>471.85</v>
      </c>
      <c r="H179" s="31" t="n">
        <v>1.64</v>
      </c>
      <c r="I179" s="31" t="n">
        <v>195115</v>
      </c>
      <c r="J179" s="31" t="inlineStr">
        <is>
          <t>543933</t>
        </is>
      </c>
    </row>
    <row r="180">
      <c r="A180" s="31" t="inlineStr">
        <is>
          <t>AGARWALEYE</t>
        </is>
      </c>
      <c r="B180" s="31" t="inlineStr">
        <is>
          <t>Dr Agarwals Health Care Ltd</t>
        </is>
      </c>
      <c r="C180" s="31" t="inlineStr">
        <is>
          <t>healthcare</t>
        </is>
      </c>
      <c r="D180" s="31" t="inlineStr">
        <is>
          <t>healthcare</t>
        </is>
      </c>
      <c r="E180" s="31" t="inlineStr">
        <is>
          <t>midcap</t>
        </is>
      </c>
      <c r="F180" s="31" t="n">
        <v>14859.86</v>
      </c>
      <c r="G180" s="31" t="n">
        <v>476.6</v>
      </c>
      <c r="H180" s="31" t="n">
        <v>1.61</v>
      </c>
      <c r="I180" s="31" t="n">
        <v>66531</v>
      </c>
      <c r="J180" s="31" t="inlineStr">
        <is>
          <t>544350</t>
        </is>
      </c>
    </row>
    <row r="181">
      <c r="A181" s="31" t="inlineStr">
        <is>
          <t>SWARAJENG</t>
        </is>
      </c>
      <c r="B181" s="31" t="inlineStr">
        <is>
          <t>Swaraj Engines Limited</t>
        </is>
      </c>
      <c r="C181" s="31" t="inlineStr">
        <is>
          <t>industrials</t>
        </is>
      </c>
      <c r="D181" s="31" t="inlineStr">
        <is>
          <t>engines</t>
        </is>
      </c>
      <c r="E181" s="31" t="inlineStr">
        <is>
          <t>smallcap</t>
        </is>
      </c>
      <c r="F181" s="31" t="n">
        <v>4906.97</v>
      </c>
      <c r="G181" s="31" t="n">
        <v>4103.5</v>
      </c>
      <c r="H181" s="31" t="n">
        <v>1.6</v>
      </c>
      <c r="I181" s="31" t="n">
        <v>56043</v>
      </c>
      <c r="J181" s="31" t="inlineStr">
        <is>
          <t>500407</t>
        </is>
      </c>
    </row>
    <row r="182">
      <c r="A182" s="31" t="inlineStr">
        <is>
          <t>RICOAUTO</t>
        </is>
      </c>
      <c r="B182" s="31" t="inlineStr">
        <is>
          <t>Rico Auto Industries Limited</t>
        </is>
      </c>
      <c r="C182" s="31" t="inlineStr">
        <is>
          <t>auto</t>
        </is>
      </c>
      <c r="D182" s="31" t="inlineStr">
        <is>
          <t>auto ancillaries</t>
        </is>
      </c>
      <c r="E182" s="31" t="inlineStr">
        <is>
          <t>smallcap</t>
        </is>
      </c>
      <c r="F182" s="31" t="n">
        <v>1839.47</v>
      </c>
      <c r="G182" s="31" t="n">
        <v>138.15</v>
      </c>
      <c r="H182" s="31" t="n">
        <v>1.6</v>
      </c>
      <c r="I182" s="31" t="n">
        <v>1989681</v>
      </c>
      <c r="J182" s="31" t="inlineStr">
        <is>
          <t>520008</t>
        </is>
      </c>
    </row>
    <row r="183">
      <c r="A183" s="31" t="inlineStr">
        <is>
          <t>UNITDSPR</t>
        </is>
      </c>
      <c r="B183" s="31" t="inlineStr">
        <is>
          <t>United Spirits Ltd</t>
        </is>
      </c>
      <c r="C183" s="31" t="inlineStr">
        <is>
          <t>fmcg</t>
        </is>
      </c>
      <c r="D183" s="31" t="inlineStr">
        <is>
          <t>breweries &amp; distilleries</t>
        </is>
      </c>
      <c r="E183" s="31" t="inlineStr">
        <is>
          <t>largecap</t>
        </is>
      </c>
      <c r="F183" s="31" t="n">
        <v>98366.92999999999</v>
      </c>
      <c r="G183" s="31" t="n">
        <v>1373.4</v>
      </c>
      <c r="H183" s="31" t="n">
        <v>1.55</v>
      </c>
      <c r="I183" s="31" t="n">
        <v>320446</v>
      </c>
      <c r="J183" s="31" t="inlineStr">
        <is>
          <t>532432</t>
        </is>
      </c>
    </row>
    <row r="184">
      <c r="A184" s="31" t="inlineStr">
        <is>
          <t>SKIPPER</t>
        </is>
      </c>
      <c r="B184" s="31" t="inlineStr">
        <is>
          <t>Skipper Limited</t>
        </is>
      </c>
      <c r="C184" s="31" t="inlineStr">
        <is>
          <t>industrials</t>
        </is>
      </c>
      <c r="D184" s="31" t="inlineStr">
        <is>
          <t>engineering</t>
        </is>
      </c>
      <c r="E184" s="31" t="inlineStr">
        <is>
          <t>midcap</t>
        </is>
      </c>
      <c r="F184" s="31" t="n">
        <v>6293.27</v>
      </c>
      <c r="G184" s="31" t="n">
        <v>566.05</v>
      </c>
      <c r="H184" s="31" t="n">
        <v>1.55</v>
      </c>
      <c r="I184" s="31" t="n">
        <v>1773845</v>
      </c>
      <c r="J184" s="31" t="inlineStr">
        <is>
          <t>538562</t>
        </is>
      </c>
    </row>
    <row r="185">
      <c r="A185" s="31" t="inlineStr">
        <is>
          <t>LALPATHLAB</t>
        </is>
      </c>
      <c r="B185" s="31" t="inlineStr">
        <is>
          <t>Dr. Lal Path Labs Ltd.</t>
        </is>
      </c>
      <c r="C185" s="31" t="inlineStr">
        <is>
          <t>healthcare</t>
        </is>
      </c>
      <c r="D185" s="31" t="inlineStr">
        <is>
          <t>healthcare</t>
        </is>
      </c>
      <c r="E185" s="31" t="inlineStr">
        <is>
          <t>largecap</t>
        </is>
      </c>
      <c r="F185" s="31" t="n">
        <v>27195.86</v>
      </c>
      <c r="G185" s="31" t="n">
        <v>1648</v>
      </c>
      <c r="H185" s="31" t="n">
        <v>1.53</v>
      </c>
      <c r="I185" s="31" t="n">
        <v>243983</v>
      </c>
      <c r="J185" s="31" t="inlineStr">
        <is>
          <t>539524</t>
        </is>
      </c>
    </row>
    <row r="186">
      <c r="A186" s="31" t="inlineStr">
        <is>
          <t>PAISALO</t>
        </is>
      </c>
      <c r="B186" s="31" t="inlineStr">
        <is>
          <t>Paisalo Digital Ltd</t>
        </is>
      </c>
      <c r="C186" s="31" t="inlineStr">
        <is>
          <t>financials</t>
        </is>
      </c>
      <c r="D186" s="31" t="inlineStr">
        <is>
          <t>finance &amp; investments</t>
        </is>
      </c>
      <c r="E186" s="31" t="inlineStr">
        <is>
          <t>midcap</t>
        </is>
      </c>
      <c r="F186" s="31" t="n">
        <v>6443.05</v>
      </c>
      <c r="G186" s="31" t="n">
        <v>71.92</v>
      </c>
      <c r="H186" s="31" t="n">
        <v>1.52</v>
      </c>
      <c r="I186" s="31" t="n">
        <v>60359121</v>
      </c>
      <c r="J186" s="31" t="inlineStr">
        <is>
          <t>532900</t>
        </is>
      </c>
    </row>
    <row r="187">
      <c r="A187" s="31" t="inlineStr">
        <is>
          <t>PIDILITIND</t>
        </is>
      </c>
      <c r="B187" s="31" t="inlineStr">
        <is>
          <t>Pidilite Industries Limited</t>
        </is>
      </c>
      <c r="C187" s="31" t="inlineStr">
        <is>
          <t>chemicals</t>
        </is>
      </c>
      <c r="D187" s="31" t="inlineStr">
        <is>
          <t>chemicals</t>
        </is>
      </c>
      <c r="E187" s="31" t="inlineStr">
        <is>
          <t>largecap</t>
        </is>
      </c>
      <c r="F187" s="31" t="n">
        <v>161000.45</v>
      </c>
      <c r="G187" s="31" t="n">
        <v>1605.4</v>
      </c>
      <c r="H187" s="31" t="n">
        <v>1.49</v>
      </c>
      <c r="I187" s="31" t="n">
        <v>710869</v>
      </c>
      <c r="J187" s="31" t="inlineStr">
        <is>
          <t>500331</t>
        </is>
      </c>
    </row>
    <row r="188">
      <c r="A188" s="31" t="inlineStr">
        <is>
          <t>VIYASH</t>
        </is>
      </c>
      <c r="B188" s="31" t="inlineStr">
        <is>
          <t>Viyash Scientific Ltd</t>
        </is>
      </c>
      <c r="C188" s="31" t="inlineStr">
        <is>
          <t>healthcare</t>
        </is>
      </c>
      <c r="D188" s="31" t="inlineStr">
        <is>
          <t>pharmaceuticals - indian - bulk drugs &amp; formln</t>
        </is>
      </c>
      <c r="E188" s="31" t="inlineStr">
        <is>
          <t>midcap</t>
        </is>
      </c>
      <c r="F188" s="31" t="n">
        <v>12590.04</v>
      </c>
      <c r="G188" s="31" t="n">
        <v>292.45</v>
      </c>
      <c r="H188" s="31" t="n">
        <v>1.47</v>
      </c>
      <c r="I188" s="31" t="n">
        <v>3207272</v>
      </c>
      <c r="J188" s="31" t="inlineStr">
        <is>
          <t>512529</t>
        </is>
      </c>
    </row>
    <row r="189">
      <c r="A189" s="31" t="inlineStr">
        <is>
          <t>FAZE3Q</t>
        </is>
      </c>
      <c r="B189" s="31" t="inlineStr">
        <is>
          <t>Faze Three Ltd</t>
        </is>
      </c>
      <c r="C189" s="31" t="inlineStr">
        <is>
          <t>textiles</t>
        </is>
      </c>
      <c r="D189" s="31" t="inlineStr">
        <is>
          <t>textiles - processing</t>
        </is>
      </c>
      <c r="E189" s="31" t="inlineStr">
        <is>
          <t>smallcap</t>
        </is>
      </c>
      <c r="F189" s="31" t="n">
        <v>1476.28</v>
      </c>
      <c r="G189" s="31" t="n">
        <v>616</v>
      </c>
      <c r="H189" s="31" t="n">
        <v>1.47</v>
      </c>
      <c r="I189" s="31" t="n">
        <v>27163</v>
      </c>
      <c r="J189" s="31" t="inlineStr">
        <is>
          <t>530079</t>
        </is>
      </c>
    </row>
    <row r="190">
      <c r="A190" s="31" t="inlineStr">
        <is>
          <t>ICICIBANK</t>
        </is>
      </c>
      <c r="B190" s="31" t="inlineStr">
        <is>
          <t>Icici Bank Limited</t>
        </is>
      </c>
      <c r="C190" s="31" t="inlineStr">
        <is>
          <t>bank</t>
        </is>
      </c>
      <c r="D190" s="31" t="inlineStr">
        <is>
          <t>banks - private sector</t>
        </is>
      </c>
      <c r="E190" s="31" t="inlineStr">
        <is>
          <t>largecap</t>
        </is>
      </c>
      <c r="F190" s="31" t="n">
        <v>987952.33</v>
      </c>
      <c r="G190" s="31" t="n">
        <v>1400</v>
      </c>
      <c r="H190" s="31" t="n">
        <v>1.46</v>
      </c>
      <c r="I190" s="31" t="n">
        <v>15782675</v>
      </c>
      <c r="J190" s="31" t="inlineStr">
        <is>
          <t>532174</t>
        </is>
      </c>
    </row>
    <row r="191">
      <c r="A191" s="31" t="inlineStr">
        <is>
          <t>WELCORP</t>
        </is>
      </c>
      <c r="B191" s="31" t="inlineStr">
        <is>
          <t>Welspun Corp Limited</t>
        </is>
      </c>
      <c r="C191" s="31" t="inlineStr">
        <is>
          <t>industrials</t>
        </is>
      </c>
      <c r="D191" s="31" t="inlineStr">
        <is>
          <t>steel - large</t>
        </is>
      </c>
      <c r="E191" s="31" t="inlineStr">
        <is>
          <t>largecap</t>
        </is>
      </c>
      <c r="F191" s="31" t="n">
        <v>38977.71</v>
      </c>
      <c r="G191" s="31" t="n">
        <v>1498.8</v>
      </c>
      <c r="H191" s="31" t="n">
        <v>1.43</v>
      </c>
      <c r="I191" s="31" t="n">
        <v>289496</v>
      </c>
      <c r="J191" s="31" t="inlineStr">
        <is>
          <t>532144</t>
        </is>
      </c>
    </row>
    <row r="192">
      <c r="A192" s="31" t="inlineStr">
        <is>
          <t>EPL</t>
        </is>
      </c>
      <c r="B192" s="31" t="inlineStr">
        <is>
          <t>EPL Ltd</t>
        </is>
      </c>
      <c r="C192" s="31" t="inlineStr">
        <is>
          <t>industrials</t>
        </is>
      </c>
      <c r="D192" s="31" t="inlineStr">
        <is>
          <t>packaging</t>
        </is>
      </c>
      <c r="E192" s="31" t="inlineStr">
        <is>
          <t>midcap</t>
        </is>
      </c>
      <c r="F192" s="31" t="n">
        <v>7277.95</v>
      </c>
      <c r="G192" s="31" t="n">
        <v>230.5</v>
      </c>
      <c r="H192" s="31" t="n">
        <v>1.43</v>
      </c>
      <c r="I192" s="31" t="n">
        <v>564031</v>
      </c>
      <c r="J192" s="31" t="inlineStr">
        <is>
          <t>500135</t>
        </is>
      </c>
    </row>
    <row r="193">
      <c r="A193" s="31" t="inlineStr">
        <is>
          <t>EMCURE</t>
        </is>
      </c>
      <c r="B193" s="31" t="inlineStr">
        <is>
          <t>Emcure Pharmaceuticals Ltd</t>
        </is>
      </c>
      <c r="C193" s="31" t="inlineStr">
        <is>
          <t>healthcare</t>
        </is>
      </c>
      <c r="D193" s="31" t="inlineStr">
        <is>
          <t>pharmaceuticals - indian - bulk drugs &amp; formln</t>
        </is>
      </c>
      <c r="E193" s="31" t="inlineStr">
        <is>
          <t>largecap</t>
        </is>
      </c>
      <c r="F193" s="31" t="n">
        <v>34711.95</v>
      </c>
      <c r="G193" s="31" t="n">
        <v>1856.5</v>
      </c>
      <c r="H193" s="31" t="n">
        <v>1.4</v>
      </c>
      <c r="I193" s="31" t="n">
        <v>183643</v>
      </c>
      <c r="J193" s="31" t="inlineStr">
        <is>
          <t>544210</t>
        </is>
      </c>
    </row>
    <row r="194">
      <c r="A194" s="31" t="inlineStr">
        <is>
          <t>NAM-INDIA</t>
        </is>
      </c>
      <c r="B194" s="31" t="inlineStr">
        <is>
          <t>Nippon Life India Asset Management Ltd</t>
        </is>
      </c>
      <c r="C194" s="31" t="inlineStr">
        <is>
          <t>financials</t>
        </is>
      </c>
      <c r="D194" s="31" t="inlineStr">
        <is>
          <t>finance &amp; investments</t>
        </is>
      </c>
      <c r="E194" s="31" t="inlineStr">
        <is>
          <t>largecap</t>
        </is>
      </c>
      <c r="F194" s="31" t="n">
        <v>76344.2</v>
      </c>
      <c r="G194" s="31" t="n">
        <v>1213.2</v>
      </c>
      <c r="H194" s="31" t="n">
        <v>1.4</v>
      </c>
      <c r="I194" s="31" t="n">
        <v>784637</v>
      </c>
      <c r="J194" s="31" t="inlineStr">
        <is>
          <t>540767</t>
        </is>
      </c>
    </row>
    <row r="195">
      <c r="A195" s="31" t="inlineStr">
        <is>
          <t>AUTOAXLES</t>
        </is>
      </c>
      <c r="B195" s="31" t="inlineStr">
        <is>
          <t>Automotive Axles Limited</t>
        </is>
      </c>
      <c r="C195" s="31" t="inlineStr">
        <is>
          <t>auto</t>
        </is>
      </c>
      <c r="D195" s="31" t="inlineStr">
        <is>
          <t>auto ancillaries</t>
        </is>
      </c>
      <c r="E195" s="31" t="inlineStr">
        <is>
          <t>smallcap</t>
        </is>
      </c>
      <c r="F195" s="31" t="n">
        <v>2685.85</v>
      </c>
      <c r="G195" s="31" t="n">
        <v>1802</v>
      </c>
      <c r="H195" s="31" t="n">
        <v>1.39</v>
      </c>
      <c r="I195" s="31" t="n">
        <v>6224</v>
      </c>
      <c r="J195" s="31" t="inlineStr">
        <is>
          <t>505010</t>
        </is>
      </c>
    </row>
    <row r="196">
      <c r="A196" s="31" t="inlineStr">
        <is>
          <t>ARVIND</t>
        </is>
      </c>
      <c r="B196" s="31" t="inlineStr">
        <is>
          <t>Arvind Limited</t>
        </is>
      </c>
      <c r="C196" s="31" t="inlineStr">
        <is>
          <t>textiles</t>
        </is>
      </c>
      <c r="D196" s="31" t="inlineStr">
        <is>
          <t>textiles - cotton/blended</t>
        </is>
      </c>
      <c r="E196" s="31" t="inlineStr">
        <is>
          <t>midcap</t>
        </is>
      </c>
      <c r="F196" s="31" t="n">
        <v>14687.59</v>
      </c>
      <c r="G196" s="31" t="n">
        <v>568</v>
      </c>
      <c r="H196" s="31" t="n">
        <v>1.37</v>
      </c>
      <c r="I196" s="31" t="n">
        <v>890794</v>
      </c>
      <c r="J196" s="31" t="inlineStr">
        <is>
          <t>500101</t>
        </is>
      </c>
    </row>
    <row r="197">
      <c r="A197" s="31" t="inlineStr">
        <is>
          <t>JBMA</t>
        </is>
      </c>
      <c r="B197" s="31" t="inlineStr">
        <is>
          <t>Jbm Auto Limited</t>
        </is>
      </c>
      <c r="C197" s="31" t="inlineStr">
        <is>
          <t>auto</t>
        </is>
      </c>
      <c r="D197" s="31" t="inlineStr">
        <is>
          <t>auto ancillaries</t>
        </is>
      </c>
      <c r="E197" s="31" t="inlineStr">
        <is>
          <t>midcap</t>
        </is>
      </c>
      <c r="F197" s="31" t="n">
        <v>16618.45</v>
      </c>
      <c r="G197" s="31" t="n">
        <v>712.3</v>
      </c>
      <c r="H197" s="31" t="n">
        <v>1.37</v>
      </c>
      <c r="I197" s="31" t="n">
        <v>592241</v>
      </c>
      <c r="J197" s="31" t="inlineStr">
        <is>
          <t>532605</t>
        </is>
      </c>
    </row>
    <row r="198">
      <c r="A198" s="31" t="inlineStr">
        <is>
          <t>NIVABUPA</t>
        </is>
      </c>
      <c r="B198" s="31" t="inlineStr">
        <is>
          <t>Niva Bupa Health Insurance Company Ltd</t>
        </is>
      </c>
      <c r="C198" s="31" t="inlineStr">
        <is>
          <t>financials</t>
        </is>
      </c>
      <c r="D198" s="31" t="inlineStr">
        <is>
          <t>finance &amp; investments</t>
        </is>
      </c>
      <c r="E198" s="31" t="inlineStr">
        <is>
          <t>midcap</t>
        </is>
      </c>
      <c r="F198" s="31" t="n">
        <v>15725.55</v>
      </c>
      <c r="G198" s="31" t="n">
        <v>86.28</v>
      </c>
      <c r="H198" s="31" t="n">
        <v>1.36</v>
      </c>
      <c r="I198" s="31" t="n">
        <v>732464</v>
      </c>
      <c r="J198" s="31" t="n"/>
    </row>
    <row r="199">
      <c r="A199" s="31" t="inlineStr">
        <is>
          <t>NH</t>
        </is>
      </c>
      <c r="B199" s="31" t="inlineStr">
        <is>
          <t>Narayana Hrudayalaya Ltd.</t>
        </is>
      </c>
      <c r="C199" s="31" t="inlineStr">
        <is>
          <t>healthcare</t>
        </is>
      </c>
      <c r="D199" s="31" t="inlineStr">
        <is>
          <t>healthcare</t>
        </is>
      </c>
      <c r="E199" s="31" t="inlineStr">
        <is>
          <t>largecap</t>
        </is>
      </c>
      <c r="F199" s="31" t="n">
        <v>40046.54</v>
      </c>
      <c r="G199" s="31" t="n">
        <v>1986.2</v>
      </c>
      <c r="H199" s="31" t="n">
        <v>1.36</v>
      </c>
      <c r="I199" s="31" t="n">
        <v>203345</v>
      </c>
      <c r="J199" s="31" t="inlineStr">
        <is>
          <t>539551</t>
        </is>
      </c>
    </row>
    <row r="200">
      <c r="A200" s="31" t="inlineStr">
        <is>
          <t>GANDHAR</t>
        </is>
      </c>
      <c r="B200" s="31" t="inlineStr">
        <is>
          <t>Gandhar Oil Refinery (India) Ltd</t>
        </is>
      </c>
      <c r="C200" s="31" t="inlineStr">
        <is>
          <t>energy</t>
        </is>
      </c>
      <c r="D200" s="31" t="inlineStr">
        <is>
          <t>refineries</t>
        </is>
      </c>
      <c r="E200" s="31" t="inlineStr">
        <is>
          <t>smallcap</t>
        </is>
      </c>
      <c r="F200" s="31" t="n">
        <v>1804.8</v>
      </c>
      <c r="G200" s="31" t="n">
        <v>186.84</v>
      </c>
      <c r="H200" s="31" t="n">
        <v>1.33</v>
      </c>
      <c r="I200" s="31" t="n">
        <v>1014573</v>
      </c>
      <c r="J200" s="31" t="inlineStr">
        <is>
          <t>544029</t>
        </is>
      </c>
    </row>
    <row r="201">
      <c r="A201" s="31" t="inlineStr">
        <is>
          <t>POCL</t>
        </is>
      </c>
      <c r="B201" s="31" t="inlineStr">
        <is>
          <t>Pondy Oxides &amp; Chemicals Ltd</t>
        </is>
      </c>
      <c r="C201" s="31" t="inlineStr">
        <is>
          <t>metals &amp; mining</t>
        </is>
      </c>
      <c r="D201" s="31" t="inlineStr">
        <is>
          <t>mining / minerals / metals</t>
        </is>
      </c>
      <c r="E201" s="31" t="inlineStr">
        <is>
          <t>smallcap</t>
        </is>
      </c>
      <c r="F201" s="31" t="n">
        <v>4191.33</v>
      </c>
      <c r="G201" s="31" t="n">
        <v>1392</v>
      </c>
      <c r="H201" s="31" t="n">
        <v>1.33</v>
      </c>
      <c r="I201" s="31" t="n">
        <v>193751</v>
      </c>
      <c r="J201" s="31" t="inlineStr">
        <is>
          <t>532626</t>
        </is>
      </c>
    </row>
    <row r="202">
      <c r="A202" s="31" t="inlineStr">
        <is>
          <t>ADANIGREEN</t>
        </is>
      </c>
      <c r="B202" s="31" t="inlineStr">
        <is>
          <t>Adani Green Energy Ltd</t>
        </is>
      </c>
      <c r="C202" s="31" t="inlineStr">
        <is>
          <t>power &amp; utilities</t>
        </is>
      </c>
      <c r="D202" s="31" t="inlineStr">
        <is>
          <t>power generation and supply</t>
        </is>
      </c>
      <c r="E202" s="31" t="inlineStr">
        <is>
          <t>largecap</t>
        </is>
      </c>
      <c r="F202" s="31" t="n">
        <v>252841.54</v>
      </c>
      <c r="G202" s="31" t="n">
        <v>1555.2</v>
      </c>
      <c r="H202" s="31" t="n">
        <v>1.32</v>
      </c>
      <c r="I202" s="31" t="n">
        <v>2378828</v>
      </c>
      <c r="J202" s="31" t="inlineStr">
        <is>
          <t>541450</t>
        </is>
      </c>
    </row>
    <row r="203">
      <c r="A203" s="31" t="inlineStr">
        <is>
          <t>JBCHEPHARM</t>
        </is>
      </c>
      <c r="B203" s="31" t="inlineStr">
        <is>
          <t>Jb Chemicals &amp; Pharmaceuticals Limited</t>
        </is>
      </c>
      <c r="C203" s="31" t="inlineStr">
        <is>
          <t>healthcare</t>
        </is>
      </c>
      <c r="D203" s="31" t="inlineStr">
        <is>
          <t>pharmaceuticals - indian - bulk drugs &amp; formln</t>
        </is>
      </c>
      <c r="E203" s="31" t="inlineStr">
        <is>
          <t>largecap</t>
        </is>
      </c>
      <c r="F203" s="31" t="n">
        <v>36896.39</v>
      </c>
      <c r="G203" s="31" t="n">
        <v>2328</v>
      </c>
      <c r="H203" s="31" t="n">
        <v>1.31</v>
      </c>
      <c r="I203" s="31" t="n">
        <v>86694</v>
      </c>
      <c r="J203" s="31" t="inlineStr">
        <is>
          <t>506943</t>
        </is>
      </c>
    </row>
    <row r="204">
      <c r="A204" s="31" t="inlineStr">
        <is>
          <t>SHREECEM</t>
        </is>
      </c>
      <c r="B204" s="31" t="inlineStr">
        <is>
          <t>Shree Cements Limited</t>
        </is>
      </c>
      <c r="C204" s="31" t="inlineStr">
        <is>
          <t>building materials</t>
        </is>
      </c>
      <c r="D204" s="31" t="inlineStr">
        <is>
          <t>cement - north india</t>
        </is>
      </c>
      <c r="E204" s="31" t="inlineStr">
        <is>
          <t>largecap</t>
        </is>
      </c>
      <c r="F204" s="31" t="n">
        <v>93521.3</v>
      </c>
      <c r="G204" s="31" t="n">
        <v>26260</v>
      </c>
      <c r="H204" s="31" t="n">
        <v>1.31</v>
      </c>
      <c r="I204" s="31" t="n">
        <v>10263</v>
      </c>
      <c r="J204" s="31" t="inlineStr">
        <is>
          <t>500387</t>
        </is>
      </c>
    </row>
    <row r="205">
      <c r="A205" s="31" t="inlineStr">
        <is>
          <t>MEDANTA</t>
        </is>
      </c>
      <c r="B205" s="31" t="inlineStr">
        <is>
          <t>Global Health Ltd</t>
        </is>
      </c>
      <c r="C205" s="31" t="inlineStr">
        <is>
          <t>healthcare</t>
        </is>
      </c>
      <c r="D205" s="31" t="inlineStr">
        <is>
          <t>healthcare</t>
        </is>
      </c>
      <c r="E205" s="31" t="inlineStr">
        <is>
          <t>largecap</t>
        </is>
      </c>
      <c r="F205" s="31" t="n">
        <v>35695.36</v>
      </c>
      <c r="G205" s="31" t="n">
        <v>1345.3</v>
      </c>
      <c r="H205" s="31" t="n">
        <v>1.3</v>
      </c>
      <c r="I205" s="31" t="n">
        <v>127284</v>
      </c>
      <c r="J205" s="31" t="inlineStr">
        <is>
          <t>543654</t>
        </is>
      </c>
    </row>
    <row r="206">
      <c r="A206" s="31" t="inlineStr">
        <is>
          <t>WSTCSTPAPR</t>
        </is>
      </c>
      <c r="B206" s="31" t="inlineStr">
        <is>
          <t>West Coast Paper Mills Limited</t>
        </is>
      </c>
      <c r="C206" s="31" t="inlineStr">
        <is>
          <t>building materials</t>
        </is>
      </c>
      <c r="D206" s="31" t="inlineStr">
        <is>
          <t>paper</t>
        </is>
      </c>
      <c r="E206" s="31" t="inlineStr">
        <is>
          <t>smallcap</t>
        </is>
      </c>
      <c r="F206" s="31" t="n">
        <v>3468.89</v>
      </c>
      <c r="G206" s="31" t="n">
        <v>532</v>
      </c>
      <c r="H206" s="31" t="n">
        <v>1.29</v>
      </c>
      <c r="I206" s="31" t="n">
        <v>121999</v>
      </c>
      <c r="J206" s="31" t="inlineStr">
        <is>
          <t>500444</t>
        </is>
      </c>
    </row>
    <row r="207">
      <c r="A207" s="31" t="inlineStr">
        <is>
          <t>NHPC</t>
        </is>
      </c>
      <c r="B207" s="31" t="inlineStr">
        <is>
          <t>Nhpc Limited</t>
        </is>
      </c>
      <c r="C207" s="31" t="inlineStr">
        <is>
          <t>power &amp; utilities</t>
        </is>
      </c>
      <c r="D207" s="31" t="inlineStr">
        <is>
          <t>power generation and supply</t>
        </is>
      </c>
      <c r="E207" s="31" t="inlineStr">
        <is>
          <t>largecap</t>
        </is>
      </c>
      <c r="F207" s="31" t="n">
        <v>79928.34</v>
      </c>
      <c r="G207" s="31" t="n">
        <v>80.59</v>
      </c>
      <c r="H207" s="31" t="n">
        <v>1.28</v>
      </c>
      <c r="I207" s="31" t="n">
        <v>15760800</v>
      </c>
      <c r="J207" s="31" t="inlineStr">
        <is>
          <t>533098</t>
        </is>
      </c>
    </row>
    <row r="208">
      <c r="A208" s="31" t="inlineStr">
        <is>
          <t>IPCALAB</t>
        </is>
      </c>
      <c r="B208" s="31" t="inlineStr">
        <is>
          <t>Ipca Laboratories Limited</t>
        </is>
      </c>
      <c r="C208" s="31" t="inlineStr">
        <is>
          <t>healthcare</t>
        </is>
      </c>
      <c r="D208" s="31" t="inlineStr">
        <is>
          <t>pharmaceuticals - indian - bulk drugs &amp; formln</t>
        </is>
      </c>
      <c r="E208" s="31" t="inlineStr">
        <is>
          <t>largecap</t>
        </is>
      </c>
      <c r="F208" s="31" t="n">
        <v>43038.38</v>
      </c>
      <c r="G208" s="31" t="n">
        <v>1718</v>
      </c>
      <c r="H208" s="31" t="n">
        <v>1.27</v>
      </c>
      <c r="I208" s="31" t="n">
        <v>172457</v>
      </c>
      <c r="J208" s="31" t="inlineStr">
        <is>
          <t>524494</t>
        </is>
      </c>
    </row>
    <row r="209">
      <c r="A209" s="31" t="inlineStr">
        <is>
          <t>ANANDRATHI</t>
        </is>
      </c>
      <c r="B209" s="31" t="inlineStr">
        <is>
          <t>Anand Rathi Wealth Ltd</t>
        </is>
      </c>
      <c r="C209" s="31" t="inlineStr">
        <is>
          <t>financials</t>
        </is>
      </c>
      <c r="D209" s="31" t="inlineStr">
        <is>
          <t>finance &amp; investments</t>
        </is>
      </c>
      <c r="E209" s="31" t="inlineStr">
        <is>
          <t>largecap</t>
        </is>
      </c>
      <c r="F209" s="31" t="n">
        <v>32625.45</v>
      </c>
      <c r="G209" s="31" t="n">
        <v>1989.7</v>
      </c>
      <c r="H209" s="31" t="n">
        <v>1.26</v>
      </c>
      <c r="I209" s="31" t="n">
        <v>321393</v>
      </c>
      <c r="J209" s="31" t="inlineStr">
        <is>
          <t>543415</t>
        </is>
      </c>
    </row>
    <row r="210">
      <c r="A210" s="31" t="inlineStr">
        <is>
          <t>OMAXAUTO</t>
        </is>
      </c>
      <c r="B210" s="31" t="inlineStr">
        <is>
          <t>Omax Autos Limited</t>
        </is>
      </c>
      <c r="C210" s="31" t="inlineStr">
        <is>
          <t>auto</t>
        </is>
      </c>
      <c r="D210" s="31" t="inlineStr">
        <is>
          <t>auto ancillaries</t>
        </is>
      </c>
      <c r="E210" s="31" t="inlineStr">
        <is>
          <t>smallcap</t>
        </is>
      </c>
      <c r="F210" s="31" t="n">
        <v>500.57</v>
      </c>
      <c r="G210" s="31" t="n">
        <v>236.99</v>
      </c>
      <c r="H210" s="31" t="n">
        <v>1.26</v>
      </c>
      <c r="I210" s="31" t="n">
        <v>101775</v>
      </c>
      <c r="J210" s="31" t="inlineStr">
        <is>
          <t>520021</t>
        </is>
      </c>
    </row>
    <row r="211">
      <c r="A211" s="31" t="inlineStr">
        <is>
          <t>TEXINFRA</t>
        </is>
      </c>
      <c r="B211" s="31" t="inlineStr">
        <is>
          <t>Texmaco Infrastructure &amp; Holdings Limited</t>
        </is>
      </c>
      <c r="C211" s="31" t="inlineStr">
        <is>
          <t>realty</t>
        </is>
      </c>
      <c r="D211" s="31" t="inlineStr">
        <is>
          <t>construction</t>
        </is>
      </c>
      <c r="E211" s="31" t="inlineStr">
        <is>
          <t>smallcap</t>
        </is>
      </c>
      <c r="F211" s="31" t="n">
        <v>1405.9</v>
      </c>
      <c r="G211" s="31" t="n">
        <v>111.68</v>
      </c>
      <c r="H211" s="31" t="n">
        <v>1.22</v>
      </c>
      <c r="I211" s="31" t="n">
        <v>139564</v>
      </c>
      <c r="J211" s="31" t="inlineStr">
        <is>
          <t>505400</t>
        </is>
      </c>
    </row>
    <row r="212">
      <c r="A212" s="31" t="inlineStr">
        <is>
          <t>DLINKINDIA</t>
        </is>
      </c>
      <c r="B212" s="31" t="inlineStr">
        <is>
          <t>D-link (india) Limited</t>
        </is>
      </c>
      <c r="C212" s="31" t="inlineStr">
        <is>
          <t>services</t>
        </is>
      </c>
      <c r="D212" s="31" t="inlineStr">
        <is>
          <t>trading</t>
        </is>
      </c>
      <c r="E212" s="31" t="inlineStr">
        <is>
          <t>smallcap</t>
        </is>
      </c>
      <c r="F212" s="31" t="n">
        <v>1837.38</v>
      </c>
      <c r="G212" s="31" t="n">
        <v>523.75</v>
      </c>
      <c r="H212" s="31" t="n">
        <v>1.21</v>
      </c>
      <c r="I212" s="31" t="n">
        <v>189452</v>
      </c>
      <c r="J212" s="31" t="inlineStr">
        <is>
          <t>533146</t>
        </is>
      </c>
    </row>
    <row r="213">
      <c r="A213" s="31" t="inlineStr">
        <is>
          <t>BHAGERIA</t>
        </is>
      </c>
      <c r="B213" s="31" t="inlineStr">
        <is>
          <t>Bhageria Industries Limited</t>
        </is>
      </c>
      <c r="C213" s="31" t="inlineStr">
        <is>
          <t>chemicals</t>
        </is>
      </c>
      <c r="D213" s="31" t="inlineStr">
        <is>
          <t>dyes and pigments</t>
        </is>
      </c>
      <c r="E213" s="31" t="inlineStr">
        <is>
          <t>smallcap</t>
        </is>
      </c>
      <c r="F213" s="31" t="n">
        <v>966.54</v>
      </c>
      <c r="G213" s="31" t="n">
        <v>224</v>
      </c>
      <c r="H213" s="31" t="n">
        <v>1.15</v>
      </c>
      <c r="I213" s="31" t="n">
        <v>208944</v>
      </c>
      <c r="J213" s="31" t="inlineStr">
        <is>
          <t>530803</t>
        </is>
      </c>
    </row>
    <row r="214">
      <c r="A214" s="31" t="inlineStr">
        <is>
          <t>VADILALIND</t>
        </is>
      </c>
      <c r="B214" s="31" t="inlineStr">
        <is>
          <t>Vadilal Industries Limited</t>
        </is>
      </c>
      <c r="C214" s="31" t="inlineStr">
        <is>
          <t>fmcg</t>
        </is>
      </c>
      <c r="D214" s="31" t="inlineStr">
        <is>
          <t>food - processing - indian</t>
        </is>
      </c>
      <c r="E214" s="31" t="inlineStr">
        <is>
          <t>smallcap</t>
        </is>
      </c>
      <c r="F214" s="31" t="n">
        <v>4374.15</v>
      </c>
      <c r="G214" s="31" t="n">
        <v>6155</v>
      </c>
      <c r="H214" s="31" t="n">
        <v>1.14</v>
      </c>
      <c r="I214" s="31" t="n">
        <v>9798</v>
      </c>
      <c r="J214" s="31" t="inlineStr">
        <is>
          <t>519156</t>
        </is>
      </c>
    </row>
    <row r="215">
      <c r="A215" s="31" t="inlineStr">
        <is>
          <t>OFSS</t>
        </is>
      </c>
      <c r="B215" s="31" t="inlineStr">
        <is>
          <t>Oracle Financial Services Software Limited</t>
        </is>
      </c>
      <c r="C215" s="31" t="inlineStr">
        <is>
          <t>i.t</t>
        </is>
      </c>
      <c r="D215" s="31" t="inlineStr">
        <is>
          <t>computers - software - large</t>
        </is>
      </c>
      <c r="E215" s="31" t="inlineStr">
        <is>
          <t>largecap</t>
        </is>
      </c>
      <c r="F215" s="31" t="n">
        <v>94546.27</v>
      </c>
      <c r="G215" s="31" t="n">
        <v>10986</v>
      </c>
      <c r="H215" s="31" t="n">
        <v>1.13</v>
      </c>
      <c r="I215" s="31" t="n">
        <v>356692</v>
      </c>
      <c r="J215" s="31" t="inlineStr">
        <is>
          <t>532466</t>
        </is>
      </c>
    </row>
    <row r="216">
      <c r="A216" s="31" t="inlineStr">
        <is>
          <t>RELTD</t>
        </is>
      </c>
      <c r="B216" s="31" t="inlineStr">
        <is>
          <t>Ravindra Energy Ltd</t>
        </is>
      </c>
      <c r="C216" s="31" t="inlineStr">
        <is>
          <t>industrials</t>
        </is>
      </c>
      <c r="D216" s="31" t="inlineStr">
        <is>
          <t>electric equipment</t>
        </is>
      </c>
      <c r="E216" s="31" t="inlineStr">
        <is>
          <t>smallcap</t>
        </is>
      </c>
      <c r="F216" s="31" t="n">
        <v>3260.78</v>
      </c>
      <c r="G216" s="31" t="n">
        <v>166.09</v>
      </c>
      <c r="H216" s="31" t="n">
        <v>1.13</v>
      </c>
      <c r="I216" s="31" t="n">
        <v>393241</v>
      </c>
      <c r="J216" s="31" t="inlineStr">
        <is>
          <t>504341</t>
        </is>
      </c>
    </row>
    <row r="217">
      <c r="A217" s="31" t="inlineStr">
        <is>
          <t>JSWDULUX</t>
        </is>
      </c>
      <c r="B217" s="31" t="inlineStr">
        <is>
          <t>JSW Dulux Ltd</t>
        </is>
      </c>
      <c r="C217" s="31" t="inlineStr">
        <is>
          <t>building materials</t>
        </is>
      </c>
      <c r="D217" s="31" t="inlineStr">
        <is>
          <t>paints / varnishes</t>
        </is>
      </c>
      <c r="E217" s="31" t="inlineStr">
        <is>
          <t>midcap</t>
        </is>
      </c>
      <c r="F217" s="31" t="n">
        <v>14682.2</v>
      </c>
      <c r="G217" s="31" t="n">
        <v>3259.7</v>
      </c>
      <c r="H217" s="31" t="n">
        <v>1.11</v>
      </c>
      <c r="I217" s="31" t="n">
        <v>47774</v>
      </c>
      <c r="J217" s="31" t="inlineStr">
        <is>
          <t>500710</t>
        </is>
      </c>
    </row>
    <row r="218">
      <c r="A218" s="31" t="inlineStr">
        <is>
          <t>ATHERENERG</t>
        </is>
      </c>
      <c r="B218" s="31" t="inlineStr">
        <is>
          <t>Ather Energy Ltd</t>
        </is>
      </c>
      <c r="C218" s="31" t="inlineStr">
        <is>
          <t>auto</t>
        </is>
      </c>
      <c r="D218" s="31" t="inlineStr">
        <is>
          <t>automobiles - scooters and 3 - wheelers</t>
        </is>
      </c>
      <c r="E218" s="31" t="inlineStr">
        <is>
          <t>largecap</t>
        </is>
      </c>
      <c r="F218" s="31" t="n">
        <v>43257.37</v>
      </c>
      <c r="G218" s="31" t="n">
        <v>1143</v>
      </c>
      <c r="H218" s="31" t="n">
        <v>1.11</v>
      </c>
      <c r="I218" s="31" t="n">
        <v>2405066</v>
      </c>
      <c r="J218" s="31" t="inlineStr">
        <is>
          <t>544397</t>
        </is>
      </c>
    </row>
    <row r="219">
      <c r="A219" s="31" t="inlineStr">
        <is>
          <t>VINCOFE</t>
        </is>
      </c>
      <c r="B219" s="31" t="inlineStr">
        <is>
          <t>Vintage Coffee &amp; Beverages Ltd</t>
        </is>
      </c>
      <c r="C219" s="31" t="inlineStr">
        <is>
          <t>consumer discretionary</t>
        </is>
      </c>
      <c r="D219" s="31" t="inlineStr">
        <is>
          <t>trading</t>
        </is>
      </c>
      <c r="E219" s="31" t="inlineStr">
        <is>
          <t>smallcap</t>
        </is>
      </c>
      <c r="F219" s="31" t="n">
        <v>2263.12</v>
      </c>
      <c r="G219" s="31" t="n">
        <v>157.05</v>
      </c>
      <c r="H219" s="31" t="n">
        <v>1.1</v>
      </c>
      <c r="I219" s="31" t="n">
        <v>2765691</v>
      </c>
      <c r="J219" s="31" t="inlineStr">
        <is>
          <t>538920</t>
        </is>
      </c>
    </row>
    <row r="220">
      <c r="A220" s="31" t="inlineStr">
        <is>
          <t>SUPRAJIT</t>
        </is>
      </c>
      <c r="B220" s="31" t="inlineStr">
        <is>
          <t>Suprajit Engineering Limited</t>
        </is>
      </c>
      <c r="C220" s="31" t="inlineStr">
        <is>
          <t>auto</t>
        </is>
      </c>
      <c r="D220" s="31" t="inlineStr">
        <is>
          <t>auto ancillaries</t>
        </is>
      </c>
      <c r="E220" s="31" t="inlineStr">
        <is>
          <t>midcap</t>
        </is>
      </c>
      <c r="F220" s="31" t="n">
        <v>6395.6</v>
      </c>
      <c r="G220" s="31" t="n">
        <v>471.35</v>
      </c>
      <c r="H220" s="31" t="n">
        <v>1.09</v>
      </c>
      <c r="I220" s="31" t="n">
        <v>67548</v>
      </c>
      <c r="J220" s="31" t="inlineStr">
        <is>
          <t>532509</t>
        </is>
      </c>
    </row>
    <row r="221">
      <c r="A221" s="31" t="inlineStr">
        <is>
          <t>GOODLUCK</t>
        </is>
      </c>
      <c r="B221" s="31" t="inlineStr">
        <is>
          <t>Goodluck India Limited</t>
        </is>
      </c>
      <c r="C221" s="31" t="inlineStr">
        <is>
          <t>metals &amp; mining</t>
        </is>
      </c>
      <c r="D221" s="31" t="inlineStr">
        <is>
          <t>steel - medium / small</t>
        </is>
      </c>
      <c r="E221" s="31" t="inlineStr">
        <is>
          <t>smallcap</t>
        </is>
      </c>
      <c r="F221" s="31" t="n">
        <v>4902.02</v>
      </c>
      <c r="G221" s="31" t="n">
        <v>1490.7</v>
      </c>
      <c r="H221" s="31" t="n">
        <v>1.08</v>
      </c>
      <c r="I221" s="31" t="n">
        <v>132243</v>
      </c>
      <c r="J221" s="31" t="inlineStr">
        <is>
          <t>530655</t>
        </is>
      </c>
    </row>
    <row r="222">
      <c r="A222" s="31" t="inlineStr">
        <is>
          <t>ADANIENT</t>
        </is>
      </c>
      <c r="B222" s="31" t="inlineStr">
        <is>
          <t>Adani Enterprises Limited</t>
        </is>
      </c>
      <c r="C222" s="31" t="inlineStr">
        <is>
          <t>services</t>
        </is>
      </c>
      <c r="D222" s="31" t="inlineStr">
        <is>
          <t>trading</t>
        </is>
      </c>
      <c r="E222" s="31" t="inlineStr">
        <is>
          <t>largecap</t>
        </is>
      </c>
      <c r="F222" s="31" t="n">
        <v>406367.64</v>
      </c>
      <c r="G222" s="31" t="n">
        <v>3177.5</v>
      </c>
      <c r="H222" s="31" t="n">
        <v>1.08</v>
      </c>
      <c r="I222" s="31" t="n">
        <v>3400054</v>
      </c>
      <c r="J222" s="31" t="inlineStr">
        <is>
          <t>512599</t>
        </is>
      </c>
    </row>
    <row r="223">
      <c r="A223" s="31" t="inlineStr">
        <is>
          <t>NEULANDLAB</t>
        </is>
      </c>
      <c r="B223" s="31" t="inlineStr">
        <is>
          <t>Neuland Laboratories Limited</t>
        </is>
      </c>
      <c r="C223" s="31" t="inlineStr">
        <is>
          <t>healthcare</t>
        </is>
      </c>
      <c r="D223" s="31" t="inlineStr">
        <is>
          <t>pharmaceuticals - indian - bulk drugs</t>
        </is>
      </c>
      <c r="E223" s="31" t="inlineStr">
        <is>
          <t>largecap</t>
        </is>
      </c>
      <c r="F223" s="31" t="n">
        <v>24102.23</v>
      </c>
      <c r="G223" s="31" t="n">
        <v>18988</v>
      </c>
      <c r="H223" s="31" t="n">
        <v>1.08</v>
      </c>
      <c r="I223" s="31" t="n">
        <v>32223</v>
      </c>
      <c r="J223" s="31" t="inlineStr">
        <is>
          <t>524558</t>
        </is>
      </c>
    </row>
    <row r="224">
      <c r="A224" s="31" t="inlineStr">
        <is>
          <t>KAPSTON</t>
        </is>
      </c>
      <c r="B224" s="31" t="inlineStr">
        <is>
          <t>Kapston Services Ltd</t>
        </is>
      </c>
      <c r="C224" s="31" t="inlineStr">
        <is>
          <t>miscellaneous</t>
        </is>
      </c>
      <c r="D224" s="31" t="inlineStr">
        <is>
          <t>miscellaneous</t>
        </is>
      </c>
      <c r="E224" s="31" t="inlineStr">
        <is>
          <t>smallcap</t>
        </is>
      </c>
      <c r="F224" s="31" t="n">
        <v>1144.1</v>
      </c>
      <c r="G224" s="31" t="n">
        <v>380</v>
      </c>
      <c r="H224" s="31" t="n">
        <v>1.08</v>
      </c>
      <c r="I224" s="31" t="n">
        <v>17456</v>
      </c>
      <c r="J224" s="31" t="inlineStr">
        <is>
          <t>535064</t>
        </is>
      </c>
    </row>
    <row r="225">
      <c r="A225" s="31" t="inlineStr">
        <is>
          <t>KPIL</t>
        </is>
      </c>
      <c r="B225" s="31" t="inlineStr">
        <is>
          <t>Kalpataru Projects International Ltd</t>
        </is>
      </c>
      <c r="C225" s="31" t="inlineStr">
        <is>
          <t>realty</t>
        </is>
      </c>
      <c r="D225" s="31" t="inlineStr">
        <is>
          <t>transmisson line towers / equipment</t>
        </is>
      </c>
      <c r="E225" s="31" t="inlineStr">
        <is>
          <t>largecap</t>
        </is>
      </c>
      <c r="F225" s="31" t="n">
        <v>23151.63</v>
      </c>
      <c r="G225" s="31" t="n">
        <v>1370.2</v>
      </c>
      <c r="H225" s="31" t="n">
        <v>1.07</v>
      </c>
      <c r="I225" s="31" t="n">
        <v>240426</v>
      </c>
      <c r="J225" s="31" t="inlineStr">
        <is>
          <t>522287</t>
        </is>
      </c>
    </row>
    <row r="226">
      <c r="A226" s="31" t="inlineStr">
        <is>
          <t>FLUOROCHEM</t>
        </is>
      </c>
      <c r="B226" s="31" t="inlineStr">
        <is>
          <t>Gujarat Fluorochemicals Ltd</t>
        </is>
      </c>
      <c r="C226" s="31" t="inlineStr">
        <is>
          <t>chemicals</t>
        </is>
      </c>
      <c r="D226" s="31" t="inlineStr">
        <is>
          <t>chemicals</t>
        </is>
      </c>
      <c r="E226" s="31" t="inlineStr">
        <is>
          <t>largecap</t>
        </is>
      </c>
      <c r="F226" s="31" t="n">
        <v>43180.94</v>
      </c>
      <c r="G226" s="31" t="n">
        <v>3972.6</v>
      </c>
      <c r="H226" s="31" t="n">
        <v>1.06</v>
      </c>
      <c r="I226" s="31" t="n">
        <v>123983</v>
      </c>
      <c r="J226" s="31" t="inlineStr">
        <is>
          <t>542812</t>
        </is>
      </c>
    </row>
    <row r="227">
      <c r="A227" s="31" t="inlineStr">
        <is>
          <t>AKUMS</t>
        </is>
      </c>
      <c r="B227" s="31" t="inlineStr">
        <is>
          <t>Akums Drugs &amp; Pharmaceuticals Ltd</t>
        </is>
      </c>
      <c r="C227" s="31" t="inlineStr">
        <is>
          <t>healthcare</t>
        </is>
      </c>
      <c r="D227" s="31" t="inlineStr">
        <is>
          <t>pharmaceuticals - indian - bulk drugs &amp; formln</t>
        </is>
      </c>
      <c r="E227" s="31" t="inlineStr">
        <is>
          <t>midcap</t>
        </is>
      </c>
      <c r="F227" s="31" t="n">
        <v>9929.200000000001</v>
      </c>
      <c r="G227" s="31" t="n">
        <v>637.45</v>
      </c>
      <c r="H227" s="31" t="n">
        <v>1.05</v>
      </c>
      <c r="I227" s="31" t="n">
        <v>182756</v>
      </c>
      <c r="J227" s="31" t="inlineStr">
        <is>
          <t>544222</t>
        </is>
      </c>
    </row>
    <row r="228">
      <c r="A228" s="31" t="inlineStr">
        <is>
          <t>GLOSTERLTD</t>
        </is>
      </c>
      <c r="B228" s="31" t="inlineStr">
        <is>
          <t>Gloster Ltd</t>
        </is>
      </c>
      <c r="C228" s="31" t="inlineStr">
        <is>
          <t>textiles</t>
        </is>
      </c>
      <c r="D228" s="31" t="inlineStr">
        <is>
          <t>textiles - jute - yarn / products</t>
        </is>
      </c>
      <c r="E228" s="31" t="inlineStr">
        <is>
          <t>smallcap</t>
        </is>
      </c>
      <c r="F228" s="31" t="n">
        <v>811.72</v>
      </c>
      <c r="G228" s="31" t="n">
        <v>749.45</v>
      </c>
      <c r="H228" s="31" t="n">
        <v>1.04</v>
      </c>
      <c r="I228" s="31" t="n">
        <v>18378</v>
      </c>
      <c r="J228" s="31" t="inlineStr">
        <is>
          <t>542351</t>
        </is>
      </c>
    </row>
    <row r="229">
      <c r="A229" s="31" t="inlineStr">
        <is>
          <t>MANORAMA</t>
        </is>
      </c>
      <c r="B229" s="31" t="inlineStr">
        <is>
          <t>Manorama Industries Ltd</t>
        </is>
      </c>
      <c r="C229" s="31" t="inlineStr">
        <is>
          <t>fmcg</t>
        </is>
      </c>
      <c r="D229" s="31" t="inlineStr">
        <is>
          <t>food - processing - indian</t>
        </is>
      </c>
      <c r="E229" s="31" t="inlineStr">
        <is>
          <t>midcap</t>
        </is>
      </c>
      <c r="F229" s="31" t="n">
        <v>9344.379999999999</v>
      </c>
      <c r="G229" s="31" t="n">
        <v>1581.2</v>
      </c>
      <c r="H229" s="31" t="n">
        <v>1.04</v>
      </c>
      <c r="I229" s="31" t="n">
        <v>157164</v>
      </c>
      <c r="J229" s="31" t="inlineStr">
        <is>
          <t>541974</t>
        </is>
      </c>
    </row>
    <row r="230">
      <c r="A230" s="31" t="inlineStr">
        <is>
          <t>ASIANPAINT</t>
        </is>
      </c>
      <c r="B230" s="31" t="inlineStr">
        <is>
          <t>Asian Paints Limited</t>
        </is>
      </c>
      <c r="C230" s="31" t="inlineStr">
        <is>
          <t>building materials</t>
        </is>
      </c>
      <c r="D230" s="31" t="inlineStr">
        <is>
          <t>paints / varnishes</t>
        </is>
      </c>
      <c r="E230" s="31" t="inlineStr">
        <is>
          <t>largecap</t>
        </is>
      </c>
      <c r="F230" s="31" t="n">
        <v>260556.49</v>
      </c>
      <c r="G230" s="31" t="n">
        <v>2744.5</v>
      </c>
      <c r="H230" s="31" t="n">
        <v>1.03</v>
      </c>
      <c r="I230" s="31" t="n">
        <v>1629567</v>
      </c>
      <c r="J230" s="31" t="inlineStr">
        <is>
          <t>500820</t>
        </is>
      </c>
    </row>
    <row r="231">
      <c r="A231" s="31" t="inlineStr">
        <is>
          <t>MGEL</t>
        </is>
      </c>
      <c r="B231" s="31" t="inlineStr">
        <is>
          <t>Mangalam Global Enterprise Ltd</t>
        </is>
      </c>
      <c r="C231" s="31" t="inlineStr">
        <is>
          <t>services</t>
        </is>
      </c>
      <c r="D231" s="31" t="inlineStr">
        <is>
          <t>trading</t>
        </is>
      </c>
      <c r="E231" s="31" t="inlineStr">
        <is>
          <t>smallcap</t>
        </is>
      </c>
      <c r="F231" s="31" t="n">
        <v>544.4299999999999</v>
      </c>
      <c r="G231" s="31" t="n">
        <v>16.69</v>
      </c>
      <c r="H231" s="31" t="n">
        <v>1.03</v>
      </c>
      <c r="I231" s="31" t="n">
        <v>167287</v>
      </c>
      <c r="J231" s="31" t="inlineStr">
        <is>
          <t>535349</t>
        </is>
      </c>
    </row>
    <row r="232">
      <c r="A232" s="31" t="inlineStr">
        <is>
          <t>JINDALSAW</t>
        </is>
      </c>
      <c r="B232" s="31" t="inlineStr">
        <is>
          <t>Jindal Saw Limited</t>
        </is>
      </c>
      <c r="C232" s="31" t="inlineStr">
        <is>
          <t>industrials</t>
        </is>
      </c>
      <c r="D232" s="31" t="inlineStr">
        <is>
          <t>steel - large</t>
        </is>
      </c>
      <c r="E232" s="31" t="inlineStr">
        <is>
          <t>midcap</t>
        </is>
      </c>
      <c r="F232" s="31" t="n">
        <v>16643.2</v>
      </c>
      <c r="G232" s="31" t="n">
        <v>262.9</v>
      </c>
      <c r="H232" s="31" t="n">
        <v>1.02</v>
      </c>
      <c r="I232" s="31" t="n">
        <v>1581060</v>
      </c>
      <c r="J232" s="31" t="inlineStr">
        <is>
          <t>500378</t>
        </is>
      </c>
    </row>
    <row r="233">
      <c r="A233" s="31" t="inlineStr">
        <is>
          <t>TPLPLASTEH</t>
        </is>
      </c>
      <c r="B233" s="31" t="inlineStr">
        <is>
          <t>Tpl Plastech Limited</t>
        </is>
      </c>
      <c r="C233" s="31" t="inlineStr">
        <is>
          <t>industrials</t>
        </is>
      </c>
      <c r="D233" s="31" t="inlineStr">
        <is>
          <t>packaging</t>
        </is>
      </c>
      <c r="E233" s="31" t="inlineStr">
        <is>
          <t>smallcap</t>
        </is>
      </c>
      <c r="F233" s="31" t="n">
        <v>562.48</v>
      </c>
      <c r="G233" s="31" t="n">
        <v>72.84</v>
      </c>
      <c r="H233" s="31" t="n">
        <v>1.01</v>
      </c>
      <c r="I233" s="31" t="n">
        <v>30537</v>
      </c>
      <c r="J233" s="31" t="inlineStr">
        <is>
          <t>526582</t>
        </is>
      </c>
    </row>
    <row r="234">
      <c r="A234" s="31" t="inlineStr">
        <is>
          <t>ARVINDFASN</t>
        </is>
      </c>
      <c r="B234" s="31" t="inlineStr">
        <is>
          <t>Arvind Fashions Ltd</t>
        </is>
      </c>
      <c r="C234" s="31" t="inlineStr">
        <is>
          <t>consumer discretionary</t>
        </is>
      </c>
      <c r="D234" s="31" t="inlineStr">
        <is>
          <t>trading</t>
        </is>
      </c>
      <c r="E234" s="31" t="inlineStr">
        <is>
          <t>midcap</t>
        </is>
      </c>
      <c r="F234" s="31" t="n">
        <v>6285.13</v>
      </c>
      <c r="G234" s="31" t="n">
        <v>475</v>
      </c>
      <c r="H234" s="31" t="n">
        <v>1.01</v>
      </c>
      <c r="I234" s="31" t="n">
        <v>245355</v>
      </c>
      <c r="J234" s="31" t="inlineStr">
        <is>
          <t>542484</t>
        </is>
      </c>
    </row>
    <row r="235">
      <c r="A235" s="31" t="inlineStr">
        <is>
          <t>RAJRATAN</t>
        </is>
      </c>
      <c r="B235" s="31" t="inlineStr">
        <is>
          <t>Rajratan Global Wire Ltd</t>
        </is>
      </c>
      <c r="C235" s="31" t="inlineStr">
        <is>
          <t>metals &amp; mining</t>
        </is>
      </c>
      <c r="D235" s="31" t="inlineStr">
        <is>
          <t>steel - medium / small</t>
        </is>
      </c>
      <c r="E235" s="31" t="inlineStr">
        <is>
          <t>smallcap</t>
        </is>
      </c>
      <c r="F235" s="31" t="n">
        <v>2278.35</v>
      </c>
      <c r="G235" s="31" t="n">
        <v>453.25</v>
      </c>
      <c r="H235" s="31" t="n">
        <v>1</v>
      </c>
      <c r="I235" s="31" t="n">
        <v>55917</v>
      </c>
      <c r="J235" s="31" t="inlineStr">
        <is>
          <t>517522</t>
        </is>
      </c>
    </row>
    <row r="236">
      <c r="A236" s="31" t="inlineStr">
        <is>
          <t>TALBROAUTO</t>
        </is>
      </c>
      <c r="B236" s="31" t="inlineStr">
        <is>
          <t>Talbros Automotive Components Limited</t>
        </is>
      </c>
      <c r="C236" s="31" t="inlineStr">
        <is>
          <t>auto</t>
        </is>
      </c>
      <c r="D236" s="31" t="inlineStr">
        <is>
          <t>auto ancillaries</t>
        </is>
      </c>
      <c r="E236" s="31" t="inlineStr">
        <is>
          <t>smallcap</t>
        </is>
      </c>
      <c r="F236" s="31" t="n">
        <v>2629.31</v>
      </c>
      <c r="G236" s="31" t="n">
        <v>430.15</v>
      </c>
      <c r="H236" s="31" t="n">
        <v>0.99</v>
      </c>
      <c r="I236" s="31" t="n">
        <v>288029</v>
      </c>
      <c r="J236" s="31" t="inlineStr">
        <is>
          <t>505160</t>
        </is>
      </c>
    </row>
    <row r="237">
      <c r="A237" s="31" t="inlineStr">
        <is>
          <t>SUNDRMFAST</t>
        </is>
      </c>
      <c r="B237" s="31" t="inlineStr">
        <is>
          <t>Sundram Fasteners Limited</t>
        </is>
      </c>
      <c r="C237" s="31" t="inlineStr">
        <is>
          <t>auto</t>
        </is>
      </c>
      <c r="D237" s="31" t="inlineStr">
        <is>
          <t>auto ancillaries</t>
        </is>
      </c>
      <c r="E237" s="31" t="inlineStr">
        <is>
          <t>midcap</t>
        </is>
      </c>
      <c r="F237" s="31" t="n">
        <v>19696.38</v>
      </c>
      <c r="G237" s="31" t="n">
        <v>946.55</v>
      </c>
      <c r="H237" s="31" t="n">
        <v>0.98</v>
      </c>
      <c r="I237" s="31" t="n">
        <v>96109</v>
      </c>
      <c r="J237" s="31" t="inlineStr">
        <is>
          <t>500403</t>
        </is>
      </c>
    </row>
    <row r="238">
      <c r="A238" s="31" t="inlineStr">
        <is>
          <t>MUFIN</t>
        </is>
      </c>
      <c r="B238" s="31" t="inlineStr">
        <is>
          <t>Mufin Green Finance Ltd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2655.37</v>
      </c>
      <c r="G238" s="31" t="n">
        <v>135.3</v>
      </c>
      <c r="H238" s="31" t="n">
        <v>0.97</v>
      </c>
      <c r="I238" s="31" t="n">
        <v>1647295</v>
      </c>
      <c r="J238" s="31" t="inlineStr">
        <is>
          <t>542774</t>
        </is>
      </c>
    </row>
    <row r="239">
      <c r="A239" s="31" t="inlineStr">
        <is>
          <t>PANACEABIO</t>
        </is>
      </c>
      <c r="B239" s="31" t="inlineStr">
        <is>
          <t>Panacea Biotec Limited</t>
        </is>
      </c>
      <c r="C239" s="31" t="inlineStr">
        <is>
          <t>healthcare</t>
        </is>
      </c>
      <c r="D239" s="31" t="inlineStr">
        <is>
          <t>pharmaceuticals - indian - bulk drugs &amp; formln</t>
        </is>
      </c>
      <c r="E239" s="31" t="inlineStr">
        <is>
          <t>smallcap</t>
        </is>
      </c>
      <c r="F239" s="31" t="n">
        <v>3326.22</v>
      </c>
      <c r="G239" s="31" t="n">
        <v>548.25</v>
      </c>
      <c r="H239" s="31" t="n">
        <v>0.96</v>
      </c>
      <c r="I239" s="31" t="n">
        <v>226404</v>
      </c>
      <c r="J239" s="31" t="inlineStr">
        <is>
          <t>531349</t>
        </is>
      </c>
    </row>
    <row r="240">
      <c r="A240" s="31" t="inlineStr">
        <is>
          <t>PRUDENT</t>
        </is>
      </c>
      <c r="B240" s="31" t="inlineStr">
        <is>
          <t>Prudent Corporate Advisory Services Ltd</t>
        </is>
      </c>
      <c r="C240" s="31" t="inlineStr">
        <is>
          <t>financials</t>
        </is>
      </c>
      <c r="D240" s="31" t="inlineStr">
        <is>
          <t>finance &amp; investments</t>
        </is>
      </c>
      <c r="E240" s="31" t="inlineStr">
        <is>
          <t>midcap</t>
        </is>
      </c>
      <c r="F240" s="31" t="n">
        <v>12318.49</v>
      </c>
      <c r="G240" s="31" t="n">
        <v>3003.6</v>
      </c>
      <c r="H240" s="31" t="n">
        <v>0.96</v>
      </c>
      <c r="I240" s="31" t="n">
        <v>8300</v>
      </c>
      <c r="J240" s="31" t="inlineStr">
        <is>
          <t>543527</t>
        </is>
      </c>
    </row>
    <row r="241">
      <c r="A241" s="31" t="inlineStr">
        <is>
          <t>TBOTEK</t>
        </is>
      </c>
      <c r="B241" s="31" t="inlineStr">
        <is>
          <t>TBO Tek Ltd</t>
        </is>
      </c>
      <c r="C241" s="31" t="inlineStr">
        <is>
          <t>i.t</t>
        </is>
      </c>
      <c r="D241" s="31" t="inlineStr">
        <is>
          <t>travel agencies</t>
        </is>
      </c>
      <c r="E241" s="31" t="inlineStr">
        <is>
          <t>midcap</t>
        </is>
      </c>
      <c r="F241" s="31" t="n">
        <v>16418.47</v>
      </c>
      <c r="G241" s="31" t="n">
        <v>1526.3</v>
      </c>
      <c r="H241" s="31" t="n">
        <v>0.95</v>
      </c>
      <c r="I241" s="31" t="n">
        <v>1830665</v>
      </c>
      <c r="J241" s="31" t="inlineStr">
        <is>
          <t>544174</t>
        </is>
      </c>
    </row>
    <row r="242">
      <c r="A242" s="31" t="inlineStr">
        <is>
          <t>WELSPUNLIV</t>
        </is>
      </c>
      <c r="B242" s="31" t="inlineStr">
        <is>
          <t>Welspun Living Ltd</t>
        </is>
      </c>
      <c r="C242" s="31" t="inlineStr">
        <is>
          <t>textiles</t>
        </is>
      </c>
      <c r="D242" s="31" t="inlineStr">
        <is>
          <t>textiles - products</t>
        </is>
      </c>
      <c r="E242" s="31" t="inlineStr">
        <is>
          <t>midcap</t>
        </is>
      </c>
      <c r="F242" s="31" t="n">
        <v>15850.95</v>
      </c>
      <c r="G242" s="31" t="n">
        <v>166.83</v>
      </c>
      <c r="H242" s="31" t="n">
        <v>0.95</v>
      </c>
      <c r="I242" s="31" t="n">
        <v>1425211</v>
      </c>
      <c r="J242" s="31" t="inlineStr">
        <is>
          <t>514162</t>
        </is>
      </c>
    </row>
    <row r="243">
      <c r="A243" s="31" t="inlineStr">
        <is>
          <t>ICIL</t>
        </is>
      </c>
      <c r="B243" s="31" t="inlineStr">
        <is>
          <t>Indo Count Industries Limited</t>
        </is>
      </c>
      <c r="C243" s="31" t="inlineStr">
        <is>
          <t>textiles</t>
        </is>
      </c>
      <c r="D243" s="31" t="inlineStr">
        <is>
          <t>textiles - cotton/blended</t>
        </is>
      </c>
      <c r="E243" s="31" t="inlineStr">
        <is>
          <t>midcap</t>
        </is>
      </c>
      <c r="F243" s="31" t="n">
        <v>8652.99</v>
      </c>
      <c r="G243" s="31" t="n">
        <v>441.05</v>
      </c>
      <c r="H243" s="31" t="n">
        <v>0.95</v>
      </c>
      <c r="I243" s="31" t="n">
        <v>388126</v>
      </c>
      <c r="J243" s="31" t="inlineStr">
        <is>
          <t>521016</t>
        </is>
      </c>
    </row>
    <row r="244">
      <c r="A244" s="31" t="inlineStr">
        <is>
          <t>GRASIM</t>
        </is>
      </c>
      <c r="B244" s="31" t="inlineStr">
        <is>
          <t>Grasim Industries Limited</t>
        </is>
      </c>
      <c r="C244" s="31" t="inlineStr">
        <is>
          <t>textiles</t>
        </is>
      </c>
      <c r="D244" s="31" t="inlineStr">
        <is>
          <t>textiles - manmade</t>
        </is>
      </c>
      <c r="E244" s="31" t="inlineStr">
        <is>
          <t>largecap</t>
        </is>
      </c>
      <c r="F244" s="31" t="n">
        <v>213729.52</v>
      </c>
      <c r="G244" s="31" t="n">
        <v>3169.2</v>
      </c>
      <c r="H244" s="31" t="n">
        <v>0.92</v>
      </c>
      <c r="I244" s="31" t="n">
        <v>449711</v>
      </c>
      <c r="J244" s="31" t="inlineStr">
        <is>
          <t>500300</t>
        </is>
      </c>
    </row>
    <row r="245">
      <c r="A245" s="31" t="inlineStr">
        <is>
          <t>APOLLOHOSP</t>
        </is>
      </c>
      <c r="B245" s="31" t="inlineStr">
        <is>
          <t>Apollo Hospitals Enterprise Limited</t>
        </is>
      </c>
      <c r="C245" s="31" t="inlineStr">
        <is>
          <t>healthcare</t>
        </is>
      </c>
      <c r="D245" s="31" t="inlineStr">
        <is>
          <t>healthcare</t>
        </is>
      </c>
      <c r="E245" s="31" t="inlineStr">
        <is>
          <t>largecap</t>
        </is>
      </c>
      <c r="F245" s="31" t="n">
        <v>123920.81</v>
      </c>
      <c r="G245" s="31" t="n">
        <v>8696</v>
      </c>
      <c r="H245" s="31" t="n">
        <v>0.9</v>
      </c>
      <c r="I245" s="31" t="n">
        <v>152717</v>
      </c>
      <c r="J245" s="31" t="inlineStr">
        <is>
          <t>508869</t>
        </is>
      </c>
    </row>
    <row r="246">
      <c r="A246" s="31" t="inlineStr">
        <is>
          <t>GODREJIND</t>
        </is>
      </c>
      <c r="B246" s="31" t="inlineStr">
        <is>
          <t>Godrej Industries Limited</t>
        </is>
      </c>
      <c r="C246" s="31" t="inlineStr">
        <is>
          <t>chemicals</t>
        </is>
      </c>
      <c r="D246" s="31" t="inlineStr">
        <is>
          <t>chemicals</t>
        </is>
      </c>
      <c r="E246" s="31" t="inlineStr">
        <is>
          <t>largecap</t>
        </is>
      </c>
      <c r="F246" s="31" t="n">
        <v>40329.01</v>
      </c>
      <c r="G246" s="31" t="n">
        <v>1208</v>
      </c>
      <c r="H246" s="31" t="n">
        <v>0.89</v>
      </c>
      <c r="I246" s="31" t="n">
        <v>185256</v>
      </c>
      <c r="J246" s="31" t="inlineStr">
        <is>
          <t>500164</t>
        </is>
      </c>
    </row>
    <row r="247">
      <c r="A247" s="31" t="inlineStr">
        <is>
          <t>AMBIKCO</t>
        </is>
      </c>
      <c r="B247" s="31" t="inlineStr">
        <is>
          <t>Ambika Cotton Mills Limited</t>
        </is>
      </c>
      <c r="C247" s="31" t="inlineStr">
        <is>
          <t>textiles</t>
        </is>
      </c>
      <c r="D247" s="31" t="inlineStr">
        <is>
          <t>textiles - cotton/blended</t>
        </is>
      </c>
      <c r="E247" s="31" t="inlineStr">
        <is>
          <t>smallcap</t>
        </is>
      </c>
      <c r="F247" s="31" t="n">
        <v>995.63</v>
      </c>
      <c r="G247" s="31" t="n">
        <v>1754.4</v>
      </c>
      <c r="H247" s="31" t="n">
        <v>0.88</v>
      </c>
      <c r="I247" s="31" t="n">
        <v>9666</v>
      </c>
      <c r="J247" s="31" t="inlineStr">
        <is>
          <t>531978</t>
        </is>
      </c>
    </row>
    <row r="248">
      <c r="A248" s="31" t="inlineStr">
        <is>
          <t>FDC</t>
        </is>
      </c>
      <c r="B248" s="31" t="inlineStr">
        <is>
          <t>Fdc Limited</t>
        </is>
      </c>
      <c r="C248" s="31" t="inlineStr">
        <is>
          <t>healthcare</t>
        </is>
      </c>
      <c r="D248" s="31" t="inlineStr">
        <is>
          <t>pharmaceuticals - indian - bulk drugs &amp; formln</t>
        </is>
      </c>
      <c r="E248" s="31" t="inlineStr">
        <is>
          <t>midcap</t>
        </is>
      </c>
      <c r="F248" s="31" t="n">
        <v>7009.79</v>
      </c>
      <c r="G248" s="31" t="n">
        <v>434.25</v>
      </c>
      <c r="H248" s="31" t="n">
        <v>0.86</v>
      </c>
      <c r="I248" s="31" t="n">
        <v>237110</v>
      </c>
      <c r="J248" s="31" t="inlineStr">
        <is>
          <t>531599</t>
        </is>
      </c>
    </row>
    <row r="249">
      <c r="A249" s="31" t="inlineStr">
        <is>
          <t>GEOJITFSL</t>
        </is>
      </c>
      <c r="B249" s="31" t="inlineStr">
        <is>
          <t>Geojit Financial Services Ltd</t>
        </is>
      </c>
      <c r="C249" s="31" t="inlineStr">
        <is>
          <t>financials</t>
        </is>
      </c>
      <c r="D249" s="31" t="inlineStr">
        <is>
          <t>finance &amp; investments</t>
        </is>
      </c>
      <c r="E249" s="31" t="inlineStr">
        <is>
          <t>smallcap</t>
        </is>
      </c>
      <c r="F249" s="31" t="n">
        <v>2185.81</v>
      </c>
      <c r="G249" s="31" t="n">
        <v>78.97</v>
      </c>
      <c r="H249" s="31" t="n">
        <v>0.84</v>
      </c>
      <c r="I249" s="31" t="n">
        <v>183156</v>
      </c>
      <c r="J249" s="31" t="inlineStr">
        <is>
          <t>532285</t>
        </is>
      </c>
    </row>
    <row r="250">
      <c r="A250" s="31" t="inlineStr">
        <is>
          <t>REDTAPE</t>
        </is>
      </c>
      <c r="B250" s="31" t="inlineStr">
        <is>
          <t>Redtape Ltd</t>
        </is>
      </c>
      <c r="C250" s="31" t="inlineStr">
        <is>
          <t>consumer discretionary</t>
        </is>
      </c>
      <c r="D250" s="31" t="inlineStr">
        <is>
          <t>trading</t>
        </is>
      </c>
      <c r="E250" s="31" t="inlineStr">
        <is>
          <t>midcap</t>
        </is>
      </c>
      <c r="F250" s="31" t="n">
        <v>7528.13</v>
      </c>
      <c r="G250" s="31" t="n">
        <v>137.33</v>
      </c>
      <c r="H250" s="31" t="n">
        <v>0.84</v>
      </c>
      <c r="I250" s="31" t="n">
        <v>191846</v>
      </c>
      <c r="J250" s="31" t="inlineStr">
        <is>
          <t>543957</t>
        </is>
      </c>
    </row>
    <row r="251">
      <c r="A251" s="31" t="inlineStr">
        <is>
          <t>INDIGO</t>
        </is>
      </c>
      <c r="B251" s="31" t="inlineStr">
        <is>
          <t>Interglobe Aviation Limited</t>
        </is>
      </c>
      <c r="C251" s="31" t="inlineStr">
        <is>
          <t>transportation</t>
        </is>
      </c>
      <c r="D251" s="31" t="inlineStr">
        <is>
          <t>transport - airlines</t>
        </is>
      </c>
      <c r="E251" s="31" t="inlineStr">
        <is>
          <t>largecap</t>
        </is>
      </c>
      <c r="F251" s="31" t="n">
        <v>208732.36</v>
      </c>
      <c r="G251" s="31" t="n">
        <v>5444</v>
      </c>
      <c r="H251" s="31" t="n">
        <v>0.83</v>
      </c>
      <c r="I251" s="31" t="n">
        <v>991002</v>
      </c>
      <c r="J251" s="31" t="inlineStr">
        <is>
          <t>539448</t>
        </is>
      </c>
    </row>
    <row r="252">
      <c r="A252" s="31" t="inlineStr">
        <is>
          <t>KIMS</t>
        </is>
      </c>
      <c r="B252" s="31" t="inlineStr">
        <is>
          <t>Krishna Institute of Medical Sciences Ltd</t>
        </is>
      </c>
      <c r="C252" s="31" t="inlineStr">
        <is>
          <t>healthcare</t>
        </is>
      </c>
      <c r="D252" s="31" t="inlineStr">
        <is>
          <t>healthcare</t>
        </is>
      </c>
      <c r="E252" s="31" t="inlineStr">
        <is>
          <t>largecap</t>
        </is>
      </c>
      <c r="F252" s="31" t="n">
        <v>33251.55</v>
      </c>
      <c r="G252" s="31" t="n">
        <v>837.9</v>
      </c>
      <c r="H252" s="31" t="n">
        <v>0.83</v>
      </c>
      <c r="I252" s="31" t="n">
        <v>564664</v>
      </c>
      <c r="J252" s="31" t="inlineStr">
        <is>
          <t>543307</t>
        </is>
      </c>
    </row>
    <row r="253">
      <c r="A253" s="31" t="inlineStr">
        <is>
          <t>LTF</t>
        </is>
      </c>
      <c r="B253" s="31" t="inlineStr">
        <is>
          <t>L&amp;T Finance Ltd</t>
        </is>
      </c>
      <c r="C253" s="31" t="inlineStr">
        <is>
          <t>financials</t>
        </is>
      </c>
      <c r="D253" s="31" t="inlineStr">
        <is>
          <t>finance &amp; investments</t>
        </is>
      </c>
      <c r="E253" s="31" t="inlineStr">
        <is>
          <t>largecap</t>
        </is>
      </c>
      <c r="F253" s="31" t="n">
        <v>78312.14999999999</v>
      </c>
      <c r="G253" s="31" t="n">
        <v>315.25</v>
      </c>
      <c r="H253" s="31" t="n">
        <v>0.82</v>
      </c>
      <c r="I253" s="31" t="n">
        <v>4080354</v>
      </c>
      <c r="J253" s="31" t="inlineStr">
        <is>
          <t>533519</t>
        </is>
      </c>
    </row>
    <row r="254">
      <c r="A254" s="31" t="inlineStr">
        <is>
          <t>RESPONIND</t>
        </is>
      </c>
      <c r="B254" s="31" t="inlineStr">
        <is>
          <t>Responsive Industries Limited</t>
        </is>
      </c>
      <c r="C254" s="31" t="inlineStr">
        <is>
          <t>plastic products</t>
        </is>
      </c>
      <c r="D254" s="31" t="inlineStr">
        <is>
          <t>plastics products</t>
        </is>
      </c>
      <c r="E254" s="31" t="inlineStr">
        <is>
          <t>midcap</t>
        </is>
      </c>
      <c r="F254" s="31" t="n">
        <v>5355.63</v>
      </c>
      <c r="G254" s="31" t="n">
        <v>202.5</v>
      </c>
      <c r="H254" s="31" t="n">
        <v>0.8100000000000001</v>
      </c>
      <c r="I254" s="31" t="n">
        <v>33513</v>
      </c>
      <c r="J254" s="31" t="inlineStr">
        <is>
          <t>505509</t>
        </is>
      </c>
    </row>
    <row r="255">
      <c r="A255" s="31" t="inlineStr">
        <is>
          <t>PAYTM</t>
        </is>
      </c>
      <c r="B255" s="31" t="inlineStr">
        <is>
          <t>One 97 Communications Ltd</t>
        </is>
      </c>
      <c r="C255" s="31" t="inlineStr">
        <is>
          <t>i.t</t>
        </is>
      </c>
      <c r="D255" s="31" t="inlineStr">
        <is>
          <t>miscellaneous</t>
        </is>
      </c>
      <c r="E255" s="31" t="inlineStr">
        <is>
          <t>largecap</t>
        </is>
      </c>
      <c r="F255" s="31" t="n">
        <v>77042.3</v>
      </c>
      <c r="G255" s="31" t="n">
        <v>1213.4</v>
      </c>
      <c r="H255" s="31" t="n">
        <v>0.8100000000000001</v>
      </c>
      <c r="I255" s="31" t="n">
        <v>2345056</v>
      </c>
      <c r="J255" s="31" t="inlineStr">
        <is>
          <t>543396</t>
        </is>
      </c>
    </row>
    <row r="256">
      <c r="A256" s="31" t="inlineStr">
        <is>
          <t>CUB</t>
        </is>
      </c>
      <c r="B256" s="31" t="inlineStr">
        <is>
          <t>City Union Bank Limited</t>
        </is>
      </c>
      <c r="C256" s="31" t="inlineStr">
        <is>
          <t>bank</t>
        </is>
      </c>
      <c r="D256" s="31" t="inlineStr">
        <is>
          <t>banks - private sector</t>
        </is>
      </c>
      <c r="E256" s="31" t="inlineStr">
        <is>
          <t>midcap</t>
        </is>
      </c>
      <c r="F256" s="31" t="n">
        <v>16053.54</v>
      </c>
      <c r="G256" s="31" t="n">
        <v>217.8</v>
      </c>
      <c r="H256" s="31" t="n">
        <v>0.8100000000000001</v>
      </c>
      <c r="I256" s="31" t="n">
        <v>4341950</v>
      </c>
      <c r="J256" s="31" t="inlineStr">
        <is>
          <t>532210</t>
        </is>
      </c>
    </row>
    <row r="257">
      <c r="A257" s="31" t="inlineStr">
        <is>
          <t>NAZARA</t>
        </is>
      </c>
      <c r="B257" s="31" t="inlineStr">
        <is>
          <t>Nazara Technologies Ltd</t>
        </is>
      </c>
      <c r="C257" s="31" t="inlineStr">
        <is>
          <t>i.t</t>
        </is>
      </c>
      <c r="D257" s="31" t="inlineStr">
        <is>
          <t>telecommunications - service provider</t>
        </is>
      </c>
      <c r="E257" s="31" t="inlineStr">
        <is>
          <t>midcap</t>
        </is>
      </c>
      <c r="F257" s="31" t="n">
        <v>11217.68</v>
      </c>
      <c r="G257" s="31" t="n">
        <v>305.25</v>
      </c>
      <c r="H257" s="31" t="n">
        <v>0.8100000000000001</v>
      </c>
      <c r="I257" s="31" t="n">
        <v>4303661</v>
      </c>
      <c r="J257" s="31" t="inlineStr">
        <is>
          <t>543280</t>
        </is>
      </c>
    </row>
    <row r="258">
      <c r="A258" s="31" t="inlineStr">
        <is>
          <t>NAVINFLUOR</t>
        </is>
      </c>
      <c r="B258" s="31" t="inlineStr">
        <is>
          <t>Navin Fluorine International Limited</t>
        </is>
      </c>
      <c r="C258" s="31" t="inlineStr">
        <is>
          <t>chemicals</t>
        </is>
      </c>
      <c r="D258" s="31" t="inlineStr">
        <is>
          <t>chemicals</t>
        </is>
      </c>
      <c r="E258" s="31" t="inlineStr">
        <is>
          <t>largecap</t>
        </is>
      </c>
      <c r="F258" s="31" t="n">
        <v>38872.04</v>
      </c>
      <c r="G258" s="31" t="n">
        <v>7646.5</v>
      </c>
      <c r="H258" s="31" t="n">
        <v>0.8100000000000001</v>
      </c>
      <c r="I258" s="31" t="n">
        <v>79203</v>
      </c>
      <c r="J258" s="31" t="inlineStr">
        <is>
          <t>532504</t>
        </is>
      </c>
    </row>
    <row r="259">
      <c r="A259" s="31" t="inlineStr">
        <is>
          <t>PIXTRANS</t>
        </is>
      </c>
      <c r="B259" s="31" t="inlineStr">
        <is>
          <t>Pix Transmission Ltd</t>
        </is>
      </c>
      <c r="C259" s="31" t="inlineStr">
        <is>
          <t>fmcg</t>
        </is>
      </c>
      <c r="D259" s="31" t="inlineStr">
        <is>
          <t>miscellaneous</t>
        </is>
      </c>
      <c r="E259" s="31" t="inlineStr">
        <is>
          <t>smallcap</t>
        </is>
      </c>
      <c r="F259" s="31" t="n">
        <v>2480.06</v>
      </c>
      <c r="G259" s="31" t="n">
        <v>1834.8</v>
      </c>
      <c r="H259" s="31" t="n">
        <v>0.8</v>
      </c>
      <c r="I259" s="31" t="n">
        <v>61875</v>
      </c>
      <c r="J259" s="31" t="inlineStr">
        <is>
          <t>500333</t>
        </is>
      </c>
    </row>
    <row r="260">
      <c r="A260" s="31" t="inlineStr">
        <is>
          <t>INNOVACAP</t>
        </is>
      </c>
      <c r="B260" s="31" t="inlineStr">
        <is>
          <t>Innova Captab Ltd</t>
        </is>
      </c>
      <c r="C260" s="31" t="inlineStr">
        <is>
          <t>healthcare</t>
        </is>
      </c>
      <c r="D260" s="31" t="inlineStr">
        <is>
          <t>pharmaceuticals - indian - bulk drugs &amp; formln</t>
        </is>
      </c>
      <c r="E260" s="31" t="inlineStr">
        <is>
          <t>midcap</t>
        </is>
      </c>
      <c r="F260" s="31" t="n">
        <v>5569.99</v>
      </c>
      <c r="G260" s="31" t="n">
        <v>980.85</v>
      </c>
      <c r="H260" s="31" t="n">
        <v>0.77</v>
      </c>
      <c r="I260" s="31" t="n">
        <v>26136</v>
      </c>
      <c r="J260" s="31" t="inlineStr">
        <is>
          <t>544067</t>
        </is>
      </c>
    </row>
    <row r="261">
      <c r="A261" s="31" t="inlineStr">
        <is>
          <t>SPARC</t>
        </is>
      </c>
      <c r="B261" s="31" t="inlineStr">
        <is>
          <t>Sun Pharma Advanced Research Company Limited</t>
        </is>
      </c>
      <c r="C261" s="31" t="inlineStr">
        <is>
          <t>healthcare</t>
        </is>
      </c>
      <c r="D261" s="31" t="inlineStr">
        <is>
          <t>miscellaneous</t>
        </is>
      </c>
      <c r="E261" s="31" t="inlineStr">
        <is>
          <t>midcap</t>
        </is>
      </c>
      <c r="F261" s="31" t="n">
        <v>7707.39</v>
      </c>
      <c r="G261" s="31" t="n">
        <v>239.32</v>
      </c>
      <c r="H261" s="31" t="n">
        <v>0.77</v>
      </c>
      <c r="I261" s="31" t="n">
        <v>967268</v>
      </c>
      <c r="J261" s="31" t="inlineStr">
        <is>
          <t>532872</t>
        </is>
      </c>
    </row>
    <row r="262">
      <c r="A262" s="31" t="inlineStr">
        <is>
          <t>IDFCFIRSTB</t>
        </is>
      </c>
      <c r="B262" s="31" t="inlineStr">
        <is>
          <t>IDFC First Bank Ltd</t>
        </is>
      </c>
      <c r="C262" s="31" t="inlineStr">
        <is>
          <t>bank</t>
        </is>
      </c>
      <c r="D262" s="31" t="inlineStr">
        <is>
          <t>banks - private sector</t>
        </is>
      </c>
      <c r="E262" s="31" t="inlineStr">
        <is>
          <t>largecap</t>
        </is>
      </c>
      <c r="F262" s="31" t="n">
        <v>67893.21000000001</v>
      </c>
      <c r="G262" s="31" t="n">
        <v>79.52</v>
      </c>
      <c r="H262" s="31" t="n">
        <v>0.75</v>
      </c>
      <c r="I262" s="31" t="n">
        <v>24581667</v>
      </c>
      <c r="J262" s="31" t="inlineStr">
        <is>
          <t>539437</t>
        </is>
      </c>
    </row>
    <row r="263">
      <c r="A263" s="31" t="inlineStr">
        <is>
          <t>DIACABS</t>
        </is>
      </c>
      <c r="B263" s="31" t="inlineStr">
        <is>
          <t>Diamond Power Infrastructure Ltd</t>
        </is>
      </c>
      <c r="C263" s="31" t="inlineStr">
        <is>
          <t>industrials</t>
        </is>
      </c>
      <c r="D263" s="31" t="inlineStr">
        <is>
          <t>cables - power</t>
        </is>
      </c>
      <c r="E263" s="31" t="inlineStr">
        <is>
          <t>midcap</t>
        </is>
      </c>
      <c r="F263" s="31" t="n">
        <v>10999.47</v>
      </c>
      <c r="G263" s="31" t="n">
        <v>210.29</v>
      </c>
      <c r="H263" s="31" t="n">
        <v>0.75</v>
      </c>
      <c r="I263" s="31" t="n">
        <v>2429152</v>
      </c>
      <c r="J263" s="31" t="inlineStr">
        <is>
          <t>522163</t>
        </is>
      </c>
    </row>
    <row r="264">
      <c r="A264" s="31" t="inlineStr">
        <is>
          <t>IBULLSLTD</t>
        </is>
      </c>
      <c r="B264" s="31" t="inlineStr">
        <is>
          <t>Indiabulls Limited</t>
        </is>
      </c>
      <c r="C264" s="31" t="inlineStr">
        <is>
          <t>miscellaneous</t>
        </is>
      </c>
      <c r="D264" s="31" t="inlineStr">
        <is>
          <t>diversified - medium / small</t>
        </is>
      </c>
      <c r="E264" s="31" t="inlineStr">
        <is>
          <t>midcap</t>
        </is>
      </c>
      <c r="F264" s="31" t="n">
        <v>6445.51</v>
      </c>
      <c r="G264" s="31" t="n">
        <v>27.93</v>
      </c>
      <c r="H264" s="31" t="n">
        <v>0.72</v>
      </c>
      <c r="I264" s="31" t="n">
        <v>3854863</v>
      </c>
      <c r="J264" s="31" t="inlineStr">
        <is>
          <t>533520</t>
        </is>
      </c>
    </row>
    <row r="265">
      <c r="A265" s="31" t="inlineStr">
        <is>
          <t>JLHL</t>
        </is>
      </c>
      <c r="B265" s="31" t="inlineStr">
        <is>
          <t>Jupiter Life Line Hospitals Ltd</t>
        </is>
      </c>
      <c r="C265" s="31" t="inlineStr">
        <is>
          <t>healthcare</t>
        </is>
      </c>
      <c r="D265" s="31" t="inlineStr">
        <is>
          <t>healthcare</t>
        </is>
      </c>
      <c r="E265" s="31" t="inlineStr">
        <is>
          <t>midcap</t>
        </is>
      </c>
      <c r="F265" s="31" t="n">
        <v>9471.01</v>
      </c>
      <c r="G265" s="31" t="n">
        <v>1454.9</v>
      </c>
      <c r="H265" s="31" t="n">
        <v>0.72</v>
      </c>
      <c r="I265" s="31" t="n">
        <v>17558</v>
      </c>
      <c r="J265" s="31" t="inlineStr">
        <is>
          <t>543980</t>
        </is>
      </c>
    </row>
    <row r="266">
      <c r="A266" s="31" t="inlineStr">
        <is>
          <t>NITINSPIN</t>
        </is>
      </c>
      <c r="B266" s="31" t="inlineStr">
        <is>
          <t>Nitin Spinners Limited</t>
        </is>
      </c>
      <c r="C266" s="31" t="inlineStr">
        <is>
          <t>textiles</t>
        </is>
      </c>
      <c r="D266" s="31" t="inlineStr">
        <is>
          <t>textiles - cotton/blended</t>
        </is>
      </c>
      <c r="E266" s="31" t="inlineStr">
        <is>
          <t>smallcap</t>
        </is>
      </c>
      <c r="F266" s="31" t="n">
        <v>3126.68</v>
      </c>
      <c r="G266" s="31" t="n">
        <v>560</v>
      </c>
      <c r="H266" s="31" t="n">
        <v>0.6899999999999999</v>
      </c>
      <c r="I266" s="31" t="n">
        <v>90177</v>
      </c>
      <c r="J266" s="31" t="inlineStr">
        <is>
          <t>532698</t>
        </is>
      </c>
    </row>
    <row r="267">
      <c r="A267" s="31" t="inlineStr">
        <is>
          <t>CONFIPET</t>
        </is>
      </c>
      <c r="B267" s="31" t="inlineStr">
        <is>
          <t>Confidence Petroleum India Ltd</t>
        </is>
      </c>
      <c r="C267" s="31" t="inlineStr">
        <is>
          <t>miscellaneous</t>
        </is>
      </c>
      <c r="D267" s="31" t="inlineStr">
        <is>
          <t>miscellaneous</t>
        </is>
      </c>
      <c r="E267" s="31" t="inlineStr">
        <is>
          <t>smallcap</t>
        </is>
      </c>
      <c r="F267" s="31" t="n">
        <v>2554.6</v>
      </c>
      <c r="G267" s="31" t="n">
        <v>77.42</v>
      </c>
      <c r="H267" s="31" t="n">
        <v>0.6899999999999999</v>
      </c>
      <c r="I267" s="31" t="n">
        <v>4076906</v>
      </c>
      <c r="J267" s="31" t="inlineStr">
        <is>
          <t>526829</t>
        </is>
      </c>
    </row>
    <row r="268">
      <c r="A268" s="31" t="inlineStr">
        <is>
          <t>BLISSGVS</t>
        </is>
      </c>
      <c r="B268" s="31" t="inlineStr">
        <is>
          <t>Bliss Gvs Pharma Limited</t>
        </is>
      </c>
      <c r="C268" s="31" t="inlineStr">
        <is>
          <t>healthcare</t>
        </is>
      </c>
      <c r="D268" s="31" t="inlineStr">
        <is>
          <t>pharmaceuticals - indian - formulations</t>
        </is>
      </c>
      <c r="E268" s="31" t="inlineStr">
        <is>
          <t>midcap</t>
        </is>
      </c>
      <c r="F268" s="31" t="n">
        <v>5538.58</v>
      </c>
      <c r="G268" s="31" t="n">
        <v>527.1</v>
      </c>
      <c r="H268" s="31" t="n">
        <v>0.68</v>
      </c>
      <c r="I268" s="31" t="n">
        <v>393497</v>
      </c>
      <c r="J268" s="31" t="inlineStr">
        <is>
          <t>506197</t>
        </is>
      </c>
    </row>
    <row r="269">
      <c r="A269" s="31" t="inlineStr">
        <is>
          <t>YATHARTH</t>
        </is>
      </c>
      <c r="B269" s="31" t="inlineStr">
        <is>
          <t>Yatharth Hospital &amp; Trauma Care Services Ltd</t>
        </is>
      </c>
      <c r="C269" s="31" t="inlineStr">
        <is>
          <t>healthcare</t>
        </is>
      </c>
      <c r="D269" s="31" t="inlineStr">
        <is>
          <t>healthcare</t>
        </is>
      </c>
      <c r="E269" s="31" t="inlineStr">
        <is>
          <t>midcap</t>
        </is>
      </c>
      <c r="F269" s="31" t="n">
        <v>8256.120000000001</v>
      </c>
      <c r="G269" s="31" t="n">
        <v>862.6</v>
      </c>
      <c r="H269" s="31" t="n">
        <v>0.67</v>
      </c>
      <c r="I269" s="31" t="n">
        <v>148559</v>
      </c>
      <c r="J269" s="31" t="inlineStr">
        <is>
          <t>543950</t>
        </is>
      </c>
    </row>
    <row r="270">
      <c r="A270" s="31" t="inlineStr">
        <is>
          <t>VSTIND</t>
        </is>
      </c>
      <c r="B270" s="31" t="inlineStr">
        <is>
          <t>Vst Industries Limited</t>
        </is>
      </c>
      <c r="C270" s="31" t="inlineStr">
        <is>
          <t>fmcg</t>
        </is>
      </c>
      <c r="D270" s="31" t="inlineStr">
        <is>
          <t>cigarettes</t>
        </is>
      </c>
      <c r="E270" s="31" t="inlineStr">
        <is>
          <t>smallcap</t>
        </is>
      </c>
      <c r="F270" s="31" t="n">
        <v>4421.49</v>
      </c>
      <c r="G270" s="31" t="n">
        <v>262</v>
      </c>
      <c r="H270" s="31" t="n">
        <v>0.65</v>
      </c>
      <c r="I270" s="31" t="n">
        <v>275407</v>
      </c>
      <c r="J270" s="31" t="inlineStr">
        <is>
          <t>509966</t>
        </is>
      </c>
    </row>
    <row r="271">
      <c r="A271" s="31" t="inlineStr">
        <is>
          <t>IGPL</t>
        </is>
      </c>
      <c r="B271" s="31" t="inlineStr">
        <is>
          <t>Ig Petrochemicals Limited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smallcap</t>
        </is>
      </c>
      <c r="F271" s="31" t="n">
        <v>1383.77</v>
      </c>
      <c r="G271" s="31" t="n">
        <v>452.25</v>
      </c>
      <c r="H271" s="31" t="n">
        <v>0.65</v>
      </c>
      <c r="I271" s="31" t="n">
        <v>14160</v>
      </c>
      <c r="J271" s="31" t="inlineStr">
        <is>
          <t>500199</t>
        </is>
      </c>
    </row>
    <row r="272">
      <c r="A272" s="31" t="inlineStr">
        <is>
          <t>HONASA</t>
        </is>
      </c>
      <c r="B272" s="31" t="inlineStr">
        <is>
          <t>Honasa Consumer Ltd</t>
        </is>
      </c>
      <c r="C272" s="31" t="inlineStr">
        <is>
          <t>services</t>
        </is>
      </c>
      <c r="D272" s="31" t="inlineStr">
        <is>
          <t>trading</t>
        </is>
      </c>
      <c r="E272" s="31" t="inlineStr">
        <is>
          <t>midcap</t>
        </is>
      </c>
      <c r="F272" s="31" t="n">
        <v>15178.5</v>
      </c>
      <c r="G272" s="31" t="n">
        <v>469.5</v>
      </c>
      <c r="H272" s="31" t="n">
        <v>0.64</v>
      </c>
      <c r="I272" s="31" t="n">
        <v>954691</v>
      </c>
      <c r="J272" s="31" t="inlineStr">
        <is>
          <t>544014</t>
        </is>
      </c>
    </row>
    <row r="273">
      <c r="A273" s="31" t="inlineStr">
        <is>
          <t>NOVARTIND</t>
        </is>
      </c>
      <c r="B273" s="31" t="inlineStr">
        <is>
          <t>Novartis India Ltd</t>
        </is>
      </c>
      <c r="C273" s="31" t="inlineStr">
        <is>
          <t>healthcare</t>
        </is>
      </c>
      <c r="D273" s="31" t="inlineStr">
        <is>
          <t>pharmaceuticals - multinational</t>
        </is>
      </c>
      <c r="E273" s="31" t="inlineStr">
        <is>
          <t>smallcap</t>
        </is>
      </c>
      <c r="F273" s="31" t="n">
        <v>3566.34</v>
      </c>
      <c r="G273" s="31" t="n">
        <v>1453.6</v>
      </c>
      <c r="H273" s="31" t="n">
        <v>0.64</v>
      </c>
      <c r="I273" s="31" t="n">
        <v>29616</v>
      </c>
      <c r="J273" s="31" t="inlineStr">
        <is>
          <t>500672</t>
        </is>
      </c>
    </row>
    <row r="274">
      <c r="A274" s="31" t="inlineStr">
        <is>
          <t>ACMESOLAR</t>
        </is>
      </c>
      <c r="B274" s="31" t="inlineStr">
        <is>
          <t>ACME Solar Holdings Ltd</t>
        </is>
      </c>
      <c r="C274" s="31" t="inlineStr">
        <is>
          <t>realty</t>
        </is>
      </c>
      <c r="D274" s="31" t="inlineStr">
        <is>
          <t>engineering - turnkey services</t>
        </is>
      </c>
      <c r="E274" s="31" t="inlineStr">
        <is>
          <t>largecap</t>
        </is>
      </c>
      <c r="F274" s="31" t="n">
        <v>27596.37</v>
      </c>
      <c r="G274" s="31" t="n">
        <v>393.25</v>
      </c>
      <c r="H274" s="31" t="n">
        <v>0.63</v>
      </c>
      <c r="I274" s="31" t="n">
        <v>1452767</v>
      </c>
      <c r="J274" s="31" t="inlineStr">
        <is>
          <t>544283</t>
        </is>
      </c>
    </row>
    <row r="275">
      <c r="A275" s="31" t="inlineStr">
        <is>
          <t>ATULAUTO</t>
        </is>
      </c>
      <c r="B275" s="31" t="inlineStr">
        <is>
          <t>Atul Auto Limited</t>
        </is>
      </c>
      <c r="C275" s="31" t="inlineStr">
        <is>
          <t>auto</t>
        </is>
      </c>
      <c r="D275" s="31" t="inlineStr">
        <is>
          <t>automobiles - scooters and 3 - wheelers</t>
        </is>
      </c>
      <c r="E275" s="31" t="inlineStr">
        <is>
          <t>smallcap</t>
        </is>
      </c>
      <c r="F275" s="31" t="n">
        <v>1363.98</v>
      </c>
      <c r="G275" s="31" t="n">
        <v>494.5</v>
      </c>
      <c r="H275" s="31" t="n">
        <v>0.61</v>
      </c>
      <c r="I275" s="31" t="n">
        <v>168446</v>
      </c>
      <c r="J275" s="31" t="inlineStr">
        <is>
          <t>531795</t>
        </is>
      </c>
    </row>
    <row r="276">
      <c r="A276" s="31" t="inlineStr">
        <is>
          <t>RBA</t>
        </is>
      </c>
      <c r="B276" s="31" t="inlineStr">
        <is>
          <t>Restaurant Brands Asia Ltd</t>
        </is>
      </c>
      <c r="C276" s="31" t="inlineStr">
        <is>
          <t>consumer discretionary</t>
        </is>
      </c>
      <c r="D276" s="31" t="inlineStr">
        <is>
          <t>hotels</t>
        </is>
      </c>
      <c r="E276" s="31" t="inlineStr">
        <is>
          <t>midcap</t>
        </is>
      </c>
      <c r="F276" s="31" t="n">
        <v>5484.55</v>
      </c>
      <c r="G276" s="31" t="n">
        <v>77.56</v>
      </c>
      <c r="H276" s="31" t="n">
        <v>0.61</v>
      </c>
      <c r="I276" s="31" t="n">
        <v>8344521</v>
      </c>
      <c r="J276" s="31" t="inlineStr">
        <is>
          <t>543248</t>
        </is>
      </c>
    </row>
    <row r="277">
      <c r="A277" s="31" t="inlineStr">
        <is>
          <t>GLAND</t>
        </is>
      </c>
      <c r="B277" s="31" t="inlineStr">
        <is>
          <t>Gland Pharma Ltd</t>
        </is>
      </c>
      <c r="C277" s="31" t="inlineStr">
        <is>
          <t>healthcare</t>
        </is>
      </c>
      <c r="D277" s="31" t="inlineStr">
        <is>
          <t>pharmaceuticals - indian - formulations</t>
        </is>
      </c>
      <c r="E277" s="31" t="inlineStr">
        <is>
          <t>largecap</t>
        </is>
      </c>
      <c r="F277" s="31" t="n">
        <v>40615.75</v>
      </c>
      <c r="G277" s="31" t="n">
        <v>2480</v>
      </c>
      <c r="H277" s="31" t="n">
        <v>0.6</v>
      </c>
      <c r="I277" s="31" t="n">
        <v>459425</v>
      </c>
      <c r="J277" s="31" t="inlineStr">
        <is>
          <t>543245</t>
        </is>
      </c>
    </row>
    <row r="278">
      <c r="A278" s="31" t="inlineStr">
        <is>
          <t>MARICO</t>
        </is>
      </c>
      <c r="B278" s="31" t="inlineStr">
        <is>
          <t>Marico Limited</t>
        </is>
      </c>
      <c r="C278" s="31" t="inlineStr">
        <is>
          <t>fmcg</t>
        </is>
      </c>
      <c r="D278" s="31" t="inlineStr">
        <is>
          <t>solvent extraction</t>
        </is>
      </c>
      <c r="E278" s="31" t="inlineStr">
        <is>
          <t>largecap</t>
        </is>
      </c>
      <c r="F278" s="31" t="n">
        <v>110472.47</v>
      </c>
      <c r="G278" s="31" t="n">
        <v>856</v>
      </c>
      <c r="H278" s="31" t="n">
        <v>0.59</v>
      </c>
      <c r="I278" s="31" t="n">
        <v>1249388</v>
      </c>
      <c r="J278" s="31" t="inlineStr">
        <is>
          <t>531642</t>
        </is>
      </c>
    </row>
    <row r="279">
      <c r="A279" s="31" t="inlineStr">
        <is>
          <t>ZOTA</t>
        </is>
      </c>
      <c r="B279" s="31" t="inlineStr">
        <is>
          <t>Zota Health Care Ltd</t>
        </is>
      </c>
      <c r="C279" s="31" t="inlineStr">
        <is>
          <t>healthcare</t>
        </is>
      </c>
      <c r="D279" s="31" t="inlineStr">
        <is>
          <t>pharmaceuticals - indian - bulk drugs &amp; formln</t>
        </is>
      </c>
      <c r="E279" s="31" t="inlineStr">
        <is>
          <t>smallcap</t>
        </is>
      </c>
      <c r="F279" s="31" t="n">
        <v>4954.54</v>
      </c>
      <c r="G279" s="31" t="n">
        <v>1438.5</v>
      </c>
      <c r="H279" s="31" t="n">
        <v>0.55</v>
      </c>
      <c r="I279" s="31" t="n">
        <v>46742</v>
      </c>
      <c r="J279" s="31" t="inlineStr">
        <is>
          <t>538426</t>
        </is>
      </c>
    </row>
    <row r="280">
      <c r="A280" s="31" t="inlineStr">
        <is>
          <t>CERA</t>
        </is>
      </c>
      <c r="B280" s="31" t="inlineStr">
        <is>
          <t>Cera Sanitaryware Limited</t>
        </is>
      </c>
      <c r="C280" s="31" t="inlineStr">
        <is>
          <t>building materials</t>
        </is>
      </c>
      <c r="D280" s="31" t="inlineStr">
        <is>
          <t>ceramics - tiles / sanitaryware</t>
        </is>
      </c>
      <c r="E280" s="31" t="inlineStr">
        <is>
          <t>midcap</t>
        </is>
      </c>
      <c r="F280" s="31" t="n">
        <v>8307.309999999999</v>
      </c>
      <c r="G280" s="31" t="n">
        <v>6476</v>
      </c>
      <c r="H280" s="31" t="n">
        <v>0.54</v>
      </c>
      <c r="I280" s="31" t="n">
        <v>12442</v>
      </c>
      <c r="J280" s="31" t="inlineStr">
        <is>
          <t>532443</t>
        </is>
      </c>
    </row>
    <row r="281">
      <c r="A281" s="31" t="inlineStr">
        <is>
          <t>CENTENKA</t>
        </is>
      </c>
      <c r="B281" s="31" t="inlineStr">
        <is>
          <t>Century Enka Limited</t>
        </is>
      </c>
      <c r="C281" s="31" t="inlineStr">
        <is>
          <t>textiles</t>
        </is>
      </c>
      <c r="D281" s="31" t="inlineStr">
        <is>
          <t>textiles - manmade</t>
        </is>
      </c>
      <c r="E281" s="31" t="inlineStr">
        <is>
          <t>smallcap</t>
        </is>
      </c>
      <c r="F281" s="31" t="n">
        <v>1158.96</v>
      </c>
      <c r="G281" s="31" t="n">
        <v>533.25</v>
      </c>
      <c r="H281" s="31" t="n">
        <v>0.54</v>
      </c>
      <c r="I281" s="31" t="n">
        <v>16322</v>
      </c>
      <c r="J281" s="31" t="inlineStr">
        <is>
          <t>500280</t>
        </is>
      </c>
    </row>
    <row r="282">
      <c r="A282" s="31" t="inlineStr">
        <is>
          <t>AUROPHARMA</t>
        </is>
      </c>
      <c r="B282" s="31" t="inlineStr">
        <is>
          <t>Aurobindo Pharma Limited</t>
        </is>
      </c>
      <c r="C282" s="31" t="inlineStr">
        <is>
          <t>healthcare</t>
        </is>
      </c>
      <c r="D282" s="31" t="inlineStr">
        <is>
          <t>pharmaceuticals - indian - bulk drugs &amp; formln</t>
        </is>
      </c>
      <c r="E282" s="31" t="inlineStr">
        <is>
          <t>largecap</t>
        </is>
      </c>
      <c r="F282" s="31" t="n">
        <v>90175.25999999999</v>
      </c>
      <c r="G282" s="31" t="n">
        <v>1561</v>
      </c>
      <c r="H282" s="31" t="n">
        <v>0.54</v>
      </c>
      <c r="I282" s="31" t="n">
        <v>647847</v>
      </c>
      <c r="J282" s="31" t="inlineStr">
        <is>
          <t>524804</t>
        </is>
      </c>
    </row>
    <row r="283">
      <c r="A283" s="31" t="inlineStr">
        <is>
          <t>AUBANK</t>
        </is>
      </c>
      <c r="B283" s="31" t="inlineStr">
        <is>
          <t>AU Small Finance Bank Ltd</t>
        </is>
      </c>
      <c r="C283" s="31" t="inlineStr">
        <is>
          <t>bank</t>
        </is>
      </c>
      <c r="D283" s="31" t="inlineStr">
        <is>
          <t>banks - private sector</t>
        </is>
      </c>
      <c r="E283" s="31" t="inlineStr">
        <is>
          <t>largecap</t>
        </is>
      </c>
      <c r="F283" s="31" t="n">
        <v>78672.81</v>
      </c>
      <c r="G283" s="31" t="n">
        <v>1057</v>
      </c>
      <c r="H283" s="31" t="n">
        <v>0.53</v>
      </c>
      <c r="I283" s="31" t="n">
        <v>1248062</v>
      </c>
      <c r="J283" s="31" t="inlineStr">
        <is>
          <t>540611</t>
        </is>
      </c>
    </row>
    <row r="284">
      <c r="A284" s="31" t="inlineStr">
        <is>
          <t>BELRISE</t>
        </is>
      </c>
      <c r="B284" s="31" t="inlineStr">
        <is>
          <t>Belrise Industries Ltd</t>
        </is>
      </c>
      <c r="C284" s="31" t="inlineStr">
        <is>
          <t>auto</t>
        </is>
      </c>
      <c r="D284" s="31" t="inlineStr">
        <is>
          <t>auto ancillaries</t>
        </is>
      </c>
      <c r="E284" s="31" t="inlineStr">
        <is>
          <t>largecap</t>
        </is>
      </c>
      <c r="F284" s="31" t="n">
        <v>21090.14</v>
      </c>
      <c r="G284" s="31" t="n">
        <v>238.2</v>
      </c>
      <c r="H284" s="31" t="n">
        <v>0.51</v>
      </c>
      <c r="I284" s="31" t="n">
        <v>6308157</v>
      </c>
      <c r="J284" s="31" t="n"/>
    </row>
    <row r="285">
      <c r="A285" s="31" t="inlineStr">
        <is>
          <t>ABDL</t>
        </is>
      </c>
      <c r="B285" s="31" t="inlineStr">
        <is>
          <t>Allied Blenders &amp; Distillers Ltd</t>
        </is>
      </c>
      <c r="C285" s="31" t="inlineStr">
        <is>
          <t>fmcg</t>
        </is>
      </c>
      <c r="D285" s="31" t="inlineStr">
        <is>
          <t>breweries &amp; distilleries</t>
        </is>
      </c>
      <c r="E285" s="31" t="inlineStr">
        <is>
          <t>midcap</t>
        </is>
      </c>
      <c r="F285" s="31" t="n">
        <v>18727.99</v>
      </c>
      <c r="G285" s="31" t="n">
        <v>672.95</v>
      </c>
      <c r="H285" s="31" t="n">
        <v>0.51</v>
      </c>
      <c r="I285" s="31" t="n">
        <v>213377</v>
      </c>
      <c r="J285" s="31" t="inlineStr">
        <is>
          <t>544203</t>
        </is>
      </c>
    </row>
    <row r="286">
      <c r="A286" s="31" t="inlineStr">
        <is>
          <t>RADICO</t>
        </is>
      </c>
      <c r="B286" s="31" t="inlineStr">
        <is>
          <t>Radico Khaitan Limited</t>
        </is>
      </c>
      <c r="C286" s="31" t="inlineStr">
        <is>
          <t>fmcg</t>
        </is>
      </c>
      <c r="D286" s="31" t="inlineStr">
        <is>
          <t>breweries &amp; distilleries</t>
        </is>
      </c>
      <c r="E286" s="31" t="inlineStr">
        <is>
          <t>largecap</t>
        </is>
      </c>
      <c r="F286" s="31" t="n">
        <v>52924.5</v>
      </c>
      <c r="G286" s="31" t="n">
        <v>3972.4</v>
      </c>
      <c r="H286" s="31" t="n">
        <v>0.5</v>
      </c>
      <c r="I286" s="31" t="n">
        <v>310385</v>
      </c>
      <c r="J286" s="31" t="inlineStr">
        <is>
          <t>532497</t>
        </is>
      </c>
    </row>
    <row r="287">
      <c r="A287" s="31" t="inlineStr">
        <is>
          <t>HDFCAMC</t>
        </is>
      </c>
      <c r="B287" s="31" t="inlineStr">
        <is>
          <t>HDFC Asset Management Company Ltd</t>
        </is>
      </c>
      <c r="C287" s="31" t="inlineStr">
        <is>
          <t>financials</t>
        </is>
      </c>
      <c r="D287" s="31" t="inlineStr">
        <is>
          <t>finance &amp; investments</t>
        </is>
      </c>
      <c r="E287" s="31" t="inlineStr">
        <is>
          <t>largecap</t>
        </is>
      </c>
      <c r="F287" s="31" t="n">
        <v>117630.12</v>
      </c>
      <c r="G287" s="31" t="n">
        <v>2759.6</v>
      </c>
      <c r="H287" s="31" t="n">
        <v>0.5</v>
      </c>
      <c r="I287" s="31" t="n">
        <v>395012</v>
      </c>
      <c r="J287" s="31" t="inlineStr">
        <is>
          <t>541729</t>
        </is>
      </c>
    </row>
    <row r="288">
      <c r="A288" s="31" t="inlineStr">
        <is>
          <t>RRKABEL</t>
        </is>
      </c>
      <c r="B288" s="31" t="inlineStr">
        <is>
          <t>R R Kabel Ltd</t>
        </is>
      </c>
      <c r="C288" s="31" t="inlineStr">
        <is>
          <t>industrials</t>
        </is>
      </c>
      <c r="D288" s="31" t="inlineStr">
        <is>
          <t>cables - power</t>
        </is>
      </c>
      <c r="E288" s="31" t="inlineStr">
        <is>
          <t>largecap</t>
        </is>
      </c>
      <c r="F288" s="31" t="n">
        <v>26938.34</v>
      </c>
      <c r="G288" s="31" t="n">
        <v>2393.5</v>
      </c>
      <c r="H288" s="31" t="n">
        <v>0.5</v>
      </c>
      <c r="I288" s="31" t="n">
        <v>352987</v>
      </c>
      <c r="J288" s="31" t="inlineStr">
        <is>
          <t>543981</t>
        </is>
      </c>
    </row>
    <row r="289">
      <c r="A289" s="31" t="inlineStr">
        <is>
          <t>EQUITASBNK</t>
        </is>
      </c>
      <c r="B289" s="31" t="inlineStr">
        <is>
          <t>Equitas Small Finance Bank Ltd</t>
        </is>
      </c>
      <c r="C289" s="31" t="inlineStr">
        <is>
          <t>bank</t>
        </is>
      </c>
      <c r="D289" s="31" t="inlineStr">
        <is>
          <t>banks - private sector</t>
        </is>
      </c>
      <c r="E289" s="31" t="inlineStr">
        <is>
          <t>midcap</t>
        </is>
      </c>
      <c r="F289" s="31" t="n">
        <v>8796.299999999999</v>
      </c>
      <c r="G289" s="31" t="n">
        <v>77.45</v>
      </c>
      <c r="H289" s="31" t="n">
        <v>0.47</v>
      </c>
      <c r="I289" s="31" t="n">
        <v>2112599</v>
      </c>
      <c r="J289" s="31" t="inlineStr">
        <is>
          <t>543243</t>
        </is>
      </c>
    </row>
    <row r="290">
      <c r="A290" s="31" t="inlineStr">
        <is>
          <t>RACLGEAR</t>
        </is>
      </c>
      <c r="B290" s="31" t="inlineStr">
        <is>
          <t>RACL Geartech Ltd</t>
        </is>
      </c>
      <c r="C290" s="31" t="inlineStr">
        <is>
          <t>auto</t>
        </is>
      </c>
      <c r="D290" s="31" t="inlineStr">
        <is>
          <t>auto ancillaries</t>
        </is>
      </c>
      <c r="E290" s="31" t="inlineStr">
        <is>
          <t>smallcap</t>
        </is>
      </c>
      <c r="F290" s="31" t="n">
        <v>1619.09</v>
      </c>
      <c r="G290" s="31" t="n">
        <v>1380</v>
      </c>
      <c r="H290" s="31" t="n">
        <v>0.47</v>
      </c>
      <c r="I290" s="31" t="n">
        <v>11833</v>
      </c>
      <c r="J290" s="31" t="inlineStr">
        <is>
          <t>520073</t>
        </is>
      </c>
    </row>
    <row r="291">
      <c r="A291" s="31" t="inlineStr">
        <is>
          <t>ORCHPHARMA</t>
        </is>
      </c>
      <c r="B291" s="31" t="inlineStr">
        <is>
          <t>Orchid Pharma Ltd</t>
        </is>
      </c>
      <c r="C291" s="31" t="inlineStr">
        <is>
          <t>healthcare</t>
        </is>
      </c>
      <c r="D291" s="31" t="inlineStr">
        <is>
          <t>pharmaceuticals - indian - bulk drugs &amp; formln</t>
        </is>
      </c>
      <c r="E291" s="31" t="inlineStr">
        <is>
          <t>smallcap</t>
        </is>
      </c>
      <c r="F291" s="31" t="n">
        <v>4944.1</v>
      </c>
      <c r="G291" s="31" t="n">
        <v>979.3</v>
      </c>
      <c r="H291" s="31" t="n">
        <v>0.46</v>
      </c>
      <c r="I291" s="31" t="n">
        <v>57439</v>
      </c>
      <c r="J291" s="31" t="inlineStr">
        <is>
          <t>524372</t>
        </is>
      </c>
    </row>
    <row r="292">
      <c r="A292" s="31" t="inlineStr">
        <is>
          <t>AVANTEL</t>
        </is>
      </c>
      <c r="B292" s="31" t="inlineStr">
        <is>
          <t>Avantel Ltd</t>
        </is>
      </c>
      <c r="C292" s="31" t="inlineStr">
        <is>
          <t>aerospace &amp; defence</t>
        </is>
      </c>
      <c r="D292" s="31" t="inlineStr">
        <is>
          <t>telecommunications - equipment</t>
        </is>
      </c>
      <c r="E292" s="31" t="inlineStr">
        <is>
          <t>smallcap</t>
        </is>
      </c>
      <c r="F292" s="31" t="n">
        <v>4766.06</v>
      </c>
      <c r="G292" s="31" t="n">
        <v>180.18</v>
      </c>
      <c r="H292" s="31" t="n">
        <v>0.45</v>
      </c>
      <c r="I292" s="31" t="n">
        <v>1783926</v>
      </c>
      <c r="J292" s="31" t="inlineStr">
        <is>
          <t>532406</t>
        </is>
      </c>
    </row>
    <row r="293">
      <c r="A293" s="31" t="inlineStr">
        <is>
          <t>ARMANFIN</t>
        </is>
      </c>
      <c r="B293" s="31" t="inlineStr">
        <is>
          <t>Arman Financial Services Limited</t>
        </is>
      </c>
      <c r="C293" s="31" t="inlineStr">
        <is>
          <t>financials</t>
        </is>
      </c>
      <c r="D293" s="31" t="inlineStr">
        <is>
          <t>finance &amp; investments</t>
        </is>
      </c>
      <c r="E293" s="31" t="inlineStr">
        <is>
          <t>smallcap</t>
        </is>
      </c>
      <c r="F293" s="31" t="n">
        <v>1790.77</v>
      </c>
      <c r="G293" s="31" t="n">
        <v>1711</v>
      </c>
      <c r="H293" s="31" t="n">
        <v>0.45</v>
      </c>
      <c r="I293" s="31" t="n">
        <v>14016</v>
      </c>
      <c r="J293" s="31" t="inlineStr">
        <is>
          <t>531179</t>
        </is>
      </c>
    </row>
    <row r="294">
      <c r="A294" s="31" t="inlineStr">
        <is>
          <t>IMPAL</t>
        </is>
      </c>
      <c r="B294" s="31" t="inlineStr">
        <is>
          <t>India Motor Parts And Accessories Limited</t>
        </is>
      </c>
      <c r="C294" s="31" t="inlineStr">
        <is>
          <t>auto</t>
        </is>
      </c>
      <c r="D294" s="31" t="inlineStr">
        <is>
          <t>auto ancillaries</t>
        </is>
      </c>
      <c r="E294" s="31" t="inlineStr">
        <is>
          <t>smallcap</t>
        </is>
      </c>
      <c r="F294" s="31" t="n">
        <v>1379.04</v>
      </c>
      <c r="G294" s="31" t="n">
        <v>1110</v>
      </c>
      <c r="H294" s="31" t="n">
        <v>0.45</v>
      </c>
      <c r="I294" s="31" t="n">
        <v>2891</v>
      </c>
      <c r="J294" s="31" t="inlineStr">
        <is>
          <t>590065</t>
        </is>
      </c>
    </row>
    <row r="295">
      <c r="A295" s="31" t="inlineStr">
        <is>
          <t>TORNTPHARM</t>
        </is>
      </c>
      <c r="B295" s="31" t="inlineStr">
        <is>
          <t>Torrent Pharmaceuticals Limited</t>
        </is>
      </c>
      <c r="C295" s="31" t="inlineStr">
        <is>
          <t>healthcare</t>
        </is>
      </c>
      <c r="D295" s="31" t="inlineStr">
        <is>
          <t>pharmaceuticals - indian - formulations</t>
        </is>
      </c>
      <c r="E295" s="31" t="inlineStr">
        <is>
          <t>largecap</t>
        </is>
      </c>
      <c r="F295" s="31" t="n">
        <v>157065.76</v>
      </c>
      <c r="G295" s="31" t="n">
        <v>4661.4</v>
      </c>
      <c r="H295" s="31" t="n">
        <v>0.44</v>
      </c>
      <c r="I295" s="31" t="n">
        <v>227461</v>
      </c>
      <c r="J295" s="31" t="inlineStr">
        <is>
          <t>500420</t>
        </is>
      </c>
    </row>
    <row r="296">
      <c r="A296" s="31" t="inlineStr">
        <is>
          <t>SSWL</t>
        </is>
      </c>
      <c r="B296" s="31" t="inlineStr">
        <is>
          <t>Steel Strips Wheels Limited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smallcap</t>
        </is>
      </c>
      <c r="F296" s="31" t="n">
        <v>3882.04</v>
      </c>
      <c r="G296" s="31" t="n">
        <v>248.06</v>
      </c>
      <c r="H296" s="31" t="n">
        <v>0.44</v>
      </c>
      <c r="I296" s="31" t="n">
        <v>837398</v>
      </c>
      <c r="J296" s="31" t="inlineStr">
        <is>
          <t>513262</t>
        </is>
      </c>
    </row>
    <row r="297">
      <c r="A297" s="31" t="inlineStr">
        <is>
          <t>DRREDDY</t>
        </is>
      </c>
      <c r="B297" s="31" t="inlineStr">
        <is>
          <t>Dr. Reddy's Laboratories Limited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largecap</t>
        </is>
      </c>
      <c r="F297" s="31" t="n">
        <v>111835.69</v>
      </c>
      <c r="G297" s="31" t="n">
        <v>1345.7</v>
      </c>
      <c r="H297" s="31" t="n">
        <v>0.43</v>
      </c>
      <c r="I297" s="31" t="n">
        <v>809333</v>
      </c>
      <c r="J297" s="31" t="inlineStr">
        <is>
          <t>500124</t>
        </is>
      </c>
    </row>
    <row r="298">
      <c r="A298" s="31" t="inlineStr">
        <is>
          <t>SJS</t>
        </is>
      </c>
      <c r="B298" s="31" t="inlineStr">
        <is>
          <t>S J S Enterprises Ltd</t>
        </is>
      </c>
      <c r="C298" s="31" t="inlineStr">
        <is>
          <t>auto</t>
        </is>
      </c>
      <c r="D298" s="31" t="inlineStr">
        <is>
          <t>plastics products</t>
        </is>
      </c>
      <c r="E298" s="31" t="inlineStr">
        <is>
          <t>midcap</t>
        </is>
      </c>
      <c r="F298" s="31" t="n">
        <v>7127.92</v>
      </c>
      <c r="G298" s="31" t="n">
        <v>2237</v>
      </c>
      <c r="H298" s="31" t="n">
        <v>0.42</v>
      </c>
      <c r="I298" s="31" t="n">
        <v>66832</v>
      </c>
      <c r="J298" s="31" t="inlineStr">
        <is>
          <t>543387</t>
        </is>
      </c>
    </row>
    <row r="299">
      <c r="A299" s="31" t="inlineStr">
        <is>
          <t>CGCL</t>
        </is>
      </c>
      <c r="B299" s="31" t="inlineStr">
        <is>
          <t>Capri Global Capital Limited</t>
        </is>
      </c>
      <c r="C299" s="31" t="inlineStr">
        <is>
          <t>financials</t>
        </is>
      </c>
      <c r="D299" s="31" t="inlineStr">
        <is>
          <t>finance &amp; investments</t>
        </is>
      </c>
      <c r="E299" s="31" t="inlineStr">
        <is>
          <t>largecap</t>
        </is>
      </c>
      <c r="F299" s="31" t="n">
        <v>21823.58</v>
      </c>
      <c r="G299" s="31" t="n">
        <v>227.76</v>
      </c>
      <c r="H299" s="31" t="n">
        <v>0.41</v>
      </c>
      <c r="I299" s="31" t="n">
        <v>1901052</v>
      </c>
      <c r="J299" s="31" t="inlineStr">
        <is>
          <t>531595</t>
        </is>
      </c>
    </row>
    <row r="300">
      <c r="A300" s="31" t="inlineStr">
        <is>
          <t>SAREGAMA</t>
        </is>
      </c>
      <c r="B300" s="31" t="inlineStr">
        <is>
          <t>Saregama India Limited</t>
        </is>
      </c>
      <c r="C300" s="31" t="inlineStr">
        <is>
          <t>media</t>
        </is>
      </c>
      <c r="D300" s="31" t="inlineStr">
        <is>
          <t>entertainment / electronic media software</t>
        </is>
      </c>
      <c r="E300" s="31" t="inlineStr">
        <is>
          <t>midcap</t>
        </is>
      </c>
      <c r="F300" s="31" t="n">
        <v>9492.98</v>
      </c>
      <c r="G300" s="31" t="n">
        <v>494.3</v>
      </c>
      <c r="H300" s="31" t="n">
        <v>0.4</v>
      </c>
      <c r="I300" s="31" t="n">
        <v>303270</v>
      </c>
      <c r="J300" s="31" t="inlineStr">
        <is>
          <t>532163</t>
        </is>
      </c>
    </row>
    <row r="301">
      <c r="A301" s="31" t="inlineStr">
        <is>
          <t>ENTERO</t>
        </is>
      </c>
      <c r="B301" s="31" t="inlineStr">
        <is>
          <t>Entero Healthcare Solutions Ltd</t>
        </is>
      </c>
      <c r="C301" s="31" t="inlineStr">
        <is>
          <t>healthcare</t>
        </is>
      </c>
      <c r="D301" s="31" t="inlineStr">
        <is>
          <t>trading</t>
        </is>
      </c>
      <c r="E301" s="31" t="inlineStr">
        <is>
          <t>midcap</t>
        </is>
      </c>
      <c r="F301" s="31" t="n">
        <v>5175.63</v>
      </c>
      <c r="G301" s="31" t="n">
        <v>1194.3</v>
      </c>
      <c r="H301" s="31" t="n">
        <v>0.4</v>
      </c>
      <c r="I301" s="31" t="n">
        <v>34259</v>
      </c>
      <c r="J301" s="31" t="inlineStr">
        <is>
          <t>544122</t>
        </is>
      </c>
    </row>
    <row r="302">
      <c r="A302" s="31" t="inlineStr">
        <is>
          <t>SBIN</t>
        </is>
      </c>
      <c r="B302" s="31" t="inlineStr">
        <is>
          <t>State Bank Of India Ltd</t>
        </is>
      </c>
      <c r="C302" s="31" t="inlineStr">
        <is>
          <t>bank</t>
        </is>
      </c>
      <c r="D302" s="31" t="inlineStr">
        <is>
          <t>banks - public sector</t>
        </is>
      </c>
      <c r="E302" s="31" t="inlineStr">
        <is>
          <t>largecap</t>
        </is>
      </c>
      <c r="F302" s="31" t="n">
        <v>966814.89</v>
      </c>
      <c r="G302" s="31" t="n">
        <v>1051.6</v>
      </c>
      <c r="H302" s="31" t="n">
        <v>0.4</v>
      </c>
      <c r="I302" s="31" t="n">
        <v>14682790</v>
      </c>
      <c r="J302" s="31" t="inlineStr">
        <is>
          <t>500112</t>
        </is>
      </c>
    </row>
    <row r="303">
      <c r="A303" s="31" t="inlineStr">
        <is>
          <t>RAMCOIND</t>
        </is>
      </c>
      <c r="B303" s="31" t="inlineStr">
        <is>
          <t>Ramco Industries Limited</t>
        </is>
      </c>
      <c r="C303" s="31" t="inlineStr">
        <is>
          <t>building materials</t>
        </is>
      </c>
      <c r="D303" s="31" t="inlineStr">
        <is>
          <t>cement products</t>
        </is>
      </c>
      <c r="E303" s="31" t="inlineStr">
        <is>
          <t>smallcap</t>
        </is>
      </c>
      <c r="F303" s="31" t="n">
        <v>2901.38</v>
      </c>
      <c r="G303" s="31" t="n">
        <v>335.4</v>
      </c>
      <c r="H303" s="31" t="n">
        <v>0.39</v>
      </c>
      <c r="I303" s="31" t="n">
        <v>299587</v>
      </c>
      <c r="J303" s="31" t="inlineStr">
        <is>
          <t>532369</t>
        </is>
      </c>
    </row>
    <row r="304">
      <c r="A304" s="31" t="inlineStr">
        <is>
          <t>JASH</t>
        </is>
      </c>
      <c r="B304" s="31" t="inlineStr">
        <is>
          <t>Jash Engineering Ltd</t>
        </is>
      </c>
      <c r="C304" s="31" t="inlineStr">
        <is>
          <t>industrials</t>
        </is>
      </c>
      <c r="D304" s="31" t="inlineStr">
        <is>
          <t>engineering</t>
        </is>
      </c>
      <c r="E304" s="31" t="inlineStr">
        <is>
          <t>smallcap</t>
        </is>
      </c>
      <c r="F304" s="31" t="n">
        <v>3185.6</v>
      </c>
      <c r="G304" s="31" t="n">
        <v>506</v>
      </c>
      <c r="H304" s="31" t="n">
        <v>0.38</v>
      </c>
      <c r="I304" s="31" t="n">
        <v>153156</v>
      </c>
      <c r="J304" s="31" t="inlineStr">
        <is>
          <t>535019</t>
        </is>
      </c>
    </row>
    <row r="305">
      <c r="A305" s="31" t="inlineStr">
        <is>
          <t>HNDFDS</t>
        </is>
      </c>
      <c r="B305" s="31" t="inlineStr">
        <is>
          <t>Hindustan Foods Ltd</t>
        </is>
      </c>
      <c r="C305" s="31" t="inlineStr">
        <is>
          <t>fmcg</t>
        </is>
      </c>
      <c r="D305" s="31" t="inlineStr">
        <is>
          <t>diversified - large</t>
        </is>
      </c>
      <c r="E305" s="31" t="inlineStr">
        <is>
          <t>midcap</t>
        </is>
      </c>
      <c r="F305" s="31" t="n">
        <v>6701.13</v>
      </c>
      <c r="G305" s="31" t="n">
        <v>563</v>
      </c>
      <c r="H305" s="31" t="n">
        <v>0.38</v>
      </c>
      <c r="I305" s="31" t="n">
        <v>49116</v>
      </c>
      <c r="J305" s="31" t="inlineStr">
        <is>
          <t>519126</t>
        </is>
      </c>
    </row>
    <row r="306">
      <c r="A306" s="31" t="inlineStr">
        <is>
          <t>PNBHOUSING</t>
        </is>
      </c>
      <c r="B306" s="31" t="inlineStr">
        <is>
          <t>Pnb Housing Finance Limited</t>
        </is>
      </c>
      <c r="C306" s="31" t="inlineStr">
        <is>
          <t>financials</t>
        </is>
      </c>
      <c r="D306" s="31" t="inlineStr">
        <is>
          <t>finance - housing</t>
        </is>
      </c>
      <c r="E306" s="31" t="inlineStr">
        <is>
          <t>largecap</t>
        </is>
      </c>
      <c r="F306" s="31" t="n">
        <v>27400.29</v>
      </c>
      <c r="G306" s="31" t="n">
        <v>1055.6</v>
      </c>
      <c r="H306" s="31" t="n">
        <v>0.36</v>
      </c>
      <c r="I306" s="31" t="n">
        <v>499657</v>
      </c>
      <c r="J306" s="31" t="inlineStr">
        <is>
          <t>540173</t>
        </is>
      </c>
    </row>
    <row r="307">
      <c r="A307" s="31" t="inlineStr">
        <is>
          <t>BAJFINANCE</t>
        </is>
      </c>
      <c r="B307" s="31" t="inlineStr">
        <is>
          <t>Bajaj Finance Limited</t>
        </is>
      </c>
      <c r="C307" s="31" t="inlineStr">
        <is>
          <t>financials</t>
        </is>
      </c>
      <c r="D307" s="31" t="inlineStr">
        <is>
          <t>finance &amp; investments</t>
        </is>
      </c>
      <c r="E307" s="31" t="inlineStr">
        <is>
          <t>largecap</t>
        </is>
      </c>
      <c r="F307" s="31" t="n">
        <v>631519.6800000001</v>
      </c>
      <c r="G307" s="31" t="n">
        <v>1018.4</v>
      </c>
      <c r="H307" s="31" t="n">
        <v>0.34</v>
      </c>
      <c r="I307" s="31" t="n">
        <v>8168339</v>
      </c>
      <c r="J307" s="31" t="inlineStr">
        <is>
          <t>500034</t>
        </is>
      </c>
    </row>
    <row r="308">
      <c r="A308" s="31" t="inlineStr">
        <is>
          <t>LLOYDSME</t>
        </is>
      </c>
      <c r="B308" s="31" t="inlineStr">
        <is>
          <t>Lloyds Metals &amp; Energy Ltd</t>
        </is>
      </c>
      <c r="C308" s="31" t="inlineStr">
        <is>
          <t>metals &amp; mining</t>
        </is>
      </c>
      <c r="D308" s="31" t="inlineStr">
        <is>
          <t>mining / minerals / metals</t>
        </is>
      </c>
      <c r="E308" s="31" t="inlineStr">
        <is>
          <t>largecap</t>
        </is>
      </c>
      <c r="F308" s="31" t="n">
        <v>101633.36</v>
      </c>
      <c r="G308" s="31" t="n">
        <v>1811.9</v>
      </c>
      <c r="H308" s="31" t="n">
        <v>0.33</v>
      </c>
      <c r="I308" s="31" t="n">
        <v>427477</v>
      </c>
      <c r="J308" s="31" t="inlineStr">
        <is>
          <t>512455</t>
        </is>
      </c>
    </row>
    <row r="309">
      <c r="A309" s="31" t="inlineStr">
        <is>
          <t>CARYSIL</t>
        </is>
      </c>
      <c r="B309" s="31" t="inlineStr">
        <is>
          <t>Carysil Ltd</t>
        </is>
      </c>
      <c r="C309" s="31" t="inlineStr">
        <is>
          <t>consumer discretionary</t>
        </is>
      </c>
      <c r="D309" s="31" t="inlineStr">
        <is>
          <t>domestic appliances</t>
        </is>
      </c>
      <c r="E309" s="31" t="inlineStr">
        <is>
          <t>smallcap</t>
        </is>
      </c>
      <c r="F309" s="31" t="n">
        <v>3334.04</v>
      </c>
      <c r="G309" s="31" t="n">
        <v>1176</v>
      </c>
      <c r="H309" s="31" t="n">
        <v>0.32</v>
      </c>
      <c r="I309" s="31" t="n">
        <v>73186</v>
      </c>
      <c r="J309" s="31" t="inlineStr">
        <is>
          <t>524091</t>
        </is>
      </c>
    </row>
    <row r="310">
      <c r="A310" s="31" t="inlineStr">
        <is>
          <t>DELHIVERY</t>
        </is>
      </c>
      <c r="B310" s="31" t="inlineStr">
        <is>
          <t>Delhivery Ltd</t>
        </is>
      </c>
      <c r="C310" s="31" t="inlineStr">
        <is>
          <t>transportation</t>
        </is>
      </c>
      <c r="D310" s="31" t="inlineStr">
        <is>
          <t>miscellaneous</t>
        </is>
      </c>
      <c r="E310" s="31" t="inlineStr">
        <is>
          <t>largecap</t>
        </is>
      </c>
      <c r="F310" s="31" t="n">
        <v>38006.83</v>
      </c>
      <c r="G310" s="31" t="n">
        <v>509.3</v>
      </c>
      <c r="H310" s="31" t="n">
        <v>0.32</v>
      </c>
      <c r="I310" s="31" t="n">
        <v>12862841</v>
      </c>
      <c r="J310" s="31" t="inlineStr">
        <is>
          <t>543529</t>
        </is>
      </c>
    </row>
    <row r="311">
      <c r="A311" s="31" t="inlineStr">
        <is>
          <t>HAPPYFORGE</t>
        </is>
      </c>
      <c r="B311" s="31" t="inlineStr">
        <is>
          <t>Happy Forgings Ltd</t>
        </is>
      </c>
      <c r="C311" s="31" t="inlineStr">
        <is>
          <t>industrials</t>
        </is>
      </c>
      <c r="D311" s="31" t="inlineStr">
        <is>
          <t>castings &amp; forgings</t>
        </is>
      </c>
      <c r="E311" s="31" t="inlineStr">
        <is>
          <t>midcap</t>
        </is>
      </c>
      <c r="F311" s="31" t="n">
        <v>14455.43</v>
      </c>
      <c r="G311" s="31" t="n">
        <v>1537</v>
      </c>
      <c r="H311" s="31" t="n">
        <v>0.32</v>
      </c>
      <c r="I311" s="31" t="n">
        <v>78216</v>
      </c>
      <c r="J311" s="31" t="inlineStr">
        <is>
          <t>544057</t>
        </is>
      </c>
    </row>
    <row r="312">
      <c r="A312" s="31" t="inlineStr">
        <is>
          <t>KAMDHENU</t>
        </is>
      </c>
      <c r="B312" s="31" t="inlineStr">
        <is>
          <t>Kamdhenu Limited</t>
        </is>
      </c>
      <c r="C312" s="31" t="inlineStr">
        <is>
          <t>metals &amp; mining</t>
        </is>
      </c>
      <c r="D312" s="31" t="inlineStr">
        <is>
          <t>steel - medium / small</t>
        </is>
      </c>
      <c r="E312" s="31" t="inlineStr">
        <is>
          <t>smallcap</t>
        </is>
      </c>
      <c r="F312" s="31" t="n">
        <v>876.66</v>
      </c>
      <c r="G312" s="31" t="n">
        <v>31.2</v>
      </c>
      <c r="H312" s="31" t="n">
        <v>0.32</v>
      </c>
      <c r="I312" s="31" t="n">
        <v>875789</v>
      </c>
      <c r="J312" s="31" t="inlineStr">
        <is>
          <t>532741</t>
        </is>
      </c>
    </row>
    <row r="313">
      <c r="A313" s="31" t="inlineStr">
        <is>
          <t>WELENT</t>
        </is>
      </c>
      <c r="B313" s="31" t="inlineStr">
        <is>
          <t>Welspun Enterprises Limited</t>
        </is>
      </c>
      <c r="C313" s="31" t="inlineStr">
        <is>
          <t>realty</t>
        </is>
      </c>
      <c r="D313" s="31" t="inlineStr">
        <is>
          <t>construction</t>
        </is>
      </c>
      <c r="E313" s="31" t="inlineStr">
        <is>
          <t>midcap</t>
        </is>
      </c>
      <c r="F313" s="31" t="n">
        <v>8448.09</v>
      </c>
      <c r="G313" s="31" t="n">
        <v>612.25</v>
      </c>
      <c r="H313" s="31" t="n">
        <v>0.31</v>
      </c>
      <c r="I313" s="31" t="n">
        <v>533601</v>
      </c>
      <c r="J313" s="31" t="inlineStr">
        <is>
          <t>532553</t>
        </is>
      </c>
    </row>
    <row r="314">
      <c r="A314" s="31" t="inlineStr">
        <is>
          <t>STARHEALTH</t>
        </is>
      </c>
      <c r="B314" s="31" t="inlineStr">
        <is>
          <t>Star Health &amp; Allied Insurance Company Ltd</t>
        </is>
      </c>
      <c r="C314" s="31" t="inlineStr">
        <is>
          <t>financials</t>
        </is>
      </c>
      <c r="D314" s="31" t="inlineStr">
        <is>
          <t>finance &amp; investments</t>
        </is>
      </c>
      <c r="E314" s="31" t="inlineStr">
        <is>
          <t>largecap</t>
        </is>
      </c>
      <c r="F314" s="31" t="n">
        <v>34527.52</v>
      </c>
      <c r="G314" s="31" t="n">
        <v>588.5</v>
      </c>
      <c r="H314" s="31" t="n">
        <v>0.29</v>
      </c>
      <c r="I314" s="31" t="n">
        <v>241255</v>
      </c>
      <c r="J314" s="31" t="inlineStr">
        <is>
          <t>543412</t>
        </is>
      </c>
    </row>
    <row r="315">
      <c r="A315" s="31" t="inlineStr">
        <is>
          <t>CCL</t>
        </is>
      </c>
      <c r="B315" s="31" t="inlineStr">
        <is>
          <t>Ccl Products (india) Limited</t>
        </is>
      </c>
      <c r="C315" s="31" t="inlineStr">
        <is>
          <t>fmcg</t>
        </is>
      </c>
      <c r="D315" s="31" t="inlineStr">
        <is>
          <t>tea</t>
        </is>
      </c>
      <c r="E315" s="31" t="inlineStr">
        <is>
          <t>midcap</t>
        </is>
      </c>
      <c r="F315" s="31" t="n">
        <v>15796.35</v>
      </c>
      <c r="G315" s="31" t="n">
        <v>1186.4</v>
      </c>
      <c r="H315" s="31" t="n">
        <v>0.29</v>
      </c>
      <c r="I315" s="31" t="n">
        <v>101541</v>
      </c>
      <c r="J315" s="31" t="inlineStr">
        <is>
          <t>519600</t>
        </is>
      </c>
    </row>
    <row r="316">
      <c r="A316" s="31" t="inlineStr">
        <is>
          <t>INDHOTEL</t>
        </is>
      </c>
      <c r="B316" s="31" t="inlineStr">
        <is>
          <t>The Indian Hotels Company Limited</t>
        </is>
      </c>
      <c r="C316" s="31" t="inlineStr">
        <is>
          <t>services</t>
        </is>
      </c>
      <c r="D316" s="31" t="inlineStr">
        <is>
          <t>hotels</t>
        </is>
      </c>
      <c r="E316" s="31" t="inlineStr">
        <is>
          <t>largecap</t>
        </is>
      </c>
      <c r="F316" s="31" t="n">
        <v>102309.19</v>
      </c>
      <c r="G316" s="31" t="n">
        <v>720.7</v>
      </c>
      <c r="H316" s="31" t="n">
        <v>0.27</v>
      </c>
      <c r="I316" s="31" t="n">
        <v>3062675</v>
      </c>
      <c r="J316" s="31" t="inlineStr">
        <is>
          <t>500850</t>
        </is>
      </c>
    </row>
    <row r="317">
      <c r="A317" s="31" t="inlineStr">
        <is>
          <t>EIFFL</t>
        </is>
      </c>
      <c r="B317" s="31" t="inlineStr">
        <is>
          <t>Euro India Fresh Foods Ltd</t>
        </is>
      </c>
      <c r="C317" s="31" t="inlineStr">
        <is>
          <t>fmcg</t>
        </is>
      </c>
      <c r="D317" s="31" t="inlineStr">
        <is>
          <t>food - processing - indian</t>
        </is>
      </c>
      <c r="E317" s="31" t="inlineStr">
        <is>
          <t>smallcap</t>
        </is>
      </c>
      <c r="F317" s="31" t="n">
        <v>818.77</v>
      </c>
      <c r="G317" s="31" t="n">
        <v>331</v>
      </c>
      <c r="H317" s="31" t="n">
        <v>0.26</v>
      </c>
      <c r="I317" s="31" t="n">
        <v>4603</v>
      </c>
      <c r="J317" s="31" t="inlineStr">
        <is>
          <t>538412</t>
        </is>
      </c>
    </row>
    <row r="318">
      <c r="A318" s="31" t="inlineStr">
        <is>
          <t>SOLARINDS</t>
        </is>
      </c>
      <c r="B318" s="31" t="inlineStr">
        <is>
          <t>Solar Industries India Limited</t>
        </is>
      </c>
      <c r="C318" s="31" t="inlineStr">
        <is>
          <t>aerospace &amp; defence</t>
        </is>
      </c>
      <c r="D318" s="31" t="inlineStr">
        <is>
          <t>chemicals</t>
        </is>
      </c>
      <c r="E318" s="31" t="inlineStr">
        <is>
          <t>largecap</t>
        </is>
      </c>
      <c r="F318" s="31" t="n">
        <v>168401.99</v>
      </c>
      <c r="G318" s="31" t="n">
        <v>18659</v>
      </c>
      <c r="H318" s="31" t="n">
        <v>0.26</v>
      </c>
      <c r="I318" s="31" t="n">
        <v>100525</v>
      </c>
      <c r="J318" s="31" t="inlineStr">
        <is>
          <t>532725</t>
        </is>
      </c>
    </row>
    <row r="319">
      <c r="A319" s="31" t="inlineStr">
        <is>
          <t>SBC</t>
        </is>
      </c>
      <c r="B319" s="31" t="inlineStr">
        <is>
          <t>SBC Exports Ltd</t>
        </is>
      </c>
      <c r="C319" s="31" t="inlineStr">
        <is>
          <t>textiles</t>
        </is>
      </c>
      <c r="D319" s="31" t="inlineStr">
        <is>
          <t>textiles - products</t>
        </is>
      </c>
      <c r="E319" s="31" t="inlineStr">
        <is>
          <t>smallcap</t>
        </is>
      </c>
      <c r="F319" s="31" t="n">
        <v>2000</v>
      </c>
      <c r="G319" s="31" t="n">
        <v>42.11</v>
      </c>
      <c r="H319" s="31" t="n">
        <v>0.26</v>
      </c>
      <c r="I319" s="31" t="n">
        <v>9028203</v>
      </c>
      <c r="J319" s="31" t="inlineStr">
        <is>
          <t>542725</t>
        </is>
      </c>
    </row>
    <row r="320">
      <c r="A320" s="31" t="inlineStr">
        <is>
          <t>SUNPHARMA</t>
        </is>
      </c>
      <c r="B320" s="31" t="inlineStr">
        <is>
          <t>Sun Pharmaceuticals Industries Limited</t>
        </is>
      </c>
      <c r="C320" s="31" t="inlineStr">
        <is>
          <t>healthcare</t>
        </is>
      </c>
      <c r="D320" s="31" t="inlineStr">
        <is>
          <t>pharmaceuticals - indian - bulk drugs &amp; formln</t>
        </is>
      </c>
      <c r="E320" s="31" t="inlineStr">
        <is>
          <t>largecap</t>
        </is>
      </c>
      <c r="F320" s="31" t="n">
        <v>447763.89</v>
      </c>
      <c r="G320" s="31" t="n">
        <v>1871</v>
      </c>
      <c r="H320" s="31" t="n">
        <v>0.26</v>
      </c>
      <c r="I320" s="31" t="n">
        <v>1485818</v>
      </c>
      <c r="J320" s="31" t="inlineStr">
        <is>
          <t>524715</t>
        </is>
      </c>
    </row>
    <row r="321">
      <c r="A321" s="31" t="inlineStr">
        <is>
          <t>REPCOHOME</t>
        </is>
      </c>
      <c r="B321" s="31" t="inlineStr">
        <is>
          <t>Repco Home Finance Limited</t>
        </is>
      </c>
      <c r="C321" s="31" t="inlineStr">
        <is>
          <t>financials</t>
        </is>
      </c>
      <c r="D321" s="31" t="inlineStr">
        <is>
          <t>finance - housing</t>
        </is>
      </c>
      <c r="E321" s="31" t="inlineStr">
        <is>
          <t>smallcap</t>
        </is>
      </c>
      <c r="F321" s="31" t="n">
        <v>2658.23</v>
      </c>
      <c r="G321" s="31" t="n">
        <v>425.9</v>
      </c>
      <c r="H321" s="31" t="n">
        <v>0.24</v>
      </c>
      <c r="I321" s="31" t="n">
        <v>154236</v>
      </c>
      <c r="J321" s="31" t="inlineStr">
        <is>
          <t>535322</t>
        </is>
      </c>
    </row>
    <row r="322">
      <c r="A322" s="31" t="inlineStr">
        <is>
          <t>TBZ</t>
        </is>
      </c>
      <c r="B322" s="31" t="inlineStr">
        <is>
          <t>Tribhovandas Bhimji Zaveri Limited</t>
        </is>
      </c>
      <c r="C322" s="31" t="inlineStr">
        <is>
          <t>consumer discretionary</t>
        </is>
      </c>
      <c r="D322" s="31" t="inlineStr">
        <is>
          <t>diamond cutting / jewellery</t>
        </is>
      </c>
      <c r="E322" s="31" t="inlineStr">
        <is>
          <t>smallcap</t>
        </is>
      </c>
      <c r="F322" s="31" t="n">
        <v>1276.36</v>
      </c>
      <c r="G322" s="31" t="n">
        <v>191.7</v>
      </c>
      <c r="H322" s="31" t="n">
        <v>0.22</v>
      </c>
      <c r="I322" s="31" t="n">
        <v>231944</v>
      </c>
      <c r="J322" s="31" t="inlineStr">
        <is>
          <t>534369</t>
        </is>
      </c>
    </row>
    <row r="323">
      <c r="A323" s="31" t="inlineStr">
        <is>
          <t>NOCIL</t>
        </is>
      </c>
      <c r="B323" s="31" t="inlineStr">
        <is>
          <t>Nocil Limited</t>
        </is>
      </c>
      <c r="C323" s="31" t="inlineStr">
        <is>
          <t>chemicals</t>
        </is>
      </c>
      <c r="D323" s="31" t="inlineStr">
        <is>
          <t>chemicals</t>
        </is>
      </c>
      <c r="E323" s="31" t="inlineStr">
        <is>
          <t>smallcap</t>
        </is>
      </c>
      <c r="F323" s="31" t="n">
        <v>2986.24</v>
      </c>
      <c r="G323" s="31" t="n">
        <v>179.16</v>
      </c>
      <c r="H323" s="31" t="n">
        <v>0.21</v>
      </c>
      <c r="I323" s="31" t="n">
        <v>325985</v>
      </c>
      <c r="J323" s="31" t="inlineStr">
        <is>
          <t>500730</t>
        </is>
      </c>
    </row>
    <row r="324">
      <c r="A324" s="31" t="inlineStr">
        <is>
          <t>INDUSINDBK</t>
        </is>
      </c>
      <c r="B324" s="31" t="inlineStr">
        <is>
          <t>Indusind Bank Limited</t>
        </is>
      </c>
      <c r="C324" s="31" t="inlineStr">
        <is>
          <t>bank</t>
        </is>
      </c>
      <c r="D324" s="31" t="inlineStr">
        <is>
          <t>banks - private sector</t>
        </is>
      </c>
      <c r="E324" s="31" t="inlineStr">
        <is>
          <t>largecap</t>
        </is>
      </c>
      <c r="F324" s="31" t="n">
        <v>73360.63</v>
      </c>
      <c r="G324" s="31" t="n">
        <v>943.5</v>
      </c>
      <c r="H324" s="31" t="n">
        <v>0.2</v>
      </c>
      <c r="I324" s="31" t="n">
        <v>1177428</v>
      </c>
      <c r="J324" s="31" t="inlineStr">
        <is>
          <t>532187</t>
        </is>
      </c>
    </row>
    <row r="325">
      <c r="A325" s="31" t="inlineStr">
        <is>
          <t>RPTECH</t>
        </is>
      </c>
      <c r="B325" s="31" t="inlineStr">
        <is>
          <t>Rashi Peripherals Ltd</t>
        </is>
      </c>
      <c r="C325" s="31" t="inlineStr">
        <is>
          <t>services</t>
        </is>
      </c>
      <c r="D325" s="31" t="inlineStr">
        <is>
          <t>trading</t>
        </is>
      </c>
      <c r="E325" s="31" t="inlineStr">
        <is>
          <t>midcap</t>
        </is>
      </c>
      <c r="F325" s="31" t="n">
        <v>5192.56</v>
      </c>
      <c r="G325" s="31" t="n">
        <v>789.45</v>
      </c>
      <c r="H325" s="31" t="n">
        <v>0.19</v>
      </c>
      <c r="I325" s="31" t="n">
        <v>815245</v>
      </c>
      <c r="J325" s="31" t="n"/>
    </row>
    <row r="326">
      <c r="A326" s="31" t="inlineStr">
        <is>
          <t>SOUTHBANK</t>
        </is>
      </c>
      <c r="B326" s="31" t="inlineStr">
        <is>
          <t>The South Indian Bank Limited</t>
        </is>
      </c>
      <c r="C326" s="31" t="inlineStr">
        <is>
          <t>bank</t>
        </is>
      </c>
      <c r="D326" s="31" t="inlineStr">
        <is>
          <t>banks - private sector</t>
        </is>
      </c>
      <c r="E326" s="31" t="inlineStr">
        <is>
          <t>midcap</t>
        </is>
      </c>
      <c r="F326" s="31" t="n">
        <v>11899.46</v>
      </c>
      <c r="G326" s="31" t="n">
        <v>45.54</v>
      </c>
      <c r="H326" s="31" t="n">
        <v>0.18</v>
      </c>
      <c r="I326" s="31" t="n">
        <v>26554406</v>
      </c>
      <c r="J326" s="31" t="inlineStr">
        <is>
          <t>532218</t>
        </is>
      </c>
    </row>
    <row r="327">
      <c r="A327" s="31" t="inlineStr">
        <is>
          <t>TI</t>
        </is>
      </c>
      <c r="B327" s="31" t="inlineStr">
        <is>
          <t>Tilaknagar Industries Limited</t>
        </is>
      </c>
      <c r="C327" s="31" t="inlineStr">
        <is>
          <t>fmcg</t>
        </is>
      </c>
      <c r="D327" s="31" t="inlineStr">
        <is>
          <t>breweries &amp; distilleries</t>
        </is>
      </c>
      <c r="E327" s="31" t="inlineStr">
        <is>
          <t>midcap</t>
        </is>
      </c>
      <c r="F327" s="31" t="n">
        <v>11201.78</v>
      </c>
      <c r="G327" s="31" t="n">
        <v>454</v>
      </c>
      <c r="H327" s="31" t="n">
        <v>0.18</v>
      </c>
      <c r="I327" s="31" t="n">
        <v>375255</v>
      </c>
      <c r="J327" s="31" t="inlineStr">
        <is>
          <t>507205</t>
        </is>
      </c>
    </row>
    <row r="328">
      <c r="A328" s="31" t="inlineStr">
        <is>
          <t>POKARNA</t>
        </is>
      </c>
      <c r="B328" s="31" t="inlineStr">
        <is>
          <t>Pokarna Limited</t>
        </is>
      </c>
      <c r="C328" s="31" t="inlineStr">
        <is>
          <t>consumer discretionary</t>
        </is>
      </c>
      <c r="D328" s="31" t="inlineStr">
        <is>
          <t>miscellaneous</t>
        </is>
      </c>
      <c r="E328" s="31" t="inlineStr">
        <is>
          <t>smallcap</t>
        </is>
      </c>
      <c r="F328" s="31" t="n">
        <v>3172.64</v>
      </c>
      <c r="G328" s="31" t="n">
        <v>1024.9</v>
      </c>
      <c r="H328" s="31" t="n">
        <v>0.16</v>
      </c>
      <c r="I328" s="31" t="n">
        <v>47251</v>
      </c>
      <c r="J328" s="31" t="inlineStr">
        <is>
          <t>532486</t>
        </is>
      </c>
    </row>
    <row r="329">
      <c r="A329" s="31" t="inlineStr">
        <is>
          <t>UJJIVANSFB</t>
        </is>
      </c>
      <c r="B329" s="31" t="inlineStr">
        <is>
          <t>Ujjivan Small Finance Bank Ltd</t>
        </is>
      </c>
      <c r="C329" s="31" t="inlineStr">
        <is>
          <t>bank</t>
        </is>
      </c>
      <c r="D329" s="31" t="inlineStr">
        <is>
          <t>banks - private sector</t>
        </is>
      </c>
      <c r="E329" s="31" t="inlineStr">
        <is>
          <t>midcap</t>
        </is>
      </c>
      <c r="F329" s="31" t="n">
        <v>11910.78</v>
      </c>
      <c r="G329" s="31" t="n">
        <v>61.4</v>
      </c>
      <c r="H329" s="31" t="n">
        <v>0.15</v>
      </c>
      <c r="I329" s="31" t="n">
        <v>21654415</v>
      </c>
      <c r="J329" s="31" t="inlineStr">
        <is>
          <t>542904</t>
        </is>
      </c>
    </row>
    <row r="330">
      <c r="A330" s="31" t="inlineStr">
        <is>
          <t>VENUSREM</t>
        </is>
      </c>
      <c r="B330" s="31" t="inlineStr">
        <is>
          <t>Venus Remedies Limited</t>
        </is>
      </c>
      <c r="C330" s="31" t="inlineStr">
        <is>
          <t>healthcare</t>
        </is>
      </c>
      <c r="D330" s="31" t="inlineStr">
        <is>
          <t>pharmaceuticals - indian - formulations</t>
        </is>
      </c>
      <c r="E330" s="31" t="inlineStr">
        <is>
          <t>smallcap</t>
        </is>
      </c>
      <c r="F330" s="31" t="n">
        <v>2341.76</v>
      </c>
      <c r="G330" s="31" t="n">
        <v>1754.3</v>
      </c>
      <c r="H330" s="31" t="n">
        <v>0.14</v>
      </c>
      <c r="I330" s="31" t="n">
        <v>44445</v>
      </c>
      <c r="J330" s="31" t="inlineStr">
        <is>
          <t>526953</t>
        </is>
      </c>
    </row>
    <row r="331">
      <c r="A331" s="31" t="inlineStr">
        <is>
          <t>RAMCOSYS</t>
        </is>
      </c>
      <c r="B331" s="31" t="inlineStr">
        <is>
          <t>Ramco Systems Limited</t>
        </is>
      </c>
      <c r="C331" s="31" t="inlineStr">
        <is>
          <t>i.t</t>
        </is>
      </c>
      <c r="D331" s="31" t="inlineStr">
        <is>
          <t>computers - software - medium / small</t>
        </is>
      </c>
      <c r="E331" s="31" t="inlineStr">
        <is>
          <t>smallcap</t>
        </is>
      </c>
      <c r="F331" s="31" t="n">
        <v>2975.37</v>
      </c>
      <c r="G331" s="31" t="n">
        <v>796.4</v>
      </c>
      <c r="H331" s="31" t="n">
        <v>0.14</v>
      </c>
      <c r="I331" s="31" t="n">
        <v>7141665</v>
      </c>
      <c r="J331" s="31" t="inlineStr">
        <is>
          <t>532370</t>
        </is>
      </c>
    </row>
    <row r="332">
      <c r="A332" s="31" t="inlineStr">
        <is>
          <t>PRICOLLTD</t>
        </is>
      </c>
      <c r="B332" s="31" t="inlineStr">
        <is>
          <t>Pricol Ltd.</t>
        </is>
      </c>
      <c r="C332" s="31" t="inlineStr">
        <is>
          <t>auto</t>
        </is>
      </c>
      <c r="D332" s="31" t="inlineStr">
        <is>
          <t>auto ancillaries</t>
        </is>
      </c>
      <c r="E332" s="31" t="inlineStr">
        <is>
          <t>midcap</t>
        </is>
      </c>
      <c r="F332" s="31" t="n">
        <v>7511.56</v>
      </c>
      <c r="G332" s="31" t="n">
        <v>617.1</v>
      </c>
      <c r="H332" s="31" t="n">
        <v>0.13</v>
      </c>
      <c r="I332" s="31" t="n">
        <v>536748</v>
      </c>
      <c r="J332" s="31" t="inlineStr">
        <is>
          <t>540293</t>
        </is>
      </c>
    </row>
    <row r="333">
      <c r="A333" s="31" t="inlineStr">
        <is>
          <t>INOXINDIA</t>
        </is>
      </c>
      <c r="B333" s="31" t="inlineStr">
        <is>
          <t>Inox India Ltd</t>
        </is>
      </c>
      <c r="C333" s="31" t="inlineStr">
        <is>
          <t>industrials</t>
        </is>
      </c>
      <c r="D333" s="31" t="inlineStr">
        <is>
          <t>packaging</t>
        </is>
      </c>
      <c r="E333" s="31" t="inlineStr">
        <is>
          <t>midcap</t>
        </is>
      </c>
      <c r="F333" s="31" t="n">
        <v>17290.45</v>
      </c>
      <c r="G333" s="31" t="n">
        <v>1907</v>
      </c>
      <c r="H333" s="31" t="n">
        <v>0.11</v>
      </c>
      <c r="I333" s="31" t="n">
        <v>196739</v>
      </c>
      <c r="J333" s="31" t="inlineStr">
        <is>
          <t>544046</t>
        </is>
      </c>
    </row>
    <row r="334">
      <c r="A334" s="31" t="inlineStr">
        <is>
          <t>MOTILALOFS</t>
        </is>
      </c>
      <c r="B334" s="31" t="inlineStr">
        <is>
          <t>Motilal Oswal Financial Services Limited</t>
        </is>
      </c>
      <c r="C334" s="31" t="inlineStr">
        <is>
          <t>financials</t>
        </is>
      </c>
      <c r="D334" s="31" t="inlineStr">
        <is>
          <t>finance &amp; investments</t>
        </is>
      </c>
      <c r="E334" s="31" t="inlineStr">
        <is>
          <t>largecap</t>
        </is>
      </c>
      <c r="F334" s="31" t="n">
        <v>57534.81</v>
      </c>
      <c r="G334" s="31" t="n">
        <v>956.9</v>
      </c>
      <c r="H334" s="31" t="n">
        <v>0.1</v>
      </c>
      <c r="I334" s="31" t="n">
        <v>750906</v>
      </c>
      <c r="J334" s="31" t="inlineStr">
        <is>
          <t>532892</t>
        </is>
      </c>
    </row>
    <row r="335">
      <c r="A335" s="31" t="inlineStr">
        <is>
          <t>AVALON</t>
        </is>
      </c>
      <c r="B335" s="31" t="inlineStr">
        <is>
          <t>Avalon Technologies Ltd</t>
        </is>
      </c>
      <c r="C335" s="31" t="inlineStr">
        <is>
          <t>consumer discretionary</t>
        </is>
      </c>
      <c r="D335" s="31" t="inlineStr">
        <is>
          <t>electronics - components</t>
        </is>
      </c>
      <c r="E335" s="31" t="inlineStr">
        <is>
          <t>midcap</t>
        </is>
      </c>
      <c r="F335" s="31" t="n">
        <v>11986.53</v>
      </c>
      <c r="G335" s="31" t="n">
        <v>1797</v>
      </c>
      <c r="H335" s="31" t="n">
        <v>0.09</v>
      </c>
      <c r="I335" s="31" t="n">
        <v>365467</v>
      </c>
      <c r="J335" s="31" t="inlineStr">
        <is>
          <t>543896</t>
        </is>
      </c>
    </row>
    <row r="336">
      <c r="A336" s="31" t="inlineStr">
        <is>
          <t>LUPIN</t>
        </is>
      </c>
      <c r="B336" s="31" t="inlineStr">
        <is>
          <t>Lupin Limited</t>
        </is>
      </c>
      <c r="C336" s="31" t="inlineStr">
        <is>
          <t>healthcare</t>
        </is>
      </c>
      <c r="D336" s="31" t="inlineStr">
        <is>
          <t>pharmaceuticals - indian - bulk drugs &amp; formln</t>
        </is>
      </c>
      <c r="E336" s="31" t="inlineStr">
        <is>
          <t>largecap</t>
        </is>
      </c>
      <c r="F336" s="31" t="n">
        <v>109608.69</v>
      </c>
      <c r="G336" s="31" t="n">
        <v>2399.6</v>
      </c>
      <c r="H336" s="31" t="n">
        <v>0.09</v>
      </c>
      <c r="I336" s="31" t="n">
        <v>584679</v>
      </c>
      <c r="J336" s="31" t="inlineStr">
        <is>
          <t>500257</t>
        </is>
      </c>
    </row>
    <row r="337">
      <c r="A337" s="31" t="inlineStr">
        <is>
          <t>HMT</t>
        </is>
      </c>
      <c r="B337" s="31" t="inlineStr">
        <is>
          <t>Hmt Limited</t>
        </is>
      </c>
      <c r="C337" s="31" t="inlineStr">
        <is>
          <t>consumer discretionary</t>
        </is>
      </c>
      <c r="D337" s="31" t="inlineStr">
        <is>
          <t>miscellaneous</t>
        </is>
      </c>
      <c r="E337" s="31" t="inlineStr">
        <is>
          <t>midcap</t>
        </is>
      </c>
      <c r="F337" s="31" t="n">
        <v>8255.25</v>
      </c>
      <c r="G337" s="31" t="n">
        <v>68.61</v>
      </c>
      <c r="H337" s="31" t="n">
        <v>0.07000000000000001</v>
      </c>
      <c r="I337" s="31" t="n">
        <v>19530</v>
      </c>
      <c r="J337" s="31" t="inlineStr">
        <is>
          <t>500191</t>
        </is>
      </c>
    </row>
    <row r="338">
      <c r="A338" s="31" t="inlineStr">
        <is>
          <t>MOTHERSON</t>
        </is>
      </c>
      <c r="B338" s="31" t="inlineStr">
        <is>
          <t>Samvardhana Motherson International Ltd</t>
        </is>
      </c>
      <c r="C338" s="31" t="inlineStr">
        <is>
          <t>auto</t>
        </is>
      </c>
      <c r="D338" s="31" t="inlineStr">
        <is>
          <t>auto ancillaries</t>
        </is>
      </c>
      <c r="E338" s="31" t="inlineStr">
        <is>
          <t>largecap</t>
        </is>
      </c>
      <c r="F338" s="31" t="n">
        <v>155688.58</v>
      </c>
      <c r="G338" s="31" t="n">
        <v>147.59</v>
      </c>
      <c r="H338" s="31" t="n">
        <v>0.05</v>
      </c>
      <c r="I338" s="31" t="n">
        <v>9629607</v>
      </c>
      <c r="J338" s="31" t="inlineStr">
        <is>
          <t>517334</t>
        </is>
      </c>
    </row>
    <row r="339">
      <c r="A339" s="31" t="inlineStr">
        <is>
          <t>AURUM</t>
        </is>
      </c>
      <c r="B339" s="31" t="inlineStr">
        <is>
          <t>Aurum Proptech Ltd</t>
        </is>
      </c>
      <c r="C339" s="31" t="inlineStr">
        <is>
          <t>i.t</t>
        </is>
      </c>
      <c r="D339" s="31" t="inlineStr">
        <is>
          <t>computers - software - medium / small</t>
        </is>
      </c>
      <c r="E339" s="31" t="inlineStr">
        <is>
          <t>smallcap</t>
        </is>
      </c>
      <c r="F339" s="31" t="n">
        <v>1745.59</v>
      </c>
      <c r="G339" s="31" t="n">
        <v>227.83</v>
      </c>
      <c r="H339" s="31" t="n">
        <v>0.05</v>
      </c>
      <c r="I339" s="31" t="n">
        <v>168793</v>
      </c>
      <c r="J339" s="31" t="inlineStr">
        <is>
          <t>539289</t>
        </is>
      </c>
    </row>
    <row r="340">
      <c r="A340" s="31" t="inlineStr">
        <is>
          <t>PSPPROJECT</t>
        </is>
      </c>
      <c r="B340" s="31" t="inlineStr">
        <is>
          <t>PSP Projects Ltd</t>
        </is>
      </c>
      <c r="C340" s="31" t="inlineStr">
        <is>
          <t>realty</t>
        </is>
      </c>
      <c r="D340" s="31" t="inlineStr">
        <is>
          <t>construction</t>
        </is>
      </c>
      <c r="E340" s="31" t="inlineStr">
        <is>
          <t>smallcap</t>
        </is>
      </c>
      <c r="F340" s="31" t="n">
        <v>4098.96</v>
      </c>
      <c r="G340" s="31" t="n">
        <v>1034.4</v>
      </c>
      <c r="H340" s="31" t="n">
        <v>0.04</v>
      </c>
      <c r="I340" s="31" t="n">
        <v>102278</v>
      </c>
      <c r="J340" s="31" t="inlineStr">
        <is>
          <t>540544</t>
        </is>
      </c>
    </row>
    <row r="341">
      <c r="A341" s="31" t="inlineStr">
        <is>
          <t>KAJARIACER</t>
        </is>
      </c>
      <c r="B341" s="31" t="inlineStr">
        <is>
          <t>Kajaria Ceramics Limited</t>
        </is>
      </c>
      <c r="C341" s="31" t="inlineStr">
        <is>
          <t>building materials</t>
        </is>
      </c>
      <c r="D341" s="31" t="inlineStr">
        <is>
          <t>ceramics - tiles / sanitaryware</t>
        </is>
      </c>
      <c r="E341" s="31" t="inlineStr">
        <is>
          <t>midcap</t>
        </is>
      </c>
      <c r="F341" s="31" t="n">
        <v>19170.01</v>
      </c>
      <c r="G341" s="31" t="n">
        <v>1204</v>
      </c>
      <c r="H341" s="31" t="n">
        <v>0.03</v>
      </c>
      <c r="I341" s="31" t="n">
        <v>323782</v>
      </c>
      <c r="J341" s="31" t="inlineStr">
        <is>
          <t>500233</t>
        </is>
      </c>
    </row>
    <row r="342">
      <c r="A342" s="31" t="inlineStr">
        <is>
          <t>NIBE</t>
        </is>
      </c>
      <c r="B342" s="31" t="inlineStr">
        <is>
          <t>NIBE Ltd</t>
        </is>
      </c>
      <c r="C342" s="31" t="inlineStr">
        <is>
          <t>aerospace &amp; defence</t>
        </is>
      </c>
      <c r="D342" s="31" t="inlineStr">
        <is>
          <t>engineering</t>
        </is>
      </c>
      <c r="E342" s="31" t="inlineStr">
        <is>
          <t>smallcap</t>
        </is>
      </c>
      <c r="F342" s="31" t="n">
        <v>2527.57</v>
      </c>
      <c r="G342" s="31" t="n">
        <v>1656.7</v>
      </c>
      <c r="H342" s="31" t="n">
        <v>0.03</v>
      </c>
      <c r="I342" s="31" t="n">
        <v>56265</v>
      </c>
      <c r="J342" s="31" t="inlineStr">
        <is>
          <t>535136</t>
        </is>
      </c>
    </row>
    <row r="343">
      <c r="A343" s="31" t="inlineStr">
        <is>
          <t>CANFINHOME</t>
        </is>
      </c>
      <c r="B343" s="31" t="inlineStr">
        <is>
          <t>Can Fin Homes Limited</t>
        </is>
      </c>
      <c r="C343" s="31" t="inlineStr">
        <is>
          <t>financials</t>
        </is>
      </c>
      <c r="D343" s="31" t="inlineStr">
        <is>
          <t>finance - housing</t>
        </is>
      </c>
      <c r="E343" s="31" t="inlineStr">
        <is>
          <t>midcap</t>
        </is>
      </c>
      <c r="F343" s="31" t="n">
        <v>11748.85</v>
      </c>
      <c r="G343" s="31" t="n">
        <v>882.5</v>
      </c>
      <c r="H343" s="31" t="n">
        <v>0.02</v>
      </c>
      <c r="I343" s="31" t="n">
        <v>281596</v>
      </c>
      <c r="J343" s="31" t="inlineStr">
        <is>
          <t>511196</t>
        </is>
      </c>
    </row>
    <row r="344">
      <c r="A344" s="31" t="inlineStr">
        <is>
          <t>GRWRHITECH</t>
        </is>
      </c>
      <c r="B344" s="31" t="inlineStr">
        <is>
          <t>Garware Hi Tech Films Ltd</t>
        </is>
      </c>
      <c r="C344" s="31" t="inlineStr">
        <is>
          <t>industrials</t>
        </is>
      </c>
      <c r="D344" s="31" t="inlineStr">
        <is>
          <t>packaging</t>
        </is>
      </c>
      <c r="E344" s="31" t="inlineStr">
        <is>
          <t>midcap</t>
        </is>
      </c>
      <c r="F344" s="31" t="n">
        <v>16073.33</v>
      </c>
      <c r="G344" s="31" t="n">
        <v>6920</v>
      </c>
      <c r="H344" s="31" t="n">
        <v>0.02</v>
      </c>
      <c r="I344" s="31" t="n">
        <v>64921</v>
      </c>
      <c r="J344" s="31" t="inlineStr">
        <is>
          <t>500655</t>
        </is>
      </c>
    </row>
    <row r="345">
      <c r="A345" s="31" t="inlineStr">
        <is>
          <t>HITECHCORP</t>
        </is>
      </c>
      <c r="B345" s="31" t="inlineStr">
        <is>
          <t>Hitech Corporation</t>
        </is>
      </c>
      <c r="C345" s="31" t="inlineStr">
        <is>
          <t>industrials</t>
        </is>
      </c>
      <c r="D345" s="31" t="inlineStr">
        <is>
          <t>packaging</t>
        </is>
      </c>
      <c r="E345" s="31" t="inlineStr">
        <is>
          <t>smallcap</t>
        </is>
      </c>
      <c r="F345" s="31" t="n">
        <v>542.75</v>
      </c>
      <c r="G345" s="31" t="n">
        <v>316</v>
      </c>
      <c r="H345" s="31" t="n">
        <v>0</v>
      </c>
      <c r="I345" s="31" t="n">
        <v>8841</v>
      </c>
      <c r="J345" s="31" t="inlineStr">
        <is>
          <t>526217</t>
        </is>
      </c>
    </row>
    <row r="346">
      <c r="A346" s="31" t="inlineStr">
        <is>
          <t>SIMPLEXINF</t>
        </is>
      </c>
      <c r="B346" s="31" t="inlineStr">
        <is>
          <t>Simplex Infrastructures Limited</t>
        </is>
      </c>
      <c r="C346" s="31" t="inlineStr">
        <is>
          <t>realty</t>
        </is>
      </c>
      <c r="D346" s="31" t="inlineStr">
        <is>
          <t>construction</t>
        </is>
      </c>
      <c r="E346" s="31" t="inlineStr">
        <is>
          <t>smallcap</t>
        </is>
      </c>
      <c r="F346" s="31" t="n">
        <v>2103.15</v>
      </c>
      <c r="G346" s="31" t="n">
        <v>265.9</v>
      </c>
      <c r="H346" s="31" t="n">
        <v>0</v>
      </c>
      <c r="I346" s="31" t="n">
        <v>46833</v>
      </c>
      <c r="J346" s="31" t="inlineStr">
        <is>
          <t>523838</t>
        </is>
      </c>
    </row>
    <row r="347">
      <c r="A347" s="31" t="inlineStr">
        <is>
          <t>KRYSTAL</t>
        </is>
      </c>
      <c r="B347" s="31" t="inlineStr">
        <is>
          <t>Krystal Integrated Services Ltd</t>
        </is>
      </c>
      <c r="C347" s="31" t="inlineStr">
        <is>
          <t>miscellaneous</t>
        </is>
      </c>
      <c r="D347" s="31" t="inlineStr">
        <is>
          <t>miscellaneous</t>
        </is>
      </c>
      <c r="E347" s="31" t="inlineStr">
        <is>
          <t>smallcap</t>
        </is>
      </c>
      <c r="F347" s="31" t="n">
        <v>838.3200000000001</v>
      </c>
      <c r="G347" s="31" t="n">
        <v>600</v>
      </c>
      <c r="H347" s="31" t="n">
        <v>0</v>
      </c>
      <c r="I347" s="31" t="n">
        <v>8931</v>
      </c>
      <c r="J347" s="31" t="inlineStr">
        <is>
          <t>544149</t>
        </is>
      </c>
    </row>
    <row r="348">
      <c r="A348" s="31" t="inlineStr">
        <is>
          <t>RANEHOLDIN</t>
        </is>
      </c>
      <c r="B348" s="31" t="inlineStr">
        <is>
          <t>Rane Holdings Limited</t>
        </is>
      </c>
      <c r="C348" s="31" t="inlineStr">
        <is>
          <t>financials</t>
        </is>
      </c>
      <c r="D348" s="31" t="inlineStr">
        <is>
          <t>finance &amp; investments</t>
        </is>
      </c>
      <c r="E348" s="31" t="inlineStr">
        <is>
          <t>smallcap</t>
        </is>
      </c>
      <c r="F348" s="31" t="n">
        <v>2456.21</v>
      </c>
      <c r="G348" s="31" t="n">
        <v>1720.1</v>
      </c>
      <c r="H348" s="31" t="n">
        <v>-0.01</v>
      </c>
      <c r="I348" s="31" t="n">
        <v>12952</v>
      </c>
      <c r="J348" s="31" t="inlineStr">
        <is>
          <t>505800</t>
        </is>
      </c>
    </row>
    <row r="349">
      <c r="A349" s="31" t="inlineStr">
        <is>
          <t>ROLEXRINGS</t>
        </is>
      </c>
      <c r="B349" s="31" t="inlineStr">
        <is>
          <t>Rolex Rings Ltd</t>
        </is>
      </c>
      <c r="C349" s="31" t="inlineStr">
        <is>
          <t>auto</t>
        </is>
      </c>
      <c r="D349" s="31" t="inlineStr">
        <is>
          <t>auto ancillaries</t>
        </is>
      </c>
      <c r="E349" s="31" t="inlineStr">
        <is>
          <t>smallcap</t>
        </is>
      </c>
      <c r="F349" s="31" t="n">
        <v>4079.01</v>
      </c>
      <c r="G349" s="31" t="n">
        <v>149.77</v>
      </c>
      <c r="H349" s="31" t="n">
        <v>-0.01</v>
      </c>
      <c r="I349" s="31" t="n">
        <v>2252860</v>
      </c>
      <c r="J349" s="31" t="inlineStr">
        <is>
          <t>543325</t>
        </is>
      </c>
    </row>
    <row r="350">
      <c r="A350" s="31" t="inlineStr">
        <is>
          <t>HAL</t>
        </is>
      </c>
      <c r="B350" s="31" t="inlineStr">
        <is>
          <t>Hindustan Aeronautics Ltd</t>
        </is>
      </c>
      <c r="C350" s="31" t="inlineStr">
        <is>
          <t>aerospace &amp; defence</t>
        </is>
      </c>
      <c r="D350" s="31" t="inlineStr">
        <is>
          <t>engineering</t>
        </is>
      </c>
      <c r="E350" s="31" t="inlineStr">
        <is>
          <t>largecap</t>
        </is>
      </c>
      <c r="F350" s="31" t="n">
        <v>296561.59</v>
      </c>
      <c r="G350" s="31" t="n">
        <v>4434</v>
      </c>
      <c r="H350" s="31" t="n">
        <v>-0.01</v>
      </c>
      <c r="I350" s="31" t="n">
        <v>282622</v>
      </c>
      <c r="J350" s="31" t="inlineStr">
        <is>
          <t>541154</t>
        </is>
      </c>
    </row>
    <row r="351">
      <c r="A351" s="31" t="inlineStr">
        <is>
          <t>PTL</t>
        </is>
      </c>
      <c r="B351" s="31" t="inlineStr">
        <is>
          <t>Ptl Enterprises Limited</t>
        </is>
      </c>
      <c r="C351" s="31" t="inlineStr">
        <is>
          <t>miscellaneous</t>
        </is>
      </c>
      <c r="D351" s="31" t="inlineStr">
        <is>
          <t>miscellaneous</t>
        </is>
      </c>
      <c r="E351" s="31" t="inlineStr">
        <is>
          <t>smallcap</t>
        </is>
      </c>
      <c r="F351" s="31" t="n">
        <v>560.62</v>
      </c>
      <c r="G351" s="31" t="n">
        <v>42.34</v>
      </c>
      <c r="H351" s="31" t="n">
        <v>-0.02</v>
      </c>
      <c r="I351" s="31" t="n">
        <v>60662</v>
      </c>
      <c r="J351" s="31" t="inlineStr">
        <is>
          <t>509220</t>
        </is>
      </c>
    </row>
    <row r="352">
      <c r="A352" s="31" t="inlineStr">
        <is>
          <t>GODREJPROP</t>
        </is>
      </c>
      <c r="B352" s="31" t="inlineStr">
        <is>
          <t>Godrej Properties Limited</t>
        </is>
      </c>
      <c r="C352" s="31" t="inlineStr">
        <is>
          <t>realty</t>
        </is>
      </c>
      <c r="D352" s="31" t="inlineStr">
        <is>
          <t>construction</t>
        </is>
      </c>
      <c r="E352" s="31" t="inlineStr">
        <is>
          <t>largecap</t>
        </is>
      </c>
      <c r="F352" s="31" t="n">
        <v>59024.4</v>
      </c>
      <c r="G352" s="31" t="n">
        <v>1959.2</v>
      </c>
      <c r="H352" s="31" t="n">
        <v>-0.02</v>
      </c>
      <c r="I352" s="31" t="n">
        <v>572960</v>
      </c>
      <c r="J352" s="31" t="inlineStr">
        <is>
          <t>533150</t>
        </is>
      </c>
    </row>
    <row r="353">
      <c r="A353" s="31" t="inlineStr">
        <is>
          <t>ABCAPITAL</t>
        </is>
      </c>
      <c r="B353" s="31" t="inlineStr">
        <is>
          <t>Aditya Birla Capital Ltd</t>
        </is>
      </c>
      <c r="C353" s="31" t="inlineStr">
        <is>
          <t>financials</t>
        </is>
      </c>
      <c r="D353" s="31" t="inlineStr">
        <is>
          <t>finance &amp; investments</t>
        </is>
      </c>
      <c r="E353" s="31" t="inlineStr">
        <is>
          <t>largecap</t>
        </is>
      </c>
      <c r="F353" s="31" t="n">
        <v>107495.32</v>
      </c>
      <c r="G353" s="31" t="n">
        <v>392.95</v>
      </c>
      <c r="H353" s="31" t="n">
        <v>-0.05</v>
      </c>
      <c r="I353" s="31" t="n">
        <v>2941678</v>
      </c>
      <c r="J353" s="31" t="inlineStr">
        <is>
          <t>540691</t>
        </is>
      </c>
    </row>
    <row r="354">
      <c r="A354" s="31" t="inlineStr">
        <is>
          <t>CIPLA</t>
        </is>
      </c>
      <c r="B354" s="31" t="inlineStr">
        <is>
          <t>Cipla Limited</t>
        </is>
      </c>
      <c r="C354" s="31" t="inlineStr">
        <is>
          <t>healthcare</t>
        </is>
      </c>
      <c r="D354" s="31" t="inlineStr">
        <is>
          <t>pharmaceuticals - indian - bulk drugs &amp; formln</t>
        </is>
      </c>
      <c r="E354" s="31" t="inlineStr">
        <is>
          <t>largecap</t>
        </is>
      </c>
      <c r="F354" s="31" t="n">
        <v>117669.7</v>
      </c>
      <c r="G354" s="31" t="n">
        <v>1456</v>
      </c>
      <c r="H354" s="31" t="n">
        <v>-0.05</v>
      </c>
      <c r="I354" s="31" t="n">
        <v>731416</v>
      </c>
      <c r="J354" s="31" t="inlineStr">
        <is>
          <t>500087</t>
        </is>
      </c>
    </row>
    <row r="355">
      <c r="A355" s="31" t="inlineStr">
        <is>
          <t>MSPL</t>
        </is>
      </c>
      <c r="B355" s="31" t="inlineStr">
        <is>
          <t>Msp Steel &amp; Power Limited</t>
        </is>
      </c>
      <c r="C355" s="31" t="inlineStr">
        <is>
          <t>metals &amp; mining</t>
        </is>
      </c>
      <c r="D355" s="31" t="inlineStr">
        <is>
          <t>steel - medium / small</t>
        </is>
      </c>
      <c r="E355" s="31" t="inlineStr">
        <is>
          <t>smallcap</t>
        </is>
      </c>
      <c r="F355" s="31" t="n">
        <v>2415.12</v>
      </c>
      <c r="G355" s="31" t="n">
        <v>42.59</v>
      </c>
      <c r="H355" s="31" t="n">
        <v>-0.05</v>
      </c>
      <c r="I355" s="31" t="n">
        <v>1829686</v>
      </c>
      <c r="J355" s="31" t="inlineStr">
        <is>
          <t>532650</t>
        </is>
      </c>
    </row>
    <row r="356">
      <c r="A356" s="31" t="inlineStr">
        <is>
          <t>MINDACORP</t>
        </is>
      </c>
      <c r="B356" s="31" t="inlineStr">
        <is>
          <t>Minda Corporation Limited</t>
        </is>
      </c>
      <c r="C356" s="31" t="inlineStr">
        <is>
          <t>auto</t>
        </is>
      </c>
      <c r="D356" s="31" t="inlineStr">
        <is>
          <t>auto ancillaries</t>
        </is>
      </c>
      <c r="E356" s="31" t="inlineStr">
        <is>
          <t>midcap</t>
        </is>
      </c>
      <c r="F356" s="31" t="n">
        <v>16962.69</v>
      </c>
      <c r="G356" s="31" t="n">
        <v>709.05</v>
      </c>
      <c r="H356" s="31" t="n">
        <v>-0.06</v>
      </c>
      <c r="I356" s="31" t="n">
        <v>346556</v>
      </c>
      <c r="J356" s="31" t="inlineStr">
        <is>
          <t>538962</t>
        </is>
      </c>
    </row>
    <row r="357">
      <c r="A357" s="31" t="inlineStr">
        <is>
          <t>PATELENG</t>
        </is>
      </c>
      <c r="B357" s="31" t="inlineStr">
        <is>
          <t>Patel Engineering Limited</t>
        </is>
      </c>
      <c r="C357" s="31" t="inlineStr">
        <is>
          <t>realty</t>
        </is>
      </c>
      <c r="D357" s="31" t="inlineStr">
        <is>
          <t>construction</t>
        </is>
      </c>
      <c r="E357" s="31" t="inlineStr">
        <is>
          <t>smallcap</t>
        </is>
      </c>
      <c r="F357" s="31" t="n">
        <v>3416.94</v>
      </c>
      <c r="G357" s="31" t="n">
        <v>34.42</v>
      </c>
      <c r="H357" s="31" t="n">
        <v>-0.06</v>
      </c>
      <c r="I357" s="31" t="n">
        <v>6026972</v>
      </c>
      <c r="J357" s="31" t="inlineStr">
        <is>
          <t>531120</t>
        </is>
      </c>
    </row>
    <row r="358">
      <c r="A358" s="31" t="inlineStr">
        <is>
          <t>AJANTPHARM</t>
        </is>
      </c>
      <c r="B358" s="31" t="inlineStr">
        <is>
          <t>Ajanta Pharma Limited</t>
        </is>
      </c>
      <c r="C358" s="31" t="inlineStr">
        <is>
          <t>healthcare</t>
        </is>
      </c>
      <c r="D358" s="31" t="inlineStr">
        <is>
          <t>pharmaceuticals - indian - formulations</t>
        </is>
      </c>
      <c r="E358" s="31" t="inlineStr">
        <is>
          <t>largecap</t>
        </is>
      </c>
      <c r="F358" s="31" t="n">
        <v>41822.2</v>
      </c>
      <c r="G358" s="31" t="n">
        <v>3345.3</v>
      </c>
      <c r="H358" s="31" t="n">
        <v>-0.07000000000000001</v>
      </c>
      <c r="I358" s="31" t="n">
        <v>76713</v>
      </c>
      <c r="J358" s="31" t="inlineStr">
        <is>
          <t>532331</t>
        </is>
      </c>
    </row>
    <row r="359">
      <c r="A359" s="31" t="inlineStr">
        <is>
          <t>ATGL</t>
        </is>
      </c>
      <c r="B359" s="31" t="inlineStr">
        <is>
          <t>Adani Total Gas Ltd</t>
        </is>
      </c>
      <c r="C359" s="31" t="inlineStr">
        <is>
          <t>energy</t>
        </is>
      </c>
      <c r="D359" s="31" t="inlineStr">
        <is>
          <t>miscellaneous</t>
        </is>
      </c>
      <c r="E359" s="31" t="inlineStr">
        <is>
          <t>largecap</t>
        </is>
      </c>
      <c r="F359" s="31" t="n">
        <v>80726.06</v>
      </c>
      <c r="G359" s="31" t="n">
        <v>733.45</v>
      </c>
      <c r="H359" s="31" t="n">
        <v>-0.07000000000000001</v>
      </c>
      <c r="I359" s="31" t="n">
        <v>1764349</v>
      </c>
      <c r="J359" s="31" t="inlineStr">
        <is>
          <t>542066</t>
        </is>
      </c>
    </row>
    <row r="360">
      <c r="A360" s="31" t="inlineStr">
        <is>
          <t>PANSARI</t>
        </is>
      </c>
      <c r="B360" s="31" t="inlineStr">
        <is>
          <t>Pansari Developers Ltd</t>
        </is>
      </c>
      <c r="C360" s="31" t="inlineStr">
        <is>
          <t>realty</t>
        </is>
      </c>
      <c r="D360" s="31" t="inlineStr">
        <is>
          <t>construction</t>
        </is>
      </c>
      <c r="E360" s="31" t="inlineStr">
        <is>
          <t>smallcap</t>
        </is>
      </c>
      <c r="F360" s="31" t="n">
        <v>537.71</v>
      </c>
      <c r="G360" s="31" t="n">
        <v>307.95</v>
      </c>
      <c r="H360" s="31" t="n">
        <v>-0.08</v>
      </c>
      <c r="I360" s="31" t="n">
        <v>88958</v>
      </c>
      <c r="J360" s="31" t="inlineStr">
        <is>
          <t>538381</t>
        </is>
      </c>
    </row>
    <row r="361">
      <c r="A361" s="31" t="inlineStr">
        <is>
          <t>ESAFSFB</t>
        </is>
      </c>
      <c r="B361" s="31" t="inlineStr">
        <is>
          <t>ESAF Small Finance Bank Ltd</t>
        </is>
      </c>
      <c r="C361" s="31" t="inlineStr">
        <is>
          <t>bank</t>
        </is>
      </c>
      <c r="D361" s="31" t="inlineStr">
        <is>
          <t>banks - private sector</t>
        </is>
      </c>
      <c r="E361" s="31" t="inlineStr">
        <is>
          <t>smallcap</t>
        </is>
      </c>
      <c r="F361" s="31" t="n">
        <v>1733.14</v>
      </c>
      <c r="G361" s="31" t="n">
        <v>33.58</v>
      </c>
      <c r="H361" s="31" t="n">
        <v>-0.09</v>
      </c>
      <c r="I361" s="31" t="n">
        <v>2595535</v>
      </c>
      <c r="J361" s="31" t="inlineStr">
        <is>
          <t>544020</t>
        </is>
      </c>
    </row>
    <row r="362">
      <c r="A362" s="31" t="inlineStr">
        <is>
          <t>GAIL</t>
        </is>
      </c>
      <c r="B362" s="31" t="inlineStr">
        <is>
          <t>Gail (india) Limited</t>
        </is>
      </c>
      <c r="C362" s="31" t="inlineStr">
        <is>
          <t>energy</t>
        </is>
      </c>
      <c r="D362" s="31" t="inlineStr">
        <is>
          <t>miscellaneous</t>
        </is>
      </c>
      <c r="E362" s="31" t="inlineStr">
        <is>
          <t>largecap</t>
        </is>
      </c>
      <c r="F362" s="31" t="n">
        <v>114735.49</v>
      </c>
      <c r="G362" s="31" t="n">
        <v>174.29</v>
      </c>
      <c r="H362" s="31" t="n">
        <v>-0.12</v>
      </c>
      <c r="I362" s="31" t="n">
        <v>3376923</v>
      </c>
      <c r="J362" s="31" t="inlineStr">
        <is>
          <t>532155</t>
        </is>
      </c>
    </row>
    <row r="363">
      <c r="A363" s="31" t="inlineStr">
        <is>
          <t>FEDERALBNK</t>
        </is>
      </c>
      <c r="B363" s="31" t="inlineStr">
        <is>
          <t>The Federal Bank  Limited</t>
        </is>
      </c>
      <c r="C363" s="31" t="inlineStr">
        <is>
          <t>bank</t>
        </is>
      </c>
      <c r="D363" s="31" t="inlineStr">
        <is>
          <t>banks - private sector</t>
        </is>
      </c>
      <c r="E363" s="31" t="inlineStr">
        <is>
          <t>largecap</t>
        </is>
      </c>
      <c r="F363" s="31" t="n">
        <v>81666.32000000001</v>
      </c>
      <c r="G363" s="31" t="n">
        <v>331</v>
      </c>
      <c r="H363" s="31" t="n">
        <v>-0.12</v>
      </c>
      <c r="I363" s="31" t="n">
        <v>7435661</v>
      </c>
      <c r="J363" s="31" t="inlineStr">
        <is>
          <t>500469</t>
        </is>
      </c>
    </row>
    <row r="364">
      <c r="A364" s="31" t="inlineStr">
        <is>
          <t>POLICYBZR</t>
        </is>
      </c>
      <c r="B364" s="31" t="inlineStr">
        <is>
          <t>PB Fintech Ltd</t>
        </is>
      </c>
      <c r="C364" s="31" t="inlineStr">
        <is>
          <t>i.t</t>
        </is>
      </c>
      <c r="D364" s="31" t="inlineStr">
        <is>
          <t>computers - software - medium / small</t>
        </is>
      </c>
      <c r="E364" s="31" t="inlineStr">
        <is>
          <t>largecap</t>
        </is>
      </c>
      <c r="F364" s="31" t="n">
        <v>77926.77</v>
      </c>
      <c r="G364" s="31" t="n">
        <v>1682.1</v>
      </c>
      <c r="H364" s="31" t="n">
        <v>-0.12</v>
      </c>
      <c r="I364" s="31" t="n">
        <v>897073</v>
      </c>
      <c r="J364" s="31" t="inlineStr">
        <is>
          <t>543390</t>
        </is>
      </c>
    </row>
    <row r="365">
      <c r="A365" s="31" t="inlineStr">
        <is>
          <t>GRINDWELL</t>
        </is>
      </c>
      <c r="B365" s="31" t="inlineStr">
        <is>
          <t>Grindwell Norton Limited</t>
        </is>
      </c>
      <c r="C365" s="31" t="inlineStr">
        <is>
          <t>industrials</t>
        </is>
      </c>
      <c r="D365" s="31" t="inlineStr">
        <is>
          <t>abrasives and grinding wheels</t>
        </is>
      </c>
      <c r="E365" s="31" t="inlineStr">
        <is>
          <t>largecap</t>
        </is>
      </c>
      <c r="F365" s="31" t="n">
        <v>23846.87</v>
      </c>
      <c r="G365" s="31" t="n">
        <v>2151</v>
      </c>
      <c r="H365" s="31" t="n">
        <v>-0.13</v>
      </c>
      <c r="I365" s="31" t="n">
        <v>84207</v>
      </c>
      <c r="J365" s="31" t="inlineStr">
        <is>
          <t>506076</t>
        </is>
      </c>
    </row>
    <row r="366">
      <c r="A366" s="31" t="inlineStr">
        <is>
          <t>MAHLIFE</t>
        </is>
      </c>
      <c r="B366" s="31" t="inlineStr">
        <is>
          <t>Mahindra Lifespace Developers Limited</t>
        </is>
      </c>
      <c r="C366" s="31" t="inlineStr">
        <is>
          <t>realty</t>
        </is>
      </c>
      <c r="D366" s="31" t="inlineStr">
        <is>
          <t>construction</t>
        </is>
      </c>
      <c r="E366" s="31" t="inlineStr">
        <is>
          <t>midcap</t>
        </is>
      </c>
      <c r="F366" s="31" t="n">
        <v>7951.28</v>
      </c>
      <c r="G366" s="31" t="n">
        <v>372.2</v>
      </c>
      <c r="H366" s="31" t="n">
        <v>-0.13</v>
      </c>
      <c r="I366" s="31" t="n">
        <v>121172</v>
      </c>
      <c r="J366" s="31" t="inlineStr">
        <is>
          <t>532313</t>
        </is>
      </c>
    </row>
    <row r="367">
      <c r="A367" s="31" t="inlineStr">
        <is>
          <t>MANKIND</t>
        </is>
      </c>
      <c r="B367" s="31" t="inlineStr">
        <is>
          <t>Mankind Pharma Ltd</t>
        </is>
      </c>
      <c r="C367" s="31" t="inlineStr">
        <is>
          <t>healthcare</t>
        </is>
      </c>
      <c r="D367" s="31" t="inlineStr">
        <is>
          <t>pharmaceuticals - indian - bulk drugs &amp; formln</t>
        </is>
      </c>
      <c r="E367" s="31" t="inlineStr">
        <is>
          <t>largecap</t>
        </is>
      </c>
      <c r="F367" s="31" t="n">
        <v>102806.64</v>
      </c>
      <c r="G367" s="31" t="n">
        <v>2486.9</v>
      </c>
      <c r="H367" s="31" t="n">
        <v>-0.14</v>
      </c>
      <c r="I367" s="31" t="n">
        <v>180320</v>
      </c>
      <c r="J367" s="31" t="inlineStr">
        <is>
          <t>543904</t>
        </is>
      </c>
    </row>
    <row r="368">
      <c r="A368" s="31" t="inlineStr">
        <is>
          <t>RECLTD</t>
        </is>
      </c>
      <c r="B368" s="31" t="inlineStr">
        <is>
          <t>REC Ltd</t>
        </is>
      </c>
      <c r="C368" s="31" t="inlineStr">
        <is>
          <t>financials</t>
        </is>
      </c>
      <c r="D368" s="31" t="inlineStr">
        <is>
          <t>finance - term-lending institutions</t>
        </is>
      </c>
      <c r="E368" s="31" t="inlineStr">
        <is>
          <t>largecap</t>
        </is>
      </c>
      <c r="F368" s="31" t="n">
        <v>97455.62</v>
      </c>
      <c r="G368" s="31" t="n">
        <v>369.6</v>
      </c>
      <c r="H368" s="31" t="n">
        <v>-0.14</v>
      </c>
      <c r="I368" s="31" t="n">
        <v>4706399</v>
      </c>
      <c r="J368" s="31" t="inlineStr">
        <is>
          <t>532955</t>
        </is>
      </c>
    </row>
    <row r="369">
      <c r="A369" s="31" t="inlineStr">
        <is>
          <t>RELIGARE</t>
        </is>
      </c>
      <c r="B369" s="31" t="inlineStr">
        <is>
          <t>Religare Enterprises Limited</t>
        </is>
      </c>
      <c r="C369" s="31" t="inlineStr">
        <is>
          <t>financials</t>
        </is>
      </c>
      <c r="D369" s="31" t="inlineStr">
        <is>
          <t>finance &amp; investments</t>
        </is>
      </c>
      <c r="E369" s="31" t="inlineStr">
        <is>
          <t>midcap</t>
        </is>
      </c>
      <c r="F369" s="31" t="n">
        <v>9022.219999999999</v>
      </c>
      <c r="G369" s="31" t="n">
        <v>264</v>
      </c>
      <c r="H369" s="31" t="n">
        <v>-0.15</v>
      </c>
      <c r="I369" s="31" t="n">
        <v>429962</v>
      </c>
      <c r="J369" s="31" t="inlineStr">
        <is>
          <t>532915</t>
        </is>
      </c>
    </row>
    <row r="370">
      <c r="A370" s="31" t="inlineStr">
        <is>
          <t>KOVAI</t>
        </is>
      </c>
      <c r="B370" s="31" t="inlineStr">
        <is>
          <t>Kovai Medical Center &amp; Hospital Ltd</t>
        </is>
      </c>
      <c r="C370" s="31" t="inlineStr">
        <is>
          <t>healthcare</t>
        </is>
      </c>
      <c r="D370" s="31" t="inlineStr">
        <is>
          <t>healthcare</t>
        </is>
      </c>
      <c r="E370" s="31" t="inlineStr">
        <is>
          <t>midcap</t>
        </is>
      </c>
      <c r="F370" s="31" t="n">
        <v>6620.07</v>
      </c>
      <c r="G370" s="31" t="n">
        <v>6041</v>
      </c>
      <c r="H370" s="31" t="n">
        <v>-0.15</v>
      </c>
      <c r="I370" s="31" t="n">
        <v>8874</v>
      </c>
      <c r="J370" s="31" t="inlineStr">
        <is>
          <t>523323</t>
        </is>
      </c>
    </row>
    <row r="371">
      <c r="A371" s="31" t="inlineStr">
        <is>
          <t>MAHABANK</t>
        </is>
      </c>
      <c r="B371" s="31" t="inlineStr">
        <is>
          <t>Bank Of Maharashtra Ltd</t>
        </is>
      </c>
      <c r="C371" s="31" t="inlineStr">
        <is>
          <t>bank</t>
        </is>
      </c>
      <c r="D371" s="31" t="inlineStr">
        <is>
          <t>banks - public sector</t>
        </is>
      </c>
      <c r="E371" s="31" t="inlineStr">
        <is>
          <t>largecap</t>
        </is>
      </c>
      <c r="F371" s="31" t="n">
        <v>70146.98</v>
      </c>
      <c r="G371" s="31" t="n">
        <v>91.04000000000001</v>
      </c>
      <c r="H371" s="31" t="n">
        <v>-0.18</v>
      </c>
      <c r="I371" s="31" t="n">
        <v>9484976</v>
      </c>
      <c r="J371" s="31" t="inlineStr">
        <is>
          <t>532525</t>
        </is>
      </c>
    </row>
    <row r="372">
      <c r="A372" s="31" t="inlineStr">
        <is>
          <t>ICEMAKE</t>
        </is>
      </c>
      <c r="B372" s="31" t="inlineStr">
        <is>
          <t>ICE Make Refrigeration Ltd</t>
        </is>
      </c>
      <c r="C372" s="31" t="inlineStr">
        <is>
          <t>industrials</t>
        </is>
      </c>
      <c r="D372" s="31" t="inlineStr">
        <is>
          <t>engineering</t>
        </is>
      </c>
      <c r="E372" s="31" t="inlineStr">
        <is>
          <t>smallcap</t>
        </is>
      </c>
      <c r="F372" s="31" t="n">
        <v>1255.51</v>
      </c>
      <c r="G372" s="31" t="n">
        <v>794</v>
      </c>
      <c r="H372" s="31" t="n">
        <v>-0.21</v>
      </c>
      <c r="I372" s="31" t="n">
        <v>16580</v>
      </c>
      <c r="J372" s="31" t="inlineStr">
        <is>
          <t>535034</t>
        </is>
      </c>
    </row>
    <row r="373">
      <c r="A373" s="31" t="inlineStr">
        <is>
          <t>TINNARUBR</t>
        </is>
      </c>
      <c r="B373" s="31" t="inlineStr">
        <is>
          <t>Tinna Rubber &amp; Infrastructure Ltd</t>
        </is>
      </c>
      <c r="C373" s="31" t="inlineStr">
        <is>
          <t>fmcg</t>
        </is>
      </c>
      <c r="D373" s="31" t="inlineStr">
        <is>
          <t>miscellaneous</t>
        </is>
      </c>
      <c r="E373" s="31" t="inlineStr">
        <is>
          <t>smallcap</t>
        </is>
      </c>
      <c r="F373" s="31" t="n">
        <v>1725.64</v>
      </c>
      <c r="G373" s="31" t="n">
        <v>955.25</v>
      </c>
      <c r="H373" s="31" t="n">
        <v>-0.27</v>
      </c>
      <c r="I373" s="31" t="n">
        <v>42511</v>
      </c>
      <c r="J373" s="31" t="inlineStr">
        <is>
          <t>530475</t>
        </is>
      </c>
    </row>
    <row r="374">
      <c r="A374" s="31" t="inlineStr">
        <is>
          <t>HONAUT</t>
        </is>
      </c>
      <c r="B374" s="31" t="inlineStr">
        <is>
          <t>Honeywell Automation India Limited</t>
        </is>
      </c>
      <c r="C374" s="31" t="inlineStr">
        <is>
          <t>consumer discretionary</t>
        </is>
      </c>
      <c r="D374" s="31" t="inlineStr">
        <is>
          <t>electronics - components</t>
        </is>
      </c>
      <c r="E374" s="31" t="inlineStr">
        <is>
          <t>largecap</t>
        </is>
      </c>
      <c r="F374" s="31" t="n">
        <v>35061.06</v>
      </c>
      <c r="G374" s="31" t="n">
        <v>39545</v>
      </c>
      <c r="H374" s="31" t="n">
        <v>-0.28</v>
      </c>
      <c r="I374" s="31" t="n">
        <v>3826</v>
      </c>
      <c r="J374" s="31" t="inlineStr">
        <is>
          <t>517174</t>
        </is>
      </c>
    </row>
    <row r="375">
      <c r="A375" s="31" t="inlineStr">
        <is>
          <t>WANBURY</t>
        </is>
      </c>
      <c r="B375" s="31" t="inlineStr">
        <is>
          <t>Wanbury Limited</t>
        </is>
      </c>
      <c r="C375" s="31" t="inlineStr">
        <is>
          <t>healthcare</t>
        </is>
      </c>
      <c r="D375" s="31" t="inlineStr">
        <is>
          <t>pharmaceuticals - indian - bulk drugs &amp; formln</t>
        </is>
      </c>
      <c r="E375" s="31" t="inlineStr">
        <is>
          <t>smallcap</t>
        </is>
      </c>
      <c r="F375" s="31" t="n">
        <v>1004.68</v>
      </c>
      <c r="G375" s="31" t="n">
        <v>286.75</v>
      </c>
      <c r="H375" s="31" t="n">
        <v>-0.28</v>
      </c>
      <c r="I375" s="31" t="n">
        <v>147776</v>
      </c>
      <c r="J375" s="31" t="inlineStr">
        <is>
          <t>524212</t>
        </is>
      </c>
    </row>
    <row r="376">
      <c r="A376" s="31" t="inlineStr">
        <is>
          <t>NAVNETEDUL</t>
        </is>
      </c>
      <c r="B376" s="31" t="inlineStr">
        <is>
          <t>Navneet Education Limited</t>
        </is>
      </c>
      <c r="C376" s="31" t="inlineStr">
        <is>
          <t>miscellaneous</t>
        </is>
      </c>
      <c r="D376" s="31" t="inlineStr">
        <is>
          <t>printing &amp; stationery</t>
        </is>
      </c>
      <c r="E376" s="31" t="inlineStr">
        <is>
          <t>smallcap</t>
        </is>
      </c>
      <c r="F376" s="31" t="n">
        <v>3283.47</v>
      </c>
      <c r="G376" s="31" t="n">
        <v>148</v>
      </c>
      <c r="H376" s="31" t="n">
        <v>-0.29</v>
      </c>
      <c r="I376" s="31" t="n">
        <v>216164</v>
      </c>
      <c r="J376" s="31" t="inlineStr">
        <is>
          <t>508989</t>
        </is>
      </c>
    </row>
    <row r="377">
      <c r="A377" s="31" t="inlineStr">
        <is>
          <t>UNIONBANK</t>
        </is>
      </c>
      <c r="B377" s="31" t="inlineStr">
        <is>
          <t>Union Bank Of India Ltd</t>
        </is>
      </c>
      <c r="C377" s="31" t="inlineStr">
        <is>
          <t>bank</t>
        </is>
      </c>
      <c r="D377" s="31" t="inlineStr">
        <is>
          <t>banks - public sector</t>
        </is>
      </c>
      <c r="E377" s="31" t="inlineStr">
        <is>
          <t>largecap</t>
        </is>
      </c>
      <c r="F377" s="31" t="n">
        <v>133496.49</v>
      </c>
      <c r="G377" s="31" t="n">
        <v>174.35</v>
      </c>
      <c r="H377" s="31" t="n">
        <v>-0.3</v>
      </c>
      <c r="I377" s="31" t="n">
        <v>17815927</v>
      </c>
      <c r="J377" s="31" t="inlineStr">
        <is>
          <t>532477</t>
        </is>
      </c>
    </row>
    <row r="378">
      <c r="A378" s="31" t="inlineStr">
        <is>
          <t>PHOENIXLTD</t>
        </is>
      </c>
      <c r="B378" s="31" t="inlineStr">
        <is>
          <t>The Phoenix Mills Limited</t>
        </is>
      </c>
      <c r="C378" s="31" t="inlineStr">
        <is>
          <t>realty</t>
        </is>
      </c>
      <c r="D378" s="31" t="inlineStr">
        <is>
          <t>construction</t>
        </is>
      </c>
      <c r="E378" s="31" t="inlineStr">
        <is>
          <t>largecap</t>
        </is>
      </c>
      <c r="F378" s="31" t="n">
        <v>72188.55</v>
      </c>
      <c r="G378" s="31" t="n">
        <v>2012.5</v>
      </c>
      <c r="H378" s="31" t="n">
        <v>-0.3</v>
      </c>
      <c r="I378" s="31" t="n">
        <v>1663167</v>
      </c>
      <c r="J378" s="31" t="inlineStr">
        <is>
          <t>503100</t>
        </is>
      </c>
    </row>
    <row r="379">
      <c r="A379" s="31" t="inlineStr">
        <is>
          <t>GABRIEL</t>
        </is>
      </c>
      <c r="B379" s="31" t="inlineStr">
        <is>
          <t>Gabriel India Limited</t>
        </is>
      </c>
      <c r="C379" s="31" t="inlineStr">
        <is>
          <t>auto</t>
        </is>
      </c>
      <c r="D379" s="31" t="inlineStr">
        <is>
          <t>auto ancillaries</t>
        </is>
      </c>
      <c r="E379" s="31" t="inlineStr">
        <is>
          <t>largecap</t>
        </is>
      </c>
      <c r="F379" s="31" t="n">
        <v>22081.09</v>
      </c>
      <c r="G379" s="31" t="n">
        <v>1242.1</v>
      </c>
      <c r="H379" s="31" t="n">
        <v>-0.31</v>
      </c>
      <c r="I379" s="31" t="n">
        <v>218371</v>
      </c>
      <c r="J379" s="31" t="inlineStr">
        <is>
          <t>505714</t>
        </is>
      </c>
    </row>
    <row r="380">
      <c r="A380" s="31" t="inlineStr">
        <is>
          <t>RAINBOW</t>
        </is>
      </c>
      <c r="B380" s="31" t="inlineStr">
        <is>
          <t>Rainbow Childrens Medicare Ltd</t>
        </is>
      </c>
      <c r="C380" s="31" t="inlineStr">
        <is>
          <t>healthcare</t>
        </is>
      </c>
      <c r="D380" s="31" t="inlineStr">
        <is>
          <t>healthcare</t>
        </is>
      </c>
      <c r="E380" s="31" t="inlineStr">
        <is>
          <t>midcap</t>
        </is>
      </c>
      <c r="F380" s="31" t="n">
        <v>14444.76</v>
      </c>
      <c r="G380" s="31" t="n">
        <v>1417.7</v>
      </c>
      <c r="H380" s="31" t="n">
        <v>-0.32</v>
      </c>
      <c r="I380" s="31" t="n">
        <v>111297</v>
      </c>
      <c r="J380" s="31" t="inlineStr">
        <is>
          <t>543524</t>
        </is>
      </c>
    </row>
    <row r="381">
      <c r="A381" s="31" t="inlineStr">
        <is>
          <t>FINEORG</t>
        </is>
      </c>
      <c r="B381" s="31" t="inlineStr">
        <is>
          <t>Fine Organic Industries Ltd</t>
        </is>
      </c>
      <c r="C381" s="31" t="inlineStr">
        <is>
          <t>chemicals</t>
        </is>
      </c>
      <c r="D381" s="31" t="inlineStr">
        <is>
          <t>chemicals</t>
        </is>
      </c>
      <c r="E381" s="31" t="inlineStr">
        <is>
          <t>midcap</t>
        </is>
      </c>
      <c r="F381" s="31" t="n">
        <v>15970.78</v>
      </c>
      <c r="G381" s="31" t="n">
        <v>5192.5</v>
      </c>
      <c r="H381" s="31" t="n">
        <v>-0.32</v>
      </c>
      <c r="I381" s="31" t="n">
        <v>12139</v>
      </c>
      <c r="J381" s="31" t="inlineStr">
        <is>
          <t>541557</t>
        </is>
      </c>
    </row>
    <row r="382">
      <c r="A382" s="31" t="inlineStr">
        <is>
          <t>MARUTI</t>
        </is>
      </c>
      <c r="B382" s="31" t="inlineStr">
        <is>
          <t>Maruti Suzuki India Limited</t>
        </is>
      </c>
      <c r="C382" s="31" t="inlineStr">
        <is>
          <t>auto</t>
        </is>
      </c>
      <c r="D382" s="31" t="inlineStr">
        <is>
          <t>automobiles - passenger cars</t>
        </is>
      </c>
      <c r="E382" s="31" t="inlineStr">
        <is>
          <t>largecap</t>
        </is>
      </c>
      <c r="F382" s="31" t="n">
        <v>452582.51</v>
      </c>
      <c r="G382" s="31" t="n">
        <v>14348</v>
      </c>
      <c r="H382" s="31" t="n">
        <v>-0.33</v>
      </c>
      <c r="I382" s="31" t="n">
        <v>327088</v>
      </c>
      <c r="J382" s="31" t="inlineStr">
        <is>
          <t>532500</t>
        </is>
      </c>
    </row>
    <row r="383">
      <c r="A383" s="31" t="inlineStr">
        <is>
          <t>JTEKTINDIA</t>
        </is>
      </c>
      <c r="B383" s="31" t="inlineStr">
        <is>
          <t>JTEKT India Ltd</t>
        </is>
      </c>
      <c r="C383" s="31" t="inlineStr">
        <is>
          <t>auto</t>
        </is>
      </c>
      <c r="D383" s="31" t="inlineStr">
        <is>
          <t>auto ancillaries</t>
        </is>
      </c>
      <c r="E383" s="31" t="inlineStr">
        <is>
          <t>smallcap</t>
        </is>
      </c>
      <c r="F383" s="31" t="n">
        <v>4215.88</v>
      </c>
      <c r="G383" s="31" t="n">
        <v>151.48</v>
      </c>
      <c r="H383" s="31" t="n">
        <v>-0.33</v>
      </c>
      <c r="I383" s="31" t="n">
        <v>3729107</v>
      </c>
      <c r="J383" s="31" t="inlineStr">
        <is>
          <t>520057</t>
        </is>
      </c>
    </row>
    <row r="384">
      <c r="A384" s="31" t="inlineStr">
        <is>
          <t>RML</t>
        </is>
      </c>
      <c r="B384" s="31" t="inlineStr">
        <is>
          <t>Rane (madras) Limited</t>
        </is>
      </c>
      <c r="C384" s="31" t="inlineStr">
        <is>
          <t>auto</t>
        </is>
      </c>
      <c r="D384" s="31" t="inlineStr">
        <is>
          <t>auto ancillaries</t>
        </is>
      </c>
      <c r="E384" s="31" t="inlineStr">
        <is>
          <t>smallcap</t>
        </is>
      </c>
      <c r="F384" s="31" t="n">
        <v>3313.69</v>
      </c>
      <c r="G384" s="31" t="n">
        <v>1194.4</v>
      </c>
      <c r="H384" s="31" t="n">
        <v>-0.38</v>
      </c>
      <c r="I384" s="31" t="n">
        <v>52659</v>
      </c>
      <c r="J384" s="31" t="inlineStr">
        <is>
          <t>532661</t>
        </is>
      </c>
    </row>
    <row r="385">
      <c r="A385" s="31" t="inlineStr">
        <is>
          <t>LIKHITHA</t>
        </is>
      </c>
      <c r="B385" s="31" t="inlineStr">
        <is>
          <t>Likhitha Infrastructure Ltd</t>
        </is>
      </c>
      <c r="C385" s="31" t="inlineStr">
        <is>
          <t>realty</t>
        </is>
      </c>
      <c r="D385" s="31" t="inlineStr">
        <is>
          <t>construction</t>
        </is>
      </c>
      <c r="E385" s="31" t="inlineStr">
        <is>
          <t>smallcap</t>
        </is>
      </c>
      <c r="F385" s="31" t="n">
        <v>1049.76</v>
      </c>
      <c r="G385" s="31" t="n">
        <v>265</v>
      </c>
      <c r="H385" s="31" t="n">
        <v>-0.41</v>
      </c>
      <c r="I385" s="31" t="n">
        <v>58768</v>
      </c>
      <c r="J385" s="31" t="inlineStr">
        <is>
          <t>543240</t>
        </is>
      </c>
    </row>
    <row r="386">
      <c r="A386" s="31" t="inlineStr">
        <is>
          <t>BAJAJCON</t>
        </is>
      </c>
      <c r="B386" s="31" t="inlineStr">
        <is>
          <t>Bajaj Consumer Care Ltd</t>
        </is>
      </c>
      <c r="C386" s="31" t="inlineStr">
        <is>
          <t>fmcg</t>
        </is>
      </c>
      <c r="D386" s="31" t="inlineStr">
        <is>
          <t>personal care - indian</t>
        </is>
      </c>
      <c r="E386" s="31" t="inlineStr">
        <is>
          <t>midcap</t>
        </is>
      </c>
      <c r="F386" s="31" t="n">
        <v>8027.15</v>
      </c>
      <c r="G386" s="31" t="n">
        <v>611.95</v>
      </c>
      <c r="H386" s="31" t="n">
        <v>-0.42</v>
      </c>
      <c r="I386" s="31" t="n">
        <v>513641</v>
      </c>
      <c r="J386" s="31" t="inlineStr">
        <is>
          <t>533229</t>
        </is>
      </c>
    </row>
    <row r="387">
      <c r="A387" s="31" t="inlineStr">
        <is>
          <t>AXISBANK</t>
        </is>
      </c>
      <c r="B387" s="31" t="inlineStr">
        <is>
          <t>Axis Bank Limited</t>
        </is>
      </c>
      <c r="C387" s="31" t="inlineStr">
        <is>
          <t>bank</t>
        </is>
      </c>
      <c r="D387" s="31" t="inlineStr">
        <is>
          <t>banks - private sector</t>
        </is>
      </c>
      <c r="E387" s="31" t="inlineStr">
        <is>
          <t>largecap</t>
        </is>
      </c>
      <c r="F387" s="31" t="n">
        <v>425415.59</v>
      </c>
      <c r="G387" s="31" t="n">
        <v>1362.6</v>
      </c>
      <c r="H387" s="31" t="n">
        <v>-0.45</v>
      </c>
      <c r="I387" s="31" t="n">
        <v>4013561</v>
      </c>
      <c r="J387" s="31" t="inlineStr">
        <is>
          <t>532215</t>
        </is>
      </c>
    </row>
    <row r="388">
      <c r="A388" s="31" t="inlineStr">
        <is>
          <t>SAILIFE</t>
        </is>
      </c>
      <c r="B388" s="31" t="inlineStr">
        <is>
          <t>Sai Life Sciences Ltd</t>
        </is>
      </c>
      <c r="C388" s="31" t="inlineStr">
        <is>
          <t>healthcare</t>
        </is>
      </c>
      <c r="D388" s="31" t="inlineStr">
        <is>
          <t>pharmaceuticals - indian - bulk drugs &amp; formln</t>
        </is>
      </c>
      <c r="E388" s="31" t="inlineStr">
        <is>
          <t>largecap</t>
        </is>
      </c>
      <c r="F388" s="31" t="n">
        <v>26341.1</v>
      </c>
      <c r="G388" s="31" t="n">
        <v>1238</v>
      </c>
      <c r="H388" s="31" t="n">
        <v>-0.47</v>
      </c>
      <c r="I388" s="31" t="n">
        <v>353218</v>
      </c>
      <c r="J388" s="31" t="inlineStr">
        <is>
          <t>544306</t>
        </is>
      </c>
    </row>
    <row r="389">
      <c r="A389" s="31" t="inlineStr">
        <is>
          <t>HCC</t>
        </is>
      </c>
      <c r="B389" s="31" t="inlineStr">
        <is>
          <t>Hindustan Construction Company Limited</t>
        </is>
      </c>
      <c r="C389" s="31" t="inlineStr">
        <is>
          <t>realty</t>
        </is>
      </c>
      <c r="D389" s="31" t="inlineStr">
        <is>
          <t>construction</t>
        </is>
      </c>
      <c r="E389" s="31" t="inlineStr">
        <is>
          <t>midcap</t>
        </is>
      </c>
      <c r="F389" s="31" t="n">
        <v>6732.03</v>
      </c>
      <c r="G389" s="31" t="n">
        <v>25.57</v>
      </c>
      <c r="H389" s="31" t="n">
        <v>-0.51</v>
      </c>
      <c r="I389" s="31" t="n">
        <v>20258936</v>
      </c>
      <c r="J389" s="31" t="inlineStr">
        <is>
          <t>500185</t>
        </is>
      </c>
    </row>
    <row r="390">
      <c r="A390" s="31" t="inlineStr">
        <is>
          <t>CENTUM</t>
        </is>
      </c>
      <c r="B390" s="31" t="inlineStr">
        <is>
          <t>Centum Electronics Limited</t>
        </is>
      </c>
      <c r="C390" s="31" t="inlineStr">
        <is>
          <t>consumer discretionary</t>
        </is>
      </c>
      <c r="D390" s="31" t="inlineStr">
        <is>
          <t>electronics - components</t>
        </is>
      </c>
      <c r="E390" s="31" t="inlineStr">
        <is>
          <t>midcap</t>
        </is>
      </c>
      <c r="F390" s="31" t="n">
        <v>5478.93</v>
      </c>
      <c r="G390" s="31" t="n">
        <v>3698</v>
      </c>
      <c r="H390" s="31" t="n">
        <v>-0.51</v>
      </c>
      <c r="I390" s="31" t="n">
        <v>24275</v>
      </c>
      <c r="J390" s="31" t="inlineStr">
        <is>
          <t>517544</t>
        </is>
      </c>
    </row>
    <row r="391">
      <c r="A391" s="31" t="inlineStr">
        <is>
          <t>TVSSCS</t>
        </is>
      </c>
      <c r="B391" s="31" t="inlineStr">
        <is>
          <t>TVS Supply Chain Solutions Ltd</t>
        </is>
      </c>
      <c r="C391" s="31" t="inlineStr">
        <is>
          <t>transportation</t>
        </is>
      </c>
      <c r="D391" s="31" t="inlineStr">
        <is>
          <t>miscellaneous</t>
        </is>
      </c>
      <c r="E391" s="31" t="inlineStr">
        <is>
          <t>midcap</t>
        </is>
      </c>
      <c r="F391" s="31" t="n">
        <v>6084.75</v>
      </c>
      <c r="G391" s="31" t="n">
        <v>137.21</v>
      </c>
      <c r="H391" s="31" t="n">
        <v>-0.51</v>
      </c>
      <c r="I391" s="31" t="n">
        <v>330627</v>
      </c>
      <c r="J391" s="31" t="inlineStr">
        <is>
          <t>543965</t>
        </is>
      </c>
    </row>
    <row r="392">
      <c r="A392" s="31" t="inlineStr">
        <is>
          <t>NESTLEIND</t>
        </is>
      </c>
      <c r="B392" s="31" t="inlineStr">
        <is>
          <t>Nestle India Limited</t>
        </is>
      </c>
      <c r="C392" s="31" t="inlineStr">
        <is>
          <t>fmcg</t>
        </is>
      </c>
      <c r="D392" s="31" t="inlineStr">
        <is>
          <t>food - processing - mnc</t>
        </is>
      </c>
      <c r="E392" s="31" t="inlineStr">
        <is>
          <t>largecap</t>
        </is>
      </c>
      <c r="F392" s="31" t="n">
        <v>280338.34</v>
      </c>
      <c r="G392" s="31" t="n">
        <v>1446.2</v>
      </c>
      <c r="H392" s="31" t="n">
        <v>-0.52</v>
      </c>
      <c r="I392" s="31" t="n">
        <v>1434136</v>
      </c>
      <c r="J392" s="31" t="inlineStr">
        <is>
          <t>500790</t>
        </is>
      </c>
    </row>
    <row r="393">
      <c r="A393" s="31" t="inlineStr">
        <is>
          <t>GREENPLY</t>
        </is>
      </c>
      <c r="B393" s="31" t="inlineStr">
        <is>
          <t>Greenply Industries Limited</t>
        </is>
      </c>
      <c r="C393" s="31" t="inlineStr">
        <is>
          <t>building materials</t>
        </is>
      </c>
      <c r="D393" s="31" t="inlineStr">
        <is>
          <t>miscellaneous</t>
        </is>
      </c>
      <c r="E393" s="31" t="inlineStr">
        <is>
          <t>smallcap</t>
        </is>
      </c>
      <c r="F393" s="31" t="n">
        <v>3843.24</v>
      </c>
      <c r="G393" s="31" t="n">
        <v>306.1</v>
      </c>
      <c r="H393" s="31" t="n">
        <v>-0.52</v>
      </c>
      <c r="I393" s="31" t="n">
        <v>111863</v>
      </c>
      <c r="J393" s="31" t="inlineStr">
        <is>
          <t>526797</t>
        </is>
      </c>
    </row>
    <row r="394">
      <c r="A394" s="31" t="inlineStr">
        <is>
          <t>JAYBARMARU</t>
        </is>
      </c>
      <c r="B394" s="31" t="inlineStr">
        <is>
          <t>Jay Bharat Maruti Limited</t>
        </is>
      </c>
      <c r="C394" s="31" t="inlineStr">
        <is>
          <t>auto</t>
        </is>
      </c>
      <c r="D394" s="31" t="inlineStr">
        <is>
          <t>auto ancillaries</t>
        </is>
      </c>
      <c r="E394" s="31" t="inlineStr">
        <is>
          <t>smallcap</t>
        </is>
      </c>
      <c r="F394" s="31" t="n">
        <v>1856.27</v>
      </c>
      <c r="G394" s="31" t="n">
        <v>170.58</v>
      </c>
      <c r="H394" s="31" t="n">
        <v>-0.52</v>
      </c>
      <c r="I394" s="31" t="n">
        <v>739554</v>
      </c>
      <c r="J394" s="31" t="inlineStr">
        <is>
          <t>520066</t>
        </is>
      </c>
    </row>
    <row r="395">
      <c r="A395" s="31" t="inlineStr">
        <is>
          <t>MANBA</t>
        </is>
      </c>
      <c r="B395" s="31" t="inlineStr">
        <is>
          <t>Manba Finance Ltd</t>
        </is>
      </c>
      <c r="C395" s="31" t="inlineStr">
        <is>
          <t>financials</t>
        </is>
      </c>
      <c r="D395" s="31" t="inlineStr">
        <is>
          <t>finance &amp; investments</t>
        </is>
      </c>
      <c r="E395" s="31" t="inlineStr">
        <is>
          <t>smallcap</t>
        </is>
      </c>
      <c r="F395" s="31" t="n">
        <v>697.72</v>
      </c>
      <c r="G395" s="31" t="n">
        <v>138.12</v>
      </c>
      <c r="H395" s="31" t="n">
        <v>-0.55</v>
      </c>
      <c r="I395" s="31" t="n">
        <v>235383</v>
      </c>
      <c r="J395" s="31" t="inlineStr">
        <is>
          <t>544262</t>
        </is>
      </c>
    </row>
    <row r="396">
      <c r="A396" s="31" t="inlineStr">
        <is>
          <t>LICI</t>
        </is>
      </c>
      <c r="B396" s="31" t="inlineStr">
        <is>
          <t>Life Insurance Corporation of India Ltd</t>
        </is>
      </c>
      <c r="C396" s="31" t="inlineStr">
        <is>
          <t>financials</t>
        </is>
      </c>
      <c r="D396" s="31" t="inlineStr">
        <is>
          <t>finance &amp; investments</t>
        </is>
      </c>
      <c r="E396" s="31" t="inlineStr">
        <is>
          <t>largecap</t>
        </is>
      </c>
      <c r="F396" s="31" t="n">
        <v>549895.3</v>
      </c>
      <c r="G396" s="31" t="n">
        <v>432.1</v>
      </c>
      <c r="H396" s="31" t="n">
        <v>-0.6</v>
      </c>
      <c r="I396" s="31" t="n">
        <v>1767476</v>
      </c>
      <c r="J396" s="31" t="inlineStr">
        <is>
          <t>543526</t>
        </is>
      </c>
    </row>
    <row r="397">
      <c r="A397" s="31" t="inlineStr">
        <is>
          <t>MARKSANS</t>
        </is>
      </c>
      <c r="B397" s="31" t="inlineStr">
        <is>
          <t>Marksans Pharma Limited</t>
        </is>
      </c>
      <c r="C397" s="31" t="inlineStr">
        <is>
          <t>healthcare</t>
        </is>
      </c>
      <c r="D397" s="31" t="inlineStr">
        <is>
          <t>pharmaceuticals - indian - formulations</t>
        </is>
      </c>
      <c r="E397" s="31" t="inlineStr">
        <is>
          <t>midcap</t>
        </is>
      </c>
      <c r="F397" s="31" t="n">
        <v>12183.31</v>
      </c>
      <c r="G397" s="31" t="n">
        <v>267.2</v>
      </c>
      <c r="H397" s="31" t="n">
        <v>-0.61</v>
      </c>
      <c r="I397" s="31" t="n">
        <v>1336544</v>
      </c>
      <c r="J397" s="31" t="inlineStr">
        <is>
          <t>524404</t>
        </is>
      </c>
    </row>
    <row r="398">
      <c r="A398" s="31" t="inlineStr">
        <is>
          <t>PGIL</t>
        </is>
      </c>
      <c r="B398" s="31" t="inlineStr">
        <is>
          <t>Pearl Global Industries Limited</t>
        </is>
      </c>
      <c r="C398" s="31" t="inlineStr">
        <is>
          <t>consumer discretionary</t>
        </is>
      </c>
      <c r="D398" s="31" t="inlineStr">
        <is>
          <t>textiles - products</t>
        </is>
      </c>
      <c r="E398" s="31" t="inlineStr">
        <is>
          <t>midcap</t>
        </is>
      </c>
      <c r="F398" s="31" t="n">
        <v>9635.290000000001</v>
      </c>
      <c r="G398" s="31" t="n">
        <v>2075.1</v>
      </c>
      <c r="H398" s="31" t="n">
        <v>-0.62</v>
      </c>
      <c r="I398" s="31" t="n">
        <v>108861</v>
      </c>
      <c r="J398" s="31" t="inlineStr">
        <is>
          <t>532808</t>
        </is>
      </c>
    </row>
    <row r="399">
      <c r="A399" s="31" t="inlineStr">
        <is>
          <t>WOCKPHARMA</t>
        </is>
      </c>
      <c r="B399" s="31" t="inlineStr">
        <is>
          <t>Wockhardt Limited</t>
        </is>
      </c>
      <c r="C399" s="31" t="inlineStr">
        <is>
          <t>healthcare</t>
        </is>
      </c>
      <c r="D399" s="31" t="inlineStr">
        <is>
          <t>pharmaceuticals - indian - bulk drugs &amp; formln</t>
        </is>
      </c>
      <c r="E399" s="31" t="inlineStr">
        <is>
          <t>largecap</t>
        </is>
      </c>
      <c r="F399" s="31" t="n">
        <v>31892.34</v>
      </c>
      <c r="G399" s="31" t="n">
        <v>1950</v>
      </c>
      <c r="H399" s="31" t="n">
        <v>-0.65</v>
      </c>
      <c r="I399" s="31" t="n">
        <v>902283</v>
      </c>
      <c r="J399" s="31" t="inlineStr">
        <is>
          <t>532300</t>
        </is>
      </c>
    </row>
    <row r="400">
      <c r="A400" s="31" t="inlineStr">
        <is>
          <t>SOMANYCERA</t>
        </is>
      </c>
      <c r="B400" s="31" t="inlineStr">
        <is>
          <t>Somany Ceramics Limited</t>
        </is>
      </c>
      <c r="C400" s="31" t="inlineStr">
        <is>
          <t>building materials</t>
        </is>
      </c>
      <c r="D400" s="31" t="inlineStr">
        <is>
          <t>ceramics - tiles / sanitaryware</t>
        </is>
      </c>
      <c r="E400" s="31" t="inlineStr">
        <is>
          <t>smallcap</t>
        </is>
      </c>
      <c r="F400" s="31" t="n">
        <v>2211.62</v>
      </c>
      <c r="G400" s="31" t="n">
        <v>535.65</v>
      </c>
      <c r="H400" s="31" t="n">
        <v>-0.67</v>
      </c>
      <c r="I400" s="31" t="n">
        <v>74882</v>
      </c>
      <c r="J400" s="31" t="inlineStr">
        <is>
          <t>531548</t>
        </is>
      </c>
    </row>
    <row r="401">
      <c r="A401" s="31" t="inlineStr">
        <is>
          <t>CUPID</t>
        </is>
      </c>
      <c r="B401" s="31" t="inlineStr">
        <is>
          <t>Cupid Limited</t>
        </is>
      </c>
      <c r="C401" s="31" t="inlineStr">
        <is>
          <t>fmcg</t>
        </is>
      </c>
      <c r="D401" s="31" t="inlineStr">
        <is>
          <t>personal care - indian</t>
        </is>
      </c>
      <c r="E401" s="31" t="inlineStr">
        <is>
          <t>largecap</t>
        </is>
      </c>
      <c r="F401" s="31" t="n">
        <v>26003.05</v>
      </c>
      <c r="G401" s="31" t="n">
        <v>192.06</v>
      </c>
      <c r="H401" s="31" t="n">
        <v>-0.68</v>
      </c>
      <c r="I401" s="31" t="n">
        <v>19870325</v>
      </c>
      <c r="J401" s="31" t="inlineStr">
        <is>
          <t>530843</t>
        </is>
      </c>
    </row>
    <row r="402">
      <c r="A402" s="31" t="inlineStr">
        <is>
          <t>DIVGIITTS</t>
        </is>
      </c>
      <c r="B402" s="31" t="inlineStr">
        <is>
          <t>Divgi Torqtransfer Systems Ltd</t>
        </is>
      </c>
      <c r="C402" s="31" t="inlineStr">
        <is>
          <t>auto</t>
        </is>
      </c>
      <c r="D402" s="31" t="inlineStr">
        <is>
          <t>auto ancillaries</t>
        </is>
      </c>
      <c r="E402" s="31" t="inlineStr">
        <is>
          <t>smallcap</t>
        </is>
      </c>
      <c r="F402" s="31" t="n">
        <v>3021.13</v>
      </c>
      <c r="G402" s="31" t="n">
        <v>980.8</v>
      </c>
      <c r="H402" s="31" t="n">
        <v>-0.71</v>
      </c>
      <c r="I402" s="31" t="n">
        <v>228763</v>
      </c>
      <c r="J402" s="31" t="inlineStr">
        <is>
          <t>543812</t>
        </is>
      </c>
    </row>
    <row r="403">
      <c r="A403" s="31" t="inlineStr">
        <is>
          <t>KKCL</t>
        </is>
      </c>
      <c r="B403" s="31" t="inlineStr">
        <is>
          <t>Kewal Kiran Clothing Limited</t>
        </is>
      </c>
      <c r="C403" s="31" t="inlineStr">
        <is>
          <t>consumer discretionary</t>
        </is>
      </c>
      <c r="D403" s="31" t="inlineStr">
        <is>
          <t>textiles - products</t>
        </is>
      </c>
      <c r="E403" s="31" t="inlineStr">
        <is>
          <t>smallcap</t>
        </is>
      </c>
      <c r="F403" s="31" t="n">
        <v>3103.75</v>
      </c>
      <c r="G403" s="31" t="n">
        <v>499.95</v>
      </c>
      <c r="H403" s="31" t="n">
        <v>-0.73</v>
      </c>
      <c r="I403" s="31" t="n">
        <v>23832</v>
      </c>
      <c r="J403" s="31" t="inlineStr">
        <is>
          <t>532732</t>
        </is>
      </c>
    </row>
    <row r="404">
      <c r="A404" s="31" t="inlineStr">
        <is>
          <t>THELEELA</t>
        </is>
      </c>
      <c r="B404" s="31" t="inlineStr">
        <is>
          <t>Leela Palaces Hotels &amp; Resorts Ltd</t>
        </is>
      </c>
      <c r="C404" s="31" t="inlineStr">
        <is>
          <t>services</t>
        </is>
      </c>
      <c r="D404" s="31" t="inlineStr">
        <is>
          <t>hotels</t>
        </is>
      </c>
      <c r="E404" s="31" t="inlineStr">
        <is>
          <t>midcap</t>
        </is>
      </c>
      <c r="F404" s="31" t="n">
        <v>16026.64</v>
      </c>
      <c r="G404" s="31" t="n">
        <v>476.25</v>
      </c>
      <c r="H404" s="31" t="n">
        <v>-0.76</v>
      </c>
      <c r="I404" s="31" t="n">
        <v>133929</v>
      </c>
      <c r="J404" s="31" t="inlineStr">
        <is>
          <t>544408</t>
        </is>
      </c>
    </row>
    <row r="405">
      <c r="A405" s="31" t="inlineStr">
        <is>
          <t>TEJASNET</t>
        </is>
      </c>
      <c r="B405" s="31" t="inlineStr">
        <is>
          <t>Tejas Networks Ltd</t>
        </is>
      </c>
      <c r="C405" s="31" t="inlineStr">
        <is>
          <t>telecom</t>
        </is>
      </c>
      <c r="D405" s="31" t="inlineStr">
        <is>
          <t>telecommunications - equipment</t>
        </is>
      </c>
      <c r="E405" s="31" t="inlineStr">
        <is>
          <t>midcap</t>
        </is>
      </c>
      <c r="F405" s="31" t="n">
        <v>10790.71</v>
      </c>
      <c r="G405" s="31" t="n">
        <v>602.4</v>
      </c>
      <c r="H405" s="31" t="n">
        <v>-0.77</v>
      </c>
      <c r="I405" s="31" t="n">
        <v>2025052</v>
      </c>
      <c r="J405" s="31" t="inlineStr">
        <is>
          <t>540595</t>
        </is>
      </c>
    </row>
    <row r="406">
      <c r="A406" s="31" t="inlineStr">
        <is>
          <t>HIRECT</t>
        </is>
      </c>
      <c r="B406" s="31" t="inlineStr">
        <is>
          <t>Hind Rectifiers Limited</t>
        </is>
      </c>
      <c r="C406" s="31" t="inlineStr">
        <is>
          <t>consumer discretionary</t>
        </is>
      </c>
      <c r="D406" s="31" t="inlineStr">
        <is>
          <t>electronics - components</t>
        </is>
      </c>
      <c r="E406" s="31" t="inlineStr">
        <is>
          <t>smallcap</t>
        </is>
      </c>
      <c r="F406" s="31" t="n">
        <v>3963.27</v>
      </c>
      <c r="G406" s="31" t="n">
        <v>1144</v>
      </c>
      <c r="H406" s="31" t="n">
        <v>-0.8</v>
      </c>
      <c r="I406" s="31" t="n">
        <v>79522</v>
      </c>
      <c r="J406" s="31" t="inlineStr">
        <is>
          <t>504036</t>
        </is>
      </c>
    </row>
    <row r="407">
      <c r="A407" s="31" t="inlineStr">
        <is>
          <t>JTLIND</t>
        </is>
      </c>
      <c r="B407" s="31" t="inlineStr">
        <is>
          <t>JTL Industries Ltd</t>
        </is>
      </c>
      <c r="C407" s="31" t="inlineStr">
        <is>
          <t>metals &amp; mining</t>
        </is>
      </c>
      <c r="D407" s="31" t="inlineStr">
        <is>
          <t>steel - medium / small</t>
        </is>
      </c>
      <c r="E407" s="31" t="inlineStr">
        <is>
          <t>smallcap</t>
        </is>
      </c>
      <c r="F407" s="31" t="n">
        <v>3175.31</v>
      </c>
      <c r="G407" s="31" t="n">
        <v>80.13</v>
      </c>
      <c r="H407" s="31" t="n">
        <v>-0.8</v>
      </c>
      <c r="I407" s="31" t="n">
        <v>4874831</v>
      </c>
      <c r="J407" s="31" t="inlineStr">
        <is>
          <t>534600</t>
        </is>
      </c>
    </row>
    <row r="408">
      <c r="A408" s="31" t="inlineStr">
        <is>
          <t>KDDL</t>
        </is>
      </c>
      <c r="B408" s="31" t="inlineStr">
        <is>
          <t>Kddl Limited</t>
        </is>
      </c>
      <c r="C408" s="31" t="inlineStr">
        <is>
          <t>consumer discretionary</t>
        </is>
      </c>
      <c r="D408" s="31" t="inlineStr">
        <is>
          <t>miscellaneous</t>
        </is>
      </c>
      <c r="E408" s="31" t="inlineStr">
        <is>
          <t>smallcap</t>
        </is>
      </c>
      <c r="F408" s="31" t="n">
        <v>4063.93</v>
      </c>
      <c r="G408" s="31" t="n">
        <v>3277</v>
      </c>
      <c r="H408" s="31" t="n">
        <v>-0.82</v>
      </c>
      <c r="I408" s="31" t="n">
        <v>19244</v>
      </c>
      <c r="J408" s="31" t="inlineStr">
        <is>
          <t>532054</t>
        </is>
      </c>
    </row>
    <row r="409">
      <c r="A409" s="31" t="inlineStr">
        <is>
          <t>CHOLAFIN</t>
        </is>
      </c>
      <c r="B409" s="31" t="inlineStr">
        <is>
          <t>Cholamandalam Investment And Finance Company Limited</t>
        </is>
      </c>
      <c r="C409" s="31" t="inlineStr">
        <is>
          <t>financials</t>
        </is>
      </c>
      <c r="D409" s="31" t="inlineStr">
        <is>
          <t>finance &amp; investments</t>
        </is>
      </c>
      <c r="E409" s="31" t="inlineStr">
        <is>
          <t>largecap</t>
        </is>
      </c>
      <c r="F409" s="31" t="n">
        <v>153647.86</v>
      </c>
      <c r="G409" s="31" t="n">
        <v>1788.5</v>
      </c>
      <c r="H409" s="31" t="n">
        <v>-0.82</v>
      </c>
      <c r="I409" s="31" t="n">
        <v>1239025</v>
      </c>
      <c r="J409" s="31" t="inlineStr">
        <is>
          <t>511243</t>
        </is>
      </c>
    </row>
    <row r="410">
      <c r="A410" s="31" t="inlineStr">
        <is>
          <t>BOROSCI</t>
        </is>
      </c>
      <c r="B410" s="31" t="inlineStr">
        <is>
          <t>Borosil Scientific Ltd</t>
        </is>
      </c>
      <c r="C410" s="31" t="inlineStr">
        <is>
          <t>building materials</t>
        </is>
      </c>
      <c r="D410" s="31" t="inlineStr">
        <is>
          <t>glass &amp; glass products</t>
        </is>
      </c>
      <c r="E410" s="31" t="inlineStr">
        <is>
          <t>smallcap</t>
        </is>
      </c>
      <c r="F410" s="31" t="n">
        <v>1499.47</v>
      </c>
      <c r="G410" s="31" t="n">
        <v>167.2</v>
      </c>
      <c r="H410" s="31" t="n">
        <v>-0.82</v>
      </c>
      <c r="I410" s="31" t="n">
        <v>71627</v>
      </c>
      <c r="J410" s="31" t="inlineStr">
        <is>
          <t>544184</t>
        </is>
      </c>
    </row>
    <row r="411">
      <c r="A411" s="31" t="inlineStr">
        <is>
          <t>VMART</t>
        </is>
      </c>
      <c r="B411" s="31" t="inlineStr">
        <is>
          <t>V-mart Retail Limited</t>
        </is>
      </c>
      <c r="C411" s="31" t="inlineStr">
        <is>
          <t>consumer discretionary</t>
        </is>
      </c>
      <c r="D411" s="31" t="inlineStr">
        <is>
          <t>trading</t>
        </is>
      </c>
      <c r="E411" s="31" t="inlineStr">
        <is>
          <t>midcap</t>
        </is>
      </c>
      <c r="F411" s="31" t="n">
        <v>6329.25</v>
      </c>
      <c r="G411" s="31" t="n">
        <v>790.05</v>
      </c>
      <c r="H411" s="31" t="n">
        <v>-0.82</v>
      </c>
      <c r="I411" s="31" t="n">
        <v>503631</v>
      </c>
      <c r="J411" s="31" t="inlineStr">
        <is>
          <t>534976</t>
        </is>
      </c>
    </row>
    <row r="412">
      <c r="A412" s="31" t="inlineStr">
        <is>
          <t>KIRLOSENG</t>
        </is>
      </c>
      <c r="B412" s="31" t="inlineStr">
        <is>
          <t>Kirloskar Oil Engines Limited</t>
        </is>
      </c>
      <c r="C412" s="31" t="inlineStr">
        <is>
          <t>industrials</t>
        </is>
      </c>
      <c r="D412" s="31" t="inlineStr">
        <is>
          <t>engines</t>
        </is>
      </c>
      <c r="E412" s="31" t="inlineStr">
        <is>
          <t>largecap</t>
        </is>
      </c>
      <c r="F412" s="31" t="n">
        <v>34030.04</v>
      </c>
      <c r="G412" s="31" t="n">
        <v>2321.4</v>
      </c>
      <c r="H412" s="31" t="n">
        <v>-0.84</v>
      </c>
      <c r="I412" s="31" t="n">
        <v>558705</v>
      </c>
      <c r="J412" s="31" t="inlineStr">
        <is>
          <t>533293</t>
        </is>
      </c>
    </row>
    <row r="413">
      <c r="A413" s="31" t="inlineStr">
        <is>
          <t>ZYDUSLIFE</t>
        </is>
      </c>
      <c r="B413" s="31" t="inlineStr">
        <is>
          <t>Zydus Lifesciences Ltd</t>
        </is>
      </c>
      <c r="C413" s="31" t="inlineStr">
        <is>
          <t>healthcare</t>
        </is>
      </c>
      <c r="D413" s="31" t="inlineStr">
        <is>
          <t>pharmaceuticals - indian - bulk drugs &amp; formln</t>
        </is>
      </c>
      <c r="E413" s="31" t="inlineStr">
        <is>
          <t>largecap</t>
        </is>
      </c>
      <c r="F413" s="31" t="n">
        <v>110643.13</v>
      </c>
      <c r="G413" s="31" t="n">
        <v>1099.8</v>
      </c>
      <c r="H413" s="31" t="n">
        <v>-0.85</v>
      </c>
      <c r="I413" s="31" t="n">
        <v>586081</v>
      </c>
      <c r="J413" s="31" t="inlineStr">
        <is>
          <t>532321</t>
        </is>
      </c>
    </row>
    <row r="414">
      <c r="A414" s="31" t="inlineStr">
        <is>
          <t>ELECTHERM</t>
        </is>
      </c>
      <c r="B414" s="31" t="inlineStr">
        <is>
          <t>Electrotherm (india) Limited</t>
        </is>
      </c>
      <c r="C414" s="31" t="inlineStr">
        <is>
          <t>metals &amp; mining</t>
        </is>
      </c>
      <c r="D414" s="31" t="inlineStr">
        <is>
          <t>steel - medium / small</t>
        </is>
      </c>
      <c r="E414" s="31" t="inlineStr">
        <is>
          <t>smallcap</t>
        </is>
      </c>
      <c r="F414" s="31" t="n">
        <v>1402.35</v>
      </c>
      <c r="G414" s="31" t="n">
        <v>1091.2</v>
      </c>
      <c r="H414" s="31" t="n">
        <v>-0.85</v>
      </c>
      <c r="I414" s="31" t="n">
        <v>14978</v>
      </c>
      <c r="J414" s="31" t="inlineStr">
        <is>
          <t>526608</t>
        </is>
      </c>
    </row>
    <row r="415">
      <c r="A415" s="31" t="inlineStr">
        <is>
          <t>JSWINFRA</t>
        </is>
      </c>
      <c r="B415" s="31" t="inlineStr">
        <is>
          <t>JSW Infrastructure Ltd</t>
        </is>
      </c>
      <c r="C415" s="31" t="inlineStr">
        <is>
          <t>transportation</t>
        </is>
      </c>
      <c r="D415" s="31" t="inlineStr">
        <is>
          <t>miscellaneous</t>
        </is>
      </c>
      <c r="E415" s="31" t="inlineStr">
        <is>
          <t>largecap</t>
        </is>
      </c>
      <c r="F415" s="31" t="n">
        <v>69394.55</v>
      </c>
      <c r="G415" s="31" t="n">
        <v>327.5</v>
      </c>
      <c r="H415" s="31" t="n">
        <v>-0.89</v>
      </c>
      <c r="I415" s="31" t="n">
        <v>3693824</v>
      </c>
      <c r="J415" s="31" t="inlineStr">
        <is>
          <t>543994</t>
        </is>
      </c>
    </row>
    <row r="416">
      <c r="A416" s="31" t="inlineStr">
        <is>
          <t>INDOTECH</t>
        </is>
      </c>
      <c r="B416" s="31" t="inlineStr">
        <is>
          <t>Indo Tech Transformers Limited</t>
        </is>
      </c>
      <c r="C416" s="31" t="inlineStr">
        <is>
          <t>industrials</t>
        </is>
      </c>
      <c r="D416" s="31" t="inlineStr">
        <is>
          <t>electric equipment</t>
        </is>
      </c>
      <c r="E416" s="31" t="inlineStr">
        <is>
          <t>smallcap</t>
        </is>
      </c>
      <c r="F416" s="31" t="n">
        <v>3440.77</v>
      </c>
      <c r="G416" s="31" t="n">
        <v>3211</v>
      </c>
      <c r="H416" s="31" t="n">
        <v>-0.89</v>
      </c>
      <c r="I416" s="31" t="n">
        <v>26616</v>
      </c>
      <c r="J416" s="31" t="inlineStr">
        <is>
          <t>532717</t>
        </is>
      </c>
    </row>
    <row r="417">
      <c r="A417" s="31" t="inlineStr">
        <is>
          <t>KPRMILL</t>
        </is>
      </c>
      <c r="B417" s="31" t="inlineStr">
        <is>
          <t>K.p.r. Mill Limited</t>
        </is>
      </c>
      <c r="C417" s="31" t="inlineStr">
        <is>
          <t>consumer discretionary</t>
        </is>
      </c>
      <c r="D417" s="31" t="inlineStr">
        <is>
          <t>textiles - products</t>
        </is>
      </c>
      <c r="E417" s="31" t="inlineStr">
        <is>
          <t>largecap</t>
        </is>
      </c>
      <c r="F417" s="31" t="n">
        <v>40730.56</v>
      </c>
      <c r="G417" s="31" t="n">
        <v>1180.8</v>
      </c>
      <c r="H417" s="31" t="n">
        <v>-0.91</v>
      </c>
      <c r="I417" s="31" t="n">
        <v>382211</v>
      </c>
      <c r="J417" s="31" t="inlineStr">
        <is>
          <t>532889</t>
        </is>
      </c>
    </row>
    <row r="418">
      <c r="A418" s="31" t="inlineStr">
        <is>
          <t>HESTERBIO</t>
        </is>
      </c>
      <c r="B418" s="31" t="inlineStr">
        <is>
          <t>Hester Biosciences Limited</t>
        </is>
      </c>
      <c r="C418" s="31" t="inlineStr">
        <is>
          <t>healthcare</t>
        </is>
      </c>
      <c r="D418" s="31" t="inlineStr">
        <is>
          <t>pharmaceuticals - indian - formulations</t>
        </is>
      </c>
      <c r="E418" s="31" t="inlineStr">
        <is>
          <t>smallcap</t>
        </is>
      </c>
      <c r="F418" s="31" t="n">
        <v>1870.32</v>
      </c>
      <c r="G418" s="31" t="n">
        <v>2178</v>
      </c>
      <c r="H418" s="31" t="n">
        <v>-0.9399999999999999</v>
      </c>
      <c r="I418" s="31" t="n">
        <v>2104</v>
      </c>
      <c r="J418" s="31" t="inlineStr">
        <is>
          <t>524669</t>
        </is>
      </c>
    </row>
    <row r="419">
      <c r="A419" s="31" t="inlineStr">
        <is>
          <t>AVL</t>
        </is>
      </c>
      <c r="B419" s="31" t="inlineStr">
        <is>
          <t>Aditya Vision Ltd</t>
        </is>
      </c>
      <c r="C419" s="31" t="inlineStr">
        <is>
          <t>consumer discretionary</t>
        </is>
      </c>
      <c r="D419" s="31" t="inlineStr">
        <is>
          <t>trading</t>
        </is>
      </c>
      <c r="E419" s="31" t="inlineStr">
        <is>
          <t>midcap</t>
        </is>
      </c>
      <c r="F419" s="31" t="n">
        <v>8350.709999999999</v>
      </c>
      <c r="G419" s="31" t="n">
        <v>640.35</v>
      </c>
      <c r="H419" s="31" t="n">
        <v>-0.97</v>
      </c>
      <c r="I419" s="31" t="n">
        <v>274727</v>
      </c>
      <c r="J419" s="31" t="inlineStr">
        <is>
          <t>540205</t>
        </is>
      </c>
    </row>
    <row r="420">
      <c r="A420" s="31" t="inlineStr">
        <is>
          <t>UNIPARTS</t>
        </is>
      </c>
      <c r="B420" s="31" t="inlineStr">
        <is>
          <t>Uniparts India Ltd</t>
        </is>
      </c>
      <c r="C420" s="31" t="inlineStr">
        <is>
          <t>industrials</t>
        </is>
      </c>
      <c r="D420" s="31" t="inlineStr">
        <is>
          <t>engineering</t>
        </is>
      </c>
      <c r="E420" s="31" t="inlineStr">
        <is>
          <t>smallcap</t>
        </is>
      </c>
      <c r="F420" s="31" t="n">
        <v>2986.89</v>
      </c>
      <c r="G420" s="31" t="n">
        <v>655</v>
      </c>
      <c r="H420" s="31" t="n">
        <v>-1.01</v>
      </c>
      <c r="I420" s="31" t="n">
        <v>116977</v>
      </c>
      <c r="J420" s="31" t="inlineStr">
        <is>
          <t>543689</t>
        </is>
      </c>
    </row>
    <row r="421">
      <c r="A421" s="31" t="inlineStr">
        <is>
          <t>PREMIERPOL</t>
        </is>
      </c>
      <c r="B421" s="31" t="inlineStr">
        <is>
          <t>Premier Polyfilm Limited</t>
        </is>
      </c>
      <c r="C421" s="31" t="inlineStr">
        <is>
          <t>plastic products</t>
        </is>
      </c>
      <c r="D421" s="31" t="inlineStr">
        <is>
          <t>plastics products</t>
        </is>
      </c>
      <c r="E421" s="31" t="inlineStr">
        <is>
          <t>smallcap</t>
        </is>
      </c>
      <c r="F421" s="31" t="n">
        <v>723.77</v>
      </c>
      <c r="G421" s="31" t="n">
        <v>68.40000000000001</v>
      </c>
      <c r="H421" s="31" t="n">
        <v>-1.01</v>
      </c>
      <c r="I421" s="31" t="n">
        <v>121605</v>
      </c>
      <c r="J421" s="31" t="inlineStr">
        <is>
          <t>514354</t>
        </is>
      </c>
    </row>
    <row r="422">
      <c r="A422" s="31" t="inlineStr">
        <is>
          <t>CAPLIPOINT</t>
        </is>
      </c>
      <c r="B422" s="31" t="inlineStr">
        <is>
          <t>Caplin Point Laboratories Limited</t>
        </is>
      </c>
      <c r="C422" s="31" t="inlineStr">
        <is>
          <t>healthcare</t>
        </is>
      </c>
      <c r="D422" s="31" t="inlineStr">
        <is>
          <t>pharmaceuticals - indian - formulations</t>
        </is>
      </c>
      <c r="E422" s="31" t="inlineStr">
        <is>
          <t>midcap</t>
        </is>
      </c>
      <c r="F422" s="31" t="n">
        <v>19489.4</v>
      </c>
      <c r="G422" s="31" t="n">
        <v>2538.2</v>
      </c>
      <c r="H422" s="31" t="n">
        <v>-1.01</v>
      </c>
      <c r="I422" s="31" t="n">
        <v>74497</v>
      </c>
      <c r="J422" s="31" t="inlineStr">
        <is>
          <t>524742</t>
        </is>
      </c>
    </row>
    <row r="423">
      <c r="A423" s="31" t="inlineStr">
        <is>
          <t>MAXHEALTH</t>
        </is>
      </c>
      <c r="B423" s="31" t="inlineStr">
        <is>
          <t>Max Healthcare Institute Ltd</t>
        </is>
      </c>
      <c r="C423" s="31" t="inlineStr">
        <is>
          <t>healthcare</t>
        </is>
      </c>
      <c r="D423" s="31" t="inlineStr">
        <is>
          <t>healthcare</t>
        </is>
      </c>
      <c r="E423" s="31" t="inlineStr">
        <is>
          <t>largecap</t>
        </is>
      </c>
      <c r="F423" s="31" t="n">
        <v>110927.66</v>
      </c>
      <c r="G423" s="31" t="n">
        <v>1127.9</v>
      </c>
      <c r="H423" s="31" t="n">
        <v>-1.05</v>
      </c>
      <c r="I423" s="31" t="n">
        <v>1053703</v>
      </c>
      <c r="J423" s="31" t="inlineStr">
        <is>
          <t>543220</t>
        </is>
      </c>
    </row>
    <row r="424">
      <c r="A424" s="31" t="inlineStr">
        <is>
          <t>BLSE</t>
        </is>
      </c>
      <c r="B424" s="31" t="inlineStr">
        <is>
          <t>BLS E-Services Ltd</t>
        </is>
      </c>
      <c r="C424" s="31" t="inlineStr">
        <is>
          <t>i.t</t>
        </is>
      </c>
      <c r="D424" s="31" t="inlineStr">
        <is>
          <t>computers - software - medium / small</t>
        </is>
      </c>
      <c r="E424" s="31" t="inlineStr">
        <is>
          <t>smallcap</t>
        </is>
      </c>
      <c r="F424" s="31" t="n">
        <v>2320.66</v>
      </c>
      <c r="G424" s="31" t="n">
        <v>252.66</v>
      </c>
      <c r="H424" s="31" t="n">
        <v>-1.08</v>
      </c>
      <c r="I424" s="31" t="n">
        <v>985862</v>
      </c>
      <c r="J424" s="31" t="inlineStr">
        <is>
          <t>544107</t>
        </is>
      </c>
    </row>
    <row r="425">
      <c r="A425" s="31" t="inlineStr">
        <is>
          <t>IDEA</t>
        </is>
      </c>
      <c r="B425" s="31" t="inlineStr">
        <is>
          <t>Vodafone Idea Ltd</t>
        </is>
      </c>
      <c r="C425" s="31" t="inlineStr">
        <is>
          <t>telecom-service</t>
        </is>
      </c>
      <c r="D425" s="31" t="inlineStr">
        <is>
          <t>telecommunications - service provider</t>
        </is>
      </c>
      <c r="E425" s="31" t="inlineStr">
        <is>
          <t>largecap</t>
        </is>
      </c>
      <c r="F425" s="31" t="n">
        <v>158614.2</v>
      </c>
      <c r="G425" s="31" t="n">
        <v>14.48</v>
      </c>
      <c r="H425" s="31" t="n">
        <v>-1.09</v>
      </c>
      <c r="I425" s="31" t="n">
        <v>289092587</v>
      </c>
      <c r="J425" s="31" t="inlineStr">
        <is>
          <t>532822</t>
        </is>
      </c>
    </row>
    <row r="426">
      <c r="A426" s="31" t="inlineStr">
        <is>
          <t>LLOYDSENGG</t>
        </is>
      </c>
      <c r="B426" s="31" t="inlineStr">
        <is>
          <t>Lloyds Engineering Works Ltd</t>
        </is>
      </c>
      <c r="C426" s="31" t="inlineStr">
        <is>
          <t>industrials</t>
        </is>
      </c>
      <c r="D426" s="31" t="inlineStr">
        <is>
          <t>engineering</t>
        </is>
      </c>
      <c r="E426" s="31" t="inlineStr">
        <is>
          <t>midcap</t>
        </is>
      </c>
      <c r="F426" s="31" t="n">
        <v>12462.29</v>
      </c>
      <c r="G426" s="31" t="n">
        <v>83.27</v>
      </c>
      <c r="H426" s="31" t="n">
        <v>-1.1</v>
      </c>
      <c r="I426" s="31" t="n">
        <v>7009597</v>
      </c>
      <c r="J426" s="31" t="inlineStr">
        <is>
          <t>539992</t>
        </is>
      </c>
    </row>
    <row r="427">
      <c r="A427" s="31" t="inlineStr">
        <is>
          <t>SUZLON</t>
        </is>
      </c>
      <c r="B427" s="31" t="inlineStr">
        <is>
          <t>Suzlon Energy Limited</t>
        </is>
      </c>
      <c r="C427" s="31" t="inlineStr">
        <is>
          <t>industrials</t>
        </is>
      </c>
      <c r="D427" s="31" t="inlineStr">
        <is>
          <t>electric equipment</t>
        </is>
      </c>
      <c r="E427" s="31" t="inlineStr">
        <is>
          <t>largecap</t>
        </is>
      </c>
      <c r="F427" s="31" t="n">
        <v>80025.17</v>
      </c>
      <c r="G427" s="31" t="n">
        <v>57.67</v>
      </c>
      <c r="H427" s="31" t="n">
        <v>-1.17</v>
      </c>
      <c r="I427" s="31" t="n">
        <v>51175497</v>
      </c>
      <c r="J427" s="31" t="inlineStr">
        <is>
          <t>532667</t>
        </is>
      </c>
    </row>
    <row r="428">
      <c r="A428" s="31" t="inlineStr">
        <is>
          <t>ALKEM</t>
        </is>
      </c>
      <c r="B428" s="31" t="inlineStr">
        <is>
          <t>Alkem Laboratories Limited</t>
        </is>
      </c>
      <c r="C428" s="31" t="inlineStr">
        <is>
          <t>healthcare</t>
        </is>
      </c>
      <c r="D428" s="31" t="inlineStr">
        <is>
          <t>pharmaceuticals - indian - bulk drugs &amp; formln</t>
        </is>
      </c>
      <c r="E428" s="31" t="inlineStr">
        <is>
          <t>largecap</t>
        </is>
      </c>
      <c r="F428" s="31" t="n">
        <v>66567.81</v>
      </c>
      <c r="G428" s="31" t="n">
        <v>5499</v>
      </c>
      <c r="H428" s="31" t="n">
        <v>-1.23</v>
      </c>
      <c r="I428" s="31" t="n">
        <v>163412</v>
      </c>
      <c r="J428" s="31" t="inlineStr">
        <is>
          <t>539523</t>
        </is>
      </c>
    </row>
    <row r="429">
      <c r="A429" s="31" t="inlineStr">
        <is>
          <t>SPAL</t>
        </is>
      </c>
      <c r="B429" s="31" t="inlineStr">
        <is>
          <t>S. P. Apparels Limited</t>
        </is>
      </c>
      <c r="C429" s="31" t="inlineStr">
        <is>
          <t>consumer discretionary</t>
        </is>
      </c>
      <c r="D429" s="31" t="inlineStr">
        <is>
          <t>textiles - products</t>
        </is>
      </c>
      <c r="E429" s="31" t="inlineStr">
        <is>
          <t>smallcap</t>
        </is>
      </c>
      <c r="F429" s="31" t="n">
        <v>2812.54</v>
      </c>
      <c r="G429" s="31" t="n">
        <v>1104.9</v>
      </c>
      <c r="H429" s="31" t="n">
        <v>-1.24</v>
      </c>
      <c r="I429" s="31" t="n">
        <v>112264</v>
      </c>
      <c r="J429" s="31" t="inlineStr">
        <is>
          <t>540048</t>
        </is>
      </c>
    </row>
    <row r="430">
      <c r="A430" s="31" t="inlineStr">
        <is>
          <t>SKMEGGPROD</t>
        </is>
      </c>
      <c r="B430" s="31" t="inlineStr">
        <is>
          <t>Skm Egg Products Export (india) Limited</t>
        </is>
      </c>
      <c r="C430" s="31" t="inlineStr">
        <is>
          <t>fmcg</t>
        </is>
      </c>
      <c r="D430" s="31" t="inlineStr">
        <is>
          <t>food - processing - indian</t>
        </is>
      </c>
      <c r="E430" s="31" t="inlineStr">
        <is>
          <t>smallcap</t>
        </is>
      </c>
      <c r="F430" s="31" t="n">
        <v>1670.9</v>
      </c>
      <c r="G430" s="31" t="n">
        <v>313.35</v>
      </c>
      <c r="H430" s="31" t="n">
        <v>-1.24</v>
      </c>
      <c r="I430" s="31" t="n">
        <v>812872</v>
      </c>
      <c r="J430" s="31" t="inlineStr">
        <is>
          <t>532143</t>
        </is>
      </c>
    </row>
    <row r="431">
      <c r="A431" s="31" t="inlineStr">
        <is>
          <t>EDELWEISS</t>
        </is>
      </c>
      <c r="B431" s="31" t="inlineStr">
        <is>
          <t>Edelweiss Financial Services Limited</t>
        </is>
      </c>
      <c r="C431" s="31" t="inlineStr">
        <is>
          <t>financials</t>
        </is>
      </c>
      <c r="D431" s="31" t="inlineStr">
        <is>
          <t>finance &amp; investments</t>
        </is>
      </c>
      <c r="E431" s="31" t="inlineStr">
        <is>
          <t>midcap</t>
        </is>
      </c>
      <c r="F431" s="31" t="n">
        <v>11873.29</v>
      </c>
      <c r="G431" s="31" t="n">
        <v>123.88</v>
      </c>
      <c r="H431" s="31" t="n">
        <v>-1.24</v>
      </c>
      <c r="I431" s="31" t="n">
        <v>1719809</v>
      </c>
      <c r="J431" s="31" t="inlineStr">
        <is>
          <t>532922</t>
        </is>
      </c>
    </row>
    <row r="432">
      <c r="A432" s="31" t="inlineStr">
        <is>
          <t>STEELCAS</t>
        </is>
      </c>
      <c r="B432" s="31" t="inlineStr">
        <is>
          <t>Steelcast Ltd</t>
        </is>
      </c>
      <c r="C432" s="31" t="inlineStr">
        <is>
          <t>industrials</t>
        </is>
      </c>
      <c r="D432" s="31" t="inlineStr">
        <is>
          <t>castings &amp; forgings</t>
        </is>
      </c>
      <c r="E432" s="31" t="inlineStr">
        <is>
          <t>smallcap</t>
        </is>
      </c>
      <c r="F432" s="31" t="n">
        <v>3075.97</v>
      </c>
      <c r="G432" s="31" t="n">
        <v>299.95</v>
      </c>
      <c r="H432" s="31" t="n">
        <v>-1.32</v>
      </c>
      <c r="I432" s="31" t="n">
        <v>72961</v>
      </c>
      <c r="J432" s="31" t="inlineStr">
        <is>
          <t>513517</t>
        </is>
      </c>
    </row>
    <row r="433">
      <c r="A433" s="31" t="inlineStr">
        <is>
          <t>GOKEX</t>
        </is>
      </c>
      <c r="B433" s="31" t="inlineStr">
        <is>
          <t>Gokaldas Exports Limited</t>
        </is>
      </c>
      <c r="C433" s="31" t="inlineStr">
        <is>
          <t>consumer discretionary</t>
        </is>
      </c>
      <c r="D433" s="31" t="inlineStr">
        <is>
          <t>textiles - products</t>
        </is>
      </c>
      <c r="E433" s="31" t="inlineStr">
        <is>
          <t>midcap</t>
        </is>
      </c>
      <c r="F433" s="31" t="n">
        <v>6509.48</v>
      </c>
      <c r="G433" s="31" t="n">
        <v>876.85</v>
      </c>
      <c r="H433" s="31" t="n">
        <v>-1.33</v>
      </c>
      <c r="I433" s="31" t="n">
        <v>311061</v>
      </c>
      <c r="J433" s="31" t="inlineStr">
        <is>
          <t>532630</t>
        </is>
      </c>
    </row>
    <row r="434">
      <c r="A434" s="31" t="inlineStr">
        <is>
          <t>VENUSPIPES</t>
        </is>
      </c>
      <c r="B434" s="31" t="inlineStr">
        <is>
          <t>Venus Pipes &amp; Tubes Ltd</t>
        </is>
      </c>
      <c r="C434" s="31" t="inlineStr">
        <is>
          <t>metals &amp; mining</t>
        </is>
      </c>
      <c r="D434" s="31" t="inlineStr">
        <is>
          <t>steel - medium / small</t>
        </is>
      </c>
      <c r="E434" s="31" t="inlineStr">
        <is>
          <t>smallcap</t>
        </is>
      </c>
      <c r="F434" s="31" t="n">
        <v>3743.4</v>
      </c>
      <c r="G434" s="31" t="n">
        <v>1782.8</v>
      </c>
      <c r="H434" s="31" t="n">
        <v>-1.34</v>
      </c>
      <c r="I434" s="31" t="n">
        <v>105765</v>
      </c>
      <c r="J434" s="31" t="inlineStr">
        <is>
          <t>543528</t>
        </is>
      </c>
    </row>
    <row r="435">
      <c r="A435" s="31" t="inlineStr">
        <is>
          <t>PREMEXPLN</t>
        </is>
      </c>
      <c r="B435" s="31" t="inlineStr">
        <is>
          <t>Premier Explosives Limited</t>
        </is>
      </c>
      <c r="C435" s="31" t="inlineStr">
        <is>
          <t>aerospace &amp; defence</t>
        </is>
      </c>
      <c r="D435" s="31" t="inlineStr">
        <is>
          <t>chemicals</t>
        </is>
      </c>
      <c r="E435" s="31" t="inlineStr">
        <is>
          <t>smallcap</t>
        </is>
      </c>
      <c r="F435" s="31" t="n">
        <v>4244.98</v>
      </c>
      <c r="G435" s="31" t="n">
        <v>778.35</v>
      </c>
      <c r="H435" s="31" t="n">
        <v>-1.42</v>
      </c>
      <c r="I435" s="31" t="n">
        <v>735157</v>
      </c>
      <c r="J435" s="31" t="inlineStr">
        <is>
          <t>526247</t>
        </is>
      </c>
    </row>
    <row r="436">
      <c r="A436" s="31" t="inlineStr">
        <is>
          <t>SUPRIYA</t>
        </is>
      </c>
      <c r="B436" s="31" t="inlineStr">
        <is>
          <t>Supriya Lifescience Ltd</t>
        </is>
      </c>
      <c r="C436" s="31" t="inlineStr">
        <is>
          <t>healthcare</t>
        </is>
      </c>
      <c r="D436" s="31" t="inlineStr">
        <is>
          <t>pharmaceuticals - indian - bulk drugs &amp; formln</t>
        </is>
      </c>
      <c r="E436" s="31" t="inlineStr">
        <is>
          <t>midcap</t>
        </is>
      </c>
      <c r="F436" s="31" t="n">
        <v>8123.13</v>
      </c>
      <c r="G436" s="31" t="n">
        <v>995</v>
      </c>
      <c r="H436" s="31" t="n">
        <v>-1.42</v>
      </c>
      <c r="I436" s="31" t="n">
        <v>342595</v>
      </c>
      <c r="J436" s="31" t="inlineStr">
        <is>
          <t>543434</t>
        </is>
      </c>
    </row>
    <row r="437">
      <c r="A437" s="31" t="inlineStr">
        <is>
          <t>NELCO</t>
        </is>
      </c>
      <c r="B437" s="31" t="inlineStr">
        <is>
          <t>Nelco Limited</t>
        </is>
      </c>
      <c r="C437" s="31" t="inlineStr">
        <is>
          <t>telecom</t>
        </is>
      </c>
      <c r="D437" s="31" t="inlineStr">
        <is>
          <t>telecommunications - service provider</t>
        </is>
      </c>
      <c r="E437" s="31" t="inlineStr">
        <is>
          <t>smallcap</t>
        </is>
      </c>
      <c r="F437" s="31" t="n">
        <v>2147.55</v>
      </c>
      <c r="G437" s="31" t="n">
        <v>927.65</v>
      </c>
      <c r="H437" s="31" t="n">
        <v>-1.43</v>
      </c>
      <c r="I437" s="31" t="n">
        <v>111112</v>
      </c>
      <c r="J437" s="31" t="inlineStr">
        <is>
          <t>504112</t>
        </is>
      </c>
    </row>
    <row r="438">
      <c r="A438" s="31" t="inlineStr">
        <is>
          <t>HINDCOMPOS</t>
        </is>
      </c>
      <c r="B438" s="31" t="inlineStr">
        <is>
          <t>Hindustan Composites Limited</t>
        </is>
      </c>
      <c r="C438" s="31" t="inlineStr">
        <is>
          <t>auto</t>
        </is>
      </c>
      <c r="D438" s="31" t="inlineStr">
        <is>
          <t>auto ancillaries</t>
        </is>
      </c>
      <c r="E438" s="31" t="inlineStr">
        <is>
          <t>smallcap</t>
        </is>
      </c>
      <c r="F438" s="31" t="n">
        <v>687.13</v>
      </c>
      <c r="G438" s="31" t="n">
        <v>458.25</v>
      </c>
      <c r="H438" s="31" t="n">
        <v>-1.5</v>
      </c>
      <c r="I438" s="31" t="n">
        <v>55585</v>
      </c>
      <c r="J438" s="31" t="inlineStr">
        <is>
          <t>509635</t>
        </is>
      </c>
    </row>
    <row r="439">
      <c r="A439" s="31" t="inlineStr">
        <is>
          <t>GMRAIRPORT</t>
        </is>
      </c>
      <c r="B439" s="31" t="inlineStr">
        <is>
          <t>GMR Airports Ltd</t>
        </is>
      </c>
      <c r="C439" s="31" t="inlineStr">
        <is>
          <t>miscellaneous</t>
        </is>
      </c>
      <c r="D439" s="31" t="inlineStr">
        <is>
          <t>miscellaneous</t>
        </is>
      </c>
      <c r="E439" s="31" t="inlineStr">
        <is>
          <t>largecap</t>
        </is>
      </c>
      <c r="F439" s="31" t="n">
        <v>119876.05</v>
      </c>
      <c r="G439" s="31" t="n">
        <v>111.79</v>
      </c>
      <c r="H439" s="31" t="n">
        <v>-1.53</v>
      </c>
      <c r="I439" s="31" t="n">
        <v>22066921</v>
      </c>
      <c r="J439" s="31" t="inlineStr">
        <is>
          <t>532754</t>
        </is>
      </c>
    </row>
    <row r="440">
      <c r="A440" s="31" t="inlineStr">
        <is>
          <t>SYRMA</t>
        </is>
      </c>
      <c r="B440" s="31" t="inlineStr">
        <is>
          <t>Syrma SGS Technology Ltd</t>
        </is>
      </c>
      <c r="C440" s="31" t="inlineStr">
        <is>
          <t>consumer discretionary</t>
        </is>
      </c>
      <c r="D440" s="31" t="inlineStr">
        <is>
          <t>electronics - components</t>
        </is>
      </c>
      <c r="E440" s="31" t="inlineStr">
        <is>
          <t>largecap</t>
        </is>
      </c>
      <c r="F440" s="31" t="n">
        <v>27412.78</v>
      </c>
      <c r="G440" s="31" t="n">
        <v>1398.3</v>
      </c>
      <c r="H440" s="31" t="n">
        <v>-1.64</v>
      </c>
      <c r="I440" s="31" t="n">
        <v>1056580</v>
      </c>
      <c r="J440" s="31" t="inlineStr">
        <is>
          <t>543573</t>
        </is>
      </c>
    </row>
    <row r="441">
      <c r="A441" s="31" t="inlineStr">
        <is>
          <t>PAGEIND</t>
        </is>
      </c>
      <c r="B441" s="31" t="inlineStr">
        <is>
          <t>Page Industries Limited</t>
        </is>
      </c>
      <c r="C441" s="31" t="inlineStr">
        <is>
          <t>consumer discretionary</t>
        </is>
      </c>
      <c r="D441" s="31" t="inlineStr">
        <is>
          <t>textiles - products</t>
        </is>
      </c>
      <c r="E441" s="31" t="inlineStr">
        <is>
          <t>largecap</t>
        </is>
      </c>
      <c r="F441" s="31" t="n">
        <v>48642.04</v>
      </c>
      <c r="G441" s="31" t="n">
        <v>42885</v>
      </c>
      <c r="H441" s="31" t="n">
        <v>-1.66</v>
      </c>
      <c r="I441" s="31" t="n">
        <v>42493</v>
      </c>
      <c r="J441" s="31" t="inlineStr">
        <is>
          <t>532827</t>
        </is>
      </c>
    </row>
    <row r="442">
      <c r="A442" s="31" t="inlineStr">
        <is>
          <t>SHRIPISTON</t>
        </is>
      </c>
      <c r="B442" s="31" t="inlineStr">
        <is>
          <t>Shriram Pistons &amp; Rings Limited</t>
        </is>
      </c>
      <c r="C442" s="31" t="inlineStr">
        <is>
          <t>auto</t>
        </is>
      </c>
      <c r="D442" s="31" t="inlineStr">
        <is>
          <t>auto ancillaries</t>
        </is>
      </c>
      <c r="E442" s="31" t="inlineStr">
        <is>
          <t>midcap</t>
        </is>
      </c>
      <c r="F442" s="31" t="n">
        <v>19294.7</v>
      </c>
      <c r="G442" s="31" t="n">
        <v>4306.5</v>
      </c>
      <c r="H442" s="31" t="n">
        <v>-1.68</v>
      </c>
      <c r="I442" s="31" t="n">
        <v>67246</v>
      </c>
      <c r="J442" s="31" t="n"/>
    </row>
    <row r="443">
      <c r="A443" s="31" t="inlineStr">
        <is>
          <t>CEIGALL</t>
        </is>
      </c>
      <c r="B443" s="31" t="inlineStr">
        <is>
          <t>Ceigall India Ltd</t>
        </is>
      </c>
      <c r="C443" s="31" t="inlineStr">
        <is>
          <t>realty</t>
        </is>
      </c>
      <c r="D443" s="31" t="inlineStr">
        <is>
          <t>construction</t>
        </is>
      </c>
      <c r="E443" s="31" t="inlineStr">
        <is>
          <t>midcap</t>
        </is>
      </c>
      <c r="F443" s="31" t="n">
        <v>6830.57</v>
      </c>
      <c r="G443" s="31" t="n">
        <v>385.5</v>
      </c>
      <c r="H443" s="31" t="n">
        <v>-1.68</v>
      </c>
      <c r="I443" s="31" t="n">
        <v>346961</v>
      </c>
      <c r="J443" s="31" t="inlineStr">
        <is>
          <t>544223</t>
        </is>
      </c>
    </row>
    <row r="444">
      <c r="A444" s="31" t="inlineStr">
        <is>
          <t>MUTHOOTMF</t>
        </is>
      </c>
      <c r="B444" s="31" t="inlineStr">
        <is>
          <t>Muthoot Microfin Ltd</t>
        </is>
      </c>
      <c r="C444" s="31" t="inlineStr">
        <is>
          <t>financials</t>
        </is>
      </c>
      <c r="D444" s="31" t="inlineStr">
        <is>
          <t>finance &amp; investments</t>
        </is>
      </c>
      <c r="E444" s="31" t="inlineStr">
        <is>
          <t>smallcap</t>
        </is>
      </c>
      <c r="F444" s="31" t="n">
        <v>3752.02</v>
      </c>
      <c r="G444" s="31" t="n">
        <v>216.31</v>
      </c>
      <c r="H444" s="31" t="n">
        <v>-1.71</v>
      </c>
      <c r="I444" s="31" t="n">
        <v>308965</v>
      </c>
      <c r="J444" s="31" t="inlineStr">
        <is>
          <t>544055</t>
        </is>
      </c>
    </row>
    <row r="445">
      <c r="A445" s="31" t="inlineStr">
        <is>
          <t>KSB</t>
        </is>
      </c>
      <c r="B445" s="31" t="inlineStr">
        <is>
          <t>KSB Ltd</t>
        </is>
      </c>
      <c r="C445" s="31" t="inlineStr">
        <is>
          <t>industrials</t>
        </is>
      </c>
      <c r="D445" s="31" t="inlineStr">
        <is>
          <t>pumps</t>
        </is>
      </c>
      <c r="E445" s="31" t="inlineStr">
        <is>
          <t>midcap</t>
        </is>
      </c>
      <c r="F445" s="31" t="n">
        <v>16752.15</v>
      </c>
      <c r="G445" s="31" t="n">
        <v>946</v>
      </c>
      <c r="H445" s="31" t="n">
        <v>-1.72</v>
      </c>
      <c r="I445" s="31" t="n">
        <v>111337</v>
      </c>
      <c r="J445" s="31" t="inlineStr">
        <is>
          <t>500249</t>
        </is>
      </c>
    </row>
    <row r="446">
      <c r="A446" s="31" t="inlineStr">
        <is>
          <t>MANGLMCEM</t>
        </is>
      </c>
      <c r="B446" s="31" t="inlineStr">
        <is>
          <t>Mangalam Cement Limited</t>
        </is>
      </c>
      <c r="C446" s="31" t="inlineStr">
        <is>
          <t>building materials</t>
        </is>
      </c>
      <c r="D446" s="31" t="inlineStr">
        <is>
          <t>cement - north india</t>
        </is>
      </c>
      <c r="E446" s="31" t="inlineStr">
        <is>
          <t>smallcap</t>
        </is>
      </c>
      <c r="F446" s="31" t="n">
        <v>2509.82</v>
      </c>
      <c r="G446" s="31" t="n">
        <v>897</v>
      </c>
      <c r="H446" s="31" t="n">
        <v>-1.73</v>
      </c>
      <c r="I446" s="31" t="n">
        <v>25778</v>
      </c>
      <c r="J446" s="31" t="inlineStr">
        <is>
          <t>502157</t>
        </is>
      </c>
    </row>
    <row r="447">
      <c r="A447" s="31" t="inlineStr">
        <is>
          <t>CGPOWER</t>
        </is>
      </c>
      <c r="B447" s="31" t="inlineStr">
        <is>
          <t>CG Power and Industrial Solutions Ltd</t>
        </is>
      </c>
      <c r="C447" s="31" t="inlineStr">
        <is>
          <t>industrials</t>
        </is>
      </c>
      <c r="D447" s="31" t="inlineStr">
        <is>
          <t>electric equipment</t>
        </is>
      </c>
      <c r="E447" s="31" t="inlineStr">
        <is>
          <t>largecap</t>
        </is>
      </c>
      <c r="F447" s="31" t="n">
        <v>153791.06</v>
      </c>
      <c r="G447" s="31" t="n">
        <v>959.4</v>
      </c>
      <c r="H447" s="31" t="n">
        <v>-1.75</v>
      </c>
      <c r="I447" s="31" t="n">
        <v>5251907</v>
      </c>
      <c r="J447" s="31" t="inlineStr">
        <is>
          <t>500093</t>
        </is>
      </c>
    </row>
    <row r="448">
      <c r="A448" s="31" t="inlineStr">
        <is>
          <t>CARBORUNIV</t>
        </is>
      </c>
      <c r="B448" s="31" t="inlineStr">
        <is>
          <t>Carborundum Universal Limited</t>
        </is>
      </c>
      <c r="C448" s="31" t="inlineStr">
        <is>
          <t>industrials</t>
        </is>
      </c>
      <c r="D448" s="31" t="inlineStr">
        <is>
          <t>abrasives and grinding wheels</t>
        </is>
      </c>
      <c r="E448" s="31" t="inlineStr">
        <is>
          <t>largecap</t>
        </is>
      </c>
      <c r="F448" s="31" t="n">
        <v>22171.42</v>
      </c>
      <c r="G448" s="31" t="n">
        <v>1141.7</v>
      </c>
      <c r="H448" s="31" t="n">
        <v>-1.91</v>
      </c>
      <c r="I448" s="31" t="n">
        <v>103565</v>
      </c>
      <c r="J448" s="31" t="inlineStr">
        <is>
          <t>513375</t>
        </is>
      </c>
    </row>
    <row r="449">
      <c r="A449" s="31" t="inlineStr">
        <is>
          <t>SHREEPUSHK</t>
        </is>
      </c>
      <c r="B449" s="31" t="inlineStr">
        <is>
          <t>Shree Pushkar Chemicals &amp; Fertilisers Limited</t>
        </is>
      </c>
      <c r="C449" s="31" t="inlineStr">
        <is>
          <t>chemicals</t>
        </is>
      </c>
      <c r="D449" s="31" t="inlineStr">
        <is>
          <t>dyes and pigments</t>
        </is>
      </c>
      <c r="E449" s="31" t="inlineStr">
        <is>
          <t>smallcap</t>
        </is>
      </c>
      <c r="F449" s="31" t="n">
        <v>1317.11</v>
      </c>
      <c r="G449" s="31" t="n">
        <v>399.3</v>
      </c>
      <c r="H449" s="31" t="n">
        <v>-1.96</v>
      </c>
      <c r="I449" s="31" t="n">
        <v>35658</v>
      </c>
      <c r="J449" s="31" t="inlineStr">
        <is>
          <t>539334</t>
        </is>
      </c>
    </row>
    <row r="450">
      <c r="A450" s="31" t="inlineStr">
        <is>
          <t>RAJRILTD</t>
        </is>
      </c>
      <c r="B450" s="31" t="inlineStr">
        <is>
          <t>Raj Rayon Industries Ltd</t>
        </is>
      </c>
      <c r="C450" s="31" t="inlineStr">
        <is>
          <t>textiles</t>
        </is>
      </c>
      <c r="D450" s="31" t="inlineStr">
        <is>
          <t>textiles - manmade</t>
        </is>
      </c>
      <c r="E450" s="31" t="inlineStr">
        <is>
          <t>smallcap</t>
        </is>
      </c>
      <c r="F450" s="31" t="n">
        <v>1346.28</v>
      </c>
      <c r="G450" s="31" t="n">
        <v>23.73</v>
      </c>
      <c r="H450" s="31" t="n">
        <v>-1.98</v>
      </c>
      <c r="I450" s="31" t="n">
        <v>12184</v>
      </c>
      <c r="J450" s="31" t="inlineStr">
        <is>
          <t>530699</t>
        </is>
      </c>
    </row>
    <row r="451">
      <c r="A451" s="31" t="inlineStr">
        <is>
          <t>ASHIANA</t>
        </is>
      </c>
      <c r="B451" s="31" t="inlineStr">
        <is>
          <t>Ashiana Housing Limited</t>
        </is>
      </c>
      <c r="C451" s="31" t="inlineStr">
        <is>
          <t>realty</t>
        </is>
      </c>
      <c r="D451" s="31" t="inlineStr">
        <is>
          <t>construction</t>
        </is>
      </c>
      <c r="E451" s="31" t="inlineStr">
        <is>
          <t>smallcap</t>
        </is>
      </c>
      <c r="F451" s="31" t="n">
        <v>3981.29</v>
      </c>
      <c r="G451" s="31" t="n">
        <v>387.9</v>
      </c>
      <c r="H451" s="31" t="n">
        <v>-2.06</v>
      </c>
      <c r="I451" s="31" t="n">
        <v>91917</v>
      </c>
      <c r="J451" s="31" t="inlineStr">
        <is>
          <t>523716</t>
        </is>
      </c>
    </row>
    <row r="452">
      <c r="A452" s="31" t="inlineStr">
        <is>
          <t>AEROFLEX</t>
        </is>
      </c>
      <c r="B452" s="31" t="inlineStr">
        <is>
          <t>Aeroflex Industries Ltd</t>
        </is>
      </c>
      <c r="C452" s="31" t="inlineStr">
        <is>
          <t>metals &amp; mining</t>
        </is>
      </c>
      <c r="D452" s="31" t="inlineStr">
        <is>
          <t>steel - medium / small</t>
        </is>
      </c>
      <c r="E452" s="31" t="inlineStr">
        <is>
          <t>midcap</t>
        </is>
      </c>
      <c r="F452" s="31" t="n">
        <v>6464.36</v>
      </c>
      <c r="G452" s="31" t="n">
        <v>478.4</v>
      </c>
      <c r="H452" s="31" t="n">
        <v>-2.07</v>
      </c>
      <c r="I452" s="31" t="n">
        <v>2036954</v>
      </c>
      <c r="J452" s="31" t="inlineStr">
        <is>
          <t>543972</t>
        </is>
      </c>
    </row>
    <row r="453">
      <c r="A453" s="31" t="inlineStr">
        <is>
          <t>SPECTRUM</t>
        </is>
      </c>
      <c r="B453" s="31" t="inlineStr">
        <is>
          <t>Spectrum Electrical Industries Ltd</t>
        </is>
      </c>
      <c r="C453" s="31" t="inlineStr">
        <is>
          <t>industrials</t>
        </is>
      </c>
      <c r="D453" s="31" t="inlineStr">
        <is>
          <t>electric equipment</t>
        </is>
      </c>
      <c r="E453" s="31" t="inlineStr">
        <is>
          <t>smallcap</t>
        </is>
      </c>
      <c r="F453" s="31" t="n">
        <v>3016.74</v>
      </c>
      <c r="G453" s="31" t="n">
        <v>1880</v>
      </c>
      <c r="H453" s="31" t="n">
        <v>-2.07</v>
      </c>
      <c r="I453" s="31" t="n">
        <v>16010</v>
      </c>
      <c r="J453" s="31" t="inlineStr">
        <is>
          <t>535112</t>
        </is>
      </c>
    </row>
    <row r="454">
      <c r="A454" s="31" t="inlineStr">
        <is>
          <t>MANCREDIT</t>
        </is>
      </c>
      <c r="B454" s="31" t="inlineStr">
        <is>
          <t>Mangal Credit &amp; Fincorp Ltd</t>
        </is>
      </c>
      <c r="C454" s="31" t="inlineStr">
        <is>
          <t>financials</t>
        </is>
      </c>
      <c r="D454" s="31" t="inlineStr">
        <is>
          <t>finance &amp; investments</t>
        </is>
      </c>
      <c r="E454" s="31" t="inlineStr">
        <is>
          <t>smallcap</t>
        </is>
      </c>
      <c r="F454" s="31" t="n">
        <v>509.73</v>
      </c>
      <c r="G454" s="31" t="n">
        <v>236.29</v>
      </c>
      <c r="H454" s="31" t="n">
        <v>-2.12</v>
      </c>
      <c r="I454" s="31" t="n">
        <v>1189673</v>
      </c>
      <c r="J454" s="31" t="inlineStr">
        <is>
          <t>505850</t>
        </is>
      </c>
    </row>
    <row r="455">
      <c r="A455" s="31" t="inlineStr">
        <is>
          <t>NEOGEN</t>
        </is>
      </c>
      <c r="B455" s="31" t="inlineStr">
        <is>
          <t>Neogen Chemicals Ltd</t>
        </is>
      </c>
      <c r="C455" s="31" t="inlineStr">
        <is>
          <t>chemicals</t>
        </is>
      </c>
      <c r="D455" s="31" t="inlineStr">
        <is>
          <t>chemicals</t>
        </is>
      </c>
      <c r="E455" s="31" t="inlineStr">
        <is>
          <t>midcap</t>
        </is>
      </c>
      <c r="F455" s="31" t="n">
        <v>5513.57</v>
      </c>
      <c r="G455" s="31" t="n">
        <v>1970.7</v>
      </c>
      <c r="H455" s="31" t="n">
        <v>-2.13</v>
      </c>
      <c r="I455" s="31" t="n">
        <v>35429</v>
      </c>
      <c r="J455" s="31" t="inlineStr">
        <is>
          <t>542665</t>
        </is>
      </c>
    </row>
    <row r="456">
      <c r="A456" s="31" t="inlineStr">
        <is>
          <t>GUFICBIO</t>
        </is>
      </c>
      <c r="B456" s="31" t="inlineStr">
        <is>
          <t>Gufic Biosciences Limited</t>
        </is>
      </c>
      <c r="C456" s="31" t="inlineStr">
        <is>
          <t>healthcare</t>
        </is>
      </c>
      <c r="D456" s="31" t="inlineStr">
        <is>
          <t>pharmaceuticals - indian - bulk drugs &amp; formln</t>
        </is>
      </c>
      <c r="E456" s="31" t="inlineStr">
        <is>
          <t>smallcap</t>
        </is>
      </c>
      <c r="F456" s="31" t="n">
        <v>3954.64</v>
      </c>
      <c r="G456" s="31" t="n">
        <v>385.65</v>
      </c>
      <c r="H456" s="31" t="n">
        <v>-2.21</v>
      </c>
      <c r="I456" s="31" t="n">
        <v>242269</v>
      </c>
      <c r="J456" s="31" t="inlineStr">
        <is>
          <t>509079</t>
        </is>
      </c>
    </row>
    <row r="457">
      <c r="A457" s="31" t="inlineStr">
        <is>
          <t>AEROENTER</t>
        </is>
      </c>
      <c r="B457" s="31" t="inlineStr">
        <is>
          <t>Aeroflex Enterprises Ltd</t>
        </is>
      </c>
      <c r="C457" s="31" t="inlineStr">
        <is>
          <t>metals &amp; mining</t>
        </is>
      </c>
      <c r="D457" s="31" t="inlineStr">
        <is>
          <t>steel - medium / small</t>
        </is>
      </c>
      <c r="E457" s="31" t="inlineStr">
        <is>
          <t>smallcap</t>
        </is>
      </c>
      <c r="F457" s="31" t="n">
        <v>1581.95</v>
      </c>
      <c r="G457" s="31" t="n">
        <v>136.66</v>
      </c>
      <c r="H457" s="31" t="n">
        <v>-2.31</v>
      </c>
      <c r="I457" s="31" t="n">
        <v>873462</v>
      </c>
      <c r="J457" s="31" t="inlineStr">
        <is>
          <t>511076</t>
        </is>
      </c>
    </row>
    <row r="458">
      <c r="A458" s="31" t="inlineStr">
        <is>
          <t>MARINE</t>
        </is>
      </c>
      <c r="B458" s="31" t="inlineStr">
        <is>
          <t>Marine Electricals (India) Ltd</t>
        </is>
      </c>
      <c r="C458" s="31" t="inlineStr">
        <is>
          <t>industrials</t>
        </is>
      </c>
      <c r="D458" s="31" t="inlineStr">
        <is>
          <t>electric equipment</t>
        </is>
      </c>
      <c r="E458" s="31" t="inlineStr">
        <is>
          <t>smallcap</t>
        </is>
      </c>
      <c r="F458" s="31" t="n">
        <v>713.79</v>
      </c>
      <c r="G458" s="31" t="n">
        <v>284.2</v>
      </c>
      <c r="H458" s="31" t="n">
        <v>-2.32</v>
      </c>
      <c r="I458" s="31" t="n">
        <v>676200</v>
      </c>
      <c r="J458" s="31" t="inlineStr">
        <is>
          <t>535119</t>
        </is>
      </c>
    </row>
    <row r="459">
      <c r="A459" s="31" t="inlineStr">
        <is>
          <t>GPTINFRA</t>
        </is>
      </c>
      <c r="B459" s="31" t="inlineStr">
        <is>
          <t>Gpt Infraprojects Limited</t>
        </is>
      </c>
      <c r="C459" s="31" t="inlineStr">
        <is>
          <t>realty</t>
        </is>
      </c>
      <c r="D459" s="31" t="inlineStr">
        <is>
          <t>construction</t>
        </is>
      </c>
      <c r="E459" s="31" t="inlineStr">
        <is>
          <t>smallcap</t>
        </is>
      </c>
      <c r="F459" s="31" t="n">
        <v>1696.82</v>
      </c>
      <c r="G459" s="31" t="n">
        <v>131.15</v>
      </c>
      <c r="H459" s="31" t="n">
        <v>-2.33</v>
      </c>
      <c r="I459" s="31" t="n">
        <v>167040</v>
      </c>
      <c r="J459" s="31" t="inlineStr">
        <is>
          <t>533761</t>
        </is>
      </c>
    </row>
    <row r="460">
      <c r="A460" s="31" t="inlineStr">
        <is>
          <t>BHAGCHEM</t>
        </is>
      </c>
      <c r="B460" s="31" t="inlineStr">
        <is>
          <t>Bhagiradha Chemicals &amp; Industries Ltd</t>
        </is>
      </c>
      <c r="C460" s="31" t="inlineStr">
        <is>
          <t>chemicals</t>
        </is>
      </c>
      <c r="D460" s="31" t="inlineStr">
        <is>
          <t>pesticides / agrochemicals - indian</t>
        </is>
      </c>
      <c r="E460" s="31" t="inlineStr">
        <is>
          <t>smallcap</t>
        </is>
      </c>
      <c r="F460" s="31" t="n">
        <v>3743.55</v>
      </c>
      <c r="G460" s="31" t="n">
        <v>281.95</v>
      </c>
      <c r="H460" s="31" t="n">
        <v>-2.34</v>
      </c>
      <c r="I460" s="31" t="n">
        <v>52362</v>
      </c>
      <c r="J460" s="31" t="inlineStr">
        <is>
          <t>531719</t>
        </is>
      </c>
    </row>
    <row r="461">
      <c r="A461" s="31" t="inlineStr">
        <is>
          <t>STEL</t>
        </is>
      </c>
      <c r="B461" s="31" t="inlineStr">
        <is>
          <t>Stel Holdings Limited</t>
        </is>
      </c>
      <c r="C461" s="31" t="inlineStr">
        <is>
          <t>financials</t>
        </is>
      </c>
      <c r="D461" s="31" t="inlineStr">
        <is>
          <t>finance &amp; investments</t>
        </is>
      </c>
      <c r="E461" s="31" t="inlineStr">
        <is>
          <t>smallcap</t>
        </is>
      </c>
      <c r="F461" s="31" t="n">
        <v>1084.44</v>
      </c>
      <c r="G461" s="31" t="n">
        <v>572.9</v>
      </c>
      <c r="H461" s="31" t="n">
        <v>-2.5</v>
      </c>
      <c r="I461" s="31" t="n">
        <v>5046</v>
      </c>
      <c r="J461" s="31" t="n"/>
    </row>
    <row r="462">
      <c r="A462" s="31" t="inlineStr">
        <is>
          <t>CARTRADE</t>
        </is>
      </c>
      <c r="B462" s="31" t="inlineStr">
        <is>
          <t>Cartrade Tech Ltd</t>
        </is>
      </c>
      <c r="C462" s="31" t="inlineStr">
        <is>
          <t>consumer discretionary</t>
        </is>
      </c>
      <c r="D462" s="31" t="inlineStr">
        <is>
          <t>miscellaneous</t>
        </is>
      </c>
      <c r="E462" s="31" t="inlineStr">
        <is>
          <t>midcap</t>
        </is>
      </c>
      <c r="F462" s="31" t="n">
        <v>13470.01</v>
      </c>
      <c r="G462" s="31" t="n">
        <v>2742</v>
      </c>
      <c r="H462" s="31" t="n">
        <v>-2.54</v>
      </c>
      <c r="I462" s="31" t="n">
        <v>238386</v>
      </c>
      <c r="J462" s="31" t="inlineStr">
        <is>
          <t>543333</t>
        </is>
      </c>
    </row>
    <row r="463">
      <c r="A463" s="31" t="inlineStr">
        <is>
          <t>MSTCLTD</t>
        </is>
      </c>
      <c r="B463" s="31" t="inlineStr">
        <is>
          <t>MSTC Ltd</t>
        </is>
      </c>
      <c r="C463" s="31" t="inlineStr">
        <is>
          <t>i.t</t>
        </is>
      </c>
      <c r="D463" s="31" t="inlineStr">
        <is>
          <t>trading</t>
        </is>
      </c>
      <c r="E463" s="31" t="inlineStr">
        <is>
          <t>midcap</t>
        </is>
      </c>
      <c r="F463" s="31" t="n">
        <v>5039.23</v>
      </c>
      <c r="G463" s="31" t="n">
        <v>695.15</v>
      </c>
      <c r="H463" s="31" t="n">
        <v>-2.88</v>
      </c>
      <c r="I463" s="31" t="n">
        <v>821267</v>
      </c>
      <c r="J463" s="31" t="inlineStr">
        <is>
          <t>542597</t>
        </is>
      </c>
    </row>
    <row r="464">
      <c r="A464" s="31" t="inlineStr">
        <is>
          <t>SIGNPOST</t>
        </is>
      </c>
      <c r="B464" s="31" t="inlineStr">
        <is>
          <t>Signpost India Ltd</t>
        </is>
      </c>
      <c r="C464" s="31" t="inlineStr">
        <is>
          <t>miscellaneous</t>
        </is>
      </c>
      <c r="D464" s="31" t="inlineStr">
        <is>
          <t>miscellaneous</t>
        </is>
      </c>
      <c r="E464" s="31" t="inlineStr">
        <is>
          <t>smallcap</t>
        </is>
      </c>
      <c r="F464" s="31" t="n">
        <v>1638.24</v>
      </c>
      <c r="G464" s="31" t="n">
        <v>297.65</v>
      </c>
      <c r="H464" s="31" t="n">
        <v>-2.89</v>
      </c>
      <c r="I464" s="31" t="n">
        <v>4364385</v>
      </c>
      <c r="J464" s="31" t="n"/>
    </row>
    <row r="465">
      <c r="A465" s="31" t="inlineStr">
        <is>
          <t>PARACABLES</t>
        </is>
      </c>
      <c r="B465" s="31" t="inlineStr">
        <is>
          <t>Paramount Communications Limited</t>
        </is>
      </c>
      <c r="C465" s="31" t="inlineStr">
        <is>
          <t>industrials</t>
        </is>
      </c>
      <c r="D465" s="31" t="inlineStr">
        <is>
          <t>cables - power</t>
        </is>
      </c>
      <c r="E465" s="31" t="inlineStr">
        <is>
          <t>smallcap</t>
        </is>
      </c>
      <c r="F465" s="31" t="n">
        <v>2262.52</v>
      </c>
      <c r="G465" s="31" t="n">
        <v>71.87</v>
      </c>
      <c r="H465" s="31" t="n">
        <v>-3.05</v>
      </c>
      <c r="I465" s="31" t="n">
        <v>2758251</v>
      </c>
      <c r="J465" s="31" t="inlineStr">
        <is>
          <t>530555</t>
        </is>
      </c>
    </row>
    <row r="466">
      <c r="A466" s="31" t="inlineStr">
        <is>
          <t>IRISDOREME</t>
        </is>
      </c>
      <c r="B466" s="31" t="inlineStr">
        <is>
          <t>Iris Clothings Ltd</t>
        </is>
      </c>
      <c r="C466" s="31" t="inlineStr">
        <is>
          <t>consumer discretionary</t>
        </is>
      </c>
      <c r="D466" s="31" t="inlineStr">
        <is>
          <t>textiles - products</t>
        </is>
      </c>
      <c r="E466" s="31" t="inlineStr">
        <is>
          <t>smallcap</t>
        </is>
      </c>
      <c r="F466" s="31" t="n">
        <v>843.74</v>
      </c>
      <c r="G466" s="31" t="n">
        <v>42.85</v>
      </c>
      <c r="H466" s="31" t="n">
        <v>-3.34</v>
      </c>
      <c r="I466" s="31" t="n">
        <v>391488</v>
      </c>
      <c r="J466" s="31" t="inlineStr">
        <is>
          <t>535123</t>
        </is>
      </c>
    </row>
    <row r="467">
      <c r="A467" s="31" t="inlineStr">
        <is>
          <t>JNKINDIA</t>
        </is>
      </c>
      <c r="B467" s="31" t="inlineStr">
        <is>
          <t>JNK India Ltd</t>
        </is>
      </c>
      <c r="C467" s="31" t="inlineStr">
        <is>
          <t>realty</t>
        </is>
      </c>
      <c r="D467" s="31" t="inlineStr">
        <is>
          <t>engineering - turnkey services</t>
        </is>
      </c>
      <c r="E467" s="31" t="inlineStr">
        <is>
          <t>smallcap</t>
        </is>
      </c>
      <c r="F467" s="31" t="n">
        <v>2756.85</v>
      </c>
      <c r="G467" s="31" t="n">
        <v>476.2</v>
      </c>
      <c r="H467" s="31" t="n">
        <v>-3.35</v>
      </c>
      <c r="I467" s="31" t="n">
        <v>311974</v>
      </c>
      <c r="J467" s="31" t="inlineStr">
        <is>
          <t>544167</t>
        </is>
      </c>
    </row>
    <row r="468">
      <c r="A468" s="31" t="inlineStr">
        <is>
          <t>SIGMAADV</t>
        </is>
      </c>
      <c r="B468" s="31" t="inlineStr">
        <is>
          <t>Sigma Advanced System Ltd</t>
        </is>
      </c>
      <c r="C468" s="31" t="inlineStr">
        <is>
          <t>aerospace &amp; defence</t>
        </is>
      </c>
      <c r="D468" s="31" t="inlineStr">
        <is>
          <t>electronics - components</t>
        </is>
      </c>
      <c r="E468" s="31" t="inlineStr">
        <is>
          <t>midcap</t>
        </is>
      </c>
      <c r="F468" s="31" t="n">
        <v>10245.7</v>
      </c>
      <c r="G468" s="31" t="n">
        <v>561.05</v>
      </c>
      <c r="H468" s="31" t="n">
        <v>-3.49</v>
      </c>
      <c r="I468" s="31" t="n">
        <v>370636</v>
      </c>
      <c r="J468" s="31" t="inlineStr">
        <is>
          <t>532408</t>
        </is>
      </c>
    </row>
    <row r="469">
      <c r="A469" s="31" t="inlineStr">
        <is>
          <t>HFCL</t>
        </is>
      </c>
      <c r="B469" s="31" t="inlineStr">
        <is>
          <t>HFCL Ltd</t>
        </is>
      </c>
      <c r="C469" s="31" t="inlineStr">
        <is>
          <t>telecom</t>
        </is>
      </c>
      <c r="D469" s="31" t="inlineStr">
        <is>
          <t>cables - telephone</t>
        </is>
      </c>
      <c r="E469" s="31" t="inlineStr">
        <is>
          <t>largecap</t>
        </is>
      </c>
      <c r="F469" s="31" t="n">
        <v>32462.55</v>
      </c>
      <c r="G469" s="31" t="n">
        <v>204.59</v>
      </c>
      <c r="H469" s="31" t="n">
        <v>-3.54</v>
      </c>
      <c r="I469" s="31" t="n">
        <v>29245008</v>
      </c>
      <c r="J469" s="31" t="inlineStr">
        <is>
          <t>500183</t>
        </is>
      </c>
    </row>
    <row r="470">
      <c r="A470" s="31" t="inlineStr">
        <is>
          <t>YASHO</t>
        </is>
      </c>
      <c r="B470" s="31" t="inlineStr">
        <is>
          <t>Yasho Industries Ltd</t>
        </is>
      </c>
      <c r="C470" s="31" t="inlineStr">
        <is>
          <t>chemicals</t>
        </is>
      </c>
      <c r="D470" s="31" t="inlineStr">
        <is>
          <t>chemicals</t>
        </is>
      </c>
      <c r="E470" s="31" t="inlineStr">
        <is>
          <t>smallcap</t>
        </is>
      </c>
      <c r="F470" s="31" t="n">
        <v>3695.14</v>
      </c>
      <c r="G470" s="31" t="n">
        <v>2956.1</v>
      </c>
      <c r="H470" s="31" t="n">
        <v>-3.54</v>
      </c>
      <c r="I470" s="31" t="n">
        <v>55129</v>
      </c>
      <c r="J470" s="31" t="inlineStr">
        <is>
          <t>541167</t>
        </is>
      </c>
    </row>
    <row r="471">
      <c r="A471" s="31" t="inlineStr">
        <is>
          <t>AIAENG</t>
        </is>
      </c>
      <c r="B471" s="31" t="inlineStr">
        <is>
          <t>Aia Engineering Limited</t>
        </is>
      </c>
      <c r="C471" s="31" t="inlineStr">
        <is>
          <t>industrials</t>
        </is>
      </c>
      <c r="D471" s="31" t="inlineStr">
        <is>
          <t>castings &amp; forgings</t>
        </is>
      </c>
      <c r="E471" s="31" t="inlineStr">
        <is>
          <t>largecap</t>
        </is>
      </c>
      <c r="F471" s="31" t="n">
        <v>46622.86</v>
      </c>
      <c r="G471" s="31" t="n">
        <v>4800</v>
      </c>
      <c r="H471" s="31" t="n">
        <v>-3.92</v>
      </c>
      <c r="I471" s="31" t="n">
        <v>131357</v>
      </c>
      <c r="J471" s="31" t="inlineStr">
        <is>
          <t>532683</t>
        </is>
      </c>
    </row>
    <row r="472">
      <c r="A472" s="31" t="inlineStr">
        <is>
          <t>MUNJALAU</t>
        </is>
      </c>
      <c r="B472" s="31" t="inlineStr">
        <is>
          <t>Munjal Auto Industries Limited</t>
        </is>
      </c>
      <c r="C472" s="31" t="inlineStr">
        <is>
          <t>auto</t>
        </is>
      </c>
      <c r="D472" s="31" t="inlineStr">
        <is>
          <t>auto ancillaries</t>
        </is>
      </c>
      <c r="E472" s="31" t="inlineStr">
        <is>
          <t>smallcap</t>
        </is>
      </c>
      <c r="F472" s="31" t="n">
        <v>1020.9</v>
      </c>
      <c r="G472" s="31" t="n">
        <v>98.09</v>
      </c>
      <c r="H472" s="31" t="n">
        <v>-3.92</v>
      </c>
      <c r="I472" s="31" t="n">
        <v>726604</v>
      </c>
      <c r="J472" s="31" t="inlineStr">
        <is>
          <t>520059</t>
        </is>
      </c>
    </row>
    <row r="473">
      <c r="A473" s="31" t="inlineStr">
        <is>
          <t>THERMAX</t>
        </is>
      </c>
      <c r="B473" s="31" t="inlineStr">
        <is>
          <t>Thermax Limited</t>
        </is>
      </c>
      <c r="C473" s="31" t="inlineStr">
        <is>
          <t>industrials</t>
        </is>
      </c>
      <c r="D473" s="31" t="inlineStr">
        <is>
          <t>electric equipment</t>
        </is>
      </c>
      <c r="E473" s="31" t="inlineStr">
        <is>
          <t>largecap</t>
        </is>
      </c>
      <c r="F473" s="31" t="n">
        <v>61013.98</v>
      </c>
      <c r="G473" s="31" t="n">
        <v>4917</v>
      </c>
      <c r="H473" s="31" t="n">
        <v>-3.97</v>
      </c>
      <c r="I473" s="31" t="n">
        <v>397719</v>
      </c>
      <c r="J473" s="31" t="inlineStr">
        <is>
          <t>500411</t>
        </is>
      </c>
    </row>
    <row r="474">
      <c r="A474" s="31" t="inlineStr">
        <is>
          <t>MOREPENLAB</t>
        </is>
      </c>
      <c r="B474" s="31" t="inlineStr">
        <is>
          <t>Morepen Laboratories Limited</t>
        </is>
      </c>
      <c r="C474" s="31" t="inlineStr">
        <is>
          <t>healthcare</t>
        </is>
      </c>
      <c r="D474" s="31" t="inlineStr">
        <is>
          <t>pharmaceuticals - indian - bulk drugs &amp; formln</t>
        </is>
      </c>
      <c r="E474" s="31" t="inlineStr">
        <is>
          <t>smallcap</t>
        </is>
      </c>
      <c r="F474" s="31" t="n">
        <v>3434.57</v>
      </c>
      <c r="G474" s="31" t="n">
        <v>59.79</v>
      </c>
      <c r="H474" s="31" t="n">
        <v>-4.61</v>
      </c>
      <c r="I474" s="31" t="n">
        <v>14256376</v>
      </c>
      <c r="J474" s="31" t="inlineStr">
        <is>
          <t>500288</t>
        </is>
      </c>
    </row>
    <row r="475">
      <c r="A475" s="31" t="inlineStr">
        <is>
          <t>BHAGYANGR</t>
        </is>
      </c>
      <c r="B475" s="31" t="inlineStr">
        <is>
          <t>Bhagyanagar India</t>
        </is>
      </c>
      <c r="C475" s="31" t="inlineStr">
        <is>
          <t>power &amp; utilities</t>
        </is>
      </c>
      <c r="D475" s="31" t="inlineStr">
        <is>
          <t>power generation and supply</t>
        </is>
      </c>
      <c r="E475" s="31" t="inlineStr">
        <is>
          <t>smallcap</t>
        </is>
      </c>
      <c r="F475" s="31" t="n">
        <v>1312.75</v>
      </c>
      <c r="G475" s="31" t="n">
        <v>389.8</v>
      </c>
      <c r="H475" s="31" t="n">
        <v>-5</v>
      </c>
      <c r="I475" s="31" t="n">
        <v>128196</v>
      </c>
      <c r="J475" s="31" t="inlineStr">
        <is>
          <t>512296</t>
        </is>
      </c>
    </row>
    <row r="476">
      <c r="A476" s="31" t="inlineStr">
        <is>
          <t>KIRLPNU</t>
        </is>
      </c>
      <c r="B476" s="31" t="inlineStr">
        <is>
          <t>Kirloskar Pneumatic Company Ltd</t>
        </is>
      </c>
      <c r="C476" s="31" t="inlineStr">
        <is>
          <t>industrials</t>
        </is>
      </c>
      <c r="D476" s="31" t="inlineStr">
        <is>
          <t>compressors / drilling equipment</t>
        </is>
      </c>
      <c r="E476" s="31" t="inlineStr">
        <is>
          <t>midcap</t>
        </is>
      </c>
      <c r="F476" s="31" t="n">
        <v>12997.48</v>
      </c>
      <c r="G476" s="31" t="n">
        <v>1863.5</v>
      </c>
      <c r="H476" s="31" t="n">
        <v>-6.87</v>
      </c>
      <c r="I476" s="31" t="n">
        <v>329130</v>
      </c>
      <c r="J476" s="31" t="inlineStr">
        <is>
          <t>505283</t>
        </is>
      </c>
    </row>
  </sheetData>
  <autoFilter ref="A1:J4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IOLCP</t>
        </is>
      </c>
      <c r="E2" s="31" t="inlineStr">
        <is>
          <t>Iol Chemicals And Pharmaceuticals Limited</t>
        </is>
      </c>
      <c r="F2" s="31" t="inlineStr">
        <is>
          <t>Pharma - API &amp; CRAMS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19</v>
      </c>
      <c r="K2" s="31" t="n">
        <v>28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RADICO</t>
        </is>
      </c>
      <c r="E3" s="31" t="inlineStr">
        <is>
          <t>Radico Khaitan Limited</t>
        </is>
      </c>
      <c r="F3" s="31" t="inlineStr">
        <is>
          <t>Alcoholic Beverages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16</v>
      </c>
      <c r="K3" s="31" t="n">
        <v>26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CEMPRO</t>
        </is>
      </c>
      <c r="E4" s="31" t="inlineStr">
        <is>
          <t>Cemindia Projects Ltd</t>
        </is>
      </c>
      <c r="F4" s="31" t="inlineStr">
        <is>
          <t>Infra - Construction &amp; Contracting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18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ASTRAMICRO</t>
        </is>
      </c>
      <c r="E5" s="31" t="inlineStr">
        <is>
          <t>Astra Microwave Products Limited</t>
        </is>
      </c>
      <c r="F5" s="31" t="inlineStr">
        <is>
          <t>Aerospace &amp; Defence - Equipments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NYKAA</t>
        </is>
      </c>
      <c r="E6" s="31" t="inlineStr">
        <is>
          <t>FSN E-Commerce Ventures Ltd</t>
        </is>
      </c>
      <c r="F6" s="31" t="inlineStr">
        <is>
          <t>New age - Platform - E-Retail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17</v>
      </c>
      <c r="K6" s="31" t="n">
        <v>15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KERNEX</t>
        </is>
      </c>
      <c r="E7" s="31" t="inlineStr">
        <is>
          <t>Kernex Microsystems (india) Limited</t>
        </is>
      </c>
      <c r="F7" s="31" t="inlineStr">
        <is>
          <t>Railways - Kavach/Springs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19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WABAG</t>
        </is>
      </c>
      <c r="E8" s="31" t="inlineStr">
        <is>
          <t>Va Tech Wabag Limited</t>
        </is>
      </c>
      <c r="F8" s="31" t="inlineStr">
        <is>
          <t>Water Treatment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19</v>
      </c>
      <c r="K8" s="31" t="n">
        <v>29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SETL</t>
        </is>
      </c>
      <c r="E9" s="31" t="inlineStr">
        <is>
          <t>Standard Enginnering Technology Ltd</t>
        </is>
      </c>
      <c r="F9" s="31" t="inlineStr">
        <is>
          <t>Engineering - Heavy - Glass - lined Equipment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18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RPEL</t>
        </is>
      </c>
      <c r="E10" s="31" t="inlineStr">
        <is>
          <t>Raghav Productivity Enhancers Ltd</t>
        </is>
      </c>
      <c r="F10" s="31" t="inlineStr">
        <is>
          <t>Steel Products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SATIN</t>
        </is>
      </c>
      <c r="E11" s="31" t="inlineStr">
        <is>
          <t>Satin Creditcare Network Limited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18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MAHABANK</t>
        </is>
      </c>
      <c r="E12" s="31" t="inlineStr">
        <is>
          <t>Bank Of Maharashtra Ltd</t>
        </is>
      </c>
      <c r="F12" s="31" t="inlineStr">
        <is>
          <t>Banks - PSU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18</v>
      </c>
      <c r="K12" s="31" t="n">
        <v>19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BAJAJCON</t>
        </is>
      </c>
      <c r="E13" s="31" t="inlineStr">
        <is>
          <t>Bajaj Consumer Care Ltd</t>
        </is>
      </c>
      <c r="F13" s="31" t="inlineStr">
        <is>
          <t>FMCG - Personal Care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RPTECH</t>
        </is>
      </c>
      <c r="E14" s="31" t="inlineStr">
        <is>
          <t>Rashi Peripherals Ltd</t>
        </is>
      </c>
      <c r="F14" s="31" t="inlineStr">
        <is>
          <t>Trading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24</v>
      </c>
      <c r="K14" s="31" t="n">
        <v>28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RANEHOLDIN</t>
        </is>
      </c>
      <c r="E15" s="31" t="inlineStr">
        <is>
          <t>Rane Holdings Limited</t>
        </is>
      </c>
      <c r="F15" s="31" t="inlineStr">
        <is>
          <t>Finance - Holding Company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18</v>
      </c>
      <c r="K15" s="31" t="n">
        <v>22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GLAND</t>
        </is>
      </c>
      <c r="E16" s="31" t="inlineStr">
        <is>
          <t>Gland Pharma Ltd</t>
        </is>
      </c>
      <c r="F16" s="31" t="inlineStr">
        <is>
          <t>Pharma - API &amp; CRAMS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16</v>
      </c>
      <c r="K16" s="31" t="n">
        <v>24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FUSION</t>
        </is>
      </c>
      <c r="E17" s="31" t="inlineStr">
        <is>
          <t>Fusion Micro Finance Ltd</t>
        </is>
      </c>
      <c r="F17" s="31" t="inlineStr">
        <is>
          <t>Finance &amp; Investments - Microfinance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16</v>
      </c>
      <c r="K17" s="31" t="n">
        <v>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SURYODAY</t>
        </is>
      </c>
      <c r="E18" s="31" t="inlineStr">
        <is>
          <t>Suryoday Small Finance Bank Ltd</t>
        </is>
      </c>
      <c r="F18" s="31" t="inlineStr">
        <is>
          <t>Banks - Small Finance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17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PAISALO</t>
        </is>
      </c>
      <c r="E19" s="31" t="inlineStr">
        <is>
          <t>Paisalo Digital Ltd</t>
        </is>
      </c>
      <c r="F19" s="31" t="inlineStr">
        <is>
          <t>Finance - Capital Markets - Brokers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ATHERENERG</t>
        </is>
      </c>
      <c r="E20" s="31" t="inlineStr">
        <is>
          <t>Ather Energy Ltd</t>
        </is>
      </c>
      <c r="F20" s="31" t="inlineStr">
        <is>
          <t>Auto - 2 &amp; 3 Wheelers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17</v>
      </c>
      <c r="K20" s="31" t="n">
        <v>23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MAYURUNIQ</t>
        </is>
      </c>
      <c r="E21" s="31" t="inlineStr">
        <is>
          <t>Mayur Uniquoters Ltd</t>
        </is>
      </c>
      <c r="F21" s="31" t="inlineStr">
        <is>
          <t>Plastics - Plastic &amp; Plastic Products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GRANULES</t>
        </is>
      </c>
      <c r="E22" s="31" t="inlineStr">
        <is>
          <t>Granules India Limited</t>
        </is>
      </c>
      <c r="F22" s="31" t="inlineStr">
        <is>
          <t>Pharma - API &amp; CRAMS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14</v>
      </c>
      <c r="K22" s="31" t="n">
        <v>23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IBULLSLTD</t>
        </is>
      </c>
      <c r="E23" s="31" t="inlineStr">
        <is>
          <t>Indiabulls Limited</t>
        </is>
      </c>
      <c r="F23" s="31" t="inlineStr">
        <is>
          <t>Diversified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GNA</t>
        </is>
      </c>
      <c r="E24" s="31" t="inlineStr">
        <is>
          <t>Gna Axles Limited</t>
        </is>
      </c>
      <c r="F24" s="31" t="inlineStr">
        <is>
          <t>unknown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0</v>
      </c>
      <c r="K24" s="31" t="n">
        <v>12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AADHARHFC</t>
        </is>
      </c>
      <c r="E25" s="31" t="inlineStr">
        <is>
          <t>Aadhar Housing Finance Ltd</t>
        </is>
      </c>
      <c r="F25" s="31" t="inlineStr">
        <is>
          <t>Finance - Housing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18</v>
      </c>
      <c r="K25" s="31" t="n">
        <v>14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CUPID</t>
        </is>
      </c>
      <c r="E26" s="31" t="inlineStr">
        <is>
          <t>Cupid Limited</t>
        </is>
      </c>
      <c r="F26" s="31" t="inlineStr">
        <is>
          <t>Contraceptives/Protectives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BLISSGVS</t>
        </is>
      </c>
      <c r="E27" s="31" t="inlineStr">
        <is>
          <t>Bliss Gvs Pharma Limited</t>
        </is>
      </c>
      <c r="F27" s="31" t="inlineStr">
        <is>
          <t>Pharma - Formulators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18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CGCL</t>
        </is>
      </c>
      <c r="E28" s="31" t="inlineStr">
        <is>
          <t>Capri Global Capital Limited</t>
        </is>
      </c>
      <c r="F28" s="31" t="inlineStr">
        <is>
          <t>Finance &amp; Investments - Gold Loan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AEGISLOG</t>
        </is>
      </c>
      <c r="E29" s="31" t="inlineStr">
        <is>
          <t>Aegis Logistics Ltd</t>
        </is>
      </c>
      <c r="F29" s="31" t="inlineStr">
        <is>
          <t>Logistics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22</v>
      </c>
      <c r="K29" s="31" t="n">
        <v>25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SANGHVIMOV</t>
        </is>
      </c>
      <c r="E30" s="31" t="inlineStr">
        <is>
          <t>Sanghvi Movers Limited</t>
        </is>
      </c>
      <c r="F30" s="31" t="inlineStr">
        <is>
          <t>Capital Goods - EPC/Cranes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SYRMA</t>
        </is>
      </c>
      <c r="E31" s="31" t="inlineStr">
        <is>
          <t>Syrma SGS Technology Ltd</t>
        </is>
      </c>
      <c r="F31" s="31" t="inlineStr">
        <is>
          <t>Consumer Electronics - EMS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16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PARAS</t>
        </is>
      </c>
      <c r="E32" s="31" t="inlineStr">
        <is>
          <t>Paras Defence and Space Technologies Ltd</t>
        </is>
      </c>
      <c r="F32" s="31" t="inlineStr">
        <is>
          <t>Aerospace &amp; Defence - Equipments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PGIL</t>
        </is>
      </c>
      <c r="E33" s="31" t="inlineStr">
        <is>
          <t>Pearl Global Industries Limited</t>
        </is>
      </c>
      <c r="F33" s="31" t="inlineStr">
        <is>
          <t>Textiles - Readymade Apparel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25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VIJAYA</t>
        </is>
      </c>
      <c r="E34" s="31" t="inlineStr">
        <is>
          <t>Vijaya Diagnostic Centre Ltd</t>
        </is>
      </c>
      <c r="F34" s="31" t="inlineStr">
        <is>
          <t>Diagnostics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17</v>
      </c>
      <c r="K34" s="31" t="n">
        <v>22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ADFFOODS</t>
        </is>
      </c>
      <c r="E35" s="31" t="inlineStr">
        <is>
          <t>Adf Foods Limited</t>
        </is>
      </c>
      <c r="F35" s="31" t="inlineStr">
        <is>
          <t>FMCG - Contract Mfg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19</v>
      </c>
      <c r="K35" s="31" t="n">
        <v>26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BHARATSE</t>
        </is>
      </c>
      <c r="E36" s="31" t="inlineStr">
        <is>
          <t>Bharat Seats Ltd</t>
        </is>
      </c>
      <c r="F36" s="31" t="inlineStr">
        <is>
          <t>Auto Ancillaries - Seats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17</v>
      </c>
      <c r="K36" s="31" t="n">
        <v>2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RAMCOSYS</t>
        </is>
      </c>
      <c r="E37" s="31" t="inlineStr">
        <is>
          <t>Ramco Systems Limited</t>
        </is>
      </c>
      <c r="F37" s="31" t="inlineStr">
        <is>
          <t>IT Product Companies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23</v>
      </c>
      <c r="K37" s="31" t="n">
        <v>20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RRKABEL</t>
        </is>
      </c>
      <c r="E38" s="31" t="inlineStr">
        <is>
          <t>R R Kabel Ltd</t>
        </is>
      </c>
      <c r="F38" s="31" t="inlineStr">
        <is>
          <t>Cables - Power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AVALON</t>
        </is>
      </c>
      <c r="E39" s="31" t="inlineStr">
        <is>
          <t>Avalon Technologies Ltd</t>
        </is>
      </c>
      <c r="F39" s="31" t="inlineStr">
        <is>
          <t>Consumer Electronics - EMS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BHAGYANGR</t>
        </is>
      </c>
      <c r="E40" s="31" t="inlineStr">
        <is>
          <t>Bhagyanagar India</t>
        </is>
      </c>
      <c r="F40" s="31" t="inlineStr">
        <is>
          <t>Recycling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18</v>
      </c>
      <c r="K40" s="31" t="n">
        <v>27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INDOTECH</t>
        </is>
      </c>
      <c r="E41" s="31" t="inlineStr">
        <is>
          <t>Indo Tech Transformers Limited</t>
        </is>
      </c>
      <c r="F41" s="31" t="inlineStr">
        <is>
          <t>Capital Goods - Transformers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18</v>
      </c>
      <c r="K41" s="31" t="n">
        <v>23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THANGAMAYL</t>
        </is>
      </c>
      <c r="E42" s="31" t="inlineStr">
        <is>
          <t>Thangamayil Jewellery Limited</t>
        </is>
      </c>
      <c r="F42" s="31" t="inlineStr">
        <is>
          <t>Diamond, Gems &amp; Jewellery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25</v>
      </c>
      <c r="K42" s="31" t="n">
        <v>29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CEIGALL</t>
        </is>
      </c>
      <c r="E43" s="31" t="inlineStr">
        <is>
          <t>Ceigall India Ltd</t>
        </is>
      </c>
      <c r="F43" s="31" t="inlineStr">
        <is>
          <t>Construction - Civil/Turnkey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17</v>
      </c>
      <c r="K43" s="31" t="n">
        <v>28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SKMEGGPROD</t>
        </is>
      </c>
      <c r="E44" s="31" t="inlineStr">
        <is>
          <t>Skm Egg Products Export (india) Limited</t>
        </is>
      </c>
      <c r="F44" s="31" t="inlineStr">
        <is>
          <t>FMCG - Animal/Polutry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23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VADILALIND</t>
        </is>
      </c>
      <c r="E45" s="31" t="inlineStr">
        <is>
          <t>Vadilal Industries Limited</t>
        </is>
      </c>
      <c r="F45" s="31" t="inlineStr">
        <is>
          <t>FMCG - Dairy Products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26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MARKSANS</t>
        </is>
      </c>
      <c r="E46" s="31" t="inlineStr">
        <is>
          <t>Marksans Pharma Limited</t>
        </is>
      </c>
      <c r="F46" s="31" t="inlineStr">
        <is>
          <t>Pharma - Formulators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ACUTAAS</t>
        </is>
      </c>
      <c r="E47" s="31" t="inlineStr">
        <is>
          <t>Acutaas Chemicals Ltd</t>
        </is>
      </c>
      <c r="F47" s="31" t="inlineStr">
        <is>
          <t>Pharma - API &amp;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NINSYS</t>
        </is>
      </c>
      <c r="E48" s="31" t="inlineStr">
        <is>
          <t>NINtec Systems Ltd</t>
        </is>
      </c>
      <c r="F48" s="31" t="inlineStr">
        <is>
          <t>IT - Software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14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PSPPROJECT</t>
        </is>
      </c>
      <c r="E49" s="31" t="inlineStr">
        <is>
          <t>PSP Projects Ltd</t>
        </is>
      </c>
      <c r="F49" s="31" t="inlineStr">
        <is>
          <t>Construction &amp; Contracting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17</v>
      </c>
      <c r="K49" s="31" t="n">
        <v>29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MINDACORP</t>
        </is>
      </c>
      <c r="E50" s="31" t="inlineStr">
        <is>
          <t>Minda Corporation Limited</t>
        </is>
      </c>
      <c r="F50" s="31" t="inlineStr">
        <is>
          <t>Auto Ancillaries - Diversified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16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JAYBARMARU</t>
        </is>
      </c>
      <c r="E51" s="31" t="inlineStr">
        <is>
          <t>Jay Bharat Maruti Limited</t>
        </is>
      </c>
      <c r="F51" s="31" t="inlineStr">
        <is>
          <t>Auto Ancillaries - Diversified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17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DIFFNKG</t>
        </is>
      </c>
      <c r="E52" s="31" t="inlineStr">
        <is>
          <t>Diffusion Engineers Ltd</t>
        </is>
      </c>
      <c r="F52" s="31" t="inlineStr">
        <is>
          <t>Welding Equipments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18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MARICO</t>
        </is>
      </c>
      <c r="E53" s="31" t="inlineStr">
        <is>
          <t>Marico Limited</t>
        </is>
      </c>
      <c r="F53" s="31" t="inlineStr">
        <is>
          <t>FMCG - Personal Care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8</v>
      </c>
      <c r="K53" s="31" t="n">
        <v>7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PRIVISCL</t>
        </is>
      </c>
      <c r="E54" s="31" t="inlineStr">
        <is>
          <t>Privi Speciality Chemicals Ltd</t>
        </is>
      </c>
      <c r="F54" s="31" t="inlineStr">
        <is>
          <t>Speciality Chemicals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13</v>
      </c>
      <c r="K54" s="31" t="n">
        <v>17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SANSERA</t>
        </is>
      </c>
      <c r="E55" s="31" t="inlineStr">
        <is>
          <t>Sansera Engineering Ltd</t>
        </is>
      </c>
      <c r="F55" s="31" t="inlineStr">
        <is>
          <t>unknown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0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SENORES</t>
        </is>
      </c>
      <c r="E56" s="31" t="inlineStr">
        <is>
          <t>Senores Pharmaceuticals Ltd</t>
        </is>
      </c>
      <c r="F56" s="31" t="inlineStr">
        <is>
          <t>Pharma - API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23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ANANDRATHI</t>
        </is>
      </c>
      <c r="E57" s="31" t="inlineStr">
        <is>
          <t>Anand Rathi Wealth Ltd</t>
        </is>
      </c>
      <c r="F57" s="31" t="inlineStr">
        <is>
          <t>Finance - Capital Markets - Wealth Management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4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SHILPAMED</t>
        </is>
      </c>
      <c r="E58" s="31" t="inlineStr">
        <is>
          <t>Shilpa Medicare Limited</t>
        </is>
      </c>
      <c r="F58" s="31" t="inlineStr">
        <is>
          <t>Pharma - API &amp; CRAMS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16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ARVIND</t>
        </is>
      </c>
      <c r="E59" s="31" t="inlineStr">
        <is>
          <t>Arvind Limited</t>
        </is>
      </c>
      <c r="F59" s="31" t="inlineStr">
        <is>
          <t>Textiles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17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RATEGAIN</t>
        </is>
      </c>
      <c r="E60" s="31" t="inlineStr">
        <is>
          <t>Rategain Travel Technologies Ltd</t>
        </is>
      </c>
      <c r="F60" s="31" t="inlineStr">
        <is>
          <t>IT Product Companies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15</v>
      </c>
      <c r="K60" s="31" t="n">
        <v>30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SFL</t>
        </is>
      </c>
      <c r="E61" s="31" t="inlineStr">
        <is>
          <t>Sheela Foam Limited</t>
        </is>
      </c>
      <c r="F61" s="31" t="inlineStr">
        <is>
          <t>Mattress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16</v>
      </c>
      <c r="K61" s="31" t="n">
        <v>24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HAPPYFORGE</t>
        </is>
      </c>
      <c r="E62" s="31" t="inlineStr">
        <is>
          <t>Happy Forgings Ltd</t>
        </is>
      </c>
      <c r="F62" s="31" t="inlineStr">
        <is>
          <t>Castings, Forgings &amp; Fastners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15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ZYDUSWELL</t>
        </is>
      </c>
      <c r="E63" s="31" t="inlineStr">
        <is>
          <t>Zydus Wellness Limited</t>
        </is>
      </c>
      <c r="F63" s="31" t="inlineStr">
        <is>
          <t>FMCG - Personal Care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12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SKIPPER</t>
        </is>
      </c>
      <c r="E64" s="31" t="inlineStr">
        <is>
          <t>Skipper Limited</t>
        </is>
      </c>
      <c r="F64" s="31" t="inlineStr">
        <is>
          <t>Electrical Equipments/HVDC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16</v>
      </c>
      <c r="K64" s="31" t="n">
        <v>25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THELEELA</t>
        </is>
      </c>
      <c r="E65" s="31" t="inlineStr">
        <is>
          <t>Leela Palaces Hotels &amp; Resorts Ltd</t>
        </is>
      </c>
      <c r="F65" s="31" t="inlineStr">
        <is>
          <t>Hotels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16</v>
      </c>
      <c r="K65" s="31" t="n">
        <v>15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LAURUSLABS</t>
        </is>
      </c>
      <c r="E66" s="31" t="inlineStr">
        <is>
          <t>Laurus Labs Limited</t>
        </is>
      </c>
      <c r="F66" s="31" t="inlineStr">
        <is>
          <t>Pharma - API &amp; CRAMS</t>
        </is>
      </c>
      <c r="G66" s="31" t="n">
        <v>2</v>
      </c>
      <c r="H66" s="31" t="inlineStr">
        <is>
          <t>52W Breakout</t>
        </is>
      </c>
      <c r="I66" s="31" t="inlineStr">
        <is>
          <t>Yes</t>
        </is>
      </c>
      <c r="J66" s="31" t="n">
        <v>15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NUVAMA</t>
        </is>
      </c>
      <c r="E67" s="31" t="inlineStr">
        <is>
          <t>Nuvama Wealth Management Ltd</t>
        </is>
      </c>
      <c r="F67" s="31" t="inlineStr">
        <is>
          <t>Finance - Capital Markets - Wealth Management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11</v>
      </c>
      <c r="K67" s="31" t="n">
        <v>28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DIVGIITTS</t>
        </is>
      </c>
      <c r="E68" s="31" t="inlineStr">
        <is>
          <t>Divgi Torqtransfer Systems Ltd</t>
        </is>
      </c>
      <c r="F68" s="31" t="inlineStr">
        <is>
          <t>Auto Ancillaries - Transmission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19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ADANIPORTS</t>
        </is>
      </c>
      <c r="E69" s="31" t="inlineStr">
        <is>
          <t>Adani Ports And Special Economic Zone Limited</t>
        </is>
      </c>
      <c r="F69" s="31" t="inlineStr">
        <is>
          <t>Marine Port &amp; Services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8</v>
      </c>
      <c r="K69" s="31" t="n">
        <v>23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APOLLO</t>
        </is>
      </c>
      <c r="E70" s="31" t="inlineStr">
        <is>
          <t>Apollo Micro Systems Ltd</t>
        </is>
      </c>
      <c r="F70" s="31" t="inlineStr">
        <is>
          <t>Aerospace &amp; Defence - Equipments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24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BLSE</t>
        </is>
      </c>
      <c r="E71" s="31" t="inlineStr">
        <is>
          <t>BLS E-Services Ltd</t>
        </is>
      </c>
      <c r="F71" s="31" t="inlineStr">
        <is>
          <t>IT - Software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16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KMEW</t>
        </is>
      </c>
      <c r="E72" s="31" t="inlineStr">
        <is>
          <t>Knowledge Marine &amp; Engineering Works Ltd</t>
        </is>
      </c>
      <c r="F72" s="31" t="inlineStr">
        <is>
          <t>Shipping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23</v>
      </c>
      <c r="K72" s="31" t="n">
        <v>12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AURUM</t>
        </is>
      </c>
      <c r="E73" s="31" t="inlineStr">
        <is>
          <t>Aurum Proptech Ltd</t>
        </is>
      </c>
      <c r="F73" s="31" t="inlineStr">
        <is>
          <t>IT Enabled Services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19</v>
      </c>
      <c r="K73" s="31" t="n">
        <v>20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AETHER</t>
        </is>
      </c>
      <c r="E74" s="31" t="inlineStr">
        <is>
          <t>Aether Industries Ltd</t>
        </is>
      </c>
      <c r="F74" s="31" t="inlineStr">
        <is>
          <t>Speciality Chemicals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16</v>
      </c>
      <c r="K74" s="31" t="n">
        <v>13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GREAVESCOT</t>
        </is>
      </c>
      <c r="E75" s="31" t="inlineStr">
        <is>
          <t>Greaves Cotton Limited</t>
        </is>
      </c>
      <c r="F75" s="31" t="inlineStr">
        <is>
          <t>Engines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18</v>
      </c>
      <c r="K75" s="31" t="n">
        <v>10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HFCL</t>
        </is>
      </c>
      <c r="E76" s="31" t="inlineStr">
        <is>
          <t>HFCL Ltd</t>
        </is>
      </c>
      <c r="F76" s="31" t="inlineStr">
        <is>
          <t>Telecom Services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17</v>
      </c>
      <c r="K76" s="31" t="n">
        <v>29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AEROENTER</t>
        </is>
      </c>
      <c r="E77" s="31" t="inlineStr">
        <is>
          <t>Aeroflex Enterprises Ltd</t>
        </is>
      </c>
      <c r="F77" s="31" t="inlineStr">
        <is>
          <t>Miscellaneous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24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SKYGOLD</t>
        </is>
      </c>
      <c r="E78" s="31" t="inlineStr">
        <is>
          <t>Sky Gold Ltd</t>
        </is>
      </c>
      <c r="F78" s="31" t="inlineStr">
        <is>
          <t>Diamond, Gems &amp; Jewellery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22</v>
      </c>
      <c r="K78" s="31" t="n">
        <v>19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SCHNEIDER</t>
        </is>
      </c>
      <c r="E79" s="31" t="inlineStr">
        <is>
          <t>Schneider Electric Infrastructure Limited</t>
        </is>
      </c>
      <c r="F79" s="31" t="inlineStr">
        <is>
          <t>Capital Goods - Transformers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16</v>
      </c>
      <c r="K79" s="31" t="n">
        <v>16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IKS</t>
        </is>
      </c>
      <c r="E80" s="31" t="inlineStr">
        <is>
          <t>Inventurus Knowledge Solutions Ltd</t>
        </is>
      </c>
      <c r="F80" s="31" t="inlineStr">
        <is>
          <t>IT Enabled Services/Business Process Outsourcing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19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GMRAIRPORT</t>
        </is>
      </c>
      <c r="E81" s="31" t="inlineStr">
        <is>
          <t>GMR Airports Ltd</t>
        </is>
      </c>
      <c r="F81" s="31" t="inlineStr">
        <is>
          <t>Miscellaneous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16</v>
      </c>
      <c r="K81" s="31" t="n">
        <v>25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SIGMAADV</t>
        </is>
      </c>
      <c r="E82" s="31" t="inlineStr">
        <is>
          <t>Sigma Advanced System Ltd</t>
        </is>
      </c>
      <c r="F82" s="31" t="inlineStr">
        <is>
          <t>Aerospace &amp; Defence - Equipments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30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AEROFLEX</t>
        </is>
      </c>
      <c r="E83" s="31" t="inlineStr">
        <is>
          <t>Aeroflex Industries Ltd</t>
        </is>
      </c>
      <c r="F83" s="31" t="inlineStr">
        <is>
          <t>Stainless Steel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16</v>
      </c>
      <c r="K83" s="31" t="n">
        <v>29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RML</t>
        </is>
      </c>
      <c r="E84" s="31" t="inlineStr">
        <is>
          <t>Rane (madras) Limited</t>
        </is>
      </c>
      <c r="F84" s="31" t="inlineStr">
        <is>
          <t>Auto Ancillaries - Gears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21</v>
      </c>
      <c r="K84" s="31" t="n">
        <v>28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VIYASH</t>
        </is>
      </c>
      <c r="E85" s="31" t="inlineStr">
        <is>
          <t>Viyash Scientific Ltd</t>
        </is>
      </c>
      <c r="F85" s="31" t="inlineStr">
        <is>
          <t>Pharma - Animal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28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MACPOWER</t>
        </is>
      </c>
      <c r="E86" s="31" t="inlineStr">
        <is>
          <t>Macpower CNC Machines Ltd</t>
        </is>
      </c>
      <c r="F86" s="31" t="inlineStr">
        <is>
          <t>CNC - Machines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17</v>
      </c>
      <c r="K86" s="31" t="n">
        <v>10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KRISHANA</t>
        </is>
      </c>
      <c r="E87" s="31" t="inlineStr">
        <is>
          <t>Krishana Phoschem Ltd</t>
        </is>
      </c>
      <c r="F87" s="31" t="inlineStr">
        <is>
          <t>Fertilisers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18</v>
      </c>
      <c r="K87" s="31" t="n">
        <v>12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TRIVENI</t>
        </is>
      </c>
      <c r="E88" s="31" t="inlineStr">
        <is>
          <t>Triveni Engineering &amp; Industries Limited</t>
        </is>
      </c>
      <c r="F88" s="31" t="inlineStr">
        <is>
          <t>Sugar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16</v>
      </c>
      <c r="K88" s="31" t="n">
        <v>14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JNKINDIA</t>
        </is>
      </c>
      <c r="E89" s="31" t="inlineStr">
        <is>
          <t>JNK India Ltd</t>
        </is>
      </c>
      <c r="F89" s="31" t="inlineStr">
        <is>
          <t>Capital Goods - Engineering Heavy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28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APOLLOTYRE</t>
        </is>
      </c>
      <c r="E90" s="31" t="inlineStr">
        <is>
          <t>Apollo Tyres Limited</t>
        </is>
      </c>
      <c r="F90" s="31" t="inlineStr">
        <is>
          <t>Tyres &amp; Tubes</t>
        </is>
      </c>
      <c r="G90" s="31" t="n">
        <v>2</v>
      </c>
      <c r="H90" s="31" t="inlineStr">
        <is>
          <t>EMA Crossover</t>
        </is>
      </c>
      <c r="I90" s="31" t="inlineStr">
        <is>
          <t>Yes</t>
        </is>
      </c>
      <c r="J90" s="31" t="n">
        <v>5</v>
      </c>
      <c r="K90" s="31" t="n">
        <v>1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KOVAI</t>
        </is>
      </c>
      <c r="E91" s="31" t="inlineStr">
        <is>
          <t>Kovai Medical Center &amp; Hospital Ltd</t>
        </is>
      </c>
      <c r="F91" s="31" t="inlineStr">
        <is>
          <t>Hospitals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17</v>
      </c>
      <c r="K91" s="31" t="n">
        <v>27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ACMESOLAR</t>
        </is>
      </c>
      <c r="E92" s="31" t="inlineStr">
        <is>
          <t>ACME Solar Holdings Ltd</t>
        </is>
      </c>
      <c r="F92" s="31" t="inlineStr">
        <is>
          <t>Engineering - Turnkey Services</t>
        </is>
      </c>
      <c r="G92" s="31" t="n">
        <v>2</v>
      </c>
      <c r="H92" s="31" t="inlineStr">
        <is>
          <t>52W Breakout</t>
        </is>
      </c>
      <c r="I92" s="31" t="inlineStr">
        <is>
          <t>Yes</t>
        </is>
      </c>
      <c r="J92" s="31" t="n">
        <v>13</v>
      </c>
      <c r="K92" s="31" t="n">
        <v>30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TVSSCS</t>
        </is>
      </c>
      <c r="E93" s="31" t="inlineStr">
        <is>
          <t>TVS Supply Chain Solutions Ltd</t>
        </is>
      </c>
      <c r="F93" s="31" t="inlineStr">
        <is>
          <t>Logistics - Warehousing/Supply Chain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16</v>
      </c>
      <c r="K93" s="31" t="n">
        <v>23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GALAPREC</t>
        </is>
      </c>
      <c r="E94" s="31" t="inlineStr">
        <is>
          <t>Gala Precision Engineering Ltd</t>
        </is>
      </c>
      <c r="F94" s="31" t="inlineStr">
        <is>
          <t>Castings, Forgings &amp; Fastners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20</v>
      </c>
      <c r="K94" s="31" t="n">
        <v>28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CANTABIL</t>
        </is>
      </c>
      <c r="E95" s="31" t="inlineStr">
        <is>
          <t>Cantabil Retail India Limited</t>
        </is>
      </c>
      <c r="F95" s="31" t="inlineStr">
        <is>
          <t>Textiles - Readymade Apparel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16</v>
      </c>
      <c r="K95" s="31" t="n">
        <v>1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AUTOAXLES</t>
        </is>
      </c>
      <c r="E96" s="31" t="inlineStr">
        <is>
          <t>Automotive Axles Limited</t>
        </is>
      </c>
      <c r="F96" s="31" t="inlineStr">
        <is>
          <t>Auto &amp; Auto Ancl - CV</t>
        </is>
      </c>
      <c r="G96" s="31" t="n">
        <v>2</v>
      </c>
      <c r="H96" s="31" t="inlineStr">
        <is>
          <t>EMA Crossover</t>
        </is>
      </c>
      <c r="I96" s="31" t="inlineStr">
        <is>
          <t>Yes</t>
        </is>
      </c>
      <c r="J96" s="31" t="n">
        <v>5</v>
      </c>
      <c r="K96" s="31" t="n">
        <v>4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KAPSTON</t>
        </is>
      </c>
      <c r="E97" s="31" t="inlineStr">
        <is>
          <t>Kapston Services Ltd</t>
        </is>
      </c>
      <c r="F97" s="31" t="inlineStr">
        <is>
          <t>Services - Others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17</v>
      </c>
      <c r="K97" s="31" t="n">
        <v>20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SHREECEM</t>
        </is>
      </c>
      <c r="E98" s="31" t="inlineStr">
        <is>
          <t>Shree Cements Limited</t>
        </is>
      </c>
      <c r="F98" s="31" t="inlineStr">
        <is>
          <t>Cement</t>
        </is>
      </c>
      <c r="G98" s="31" t="n">
        <v>2</v>
      </c>
      <c r="H98" s="31" t="inlineStr">
        <is>
          <t>EMA Crossover</t>
        </is>
      </c>
      <c r="I98" s="31" t="inlineStr">
        <is>
          <t>Yes</t>
        </is>
      </c>
      <c r="J98" s="31" t="n">
        <v>4</v>
      </c>
      <c r="K98" s="31" t="n">
        <v>1</v>
      </c>
    </row>
  </sheetData>
  <autoFilter ref="A1:K98"/>
  <conditionalFormatting sqref="G2:G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0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IF(B2=0,"",RANK(B2,$B$2:$B$407,0))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OMAXAUTO</t>
        </is>
      </c>
      <c r="D2" s="31" t="inlineStr">
        <is>
          <t>Omax Autos Limited</t>
        </is>
      </c>
      <c r="E2" s="31" t="inlineStr">
        <is>
          <t>auto</t>
        </is>
      </c>
      <c r="F2" s="31" t="inlineStr">
        <is>
          <t>auto ancillaries</t>
        </is>
      </c>
      <c r="G2" s="31" t="inlineStr">
        <is>
          <t>smallcap</t>
        </is>
      </c>
      <c r="H2" s="32" t="n">
        <v>500.57</v>
      </c>
      <c r="I2" s="32" t="n">
        <v>236.99</v>
      </c>
      <c r="J2" s="32" t="n">
        <v>1.26</v>
      </c>
      <c r="K2" s="32" t="n">
        <v>101775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70.75</v>
      </c>
      <c r="P2" s="32" t="n">
        <v>50.21</v>
      </c>
      <c r="Q2" s="32" t="n">
        <v>177.49</v>
      </c>
      <c r="R2" s="31" t="inlineStr">
        <is>
          <t>Near 52W High Breakout</t>
        </is>
      </c>
      <c r="S2" s="31" t="inlineStr">
        <is>
          <t>Nifty Auto</t>
        </is>
      </c>
      <c r="T2" s="32" t="n">
        <v>13.04</v>
      </c>
      <c r="U2" s="32" t="n">
        <v>167.53</v>
      </c>
      <c r="V2" s="32" t="n">
        <v>136.66</v>
      </c>
      <c r="W2" s="32" t="n">
        <v>60.68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IF(B3=0,"",RANK(B3,$B$2:$B$407,0))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personal care - indian</t>
        </is>
      </c>
      <c r="G3" s="31" t="inlineStr">
        <is>
          <t>midcap</t>
        </is>
      </c>
      <c r="H3" s="32" t="n">
        <v>8027.15</v>
      </c>
      <c r="I3" s="32" t="n">
        <v>611.95</v>
      </c>
      <c r="J3" s="32" t="n">
        <v>-0.42</v>
      </c>
      <c r="K3" s="32" t="n">
        <v>513641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72.09</v>
      </c>
      <c r="P3" s="32" t="n">
        <v>61.09</v>
      </c>
      <c r="Q3" s="32" t="n">
        <v>485.78</v>
      </c>
      <c r="R3" s="31" t="inlineStr">
        <is>
          <t>Near 52W High Breakout</t>
        </is>
      </c>
      <c r="S3" s="31" t="inlineStr">
        <is>
          <t>Nifty FMCG</t>
        </is>
      </c>
      <c r="T3" s="32" t="n">
        <v>-8.5</v>
      </c>
      <c r="U3" s="32" t="n">
        <v>177.06</v>
      </c>
      <c r="V3" s="32" t="n">
        <v>202.79</v>
      </c>
      <c r="W3" s="32" t="n">
        <v>38.89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IF(B4=0,"",RANK(B4,$B$2:$B$407,0))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IOLCP</t>
        </is>
      </c>
      <c r="D4" s="31" t="inlineStr">
        <is>
          <t>Iol Chemicals And Pharmaceuticals Limited</t>
        </is>
      </c>
      <c r="E4" s="31" t="inlineStr">
        <is>
          <t>healthcare</t>
        </is>
      </c>
      <c r="F4" s="31" t="inlineStr">
        <is>
          <t>pharmaceuticals - indian - bulk drugs &amp; formln</t>
        </is>
      </c>
      <c r="G4" s="31" t="inlineStr">
        <is>
          <t>smallcap</t>
        </is>
      </c>
      <c r="H4" s="32" t="n">
        <v>4321.02</v>
      </c>
      <c r="I4" s="32" t="n">
        <v>150.31</v>
      </c>
      <c r="J4" s="32" t="n">
        <v>2.11</v>
      </c>
      <c r="K4" s="32" t="n">
        <v>4077186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82.38</v>
      </c>
      <c r="P4" s="32" t="n">
        <v>52.87</v>
      </c>
      <c r="Q4" s="32" t="n">
        <v>115.01</v>
      </c>
      <c r="R4" s="31" t="inlineStr">
        <is>
          <t>Near 52W High Breakout</t>
        </is>
      </c>
      <c r="S4" s="31" t="inlineStr">
        <is>
          <t>Nifty Pharma</t>
        </is>
      </c>
      <c r="T4" s="32" t="n">
        <v>13.06</v>
      </c>
      <c r="U4" s="32" t="n">
        <v>62.69</v>
      </c>
      <c r="V4" s="32" t="n">
        <v>43.9</v>
      </c>
      <c r="W4" s="32" t="n">
        <v>34.91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IF(B5=0,"",RANK(B5,$B$2:$B$407,0))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INDOBORAX</t>
        </is>
      </c>
      <c r="D5" s="31" t="inlineStr">
        <is>
          <t>Indo Borax &amp; Chemicals Ltd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smallcap</t>
        </is>
      </c>
      <c r="H5" s="32" t="n">
        <v>1208.19</v>
      </c>
      <c r="I5" s="32" t="n">
        <v>391.6</v>
      </c>
      <c r="J5" s="32" t="n">
        <v>4.01</v>
      </c>
      <c r="K5" s="32" t="n">
        <v>76550</v>
      </c>
      <c r="L5" s="31" t="n">
        <v>82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81.12</v>
      </c>
      <c r="P5" s="32" t="n">
        <v>59.89</v>
      </c>
      <c r="Q5" s="32" t="n">
        <v>303.89</v>
      </c>
      <c r="R5" s="31" t="inlineStr">
        <is>
          <t>Near 52W High Breakout</t>
        </is>
      </c>
      <c r="S5" s="31" t="inlineStr">
        <is>
          <t>Nifty 50</t>
        </is>
      </c>
      <c r="T5" s="32" t="n">
        <v>-5.05</v>
      </c>
      <c r="U5" s="32" t="n">
        <v>78.56</v>
      </c>
      <c r="V5" s="32" t="n">
        <v>88.05</v>
      </c>
      <c r="W5" s="32" t="n">
        <v>26.27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IF(B6=0,"",RANK(B6,$B$2:$B$407,0))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STYLAMIND</t>
        </is>
      </c>
      <c r="D6" s="31" t="inlineStr">
        <is>
          <t>Stylam Industries Ltd</t>
        </is>
      </c>
      <c r="E6" s="31" t="inlineStr">
        <is>
          <t>building materials</t>
        </is>
      </c>
      <c r="F6" s="31" t="inlineStr">
        <is>
          <t>miscellaneous</t>
        </is>
      </c>
      <c r="G6" s="31" t="inlineStr">
        <is>
          <t>midcap</t>
        </is>
      </c>
      <c r="H6" s="32" t="n">
        <v>5438.97</v>
      </c>
      <c r="I6" s="32" t="n">
        <v>3266.8</v>
      </c>
      <c r="J6" s="32" t="n">
        <v>1.79</v>
      </c>
      <c r="K6" s="32" t="n">
        <v>12371</v>
      </c>
      <c r="L6" s="31" t="n">
        <v>82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86.09999999999999</v>
      </c>
      <c r="P6" s="32" t="n">
        <v>64.47</v>
      </c>
      <c r="Q6" s="32" t="n">
        <v>2822.47</v>
      </c>
      <c r="R6" s="31" t="inlineStr">
        <is>
          <t>Near 52W High Breakout</t>
        </is>
      </c>
      <c r="S6" s="31" t="inlineStr">
        <is>
          <t>Nifty Infra</t>
        </is>
      </c>
      <c r="T6" s="32" t="n">
        <v>0.23</v>
      </c>
      <c r="U6" s="32" t="n">
        <v>101.75</v>
      </c>
      <c r="V6" s="32" t="n">
        <v>101.29</v>
      </c>
      <c r="W6" s="32" t="n">
        <v>26.68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IF(B7=0,"",RANK(B7,$B$2:$B$407,0))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RACLGEAR</t>
        </is>
      </c>
      <c r="D7" s="31" t="inlineStr">
        <is>
          <t>RACL Geartech Ltd</t>
        </is>
      </c>
      <c r="E7" s="31" t="inlineStr">
        <is>
          <t>auto</t>
        </is>
      </c>
      <c r="F7" s="31" t="inlineStr">
        <is>
          <t>auto ancillaries</t>
        </is>
      </c>
      <c r="G7" s="31" t="inlineStr">
        <is>
          <t>smallcap</t>
        </is>
      </c>
      <c r="H7" s="32" t="n">
        <v>1619.09</v>
      </c>
      <c r="I7" s="32" t="n">
        <v>1380</v>
      </c>
      <c r="J7" s="32" t="n">
        <v>0.47</v>
      </c>
      <c r="K7" s="32" t="n">
        <v>11833</v>
      </c>
      <c r="L7" s="31" t="n">
        <v>38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57.14</v>
      </c>
      <c r="P7" s="32" t="n">
        <v>50.15</v>
      </c>
      <c r="Q7" s="32" t="n">
        <v>950.9</v>
      </c>
      <c r="R7" s="31" t="inlineStr">
        <is>
          <t>Volume Spike / Accumulation</t>
        </is>
      </c>
      <c r="S7" s="31" t="inlineStr">
        <is>
          <t>Nifty Auto</t>
        </is>
      </c>
      <c r="T7" s="32" t="n">
        <v>13.04</v>
      </c>
      <c r="U7" s="32" t="n">
        <v>48.73</v>
      </c>
      <c r="V7" s="32" t="n">
        <v>31.57</v>
      </c>
      <c r="W7" s="32" t="n">
        <v>10.49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IF(B8=0,"",RANK(B8,$B$2:$B$407,0))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RPTECH</t>
        </is>
      </c>
      <c r="D8" s="31" t="inlineStr">
        <is>
          <t>Rashi Peripherals Ltd</t>
        </is>
      </c>
      <c r="E8" s="31" t="inlineStr">
        <is>
          <t>services</t>
        </is>
      </c>
      <c r="F8" s="31" t="inlineStr">
        <is>
          <t>trading</t>
        </is>
      </c>
      <c r="G8" s="31" t="inlineStr">
        <is>
          <t>midcap</t>
        </is>
      </c>
      <c r="H8" s="32" t="n">
        <v>5192.56</v>
      </c>
      <c r="I8" s="32" t="n">
        <v>789.45</v>
      </c>
      <c r="J8" s="32" t="n">
        <v>0.19</v>
      </c>
      <c r="K8" s="32" t="n">
        <v>815245</v>
      </c>
      <c r="L8" s="31" t="n">
        <v>95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89.70999999999999</v>
      </c>
      <c r="P8" s="32" t="n">
        <v>63.85</v>
      </c>
      <c r="Q8" s="32" t="n">
        <v>620.8200000000001</v>
      </c>
      <c r="R8" s="31" t="inlineStr">
        <is>
          <t>Near 52W High Breakout</t>
        </is>
      </c>
      <c r="S8" s="31" t="inlineStr">
        <is>
          <t>Nifty 50</t>
        </is>
      </c>
      <c r="T8" s="32" t="n">
        <v>-5.05</v>
      </c>
      <c r="U8" s="32" t="n">
        <v>170.8</v>
      </c>
      <c r="V8" s="32" t="n">
        <v>185.2</v>
      </c>
      <c r="W8" s="32" t="n">
        <v>51.96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Less than 50%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IF(B9=0,"",RANK(B9,$B$2:$B$407,0))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GRANULES</t>
        </is>
      </c>
      <c r="D9" s="31" t="inlineStr">
        <is>
          <t>Granules India Limited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largecap</t>
        </is>
      </c>
      <c r="H9" s="32" t="n">
        <v>20106.24</v>
      </c>
      <c r="I9" s="32" t="n">
        <v>825.7</v>
      </c>
      <c r="J9" s="32" t="n">
        <v>1.76</v>
      </c>
      <c r="K9" s="32" t="n">
        <v>1310179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73.7</v>
      </c>
      <c r="P9" s="32" t="n">
        <v>40.89</v>
      </c>
      <c r="Q9" s="32" t="n">
        <v>687.99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13.06</v>
      </c>
      <c r="U9" s="32" t="n">
        <v>68.13</v>
      </c>
      <c r="V9" s="32" t="n">
        <v>48.71</v>
      </c>
      <c r="W9" s="32" t="n">
        <v>18.55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IF(B10=0,"",RANK(B10,$B$2:$B$407,0))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EMCURE</t>
        </is>
      </c>
      <c r="D10" s="31" t="inlineStr">
        <is>
          <t>Emcure Pharmaceuticals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largecap</t>
        </is>
      </c>
      <c r="H10" s="32" t="n">
        <v>34711.95</v>
      </c>
      <c r="I10" s="32" t="n">
        <v>1856.5</v>
      </c>
      <c r="J10" s="32" t="n">
        <v>1.4</v>
      </c>
      <c r="K10" s="32" t="n">
        <v>183643</v>
      </c>
      <c r="L10" s="31" t="n">
        <v>48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68.47</v>
      </c>
      <c r="P10" s="32" t="n">
        <v>52.67</v>
      </c>
      <c r="Q10" s="32" t="n">
        <v>1486.19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13.06</v>
      </c>
      <c r="U10" s="32" t="n">
        <v>48.55</v>
      </c>
      <c r="V10" s="32" t="n">
        <v>31.39</v>
      </c>
      <c r="W10" s="32" t="n">
        <v>12.42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IF(B11=0,"",RANK(B11,$B$2:$B$407,0))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40615.75</v>
      </c>
      <c r="I11" s="32" t="n">
        <v>2480</v>
      </c>
      <c r="J11" s="32" t="n">
        <v>0.6</v>
      </c>
      <c r="K11" s="32" t="n">
        <v>459425</v>
      </c>
      <c r="L11" s="31" t="n">
        <v>61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71.72</v>
      </c>
      <c r="P11" s="32" t="n">
        <v>40.62</v>
      </c>
      <c r="Q11" s="32" t="n">
        <v>1963.99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13.06</v>
      </c>
      <c r="U11" s="32" t="n">
        <v>31.84</v>
      </c>
      <c r="V11" s="32" t="n">
        <v>16.61</v>
      </c>
      <c r="W11" s="32" t="n">
        <v>16.25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IF(B12=0,"",RANK(B12,$B$2:$B$407,0))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RADICO</t>
        </is>
      </c>
      <c r="D12" s="31" t="inlineStr">
        <is>
          <t>Radico Khaitan Limited</t>
        </is>
      </c>
      <c r="E12" s="31" t="inlineStr">
        <is>
          <t>fmcg</t>
        </is>
      </c>
      <c r="F12" s="31" t="inlineStr">
        <is>
          <t>breweries &amp; distilleries</t>
        </is>
      </c>
      <c r="G12" s="31" t="inlineStr">
        <is>
          <t>largecap</t>
        </is>
      </c>
      <c r="H12" s="32" t="n">
        <v>52924.5</v>
      </c>
      <c r="I12" s="32" t="n">
        <v>3972.4</v>
      </c>
      <c r="J12" s="32" t="n">
        <v>0.5</v>
      </c>
      <c r="K12" s="32" t="n">
        <v>310385</v>
      </c>
      <c r="L12" s="31" t="n">
        <v>73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77.77</v>
      </c>
      <c r="P12" s="32" t="n">
        <v>43.38</v>
      </c>
      <c r="Q12" s="32" t="n">
        <v>3330.7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-8.5</v>
      </c>
      <c r="U12" s="32" t="n">
        <v>51.21</v>
      </c>
      <c r="V12" s="32" t="n">
        <v>65.25</v>
      </c>
      <c r="W12" s="32" t="n">
        <v>20.97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IF(B13=0,"",RANK(B13,$B$2:$B$407,0))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GNA</t>
        </is>
      </c>
      <c r="D13" s="31" t="inlineStr">
        <is>
          <t>Gna Axles Limited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smallcap</t>
        </is>
      </c>
      <c r="H13" s="32" t="n">
        <v>1902.48</v>
      </c>
      <c r="I13" s="32" t="n">
        <v>469.7</v>
      </c>
      <c r="J13" s="32" t="n">
        <v>5.99</v>
      </c>
      <c r="K13" s="32" t="n">
        <v>686308</v>
      </c>
      <c r="L13" s="31" t="n">
        <v>53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66.81</v>
      </c>
      <c r="P13" s="32" t="n">
        <v>20.38</v>
      </c>
      <c r="Q13" s="32" t="n">
        <v>348.21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13.04</v>
      </c>
      <c r="U13" s="32" t="n">
        <v>45.81</v>
      </c>
      <c r="V13" s="32" t="n">
        <v>28.98</v>
      </c>
      <c r="W13" s="32" t="n">
        <v>13.93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IF(B14=0,"",RANK(B14,$B$2:$B$407,0))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MAYURUNIQ</t>
        </is>
      </c>
      <c r="D14" s="31" t="inlineStr">
        <is>
          <t>Mayur Uniquoters Ltd</t>
        </is>
      </c>
      <c r="E14" s="31" t="inlineStr">
        <is>
          <t>consumer discretionary</t>
        </is>
      </c>
      <c r="F14" s="31" t="inlineStr">
        <is>
          <t>leather / leather products</t>
        </is>
      </c>
      <c r="G14" s="31" t="inlineStr">
        <is>
          <t>smallcap</t>
        </is>
      </c>
      <c r="H14" s="32" t="n">
        <v>3699.99</v>
      </c>
      <c r="I14" s="32" t="n">
        <v>882.65</v>
      </c>
      <c r="J14" s="32" t="n">
        <v>3.66</v>
      </c>
      <c r="K14" s="32" t="n">
        <v>198073</v>
      </c>
      <c r="L14" s="31" t="n">
        <v>81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77.78</v>
      </c>
      <c r="P14" s="32" t="n">
        <v>49.82</v>
      </c>
      <c r="Q14" s="32" t="n">
        <v>695.1799999999999</v>
      </c>
      <c r="R14" s="31" t="inlineStr">
        <is>
          <t>Near 52W High Breakout</t>
        </is>
      </c>
      <c r="S14" s="31" t="inlineStr">
        <is>
          <t>Nifty 50</t>
        </is>
      </c>
      <c r="T14" s="32" t="n">
        <v>-5.05</v>
      </c>
      <c r="U14" s="32" t="n">
        <v>55.94</v>
      </c>
      <c r="V14" s="32" t="n">
        <v>64.23</v>
      </c>
      <c r="W14" s="32" t="n">
        <v>25.58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IF(B15=0,"",RANK(B15,$B$2:$B$407,0))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ATHERENERG</t>
        </is>
      </c>
      <c r="D15" s="31" t="inlineStr">
        <is>
          <t>Ather Energy Ltd</t>
        </is>
      </c>
      <c r="E15" s="31" t="inlineStr">
        <is>
          <t>auto</t>
        </is>
      </c>
      <c r="F15" s="31" t="inlineStr">
        <is>
          <t>automobiles - scooters and 3 - wheelers</t>
        </is>
      </c>
      <c r="G15" s="31" t="inlineStr">
        <is>
          <t>largecap</t>
        </is>
      </c>
      <c r="H15" s="32" t="n">
        <v>43257.37</v>
      </c>
      <c r="I15" s="32" t="n">
        <v>1143</v>
      </c>
      <c r="J15" s="32" t="n">
        <v>1.11</v>
      </c>
      <c r="K15" s="32" t="n">
        <v>2405066</v>
      </c>
      <c r="L15" s="31" t="n">
        <v>92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74.55</v>
      </c>
      <c r="P15" s="32" t="n">
        <v>51.19</v>
      </c>
      <c r="Q15" s="32" t="n">
        <v>872.84</v>
      </c>
      <c r="R15" s="31" t="inlineStr">
        <is>
          <t>Near 52W High Breakout</t>
        </is>
      </c>
      <c r="S15" s="31" t="inlineStr">
        <is>
          <t>Nifty Auto</t>
        </is>
      </c>
      <c r="T15" s="32" t="n">
        <v>13.04</v>
      </c>
      <c r="U15" s="32" t="n">
        <v>248.21</v>
      </c>
      <c r="V15" s="32" t="n">
        <v>208.03</v>
      </c>
      <c r="W15" s="32" t="n">
        <v>41.69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Negative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IF(B16=0,"",RANK(B16,$B$2:$B$407,0))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KPIL</t>
        </is>
      </c>
      <c r="D16" s="31" t="inlineStr">
        <is>
          <t>Kalpataru Projects International Ltd</t>
        </is>
      </c>
      <c r="E16" s="31" t="inlineStr">
        <is>
          <t>realty</t>
        </is>
      </c>
      <c r="F16" s="31" t="inlineStr">
        <is>
          <t>transmisson line towers / equipment</t>
        </is>
      </c>
      <c r="G16" s="31" t="inlineStr">
        <is>
          <t>largecap</t>
        </is>
      </c>
      <c r="H16" s="32" t="n">
        <v>23151.63</v>
      </c>
      <c r="I16" s="32" t="n">
        <v>1370.2</v>
      </c>
      <c r="J16" s="32" t="n">
        <v>1.07</v>
      </c>
      <c r="K16" s="32" t="n">
        <v>240426</v>
      </c>
      <c r="L16" s="31" t="n">
        <v>31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66.18000000000001</v>
      </c>
      <c r="P16" s="32" t="n">
        <v>27.06</v>
      </c>
      <c r="Q16" s="32" t="n">
        <v>1133.09</v>
      </c>
      <c r="R16" s="31" t="inlineStr">
        <is>
          <t>Near 52W High Breakout</t>
        </is>
      </c>
      <c r="S16" s="31" t="inlineStr">
        <is>
          <t>Nifty Realty</t>
        </is>
      </c>
      <c r="T16" s="32" t="n">
        <v>-10.31</v>
      </c>
      <c r="U16" s="32" t="n">
        <v>15.78</v>
      </c>
      <c r="V16" s="32" t="n">
        <v>29.1</v>
      </c>
      <c r="W16" s="32" t="n">
        <v>8.539999999999999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IF(B17=0,"",RANK(B17,$B$2:$B$407,0))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IBULLSLTD</t>
        </is>
      </c>
      <c r="D17" s="31" t="inlineStr">
        <is>
          <t>Indiabulls Limited</t>
        </is>
      </c>
      <c r="E17" s="31" t="inlineStr">
        <is>
          <t>miscellaneous</t>
        </is>
      </c>
      <c r="F17" s="31" t="inlineStr">
        <is>
          <t>diversified - medium / small</t>
        </is>
      </c>
      <c r="G17" s="31" t="inlineStr">
        <is>
          <t>midcap</t>
        </is>
      </c>
      <c r="H17" s="32" t="n">
        <v>6445.51</v>
      </c>
      <c r="I17" s="32" t="n">
        <v>27.93</v>
      </c>
      <c r="J17" s="32" t="n">
        <v>0.72</v>
      </c>
      <c r="K17" s="32" t="n">
        <v>3854863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76.44</v>
      </c>
      <c r="P17" s="32" t="n">
        <v>38.76</v>
      </c>
      <c r="Q17" s="32" t="n">
        <v>20.25</v>
      </c>
      <c r="R17" s="31" t="inlineStr">
        <is>
          <t>Near 52W High Breakout</t>
        </is>
      </c>
      <c r="S17" s="31" t="inlineStr">
        <is>
          <t>Nifty 50</t>
        </is>
      </c>
      <c r="T17" s="32" t="n">
        <v>-5.05</v>
      </c>
      <c r="U17" s="32" t="n">
        <v>65.66</v>
      </c>
      <c r="V17" s="32" t="n">
        <v>74.47</v>
      </c>
      <c r="W17" s="32" t="n">
        <v>58.51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IF(B18=0,"",RANK(B18,$B$2:$B$407,0))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PTL</t>
        </is>
      </c>
      <c r="D18" s="31" t="inlineStr">
        <is>
          <t>Ptl Enterprises Limited</t>
        </is>
      </c>
      <c r="E18" s="31" t="inlineStr">
        <is>
          <t>miscellaneous</t>
        </is>
      </c>
      <c r="F18" s="31" t="inlineStr">
        <is>
          <t>miscellaneous</t>
        </is>
      </c>
      <c r="G18" s="31" t="inlineStr">
        <is>
          <t>smallcap</t>
        </is>
      </c>
      <c r="H18" s="32" t="n">
        <v>560.62</v>
      </c>
      <c r="I18" s="32" t="n">
        <v>42.34</v>
      </c>
      <c r="J18" s="32" t="n">
        <v>-0.02</v>
      </c>
      <c r="K18" s="32" t="n">
        <v>60662</v>
      </c>
      <c r="L18" s="31" t="n">
        <v>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65.04000000000001</v>
      </c>
      <c r="P18" s="32" t="n">
        <v>20.84</v>
      </c>
      <c r="Q18" s="32" t="n">
        <v>36.66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-5.05</v>
      </c>
      <c r="U18" s="32" t="n">
        <v>0.31</v>
      </c>
      <c r="V18" s="32" t="n">
        <v>5.65</v>
      </c>
      <c r="W18" s="32" t="n">
        <v>3.05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IF(B19=0,"",RANK(B19,$B$2:$B$407,0))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PREMIERPOL</t>
        </is>
      </c>
      <c r="D19" s="31" t="inlineStr">
        <is>
          <t>Premier Polyfilm Limited</t>
        </is>
      </c>
      <c r="E19" s="31" t="inlineStr">
        <is>
          <t>plastic products</t>
        </is>
      </c>
      <c r="F19" s="31" t="inlineStr">
        <is>
          <t>plastics products</t>
        </is>
      </c>
      <c r="G19" s="31" t="inlineStr">
        <is>
          <t>smallcap</t>
        </is>
      </c>
      <c r="H19" s="32" t="n">
        <v>723.77</v>
      </c>
      <c r="I19" s="32" t="n">
        <v>68.40000000000001</v>
      </c>
      <c r="J19" s="32" t="n">
        <v>-1.01</v>
      </c>
      <c r="K19" s="32" t="n">
        <v>121605</v>
      </c>
      <c r="L19" s="31" t="n">
        <v>34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66.26000000000001</v>
      </c>
      <c r="P19" s="32" t="n">
        <v>44.7</v>
      </c>
      <c r="Q19" s="32" t="n">
        <v>47.8</v>
      </c>
      <c r="R19" s="31" t="inlineStr">
        <is>
          <t>Near 52W High Breakout</t>
        </is>
      </c>
      <c r="S19" s="31" t="inlineStr">
        <is>
          <t>Nifty 50</t>
        </is>
      </c>
      <c r="T19" s="32" t="n">
        <v>-5.05</v>
      </c>
      <c r="U19" s="32" t="n">
        <v>31.32</v>
      </c>
      <c r="V19" s="32" t="n">
        <v>38.3</v>
      </c>
      <c r="W19" s="32" t="n">
        <v>9.35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IF(B20=0,"",RANK(B20,$B$2:$B$407,0))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SAKAR</t>
        </is>
      </c>
      <c r="D20" s="31" t="inlineStr">
        <is>
          <t>Sakar Healthcare Ltd</t>
        </is>
      </c>
      <c r="E20" s="31" t="inlineStr">
        <is>
          <t>healthcare</t>
        </is>
      </c>
      <c r="F20" s="31" t="inlineStr">
        <is>
          <t>pharmaceuticals - indian - bulk drugs &amp; formln</t>
        </is>
      </c>
      <c r="G20" s="31" t="inlineStr">
        <is>
          <t>smallcap</t>
        </is>
      </c>
      <c r="H20" s="32" t="n">
        <v>1807.25</v>
      </c>
      <c r="I20" s="32" t="n">
        <v>834.2</v>
      </c>
      <c r="J20" s="32" t="n">
        <v>2.7</v>
      </c>
      <c r="K20" s="32" t="n">
        <v>111017</v>
      </c>
      <c r="L20" s="31" t="n">
        <v>89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75.12</v>
      </c>
      <c r="P20" s="32" t="n">
        <v>54.73</v>
      </c>
      <c r="Q20" s="32" t="n">
        <v>592.51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13.06</v>
      </c>
      <c r="U20" s="32" t="n">
        <v>139.71</v>
      </c>
      <c r="V20" s="32" t="n">
        <v>112.02</v>
      </c>
      <c r="W20" s="32" t="n">
        <v>33.37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IF(B21=0,"",RANK(B21,$B$2:$B$407,0))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SCPL</t>
        </is>
      </c>
      <c r="D21" s="31" t="inlineStr">
        <is>
          <t>Sheetal Cool Products Ltd</t>
        </is>
      </c>
      <c r="E21" s="31" t="inlineStr">
        <is>
          <t>fmcg</t>
        </is>
      </c>
      <c r="F21" s="31" t="inlineStr">
        <is>
          <t>food - processing - indian</t>
        </is>
      </c>
      <c r="G21" s="31" t="inlineStr">
        <is>
          <t>smallcap</t>
        </is>
      </c>
      <c r="H21" s="32" t="n">
        <v>566</v>
      </c>
      <c r="I21" s="32" t="n">
        <v>553</v>
      </c>
      <c r="J21" s="32" t="n">
        <v>2.59</v>
      </c>
      <c r="K21" s="32" t="n">
        <v>110266</v>
      </c>
      <c r="L21" s="31" t="n">
        <v>87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77.72</v>
      </c>
      <c r="P21" s="32" t="n">
        <v>38.71</v>
      </c>
      <c r="Q21" s="32" t="n">
        <v>407.54</v>
      </c>
      <c r="R21" s="31" t="inlineStr">
        <is>
          <t>Volume Spike &amp; Near 52W High Breakout</t>
        </is>
      </c>
      <c r="S21" s="31" t="inlineStr">
        <is>
          <t>Nifty FMCG</t>
        </is>
      </c>
      <c r="T21" s="32" t="n">
        <v>-8.5</v>
      </c>
      <c r="U21" s="32" t="n">
        <v>79.65000000000001</v>
      </c>
      <c r="V21" s="32" t="n">
        <v>96.33</v>
      </c>
      <c r="W21" s="32" t="n">
        <v>30.81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IF(B22=0,"",RANK(B22,$B$2:$B$407,0))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SMSPHARMA</t>
        </is>
      </c>
      <c r="D22" s="31" t="inlineStr">
        <is>
          <t>Sms Pharmaceuticals Limited</t>
        </is>
      </c>
      <c r="E22" s="31" t="inlineStr">
        <is>
          <t>healthcare</t>
        </is>
      </c>
      <c r="F22" s="31" t="inlineStr">
        <is>
          <t>pharmaceuticals - indian - bulk drugs</t>
        </is>
      </c>
      <c r="G22" s="31" t="inlineStr">
        <is>
          <t>smallcap</t>
        </is>
      </c>
      <c r="H22" s="32" t="n">
        <v>3829.9</v>
      </c>
      <c r="I22" s="32" t="n">
        <v>417.65</v>
      </c>
      <c r="J22" s="32" t="n">
        <v>2.13</v>
      </c>
      <c r="K22" s="32" t="n">
        <v>370111</v>
      </c>
      <c r="L22" s="31" t="n">
        <v>50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63.35</v>
      </c>
      <c r="P22" s="32" t="n">
        <v>47.61</v>
      </c>
      <c r="Q22" s="32" t="n">
        <v>318.61</v>
      </c>
      <c r="R22" s="31" t="inlineStr">
        <is>
          <t>Volume Spike &amp; Near 52W High Breakout</t>
        </is>
      </c>
      <c r="S22" s="31" t="inlineStr">
        <is>
          <t>Nifty Pharma</t>
        </is>
      </c>
      <c r="T22" s="32" t="n">
        <v>13.06</v>
      </c>
      <c r="U22" s="32" t="n">
        <v>71.79000000000001</v>
      </c>
      <c r="V22" s="32" t="n">
        <v>51.94</v>
      </c>
      <c r="W22" s="32" t="n">
        <v>13.22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IF(B23=0,"",RANK(B23,$B$2:$B$407,0))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ASTERDM</t>
        </is>
      </c>
      <c r="D23" s="31" t="inlineStr">
        <is>
          <t>Aster DM Healthcare Ltd</t>
        </is>
      </c>
      <c r="E23" s="31" t="inlineStr">
        <is>
          <t>healthcare</t>
        </is>
      </c>
      <c r="F23" s="31" t="inlineStr">
        <is>
          <t>healthcare</t>
        </is>
      </c>
      <c r="G23" s="31" t="inlineStr">
        <is>
          <t>largecap</t>
        </is>
      </c>
      <c r="H23" s="32" t="n">
        <v>40206.19</v>
      </c>
      <c r="I23" s="32" t="n">
        <v>790.95</v>
      </c>
      <c r="J23" s="32" t="n">
        <v>1.93</v>
      </c>
      <c r="K23" s="32" t="n">
        <v>420186</v>
      </c>
      <c r="L23" s="31" t="n">
        <v>33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64.48</v>
      </c>
      <c r="P23" s="32" t="n">
        <v>43.91</v>
      </c>
      <c r="Q23" s="32" t="n">
        <v>658.6799999999999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13.06</v>
      </c>
      <c r="U23" s="32" t="n">
        <v>25.68</v>
      </c>
      <c r="V23" s="32" t="n">
        <v>11.16</v>
      </c>
      <c r="W23" s="32" t="n">
        <v>9.050000000000001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IF(B24=0,"",RANK(B24,$B$2:$B$407,0))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PGHL</t>
        </is>
      </c>
      <c r="D24" s="31" t="inlineStr">
        <is>
          <t>Procter &amp; Gamble Health Ltd</t>
        </is>
      </c>
      <c r="E24" s="31" t="inlineStr">
        <is>
          <t>healthcare</t>
        </is>
      </c>
      <c r="F24" s="31" t="inlineStr">
        <is>
          <t>pharmaceuticals - multinational</t>
        </is>
      </c>
      <c r="G24" s="31" t="inlineStr">
        <is>
          <t>midcap</t>
        </is>
      </c>
      <c r="H24" s="32" t="n">
        <v>10531.48</v>
      </c>
      <c r="I24" s="32" t="n">
        <v>6452</v>
      </c>
      <c r="J24" s="32" t="n">
        <v>1.69</v>
      </c>
      <c r="K24" s="32" t="n">
        <v>9081</v>
      </c>
      <c r="L24" s="31" t="n">
        <v>43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77.48</v>
      </c>
      <c r="P24" s="32" t="n">
        <v>51.46</v>
      </c>
      <c r="Q24" s="32" t="n">
        <v>5547.2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13.06</v>
      </c>
      <c r="U24" s="32" t="n">
        <v>16.47</v>
      </c>
      <c r="V24" s="32" t="n">
        <v>3.02</v>
      </c>
      <c r="W24" s="32" t="n">
        <v>11.49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IF(B25=0,"",RANK(B25,$B$2:$B$407,0))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INNOVACAP</t>
        </is>
      </c>
      <c r="D25" s="31" t="inlineStr">
        <is>
          <t>Innova Captab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5569.99</v>
      </c>
      <c r="I25" s="32" t="n">
        <v>980.85</v>
      </c>
      <c r="J25" s="32" t="n">
        <v>0.77</v>
      </c>
      <c r="K25" s="32" t="n">
        <v>26136</v>
      </c>
      <c r="L25" s="31" t="n">
        <v>46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73.41</v>
      </c>
      <c r="P25" s="32" t="n">
        <v>40.87</v>
      </c>
      <c r="Q25" s="32" t="n">
        <v>769.66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13.06</v>
      </c>
      <c r="U25" s="32" t="n">
        <v>14.36</v>
      </c>
      <c r="V25" s="32" t="n">
        <v>1.14</v>
      </c>
      <c r="W25" s="32" t="n">
        <v>11.98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IF(B26=0,"",RANK(B26,$B$2:$B$407,0))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BLISSGVS</t>
        </is>
      </c>
      <c r="D26" s="31" t="inlineStr">
        <is>
          <t>Bliss Gvs Pharma Limited</t>
        </is>
      </c>
      <c r="E26" s="31" t="inlineStr">
        <is>
          <t>healthcare</t>
        </is>
      </c>
      <c r="F26" s="31" t="inlineStr">
        <is>
          <t>pharmaceuticals - indian - formulations</t>
        </is>
      </c>
      <c r="G26" s="31" t="inlineStr">
        <is>
          <t>midcap</t>
        </is>
      </c>
      <c r="H26" s="32" t="n">
        <v>5538.58</v>
      </c>
      <c r="I26" s="32" t="n">
        <v>527.1</v>
      </c>
      <c r="J26" s="32" t="n">
        <v>0.68</v>
      </c>
      <c r="K26" s="32" t="n">
        <v>393497</v>
      </c>
      <c r="L26" s="31" t="n">
        <v>97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91.69</v>
      </c>
      <c r="P26" s="32" t="n">
        <v>70.73</v>
      </c>
      <c r="Q26" s="32" t="n">
        <v>409.2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13.06</v>
      </c>
      <c r="U26" s="32" t="n">
        <v>239.16</v>
      </c>
      <c r="V26" s="32" t="n">
        <v>199.97</v>
      </c>
      <c r="W26" s="32" t="n">
        <v>59.81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IF(B27=0,"",RANK(B27,$B$2:$B$407,0))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CCL</t>
        </is>
      </c>
      <c r="D27" s="31" t="inlineStr">
        <is>
          <t>Ccl Products (india) Limited</t>
        </is>
      </c>
      <c r="E27" s="31" t="inlineStr">
        <is>
          <t>fmcg</t>
        </is>
      </c>
      <c r="F27" s="31" t="inlineStr">
        <is>
          <t>tea</t>
        </is>
      </c>
      <c r="G27" s="31" t="inlineStr">
        <is>
          <t>midcap</t>
        </is>
      </c>
      <c r="H27" s="32" t="n">
        <v>15796.35</v>
      </c>
      <c r="I27" s="32" t="n">
        <v>1186.4</v>
      </c>
      <c r="J27" s="32" t="n">
        <v>0.29</v>
      </c>
      <c r="K27" s="32" t="n">
        <v>101541</v>
      </c>
      <c r="L27" s="31" t="n">
        <v>29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68.59999999999999</v>
      </c>
      <c r="P27" s="32" t="n">
        <v>43.92</v>
      </c>
      <c r="Q27" s="32" t="n">
        <v>949.86</v>
      </c>
      <c r="R27" s="31" t="inlineStr">
        <is>
          <t>Near 52W High Breakout</t>
        </is>
      </c>
      <c r="S27" s="31" t="inlineStr">
        <is>
          <t>Nifty FMCG</t>
        </is>
      </c>
      <c r="T27" s="32" t="n">
        <v>-8.5</v>
      </c>
      <c r="U27" s="32" t="n">
        <v>35.29</v>
      </c>
      <c r="V27" s="32" t="n">
        <v>47.86</v>
      </c>
      <c r="W27" s="32" t="n">
        <v>8.220000000000001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IF(B28=0,"",RANK(B28,$B$2:$B$407,0))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VENUSREM</t>
        </is>
      </c>
      <c r="D28" s="31" t="inlineStr">
        <is>
          <t>Venus Remedies Limited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smallcap</t>
        </is>
      </c>
      <c r="H28" s="32" t="n">
        <v>2341.76</v>
      </c>
      <c r="I28" s="32" t="n">
        <v>1754.3</v>
      </c>
      <c r="J28" s="32" t="n">
        <v>0.14</v>
      </c>
      <c r="K28" s="32" t="n">
        <v>44445</v>
      </c>
      <c r="L28" s="31" t="n">
        <v>96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71.67</v>
      </c>
      <c r="P28" s="32" t="n">
        <v>57.25</v>
      </c>
      <c r="Q28" s="32" t="n">
        <v>1430.37</v>
      </c>
      <c r="R28" s="31" t="inlineStr">
        <is>
          <t>Earnings / Momentum Support</t>
        </is>
      </c>
      <c r="S28" s="31" t="inlineStr">
        <is>
          <t>Nifty Pharma</t>
        </is>
      </c>
      <c r="T28" s="32" t="n">
        <v>13.06</v>
      </c>
      <c r="U28" s="32" t="n">
        <v>293.96</v>
      </c>
      <c r="V28" s="32" t="n">
        <v>248.44</v>
      </c>
      <c r="W28" s="32" t="n">
        <v>55.68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IF(B29=0,"",RANK(B29,$B$2:$B$407,0))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CUPID</t>
        </is>
      </c>
      <c r="D29" s="31" t="inlineStr">
        <is>
          <t>Cupid Limited</t>
        </is>
      </c>
      <c r="E29" s="31" t="inlineStr">
        <is>
          <t>fmcg</t>
        </is>
      </c>
      <c r="F29" s="31" t="inlineStr">
        <is>
          <t>personal care - indian</t>
        </is>
      </c>
      <c r="G29" s="31" t="inlineStr">
        <is>
          <t>largecap</t>
        </is>
      </c>
      <c r="H29" s="32" t="n">
        <v>26003.05</v>
      </c>
      <c r="I29" s="32" t="n">
        <v>192.06</v>
      </c>
      <c r="J29" s="32" t="n">
        <v>-0.68</v>
      </c>
      <c r="K29" s="32" t="n">
        <v>19870325</v>
      </c>
      <c r="L29" s="31" t="n">
        <v>99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86.45</v>
      </c>
      <c r="P29" s="32" t="n">
        <v>56.17</v>
      </c>
      <c r="Q29" s="32" t="n">
        <v>154.13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-8.5</v>
      </c>
      <c r="U29" s="32" t="n">
        <v>782.47</v>
      </c>
      <c r="V29" s="32" t="n">
        <v>864.41</v>
      </c>
      <c r="W29" s="32" t="n">
        <v>87.18000000000001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IF(B30=0,"",RANK(B30,$B$2:$B$407,0))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BLUSPRING</t>
        </is>
      </c>
      <c r="D30" s="31" t="inlineStr">
        <is>
          <t>Bluspring Enterprises Ltd</t>
        </is>
      </c>
      <c r="E30" s="31" t="inlineStr">
        <is>
          <t>miscellaneous</t>
        </is>
      </c>
      <c r="F30" s="31" t="inlineStr">
        <is>
          <t>diversified - large</t>
        </is>
      </c>
      <c r="G30" s="31" t="inlineStr">
        <is>
          <t>smallcap</t>
        </is>
      </c>
      <c r="H30" s="32" t="n">
        <v>1643.59</v>
      </c>
      <c r="I30" s="32" t="n">
        <v>119.84</v>
      </c>
      <c r="J30" s="32" t="n">
        <v>8.74</v>
      </c>
      <c r="K30" s="32" t="n">
        <v>2210630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77.61</v>
      </c>
      <c r="P30" s="32" t="n">
        <v>39.87</v>
      </c>
      <c r="Q30" s="32" t="n">
        <v>86.95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-5.05</v>
      </c>
      <c r="U30" s="32" t="n">
        <v>50.23</v>
      </c>
      <c r="V30" s="32" t="n">
        <v>58.22</v>
      </c>
      <c r="W30" s="32" t="n">
        <v>36.56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IF(B31=0,"",RANK(B31,$B$2:$B$407,0))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AEGISLOG</t>
        </is>
      </c>
      <c r="D31" s="31" t="inlineStr">
        <is>
          <t>Aegis Logistics Ltd</t>
        </is>
      </c>
      <c r="E31" s="31" t="inlineStr">
        <is>
          <t>services</t>
        </is>
      </c>
      <c r="F31" s="31" t="inlineStr">
        <is>
          <t>trading</t>
        </is>
      </c>
      <c r="G31" s="31" t="inlineStr">
        <is>
          <t>largecap</t>
        </is>
      </c>
      <c r="H31" s="32" t="n">
        <v>44039.97</v>
      </c>
      <c r="I31" s="32" t="n">
        <v>1321.9</v>
      </c>
      <c r="J31" s="32" t="n">
        <v>5.36</v>
      </c>
      <c r="K31" s="32" t="n">
        <v>4447810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84.90000000000001</v>
      </c>
      <c r="P31" s="32" t="n">
        <v>31.13</v>
      </c>
      <c r="Q31" s="32" t="n">
        <v>1046.62</v>
      </c>
      <c r="R31" s="31" t="inlineStr">
        <is>
          <t>Near 52W High Breakout</t>
        </is>
      </c>
      <c r="S31" s="31" t="inlineStr">
        <is>
          <t>Nifty 50</t>
        </is>
      </c>
      <c r="T31" s="32" t="n">
        <v>-5.05</v>
      </c>
      <c r="U31" s="32" t="n">
        <v>76.72</v>
      </c>
      <c r="V31" s="32" t="n">
        <v>86.11</v>
      </c>
      <c r="W31" s="32" t="n">
        <v>46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IF(B32=0,"",RANK(B32,$B$2:$B$407,0))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PARAS</t>
        </is>
      </c>
      <c r="D32" s="31" t="inlineStr">
        <is>
          <t>Paras Defence and Space Technologies Ltd</t>
        </is>
      </c>
      <c r="E32" s="31" t="inlineStr">
        <is>
          <t>aerospace &amp; defence</t>
        </is>
      </c>
      <c r="F32" s="31" t="inlineStr">
        <is>
          <t>engineering</t>
        </is>
      </c>
      <c r="G32" s="31" t="inlineStr">
        <is>
          <t>midcap</t>
        </is>
      </c>
      <c r="H32" s="32" t="n">
        <v>10298.25</v>
      </c>
      <c r="I32" s="32" t="n">
        <v>1343.8</v>
      </c>
      <c r="J32" s="32" t="n">
        <v>5.16</v>
      </c>
      <c r="K32" s="32" t="n">
        <v>4423867</v>
      </c>
      <c r="L32" s="31" t="n">
        <v>91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71.54000000000001</v>
      </c>
      <c r="P32" s="32" t="n">
        <v>48.87</v>
      </c>
      <c r="Q32" s="32" t="n">
        <v>1031.75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-5.05</v>
      </c>
      <c r="U32" s="32" t="n">
        <v>44.05</v>
      </c>
      <c r="V32" s="32" t="n">
        <v>51.71</v>
      </c>
      <c r="W32" s="32" t="n">
        <v>37.57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IF(B33=0,"",RANK(B33,$B$2:$B$407,0))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QUESS</t>
        </is>
      </c>
      <c r="D33" s="31" t="inlineStr">
        <is>
          <t>Quess Corp Limited</t>
        </is>
      </c>
      <c r="E33" s="31" t="inlineStr">
        <is>
          <t>miscellaneous</t>
        </is>
      </c>
      <c r="F33" s="31" t="inlineStr">
        <is>
          <t>diversified - large</t>
        </is>
      </c>
      <c r="G33" s="31" t="inlineStr">
        <is>
          <t>smallcap</t>
        </is>
      </c>
      <c r="H33" s="32" t="n">
        <v>4082.72</v>
      </c>
      <c r="I33" s="32" t="n">
        <v>283.55</v>
      </c>
      <c r="J33" s="32" t="n">
        <v>3.71</v>
      </c>
      <c r="K33" s="32" t="n">
        <v>1242878</v>
      </c>
      <c r="L33" s="31" t="n">
        <v>57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71.81999999999999</v>
      </c>
      <c r="P33" s="32" t="n">
        <v>30.73</v>
      </c>
      <c r="Q33" s="32" t="n">
        <v>222.09</v>
      </c>
      <c r="R33" s="31" t="inlineStr">
        <is>
          <t>Near 52W High Breakout</t>
        </is>
      </c>
      <c r="S33" s="31" t="inlineStr">
        <is>
          <t>Nifty 50</t>
        </is>
      </c>
      <c r="T33" s="32" t="n">
        <v>-5.05</v>
      </c>
      <c r="U33" s="32" t="n">
        <v>-3.04</v>
      </c>
      <c r="V33" s="32" t="n">
        <v>2.12</v>
      </c>
      <c r="W33" s="32" t="n">
        <v>14.96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IF(B34=0,"",RANK(B34,$B$2:$B$407,0))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SANGHVIMOV</t>
        </is>
      </c>
      <c r="D34" s="31" t="inlineStr">
        <is>
          <t>Sanghvi Movers Limited</t>
        </is>
      </c>
      <c r="E34" s="31" t="inlineStr">
        <is>
          <t>miscellaneous</t>
        </is>
      </c>
      <c r="F34" s="31" t="inlineStr">
        <is>
          <t>miscellaneous</t>
        </is>
      </c>
      <c r="G34" s="31" t="inlineStr">
        <is>
          <t>smallcap</t>
        </is>
      </c>
      <c r="H34" s="32" t="n">
        <v>3827.09</v>
      </c>
      <c r="I34" s="32" t="n">
        <v>454.25</v>
      </c>
      <c r="J34" s="32" t="n">
        <v>2.76</v>
      </c>
      <c r="K34" s="32" t="n">
        <v>439391</v>
      </c>
      <c r="L34" s="31" t="n">
        <v>81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72.12</v>
      </c>
      <c r="P34" s="32" t="n">
        <v>25.91</v>
      </c>
      <c r="Q34" s="32" t="n">
        <v>339.96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-5.05</v>
      </c>
      <c r="U34" s="32" t="n">
        <v>63.34</v>
      </c>
      <c r="V34" s="32" t="n">
        <v>72.03</v>
      </c>
      <c r="W34" s="32" t="n">
        <v>25.68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IF(B35=0,"",RANK(B35,$B$2:$B$407,0))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AMBIKCO</t>
        </is>
      </c>
      <c r="D35" s="31" t="inlineStr">
        <is>
          <t>Ambika Cotton Mills Limited</t>
        </is>
      </c>
      <c r="E35" s="31" t="inlineStr">
        <is>
          <t>textiles</t>
        </is>
      </c>
      <c r="F35" s="31" t="inlineStr">
        <is>
          <t>textiles - cotton/blended</t>
        </is>
      </c>
      <c r="G35" s="31" t="inlineStr">
        <is>
          <t>smallcap</t>
        </is>
      </c>
      <c r="H35" s="32" t="n">
        <v>995.63</v>
      </c>
      <c r="I35" s="32" t="n">
        <v>1754.4</v>
      </c>
      <c r="J35" s="32" t="n">
        <v>0.88</v>
      </c>
      <c r="K35" s="32" t="n">
        <v>9666</v>
      </c>
      <c r="L35" s="31" t="n">
        <v>46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70.06</v>
      </c>
      <c r="P35" s="32" t="n">
        <v>29.62</v>
      </c>
      <c r="Q35" s="32" t="n">
        <v>1394.91</v>
      </c>
      <c r="R35" s="31" t="inlineStr">
        <is>
          <t>Near 52W High Breakout</t>
        </is>
      </c>
      <c r="S35" s="31" t="inlineStr">
        <is>
          <t>Nifty 50</t>
        </is>
      </c>
      <c r="T35" s="32" t="n">
        <v>-5.05</v>
      </c>
      <c r="U35" s="32" t="n">
        <v>13.36</v>
      </c>
      <c r="V35" s="32" t="n">
        <v>19.39</v>
      </c>
      <c r="W35" s="32" t="n">
        <v>11.84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IF(B36=0,"",RANK(B36,$B$2:$B$407,0))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CENTENKA</t>
        </is>
      </c>
      <c r="D36" s="31" t="inlineStr">
        <is>
          <t>Century Enka Limited</t>
        </is>
      </c>
      <c r="E36" s="31" t="inlineStr">
        <is>
          <t>textiles</t>
        </is>
      </c>
      <c r="F36" s="31" t="inlineStr">
        <is>
          <t>textiles - manmade</t>
        </is>
      </c>
      <c r="G36" s="31" t="inlineStr">
        <is>
          <t>smallcap</t>
        </is>
      </c>
      <c r="H36" s="32" t="n">
        <v>1158.96</v>
      </c>
      <c r="I36" s="32" t="n">
        <v>533.25</v>
      </c>
      <c r="J36" s="32" t="n">
        <v>0.54</v>
      </c>
      <c r="K36" s="32" t="n">
        <v>16322</v>
      </c>
      <c r="L36" s="31" t="n">
        <v>32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62.38</v>
      </c>
      <c r="P36" s="32" t="n">
        <v>40.89</v>
      </c>
      <c r="Q36" s="32" t="n">
        <v>415.9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-5.05</v>
      </c>
      <c r="U36" s="32" t="n">
        <v>5.14</v>
      </c>
      <c r="V36" s="32" t="n">
        <v>10.73</v>
      </c>
      <c r="W36" s="32" t="n">
        <v>8.99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IF(B37=0,"",RANK(B37,$B$2:$B$407,0))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SJS</t>
        </is>
      </c>
      <c r="D37" s="31" t="inlineStr">
        <is>
          <t>S J S Enterprises Ltd</t>
        </is>
      </c>
      <c r="E37" s="31" t="inlineStr">
        <is>
          <t>auto</t>
        </is>
      </c>
      <c r="F37" s="31" t="inlineStr">
        <is>
          <t>plastics products</t>
        </is>
      </c>
      <c r="G37" s="31" t="inlineStr">
        <is>
          <t>midcap</t>
        </is>
      </c>
      <c r="H37" s="32" t="n">
        <v>7127.92</v>
      </c>
      <c r="I37" s="32" t="n">
        <v>2237</v>
      </c>
      <c r="J37" s="32" t="n">
        <v>0.42</v>
      </c>
      <c r="K37" s="32" t="n">
        <v>66832</v>
      </c>
      <c r="L37" s="31" t="n">
        <v>73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65.48999999999999</v>
      </c>
      <c r="P37" s="32" t="n">
        <v>30.1</v>
      </c>
      <c r="Q37" s="32" t="n">
        <v>1755.04</v>
      </c>
      <c r="R37" s="31" t="inlineStr">
        <is>
          <t>Near 52W High Breakout</t>
        </is>
      </c>
      <c r="S37" s="31" t="inlineStr">
        <is>
          <t>Nifty Auto</t>
        </is>
      </c>
      <c r="T37" s="32" t="n">
        <v>13.04</v>
      </c>
      <c r="U37" s="32" t="n">
        <v>74.98999999999999</v>
      </c>
      <c r="V37" s="32" t="n">
        <v>54.8</v>
      </c>
      <c r="W37" s="32" t="n">
        <v>21.12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IF(B38=0,"",RANK(B38,$B$2:$B$407,0))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CARYSIL</t>
        </is>
      </c>
      <c r="D38" s="31" t="inlineStr">
        <is>
          <t>Carysil Ltd</t>
        </is>
      </c>
      <c r="E38" s="31" t="inlineStr">
        <is>
          <t>consumer discretionary</t>
        </is>
      </c>
      <c r="F38" s="31" t="inlineStr">
        <is>
          <t>domestic appliances</t>
        </is>
      </c>
      <c r="G38" s="31" t="inlineStr">
        <is>
          <t>smallcap</t>
        </is>
      </c>
      <c r="H38" s="32" t="n">
        <v>3334.04</v>
      </c>
      <c r="I38" s="32" t="n">
        <v>1176</v>
      </c>
      <c r="J38" s="32" t="n">
        <v>0.32</v>
      </c>
      <c r="K38" s="32" t="n">
        <v>73186</v>
      </c>
      <c r="L38" s="31" t="n">
        <v>66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69.84999999999999</v>
      </c>
      <c r="P38" s="32" t="n">
        <v>27.91</v>
      </c>
      <c r="Q38" s="32" t="n">
        <v>914.63</v>
      </c>
      <c r="R38" s="31" t="inlineStr">
        <is>
          <t>Near 52W High Breakout</t>
        </is>
      </c>
      <c r="S38" s="31" t="inlineStr">
        <is>
          <t>Nifty 50</t>
        </is>
      </c>
      <c r="T38" s="32" t="n">
        <v>-5.05</v>
      </c>
      <c r="U38" s="32" t="n">
        <v>33.56</v>
      </c>
      <c r="V38" s="32" t="n">
        <v>40.67</v>
      </c>
      <c r="W38" s="32" t="n">
        <v>17.41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IF(B39=0,"",RANK(B39,$B$2:$B$407,0))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HMT</t>
        </is>
      </c>
      <c r="D39" s="31" t="inlineStr">
        <is>
          <t>Hmt Limited</t>
        </is>
      </c>
      <c r="E39" s="31" t="inlineStr">
        <is>
          <t>consumer discretionary</t>
        </is>
      </c>
      <c r="F39" s="31" t="inlineStr">
        <is>
          <t>miscellaneous</t>
        </is>
      </c>
      <c r="G39" s="31" t="inlineStr">
        <is>
          <t>midcap</t>
        </is>
      </c>
      <c r="H39" s="32" t="n">
        <v>8255.25</v>
      </c>
      <c r="I39" s="32" t="n">
        <v>68.61</v>
      </c>
      <c r="J39" s="32" t="n">
        <v>0.07000000000000001</v>
      </c>
      <c r="K39" s="32" t="n">
        <v>19530</v>
      </c>
      <c r="L39" s="31" t="n">
        <v>15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64.18000000000001</v>
      </c>
      <c r="P39" s="32" t="n">
        <v>27.05</v>
      </c>
      <c r="Q39" s="32" t="n">
        <v>51.57</v>
      </c>
      <c r="R39" s="31" t="inlineStr">
        <is>
          <t>Near 52W High Breakout</t>
        </is>
      </c>
      <c r="S39" s="31" t="inlineStr">
        <is>
          <t>Nifty 50</t>
        </is>
      </c>
      <c r="T39" s="32" t="n">
        <v>-5.05</v>
      </c>
      <c r="U39" s="32" t="n">
        <v>6.7</v>
      </c>
      <c r="V39" s="32" t="n">
        <v>12.37</v>
      </c>
      <c r="W39" s="32" t="n">
        <v>4.99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IF(B40=0,"",RANK(B40,$B$2:$B$407,0))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MOTHERSON</t>
        </is>
      </c>
      <c r="D40" s="31" t="inlineStr">
        <is>
          <t>Samvardhana Motherson International Ltd</t>
        </is>
      </c>
      <c r="E40" s="31" t="inlineStr">
        <is>
          <t>auto</t>
        </is>
      </c>
      <c r="F40" s="31" t="inlineStr">
        <is>
          <t>auto ancillaries</t>
        </is>
      </c>
      <c r="G40" s="31" t="inlineStr">
        <is>
          <t>largecap</t>
        </is>
      </c>
      <c r="H40" s="32" t="n">
        <v>155688.58</v>
      </c>
      <c r="I40" s="32" t="n">
        <v>147.59</v>
      </c>
      <c r="J40" s="32" t="n">
        <v>0.05</v>
      </c>
      <c r="K40" s="32" t="n">
        <v>9629607</v>
      </c>
      <c r="L40" s="31" t="n">
        <v>63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65.58</v>
      </c>
      <c r="P40" s="32" t="n">
        <v>28.47</v>
      </c>
      <c r="Q40" s="32" t="n">
        <v>122.3</v>
      </c>
      <c r="R40" s="31" t="inlineStr">
        <is>
          <t>Near 52W High Breakout</t>
        </is>
      </c>
      <c r="S40" s="31" t="inlineStr">
        <is>
          <t>Nifty Auto</t>
        </is>
      </c>
      <c r="T40" s="32" t="n">
        <v>13.04</v>
      </c>
      <c r="U40" s="32" t="n">
        <v>44.3</v>
      </c>
      <c r="V40" s="32" t="n">
        <v>27.65</v>
      </c>
      <c r="W40" s="32" t="n">
        <v>16.51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IF(B41=0,"",RANK(B41,$B$2:$B$407,0))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PGIL</t>
        </is>
      </c>
      <c r="D41" s="31" t="inlineStr">
        <is>
          <t>Pearl Global Industries Limited</t>
        </is>
      </c>
      <c r="E41" s="31" t="inlineStr">
        <is>
          <t>consumer discretionary</t>
        </is>
      </c>
      <c r="F41" s="31" t="inlineStr">
        <is>
          <t>textiles - products</t>
        </is>
      </c>
      <c r="G41" s="31" t="inlineStr">
        <is>
          <t>midcap</t>
        </is>
      </c>
      <c r="H41" s="32" t="n">
        <v>9635.290000000001</v>
      </c>
      <c r="I41" s="32" t="n">
        <v>2075.1</v>
      </c>
      <c r="J41" s="32" t="n">
        <v>-0.62</v>
      </c>
      <c r="K41" s="32" t="n">
        <v>108861</v>
      </c>
      <c r="L41" s="31" t="n">
        <v>62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70.40000000000001</v>
      </c>
      <c r="P41" s="32" t="n">
        <v>38.49</v>
      </c>
      <c r="Q41" s="32" t="n">
        <v>1573.7</v>
      </c>
      <c r="R41" s="31" t="inlineStr">
        <is>
          <t>Near 52W High Breakout</t>
        </is>
      </c>
      <c r="S41" s="31" t="inlineStr">
        <is>
          <t>Nifty 50</t>
        </is>
      </c>
      <c r="T41" s="32" t="n">
        <v>-5.05</v>
      </c>
      <c r="U41" s="32" t="n">
        <v>32.09</v>
      </c>
      <c r="V41" s="32" t="n">
        <v>39.11</v>
      </c>
      <c r="W41" s="32" t="n">
        <v>16.47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IF(B42=0,"",RANK(B42,$B$2:$B$407,0))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UNIPARTS</t>
        </is>
      </c>
      <c r="D42" s="31" t="inlineStr">
        <is>
          <t>Uniparts India Ltd</t>
        </is>
      </c>
      <c r="E42" s="31" t="inlineStr">
        <is>
          <t>industrials</t>
        </is>
      </c>
      <c r="F42" s="31" t="inlineStr">
        <is>
          <t>engineering</t>
        </is>
      </c>
      <c r="G42" s="31" t="inlineStr">
        <is>
          <t>smallcap</t>
        </is>
      </c>
      <c r="H42" s="32" t="n">
        <v>2986.89</v>
      </c>
      <c r="I42" s="32" t="n">
        <v>655</v>
      </c>
      <c r="J42" s="32" t="n">
        <v>-1.01</v>
      </c>
      <c r="K42" s="32" t="n">
        <v>116977</v>
      </c>
      <c r="L42" s="31" t="n">
        <v>72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70.38</v>
      </c>
      <c r="P42" s="32" t="n">
        <v>46.66</v>
      </c>
      <c r="Q42" s="32" t="n">
        <v>529.4400000000001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-5.05</v>
      </c>
      <c r="U42" s="32" t="n">
        <v>70.66</v>
      </c>
      <c r="V42" s="32" t="n">
        <v>79.73</v>
      </c>
      <c r="W42" s="32" t="n">
        <v>20.48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IF(B43=0,"",RANK(B43,$B$2:$B$407,0))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SYRMA</t>
        </is>
      </c>
      <c r="D43" s="31" t="inlineStr">
        <is>
          <t>Syrma SGS Technology Ltd</t>
        </is>
      </c>
      <c r="E43" s="31" t="inlineStr">
        <is>
          <t>consumer discretionary</t>
        </is>
      </c>
      <c r="F43" s="31" t="inlineStr">
        <is>
          <t>electronics - components</t>
        </is>
      </c>
      <c r="G43" s="31" t="inlineStr">
        <is>
          <t>largecap</t>
        </is>
      </c>
      <c r="H43" s="32" t="n">
        <v>27412.78</v>
      </c>
      <c r="I43" s="32" t="n">
        <v>1398.3</v>
      </c>
      <c r="J43" s="32" t="n">
        <v>-1.64</v>
      </c>
      <c r="K43" s="32" t="n">
        <v>1056580</v>
      </c>
      <c r="L43" s="31" t="n">
        <v>90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75.53</v>
      </c>
      <c r="P43" s="32" t="n">
        <v>47.37</v>
      </c>
      <c r="Q43" s="32" t="n">
        <v>1134.14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-5.05</v>
      </c>
      <c r="U43" s="32" t="n">
        <v>129.82</v>
      </c>
      <c r="V43" s="32" t="n">
        <v>142.04</v>
      </c>
      <c r="W43" s="32" t="n">
        <v>36.85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IF(B44=0,"",RANK(B44,$B$2:$B$407,0))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SUVEN</t>
        </is>
      </c>
      <c r="D44" s="31" t="inlineStr">
        <is>
          <t>Suven Life Sciences Limited</t>
        </is>
      </c>
      <c r="E44" s="31" t="inlineStr">
        <is>
          <t>healthcare</t>
        </is>
      </c>
      <c r="F44" s="31" t="inlineStr">
        <is>
          <t>miscellaneous</t>
        </is>
      </c>
      <c r="G44" s="31" t="inlineStr">
        <is>
          <t>midcap</t>
        </is>
      </c>
      <c r="H44" s="32" t="n">
        <v>7221.99</v>
      </c>
      <c r="I44" s="32" t="n">
        <v>297.95</v>
      </c>
      <c r="J44" s="32" t="n">
        <v>8.800000000000001</v>
      </c>
      <c r="K44" s="32" t="n">
        <v>4099357</v>
      </c>
      <c r="L44" s="31" t="n">
        <v>82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70.83</v>
      </c>
      <c r="P44" s="32" t="n">
        <v>38.57</v>
      </c>
      <c r="Q44" s="32" t="n">
        <v>209.95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13.06</v>
      </c>
      <c r="U44" s="32" t="n">
        <v>16.79</v>
      </c>
      <c r="V44" s="32" t="n">
        <v>3.3</v>
      </c>
      <c r="W44" s="32" t="n">
        <v>26.77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IF(B45=0,"",RANK(B45,$B$2:$B$407,0))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ADFFOODS</t>
        </is>
      </c>
      <c r="D45" s="31" t="inlineStr">
        <is>
          <t>Adf Foods Limited</t>
        </is>
      </c>
      <c r="E45" s="31" t="inlineStr">
        <is>
          <t>fmcg</t>
        </is>
      </c>
      <c r="F45" s="31" t="inlineStr">
        <is>
          <t>food - processing - indian</t>
        </is>
      </c>
      <c r="G45" s="31" t="inlineStr">
        <is>
          <t>smallcap</t>
        </is>
      </c>
      <c r="H45" s="32" t="n">
        <v>3382.15</v>
      </c>
      <c r="I45" s="32" t="n">
        <v>317.1</v>
      </c>
      <c r="J45" s="32" t="n">
        <v>3</v>
      </c>
      <c r="K45" s="32" t="n">
        <v>15187964</v>
      </c>
      <c r="L45" s="31" t="n">
        <v>79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69.16</v>
      </c>
      <c r="P45" s="32" t="n">
        <v>35.64</v>
      </c>
      <c r="Q45" s="32" t="n">
        <v>230.5</v>
      </c>
      <c r="R45" s="31" t="inlineStr">
        <is>
          <t>Volume Spike &amp; Near 52W High Breakout</t>
        </is>
      </c>
      <c r="S45" s="31" t="inlineStr">
        <is>
          <t>Nifty FMCG</t>
        </is>
      </c>
      <c r="T45" s="32" t="n">
        <v>-8.5</v>
      </c>
      <c r="U45" s="32" t="n">
        <v>19.13</v>
      </c>
      <c r="V45" s="32" t="n">
        <v>30.19</v>
      </c>
      <c r="W45" s="32" t="n">
        <v>23.83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IF(B46=0,"",RANK(B46,$B$2:$B$407,0))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STAR</t>
        </is>
      </c>
      <c r="D46" s="31" t="inlineStr">
        <is>
          <t>Strides Shasun Limited</t>
        </is>
      </c>
      <c r="E46" s="31" t="inlineStr">
        <is>
          <t>healthcare</t>
        </is>
      </c>
      <c r="F46" s="31" t="inlineStr">
        <is>
          <t>pharmaceuticals - indian - bulk drugs &amp; formln</t>
        </is>
      </c>
      <c r="G46" s="31" t="inlineStr">
        <is>
          <t>midcap</t>
        </is>
      </c>
      <c r="H46" s="32" t="n">
        <v>10084.62</v>
      </c>
      <c r="I46" s="32" t="n">
        <v>1126.4</v>
      </c>
      <c r="J46" s="32" t="n">
        <v>2.95</v>
      </c>
      <c r="K46" s="32" t="n">
        <v>186169</v>
      </c>
      <c r="L46" s="31" t="n">
        <v>30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62.19</v>
      </c>
      <c r="P46" s="32" t="n">
        <v>30.39</v>
      </c>
      <c r="Q46" s="32" t="n">
        <v>890.4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13.06</v>
      </c>
      <c r="U46" s="32" t="n">
        <v>27.82</v>
      </c>
      <c r="V46" s="32" t="n">
        <v>13.05</v>
      </c>
      <c r="W46" s="32" t="n">
        <v>8.49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IF(B47=0,"",RANK(B47,$B$2:$B$407,0))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VIJAYA</t>
        </is>
      </c>
      <c r="D47" s="31" t="inlineStr">
        <is>
          <t>Vijaya Diagnostic Centre Ltd</t>
        </is>
      </c>
      <c r="E47" s="31" t="inlineStr">
        <is>
          <t>healthcare</t>
        </is>
      </c>
      <c r="F47" s="31" t="inlineStr">
        <is>
          <t>healthcare</t>
        </is>
      </c>
      <c r="G47" s="31" t="inlineStr">
        <is>
          <t>midcap</t>
        </is>
      </c>
      <c r="H47" s="32" t="n">
        <v>14095.82</v>
      </c>
      <c r="I47" s="32" t="n">
        <v>1397.8</v>
      </c>
      <c r="J47" s="32" t="n">
        <v>2.04</v>
      </c>
      <c r="K47" s="32" t="n">
        <v>382382</v>
      </c>
      <c r="L47" s="31" t="n">
        <v>71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68.40000000000001</v>
      </c>
      <c r="P47" s="32" t="n">
        <v>40.31</v>
      </c>
      <c r="Q47" s="32" t="n">
        <v>1095.5</v>
      </c>
      <c r="R47" s="31" t="inlineStr">
        <is>
          <t>Volume Spike &amp; Near 52W High Breakout</t>
        </is>
      </c>
      <c r="S47" s="31" t="inlineStr">
        <is>
          <t>Nifty Pharma</t>
        </is>
      </c>
      <c r="T47" s="32" t="n">
        <v>13.06</v>
      </c>
      <c r="U47" s="32" t="n">
        <v>37.25</v>
      </c>
      <c r="V47" s="32" t="n">
        <v>21.39</v>
      </c>
      <c r="W47" s="32" t="n">
        <v>20.07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IF(B48=0,"",RANK(B48,$B$2:$B$407,0))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SPARC</t>
        </is>
      </c>
      <c r="D48" s="31" t="inlineStr">
        <is>
          <t>Sun Pharma Advanced Research Company Limited</t>
        </is>
      </c>
      <c r="E48" s="31" t="inlineStr">
        <is>
          <t>healthcare</t>
        </is>
      </c>
      <c r="F48" s="31" t="inlineStr">
        <is>
          <t>miscellaneous</t>
        </is>
      </c>
      <c r="G48" s="31" t="inlineStr">
        <is>
          <t>midcap</t>
        </is>
      </c>
      <c r="H48" s="32" t="n">
        <v>7707.39</v>
      </c>
      <c r="I48" s="32" t="n">
        <v>239.32</v>
      </c>
      <c r="J48" s="32" t="n">
        <v>0.77</v>
      </c>
      <c r="K48" s="32" t="n">
        <v>967268</v>
      </c>
      <c r="L48" s="31" t="n">
        <v>88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74.19</v>
      </c>
      <c r="P48" s="32" t="n">
        <v>57.94</v>
      </c>
      <c r="Q48" s="32" t="n">
        <v>169.1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13.06</v>
      </c>
      <c r="U48" s="32" t="n">
        <v>50.67</v>
      </c>
      <c r="V48" s="32" t="n">
        <v>33.26</v>
      </c>
      <c r="W48" s="32" t="n">
        <v>32.63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Negative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IF(B49=0,"",RANK(B49,$B$2:$B$407,0))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RAMCOSYS</t>
        </is>
      </c>
      <c r="D49" s="31" t="inlineStr">
        <is>
          <t>Ramco Systems Limited</t>
        </is>
      </c>
      <c r="E49" s="31" t="inlineStr">
        <is>
          <t>i.t</t>
        </is>
      </c>
      <c r="F49" s="31" t="inlineStr">
        <is>
          <t>computers - software - medium / small</t>
        </is>
      </c>
      <c r="G49" s="31" t="inlineStr">
        <is>
          <t>smallcap</t>
        </is>
      </c>
      <c r="H49" s="32" t="n">
        <v>2975.37</v>
      </c>
      <c r="I49" s="32" t="n">
        <v>796.4</v>
      </c>
      <c r="J49" s="32" t="n">
        <v>0.14</v>
      </c>
      <c r="K49" s="32" t="n">
        <v>7141665</v>
      </c>
      <c r="L49" s="31" t="n">
        <v>95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75.65000000000001</v>
      </c>
      <c r="P49" s="32" t="n">
        <v>20.69</v>
      </c>
      <c r="Q49" s="32" t="n">
        <v>568.6</v>
      </c>
      <c r="R49" s="31" t="inlineStr">
        <is>
          <t>Volume Spike &amp; Near 52W High Breakout</t>
        </is>
      </c>
      <c r="S49" s="31" t="inlineStr">
        <is>
          <t>Nifty IT</t>
        </is>
      </c>
      <c r="T49" s="32" t="n">
        <v>-31.15</v>
      </c>
      <c r="U49" s="32" t="n">
        <v>98.75</v>
      </c>
      <c r="V49" s="32" t="n">
        <v>188.69</v>
      </c>
      <c r="W49" s="32" t="n">
        <v>48.01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IF(B50=0,"",RANK(B50,$B$2:$B$407,0))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NESTLEIND</t>
        </is>
      </c>
      <c r="D50" s="31" t="inlineStr">
        <is>
          <t>Nestle India Limited</t>
        </is>
      </c>
      <c r="E50" s="31" t="inlineStr">
        <is>
          <t>fmcg</t>
        </is>
      </c>
      <c r="F50" s="31" t="inlineStr">
        <is>
          <t>food - processing - mnc</t>
        </is>
      </c>
      <c r="G50" s="31" t="inlineStr">
        <is>
          <t>largecap</t>
        </is>
      </c>
      <c r="H50" s="32" t="n">
        <v>280338.34</v>
      </c>
      <c r="I50" s="32" t="n">
        <v>1446.2</v>
      </c>
      <c r="J50" s="32" t="n">
        <v>-0.52</v>
      </c>
      <c r="K50" s="32" t="n">
        <v>1434136</v>
      </c>
      <c r="L50" s="31" t="n">
        <v>32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64.28</v>
      </c>
      <c r="P50" s="32" t="n">
        <v>31.14</v>
      </c>
      <c r="Q50" s="32" t="n">
        <v>1300.91</v>
      </c>
      <c r="R50" s="31" t="inlineStr">
        <is>
          <t>Near 52W High Breakout</t>
        </is>
      </c>
      <c r="S50" s="31" t="inlineStr">
        <is>
          <t>Nifty FMCG</t>
        </is>
      </c>
      <c r="T50" s="32" t="n">
        <v>-8.5</v>
      </c>
      <c r="U50" s="32" t="n">
        <v>21.53</v>
      </c>
      <c r="V50" s="32" t="n">
        <v>32.82</v>
      </c>
      <c r="W50" s="32" t="n">
        <v>8.710000000000001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IF(B51=0,"",RANK(B51,$B$2:$B$407,0))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HESTERBIO</t>
        </is>
      </c>
      <c r="D51" s="31" t="inlineStr">
        <is>
          <t>Hester Biosciences Limited</t>
        </is>
      </c>
      <c r="E51" s="31" t="inlineStr">
        <is>
          <t>healthcare</t>
        </is>
      </c>
      <c r="F51" s="31" t="inlineStr">
        <is>
          <t>pharmaceuticals - indian - formulations</t>
        </is>
      </c>
      <c r="G51" s="31" t="inlineStr">
        <is>
          <t>smallcap</t>
        </is>
      </c>
      <c r="H51" s="32" t="n">
        <v>1870.32</v>
      </c>
      <c r="I51" s="32" t="n">
        <v>2178</v>
      </c>
      <c r="J51" s="32" t="n">
        <v>-0.9399999999999999</v>
      </c>
      <c r="K51" s="32" t="n">
        <v>2104</v>
      </c>
      <c r="L51" s="31" t="n">
        <v>64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70.89</v>
      </c>
      <c r="P51" s="32" t="n">
        <v>42.4</v>
      </c>
      <c r="Q51" s="32" t="n">
        <v>1744.87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13.06</v>
      </c>
      <c r="U51" s="32" t="n">
        <v>21.06</v>
      </c>
      <c r="V51" s="32" t="n">
        <v>7.07</v>
      </c>
      <c r="W51" s="32" t="n">
        <v>16.74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IF(B52=0,"",RANK(B52,$B$2:$B$407,0))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SUPRIYA</t>
        </is>
      </c>
      <c r="D52" s="31" t="inlineStr">
        <is>
          <t>Supriya Lifescience Ltd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midcap</t>
        </is>
      </c>
      <c r="H52" s="32" t="n">
        <v>8123.13</v>
      </c>
      <c r="I52" s="32" t="n">
        <v>995</v>
      </c>
      <c r="J52" s="32" t="n">
        <v>-1.42</v>
      </c>
      <c r="K52" s="32" t="n">
        <v>342595</v>
      </c>
      <c r="L52" s="31" t="n">
        <v>75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73.53</v>
      </c>
      <c r="P52" s="32" t="n">
        <v>38.39</v>
      </c>
      <c r="Q52" s="32" t="n">
        <v>744.3200000000001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13.06</v>
      </c>
      <c r="U52" s="32" t="n">
        <v>35.52</v>
      </c>
      <c r="V52" s="32" t="n">
        <v>19.86</v>
      </c>
      <c r="W52" s="32" t="n">
        <v>21.77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IF(B53=0,"",RANK(B53,$B$2:$B$407,0))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RISHABH</t>
        </is>
      </c>
      <c r="D53" s="31" t="inlineStr">
        <is>
          <t>Rishabh Instruments Ltd</t>
        </is>
      </c>
      <c r="E53" s="31" t="inlineStr">
        <is>
          <t>industrials</t>
        </is>
      </c>
      <c r="F53" s="31" t="inlineStr">
        <is>
          <t>electric equipment</t>
        </is>
      </c>
      <c r="G53" s="31" t="inlineStr">
        <is>
          <t>smallcap</t>
        </is>
      </c>
      <c r="H53" s="32" t="n">
        <v>2254.17</v>
      </c>
      <c r="I53" s="32" t="n">
        <v>645.75</v>
      </c>
      <c r="J53" s="32" t="n">
        <v>10.42</v>
      </c>
      <c r="K53" s="32" t="n">
        <v>1380579</v>
      </c>
      <c r="L53" s="31" t="n">
        <v>89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71.91</v>
      </c>
      <c r="P53" s="32" t="n">
        <v>35.48</v>
      </c>
      <c r="Q53" s="32" t="n">
        <v>475.46</v>
      </c>
      <c r="R53" s="31" t="inlineStr">
        <is>
          <t>Near 52W High Breakout</t>
        </is>
      </c>
      <c r="S53" s="31" t="inlineStr">
        <is>
          <t>Nifty 50</t>
        </is>
      </c>
      <c r="T53" s="32" t="n">
        <v>-5.05</v>
      </c>
      <c r="U53" s="32" t="n">
        <v>126.78</v>
      </c>
      <c r="V53" s="32" t="n">
        <v>138.83</v>
      </c>
      <c r="W53" s="32" t="n">
        <v>34.52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IF(B54=0,"",RANK(B54,$B$2:$B$407,0))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BHARATSE</t>
        </is>
      </c>
      <c r="D54" s="31" t="inlineStr">
        <is>
          <t>Bharat Seats Ltd</t>
        </is>
      </c>
      <c r="E54" s="31" t="inlineStr">
        <is>
          <t>auto</t>
        </is>
      </c>
      <c r="F54" s="31" t="inlineStr">
        <is>
          <t>auto ancillaries</t>
        </is>
      </c>
      <c r="G54" s="31" t="inlineStr">
        <is>
          <t>smallcap</t>
        </is>
      </c>
      <c r="H54" s="32" t="n">
        <v>1397.8</v>
      </c>
      <c r="I54" s="32" t="n">
        <v>240.76</v>
      </c>
      <c r="J54" s="32" t="n">
        <v>8.17</v>
      </c>
      <c r="K54" s="32" t="n">
        <v>19925783</v>
      </c>
      <c r="L54" s="31" t="n">
        <v>89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67.84</v>
      </c>
      <c r="P54" s="32" t="n">
        <v>22.19</v>
      </c>
      <c r="Q54" s="32" t="n">
        <v>170.61</v>
      </c>
      <c r="R54" s="31" t="inlineStr">
        <is>
          <t>Volume Spike &amp; Near 52W High Breakout</t>
        </is>
      </c>
      <c r="S54" s="31" t="inlineStr">
        <is>
          <t>Nifty Auto</t>
        </is>
      </c>
      <c r="T54" s="32" t="n">
        <v>13.04</v>
      </c>
      <c r="U54" s="32" t="n">
        <v>123.22</v>
      </c>
      <c r="V54" s="32" t="n">
        <v>97.45999999999999</v>
      </c>
      <c r="W54" s="32" t="n">
        <v>33.64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IF(B55=0,"",RANK(B55,$B$2:$B$407,0))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THANGAMAYL</t>
        </is>
      </c>
      <c r="D55" s="31" t="inlineStr">
        <is>
          <t>Thangamayil Jewellery Limited</t>
        </is>
      </c>
      <c r="E55" s="31" t="inlineStr">
        <is>
          <t>consumer discretionary</t>
        </is>
      </c>
      <c r="F55" s="31" t="inlineStr">
        <is>
          <t>diamond cutting / jewellery</t>
        </is>
      </c>
      <c r="G55" s="31" t="inlineStr">
        <is>
          <t>midcap</t>
        </is>
      </c>
      <c r="H55" s="32" t="n">
        <v>18479.82</v>
      </c>
      <c r="I55" s="32" t="n">
        <v>6315.5</v>
      </c>
      <c r="J55" s="32" t="n">
        <v>6.22</v>
      </c>
      <c r="K55" s="32" t="n">
        <v>436902</v>
      </c>
      <c r="L55" s="31" t="n">
        <v>94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76.56</v>
      </c>
      <c r="P55" s="32" t="n">
        <v>43.34</v>
      </c>
      <c r="Q55" s="32" t="n">
        <v>4744.95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-5.05</v>
      </c>
      <c r="U55" s="32" t="n">
        <v>234.73</v>
      </c>
      <c r="V55" s="32" t="n">
        <v>252.53</v>
      </c>
      <c r="W55" s="32" t="n">
        <v>46.3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IF(B56=0,"",RANK(B56,$B$2:$B$407,0))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CEMPRO</t>
        </is>
      </c>
      <c r="D56" s="31" t="inlineStr">
        <is>
          <t>Cemindia Projects Ltd</t>
        </is>
      </c>
      <c r="E56" s="31" t="inlineStr">
        <is>
          <t>realty</t>
        </is>
      </c>
      <c r="F56" s="31" t="inlineStr">
        <is>
          <t>construction</t>
        </is>
      </c>
      <c r="G56" s="31" t="inlineStr">
        <is>
          <t>largecap</t>
        </is>
      </c>
      <c r="H56" s="32" t="n">
        <v>23419.8</v>
      </c>
      <c r="I56" s="32" t="n">
        <v>1431.4</v>
      </c>
      <c r="J56" s="32" t="n">
        <v>5</v>
      </c>
      <c r="K56" s="32" t="n">
        <v>1253313</v>
      </c>
      <c r="L56" s="31" t="n">
        <v>97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81.09999999999999</v>
      </c>
      <c r="P56" s="32" t="n">
        <v>43.58</v>
      </c>
      <c r="Q56" s="32" t="n">
        <v>1110.56</v>
      </c>
      <c r="R56" s="31" t="inlineStr">
        <is>
          <t>Near 52W High Breakout</t>
        </is>
      </c>
      <c r="S56" s="31" t="inlineStr">
        <is>
          <t>Nifty Realty</t>
        </is>
      </c>
      <c r="T56" s="32" t="n">
        <v>-10.31</v>
      </c>
      <c r="U56" s="32" t="n">
        <v>59.45</v>
      </c>
      <c r="V56" s="32" t="n">
        <v>77.79000000000001</v>
      </c>
      <c r="W56" s="32" t="n">
        <v>57.47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IF(B57=0,"",RANK(B57,$B$2:$B$407,0))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VERANDA</t>
        </is>
      </c>
      <c r="D57" s="31" t="inlineStr">
        <is>
          <t>Veranda Learning Solutions Ltd</t>
        </is>
      </c>
      <c r="E57" s="31" t="inlineStr">
        <is>
          <t>services</t>
        </is>
      </c>
      <c r="F57" s="31" t="inlineStr">
        <is>
          <t>miscellaneous</t>
        </is>
      </c>
      <c r="G57" s="31" t="inlineStr">
        <is>
          <t>smallcap</t>
        </is>
      </c>
      <c r="H57" s="32" t="n">
        <v>2284.7</v>
      </c>
      <c r="I57" s="32" t="n">
        <v>247.1</v>
      </c>
      <c r="J57" s="32" t="n">
        <v>4.01</v>
      </c>
      <c r="K57" s="32" t="n">
        <v>592459</v>
      </c>
      <c r="L57" s="31" t="n">
        <v>75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63.74</v>
      </c>
      <c r="P57" s="32" t="n">
        <v>28.35</v>
      </c>
      <c r="Q57" s="32" t="n">
        <v>177.8</v>
      </c>
      <c r="R57" s="31" t="inlineStr">
        <is>
          <t>Near 52W High Breakout</t>
        </is>
      </c>
      <c r="S57" s="31" t="inlineStr">
        <is>
          <t>Nifty 50</t>
        </is>
      </c>
      <c r="T57" s="32" t="n">
        <v>-5.05</v>
      </c>
      <c r="U57" s="32" t="n">
        <v>8.859999999999999</v>
      </c>
      <c r="V57" s="32" t="n">
        <v>14.65</v>
      </c>
      <c r="W57" s="32" t="n">
        <v>21.51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IF(B58=0,"",RANK(B58,$B$2:$B$407,0))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CIEINDIA</t>
        </is>
      </c>
      <c r="D58" s="31" t="inlineStr">
        <is>
          <t>CIE Automotive India Ltd</t>
        </is>
      </c>
      <c r="E58" s="31" t="inlineStr">
        <is>
          <t>industrials</t>
        </is>
      </c>
      <c r="F58" s="31" t="inlineStr">
        <is>
          <t>castings &amp; forgings</t>
        </is>
      </c>
      <c r="G58" s="31" t="inlineStr">
        <is>
          <t>midcap</t>
        </is>
      </c>
      <c r="H58" s="32" t="n">
        <v>17408.94</v>
      </c>
      <c r="I58" s="32" t="n">
        <v>474.15</v>
      </c>
      <c r="J58" s="32" t="n">
        <v>3.32</v>
      </c>
      <c r="K58" s="32" t="n">
        <v>282004</v>
      </c>
      <c r="L58" s="31" t="n">
        <v>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58.76</v>
      </c>
      <c r="P58" s="32" t="n">
        <v>22.2</v>
      </c>
      <c r="Q58" s="32" t="n">
        <v>395.44</v>
      </c>
      <c r="R58" s="31" t="inlineStr">
        <is>
          <t>Near 52W High Breakout</t>
        </is>
      </c>
      <c r="S58" s="31" t="inlineStr">
        <is>
          <t>Nifty 50</t>
        </is>
      </c>
      <c r="T58" s="32" t="n">
        <v>-5.05</v>
      </c>
      <c r="U58" s="32" t="n">
        <v>6.22</v>
      </c>
      <c r="V58" s="32" t="n">
        <v>11.87</v>
      </c>
      <c r="W58" s="32" t="n">
        <v>2.47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IF(B59=0,"",RANK(B59,$B$2:$B$407,0))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ADOR</t>
        </is>
      </c>
      <c r="D59" s="31" t="inlineStr">
        <is>
          <t>Ador Welding Ltd</t>
        </is>
      </c>
      <c r="E59" s="31" t="inlineStr">
        <is>
          <t>industrials</t>
        </is>
      </c>
      <c r="F59" s="31" t="inlineStr">
        <is>
          <t>electrodes - welding equipment</t>
        </is>
      </c>
      <c r="G59" s="31" t="inlineStr">
        <is>
          <t>smallcap</t>
        </is>
      </c>
      <c r="H59" s="32" t="n">
        <v>2172.57</v>
      </c>
      <c r="I59" s="32" t="n">
        <v>1286.1</v>
      </c>
      <c r="J59" s="32" t="n">
        <v>3.02</v>
      </c>
      <c r="K59" s="32" t="n">
        <v>24908</v>
      </c>
      <c r="L59" s="31" t="n">
        <v>58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71.84</v>
      </c>
      <c r="P59" s="32" t="n">
        <v>27.68</v>
      </c>
      <c r="Q59" s="32" t="n">
        <v>1032.29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-5.05</v>
      </c>
      <c r="U59" s="32" t="n">
        <v>18.8</v>
      </c>
      <c r="V59" s="32" t="n">
        <v>25.12</v>
      </c>
      <c r="W59" s="32" t="n">
        <v>15.15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IF(B60=0,"",RANK(B60,$B$2:$B$407,0))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VTL</t>
        </is>
      </c>
      <c r="D60" s="31" t="inlineStr">
        <is>
          <t>Vardhman Textiles Limited</t>
        </is>
      </c>
      <c r="E60" s="31" t="inlineStr">
        <is>
          <t>textiles</t>
        </is>
      </c>
      <c r="F60" s="31" t="inlineStr">
        <is>
          <t>textiles - cotton/blended</t>
        </is>
      </c>
      <c r="G60" s="31" t="inlineStr">
        <is>
          <t>midcap</t>
        </is>
      </c>
      <c r="H60" s="32" t="n">
        <v>18693.39</v>
      </c>
      <c r="I60" s="32" t="n">
        <v>657.65</v>
      </c>
      <c r="J60" s="32" t="n">
        <v>1.77</v>
      </c>
      <c r="K60" s="32" t="n">
        <v>334161</v>
      </c>
      <c r="L60" s="31" t="n">
        <v>44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67.87</v>
      </c>
      <c r="P60" s="32" t="n">
        <v>55.01</v>
      </c>
      <c r="Q60" s="32" t="n">
        <v>522.76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-5.05</v>
      </c>
      <c r="U60" s="32" t="n">
        <v>32.97</v>
      </c>
      <c r="V60" s="32" t="n">
        <v>40.03</v>
      </c>
      <c r="W60" s="32" t="n">
        <v>11.51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IF(B61=0,"",RANK(B61,$B$2:$B$407,0))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PIDILITIND</t>
        </is>
      </c>
      <c r="D61" s="31" t="inlineStr">
        <is>
          <t>Pidilite Industries Limited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largecap</t>
        </is>
      </c>
      <c r="H61" s="32" t="n">
        <v>161000.45</v>
      </c>
      <c r="I61" s="32" t="n">
        <v>1605.4</v>
      </c>
      <c r="J61" s="32" t="n">
        <v>1.49</v>
      </c>
      <c r="K61" s="32" t="n">
        <v>710869</v>
      </c>
      <c r="L61" s="31" t="n">
        <v>24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67.89</v>
      </c>
      <c r="P61" s="32" t="n">
        <v>20.59</v>
      </c>
      <c r="Q61" s="32" t="n">
        <v>1400.91</v>
      </c>
      <c r="R61" s="31" t="inlineStr">
        <is>
          <t>Near 52W High Breakout</t>
        </is>
      </c>
      <c r="S61" s="31" t="inlineStr">
        <is>
          <t>Nifty 50</t>
        </is>
      </c>
      <c r="T61" s="32" t="n">
        <v>-5.05</v>
      </c>
      <c r="U61" s="32" t="n">
        <v>4.96</v>
      </c>
      <c r="V61" s="32" t="n">
        <v>10.54</v>
      </c>
      <c r="W61" s="32" t="n">
        <v>6.98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IF(B62=0,"",RANK(B62,$B$2:$B$407,0))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NITINSPIN</t>
        </is>
      </c>
      <c r="D62" s="31" t="inlineStr">
        <is>
          <t>Nitin Spinners Limited</t>
        </is>
      </c>
      <c r="E62" s="31" t="inlineStr">
        <is>
          <t>textiles</t>
        </is>
      </c>
      <c r="F62" s="31" t="inlineStr">
        <is>
          <t>textiles - cotton/blended</t>
        </is>
      </c>
      <c r="G62" s="31" t="inlineStr">
        <is>
          <t>smallcap</t>
        </is>
      </c>
      <c r="H62" s="32" t="n">
        <v>3126.68</v>
      </c>
      <c r="I62" s="32" t="n">
        <v>560</v>
      </c>
      <c r="J62" s="32" t="n">
        <v>0.6899999999999999</v>
      </c>
      <c r="K62" s="32" t="n">
        <v>90177</v>
      </c>
      <c r="L62" s="31" t="n">
        <v>69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76.29000000000001</v>
      </c>
      <c r="P62" s="32" t="n">
        <v>63.08</v>
      </c>
      <c r="Q62" s="32" t="n">
        <v>448.82</v>
      </c>
      <c r="R62" s="31" t="inlineStr">
        <is>
          <t>Near 52W High Breakout</t>
        </is>
      </c>
      <c r="S62" s="31" t="inlineStr">
        <is>
          <t>Nifty 50</t>
        </is>
      </c>
      <c r="T62" s="32" t="n">
        <v>-5.05</v>
      </c>
      <c r="U62" s="32" t="n">
        <v>43.19</v>
      </c>
      <c r="V62" s="32" t="n">
        <v>50.8</v>
      </c>
      <c r="W62" s="32" t="n">
        <v>19.13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IF(B63=0,"",RANK(B63,$B$2:$B$407,0))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BELRISE</t>
        </is>
      </c>
      <c r="D63" s="31" t="inlineStr">
        <is>
          <t>Belrise Industries Ltd</t>
        </is>
      </c>
      <c r="E63" s="31" t="inlineStr">
        <is>
          <t>auto</t>
        </is>
      </c>
      <c r="F63" s="31" t="inlineStr">
        <is>
          <t>auto ancillaries</t>
        </is>
      </c>
      <c r="G63" s="31" t="inlineStr">
        <is>
          <t>largecap</t>
        </is>
      </c>
      <c r="H63" s="32" t="n">
        <v>21090.14</v>
      </c>
      <c r="I63" s="32" t="n">
        <v>238.2</v>
      </c>
      <c r="J63" s="32" t="n">
        <v>0.51</v>
      </c>
      <c r="K63" s="32" t="n">
        <v>6308157</v>
      </c>
      <c r="L63" s="31" t="n">
        <v>80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69.22</v>
      </c>
      <c r="P63" s="32" t="n">
        <v>55.21</v>
      </c>
      <c r="Q63" s="32" t="n">
        <v>197.62</v>
      </c>
      <c r="R63" s="31" t="inlineStr">
        <is>
          <t>Near 52W High Breakout</t>
        </is>
      </c>
      <c r="S63" s="31" t="inlineStr">
        <is>
          <t>Nifty Auto</t>
        </is>
      </c>
      <c r="T63" s="32" t="n">
        <v>13.04</v>
      </c>
      <c r="U63" s="32" t="n">
        <v>131.63</v>
      </c>
      <c r="V63" s="32" t="n">
        <v>104.9</v>
      </c>
      <c r="W63" s="32" t="n">
        <v>24.97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IF(B64=0,"",RANK(B64,$B$2:$B$407,0))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RRKABEL</t>
        </is>
      </c>
      <c r="D64" s="31" t="inlineStr">
        <is>
          <t>R R Kabel Ltd</t>
        </is>
      </c>
      <c r="E64" s="31" t="inlineStr">
        <is>
          <t>industrials</t>
        </is>
      </c>
      <c r="F64" s="31" t="inlineStr">
        <is>
          <t>cables - power</t>
        </is>
      </c>
      <c r="G64" s="31" t="inlineStr">
        <is>
          <t>largecap</t>
        </is>
      </c>
      <c r="H64" s="32" t="n">
        <v>26938.34</v>
      </c>
      <c r="I64" s="32" t="n">
        <v>2393.5</v>
      </c>
      <c r="J64" s="32" t="n">
        <v>0.5</v>
      </c>
      <c r="K64" s="32" t="n">
        <v>352987</v>
      </c>
      <c r="L64" s="31" t="n">
        <v>88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74.97</v>
      </c>
      <c r="P64" s="32" t="n">
        <v>51.29</v>
      </c>
      <c r="Q64" s="32" t="n">
        <v>1990.36</v>
      </c>
      <c r="R64" s="31" t="inlineStr">
        <is>
          <t>Near 52W High Breakout</t>
        </is>
      </c>
      <c r="S64" s="31" t="inlineStr">
        <is>
          <t>Nifty Energy</t>
        </is>
      </c>
      <c r="T64" s="32" t="n">
        <v>8.76</v>
      </c>
      <c r="U64" s="32" t="n">
        <v>75.86</v>
      </c>
      <c r="V64" s="32" t="n">
        <v>61.7</v>
      </c>
      <c r="W64" s="32" t="n">
        <v>32.12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IF(B65=0,"",RANK(B65,$B$2:$B$407,0))</f>
        <v/>
      </c>
      <c r="B65" s="32">
        <f>SUM(N65,Y65,AA65,AC65,AE65,AG65,AI65,AK65,AM65,AO65,AQ65,AS65,AU65,AW65,AY65,BA65,BC65,BE65,BG65,BI65,BK65,BM65,BO65,BQ65,BS65,BU65,BW65,BY65,CA65,CC65,CE65)</f>
        <v/>
      </c>
      <c r="C65" s="33" t="inlineStr">
        <is>
          <t>IMPAL</t>
        </is>
      </c>
      <c r="D65" s="33" t="inlineStr">
        <is>
          <t>India Motor Parts And Accessories Limited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smallcap</t>
        </is>
      </c>
      <c r="H65" s="32" t="n">
        <v>1379.04</v>
      </c>
      <c r="I65" s="32" t="n">
        <v>1110</v>
      </c>
      <c r="J65" s="32" t="n">
        <v>0.45</v>
      </c>
      <c r="K65" s="32" t="n">
        <v>2891</v>
      </c>
      <c r="L65" s="31" t="n">
        <v>7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61.76</v>
      </c>
      <c r="P65" s="32" t="n">
        <v>20.88</v>
      </c>
      <c r="Q65" s="32" t="n">
        <v>927.66</v>
      </c>
      <c r="R65" s="31" t="inlineStr">
        <is>
          <t>Near 52W High Breakout</t>
        </is>
      </c>
      <c r="S65" s="31" t="inlineStr">
        <is>
          <t>Nifty Auto</t>
        </is>
      </c>
      <c r="T65" s="32" t="n">
        <v>13.04</v>
      </c>
      <c r="U65" s="32" t="n">
        <v>-0.6899999999999999</v>
      </c>
      <c r="V65" s="32" t="n">
        <v>-12.15</v>
      </c>
      <c r="W65" s="32" t="n">
        <v>3.1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IF(B66=0,"",RANK(B66,$B$2:$B$407,0))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AVALON</t>
        </is>
      </c>
      <c r="D66" s="31" t="inlineStr">
        <is>
          <t>Avalon Technologies Ltd</t>
        </is>
      </c>
      <c r="E66" s="31" t="inlineStr">
        <is>
          <t>consumer discretionary</t>
        </is>
      </c>
      <c r="F66" s="31" t="inlineStr">
        <is>
          <t>electronics - components</t>
        </is>
      </c>
      <c r="G66" s="31" t="inlineStr">
        <is>
          <t>midcap</t>
        </is>
      </c>
      <c r="H66" s="32" t="n">
        <v>11986.53</v>
      </c>
      <c r="I66" s="32" t="n">
        <v>1797</v>
      </c>
      <c r="J66" s="32" t="n">
        <v>0.09</v>
      </c>
      <c r="K66" s="32" t="n">
        <v>365467</v>
      </c>
      <c r="L66" s="31" t="n">
        <v>92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78.92</v>
      </c>
      <c r="P66" s="32" t="n">
        <v>47.43</v>
      </c>
      <c r="Q66" s="32" t="n">
        <v>1361.72</v>
      </c>
      <c r="R66" s="31" t="inlineStr">
        <is>
          <t>Near 52W High Breakout</t>
        </is>
      </c>
      <c r="S66" s="31" t="inlineStr">
        <is>
          <t>Nifty 50</t>
        </is>
      </c>
      <c r="T66" s="32" t="n">
        <v>-5.05</v>
      </c>
      <c r="U66" s="32" t="n">
        <v>116.22</v>
      </c>
      <c r="V66" s="32" t="n">
        <v>127.72</v>
      </c>
      <c r="W66" s="32" t="n">
        <v>40.05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IF(B67=0,"",RANK(B67,$B$2:$B$407,0))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HITECHCORP</t>
        </is>
      </c>
      <c r="D67" s="31" t="inlineStr">
        <is>
          <t>Hitech Corporation</t>
        </is>
      </c>
      <c r="E67" s="31" t="inlineStr">
        <is>
          <t>industrials</t>
        </is>
      </c>
      <c r="F67" s="31" t="inlineStr">
        <is>
          <t>packaging</t>
        </is>
      </c>
      <c r="G67" s="31" t="inlineStr">
        <is>
          <t>smallcap</t>
        </is>
      </c>
      <c r="H67" s="32" t="n">
        <v>542.75</v>
      </c>
      <c r="I67" s="32" t="n">
        <v>316</v>
      </c>
      <c r="J67" s="32" t="n">
        <v>0</v>
      </c>
      <c r="K67" s="32" t="n">
        <v>8841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79.77</v>
      </c>
      <c r="P67" s="32" t="n">
        <v>40.63</v>
      </c>
      <c r="Q67" s="32" t="n">
        <v>243.33</v>
      </c>
      <c r="R67" s="31" t="inlineStr">
        <is>
          <t>Near 52W High Breakout</t>
        </is>
      </c>
      <c r="S67" s="31" t="inlineStr">
        <is>
          <t>Nifty 50</t>
        </is>
      </c>
      <c r="T67" s="32" t="n">
        <v>-5.05</v>
      </c>
      <c r="U67" s="32" t="n">
        <v>51.74</v>
      </c>
      <c r="V67" s="32" t="n">
        <v>59.8</v>
      </c>
      <c r="W67" s="32" t="n">
        <v>46.73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IF(B68=0,"",RANK(B68,$B$2:$B$407,0))</f>
        <v/>
      </c>
      <c r="B68" s="32">
        <f>SUM(N68,Y68,AA68,AC68,AE68,AG68,AI68,AK68,AM68,AO68,AQ68,AS68,AU68,AW68,AY68,BA68,BC68,BE68,BG68,BI68,BK68,BM68,BO68,BQ68,BS68,BU68,BW68,BY68,CA68,CC68,CE68)</f>
        <v/>
      </c>
      <c r="C68" s="33" t="inlineStr">
        <is>
          <t>SOMANYCERA</t>
        </is>
      </c>
      <c r="D68" s="33" t="inlineStr">
        <is>
          <t>Somany Ceramics Limited</t>
        </is>
      </c>
      <c r="E68" s="31" t="inlineStr">
        <is>
          <t>building materials</t>
        </is>
      </c>
      <c r="F68" s="31" t="inlineStr">
        <is>
          <t>ceramics - tiles / sanitaryware</t>
        </is>
      </c>
      <c r="G68" s="31" t="inlineStr">
        <is>
          <t>smallcap</t>
        </is>
      </c>
      <c r="H68" s="32" t="n">
        <v>2211.62</v>
      </c>
      <c r="I68" s="32" t="n">
        <v>535.65</v>
      </c>
      <c r="J68" s="32" t="n">
        <v>-0.67</v>
      </c>
      <c r="K68" s="32" t="n">
        <v>74882</v>
      </c>
      <c r="L68" s="31" t="n">
        <v>28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65.48999999999999</v>
      </c>
      <c r="P68" s="32" t="n">
        <v>25.82</v>
      </c>
      <c r="Q68" s="32" t="n">
        <v>412.85</v>
      </c>
      <c r="R68" s="31" t="inlineStr">
        <is>
          <t>Near 52W High Breakout</t>
        </is>
      </c>
      <c r="S68" s="31" t="inlineStr">
        <is>
          <t>Nifty Infra</t>
        </is>
      </c>
      <c r="T68" s="32" t="n">
        <v>0.23</v>
      </c>
      <c r="U68" s="32" t="n">
        <v>-7.96</v>
      </c>
      <c r="V68" s="32" t="n">
        <v>-8.17</v>
      </c>
      <c r="W68" s="32" t="n">
        <v>8.109999999999999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IF(B69=0,"",RANK(B69,$B$2:$B$407,0))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INDOTECH</t>
        </is>
      </c>
      <c r="D69" s="31" t="inlineStr">
        <is>
          <t>Indo Tech Transformers Limited</t>
        </is>
      </c>
      <c r="E69" s="31" t="inlineStr">
        <is>
          <t>industrials</t>
        </is>
      </c>
      <c r="F69" s="31" t="inlineStr">
        <is>
          <t>electric equipment</t>
        </is>
      </c>
      <c r="G69" s="31" t="inlineStr">
        <is>
          <t>smallcap</t>
        </is>
      </c>
      <c r="H69" s="32" t="n">
        <v>3440.77</v>
      </c>
      <c r="I69" s="32" t="n">
        <v>3211</v>
      </c>
      <c r="J69" s="32" t="n">
        <v>-0.89</v>
      </c>
      <c r="K69" s="32" t="n">
        <v>26616</v>
      </c>
      <c r="L69" s="31" t="n">
        <v>96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73.11</v>
      </c>
      <c r="P69" s="32" t="n">
        <v>42.46</v>
      </c>
      <c r="Q69" s="32" t="n">
        <v>2316.97</v>
      </c>
      <c r="R69" s="31" t="inlineStr">
        <is>
          <t>Near 52W High Breakout</t>
        </is>
      </c>
      <c r="S69" s="31" t="inlineStr">
        <is>
          <t>Nifty Infra</t>
        </is>
      </c>
      <c r="T69" s="32" t="n">
        <v>0.23</v>
      </c>
      <c r="U69" s="32" t="n">
        <v>66.53</v>
      </c>
      <c r="V69" s="32" t="n">
        <v>66.14</v>
      </c>
      <c r="W69" s="32" t="n">
        <v>54.75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Between 12 to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IF(B70=0,"",RANK(B70,$B$2:$B$407,0))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CEIGALL</t>
        </is>
      </c>
      <c r="D70" s="31" t="inlineStr">
        <is>
          <t>Ceigall India Ltd</t>
        </is>
      </c>
      <c r="E70" s="31" t="inlineStr">
        <is>
          <t>realty</t>
        </is>
      </c>
      <c r="F70" s="31" t="inlineStr">
        <is>
          <t>construction</t>
        </is>
      </c>
      <c r="G70" s="31" t="inlineStr">
        <is>
          <t>midcap</t>
        </is>
      </c>
      <c r="H70" s="32" t="n">
        <v>6830.57</v>
      </c>
      <c r="I70" s="32" t="n">
        <v>385.5</v>
      </c>
      <c r="J70" s="32" t="n">
        <v>-1.68</v>
      </c>
      <c r="K70" s="32" t="n">
        <v>346961</v>
      </c>
      <c r="L70" s="31" t="n">
        <v>62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73.91</v>
      </c>
      <c r="P70" s="32" t="n">
        <v>50.96</v>
      </c>
      <c r="Q70" s="32" t="n">
        <v>305.14</v>
      </c>
      <c r="R70" s="31" t="inlineStr">
        <is>
          <t>Near 52W High Breakout</t>
        </is>
      </c>
      <c r="S70" s="31" t="inlineStr">
        <is>
          <t>Nifty Realty</t>
        </is>
      </c>
      <c r="T70" s="32" t="n">
        <v>-10.31</v>
      </c>
      <c r="U70" s="32" t="n">
        <v>42.94</v>
      </c>
      <c r="V70" s="32" t="n">
        <v>59.38</v>
      </c>
      <c r="W70" s="32" t="n">
        <v>16.35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IF(B71=0,"",RANK(B71,$B$2:$B$407,0))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PARACABLES</t>
        </is>
      </c>
      <c r="D71" s="31" t="inlineStr">
        <is>
          <t>Paramount Communications Limited</t>
        </is>
      </c>
      <c r="E71" s="31" t="inlineStr">
        <is>
          <t>industrials</t>
        </is>
      </c>
      <c r="F71" s="31" t="inlineStr">
        <is>
          <t>cables - power</t>
        </is>
      </c>
      <c r="G71" s="31" t="inlineStr">
        <is>
          <t>smallcap</t>
        </is>
      </c>
      <c r="H71" s="32" t="n">
        <v>2262.52</v>
      </c>
      <c r="I71" s="32" t="n">
        <v>71.87</v>
      </c>
      <c r="J71" s="32" t="n">
        <v>-3.05</v>
      </c>
      <c r="K71" s="32" t="n">
        <v>2758251</v>
      </c>
      <c r="L71" s="31" t="n">
        <v>91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71.98999999999999</v>
      </c>
      <c r="P71" s="32" t="n">
        <v>42.63</v>
      </c>
      <c r="Q71" s="32" t="n">
        <v>50.81</v>
      </c>
      <c r="R71" s="31" t="inlineStr">
        <is>
          <t>Near 52W High Breakout</t>
        </is>
      </c>
      <c r="S71" s="31" t="inlineStr">
        <is>
          <t>Nifty Energy</t>
        </is>
      </c>
      <c r="T71" s="32" t="n">
        <v>8.76</v>
      </c>
      <c r="U71" s="32" t="n">
        <v>21.71</v>
      </c>
      <c r="V71" s="32" t="n">
        <v>11.91</v>
      </c>
      <c r="W71" s="32" t="n">
        <v>37.59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IF(B72=0,"",RANK(B72,$B$2:$B$407,0))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BHAGYANGR</t>
        </is>
      </c>
      <c r="D72" s="31" t="inlineStr">
        <is>
          <t>Bhagyanagar India</t>
        </is>
      </c>
      <c r="E72" s="31" t="inlineStr">
        <is>
          <t>power &amp; utilities</t>
        </is>
      </c>
      <c r="F72" s="31" t="inlineStr">
        <is>
          <t>power generation and supply</t>
        </is>
      </c>
      <c r="G72" s="31" t="inlineStr">
        <is>
          <t>smallcap</t>
        </is>
      </c>
      <c r="H72" s="32" t="n">
        <v>1312.75</v>
      </c>
      <c r="I72" s="32" t="n">
        <v>389.8</v>
      </c>
      <c r="J72" s="32" t="n">
        <v>-5</v>
      </c>
      <c r="K72" s="32" t="n">
        <v>128196</v>
      </c>
      <c r="L72" s="31" t="n">
        <v>98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81.75</v>
      </c>
      <c r="P72" s="32" t="n">
        <v>66.38</v>
      </c>
      <c r="Q72" s="32" t="n">
        <v>277.18</v>
      </c>
      <c r="R72" s="31" t="inlineStr">
        <is>
          <t>Near 52W High Breakout</t>
        </is>
      </c>
      <c r="S72" s="31" t="inlineStr">
        <is>
          <t>Nifty IT</t>
        </is>
      </c>
      <c r="T72" s="32" t="n">
        <v>-31.15</v>
      </c>
      <c r="U72" s="32" t="n">
        <v>391.92</v>
      </c>
      <c r="V72" s="32" t="n">
        <v>614.52</v>
      </c>
      <c r="W72" s="32" t="n">
        <v>79.27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IF(B73=0,"",RANK(B73,$B$2:$B$407,0))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ACUTAAS</t>
        </is>
      </c>
      <c r="D73" s="31" t="inlineStr">
        <is>
          <t>Acutaas Chemicals Ltd</t>
        </is>
      </c>
      <c r="E73" s="31" t="inlineStr">
        <is>
          <t>healthcare</t>
        </is>
      </c>
      <c r="F73" s="31" t="inlineStr">
        <is>
          <t>pharmaceuticals - indian - bulk drugs</t>
        </is>
      </c>
      <c r="G73" s="31" t="inlineStr">
        <is>
          <t>largecap</t>
        </is>
      </c>
      <c r="H73" s="32" t="n">
        <v>29207.52</v>
      </c>
      <c r="I73" s="32" t="n">
        <v>3691.8</v>
      </c>
      <c r="J73" s="32" t="n">
        <v>3.48</v>
      </c>
      <c r="K73" s="32" t="n">
        <v>402275</v>
      </c>
      <c r="L73" s="31" t="n">
        <v>93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79.06</v>
      </c>
      <c r="P73" s="32" t="n">
        <v>64.95</v>
      </c>
      <c r="Q73" s="32" t="n">
        <v>2900.68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13.06</v>
      </c>
      <c r="U73" s="32" t="n">
        <v>229.34</v>
      </c>
      <c r="V73" s="32" t="n">
        <v>191.29</v>
      </c>
      <c r="W73" s="32" t="n">
        <v>44.08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IF(B74=0,"",RANK(B74,$B$2:$B$407,0))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NINSYS</t>
        </is>
      </c>
      <c r="D74" s="31" t="inlineStr">
        <is>
          <t>NINtec Systems Ltd</t>
        </is>
      </c>
      <c r="E74" s="31" t="inlineStr">
        <is>
          <t>i.t</t>
        </is>
      </c>
      <c r="F74" s="31" t="inlineStr">
        <is>
          <t>computers - software - medium / small</t>
        </is>
      </c>
      <c r="G74" s="31" t="inlineStr">
        <is>
          <t>smallcap</t>
        </is>
      </c>
      <c r="H74" s="32" t="n">
        <v>1559.73</v>
      </c>
      <c r="I74" s="32" t="n">
        <v>865</v>
      </c>
      <c r="J74" s="32" t="n">
        <v>3.02</v>
      </c>
      <c r="K74" s="32" t="n">
        <v>7602</v>
      </c>
      <c r="L74" s="31" t="n">
        <v>94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86.01000000000001</v>
      </c>
      <c r="P74" s="32" t="n">
        <v>59.61</v>
      </c>
      <c r="Q74" s="32" t="n">
        <v>666.98</v>
      </c>
      <c r="R74" s="31" t="inlineStr">
        <is>
          <t>Near 52W High Breakout</t>
        </is>
      </c>
      <c r="S74" s="31" t="inlineStr">
        <is>
          <t>Nifty IT</t>
        </is>
      </c>
      <c r="T74" s="32" t="n">
        <v>-31.15</v>
      </c>
      <c r="U74" s="32" t="n">
        <v>92.20999999999999</v>
      </c>
      <c r="V74" s="32" t="n">
        <v>179.18</v>
      </c>
      <c r="W74" s="32" t="n">
        <v>47.06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IF(B75=0,"",RANK(B75,$B$2:$B$407,0))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VADILALIND</t>
        </is>
      </c>
      <c r="D75" s="31" t="inlineStr">
        <is>
          <t>Vadilal Industries Limited</t>
        </is>
      </c>
      <c r="E75" s="31" t="inlineStr">
        <is>
          <t>fmcg</t>
        </is>
      </c>
      <c r="F75" s="31" t="inlineStr">
        <is>
          <t>food - processing - indian</t>
        </is>
      </c>
      <c r="G75" s="31" t="inlineStr">
        <is>
          <t>smallcap</t>
        </is>
      </c>
      <c r="H75" s="32" t="n">
        <v>4374.15</v>
      </c>
      <c r="I75" s="32" t="n">
        <v>6155</v>
      </c>
      <c r="J75" s="32" t="n">
        <v>1.14</v>
      </c>
      <c r="K75" s="32" t="n">
        <v>9798</v>
      </c>
      <c r="L75" s="31" t="n">
        <v>52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66.26000000000001</v>
      </c>
      <c r="P75" s="32" t="n">
        <v>20.67</v>
      </c>
      <c r="Q75" s="32" t="n">
        <v>4998.58</v>
      </c>
      <c r="R75" s="31" t="inlineStr">
        <is>
          <t>Near 52W High Breakout</t>
        </is>
      </c>
      <c r="S75" s="31" t="inlineStr">
        <is>
          <t>Nifty FMCG</t>
        </is>
      </c>
      <c r="T75" s="32" t="n">
        <v>-8.5</v>
      </c>
      <c r="U75" s="32" t="n">
        <v>16.38</v>
      </c>
      <c r="V75" s="32" t="n">
        <v>27.18</v>
      </c>
      <c r="W75" s="32" t="n">
        <v>13.75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IF(B76=0,"",RANK(B76,$B$2:$B$407,0))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PANACEABIO</t>
        </is>
      </c>
      <c r="D76" s="31" t="inlineStr">
        <is>
          <t>Panacea Biotec Limited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smallcap</t>
        </is>
      </c>
      <c r="H76" s="32" t="n">
        <v>3326.22</v>
      </c>
      <c r="I76" s="32" t="n">
        <v>548.25</v>
      </c>
      <c r="J76" s="32" t="n">
        <v>0.96</v>
      </c>
      <c r="K76" s="32" t="n">
        <v>226404</v>
      </c>
      <c r="L76" s="31" t="n">
        <v>78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74.62</v>
      </c>
      <c r="P76" s="32" t="n">
        <v>36.88</v>
      </c>
      <c r="Q76" s="32" t="n">
        <v>384.48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13.06</v>
      </c>
      <c r="U76" s="32" t="n">
        <v>33.61</v>
      </c>
      <c r="V76" s="32" t="n">
        <v>18.17</v>
      </c>
      <c r="W76" s="32" t="n">
        <v>23.37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IF(B77=0,"",RANK(B77,$B$2:$B$407,0))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MARICO</t>
        </is>
      </c>
      <c r="D77" s="31" t="inlineStr">
        <is>
          <t>Marico Limited</t>
        </is>
      </c>
      <c r="E77" s="31" t="inlineStr">
        <is>
          <t>fmcg</t>
        </is>
      </c>
      <c r="F77" s="31" t="inlineStr">
        <is>
          <t>solvent extraction</t>
        </is>
      </c>
      <c r="G77" s="31" t="inlineStr">
        <is>
          <t>largecap</t>
        </is>
      </c>
      <c r="H77" s="32" t="n">
        <v>110472.47</v>
      </c>
      <c r="I77" s="32" t="n">
        <v>856</v>
      </c>
      <c r="J77" s="32" t="n">
        <v>0.59</v>
      </c>
      <c r="K77" s="32" t="n">
        <v>1249388</v>
      </c>
      <c r="L77" s="31" t="n">
        <v>20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68.55</v>
      </c>
      <c r="P77" s="32" t="n">
        <v>20.62</v>
      </c>
      <c r="Q77" s="32" t="n">
        <v>758.7</v>
      </c>
      <c r="R77" s="31" t="inlineStr">
        <is>
          <t>Near 52W High Breakout</t>
        </is>
      </c>
      <c r="S77" s="31" t="inlineStr">
        <is>
          <t>Nifty FMCG</t>
        </is>
      </c>
      <c r="T77" s="32" t="n">
        <v>-8.5</v>
      </c>
      <c r="U77" s="32" t="n">
        <v>18.66</v>
      </c>
      <c r="V77" s="32" t="n">
        <v>29.67</v>
      </c>
      <c r="W77" s="32" t="n">
        <v>6.09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IF(B78=0,"",RANK(B78,$B$2:$B$407,0))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AUROPHARMA</t>
        </is>
      </c>
      <c r="D78" s="31" t="inlineStr">
        <is>
          <t>Aurobindo Pharma Limited</t>
        </is>
      </c>
      <c r="E78" s="31" t="inlineStr">
        <is>
          <t>healthcare</t>
        </is>
      </c>
      <c r="F78" s="31" t="inlineStr">
        <is>
          <t>pharmaceuticals - indian - bulk drugs &amp; formln</t>
        </is>
      </c>
      <c r="G78" s="31" t="inlineStr">
        <is>
          <t>largecap</t>
        </is>
      </c>
      <c r="H78" s="32" t="n">
        <v>90175.25999999999</v>
      </c>
      <c r="I78" s="32" t="n">
        <v>1561</v>
      </c>
      <c r="J78" s="32" t="n">
        <v>0.54</v>
      </c>
      <c r="K78" s="32" t="n">
        <v>647847</v>
      </c>
      <c r="L78" s="31" t="n">
        <v>34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72.84999999999999</v>
      </c>
      <c r="P78" s="32" t="n">
        <v>45.16</v>
      </c>
      <c r="Q78" s="32" t="n">
        <v>1328.91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13.06</v>
      </c>
      <c r="U78" s="32" t="n">
        <v>31.53</v>
      </c>
      <c r="V78" s="32" t="n">
        <v>16.33</v>
      </c>
      <c r="W78" s="32" t="n">
        <v>9.42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IF(B79=0,"",RANK(B79,$B$2:$B$407,0))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TINNARUBR</t>
        </is>
      </c>
      <c r="D79" s="31" t="inlineStr">
        <is>
          <t>Tinna Rubber &amp; Infrastructure Ltd</t>
        </is>
      </c>
      <c r="E79" s="31" t="inlineStr">
        <is>
          <t>fmcg</t>
        </is>
      </c>
      <c r="F79" s="31" t="inlineStr">
        <is>
          <t>miscellaneous</t>
        </is>
      </c>
      <c r="G79" s="31" t="inlineStr">
        <is>
          <t>smallcap</t>
        </is>
      </c>
      <c r="H79" s="32" t="n">
        <v>1725.64</v>
      </c>
      <c r="I79" s="32" t="n">
        <v>955.25</v>
      </c>
      <c r="J79" s="32" t="n">
        <v>-0.27</v>
      </c>
      <c r="K79" s="32" t="n">
        <v>42511</v>
      </c>
      <c r="L79" s="31" t="n">
        <v>59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63.82</v>
      </c>
      <c r="P79" s="32" t="n">
        <v>24.52</v>
      </c>
      <c r="Q79" s="32" t="n">
        <v>703.33</v>
      </c>
      <c r="R79" s="31" t="inlineStr">
        <is>
          <t>Earnings / Momentum Support</t>
        </is>
      </c>
      <c r="S79" s="31" t="inlineStr">
        <is>
          <t>Nifty FMCG</t>
        </is>
      </c>
      <c r="T79" s="32" t="n">
        <v>-8.5</v>
      </c>
      <c r="U79" s="32" t="n">
        <v>3.02</v>
      </c>
      <c r="V79" s="32" t="n">
        <v>12.58</v>
      </c>
      <c r="W79" s="32" t="n">
        <v>15.47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IF(B80=0,"",RANK(B80,$B$2:$B$407,0))</f>
        <v/>
      </c>
      <c r="B80" s="32">
        <f>SUM(N80,Y80,AA80,AC80,AE80,AG80,AI80,AK80,AM80,AO80,AQ80,AS80,AU80,AW80,AY80,BA80,BC80,BE80,BG80,BI80,BK80,BM80,BO80,BQ80,BS80,BU80,BW80,BY80,CA80,CC80,CE80)</f>
        <v/>
      </c>
      <c r="C80" s="33" t="inlineStr">
        <is>
          <t>MARKSANS</t>
        </is>
      </c>
      <c r="D80" s="33" t="inlineStr">
        <is>
          <t>Marksans Pharma Limited</t>
        </is>
      </c>
      <c r="E80" s="31" t="inlineStr">
        <is>
          <t>healthcare</t>
        </is>
      </c>
      <c r="F80" s="31" t="inlineStr">
        <is>
          <t>pharmaceuticals - indian - formulations</t>
        </is>
      </c>
      <c r="G80" s="31" t="inlineStr">
        <is>
          <t>midcap</t>
        </is>
      </c>
      <c r="H80" s="32" t="n">
        <v>12183.31</v>
      </c>
      <c r="I80" s="32" t="n">
        <v>267.2</v>
      </c>
      <c r="J80" s="32" t="n">
        <v>-0.61</v>
      </c>
      <c r="K80" s="32" t="n">
        <v>1336544</v>
      </c>
      <c r="L80" s="31" t="n">
        <v>63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73.81</v>
      </c>
      <c r="P80" s="32" t="n">
        <v>39.03</v>
      </c>
      <c r="Q80" s="32" t="n">
        <v>206.94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13.06</v>
      </c>
      <c r="U80" s="32" t="n">
        <v>1.94</v>
      </c>
      <c r="V80" s="32" t="n">
        <v>-9.84</v>
      </c>
      <c r="W80" s="32" t="n">
        <v>16.61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IF(B81=0,"",RANK(B81,$B$2:$B$407,0))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SKMEGGPROD</t>
        </is>
      </c>
      <c r="D81" s="31" t="inlineStr">
        <is>
          <t>Skm Egg Products Export (india) Limited</t>
        </is>
      </c>
      <c r="E81" s="31" t="inlineStr">
        <is>
          <t>fmcg</t>
        </is>
      </c>
      <c r="F81" s="31" t="inlineStr">
        <is>
          <t>food - processing - indian</t>
        </is>
      </c>
      <c r="G81" s="31" t="inlineStr">
        <is>
          <t>smallcap</t>
        </is>
      </c>
      <c r="H81" s="32" t="n">
        <v>1670.9</v>
      </c>
      <c r="I81" s="32" t="n">
        <v>313.35</v>
      </c>
      <c r="J81" s="32" t="n">
        <v>-1.24</v>
      </c>
      <c r="K81" s="32" t="n">
        <v>812872</v>
      </c>
      <c r="L81" s="31" t="n">
        <v>93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79.31999999999999</v>
      </c>
      <c r="P81" s="32" t="n">
        <v>30.71</v>
      </c>
      <c r="Q81" s="32" t="n">
        <v>228.38</v>
      </c>
      <c r="R81" s="31" t="inlineStr">
        <is>
          <t>Near 52W High Breakout</t>
        </is>
      </c>
      <c r="S81" s="31" t="inlineStr">
        <is>
          <t>Nifty FMCG</t>
        </is>
      </c>
      <c r="T81" s="32" t="n">
        <v>-8.5</v>
      </c>
      <c r="U81" s="32" t="n">
        <v>135.16</v>
      </c>
      <c r="V81" s="32" t="n">
        <v>156.99</v>
      </c>
      <c r="W81" s="32" t="n">
        <v>44.12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IF(B82=0,"",RANK(B82,$B$2:$B$407,0))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UFBL</t>
        </is>
      </c>
      <c r="D82" s="31" t="inlineStr">
        <is>
          <t>United Foodbrands Ltd</t>
        </is>
      </c>
      <c r="E82" s="31" t="inlineStr">
        <is>
          <t>consumer discretionary</t>
        </is>
      </c>
      <c r="F82" s="31" t="inlineStr">
        <is>
          <t>hotels</t>
        </is>
      </c>
      <c r="G82" s="31" t="inlineStr">
        <is>
          <t>smallcap</t>
        </is>
      </c>
      <c r="H82" s="32" t="n">
        <v>2505.24</v>
      </c>
      <c r="I82" s="32" t="n">
        <v>672.95</v>
      </c>
      <c r="J82" s="32" t="n">
        <v>4.99</v>
      </c>
      <c r="K82" s="32" t="n">
        <v>129239</v>
      </c>
      <c r="L82" s="31" t="n">
        <v>98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81.89</v>
      </c>
      <c r="P82" s="32" t="n">
        <v>47.86</v>
      </c>
      <c r="Q82" s="32" t="n">
        <v>512.9299999999999</v>
      </c>
      <c r="R82" s="31" t="inlineStr">
        <is>
          <t>Near 52W High Breakout</t>
        </is>
      </c>
      <c r="S82" s="31" t="inlineStr">
        <is>
          <t>Nifty 50</t>
        </is>
      </c>
      <c r="T82" s="32" t="n">
        <v>-5.05</v>
      </c>
      <c r="U82" s="32" t="n">
        <v>112.62</v>
      </c>
      <c r="V82" s="32" t="n">
        <v>123.93</v>
      </c>
      <c r="W82" s="32" t="n">
        <v>79.5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IF(B83=0,"",RANK(B83,$B$2:$B$407,0))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VISHNU</t>
        </is>
      </c>
      <c r="D83" s="31" t="inlineStr">
        <is>
          <t>Vishnu Chemicals Limited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4066.85</v>
      </c>
      <c r="I83" s="32" t="n">
        <v>630.5</v>
      </c>
      <c r="J83" s="32" t="n">
        <v>4.36</v>
      </c>
      <c r="K83" s="32" t="n">
        <v>133179</v>
      </c>
      <c r="L83" s="31" t="n">
        <v>35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65.91</v>
      </c>
      <c r="P83" s="32" t="n">
        <v>46.77</v>
      </c>
      <c r="Q83" s="32" t="n">
        <v>499.31</v>
      </c>
      <c r="R83" s="31" t="inlineStr">
        <is>
          <t>Near 52W High Breakout</t>
        </is>
      </c>
      <c r="S83" s="31" t="inlineStr">
        <is>
          <t>Nifty 50</t>
        </is>
      </c>
      <c r="T83" s="32" t="n">
        <v>-5.05</v>
      </c>
      <c r="U83" s="32" t="n">
        <v>22.81</v>
      </c>
      <c r="V83" s="32" t="n">
        <v>29.34</v>
      </c>
      <c r="W83" s="32" t="n">
        <v>9.73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IF(B84=0,"",RANK(B84,$B$2:$B$407,0))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SWANDEF</t>
        </is>
      </c>
      <c r="D84" s="31" t="inlineStr">
        <is>
          <t>Swan Defence and Heavy Industries Ltd</t>
        </is>
      </c>
      <c r="E84" s="31" t="inlineStr">
        <is>
          <t>transportation</t>
        </is>
      </c>
      <c r="F84" s="31" t="inlineStr">
        <is>
          <t>miscellaneous</t>
        </is>
      </c>
      <c r="G84" s="31" t="inlineStr">
        <is>
          <t>midcap</t>
        </is>
      </c>
      <c r="H84" s="32" t="n">
        <v>11881.93</v>
      </c>
      <c r="I84" s="32" t="n">
        <v>2343.8</v>
      </c>
      <c r="J84" s="32" t="n">
        <v>3.92</v>
      </c>
      <c r="K84" s="32" t="n">
        <v>34130</v>
      </c>
      <c r="L84" s="31" t="n">
        <v>98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70</v>
      </c>
      <c r="P84" s="32" t="n">
        <v>42.04</v>
      </c>
      <c r="Q84" s="32" t="n">
        <v>1808.83</v>
      </c>
      <c r="R84" s="31" t="inlineStr">
        <is>
          <t>Near 52W High Breakout</t>
        </is>
      </c>
      <c r="S84" s="31" t="inlineStr">
        <is>
          <t>Nifty 50</t>
        </is>
      </c>
      <c r="T84" s="32" t="n">
        <v>-5.05</v>
      </c>
      <c r="U84" s="32" t="n">
        <v>830.15</v>
      </c>
      <c r="V84" s="32" t="n">
        <v>879.6</v>
      </c>
      <c r="W84" s="32" t="n">
        <v>77.52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IF(B85=0,"",RANK(B85,$B$2:$B$407,0))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ORIENTHOT</t>
        </is>
      </c>
      <c r="D85" s="31" t="inlineStr">
        <is>
          <t>Oriental Hotels Limited</t>
        </is>
      </c>
      <c r="E85" s="31" t="inlineStr">
        <is>
          <t>services</t>
        </is>
      </c>
      <c r="F85" s="31" t="inlineStr">
        <is>
          <t>hotels</t>
        </is>
      </c>
      <c r="G85" s="31" t="inlineStr">
        <is>
          <t>smallcap</t>
        </is>
      </c>
      <c r="H85" s="32" t="n">
        <v>2453.6</v>
      </c>
      <c r="I85" s="32" t="n">
        <v>141.16</v>
      </c>
      <c r="J85" s="32" t="n">
        <v>2.75</v>
      </c>
      <c r="K85" s="32" t="n">
        <v>1464614</v>
      </c>
      <c r="L85" s="31" t="n">
        <v>54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69.87</v>
      </c>
      <c r="P85" s="32" t="n">
        <v>21.29</v>
      </c>
      <c r="Q85" s="32" t="n">
        <v>106.92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-5.05</v>
      </c>
      <c r="U85" s="32" t="n">
        <v>-2.31</v>
      </c>
      <c r="V85" s="32" t="n">
        <v>2.89</v>
      </c>
      <c r="W85" s="32" t="n">
        <v>14.26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IF(B86=0,"",RANK(B86,$B$2:$B$407,0))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ASTRAMICRO</t>
        </is>
      </c>
      <c r="D86" s="31" t="inlineStr">
        <is>
          <t>Astra Microwave Products Limited</t>
        </is>
      </c>
      <c r="E86" s="31" t="inlineStr">
        <is>
          <t>aerospace &amp; defence</t>
        </is>
      </c>
      <c r="F86" s="31" t="inlineStr">
        <is>
          <t>telecommunications - equipment</t>
        </is>
      </c>
      <c r="G86" s="31" t="inlineStr">
        <is>
          <t>midcap</t>
        </is>
      </c>
      <c r="H86" s="32" t="n">
        <v>16639.11</v>
      </c>
      <c r="I86" s="32" t="n">
        <v>1795.7</v>
      </c>
      <c r="J86" s="32" t="n">
        <v>2.47</v>
      </c>
      <c r="K86" s="32" t="n">
        <v>697917</v>
      </c>
      <c r="L86" s="31" t="n">
        <v>88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84.77</v>
      </c>
      <c r="P86" s="32" t="n">
        <v>43.05</v>
      </c>
      <c r="Q86" s="32" t="n">
        <v>1440.26</v>
      </c>
      <c r="R86" s="31" t="inlineStr">
        <is>
          <t>Near 52W High Breakout</t>
        </is>
      </c>
      <c r="S86" s="31" t="inlineStr">
        <is>
          <t>Nifty 50</t>
        </is>
      </c>
      <c r="T86" s="32" t="n">
        <v>-5.05</v>
      </c>
      <c r="U86" s="32" t="n">
        <v>67.20999999999999</v>
      </c>
      <c r="V86" s="32" t="n">
        <v>76.09999999999999</v>
      </c>
      <c r="W86" s="32" t="n">
        <v>33.21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IF(B87=0,"",RANK(B87,$B$2:$B$407,0))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DIFFNKG</t>
        </is>
      </c>
      <c r="D87" s="31" t="inlineStr">
        <is>
          <t>Diffusion Engineers Ltd</t>
        </is>
      </c>
      <c r="E87" s="31" t="inlineStr">
        <is>
          <t>industrials</t>
        </is>
      </c>
      <c r="F87" s="31" t="inlineStr">
        <is>
          <t>electrodes - welding equipment</t>
        </is>
      </c>
      <c r="G87" s="31" t="inlineStr">
        <is>
          <t>smallcap</t>
        </is>
      </c>
      <c r="H87" s="32" t="n">
        <v>1558.8</v>
      </c>
      <c r="I87" s="32" t="n">
        <v>425.35</v>
      </c>
      <c r="J87" s="32" t="n">
        <v>2.12</v>
      </c>
      <c r="K87" s="32" t="n">
        <v>126402</v>
      </c>
      <c r="L87" s="31" t="n">
        <v>70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74.54000000000001</v>
      </c>
      <c r="P87" s="32" t="n">
        <v>20.16</v>
      </c>
      <c r="Q87" s="32" t="n">
        <v>323.14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-5.05</v>
      </c>
      <c r="U87" s="32" t="n">
        <v>41.01</v>
      </c>
      <c r="V87" s="32" t="n">
        <v>48.5</v>
      </c>
      <c r="W87" s="32" t="n">
        <v>19.9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IF(B88=0,"",RANK(B88,$B$2:$B$407,0))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PRIVISCL</t>
        </is>
      </c>
      <c r="D88" s="31" t="inlineStr">
        <is>
          <t>Privi Speciality Chemicals Ltd</t>
        </is>
      </c>
      <c r="E88" s="31" t="inlineStr">
        <is>
          <t>chemicals</t>
        </is>
      </c>
      <c r="F88" s="31" t="inlineStr">
        <is>
          <t>chemicals</t>
        </is>
      </c>
      <c r="G88" s="31" t="inlineStr">
        <is>
          <t>midcap</t>
        </is>
      </c>
      <c r="H88" s="32" t="n">
        <v>14391.48</v>
      </c>
      <c r="I88" s="32" t="n">
        <v>3750.8</v>
      </c>
      <c r="J88" s="32" t="n">
        <v>1.81</v>
      </c>
      <c r="K88" s="32" t="n">
        <v>115368</v>
      </c>
      <c r="L88" s="31" t="n">
        <v>56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68.53</v>
      </c>
      <c r="P88" s="32" t="n">
        <v>23.27</v>
      </c>
      <c r="Q88" s="32" t="n">
        <v>3073.32</v>
      </c>
      <c r="R88" s="31" t="inlineStr">
        <is>
          <t>Near 52W High Breakout</t>
        </is>
      </c>
      <c r="S88" s="31" t="inlineStr">
        <is>
          <t>Nifty 50</t>
        </is>
      </c>
      <c r="T88" s="32" t="n">
        <v>-5.05</v>
      </c>
      <c r="U88" s="32" t="n">
        <v>52.19</v>
      </c>
      <c r="V88" s="32" t="n">
        <v>60.28</v>
      </c>
      <c r="W88" s="32" t="n">
        <v>14.79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IF(B89=0,"",RANK(B89,$B$2:$B$407,0))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SANSERA</t>
        </is>
      </c>
      <c r="D89" s="31" t="inlineStr">
        <is>
          <t>Sansera Engineering Ltd</t>
        </is>
      </c>
      <c r="E89" s="31" t="inlineStr">
        <is>
          <t>auto</t>
        </is>
      </c>
      <c r="F89" s="31" t="inlineStr">
        <is>
          <t>auto ancillaries</t>
        </is>
      </c>
      <c r="G89" s="31" t="inlineStr">
        <is>
          <t>midcap</t>
        </is>
      </c>
      <c r="H89" s="32" t="n">
        <v>19728.72</v>
      </c>
      <c r="I89" s="32" t="n">
        <v>3219.8</v>
      </c>
      <c r="J89" s="32" t="n">
        <v>1.73</v>
      </c>
      <c r="K89" s="32" t="n">
        <v>137182</v>
      </c>
      <c r="L89" s="31" t="n">
        <v>86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78.40000000000001</v>
      </c>
      <c r="P89" s="32" t="n">
        <v>45.8</v>
      </c>
      <c r="Q89" s="32" t="n">
        <v>2555.18</v>
      </c>
      <c r="R89" s="31" t="inlineStr">
        <is>
          <t>Near 52W High Breakout</t>
        </is>
      </c>
      <c r="S89" s="31" t="inlineStr">
        <is>
          <t>Nifty Auto</t>
        </is>
      </c>
      <c r="T89" s="32" t="n">
        <v>13.04</v>
      </c>
      <c r="U89" s="32" t="n">
        <v>133.23</v>
      </c>
      <c r="V89" s="32" t="n">
        <v>106.32</v>
      </c>
      <c r="W89" s="32" t="n">
        <v>30.12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IF(B90=0,"",RANK(B90,$B$2:$B$407,0))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KANORICHEM</t>
        </is>
      </c>
      <c r="D90" s="31" t="inlineStr">
        <is>
          <t>Kanoria Chemicals &amp; Industries Limited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smallcap</t>
        </is>
      </c>
      <c r="H90" s="32" t="n">
        <v>571.86</v>
      </c>
      <c r="I90" s="32" t="n">
        <v>133.1</v>
      </c>
      <c r="J90" s="32" t="n">
        <v>1.7</v>
      </c>
      <c r="K90" s="32" t="n">
        <v>99287</v>
      </c>
      <c r="L90" s="31" t="n">
        <v>91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76.29000000000001</v>
      </c>
      <c r="P90" s="32" t="n">
        <v>37.14</v>
      </c>
      <c r="Q90" s="32" t="n">
        <v>101.56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-5.05</v>
      </c>
      <c r="U90" s="32" t="n">
        <v>43.73</v>
      </c>
      <c r="V90" s="32" t="n">
        <v>51.37</v>
      </c>
      <c r="W90" s="32" t="n">
        <v>36.97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IF(B91=0,"",RANK(B91,$B$2:$B$407,0))</f>
        <v/>
      </c>
      <c r="B91" s="32">
        <f>SUM(N91,Y91,AA91,AC91,AE91,AG91,AI91,AK91,AM91,AO91,AQ91,AS91,AU91,AW91,AY91,BA91,BC91,BE91,BG91,BI91,BK91,BM91,BO91,BQ91,BS91,BU91,BW91,BY91,CA91,CC91,CE91)</f>
        <v/>
      </c>
      <c r="C91" s="33" t="inlineStr">
        <is>
          <t>WSTCSTPAPR</t>
        </is>
      </c>
      <c r="D91" s="33" t="inlineStr">
        <is>
          <t>West Coast Paper Mills Limited</t>
        </is>
      </c>
      <c r="E91" s="31" t="inlineStr">
        <is>
          <t>building materials</t>
        </is>
      </c>
      <c r="F91" s="31" t="inlineStr">
        <is>
          <t>paper</t>
        </is>
      </c>
      <c r="G91" s="31" t="inlineStr">
        <is>
          <t>smallcap</t>
        </is>
      </c>
      <c r="H91" s="32" t="n">
        <v>3468.89</v>
      </c>
      <c r="I91" s="32" t="n">
        <v>532</v>
      </c>
      <c r="J91" s="32" t="n">
        <v>1.29</v>
      </c>
      <c r="K91" s="32" t="n">
        <v>121999</v>
      </c>
      <c r="L91" s="31" t="n">
        <v>12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61.18</v>
      </c>
      <c r="P91" s="32" t="n">
        <v>33</v>
      </c>
      <c r="Q91" s="32" t="n">
        <v>413.3</v>
      </c>
      <c r="R91" s="31" t="inlineStr">
        <is>
          <t>Volume Spike &amp; Near 52W High Breakout</t>
        </is>
      </c>
      <c r="S91" s="31" t="inlineStr">
        <is>
          <t>Nifty Infra</t>
        </is>
      </c>
      <c r="T91" s="32" t="n">
        <v>0.23</v>
      </c>
      <c r="U91" s="32" t="n">
        <v>-4.58</v>
      </c>
      <c r="V91" s="32" t="n">
        <v>-4.8</v>
      </c>
      <c r="W91" s="32" t="n">
        <v>4.58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Between 12 to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IF(B92=0,"",RANK(B92,$B$2:$B$407,0))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TALBROAUTO</t>
        </is>
      </c>
      <c r="D92" s="31" t="inlineStr">
        <is>
          <t>Talbros Automotive Components Limited</t>
        </is>
      </c>
      <c r="E92" s="31" t="inlineStr">
        <is>
          <t>auto</t>
        </is>
      </c>
      <c r="F92" s="31" t="inlineStr">
        <is>
          <t>auto ancillaries</t>
        </is>
      </c>
      <c r="G92" s="31" t="inlineStr">
        <is>
          <t>smallcap</t>
        </is>
      </c>
      <c r="H92" s="32" t="n">
        <v>2629.31</v>
      </c>
      <c r="I92" s="32" t="n">
        <v>430.15</v>
      </c>
      <c r="J92" s="32" t="n">
        <v>0.99</v>
      </c>
      <c r="K92" s="32" t="n">
        <v>288029</v>
      </c>
      <c r="L92" s="31" t="n">
        <v>81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78.73999999999999</v>
      </c>
      <c r="P92" s="32" t="n">
        <v>33.01</v>
      </c>
      <c r="Q92" s="32" t="n">
        <v>328.69</v>
      </c>
      <c r="R92" s="31" t="inlineStr">
        <is>
          <t>Near 52W High Breakout</t>
        </is>
      </c>
      <c r="S92" s="31" t="inlineStr">
        <is>
          <t>Nifty Auto</t>
        </is>
      </c>
      <c r="T92" s="32" t="n">
        <v>13.04</v>
      </c>
      <c r="U92" s="32" t="n">
        <v>42.52</v>
      </c>
      <c r="V92" s="32" t="n">
        <v>26.07</v>
      </c>
      <c r="W92" s="32" t="n">
        <v>25.9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Between 12 to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IF(B93=0,"",RANK(B93,$B$2:$B$407,0))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SOLARINDS</t>
        </is>
      </c>
      <c r="D93" s="31" t="inlineStr">
        <is>
          <t>Solar Industries India Limited</t>
        </is>
      </c>
      <c r="E93" s="31" t="inlineStr">
        <is>
          <t>aerospace &amp; defence</t>
        </is>
      </c>
      <c r="F93" s="31" t="inlineStr">
        <is>
          <t>chemicals</t>
        </is>
      </c>
      <c r="G93" s="31" t="inlineStr">
        <is>
          <t>largecap</t>
        </is>
      </c>
      <c r="H93" s="32" t="n">
        <v>168401.99</v>
      </c>
      <c r="I93" s="32" t="n">
        <v>18659</v>
      </c>
      <c r="J93" s="32" t="n">
        <v>0.26</v>
      </c>
      <c r="K93" s="32" t="n">
        <v>100525</v>
      </c>
      <c r="L93" s="31" t="n">
        <v>48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66.73999999999999</v>
      </c>
      <c r="P93" s="32" t="n">
        <v>34.91</v>
      </c>
      <c r="Q93" s="32" t="n">
        <v>15061.75</v>
      </c>
      <c r="R93" s="31" t="inlineStr">
        <is>
          <t>Near 52W High Breakout</t>
        </is>
      </c>
      <c r="S93" s="31" t="inlineStr">
        <is>
          <t>Nifty 50</t>
        </is>
      </c>
      <c r="T93" s="32" t="n">
        <v>-5.05</v>
      </c>
      <c r="U93" s="32" t="n">
        <v>10.76</v>
      </c>
      <c r="V93" s="32" t="n">
        <v>16.65</v>
      </c>
      <c r="W93" s="32" t="n">
        <v>12.44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IF(B94=0,"",RANK(B94,$B$2:$B$407,0))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PSPPROJECT</t>
        </is>
      </c>
      <c r="D94" s="31" t="inlineStr">
        <is>
          <t>PSP Projects Ltd</t>
        </is>
      </c>
      <c r="E94" s="31" t="inlineStr">
        <is>
          <t>realty</t>
        </is>
      </c>
      <c r="F94" s="31" t="inlineStr">
        <is>
          <t>construction</t>
        </is>
      </c>
      <c r="G94" s="31" t="inlineStr">
        <is>
          <t>smallcap</t>
        </is>
      </c>
      <c r="H94" s="32" t="n">
        <v>4098.96</v>
      </c>
      <c r="I94" s="32" t="n">
        <v>1034.4</v>
      </c>
      <c r="J94" s="32" t="n">
        <v>0.04</v>
      </c>
      <c r="K94" s="32" t="n">
        <v>102278</v>
      </c>
      <c r="L94" s="31" t="n">
        <v>77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70.8</v>
      </c>
      <c r="P94" s="32" t="n">
        <v>25.04</v>
      </c>
      <c r="Q94" s="32" t="n">
        <v>789.8200000000001</v>
      </c>
      <c r="R94" s="31" t="inlineStr">
        <is>
          <t>Near 52W High Breakout</t>
        </is>
      </c>
      <c r="S94" s="31" t="inlineStr">
        <is>
          <t>Nifty Realty</t>
        </is>
      </c>
      <c r="T94" s="32" t="n">
        <v>-10.31</v>
      </c>
      <c r="U94" s="32" t="n">
        <v>32.95</v>
      </c>
      <c r="V94" s="32" t="n">
        <v>48.24</v>
      </c>
      <c r="W94" s="32" t="n">
        <v>22.88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IF(B95=0,"",RANK(B95,$B$2:$B$407,0))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MINDACORP</t>
        </is>
      </c>
      <c r="D95" s="31" t="inlineStr">
        <is>
          <t>Minda Corporation Limited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midcap</t>
        </is>
      </c>
      <c r="H95" s="32" t="n">
        <v>16962.69</v>
      </c>
      <c r="I95" s="32" t="n">
        <v>709.05</v>
      </c>
      <c r="J95" s="32" t="n">
        <v>-0.06</v>
      </c>
      <c r="K95" s="32" t="n">
        <v>346556</v>
      </c>
      <c r="L95" s="31" t="n">
        <v>62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72.28</v>
      </c>
      <c r="P95" s="32" t="n">
        <v>21.79</v>
      </c>
      <c r="Q95" s="32" t="n">
        <v>577.62</v>
      </c>
      <c r="R95" s="31" t="inlineStr">
        <is>
          <t>Near 52W High Breakout</t>
        </is>
      </c>
      <c r="S95" s="31" t="inlineStr">
        <is>
          <t>Nifty Auto</t>
        </is>
      </c>
      <c r="T95" s="32" t="n">
        <v>13.04</v>
      </c>
      <c r="U95" s="32" t="n">
        <v>36.57</v>
      </c>
      <c r="V95" s="32" t="n">
        <v>20.82</v>
      </c>
      <c r="W95" s="32" t="n">
        <v>16.35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IF(B96=0,"",RANK(B96,$B$2:$B$407,0))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JAYBARMARU</t>
        </is>
      </c>
      <c r="D96" s="31" t="inlineStr">
        <is>
          <t>Jay Bharat Maruti Limited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smallcap</t>
        </is>
      </c>
      <c r="H96" s="32" t="n">
        <v>1856.27</v>
      </c>
      <c r="I96" s="32" t="n">
        <v>170.58</v>
      </c>
      <c r="J96" s="32" t="n">
        <v>-0.52</v>
      </c>
      <c r="K96" s="32" t="n">
        <v>739554</v>
      </c>
      <c r="L96" s="31" t="n">
        <v>94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74.97</v>
      </c>
      <c r="P96" s="32" t="n">
        <v>29.36</v>
      </c>
      <c r="Q96" s="32" t="n">
        <v>126.55</v>
      </c>
      <c r="R96" s="31" t="inlineStr">
        <is>
          <t>Near 52W High Breakout</t>
        </is>
      </c>
      <c r="S96" s="31" t="inlineStr">
        <is>
          <t>Nifty Auto</t>
        </is>
      </c>
      <c r="T96" s="32" t="n">
        <v>13.04</v>
      </c>
      <c r="U96" s="32" t="n">
        <v>120.95</v>
      </c>
      <c r="V96" s="32" t="n">
        <v>95.45999999999999</v>
      </c>
      <c r="W96" s="32" t="n">
        <v>44.2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IF(B97=0,"",RANK(B97,$B$2:$B$407,0))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GPTINFRA</t>
        </is>
      </c>
      <c r="D97" s="31" t="inlineStr">
        <is>
          <t>Gpt Infraprojects Limited</t>
        </is>
      </c>
      <c r="E97" s="31" t="inlineStr">
        <is>
          <t>realty</t>
        </is>
      </c>
      <c r="F97" s="31" t="inlineStr">
        <is>
          <t>construction</t>
        </is>
      </c>
      <c r="G97" s="31" t="inlineStr">
        <is>
          <t>smallcap</t>
        </is>
      </c>
      <c r="H97" s="32" t="n">
        <v>1696.82</v>
      </c>
      <c r="I97" s="32" t="n">
        <v>131.15</v>
      </c>
      <c r="J97" s="32" t="n">
        <v>-2.33</v>
      </c>
      <c r="K97" s="32" t="n">
        <v>167040</v>
      </c>
      <c r="L97" s="31" t="n">
        <v>24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66.83</v>
      </c>
      <c r="P97" s="32" t="n">
        <v>21.43</v>
      </c>
      <c r="Q97" s="32" t="n">
        <v>99.13</v>
      </c>
      <c r="R97" s="31" t="inlineStr">
        <is>
          <t>Near 52W High Breakout</t>
        </is>
      </c>
      <c r="S97" s="31" t="inlineStr">
        <is>
          <t>Nifty Realty</t>
        </is>
      </c>
      <c r="T97" s="32" t="n">
        <v>-10.31</v>
      </c>
      <c r="U97" s="32" t="n">
        <v>4.38</v>
      </c>
      <c r="V97" s="32" t="n">
        <v>16.39</v>
      </c>
      <c r="W97" s="32" t="n">
        <v>6.84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IF(B98=0,"",RANK(B98,$B$2:$B$407,0))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CARTRADE</t>
        </is>
      </c>
      <c r="D98" s="31" t="inlineStr">
        <is>
          <t>Cartrade Tech Ltd</t>
        </is>
      </c>
      <c r="E98" s="31" t="inlineStr">
        <is>
          <t>consumer discretionary</t>
        </is>
      </c>
      <c r="F98" s="31" t="inlineStr">
        <is>
          <t>miscellaneous</t>
        </is>
      </c>
      <c r="G98" s="31" t="inlineStr">
        <is>
          <t>midcap</t>
        </is>
      </c>
      <c r="H98" s="32" t="n">
        <v>13470.01</v>
      </c>
      <c r="I98" s="32" t="n">
        <v>2742</v>
      </c>
      <c r="J98" s="32" t="n">
        <v>-2.54</v>
      </c>
      <c r="K98" s="32" t="n">
        <v>238386</v>
      </c>
      <c r="L98" s="31" t="n">
        <v>85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65.70999999999999</v>
      </c>
      <c r="P98" s="32" t="n">
        <v>24.67</v>
      </c>
      <c r="Q98" s="32" t="n">
        <v>1947.07</v>
      </c>
      <c r="R98" s="31" t="inlineStr">
        <is>
          <t>Earnings / Momentum Support</t>
        </is>
      </c>
      <c r="S98" s="31" t="inlineStr">
        <is>
          <t>Nifty 50</t>
        </is>
      </c>
      <c r="T98" s="32" t="n">
        <v>-5.05</v>
      </c>
      <c r="U98" s="32" t="n">
        <v>61.35</v>
      </c>
      <c r="V98" s="32" t="n">
        <v>69.93000000000001</v>
      </c>
      <c r="W98" s="32" t="n">
        <v>29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IF(B99=0,"",RANK(B99,$B$2:$B$407,0))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SIGNPOST</t>
        </is>
      </c>
      <c r="D99" s="31" t="inlineStr">
        <is>
          <t>Signpost India Ltd</t>
        </is>
      </c>
      <c r="E99" s="31" t="inlineStr">
        <is>
          <t>miscellaneous</t>
        </is>
      </c>
      <c r="F99" s="31" t="inlineStr">
        <is>
          <t>miscellaneous</t>
        </is>
      </c>
      <c r="G99" s="31" t="inlineStr">
        <is>
          <t>smallcap</t>
        </is>
      </c>
      <c r="H99" s="32" t="n">
        <v>1638.24</v>
      </c>
      <c r="I99" s="32" t="n">
        <v>297.65</v>
      </c>
      <c r="J99" s="32" t="n">
        <v>-2.89</v>
      </c>
      <c r="K99" s="32" t="n">
        <v>4364385</v>
      </c>
      <c r="L99" s="31" t="n">
        <v>45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62</v>
      </c>
      <c r="P99" s="32" t="n">
        <v>28.65</v>
      </c>
      <c r="Q99" s="32" t="n">
        <v>201.53</v>
      </c>
      <c r="R99" s="31" t="inlineStr">
        <is>
          <t>Volume Spike &amp; Near 52W High Breakout</t>
        </is>
      </c>
      <c r="S99" s="31" t="inlineStr">
        <is>
          <t>Nifty 50</t>
        </is>
      </c>
      <c r="T99" s="32" t="n">
        <v>-5.05</v>
      </c>
      <c r="U99" s="32" t="n">
        <v>27.3</v>
      </c>
      <c r="V99" s="32" t="n">
        <v>34.06</v>
      </c>
      <c r="W99" s="32" t="n">
        <v>11.79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Less than 50%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IF(B100=0,"",RANK(B100,$B$2:$B$407,0))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AIAENG</t>
        </is>
      </c>
      <c r="D100" s="31" t="inlineStr">
        <is>
          <t>Aia Engineering Limited</t>
        </is>
      </c>
      <c r="E100" s="31" t="inlineStr">
        <is>
          <t>industrials</t>
        </is>
      </c>
      <c r="F100" s="31" t="inlineStr">
        <is>
          <t>castings &amp; forgings</t>
        </is>
      </c>
      <c r="G100" s="31" t="inlineStr">
        <is>
          <t>largecap</t>
        </is>
      </c>
      <c r="H100" s="32" t="n">
        <v>46622.86</v>
      </c>
      <c r="I100" s="32" t="n">
        <v>4800</v>
      </c>
      <c r="J100" s="32" t="n">
        <v>-3.92</v>
      </c>
      <c r="K100" s="32" t="n">
        <v>131357</v>
      </c>
      <c r="L100" s="31" t="n">
        <v>58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68.36</v>
      </c>
      <c r="P100" s="32" t="n">
        <v>24.76</v>
      </c>
      <c r="Q100" s="32" t="n">
        <v>3879.74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-5.05</v>
      </c>
      <c r="U100" s="32" t="n">
        <v>45.51</v>
      </c>
      <c r="V100" s="32" t="n">
        <v>53.24</v>
      </c>
      <c r="W100" s="32" t="n">
        <v>15.12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IF(B101=0,"",RANK(B101,$B$2:$B$407,0))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KIRLPNU</t>
        </is>
      </c>
      <c r="D101" s="31" t="inlineStr">
        <is>
          <t>Kirloskar Pneumatic Company Ltd</t>
        </is>
      </c>
      <c r="E101" s="31" t="inlineStr">
        <is>
          <t>industrials</t>
        </is>
      </c>
      <c r="F101" s="31" t="inlineStr">
        <is>
          <t>compressors / drilling equipment</t>
        </is>
      </c>
      <c r="G101" s="31" t="inlineStr">
        <is>
          <t>midcap</t>
        </is>
      </c>
      <c r="H101" s="32" t="n">
        <v>12997.48</v>
      </c>
      <c r="I101" s="32" t="n">
        <v>1863.5</v>
      </c>
      <c r="J101" s="32" t="n">
        <v>-6.87</v>
      </c>
      <c r="K101" s="32" t="n">
        <v>329130</v>
      </c>
      <c r="L101" s="31" t="n">
        <v>78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76.41</v>
      </c>
      <c r="P101" s="32" t="n">
        <v>49.18</v>
      </c>
      <c r="Q101" s="32" t="n">
        <v>1495.18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-5.05</v>
      </c>
      <c r="U101" s="32" t="n">
        <v>30.18</v>
      </c>
      <c r="V101" s="32" t="n">
        <v>37.1</v>
      </c>
      <c r="W101" s="32" t="n">
        <v>23.38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Between 50% to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IF(B102=0,"",RANK(B102,$B$2:$B$407,0))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SHILPAMED</t>
        </is>
      </c>
      <c r="D102" s="31" t="inlineStr">
        <is>
          <t>Shilpa Medicare Limited</t>
        </is>
      </c>
      <c r="E102" s="31" t="inlineStr">
        <is>
          <t>healthcare</t>
        </is>
      </c>
      <c r="F102" s="31" t="inlineStr">
        <is>
          <t>pharmaceuticals - indian - formulations</t>
        </is>
      </c>
      <c r="G102" s="31" t="inlineStr">
        <is>
          <t>midcap</t>
        </is>
      </c>
      <c r="H102" s="32" t="n">
        <v>11162.83</v>
      </c>
      <c r="I102" s="32" t="n">
        <v>600.85</v>
      </c>
      <c r="J102" s="32" t="n">
        <v>5.27</v>
      </c>
      <c r="K102" s="32" t="n">
        <v>1794552</v>
      </c>
      <c r="L102" s="31" t="n">
        <v>71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83.8</v>
      </c>
      <c r="P102" s="32" t="n">
        <v>59.14</v>
      </c>
      <c r="Q102" s="32" t="n">
        <v>467.02</v>
      </c>
      <c r="R102" s="31" t="inlineStr">
        <is>
          <t>Near 52W High Breakout</t>
        </is>
      </c>
      <c r="S102" s="31" t="inlineStr">
        <is>
          <t>Nifty Pharma</t>
        </is>
      </c>
      <c r="T102" s="32" t="n">
        <v>13.06</v>
      </c>
      <c r="U102" s="32" t="n">
        <v>34.14</v>
      </c>
      <c r="V102" s="32" t="n">
        <v>18.64</v>
      </c>
      <c r="W102" s="32" t="n">
        <v>19.92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IF(B103=0,"",RANK(B103,$B$2:$B$407,0))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RATEGAIN</t>
        </is>
      </c>
      <c r="D103" s="31" t="inlineStr">
        <is>
          <t>Rategain Travel Technologies Ltd</t>
        </is>
      </c>
      <c r="E103" s="31" t="inlineStr">
        <is>
          <t>i.t</t>
        </is>
      </c>
      <c r="F103" s="31" t="inlineStr">
        <is>
          <t>computers - software - medium / small</t>
        </is>
      </c>
      <c r="G103" s="31" t="inlineStr">
        <is>
          <t>midcap</t>
        </is>
      </c>
      <c r="H103" s="32" t="n">
        <v>10669.75</v>
      </c>
      <c r="I103" s="32" t="n">
        <v>945.2</v>
      </c>
      <c r="J103" s="32" t="n">
        <v>4.68</v>
      </c>
      <c r="K103" s="32" t="n">
        <v>921131</v>
      </c>
      <c r="L103" s="31" t="n">
        <v>92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78.51000000000001</v>
      </c>
      <c r="P103" s="32" t="n">
        <v>29.42</v>
      </c>
      <c r="Q103" s="32" t="n">
        <v>739.09</v>
      </c>
      <c r="R103" s="31" t="inlineStr">
        <is>
          <t>Near 52W High Breakout</t>
        </is>
      </c>
      <c r="S103" s="31" t="inlineStr">
        <is>
          <t>Nifty IT</t>
        </is>
      </c>
      <c r="T103" s="32" t="n">
        <v>-31.15</v>
      </c>
      <c r="U103" s="32" t="n">
        <v>104.52</v>
      </c>
      <c r="V103" s="32" t="n">
        <v>197.07</v>
      </c>
      <c r="W103" s="32" t="n">
        <v>41.06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IF(B104=0,"",RANK(B104,$B$2:$B$407,0))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ZYDUSWELL</t>
        </is>
      </c>
      <c r="D104" s="31" t="inlineStr">
        <is>
          <t>Zydus Wellness Limited</t>
        </is>
      </c>
      <c r="E104" s="31" t="inlineStr">
        <is>
          <t>fmcg</t>
        </is>
      </c>
      <c r="F104" s="31" t="inlineStr">
        <is>
          <t>food - processing - indian</t>
        </is>
      </c>
      <c r="G104" s="31" t="inlineStr">
        <is>
          <t>midcap</t>
        </is>
      </c>
      <c r="H104" s="32" t="n">
        <v>18087.44</v>
      </c>
      <c r="I104" s="32" t="n">
        <v>594.45</v>
      </c>
      <c r="J104" s="32" t="n">
        <v>4.56</v>
      </c>
      <c r="K104" s="32" t="n">
        <v>2140111</v>
      </c>
      <c r="L104" s="31" t="n">
        <v>61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74.64</v>
      </c>
      <c r="P104" s="32" t="n">
        <v>46.47</v>
      </c>
      <c r="Q104" s="32" t="n">
        <v>469.16</v>
      </c>
      <c r="R104" s="31" t="inlineStr">
        <is>
          <t>Volume Spike &amp; Near 52W High Breakout</t>
        </is>
      </c>
      <c r="S104" s="31" t="inlineStr">
        <is>
          <t>Nifty FMCG</t>
        </is>
      </c>
      <c r="T104" s="32" t="n">
        <v>-8.5</v>
      </c>
      <c r="U104" s="32" t="n">
        <v>49.42</v>
      </c>
      <c r="V104" s="32" t="n">
        <v>63.29</v>
      </c>
      <c r="W104" s="32" t="n">
        <v>16.11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B2C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IF(B105=0,"",RANK(B105,$B$2:$B$407,0))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THYROCARE</t>
        </is>
      </c>
      <c r="D105" s="31" t="inlineStr">
        <is>
          <t>Thyrocare Technologies Limited</t>
        </is>
      </c>
      <c r="E105" s="31" t="inlineStr">
        <is>
          <t>healthcare</t>
        </is>
      </c>
      <c r="F105" s="31" t="inlineStr">
        <is>
          <t>healthcare</t>
        </is>
      </c>
      <c r="G105" s="31" t="inlineStr">
        <is>
          <t>midcap</t>
        </is>
      </c>
      <c r="H105" s="32" t="n">
        <v>8649.040000000001</v>
      </c>
      <c r="I105" s="32" t="n">
        <v>557.2</v>
      </c>
      <c r="J105" s="32" t="n">
        <v>2.54</v>
      </c>
      <c r="K105" s="32" t="n">
        <v>183823</v>
      </c>
      <c r="L105" s="31" t="n">
        <v>79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70.79000000000001</v>
      </c>
      <c r="P105" s="32" t="n">
        <v>37.2</v>
      </c>
      <c r="Q105" s="32" t="n">
        <v>424.26</v>
      </c>
      <c r="R105" s="31" t="inlineStr">
        <is>
          <t>Near 52W High Breakout</t>
        </is>
      </c>
      <c r="S105" s="31" t="inlineStr">
        <is>
          <t>Nifty Pharma</t>
        </is>
      </c>
      <c r="T105" s="32" t="n">
        <v>13.06</v>
      </c>
      <c r="U105" s="32" t="n">
        <v>69.09</v>
      </c>
      <c r="V105" s="32" t="n">
        <v>49.55</v>
      </c>
      <c r="W105" s="32" t="n">
        <v>24.54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IF(B106=0,"",RANK(B106,$B$2:$B$407,0))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LAURUSLABS</t>
        </is>
      </c>
      <c r="D106" s="31" t="inlineStr">
        <is>
          <t>Laurus Labs Limited</t>
        </is>
      </c>
      <c r="E106" s="31" t="inlineStr">
        <is>
          <t>healthcare</t>
        </is>
      </c>
      <c r="F106" s="31" t="inlineStr">
        <is>
          <t>pharmaceuticals - indian - bulk drugs &amp; formln</t>
        </is>
      </c>
      <c r="G106" s="31" t="inlineStr">
        <is>
          <t>largecap</t>
        </is>
      </c>
      <c r="H106" s="32" t="n">
        <v>80616.78</v>
      </c>
      <c r="I106" s="32" t="n">
        <v>1528</v>
      </c>
      <c r="J106" s="32" t="n">
        <v>2.32</v>
      </c>
      <c r="K106" s="32" t="n">
        <v>2761759</v>
      </c>
      <c r="L106" s="31" t="n">
        <v>80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78.62</v>
      </c>
      <c r="P106" s="32" t="n">
        <v>44.51</v>
      </c>
      <c r="Q106" s="32" t="n">
        <v>1299.47</v>
      </c>
      <c r="R106" s="31" t="inlineStr">
        <is>
          <t>Volume Spike &amp; Near 52W High Breakout</t>
        </is>
      </c>
      <c r="S106" s="31" t="inlineStr">
        <is>
          <t>Nifty Pharma</t>
        </is>
      </c>
      <c r="T106" s="32" t="n">
        <v>13.06</v>
      </c>
      <c r="U106" s="32" t="n">
        <v>97.27</v>
      </c>
      <c r="V106" s="32" t="n">
        <v>74.47</v>
      </c>
      <c r="W106" s="32" t="n">
        <v>25.42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Between 12 to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IF(B107=0,"",RANK(B107,$B$2:$B$407,0))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SENORES</t>
        </is>
      </c>
      <c r="D107" s="31" t="inlineStr">
        <is>
          <t>Senores Pharmaceuticals Ltd</t>
        </is>
      </c>
      <c r="E107" s="31" t="inlineStr">
        <is>
          <t>healthcare</t>
        </is>
      </c>
      <c r="F107" s="31" t="inlineStr">
        <is>
          <t>pharmaceuticals - indian - formulations</t>
        </is>
      </c>
      <c r="G107" s="31" t="inlineStr">
        <is>
          <t>midcap</t>
        </is>
      </c>
      <c r="H107" s="32" t="n">
        <v>6047.3</v>
      </c>
      <c r="I107" s="32" t="n">
        <v>1336.4</v>
      </c>
      <c r="J107" s="32" t="n">
        <v>1.77</v>
      </c>
      <c r="K107" s="32" t="n">
        <v>207554</v>
      </c>
      <c r="L107" s="31" t="n">
        <v>90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75.7</v>
      </c>
      <c r="P107" s="32" t="n">
        <v>52.78</v>
      </c>
      <c r="Q107" s="32" t="n">
        <v>1044.2</v>
      </c>
      <c r="R107" s="31" t="inlineStr">
        <is>
          <t>Near 52W High Breakout</t>
        </is>
      </c>
      <c r="S107" s="31" t="inlineStr">
        <is>
          <t>Nifty Pharma</t>
        </is>
      </c>
      <c r="T107" s="32" t="n">
        <v>13.06</v>
      </c>
      <c r="U107" s="32" t="n">
        <v>135.78</v>
      </c>
      <c r="V107" s="32" t="n">
        <v>108.54</v>
      </c>
      <c r="W107" s="32" t="n">
        <v>35.75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Less than 50%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IF(B108=0,"",RANK(B108,$B$2:$B$407,0))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IPCALAB</t>
        </is>
      </c>
      <c r="D108" s="31" t="inlineStr">
        <is>
          <t>Ipca Laboratories Limited</t>
        </is>
      </c>
      <c r="E108" s="31" t="inlineStr">
        <is>
          <t>healthcare</t>
        </is>
      </c>
      <c r="F108" s="31" t="inlineStr">
        <is>
          <t>pharmaceuticals - indian - bulk drugs &amp; formln</t>
        </is>
      </c>
      <c r="G108" s="31" t="inlineStr">
        <is>
          <t>largecap</t>
        </is>
      </c>
      <c r="H108" s="32" t="n">
        <v>43038.38</v>
      </c>
      <c r="I108" s="32" t="n">
        <v>1718</v>
      </c>
      <c r="J108" s="32" t="n">
        <v>1.27</v>
      </c>
      <c r="K108" s="32" t="n">
        <v>172457</v>
      </c>
      <c r="L108" s="31" t="n">
        <v>26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63.44</v>
      </c>
      <c r="P108" s="32" t="n">
        <v>29.93</v>
      </c>
      <c r="Q108" s="32" t="n">
        <v>1391.19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13.06</v>
      </c>
      <c r="U108" s="32" t="n">
        <v>21.01</v>
      </c>
      <c r="V108" s="32" t="n">
        <v>7.03</v>
      </c>
      <c r="W108" s="32" t="n">
        <v>7.28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Between 50% to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IF(B109=0,"",RANK(B109,$B$2:$B$407,0))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NEULANDLAB</t>
        </is>
      </c>
      <c r="D109" s="31" t="inlineStr">
        <is>
          <t>Neuland Laboratories Limited</t>
        </is>
      </c>
      <c r="E109" s="31" t="inlineStr">
        <is>
          <t>healthcare</t>
        </is>
      </c>
      <c r="F109" s="31" t="inlineStr">
        <is>
          <t>pharmaceuticals - indian - bulk drugs</t>
        </is>
      </c>
      <c r="G109" s="31" t="inlineStr">
        <is>
          <t>largecap</t>
        </is>
      </c>
      <c r="H109" s="32" t="n">
        <v>24102.23</v>
      </c>
      <c r="I109" s="32" t="n">
        <v>18988</v>
      </c>
      <c r="J109" s="32" t="n">
        <v>1.08</v>
      </c>
      <c r="K109" s="32" t="n">
        <v>32223</v>
      </c>
      <c r="L109" s="31" t="n">
        <v>76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69.29000000000001</v>
      </c>
      <c r="P109" s="32" t="n">
        <v>35.83</v>
      </c>
      <c r="Q109" s="32" t="n">
        <v>15114.83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13.06</v>
      </c>
      <c r="U109" s="32" t="n">
        <v>58.38</v>
      </c>
      <c r="V109" s="32" t="n">
        <v>40.08</v>
      </c>
      <c r="W109" s="32" t="n">
        <v>22.83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IF(B110=0,"",RANK(B110,$B$2:$B$407,0))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MANORAMA</t>
        </is>
      </c>
      <c r="D110" s="31" t="inlineStr">
        <is>
          <t>Manorama Industries Ltd</t>
        </is>
      </c>
      <c r="E110" s="31" t="inlineStr">
        <is>
          <t>fmcg</t>
        </is>
      </c>
      <c r="F110" s="31" t="inlineStr">
        <is>
          <t>food - processing - indian</t>
        </is>
      </c>
      <c r="G110" s="31" t="inlineStr">
        <is>
          <t>midcap</t>
        </is>
      </c>
      <c r="H110" s="32" t="n">
        <v>9344.379999999999</v>
      </c>
      <c r="I110" s="32" t="n">
        <v>1581.2</v>
      </c>
      <c r="J110" s="32" t="n">
        <v>1.04</v>
      </c>
      <c r="K110" s="32" t="n">
        <v>157164</v>
      </c>
      <c r="L110" s="31" t="n">
        <v>30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60.2</v>
      </c>
      <c r="P110" s="32" t="n">
        <v>13</v>
      </c>
      <c r="Q110" s="32" t="n">
        <v>1197.62</v>
      </c>
      <c r="R110" s="31" t="inlineStr">
        <is>
          <t>Near 52W High Breakout</t>
        </is>
      </c>
      <c r="S110" s="31" t="inlineStr">
        <is>
          <t>Nifty FMCG</t>
        </is>
      </c>
      <c r="T110" s="32" t="n">
        <v>-8.5</v>
      </c>
      <c r="U110" s="32" t="n">
        <v>7.33</v>
      </c>
      <c r="V110" s="32" t="n">
        <v>17.29</v>
      </c>
      <c r="W110" s="32" t="n">
        <v>8.300000000000001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B2C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Between 50% to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IF(B111=0,"",RANK(B111,$B$2:$B$407,0))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PIXTRANS</t>
        </is>
      </c>
      <c r="D111" s="31" t="inlineStr">
        <is>
          <t>Pix Transmission Ltd</t>
        </is>
      </c>
      <c r="E111" s="31" t="inlineStr">
        <is>
          <t>fmcg</t>
        </is>
      </c>
      <c r="F111" s="31" t="inlineStr">
        <is>
          <t>miscellaneous</t>
        </is>
      </c>
      <c r="G111" s="31" t="inlineStr">
        <is>
          <t>smallcap</t>
        </is>
      </c>
      <c r="H111" s="32" t="n">
        <v>2480.06</v>
      </c>
      <c r="I111" s="32" t="n">
        <v>1834.8</v>
      </c>
      <c r="J111" s="32" t="n">
        <v>0.8</v>
      </c>
      <c r="K111" s="32" t="n">
        <v>61875</v>
      </c>
      <c r="L111" s="31" t="n">
        <v>31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72.63</v>
      </c>
      <c r="P111" s="32" t="n">
        <v>31.9</v>
      </c>
      <c r="Q111" s="32" t="n">
        <v>1488.7</v>
      </c>
      <c r="R111" s="31" t="inlineStr">
        <is>
          <t>Volume Spike &amp; Near 52W High Breakout</t>
        </is>
      </c>
      <c r="S111" s="31" t="inlineStr">
        <is>
          <t>Nifty FMCG</t>
        </is>
      </c>
      <c r="T111" s="32" t="n">
        <v>-8.5</v>
      </c>
      <c r="U111" s="32" t="n">
        <v>15.04</v>
      </c>
      <c r="V111" s="32" t="n">
        <v>25.73</v>
      </c>
      <c r="W111" s="32" t="n">
        <v>8.630000000000001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B2C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IF(B112=0,"",RANK(B112,$B$2:$B$407,0))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ABDL</t>
        </is>
      </c>
      <c r="D112" s="31" t="inlineStr">
        <is>
          <t>Allied Blenders &amp; Distillers Ltd</t>
        </is>
      </c>
      <c r="E112" s="31" t="inlineStr">
        <is>
          <t>fmcg</t>
        </is>
      </c>
      <c r="F112" s="31" t="inlineStr">
        <is>
          <t>breweries &amp; distilleries</t>
        </is>
      </c>
      <c r="G112" s="31" t="inlineStr">
        <is>
          <t>midcap</t>
        </is>
      </c>
      <c r="H112" s="32" t="n">
        <v>18727.99</v>
      </c>
      <c r="I112" s="32" t="n">
        <v>672.95</v>
      </c>
      <c r="J112" s="32" t="n">
        <v>0.51</v>
      </c>
      <c r="K112" s="32" t="n">
        <v>213377</v>
      </c>
      <c r="L112" s="31" t="n">
        <v>80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65.45</v>
      </c>
      <c r="P112" s="32" t="n">
        <v>21.22</v>
      </c>
      <c r="Q112" s="32" t="n">
        <v>522.8200000000001</v>
      </c>
      <c r="R112" s="31" t="inlineStr">
        <is>
          <t>Volume Spike &amp; Near 52W High Breakout</t>
        </is>
      </c>
      <c r="S112" s="31" t="inlineStr">
        <is>
          <t>Nifty FMCG</t>
        </is>
      </c>
      <c r="T112" s="32" t="n">
        <v>-8.5</v>
      </c>
      <c r="U112" s="32" t="n">
        <v>56.8</v>
      </c>
      <c r="V112" s="32" t="n">
        <v>71.36</v>
      </c>
      <c r="W112" s="32" t="n">
        <v>25.2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B2C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Between 50% to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IF(B113=0,"",RANK(B113,$B$2:$B$407,0))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ORCHPHARMA</t>
        </is>
      </c>
      <c r="D113" s="31" t="inlineStr">
        <is>
          <t>Orchid Pharma Ltd</t>
        </is>
      </c>
      <c r="E113" s="31" t="inlineStr">
        <is>
          <t>healthcare</t>
        </is>
      </c>
      <c r="F113" s="31" t="inlineStr">
        <is>
          <t>pharmaceuticals - indian - bulk drugs &amp; formln</t>
        </is>
      </c>
      <c r="G113" s="31" t="inlineStr">
        <is>
          <t>smallcap</t>
        </is>
      </c>
      <c r="H113" s="32" t="n">
        <v>4944.1</v>
      </c>
      <c r="I113" s="32" t="n">
        <v>979.3</v>
      </c>
      <c r="J113" s="32" t="n">
        <v>0.46</v>
      </c>
      <c r="K113" s="32" t="n">
        <v>57439</v>
      </c>
      <c r="L113" s="31" t="n">
        <v>85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73.33</v>
      </c>
      <c r="P113" s="32" t="n">
        <v>36.86</v>
      </c>
      <c r="Q113" s="32" t="n">
        <v>732.83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13.06</v>
      </c>
      <c r="U113" s="32" t="n">
        <v>29.53</v>
      </c>
      <c r="V113" s="32" t="n">
        <v>14.56</v>
      </c>
      <c r="W113" s="32" t="n">
        <v>29.01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IF(B114=0,"",RANK(B114,$B$2:$B$407,0))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LUPIN</t>
        </is>
      </c>
      <c r="D114" s="31" t="inlineStr">
        <is>
          <t>Lupin Limited</t>
        </is>
      </c>
      <c r="E114" s="31" t="inlineStr">
        <is>
          <t>healthcare</t>
        </is>
      </c>
      <c r="F114" s="31" t="inlineStr">
        <is>
          <t>pharmaceuticals - indian - bulk drugs &amp; formln</t>
        </is>
      </c>
      <c r="G114" s="31" t="inlineStr">
        <is>
          <t>largecap</t>
        </is>
      </c>
      <c r="H114" s="32" t="n">
        <v>109608.69</v>
      </c>
      <c r="I114" s="32" t="n">
        <v>2399.6</v>
      </c>
      <c r="J114" s="32" t="n">
        <v>0.09</v>
      </c>
      <c r="K114" s="32" t="n">
        <v>584679</v>
      </c>
      <c r="L114" s="31" t="n">
        <v>16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65.34</v>
      </c>
      <c r="P114" s="32" t="n">
        <v>11.06</v>
      </c>
      <c r="Q114" s="32" t="n">
        <v>2107.31</v>
      </c>
      <c r="R114" s="31" t="inlineStr">
        <is>
          <t>Near 52W High Breakout</t>
        </is>
      </c>
      <c r="S114" s="31" t="inlineStr">
        <is>
          <t>Nifty Pharma</t>
        </is>
      </c>
      <c r="T114" s="32" t="n">
        <v>13.06</v>
      </c>
      <c r="U114" s="32" t="n">
        <v>21.89</v>
      </c>
      <c r="V114" s="32" t="n">
        <v>7.81</v>
      </c>
      <c r="W114" s="32" t="n">
        <v>5.19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IF(B115=0,"",RANK(B115,$B$2:$B$407,0))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AYMSYNTEX</t>
        </is>
      </c>
      <c r="D115" s="31" t="inlineStr">
        <is>
          <t>Aym Syntex Limited</t>
        </is>
      </c>
      <c r="E115" s="31" t="inlineStr">
        <is>
          <t>textiles</t>
        </is>
      </c>
      <c r="F115" s="31" t="inlineStr">
        <is>
          <t>textiles - processing</t>
        </is>
      </c>
      <c r="G115" s="31" t="inlineStr">
        <is>
          <t>smallcap</t>
        </is>
      </c>
      <c r="H115" s="32" t="n">
        <v>1453.22</v>
      </c>
      <c r="I115" s="32" t="n">
        <v>267.96</v>
      </c>
      <c r="J115" s="32" t="n">
        <v>8.08</v>
      </c>
      <c r="K115" s="32" t="n">
        <v>275978</v>
      </c>
      <c r="L115" s="31" t="n">
        <v>54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69.31999999999999</v>
      </c>
      <c r="P115" s="32" t="n">
        <v>22.04</v>
      </c>
      <c r="Q115" s="32" t="n">
        <v>190.5</v>
      </c>
      <c r="R115" s="31" t="inlineStr">
        <is>
          <t>Volume Spike &amp; Near 52W High Breakout</t>
        </is>
      </c>
      <c r="S115" s="31" t="inlineStr">
        <is>
          <t>Nifty 50</t>
        </is>
      </c>
      <c r="T115" s="32" t="n">
        <v>-5.05</v>
      </c>
      <c r="U115" s="32" t="n">
        <v>13.3</v>
      </c>
      <c r="V115" s="32" t="n">
        <v>19.33</v>
      </c>
      <c r="W115" s="32" t="n">
        <v>14.01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IF(B116=0,"",RANK(B116,$B$2:$B$407,0))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WABAG</t>
        </is>
      </c>
      <c r="D116" s="31" t="inlineStr">
        <is>
          <t>Va Tech Wabag Limited</t>
        </is>
      </c>
      <c r="E116" s="31" t="inlineStr">
        <is>
          <t>realty</t>
        </is>
      </c>
      <c r="F116" s="31" t="inlineStr">
        <is>
          <t>engineering - turnkey services</t>
        </is>
      </c>
      <c r="G116" s="31" t="inlineStr">
        <is>
          <t>midcap</t>
        </is>
      </c>
      <c r="H116" s="32" t="n">
        <v>12977.84</v>
      </c>
      <c r="I116" s="32" t="n">
        <v>2190.3</v>
      </c>
      <c r="J116" s="32" t="n">
        <v>5.16</v>
      </c>
      <c r="K116" s="32" t="n">
        <v>1497465</v>
      </c>
      <c r="L116" s="31" t="n">
        <v>83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81.41</v>
      </c>
      <c r="P116" s="32" t="n">
        <v>21.74</v>
      </c>
      <c r="Q116" s="32" t="n">
        <v>1747.82</v>
      </c>
      <c r="R116" s="31" t="inlineStr">
        <is>
          <t>Volume Spike &amp; Near 52W High Breakout</t>
        </is>
      </c>
      <c r="S116" s="31" t="inlineStr">
        <is>
          <t>Nifty Realty</t>
        </is>
      </c>
      <c r="T116" s="32" t="n">
        <v>-10.31</v>
      </c>
      <c r="U116" s="32" t="n">
        <v>50.01</v>
      </c>
      <c r="V116" s="32" t="n">
        <v>67.26000000000001</v>
      </c>
      <c r="W116" s="32" t="n">
        <v>27.5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Between 1.5 to 2</t>
        </is>
      </c>
      <c r="BU116" s="31">
        <f>IF(BT116="Above 2",0,IF(BT116="Between 1.5 to 2",5,IF(BT116="Less than 1.5",10,0)))</f>
        <v/>
      </c>
      <c r="BV116" s="31" t="inlineStr">
        <is>
          <t>Less than 50%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IF(B117=0,"",RANK(B117,$B$2:$B$407,0))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SARLAPOLY</t>
        </is>
      </c>
      <c r="D117" s="33" t="inlineStr">
        <is>
          <t>Sarla Performance Fibers Limited</t>
        </is>
      </c>
      <c r="E117" s="31" t="inlineStr">
        <is>
          <t>textiles</t>
        </is>
      </c>
      <c r="F117" s="31" t="inlineStr">
        <is>
          <t>textiles - spinning - synthetic / blended</t>
        </is>
      </c>
      <c r="G117" s="31" t="inlineStr">
        <is>
          <t>smallcap</t>
        </is>
      </c>
      <c r="H117" s="32" t="n">
        <v>829.27</v>
      </c>
      <c r="I117" s="32" t="n">
        <v>103.68</v>
      </c>
      <c r="J117" s="32" t="n">
        <v>4.4</v>
      </c>
      <c r="K117" s="32" t="n">
        <v>173427</v>
      </c>
      <c r="L117" s="31" t="n">
        <v>16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62.4</v>
      </c>
      <c r="P117" s="32" t="n">
        <v>31.94</v>
      </c>
      <c r="Q117" s="32" t="n">
        <v>80.29000000000001</v>
      </c>
      <c r="R117" s="31" t="inlineStr">
        <is>
          <t>Earnings / Momentum Support</t>
        </is>
      </c>
      <c r="S117" s="31" t="inlineStr">
        <is>
          <t>Nifty 50</t>
        </is>
      </c>
      <c r="T117" s="32" t="n">
        <v>-5.05</v>
      </c>
      <c r="U117" s="32" t="n">
        <v>-13.61</v>
      </c>
      <c r="V117" s="32" t="n">
        <v>-9.02</v>
      </c>
      <c r="W117" s="32" t="n">
        <v>5.14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IF(B118=0,"",RANK(B118,$B$2:$B$407,0))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KERNEX</t>
        </is>
      </c>
      <c r="D118" s="31" t="inlineStr">
        <is>
          <t>Kernex Microsystems (india) Limited</t>
        </is>
      </c>
      <c r="E118" s="31" t="inlineStr">
        <is>
          <t>consumer discretionary</t>
        </is>
      </c>
      <c r="F118" s="31" t="inlineStr">
        <is>
          <t>electronics - components</t>
        </is>
      </c>
      <c r="G118" s="31" t="inlineStr">
        <is>
          <t>smallcap</t>
        </is>
      </c>
      <c r="H118" s="32" t="n">
        <v>3853.8</v>
      </c>
      <c r="I118" s="32" t="n">
        <v>2389.1</v>
      </c>
      <c r="J118" s="32" t="n">
        <v>4.16</v>
      </c>
      <c r="K118" s="32" t="n">
        <v>383691</v>
      </c>
      <c r="L118" s="31" t="n">
        <v>97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79.75</v>
      </c>
      <c r="P118" s="32" t="n">
        <v>40.28</v>
      </c>
      <c r="Q118" s="32" t="n">
        <v>1810.63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-5.05</v>
      </c>
      <c r="U118" s="32" t="n">
        <v>104.06</v>
      </c>
      <c r="V118" s="32" t="n">
        <v>114.91</v>
      </c>
      <c r="W118" s="32" t="n">
        <v>56.48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Negative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IF(B119=0,"",RANK(B119,$B$2:$B$407,0))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SFL</t>
        </is>
      </c>
      <c r="D119" s="31" t="inlineStr">
        <is>
          <t>Sheela Foam Limited</t>
        </is>
      </c>
      <c r="E119" s="31" t="inlineStr">
        <is>
          <t>consumer discretionary</t>
        </is>
      </c>
      <c r="F119" s="31" t="inlineStr">
        <is>
          <t>miscellaneous</t>
        </is>
      </c>
      <c r="G119" s="31" t="inlineStr">
        <is>
          <t>midcap</t>
        </is>
      </c>
      <c r="H119" s="32" t="n">
        <v>8010.9</v>
      </c>
      <c r="I119" s="32" t="n">
        <v>763</v>
      </c>
      <c r="J119" s="32" t="n">
        <v>3.54</v>
      </c>
      <c r="K119" s="32" t="n">
        <v>274876</v>
      </c>
      <c r="L119" s="31" t="n">
        <v>57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71.17</v>
      </c>
      <c r="P119" s="32" t="n">
        <v>24.53</v>
      </c>
      <c r="Q119" s="32" t="n">
        <v>602.59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-5.05</v>
      </c>
      <c r="U119" s="32" t="n">
        <v>9.23</v>
      </c>
      <c r="V119" s="32" t="n">
        <v>15.04</v>
      </c>
      <c r="W119" s="32" t="n">
        <v>14.92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IF(B120=0,"",RANK(B120,$B$2:$B$407,0))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NRL</t>
        </is>
      </c>
      <c r="D120" s="31" t="inlineStr">
        <is>
          <t>Nupur Recyclers Ltd</t>
        </is>
      </c>
      <c r="E120" s="31" t="inlineStr">
        <is>
          <t>services</t>
        </is>
      </c>
      <c r="F120" s="31" t="inlineStr">
        <is>
          <t>trading</t>
        </is>
      </c>
      <c r="G120" s="31" t="inlineStr">
        <is>
          <t>smallcap</t>
        </is>
      </c>
      <c r="H120" s="32" t="n">
        <v>589.16</v>
      </c>
      <c r="I120" s="32" t="n">
        <v>88.2</v>
      </c>
      <c r="J120" s="32" t="n">
        <v>3.4</v>
      </c>
      <c r="K120" s="32" t="n">
        <v>132757</v>
      </c>
      <c r="L120" s="31" t="n">
        <v>79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78.59</v>
      </c>
      <c r="P120" s="32" t="n">
        <v>32.64</v>
      </c>
      <c r="Q120" s="32" t="n">
        <v>69.06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-5.05</v>
      </c>
      <c r="U120" s="32" t="n">
        <v>13.08</v>
      </c>
      <c r="V120" s="32" t="n">
        <v>19.09</v>
      </c>
      <c r="W120" s="32" t="n">
        <v>24.17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IF(B121=0,"",RANK(B121,$B$2:$B$407,0))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NRBBEARING</t>
        </is>
      </c>
      <c r="D121" s="31" t="inlineStr">
        <is>
          <t>Nrb Bearing Limited</t>
        </is>
      </c>
      <c r="E121" s="31" t="inlineStr">
        <is>
          <t>industrials</t>
        </is>
      </c>
      <c r="F121" s="31" t="inlineStr">
        <is>
          <t>bearings</t>
        </is>
      </c>
      <c r="G121" s="31" t="inlineStr">
        <is>
          <t>smallcap</t>
        </is>
      </c>
      <c r="H121" s="32" t="n">
        <v>4106.13</v>
      </c>
      <c r="I121" s="32" t="n">
        <v>437.8</v>
      </c>
      <c r="J121" s="32" t="n">
        <v>3.34</v>
      </c>
      <c r="K121" s="32" t="n">
        <v>438618</v>
      </c>
      <c r="L121" s="31" t="n">
        <v>87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79.90000000000001</v>
      </c>
      <c r="P121" s="32" t="n">
        <v>38.86</v>
      </c>
      <c r="Q121" s="32" t="n">
        <v>336.95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-5.05</v>
      </c>
      <c r="U121" s="32" t="n">
        <v>58.17</v>
      </c>
      <c r="V121" s="32" t="n">
        <v>66.58</v>
      </c>
      <c r="W121" s="32" t="n">
        <v>31.96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IF(B122=0,"",RANK(B122,$B$2:$B$407,0))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SANDHAR</t>
        </is>
      </c>
      <c r="D122" s="31" t="inlineStr">
        <is>
          <t>Sandhar Technologies Limited</t>
        </is>
      </c>
      <c r="E122" s="31" t="inlineStr">
        <is>
          <t>auto</t>
        </is>
      </c>
      <c r="F122" s="31" t="inlineStr">
        <is>
          <t>auto ancillaries</t>
        </is>
      </c>
      <c r="G122" s="31" t="inlineStr">
        <is>
          <t>smallcap</t>
        </is>
      </c>
      <c r="H122" s="32" t="n">
        <v>4256.99</v>
      </c>
      <c r="I122" s="32" t="n">
        <v>727.2</v>
      </c>
      <c r="J122" s="32" t="n">
        <v>2.82</v>
      </c>
      <c r="K122" s="32" t="n">
        <v>583384</v>
      </c>
      <c r="L122" s="31" t="n">
        <v>75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70.34999999999999</v>
      </c>
      <c r="P122" s="32" t="n">
        <v>29.26</v>
      </c>
      <c r="Q122" s="32" t="n">
        <v>541.5599999999999</v>
      </c>
      <c r="R122" s="31" t="inlineStr">
        <is>
          <t>Near 52W High Breakout</t>
        </is>
      </c>
      <c r="S122" s="31" t="inlineStr">
        <is>
          <t>Nifty Auto</t>
        </is>
      </c>
      <c r="T122" s="32" t="n">
        <v>13.04</v>
      </c>
      <c r="U122" s="32" t="n">
        <v>38.2</v>
      </c>
      <c r="V122" s="32" t="n">
        <v>22.25</v>
      </c>
      <c r="W122" s="32" t="n">
        <v>21.79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Less than 50%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IF(B123=0,"",RANK(B123,$B$2:$B$407,0))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TTKPRESTIG</t>
        </is>
      </c>
      <c r="D123" s="31" t="inlineStr">
        <is>
          <t>Ttk Prestige Limited</t>
        </is>
      </c>
      <c r="E123" s="31" t="inlineStr">
        <is>
          <t>consumer discretionary</t>
        </is>
      </c>
      <c r="F123" s="31" t="inlineStr">
        <is>
          <t>domestic appliances</t>
        </is>
      </c>
      <c r="G123" s="31" t="inlineStr">
        <is>
          <t>midcap</t>
        </is>
      </c>
      <c r="H123" s="32" t="n">
        <v>8634.07</v>
      </c>
      <c r="I123" s="32" t="n">
        <v>645.95</v>
      </c>
      <c r="J123" s="32" t="n">
        <v>2.46</v>
      </c>
      <c r="K123" s="32" t="n">
        <v>206316</v>
      </c>
      <c r="L123" s="31" t="n">
        <v>48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67.31999999999999</v>
      </c>
      <c r="P123" s="32" t="n">
        <v>27.23</v>
      </c>
      <c r="Q123" s="32" t="n">
        <v>506.72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-5.05</v>
      </c>
      <c r="U123" s="32" t="n">
        <v>3.25</v>
      </c>
      <c r="V123" s="32" t="n">
        <v>8.74</v>
      </c>
      <c r="W123" s="32" t="n">
        <v>12.36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IF(B124=0,"",RANK(B124,$B$2:$B$407,0))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STOVEKRAFT</t>
        </is>
      </c>
      <c r="D124" s="31" t="inlineStr">
        <is>
          <t>Stove Kraft Ltd</t>
        </is>
      </c>
      <c r="E124" s="31" t="inlineStr">
        <is>
          <t>consumer discretionary</t>
        </is>
      </c>
      <c r="F124" s="31" t="inlineStr">
        <is>
          <t>domestic appliances</t>
        </is>
      </c>
      <c r="G124" s="31" t="inlineStr">
        <is>
          <t>smallcap</t>
        </is>
      </c>
      <c r="H124" s="32" t="n">
        <v>2502.58</v>
      </c>
      <c r="I124" s="32" t="n">
        <v>773.85</v>
      </c>
      <c r="J124" s="32" t="n">
        <v>2.37</v>
      </c>
      <c r="K124" s="32" t="n">
        <v>68234</v>
      </c>
      <c r="L124" s="31" t="n">
        <v>73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74.91</v>
      </c>
      <c r="P124" s="32" t="n">
        <v>33.39</v>
      </c>
      <c r="Q124" s="32" t="n">
        <v>606.65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-5.05</v>
      </c>
      <c r="U124" s="32" t="n">
        <v>28.32</v>
      </c>
      <c r="V124" s="32" t="n">
        <v>35.14</v>
      </c>
      <c r="W124" s="32" t="n">
        <v>21.01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IF(B125=0,"",RANK(B125,$B$2:$B$407,0))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SANGAMIND</t>
        </is>
      </c>
      <c r="D125" s="31" t="inlineStr">
        <is>
          <t>Sangam (india) Limited</t>
        </is>
      </c>
      <c r="E125" s="31" t="inlineStr">
        <is>
          <t>textiles</t>
        </is>
      </c>
      <c r="F125" s="31" t="inlineStr">
        <is>
          <t>textiles - spinning - synthetic / blended</t>
        </is>
      </c>
      <c r="G125" s="31" t="inlineStr">
        <is>
          <t>smallcap</t>
        </is>
      </c>
      <c r="H125" s="32" t="n">
        <v>2723.36</v>
      </c>
      <c r="I125" s="32" t="n">
        <v>553.1</v>
      </c>
      <c r="J125" s="32" t="n">
        <v>2.05</v>
      </c>
      <c r="K125" s="32" t="n">
        <v>50924</v>
      </c>
      <c r="L125" s="31" t="n">
        <v>43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68.64</v>
      </c>
      <c r="P125" s="32" t="n">
        <v>37.6</v>
      </c>
      <c r="Q125" s="32" t="n">
        <v>431.43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-5.05</v>
      </c>
      <c r="U125" s="32" t="n">
        <v>23.04</v>
      </c>
      <c r="V125" s="32" t="n">
        <v>29.58</v>
      </c>
      <c r="W125" s="32" t="n">
        <v>11.41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IF(B126=0,"",RANK(B126,$B$2:$B$407,0))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ADANIPORTS</t>
        </is>
      </c>
      <c r="D126" s="31" t="inlineStr">
        <is>
          <t>Adani Ports And Special Economic Zone Limited</t>
        </is>
      </c>
      <c r="E126" s="31" t="inlineStr">
        <is>
          <t>transportation</t>
        </is>
      </c>
      <c r="F126" s="31" t="inlineStr">
        <is>
          <t>miscellaneous</t>
        </is>
      </c>
      <c r="G126" s="31" t="inlineStr">
        <is>
          <t>largecap</t>
        </is>
      </c>
      <c r="H126" s="32" t="n">
        <v>425817.72</v>
      </c>
      <c r="I126" s="32" t="n">
        <v>1883.2</v>
      </c>
      <c r="J126" s="32" t="n">
        <v>1.89</v>
      </c>
      <c r="K126" s="32" t="n">
        <v>3089068</v>
      </c>
      <c r="L126" s="31" t="n">
        <v>55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72.41</v>
      </c>
      <c r="P126" s="32" t="n">
        <v>29.31</v>
      </c>
      <c r="Q126" s="32" t="n">
        <v>1611.54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-5.05</v>
      </c>
      <c r="U126" s="32" t="n">
        <v>32.77</v>
      </c>
      <c r="V126" s="32" t="n">
        <v>39.83</v>
      </c>
      <c r="W126" s="32" t="n">
        <v>14.33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IF(B127=0,"",RANK(B127,$B$2:$B$407,0))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SWARAJENG</t>
        </is>
      </c>
      <c r="D127" s="31" t="inlineStr">
        <is>
          <t>Swaraj Engines Limited</t>
        </is>
      </c>
      <c r="E127" s="31" t="inlineStr">
        <is>
          <t>industrials</t>
        </is>
      </c>
      <c r="F127" s="31" t="inlineStr">
        <is>
          <t>engines</t>
        </is>
      </c>
      <c r="G127" s="31" t="inlineStr">
        <is>
          <t>smallcap</t>
        </is>
      </c>
      <c r="H127" s="32" t="n">
        <v>4906.97</v>
      </c>
      <c r="I127" s="32" t="n">
        <v>4103.5</v>
      </c>
      <c r="J127" s="32" t="n">
        <v>1.6</v>
      </c>
      <c r="K127" s="32" t="n">
        <v>56043</v>
      </c>
      <c r="L127" s="31" t="n">
        <v>11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60.38</v>
      </c>
      <c r="P127" s="32" t="n">
        <v>24.35</v>
      </c>
      <c r="Q127" s="32" t="n">
        <v>3438.87</v>
      </c>
      <c r="R127" s="31" t="inlineStr">
        <is>
          <t>Volume Spike / Accumulation</t>
        </is>
      </c>
      <c r="S127" s="31" t="inlineStr">
        <is>
          <t>Nifty 50</t>
        </is>
      </c>
      <c r="T127" s="32" t="n">
        <v>-5.05</v>
      </c>
      <c r="U127" s="32" t="n">
        <v>3.58</v>
      </c>
      <c r="V127" s="32" t="n">
        <v>9.09</v>
      </c>
      <c r="W127" s="32" t="n">
        <v>4.28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IF(B128=0,"",RANK(B128,$B$2:$B$407,0))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SKIPPER</t>
        </is>
      </c>
      <c r="D128" s="31" t="inlineStr">
        <is>
          <t>Skipper Limited</t>
        </is>
      </c>
      <c r="E128" s="31" t="inlineStr">
        <is>
          <t>industrials</t>
        </is>
      </c>
      <c r="F128" s="31" t="inlineStr">
        <is>
          <t>engineering</t>
        </is>
      </c>
      <c r="G128" s="31" t="inlineStr">
        <is>
          <t>midcap</t>
        </is>
      </c>
      <c r="H128" s="32" t="n">
        <v>6293.27</v>
      </c>
      <c r="I128" s="32" t="n">
        <v>566.05</v>
      </c>
      <c r="J128" s="32" t="n">
        <v>1.55</v>
      </c>
      <c r="K128" s="32" t="n">
        <v>1773845</v>
      </c>
      <c r="L128" s="31" t="n">
        <v>68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69.14</v>
      </c>
      <c r="P128" s="32" t="n">
        <v>32.95</v>
      </c>
      <c r="Q128" s="32" t="n">
        <v>427.06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-5.05</v>
      </c>
      <c r="U128" s="32" t="n">
        <v>14.35</v>
      </c>
      <c r="V128" s="32" t="n">
        <v>20.43</v>
      </c>
      <c r="W128" s="32" t="n">
        <v>18.4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IF(B129=0,"",RANK(B129,$B$2:$B$407,0))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WELCORP</t>
        </is>
      </c>
      <c r="D129" s="31" t="inlineStr">
        <is>
          <t>Welspun Corp Limited</t>
        </is>
      </c>
      <c r="E129" s="31" t="inlineStr">
        <is>
          <t>industrials</t>
        </is>
      </c>
      <c r="F129" s="31" t="inlineStr">
        <is>
          <t>steel - large</t>
        </is>
      </c>
      <c r="G129" s="31" t="inlineStr">
        <is>
          <t>largecap</t>
        </is>
      </c>
      <c r="H129" s="32" t="n">
        <v>38977.71</v>
      </c>
      <c r="I129" s="32" t="n">
        <v>1498.8</v>
      </c>
      <c r="J129" s="32" t="n">
        <v>1.43</v>
      </c>
      <c r="K129" s="32" t="n">
        <v>289496</v>
      </c>
      <c r="L129" s="31" t="n">
        <v>85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85.23</v>
      </c>
      <c r="P129" s="32" t="n">
        <v>60.03</v>
      </c>
      <c r="Q129" s="32" t="n">
        <v>1246.86</v>
      </c>
      <c r="R129" s="31" t="inlineStr">
        <is>
          <t>Near 52W High Breakout</t>
        </is>
      </c>
      <c r="S129" s="31" t="inlineStr">
        <is>
          <t>Nifty Metal</t>
        </is>
      </c>
      <c r="T129" s="32" t="n">
        <v>30.52</v>
      </c>
      <c r="U129" s="32" t="n">
        <v>62.35</v>
      </c>
      <c r="V129" s="32" t="n">
        <v>24.39</v>
      </c>
      <c r="W129" s="32" t="n">
        <v>29.36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IF(B130=0,"",RANK(B130,$B$2:$B$407,0))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ARVIND</t>
        </is>
      </c>
      <c r="D130" s="31" t="inlineStr">
        <is>
          <t>Arvind Limited</t>
        </is>
      </c>
      <c r="E130" s="31" t="inlineStr">
        <is>
          <t>textiles</t>
        </is>
      </c>
      <c r="F130" s="31" t="inlineStr">
        <is>
          <t>textiles - cotton/blended</t>
        </is>
      </c>
      <c r="G130" s="31" t="inlineStr">
        <is>
          <t>midcap</t>
        </is>
      </c>
      <c r="H130" s="32" t="n">
        <v>14687.59</v>
      </c>
      <c r="I130" s="32" t="n">
        <v>568</v>
      </c>
      <c r="J130" s="32" t="n">
        <v>1.37</v>
      </c>
      <c r="K130" s="32" t="n">
        <v>890794</v>
      </c>
      <c r="L130" s="31" t="n">
        <v>79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83.41</v>
      </c>
      <c r="P130" s="32" t="n">
        <v>50.06</v>
      </c>
      <c r="Q130" s="32" t="n">
        <v>456.01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-5.05</v>
      </c>
      <c r="U130" s="32" t="n">
        <v>64.12</v>
      </c>
      <c r="V130" s="32" t="n">
        <v>72.84</v>
      </c>
      <c r="W130" s="32" t="n">
        <v>23.71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IF(B131=0,"",RANK(B131,$B$2:$B$407,0))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ICIL</t>
        </is>
      </c>
      <c r="D131" s="31" t="inlineStr">
        <is>
          <t>Indo Count Industries Limited</t>
        </is>
      </c>
      <c r="E131" s="31" t="inlineStr">
        <is>
          <t>textiles</t>
        </is>
      </c>
      <c r="F131" s="31" t="inlineStr">
        <is>
          <t>textiles - cotton/blended</t>
        </is>
      </c>
      <c r="G131" s="31" t="inlineStr">
        <is>
          <t>midcap</t>
        </is>
      </c>
      <c r="H131" s="32" t="n">
        <v>8652.99</v>
      </c>
      <c r="I131" s="32" t="n">
        <v>441.05</v>
      </c>
      <c r="J131" s="32" t="n">
        <v>0.95</v>
      </c>
      <c r="K131" s="32" t="n">
        <v>388126</v>
      </c>
      <c r="L131" s="31" t="n">
        <v>84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76.2</v>
      </c>
      <c r="P131" s="32" t="n">
        <v>37.58</v>
      </c>
      <c r="Q131" s="32" t="n">
        <v>330.15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-5.05</v>
      </c>
      <c r="U131" s="32" t="n">
        <v>53.24</v>
      </c>
      <c r="V131" s="32" t="n">
        <v>61.39</v>
      </c>
      <c r="W131" s="32" t="n">
        <v>28.46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IF(B132=0,"",RANK(B132,$B$2:$B$407,0))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HAPPYFORGE</t>
        </is>
      </c>
      <c r="D132" s="31" t="inlineStr">
        <is>
          <t>Happy Forgings Ltd</t>
        </is>
      </c>
      <c r="E132" s="31" t="inlineStr">
        <is>
          <t>industrials</t>
        </is>
      </c>
      <c r="F132" s="31" t="inlineStr">
        <is>
          <t>castings &amp; forgings</t>
        </is>
      </c>
      <c r="G132" s="31" t="inlineStr">
        <is>
          <t>midcap</t>
        </is>
      </c>
      <c r="H132" s="32" t="n">
        <v>14455.43</v>
      </c>
      <c r="I132" s="32" t="n">
        <v>1537</v>
      </c>
      <c r="J132" s="32" t="n">
        <v>0.32</v>
      </c>
      <c r="K132" s="32" t="n">
        <v>78216</v>
      </c>
      <c r="L132" s="31" t="n">
        <v>63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69.64</v>
      </c>
      <c r="P132" s="32" t="n">
        <v>38.19</v>
      </c>
      <c r="Q132" s="32" t="n">
        <v>1226.73</v>
      </c>
      <c r="R132" s="31" t="inlineStr">
        <is>
          <t>Near 52W High Breakout</t>
        </is>
      </c>
      <c r="S132" s="31" t="inlineStr">
        <is>
          <t>Nifty Infra</t>
        </is>
      </c>
      <c r="T132" s="32" t="n">
        <v>0.23</v>
      </c>
      <c r="U132" s="32" t="n">
        <v>58.85</v>
      </c>
      <c r="V132" s="32" t="n">
        <v>58.48</v>
      </c>
      <c r="W132" s="32" t="n">
        <v>16.63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IF(B133=0,"",RANK(B133,$B$2:$B$407,0))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GRWRHITECH</t>
        </is>
      </c>
      <c r="D133" s="31" t="inlineStr">
        <is>
          <t>Garware Hi Tech Films Ltd</t>
        </is>
      </c>
      <c r="E133" s="31" t="inlineStr">
        <is>
          <t>industrials</t>
        </is>
      </c>
      <c r="F133" s="31" t="inlineStr">
        <is>
          <t>packaging</t>
        </is>
      </c>
      <c r="G133" s="31" t="inlineStr">
        <is>
          <t>midcap</t>
        </is>
      </c>
      <c r="H133" s="32" t="n">
        <v>16073.33</v>
      </c>
      <c r="I133" s="32" t="n">
        <v>6920</v>
      </c>
      <c r="J133" s="32" t="n">
        <v>0.02</v>
      </c>
      <c r="K133" s="32" t="n">
        <v>64921</v>
      </c>
      <c r="L133" s="31" t="n">
        <v>89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77.52</v>
      </c>
      <c r="P133" s="32" t="n">
        <v>39.44</v>
      </c>
      <c r="Q133" s="32" t="n">
        <v>5266.63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-5.05</v>
      </c>
      <c r="U133" s="32" t="n">
        <v>72.79000000000001</v>
      </c>
      <c r="V133" s="32" t="n">
        <v>81.97</v>
      </c>
      <c r="W133" s="32" t="n">
        <v>34.15</v>
      </c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IF(B134=0,"",RANK(B134,$B$2:$B$407,0))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3" t="inlineStr">
        <is>
          <t>ROLEXRINGS</t>
        </is>
      </c>
      <c r="D134" s="33" t="inlineStr">
        <is>
          <t>Rolex Rings Ltd</t>
        </is>
      </c>
      <c r="E134" s="31" t="inlineStr">
        <is>
          <t>auto</t>
        </is>
      </c>
      <c r="F134" s="31" t="inlineStr">
        <is>
          <t>auto ancillaries</t>
        </is>
      </c>
      <c r="G134" s="31" t="inlineStr">
        <is>
          <t>smallcap</t>
        </is>
      </c>
      <c r="H134" s="32" t="n">
        <v>4079.01</v>
      </c>
      <c r="I134" s="32" t="n">
        <v>149.77</v>
      </c>
      <c r="J134" s="32" t="n">
        <v>-0.01</v>
      </c>
      <c r="K134" s="32" t="n">
        <v>2252860</v>
      </c>
      <c r="L134" s="31" t="n">
        <v>19</v>
      </c>
      <c r="M134" s="31" t="inlineStr">
        <is>
          <t>Underperforming</t>
        </is>
      </c>
      <c r="N134" s="32">
        <f>IF(M134="Underperforming",-5,IF(L134&gt;=95,15,IF(L134&gt;=90,10,IF(L134&gt;=80,5,0))))</f>
        <v/>
      </c>
      <c r="O134" s="32" t="n">
        <v>59.05</v>
      </c>
      <c r="P134" s="32" t="n">
        <v>31.82</v>
      </c>
      <c r="Q134" s="32" t="n">
        <v>122.73</v>
      </c>
      <c r="R134" s="31" t="inlineStr">
        <is>
          <t>Near 52W High Breakout</t>
        </is>
      </c>
      <c r="S134" s="31" t="inlineStr">
        <is>
          <t>Nifty Auto</t>
        </is>
      </c>
      <c r="T134" s="32" t="n">
        <v>13.04</v>
      </c>
      <c r="U134" s="32" t="n">
        <v>-3</v>
      </c>
      <c r="V134" s="32" t="n">
        <v>-14.19</v>
      </c>
      <c r="W134" s="32" t="n">
        <v>5.79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IF(B135=0,"",RANK(B135,$B$2:$B$407,0))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PHOENIXLTD</t>
        </is>
      </c>
      <c r="D135" s="31" t="inlineStr">
        <is>
          <t>The Phoenix Mills Limited</t>
        </is>
      </c>
      <c r="E135" s="31" t="inlineStr">
        <is>
          <t>realty</t>
        </is>
      </c>
      <c r="F135" s="31" t="inlineStr">
        <is>
          <t>construction</t>
        </is>
      </c>
      <c r="G135" s="31" t="inlineStr">
        <is>
          <t>largecap</t>
        </is>
      </c>
      <c r="H135" s="32" t="n">
        <v>72188.55</v>
      </c>
      <c r="I135" s="32" t="n">
        <v>2012.5</v>
      </c>
      <c r="J135" s="32" t="n">
        <v>-0.3</v>
      </c>
      <c r="K135" s="32" t="n">
        <v>1663167</v>
      </c>
      <c r="L135" s="31" t="n">
        <v>51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67.90000000000001</v>
      </c>
      <c r="P135" s="32" t="n">
        <v>11.43</v>
      </c>
      <c r="Q135" s="32" t="n">
        <v>1677.22</v>
      </c>
      <c r="R135" s="31" t="inlineStr">
        <is>
          <t>Volume Spike &amp; Near 52W High Breakout</t>
        </is>
      </c>
      <c r="S135" s="31" t="inlineStr">
        <is>
          <t>Nifty Realty</t>
        </is>
      </c>
      <c r="T135" s="32" t="n">
        <v>-10.31</v>
      </c>
      <c r="U135" s="32" t="n">
        <v>30.7</v>
      </c>
      <c r="V135" s="32" t="n">
        <v>45.74</v>
      </c>
      <c r="W135" s="32" t="n">
        <v>13.47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0 to 20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IF(B136=0,"",RANK(B136,$B$2:$B$407,0))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DIVGIITTS</t>
        </is>
      </c>
      <c r="D136" s="31" t="inlineStr">
        <is>
          <t>Divgi Torqtransfer Systems Ltd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smallcap</t>
        </is>
      </c>
      <c r="H136" s="32" t="n">
        <v>3021.13</v>
      </c>
      <c r="I136" s="32" t="n">
        <v>980.8</v>
      </c>
      <c r="J136" s="32" t="n">
        <v>-0.71</v>
      </c>
      <c r="K136" s="32" t="n">
        <v>228763</v>
      </c>
      <c r="L136" s="31" t="n">
        <v>76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71.08</v>
      </c>
      <c r="P136" s="32" t="n">
        <v>32.94</v>
      </c>
      <c r="Q136" s="32" t="n">
        <v>723.62</v>
      </c>
      <c r="R136" s="31" t="inlineStr">
        <is>
          <t>Volume Spike &amp; Near 52W High Breakout</t>
        </is>
      </c>
      <c r="S136" s="31" t="inlineStr">
        <is>
          <t>Nifty Auto</t>
        </is>
      </c>
      <c r="T136" s="32" t="n">
        <v>13.04</v>
      </c>
      <c r="U136" s="32" t="n">
        <v>56.88</v>
      </c>
      <c r="V136" s="32" t="n">
        <v>38.78</v>
      </c>
      <c r="W136" s="32" t="n">
        <v>22.33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Between 50% to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IF(B137=0,"",RANK(B137,$B$2:$B$407,0))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THELEELA</t>
        </is>
      </c>
      <c r="D137" s="31" t="inlineStr">
        <is>
          <t>Leela Palaces Hotels &amp; Resorts Ltd</t>
        </is>
      </c>
      <c r="E137" s="31" t="inlineStr">
        <is>
          <t>services</t>
        </is>
      </c>
      <c r="F137" s="31" t="inlineStr">
        <is>
          <t>hotels</t>
        </is>
      </c>
      <c r="G137" s="31" t="inlineStr">
        <is>
          <t>midcap</t>
        </is>
      </c>
      <c r="H137" s="32" t="n">
        <v>16026.64</v>
      </c>
      <c r="I137" s="32" t="n">
        <v>476.25</v>
      </c>
      <c r="J137" s="32" t="n">
        <v>-0.76</v>
      </c>
      <c r="K137" s="32" t="n">
        <v>133929</v>
      </c>
      <c r="L137" s="31" t="n">
        <v>22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60.15</v>
      </c>
      <c r="P137" s="32" t="n">
        <v>13.52</v>
      </c>
      <c r="Q137" s="32" t="n">
        <v>403.26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-5.05</v>
      </c>
      <c r="U137" s="32" t="n">
        <v>18.59</v>
      </c>
      <c r="V137" s="32" t="n">
        <v>24.89</v>
      </c>
      <c r="W137" s="32" t="n">
        <v>6.61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IF(B138=0,"",RANK(B138,$B$2:$B$407,0))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PREMEXPLN</t>
        </is>
      </c>
      <c r="D138" s="31" t="inlineStr">
        <is>
          <t>Premier Explosives Limited</t>
        </is>
      </c>
      <c r="E138" s="31" t="inlineStr">
        <is>
          <t>aerospace &amp; defence</t>
        </is>
      </c>
      <c r="F138" s="31" t="inlineStr">
        <is>
          <t>chemicals</t>
        </is>
      </c>
      <c r="G138" s="31" t="inlineStr">
        <is>
          <t>smallcap</t>
        </is>
      </c>
      <c r="H138" s="32" t="n">
        <v>4244.98</v>
      </c>
      <c r="I138" s="32" t="n">
        <v>778.35</v>
      </c>
      <c r="J138" s="32" t="n">
        <v>-1.42</v>
      </c>
      <c r="K138" s="32" t="n">
        <v>735157</v>
      </c>
      <c r="L138" s="31" t="n">
        <v>83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70.59999999999999</v>
      </c>
      <c r="P138" s="32" t="n">
        <v>27.42</v>
      </c>
      <c r="Q138" s="32" t="n">
        <v>554.77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-5.05</v>
      </c>
      <c r="U138" s="32" t="n">
        <v>35.47</v>
      </c>
      <c r="V138" s="32" t="n">
        <v>42.67</v>
      </c>
      <c r="W138" s="32" t="n">
        <v>27.83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Negative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IF(B139=0,"",RANK(B139,$B$2:$B$407,0))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SHRIPISTON</t>
        </is>
      </c>
      <c r="D139" s="31" t="inlineStr">
        <is>
          <t>Shriram Pistons &amp; Rings Limited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midcap</t>
        </is>
      </c>
      <c r="H139" s="32" t="n">
        <v>19294.7</v>
      </c>
      <c r="I139" s="32" t="n">
        <v>4306.5</v>
      </c>
      <c r="J139" s="32" t="n">
        <v>-1.68</v>
      </c>
      <c r="K139" s="32" t="n">
        <v>67246</v>
      </c>
      <c r="L139" s="31" t="n">
        <v>76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71.68000000000001</v>
      </c>
      <c r="P139" s="32" t="n">
        <v>33.38</v>
      </c>
      <c r="Q139" s="32" t="n">
        <v>3414.77</v>
      </c>
      <c r="R139" s="31" t="inlineStr">
        <is>
          <t>Near 52W High Breakout</t>
        </is>
      </c>
      <c r="S139" s="31" t="inlineStr">
        <is>
          <t>Nifty Auto</t>
        </is>
      </c>
      <c r="T139" s="32" t="n">
        <v>13.04</v>
      </c>
      <c r="U139" s="32" t="n">
        <v>68.06999999999999</v>
      </c>
      <c r="V139" s="32" t="n">
        <v>48.67</v>
      </c>
      <c r="W139" s="32" t="n">
        <v>22.04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IF(B140=0,"",RANK(B140,$B$2:$B$407,0))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APOLLO</t>
        </is>
      </c>
      <c r="D140" s="31" t="inlineStr">
        <is>
          <t>Apollo Micro Systems Ltd</t>
        </is>
      </c>
      <c r="E140" s="31" t="inlineStr">
        <is>
          <t>aerospace &amp; defence</t>
        </is>
      </c>
      <c r="F140" s="31" t="inlineStr">
        <is>
          <t>electronics - components</t>
        </is>
      </c>
      <c r="G140" s="31" t="inlineStr">
        <is>
          <t>midcap</t>
        </is>
      </c>
      <c r="H140" s="32" t="n">
        <v>15474.68</v>
      </c>
      <c r="I140" s="32" t="n">
        <v>439.55</v>
      </c>
      <c r="J140" s="32" t="n">
        <v>4.94</v>
      </c>
      <c r="K140" s="32" t="n">
        <v>17880802</v>
      </c>
      <c r="L140" s="31" t="n">
        <v>96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68.67</v>
      </c>
      <c r="P140" s="32" t="n">
        <v>41.15</v>
      </c>
      <c r="Q140" s="32" t="n">
        <v>309.92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-5.05</v>
      </c>
      <c r="U140" s="32" t="n">
        <v>129.26</v>
      </c>
      <c r="V140" s="32" t="n">
        <v>141.45</v>
      </c>
      <c r="W140" s="32" t="n">
        <v>55.31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Oligopoly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Cyclical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B2C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Fully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Yes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Between 1.5 to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IF(B141=0,"",RANK(B141,$B$2:$B$407,0))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INDIAGLYCO</t>
        </is>
      </c>
      <c r="D141" s="31" t="inlineStr">
        <is>
          <t>India Glycols Limited</t>
        </is>
      </c>
      <c r="E141" s="31" t="inlineStr">
        <is>
          <t>fmcg</t>
        </is>
      </c>
      <c r="F141" s="31" t="inlineStr">
        <is>
          <t>breweries &amp; distilleries</t>
        </is>
      </c>
      <c r="G141" s="31" t="inlineStr">
        <is>
          <t>midcap</t>
        </is>
      </c>
      <c r="H141" s="32" t="n">
        <v>6892.36</v>
      </c>
      <c r="I141" s="32" t="n">
        <v>1075.35</v>
      </c>
      <c r="J141" s="32" t="n">
        <v>4.58</v>
      </c>
      <c r="K141" s="32" t="n">
        <v>383478</v>
      </c>
      <c r="L141" s="31" t="n">
        <v>17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59.94</v>
      </c>
      <c r="P141" s="32" t="n">
        <v>17.96</v>
      </c>
      <c r="Q141" s="32" t="n">
        <v>906.16</v>
      </c>
      <c r="R141" s="31" t="inlineStr">
        <is>
          <t>Earnings / Momentum Support</t>
        </is>
      </c>
      <c r="S141" s="31" t="inlineStr">
        <is>
          <t>Nifty FMCG</t>
        </is>
      </c>
      <c r="T141" s="32" t="n">
        <v>-8.5</v>
      </c>
      <c r="U141" s="32" t="n">
        <v>3.31</v>
      </c>
      <c r="V141" s="32" t="n">
        <v>12.9</v>
      </c>
      <c r="W141" s="32" t="n">
        <v>5.39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B2C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IF(B142=0,"",RANK(B142,$B$2:$B$407,0))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ALIVUS</t>
        </is>
      </c>
      <c r="D142" s="33" t="inlineStr">
        <is>
          <t>Alivus Life Sciences Ltd</t>
        </is>
      </c>
      <c r="E142" s="31" t="inlineStr">
        <is>
          <t>healthcare</t>
        </is>
      </c>
      <c r="F142" s="31" t="inlineStr">
        <is>
          <t>pharmaceuticals - indian - bulk drugs &amp; formln</t>
        </is>
      </c>
      <c r="G142" s="31" t="inlineStr">
        <is>
          <t>midcap</t>
        </is>
      </c>
      <c r="H142" s="32" t="n">
        <v>13947.76</v>
      </c>
      <c r="I142" s="32" t="n">
        <v>1159.2</v>
      </c>
      <c r="J142" s="32" t="n">
        <v>2.01</v>
      </c>
      <c r="K142" s="32" t="n">
        <v>310933</v>
      </c>
      <c r="L142" s="31" t="n">
        <v>21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69.56999999999999</v>
      </c>
      <c r="P142" s="32" t="n">
        <v>31.97</v>
      </c>
      <c r="Q142" s="32" t="n">
        <v>940.14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13.06</v>
      </c>
      <c r="U142" s="32" t="n">
        <v>12.01</v>
      </c>
      <c r="V142" s="32" t="n">
        <v>-0.93</v>
      </c>
      <c r="W142" s="32" t="n">
        <v>6.14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Between 12 to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Between 1.5 to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IF(B143=0,"",RANK(B143,$B$2:$B$407,0))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SBCL</t>
        </is>
      </c>
      <c r="D143" s="31" t="inlineStr">
        <is>
          <t>Shivalik Bimetal Controls Ltd</t>
        </is>
      </c>
      <c r="E143" s="31" t="inlineStr">
        <is>
          <t>metals &amp; mining</t>
        </is>
      </c>
      <c r="F143" s="31" t="inlineStr">
        <is>
          <t>mining / minerals / metals</t>
        </is>
      </c>
      <c r="G143" s="31" t="inlineStr">
        <is>
          <t>smallcap</t>
        </is>
      </c>
      <c r="H143" s="32" t="n">
        <v>4323.2</v>
      </c>
      <c r="I143" s="32" t="n">
        <v>763.2</v>
      </c>
      <c r="J143" s="32" t="n">
        <v>1.69</v>
      </c>
      <c r="K143" s="32" t="n">
        <v>191733</v>
      </c>
      <c r="L143" s="31" t="n">
        <v>86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71.89</v>
      </c>
      <c r="P143" s="32" t="n">
        <v>41.09</v>
      </c>
      <c r="Q143" s="32" t="n">
        <v>572.58</v>
      </c>
      <c r="R143" s="31" t="inlineStr">
        <is>
          <t>Near 52W High Breakout</t>
        </is>
      </c>
      <c r="S143" s="31" t="inlineStr">
        <is>
          <t>Nifty Metal</t>
        </is>
      </c>
      <c r="T143" s="32" t="n">
        <v>30.52</v>
      </c>
      <c r="U143" s="32" t="n">
        <v>43.62</v>
      </c>
      <c r="V143" s="32" t="n">
        <v>10.04</v>
      </c>
      <c r="W143" s="32" t="n">
        <v>29.6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Monopoly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Shallow Cyclical (2 to 3 Years Growth)</t>
        </is>
      </c>
      <c r="AG143" s="31">
        <f>IF(AF143="Structural (10 Years Consistency)",10,IF(AF143="Shallow Cyclical (2 to 3 years growth)",5,0))</f>
        <v/>
      </c>
      <c r="AH143" s="31" t="inlineStr">
        <is>
          <t>Yes due to Product Mix change or Operating Leverage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Fully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Yes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Between 1.5 to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IF(B144=0,"",RANK(B144,$B$2:$B$407,0))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AKUMS</t>
        </is>
      </c>
      <c r="D144" s="33" t="inlineStr">
        <is>
          <t>Akums Drugs &amp; Pharmaceuticals Ltd</t>
        </is>
      </c>
      <c r="E144" s="31" t="inlineStr">
        <is>
          <t>healthcare</t>
        </is>
      </c>
      <c r="F144" s="31" t="inlineStr">
        <is>
          <t>pharmaceuticals - indian - bulk drugs &amp; formln</t>
        </is>
      </c>
      <c r="G144" s="31" t="inlineStr">
        <is>
          <t>midcap</t>
        </is>
      </c>
      <c r="H144" s="32" t="n">
        <v>9929.200000000001</v>
      </c>
      <c r="I144" s="32" t="n">
        <v>637.45</v>
      </c>
      <c r="J144" s="32" t="n">
        <v>1.05</v>
      </c>
      <c r="K144" s="32" t="n">
        <v>182756</v>
      </c>
      <c r="L144" s="31" t="n">
        <v>33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71.31999999999999</v>
      </c>
      <c r="P144" s="32" t="n">
        <v>42.89</v>
      </c>
      <c r="Q144" s="32" t="n">
        <v>513.79</v>
      </c>
      <c r="R144" s="31" t="inlineStr">
        <is>
          <t>Near 52W High Breakout</t>
        </is>
      </c>
      <c r="S144" s="31" t="inlineStr">
        <is>
          <t>Nifty Pharma</t>
        </is>
      </c>
      <c r="T144" s="32" t="n">
        <v>13.06</v>
      </c>
      <c r="U144" s="32" t="n">
        <v>10.72</v>
      </c>
      <c r="V144" s="32" t="n">
        <v>-2.08</v>
      </c>
      <c r="W144" s="32" t="n">
        <v>9.109999999999999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IF(B145=0,"",RANK(B145,$B$2:$B$407,0))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SAREGAMA</t>
        </is>
      </c>
      <c r="D145" s="31" t="inlineStr">
        <is>
          <t>Saregama India Limited</t>
        </is>
      </c>
      <c r="E145" s="31" t="inlineStr">
        <is>
          <t>media</t>
        </is>
      </c>
      <c r="F145" s="31" t="inlineStr">
        <is>
          <t>entertainment / electronic media software</t>
        </is>
      </c>
      <c r="G145" s="31" t="inlineStr">
        <is>
          <t>midcap</t>
        </is>
      </c>
      <c r="H145" s="32" t="n">
        <v>9492.98</v>
      </c>
      <c r="I145" s="32" t="n">
        <v>494.3</v>
      </c>
      <c r="J145" s="32" t="n">
        <v>0.4</v>
      </c>
      <c r="K145" s="32" t="n">
        <v>303270</v>
      </c>
      <c r="L145" s="31" t="n">
        <v>54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70.7</v>
      </c>
      <c r="P145" s="32" t="n">
        <v>33.03</v>
      </c>
      <c r="Q145" s="32" t="n">
        <v>388.36</v>
      </c>
      <c r="R145" s="31" t="inlineStr">
        <is>
          <t>Near 52W High Breakout</t>
        </is>
      </c>
      <c r="S145" s="31" t="inlineStr">
        <is>
          <t>Nifty IT</t>
        </is>
      </c>
      <c r="T145" s="32" t="n">
        <v>-31.15</v>
      </c>
      <c r="U145" s="32" t="n">
        <v>1.08</v>
      </c>
      <c r="V145" s="32" t="n">
        <v>46.81</v>
      </c>
      <c r="W145" s="32" t="n">
        <v>14.03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Between 1.5 to 2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IF(B146=0,"",RANK(B146,$B$2:$B$407,0))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HNDFDS</t>
        </is>
      </c>
      <c r="D146" s="31" t="inlineStr">
        <is>
          <t>Hindustan Foods Ltd</t>
        </is>
      </c>
      <c r="E146" s="31" t="inlineStr">
        <is>
          <t>fmcg</t>
        </is>
      </c>
      <c r="F146" s="31" t="inlineStr">
        <is>
          <t>diversified - large</t>
        </is>
      </c>
      <c r="G146" s="31" t="inlineStr">
        <is>
          <t>midcap</t>
        </is>
      </c>
      <c r="H146" s="32" t="n">
        <v>6701.13</v>
      </c>
      <c r="I146" s="32" t="n">
        <v>563</v>
      </c>
      <c r="J146" s="32" t="n">
        <v>0.38</v>
      </c>
      <c r="K146" s="32" t="n">
        <v>49116</v>
      </c>
      <c r="L146" s="31" t="n">
        <v>10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62.19</v>
      </c>
      <c r="P146" s="32" t="n">
        <v>27.09</v>
      </c>
      <c r="Q146" s="32" t="n">
        <v>469.06</v>
      </c>
      <c r="R146" s="31" t="inlineStr">
        <is>
          <t>Near 52W High Breakout</t>
        </is>
      </c>
      <c r="S146" s="31" t="inlineStr">
        <is>
          <t>Nifty FMCG</t>
        </is>
      </c>
      <c r="T146" s="32" t="n">
        <v>-8.5</v>
      </c>
      <c r="U146" s="32" t="n">
        <v>4.34</v>
      </c>
      <c r="V146" s="32" t="n">
        <v>14.03</v>
      </c>
      <c r="W146" s="32" t="n">
        <v>3.99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B2C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Less than 50%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IF(B147=0,"",RANK(B147,$B$2:$B$407,0))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AURUM</t>
        </is>
      </c>
      <c r="D147" s="31" t="inlineStr">
        <is>
          <t>Aurum Proptech Ltd</t>
        </is>
      </c>
      <c r="E147" s="31" t="inlineStr">
        <is>
          <t>i.t</t>
        </is>
      </c>
      <c r="F147" s="31" t="inlineStr">
        <is>
          <t>computers - software - medium / small</t>
        </is>
      </c>
      <c r="G147" s="31" t="inlineStr">
        <is>
          <t>smallcap</t>
        </is>
      </c>
      <c r="H147" s="32" t="n">
        <v>1745.59</v>
      </c>
      <c r="I147" s="32" t="n">
        <v>227.83</v>
      </c>
      <c r="J147" s="32" t="n">
        <v>0.05</v>
      </c>
      <c r="K147" s="32" t="n">
        <v>168793</v>
      </c>
      <c r="L147" s="31" t="n">
        <v>40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72.23999999999999</v>
      </c>
      <c r="P147" s="32" t="n">
        <v>28.16</v>
      </c>
      <c r="Q147" s="32" t="n">
        <v>180.76</v>
      </c>
      <c r="R147" s="31" t="inlineStr">
        <is>
          <t>Volume Spike &amp; Near 52W High Breakout</t>
        </is>
      </c>
      <c r="S147" s="31" t="inlineStr">
        <is>
          <t>Nifty IT</t>
        </is>
      </c>
      <c r="T147" s="32" t="n">
        <v>-31.15</v>
      </c>
      <c r="U147" s="32" t="n">
        <v>17.31</v>
      </c>
      <c r="V147" s="32" t="n">
        <v>70.38</v>
      </c>
      <c r="W147" s="32" t="n">
        <v>10.8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IF(B148=0,"",RANK(B148,$B$2:$B$407,0))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SAILIFE</t>
        </is>
      </c>
      <c r="D148" s="31" t="inlineStr">
        <is>
          <t>Sai Life Sciences Ltd</t>
        </is>
      </c>
      <c r="E148" s="31" t="inlineStr">
        <is>
          <t>healthcare</t>
        </is>
      </c>
      <c r="F148" s="31" t="inlineStr">
        <is>
          <t>pharmaceuticals - indian - bulk drugs &amp; formln</t>
        </is>
      </c>
      <c r="G148" s="31" t="inlineStr">
        <is>
          <t>largecap</t>
        </is>
      </c>
      <c r="H148" s="32" t="n">
        <v>26341.1</v>
      </c>
      <c r="I148" s="32" t="n">
        <v>1238</v>
      </c>
      <c r="J148" s="32" t="n">
        <v>-0.47</v>
      </c>
      <c r="K148" s="32" t="n">
        <v>353218</v>
      </c>
      <c r="L148" s="31" t="n">
        <v>59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73.17</v>
      </c>
      <c r="P148" s="32" t="n">
        <v>28.3</v>
      </c>
      <c r="Q148" s="32" t="n">
        <v>1005.55</v>
      </c>
      <c r="R148" s="31" t="inlineStr">
        <is>
          <t>Near 52W High Breakout</t>
        </is>
      </c>
      <c r="S148" s="31" t="inlineStr">
        <is>
          <t>Nifty Pharma</t>
        </is>
      </c>
      <c r="T148" s="32" t="n">
        <v>13.06</v>
      </c>
      <c r="U148" s="32" t="n">
        <v>56.17</v>
      </c>
      <c r="V148" s="32" t="n">
        <v>38.12</v>
      </c>
      <c r="W148" s="32" t="n">
        <v>15.57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Between 12 to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IF(B149=0,"",RANK(B149,$B$2:$B$407,0))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BLSE</t>
        </is>
      </c>
      <c r="D149" s="31" t="inlineStr">
        <is>
          <t>BLS E-Services Ltd</t>
        </is>
      </c>
      <c r="E149" s="31" t="inlineStr">
        <is>
          <t>i.t</t>
        </is>
      </c>
      <c r="F149" s="31" t="inlineStr">
        <is>
          <t>computers - software - medium / small</t>
        </is>
      </c>
      <c r="G149" s="31" t="inlineStr">
        <is>
          <t>smallcap</t>
        </is>
      </c>
      <c r="H149" s="32" t="n">
        <v>2320.66</v>
      </c>
      <c r="I149" s="32" t="n">
        <v>252.66</v>
      </c>
      <c r="J149" s="32" t="n">
        <v>-1.08</v>
      </c>
      <c r="K149" s="32" t="n">
        <v>985862</v>
      </c>
      <c r="L149" s="31" t="n">
        <v>70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73.83</v>
      </c>
      <c r="P149" s="32" t="n">
        <v>23.33</v>
      </c>
      <c r="Q149" s="32" t="n">
        <v>197.5</v>
      </c>
      <c r="R149" s="31" t="inlineStr">
        <is>
          <t>Volume Spike &amp; Near 52W High Breakout</t>
        </is>
      </c>
      <c r="S149" s="31" t="inlineStr">
        <is>
          <t>Nifty IT</t>
        </is>
      </c>
      <c r="T149" s="32" t="n">
        <v>-31.15</v>
      </c>
      <c r="U149" s="32" t="n">
        <v>31.06</v>
      </c>
      <c r="V149" s="32" t="n">
        <v>90.36</v>
      </c>
      <c r="W149" s="32" t="n">
        <v>19.78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IF(B150=0,"",RANK(B150,$B$2:$B$407,0))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ONMOBILE</t>
        </is>
      </c>
      <c r="D150" s="31" t="inlineStr">
        <is>
          <t>Onmobile Global Limited</t>
        </is>
      </c>
      <c r="E150" s="31" t="inlineStr">
        <is>
          <t>telecom-service</t>
        </is>
      </c>
      <c r="F150" s="31" t="inlineStr">
        <is>
          <t>telecommunications - service provider</t>
        </is>
      </c>
      <c r="G150" s="31" t="inlineStr">
        <is>
          <t>smallcap</t>
        </is>
      </c>
      <c r="H150" s="32" t="n">
        <v>688.3200000000001</v>
      </c>
      <c r="I150" s="32" t="n">
        <v>77.68000000000001</v>
      </c>
      <c r="J150" s="32" t="n">
        <v>19.99</v>
      </c>
      <c r="K150" s="32" t="n">
        <v>6977101</v>
      </c>
      <c r="L150" s="31" t="n">
        <v>85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74.22</v>
      </c>
      <c r="P150" s="32" t="n">
        <v>20.51</v>
      </c>
      <c r="Q150" s="32" t="n">
        <v>58.66</v>
      </c>
      <c r="R150" s="31" t="inlineStr">
        <is>
          <t>Volume Spike &amp; Near 52W High Breakout</t>
        </is>
      </c>
      <c r="S150" s="31" t="inlineStr">
        <is>
          <t>Nifty 50</t>
        </is>
      </c>
      <c r="T150" s="32" t="n">
        <v>-5.05</v>
      </c>
      <c r="U150" s="32" t="n">
        <v>45.85</v>
      </c>
      <c r="V150" s="32" t="n">
        <v>53.6</v>
      </c>
      <c r="W150" s="32" t="n">
        <v>28.71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Oligopoly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IF(B151=0,"",RANK(B151,$B$2:$B$407,0))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SKYGOLD</t>
        </is>
      </c>
      <c r="D151" s="31" t="inlineStr">
        <is>
          <t>Sky Gold Ltd</t>
        </is>
      </c>
      <c r="E151" s="31" t="inlineStr">
        <is>
          <t>consumer discretionary</t>
        </is>
      </c>
      <c r="F151" s="31" t="inlineStr">
        <is>
          <t>diamond cutting / jewellery</t>
        </is>
      </c>
      <c r="G151" s="31" t="inlineStr">
        <is>
          <t>midcap</t>
        </is>
      </c>
      <c r="H151" s="32" t="n">
        <v>8191.28</v>
      </c>
      <c r="I151" s="32" t="n">
        <v>568.85</v>
      </c>
      <c r="J151" s="32" t="n">
        <v>7.55</v>
      </c>
      <c r="K151" s="32" t="n">
        <v>2390039</v>
      </c>
      <c r="L151" s="31" t="n">
        <v>84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68.64</v>
      </c>
      <c r="P151" s="32" t="n">
        <v>45.92</v>
      </c>
      <c r="Q151" s="32" t="n">
        <v>413.14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-5.05</v>
      </c>
      <c r="U151" s="32" t="n">
        <v>79.28</v>
      </c>
      <c r="V151" s="32" t="n">
        <v>88.81</v>
      </c>
      <c r="W151" s="32" t="n">
        <v>28.68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Negative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IF(B152=0,"",RANK(B152,$B$2:$B$407,0))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KABRAEXTRU</t>
        </is>
      </c>
      <c r="D152" s="31" t="inlineStr">
        <is>
          <t>Kabra Extrusion Technik Limited</t>
        </is>
      </c>
      <c r="E152" s="31" t="inlineStr">
        <is>
          <t>industrials</t>
        </is>
      </c>
      <c r="F152" s="31" t="inlineStr">
        <is>
          <t>engineering</t>
        </is>
      </c>
      <c r="G152" s="31" t="inlineStr">
        <is>
          <t>smallcap</t>
        </is>
      </c>
      <c r="H152" s="32" t="n">
        <v>926.78</v>
      </c>
      <c r="I152" s="32" t="n">
        <v>278.45</v>
      </c>
      <c r="J152" s="32" t="n">
        <v>5.08</v>
      </c>
      <c r="K152" s="32" t="n">
        <v>518303</v>
      </c>
      <c r="L152" s="31" t="n">
        <v>26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62.32</v>
      </c>
      <c r="P152" s="32" t="n">
        <v>11.57</v>
      </c>
      <c r="Q152" s="32" t="n">
        <v>201.02</v>
      </c>
      <c r="R152" s="31" t="inlineStr">
        <is>
          <t>Volume Spike / Accumulation</t>
        </is>
      </c>
      <c r="S152" s="31" t="inlineStr">
        <is>
          <t>Nifty 50</t>
        </is>
      </c>
      <c r="T152" s="32" t="n">
        <v>-5.05</v>
      </c>
      <c r="U152" s="32" t="n">
        <v>-4.31</v>
      </c>
      <c r="V152" s="32" t="n">
        <v>0.78</v>
      </c>
      <c r="W152" s="32" t="n">
        <v>7.34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IF(B153=0,"",RANK(B153,$B$2:$B$407,0))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SETL</t>
        </is>
      </c>
      <c r="D153" s="31" t="inlineStr">
        <is>
          <t>Standard Enginnering Technology Ltd</t>
        </is>
      </c>
      <c r="E153" s="31" t="inlineStr">
        <is>
          <t>industrials</t>
        </is>
      </c>
      <c r="F153" s="31" t="inlineStr">
        <is>
          <t>engineering</t>
        </is>
      </c>
      <c r="G153" s="31" t="inlineStr">
        <is>
          <t>midcap</t>
        </is>
      </c>
      <c r="H153" s="32" t="n">
        <v>5634.64</v>
      </c>
      <c r="I153" s="32" t="n">
        <v>296.55</v>
      </c>
      <c r="J153" s="32" t="n">
        <v>4.99</v>
      </c>
      <c r="K153" s="32" t="n">
        <v>2530686</v>
      </c>
      <c r="L153" s="31" t="n">
        <v>95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87.04000000000001</v>
      </c>
      <c r="P153" s="32" t="n">
        <v>20.05</v>
      </c>
      <c r="Q153" s="32" t="n">
        <v>229.74</v>
      </c>
      <c r="R153" s="31" t="inlineStr">
        <is>
          <t>Volume Spike &amp; Near 52W High Breakout</t>
        </is>
      </c>
      <c r="S153" s="31" t="inlineStr">
        <is>
          <t>Nifty Infra</t>
        </is>
      </c>
      <c r="T153" s="32" t="n">
        <v>0.23</v>
      </c>
      <c r="U153" s="32" t="n">
        <v>74.79000000000001</v>
      </c>
      <c r="V153" s="32" t="n">
        <v>74.39</v>
      </c>
      <c r="W153" s="32" t="n">
        <v>48.49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Less than 50%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IF(B154=0,"",RANK(B154,$B$2:$B$407,0))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GREAVESCOT</t>
        </is>
      </c>
      <c r="D154" s="31" t="inlineStr">
        <is>
          <t>Greaves Cotton Limited</t>
        </is>
      </c>
      <c r="E154" s="31" t="inlineStr">
        <is>
          <t>industrials</t>
        </is>
      </c>
      <c r="F154" s="31" t="inlineStr">
        <is>
          <t>engines</t>
        </is>
      </c>
      <c r="G154" s="31" t="inlineStr">
        <is>
          <t>midcap</t>
        </is>
      </c>
      <c r="H154" s="32" t="n">
        <v>5147.23</v>
      </c>
      <c r="I154" s="32" t="n">
        <v>231.03</v>
      </c>
      <c r="J154" s="32" t="n">
        <v>4.54</v>
      </c>
      <c r="K154" s="32" t="n">
        <v>9114807</v>
      </c>
      <c r="L154" s="31" t="n">
        <v>77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70.64</v>
      </c>
      <c r="P154" s="32" t="n">
        <v>20.5</v>
      </c>
      <c r="Q154" s="32" t="n">
        <v>179.18</v>
      </c>
      <c r="R154" s="31" t="inlineStr">
        <is>
          <t>Volume Spike &amp; Near 52W High Breakout</t>
        </is>
      </c>
      <c r="S154" s="31" t="inlineStr">
        <is>
          <t>Nifty 50</t>
        </is>
      </c>
      <c r="T154" s="32" t="n">
        <v>-5.05</v>
      </c>
      <c r="U154" s="32" t="n">
        <v>14.01</v>
      </c>
      <c r="V154" s="32" t="n">
        <v>20.07</v>
      </c>
      <c r="W154" s="32" t="n">
        <v>22.88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IF(B155=0,"",RANK(B155,$B$2:$B$407,0))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KMEW</t>
        </is>
      </c>
      <c r="D155" s="31" t="inlineStr">
        <is>
          <t>Knowledge Marine &amp; Engineering Works Ltd</t>
        </is>
      </c>
      <c r="E155" s="31" t="inlineStr">
        <is>
          <t>transportation</t>
        </is>
      </c>
      <c r="F155" s="31" t="inlineStr">
        <is>
          <t>miscellaneous</t>
        </is>
      </c>
      <c r="G155" s="31" t="inlineStr">
        <is>
          <t>midcap</t>
        </is>
      </c>
      <c r="H155" s="32" t="n">
        <v>5351.06</v>
      </c>
      <c r="I155" s="32" t="n">
        <v>2282.8</v>
      </c>
      <c r="J155" s="32" t="n">
        <v>4.28</v>
      </c>
      <c r="K155" s="32" t="n">
        <v>217827</v>
      </c>
      <c r="L155" s="31" t="n">
        <v>90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67.84</v>
      </c>
      <c r="P155" s="32" t="n">
        <v>38.75</v>
      </c>
      <c r="Q155" s="32" t="n">
        <v>1581.9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-5.05</v>
      </c>
      <c r="U155" s="32" t="n">
        <v>177.36</v>
      </c>
      <c r="V155" s="32" t="n">
        <v>192.1</v>
      </c>
      <c r="W155" s="32" t="n">
        <v>35.07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Negative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IF(B156=0,"",RANK(B156,$B$2:$B$407,0))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RPEL</t>
        </is>
      </c>
      <c r="D156" s="31" t="inlineStr">
        <is>
          <t>Raghav Productivity Enhancers Ltd</t>
        </is>
      </c>
      <c r="E156" s="31" t="inlineStr">
        <is>
          <t>building materials</t>
        </is>
      </c>
      <c r="F156" s="31" t="inlineStr">
        <is>
          <t>refractories / intermediates</t>
        </is>
      </c>
      <c r="G156" s="31" t="inlineStr">
        <is>
          <t>midcap</t>
        </is>
      </c>
      <c r="H156" s="32" t="n">
        <v>5716.96</v>
      </c>
      <c r="I156" s="32" t="n">
        <v>1294.9</v>
      </c>
      <c r="J156" s="32" t="n">
        <v>3.99</v>
      </c>
      <c r="K156" s="32" t="n">
        <v>143388</v>
      </c>
      <c r="L156" s="31" t="n">
        <v>93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78.59</v>
      </c>
      <c r="P156" s="32" t="n">
        <v>35.2</v>
      </c>
      <c r="Q156" s="32" t="n">
        <v>1006.11</v>
      </c>
      <c r="R156" s="31" t="inlineStr">
        <is>
          <t>Near 52W High Breakout</t>
        </is>
      </c>
      <c r="S156" s="31" t="inlineStr">
        <is>
          <t>Nifty Infra</t>
        </is>
      </c>
      <c r="T156" s="32" t="n">
        <v>0.23</v>
      </c>
      <c r="U156" s="32" t="n">
        <v>82.23</v>
      </c>
      <c r="V156" s="32" t="n">
        <v>81.81</v>
      </c>
      <c r="W156" s="32" t="n">
        <v>42.82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Less than 50%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IF(B157=0,"",RANK(B157,$B$2:$B$407,0))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AETHER</t>
        </is>
      </c>
      <c r="D157" s="31" t="inlineStr">
        <is>
          <t>Aether Industries Ltd</t>
        </is>
      </c>
      <c r="E157" s="31" t="inlineStr">
        <is>
          <t>chemicals</t>
        </is>
      </c>
      <c r="F157" s="31" t="inlineStr">
        <is>
          <t>chemicals</t>
        </is>
      </c>
      <c r="G157" s="31" t="inlineStr">
        <is>
          <t>midcap</t>
        </is>
      </c>
      <c r="H157" s="32" t="n">
        <v>17605.29</v>
      </c>
      <c r="I157" s="32" t="n">
        <v>1372.4</v>
      </c>
      <c r="J157" s="32" t="n">
        <v>3.43</v>
      </c>
      <c r="K157" s="32" t="n">
        <v>456848</v>
      </c>
      <c r="L157" s="31" t="n">
        <v>66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71.2</v>
      </c>
      <c r="P157" s="32" t="n">
        <v>47.05</v>
      </c>
      <c r="Q157" s="32" t="n">
        <v>1073.87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-5.05</v>
      </c>
      <c r="U157" s="32" t="n">
        <v>76.22</v>
      </c>
      <c r="V157" s="32" t="n">
        <v>85.59</v>
      </c>
      <c r="W157" s="32" t="n">
        <v>17.51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Less than 50%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IF(B158=0,"",RANK(B158,$B$2:$B$407,0))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EXICOM</t>
        </is>
      </c>
      <c r="D158" s="33" t="inlineStr">
        <is>
          <t>Exicom Tele-Systems Ltd</t>
        </is>
      </c>
      <c r="E158" s="31" t="inlineStr">
        <is>
          <t>industrials</t>
        </is>
      </c>
      <c r="F158" s="31" t="inlineStr">
        <is>
          <t>electric equipment</t>
        </is>
      </c>
      <c r="G158" s="31" t="inlineStr">
        <is>
          <t>smallcap</t>
        </is>
      </c>
      <c r="H158" s="32" t="n">
        <v>2316.23</v>
      </c>
      <c r="I158" s="32" t="n">
        <v>171.68</v>
      </c>
      <c r="J158" s="32" t="n">
        <v>3.09</v>
      </c>
      <c r="K158" s="32" t="n">
        <v>4238794</v>
      </c>
      <c r="L158" s="31" t="n">
        <v>82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64.36</v>
      </c>
      <c r="P158" s="32" t="n">
        <v>29.58</v>
      </c>
      <c r="Q158" s="32" t="n">
        <v>109.8</v>
      </c>
      <c r="R158" s="31" t="inlineStr">
        <is>
          <t>Near 52W High Breakout</t>
        </is>
      </c>
      <c r="S158" s="31" t="inlineStr">
        <is>
          <t>Nifty Infra</t>
        </is>
      </c>
      <c r="T158" s="32" t="n">
        <v>0.23</v>
      </c>
      <c r="U158" s="32" t="n">
        <v>-11.18</v>
      </c>
      <c r="V158" s="32" t="n">
        <v>-11.38</v>
      </c>
      <c r="W158" s="32" t="n">
        <v>26.55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IF(B159=0,"",RANK(B159,$B$2:$B$407,0))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DATAPATTNS</t>
        </is>
      </c>
      <c r="D159" s="31" t="inlineStr">
        <is>
          <t>Data Patterns (India) Ltd</t>
        </is>
      </c>
      <c r="E159" s="31" t="inlineStr">
        <is>
          <t>aerospace &amp; defence</t>
        </is>
      </c>
      <c r="F159" s="31" t="inlineStr">
        <is>
          <t>electronics - components</t>
        </is>
      </c>
      <c r="G159" s="31" t="inlineStr">
        <is>
          <t>largecap</t>
        </is>
      </c>
      <c r="H159" s="32" t="n">
        <v>25380.33</v>
      </c>
      <c r="I159" s="32" t="n">
        <v>4656.7</v>
      </c>
      <c r="J159" s="32" t="n">
        <v>2.72</v>
      </c>
      <c r="K159" s="32" t="n">
        <v>856356</v>
      </c>
      <c r="L159" s="31" t="n">
        <v>75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69.59999999999999</v>
      </c>
      <c r="P159" s="32" t="n">
        <v>32.38</v>
      </c>
      <c r="Q159" s="32" t="n">
        <v>3551.97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-5.05</v>
      </c>
      <c r="U159" s="32" t="n">
        <v>56.66</v>
      </c>
      <c r="V159" s="32" t="n">
        <v>64.98</v>
      </c>
      <c r="W159" s="32" t="n">
        <v>21.84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Less than 50%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IF(B160=0,"",RANK(B160,$B$2:$B$407,0))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INDNIPPON</t>
        </is>
      </c>
      <c r="D160" s="31" t="inlineStr">
        <is>
          <t>India Nippon Electricals Limited</t>
        </is>
      </c>
      <c r="E160" s="31" t="inlineStr">
        <is>
          <t>auto</t>
        </is>
      </c>
      <c r="F160" s="31" t="inlineStr">
        <is>
          <t>auto ancillaries</t>
        </is>
      </c>
      <c r="G160" s="31" t="inlineStr">
        <is>
          <t>smallcap</t>
        </is>
      </c>
      <c r="H160" s="32" t="n">
        <v>2205.82</v>
      </c>
      <c r="I160" s="32" t="n">
        <v>996</v>
      </c>
      <c r="J160" s="32" t="n">
        <v>2.14</v>
      </c>
      <c r="K160" s="32" t="n">
        <v>21049</v>
      </c>
      <c r="L160" s="31" t="n">
        <v>64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67.08</v>
      </c>
      <c r="P160" s="32" t="n">
        <v>19.84</v>
      </c>
      <c r="Q160" s="32" t="n">
        <v>793.65</v>
      </c>
      <c r="R160" s="31" t="inlineStr">
        <is>
          <t>Near 52W High Breakout</t>
        </is>
      </c>
      <c r="S160" s="31" t="inlineStr">
        <is>
          <t>Nifty Auto</t>
        </is>
      </c>
      <c r="T160" s="32" t="n">
        <v>13.04</v>
      </c>
      <c r="U160" s="32" t="n">
        <v>32.12</v>
      </c>
      <c r="V160" s="32" t="n">
        <v>16.87</v>
      </c>
      <c r="W160" s="32" t="n">
        <v>16.8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IF(B161=0,"",RANK(B161,$B$2:$B$407,0))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BOSCHLTD</t>
        </is>
      </c>
      <c r="D161" s="31" t="inlineStr">
        <is>
          <t>Bosch Limited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largecap</t>
        </is>
      </c>
      <c r="H161" s="32" t="n">
        <v>120289.81</v>
      </c>
      <c r="I161" s="32" t="n">
        <v>41515</v>
      </c>
      <c r="J161" s="32" t="n">
        <v>1.79</v>
      </c>
      <c r="K161" s="32" t="n">
        <v>43271</v>
      </c>
      <c r="L161" s="31" t="n">
        <v>37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64.72</v>
      </c>
      <c r="P161" s="32" t="n">
        <v>21.79</v>
      </c>
      <c r="Q161" s="32" t="n">
        <v>34696.73</v>
      </c>
      <c r="R161" s="31" t="inlineStr">
        <is>
          <t>Near 52W High Breakout</t>
        </is>
      </c>
      <c r="S161" s="31" t="inlineStr">
        <is>
          <t>Nifty Auto</t>
        </is>
      </c>
      <c r="T161" s="32" t="n">
        <v>13.04</v>
      </c>
      <c r="U161" s="32" t="n">
        <v>17.11</v>
      </c>
      <c r="V161" s="32" t="n">
        <v>3.6</v>
      </c>
      <c r="W161" s="32" t="n">
        <v>10.18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IF(B162=0,"",RANK(B162,$B$2:$B$407,0))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NYKAA</t>
        </is>
      </c>
      <c r="D162" s="31" t="inlineStr">
        <is>
          <t>FSN E-Commerce Ventures Ltd</t>
        </is>
      </c>
      <c r="E162" s="31" t="inlineStr">
        <is>
          <t>i.t</t>
        </is>
      </c>
      <c r="F162" s="31" t="inlineStr">
        <is>
          <t>trading</t>
        </is>
      </c>
      <c r="G162" s="31" t="inlineStr">
        <is>
          <t>largecap</t>
        </is>
      </c>
      <c r="H162" s="32" t="n">
        <v>88373.50999999999</v>
      </c>
      <c r="I162" s="32" t="n">
        <v>314</v>
      </c>
      <c r="J162" s="32" t="n">
        <v>1.73</v>
      </c>
      <c r="K162" s="32" t="n">
        <v>5391222</v>
      </c>
      <c r="L162" s="31" t="n">
        <v>60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70.29000000000001</v>
      </c>
      <c r="P162" s="32" t="n">
        <v>25.98</v>
      </c>
      <c r="Q162" s="32" t="n">
        <v>263.3</v>
      </c>
      <c r="R162" s="31" t="inlineStr">
        <is>
          <t>Near 52W High Breakout</t>
        </is>
      </c>
      <c r="S162" s="31" t="inlineStr">
        <is>
          <t>Nifty IT</t>
        </is>
      </c>
      <c r="T162" s="32" t="n">
        <v>-31.15</v>
      </c>
      <c r="U162" s="32" t="n">
        <v>58.4</v>
      </c>
      <c r="V162" s="32" t="n">
        <v>130.08</v>
      </c>
      <c r="W162" s="32" t="n">
        <v>15.92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IF(B163=0,"",RANK(B163,$B$2:$B$407,0))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SUNDRMFAST</t>
        </is>
      </c>
      <c r="D163" s="33" t="inlineStr">
        <is>
          <t>Sundram Fasteners Limited</t>
        </is>
      </c>
      <c r="E163" s="31" t="inlineStr">
        <is>
          <t>auto</t>
        </is>
      </c>
      <c r="F163" s="31" t="inlineStr">
        <is>
          <t>auto ancillaries</t>
        </is>
      </c>
      <c r="G163" s="31" t="inlineStr">
        <is>
          <t>midcap</t>
        </is>
      </c>
      <c r="H163" s="32" t="n">
        <v>19696.38</v>
      </c>
      <c r="I163" s="32" t="n">
        <v>946.55</v>
      </c>
      <c r="J163" s="32" t="n">
        <v>0.98</v>
      </c>
      <c r="K163" s="32" t="n">
        <v>96109</v>
      </c>
      <c r="L163" s="31" t="n">
        <v>11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62.98</v>
      </c>
      <c r="P163" s="32" t="n">
        <v>13.52</v>
      </c>
      <c r="Q163" s="32" t="n">
        <v>786.37</v>
      </c>
      <c r="R163" s="31" t="inlineStr">
        <is>
          <t>Volume Spike / Accumulation</t>
        </is>
      </c>
      <c r="S163" s="31" t="inlineStr">
        <is>
          <t>Nifty Auto</t>
        </is>
      </c>
      <c r="T163" s="32" t="n">
        <v>13.04</v>
      </c>
      <c r="U163" s="32" t="n">
        <v>-10.78</v>
      </c>
      <c r="V163" s="32" t="n">
        <v>-21.07</v>
      </c>
      <c r="W163" s="32" t="n">
        <v>4.27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IF(B164=0,"",RANK(B164,$B$2:$B$407,0))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CONFIPET</t>
        </is>
      </c>
      <c r="D164" s="31" t="inlineStr">
        <is>
          <t>Confidence Petroleum India Ltd</t>
        </is>
      </c>
      <c r="E164" s="31" t="inlineStr">
        <is>
          <t>miscellaneous</t>
        </is>
      </c>
      <c r="F164" s="31" t="inlineStr">
        <is>
          <t>miscellaneous</t>
        </is>
      </c>
      <c r="G164" s="31" t="inlineStr">
        <is>
          <t>smallcap</t>
        </is>
      </c>
      <c r="H164" s="32" t="n">
        <v>2554.6</v>
      </c>
      <c r="I164" s="32" t="n">
        <v>77.42</v>
      </c>
      <c r="J164" s="32" t="n">
        <v>0.6899999999999999</v>
      </c>
      <c r="K164" s="32" t="n">
        <v>4076906</v>
      </c>
      <c r="L164" s="31" t="n">
        <v>71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72.89</v>
      </c>
      <c r="P164" s="32" t="n">
        <v>61.68</v>
      </c>
      <c r="Q164" s="32" t="n">
        <v>52.06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-5.05</v>
      </c>
      <c r="U164" s="32" t="n">
        <v>38.69</v>
      </c>
      <c r="V164" s="32" t="n">
        <v>46.07</v>
      </c>
      <c r="W164" s="32" t="n">
        <v>19.92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IF(B165=0,"",RANK(B165,$B$2:$B$407,0))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HONASA</t>
        </is>
      </c>
      <c r="D165" s="31" t="inlineStr">
        <is>
          <t>Honasa Consumer Ltd</t>
        </is>
      </c>
      <c r="E165" s="31" t="inlineStr">
        <is>
          <t>services</t>
        </is>
      </c>
      <c r="F165" s="31" t="inlineStr">
        <is>
          <t>trading</t>
        </is>
      </c>
      <c r="G165" s="31" t="inlineStr">
        <is>
          <t>midcap</t>
        </is>
      </c>
      <c r="H165" s="32" t="n">
        <v>15178.5</v>
      </c>
      <c r="I165" s="32" t="n">
        <v>469.5</v>
      </c>
      <c r="J165" s="32" t="n">
        <v>0.64</v>
      </c>
      <c r="K165" s="32" t="n">
        <v>954691</v>
      </c>
      <c r="L165" s="31" t="n">
        <v>76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82.45999999999999</v>
      </c>
      <c r="P165" s="32" t="n">
        <v>42.06</v>
      </c>
      <c r="Q165" s="32" t="n">
        <v>380.21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-5.05</v>
      </c>
      <c r="U165" s="32" t="n">
        <v>58.61</v>
      </c>
      <c r="V165" s="32" t="n">
        <v>67.05</v>
      </c>
      <c r="W165" s="32" t="n">
        <v>22.33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IF(B166=0,"",RANK(B166,$B$2:$B$407,0))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RAMCOIND</t>
        </is>
      </c>
      <c r="D166" s="31" t="inlineStr">
        <is>
          <t>Ramco Industries Limited</t>
        </is>
      </c>
      <c r="E166" s="31" t="inlineStr">
        <is>
          <t>building materials</t>
        </is>
      </c>
      <c r="F166" s="31" t="inlineStr">
        <is>
          <t>cement products</t>
        </is>
      </c>
      <c r="G166" s="31" t="inlineStr">
        <is>
          <t>smallcap</t>
        </is>
      </c>
      <c r="H166" s="32" t="n">
        <v>2901.38</v>
      </c>
      <c r="I166" s="32" t="n">
        <v>335.4</v>
      </c>
      <c r="J166" s="32" t="n">
        <v>0.39</v>
      </c>
      <c r="K166" s="32" t="n">
        <v>299587</v>
      </c>
      <c r="L166" s="31" t="n">
        <v>42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61.51</v>
      </c>
      <c r="P166" s="32" t="n">
        <v>22.98</v>
      </c>
      <c r="Q166" s="32" t="n">
        <v>257.91</v>
      </c>
      <c r="R166" s="31" t="inlineStr">
        <is>
          <t>Earnings / Momentum Support</t>
        </is>
      </c>
      <c r="S166" s="31" t="inlineStr">
        <is>
          <t>Nifty Infra</t>
        </is>
      </c>
      <c r="T166" s="32" t="n">
        <v>0.23</v>
      </c>
      <c r="U166" s="32" t="n">
        <v>15.95</v>
      </c>
      <c r="V166" s="32" t="n">
        <v>15.68</v>
      </c>
      <c r="W166" s="32" t="n">
        <v>11.23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IF(B167=0,"",RANK(B167,$B$2:$B$407,0))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WELENT</t>
        </is>
      </c>
      <c r="D167" s="31" t="inlineStr">
        <is>
          <t>Welspun Enterprises Limited</t>
        </is>
      </c>
      <c r="E167" s="31" t="inlineStr">
        <is>
          <t>realty</t>
        </is>
      </c>
      <c r="F167" s="31" t="inlineStr">
        <is>
          <t>construction</t>
        </is>
      </c>
      <c r="G167" s="31" t="inlineStr">
        <is>
          <t>midcap</t>
        </is>
      </c>
      <c r="H167" s="32" t="n">
        <v>8448.09</v>
      </c>
      <c r="I167" s="32" t="n">
        <v>612.25</v>
      </c>
      <c r="J167" s="32" t="n">
        <v>0.31</v>
      </c>
      <c r="K167" s="32" t="n">
        <v>533601</v>
      </c>
      <c r="L167" s="31" t="n">
        <v>49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72.33</v>
      </c>
      <c r="P167" s="32" t="n">
        <v>15.81</v>
      </c>
      <c r="Q167" s="32" t="n">
        <v>489.01</v>
      </c>
      <c r="R167" s="31" t="inlineStr">
        <is>
          <t>Volume Spike &amp; Near 52W High Breakout</t>
        </is>
      </c>
      <c r="S167" s="31" t="inlineStr">
        <is>
          <t>Nifty Realty</t>
        </is>
      </c>
      <c r="T167" s="32" t="n">
        <v>-10.31</v>
      </c>
      <c r="U167" s="32" t="n">
        <v>15.82</v>
      </c>
      <c r="V167" s="32" t="n">
        <v>29.14</v>
      </c>
      <c r="W167" s="32" t="n">
        <v>12.5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Less than 50%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IF(B168=0,"",RANK(B168,$B$2:$B$407,0))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GRINDWELL</t>
        </is>
      </c>
      <c r="D168" s="31" t="inlineStr">
        <is>
          <t>Grindwell Norton Limited</t>
        </is>
      </c>
      <c r="E168" s="31" t="inlineStr">
        <is>
          <t>industrials</t>
        </is>
      </c>
      <c r="F168" s="31" t="inlineStr">
        <is>
          <t>abrasives and grinding wheels</t>
        </is>
      </c>
      <c r="G168" s="31" t="inlineStr">
        <is>
          <t>largecap</t>
        </is>
      </c>
      <c r="H168" s="32" t="n">
        <v>23846.87</v>
      </c>
      <c r="I168" s="32" t="n">
        <v>2151</v>
      </c>
      <c r="J168" s="32" t="n">
        <v>-0.13</v>
      </c>
      <c r="K168" s="32" t="n">
        <v>84207</v>
      </c>
      <c r="L168" s="31" t="n">
        <v>68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69.64</v>
      </c>
      <c r="P168" s="32" t="n">
        <v>35.11</v>
      </c>
      <c r="Q168" s="32" t="n">
        <v>1825.28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-5.05</v>
      </c>
      <c r="U168" s="32" t="n">
        <v>25.85</v>
      </c>
      <c r="V168" s="32" t="n">
        <v>32.54</v>
      </c>
      <c r="W168" s="32" t="n">
        <v>18.45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IF(B169=0,"",RANK(B169,$B$2:$B$407,0))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GABRIEL</t>
        </is>
      </c>
      <c r="D169" s="31" t="inlineStr">
        <is>
          <t>Gabriel India Limited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largecap</t>
        </is>
      </c>
      <c r="H169" s="32" t="n">
        <v>22081.09</v>
      </c>
      <c r="I169" s="32" t="n">
        <v>1242.1</v>
      </c>
      <c r="J169" s="32" t="n">
        <v>-0.31</v>
      </c>
      <c r="K169" s="32" t="n">
        <v>218371</v>
      </c>
      <c r="L169" s="31" t="n">
        <v>64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63.83</v>
      </c>
      <c r="P169" s="32" t="n">
        <v>20.79</v>
      </c>
      <c r="Q169" s="32" t="n">
        <v>955.72</v>
      </c>
      <c r="R169" s="31" t="inlineStr">
        <is>
          <t>Near 52W High Breakout</t>
        </is>
      </c>
      <c r="S169" s="31" t="inlineStr">
        <is>
          <t>Nifty Auto</t>
        </is>
      </c>
      <c r="T169" s="32" t="n">
        <v>13.04</v>
      </c>
      <c r="U169" s="32" t="n">
        <v>31.07</v>
      </c>
      <c r="V169" s="32" t="n">
        <v>15.95</v>
      </c>
      <c r="W169" s="32" t="n">
        <v>16.85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IF(B170=0,"",RANK(B170,$B$2:$B$407,0))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FINEORG</t>
        </is>
      </c>
      <c r="D170" s="31" t="inlineStr">
        <is>
          <t>Fine Organic Industries Ltd</t>
        </is>
      </c>
      <c r="E170" s="31" t="inlineStr">
        <is>
          <t>chemicals</t>
        </is>
      </c>
      <c r="F170" s="31" t="inlineStr">
        <is>
          <t>chemicals</t>
        </is>
      </c>
      <c r="G170" s="31" t="inlineStr">
        <is>
          <t>midcap</t>
        </is>
      </c>
      <c r="H170" s="32" t="n">
        <v>15970.78</v>
      </c>
      <c r="I170" s="32" t="n">
        <v>5192.5</v>
      </c>
      <c r="J170" s="32" t="n">
        <v>-0.32</v>
      </c>
      <c r="K170" s="32" t="n">
        <v>12139</v>
      </c>
      <c r="L170" s="31" t="n">
        <v>11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64.14</v>
      </c>
      <c r="P170" s="32" t="n">
        <v>14.93</v>
      </c>
      <c r="Q170" s="32" t="n">
        <v>4285.58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-5.05</v>
      </c>
      <c r="U170" s="32" t="n">
        <v>-1.26</v>
      </c>
      <c r="V170" s="32" t="n">
        <v>3.99</v>
      </c>
      <c r="W170" s="32" t="n">
        <v>4.14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Between 1.5 to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IF(B171=0,"",RANK(B171,$B$2:$B$407,0))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CENTUM</t>
        </is>
      </c>
      <c r="D171" s="31" t="inlineStr">
        <is>
          <t>Centum Electronics Limited</t>
        </is>
      </c>
      <c r="E171" s="31" t="inlineStr">
        <is>
          <t>consumer discretionary</t>
        </is>
      </c>
      <c r="F171" s="31" t="inlineStr">
        <is>
          <t>electronics - components</t>
        </is>
      </c>
      <c r="G171" s="31" t="inlineStr">
        <is>
          <t>midcap</t>
        </is>
      </c>
      <c r="H171" s="32" t="n">
        <v>5478.93</v>
      </c>
      <c r="I171" s="32" t="n">
        <v>3698</v>
      </c>
      <c r="J171" s="32" t="n">
        <v>-0.51</v>
      </c>
      <c r="K171" s="32" t="n">
        <v>24275</v>
      </c>
      <c r="L171" s="31" t="n">
        <v>62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69.62</v>
      </c>
      <c r="P171" s="32" t="n">
        <v>59.37</v>
      </c>
      <c r="Q171" s="32" t="n">
        <v>2699.1</v>
      </c>
      <c r="R171" s="31" t="inlineStr">
        <is>
          <t>Near 52W High Breakout</t>
        </is>
      </c>
      <c r="S171" s="31" t="inlineStr">
        <is>
          <t>Nifty Infra</t>
        </is>
      </c>
      <c r="T171" s="32" t="n">
        <v>0.23</v>
      </c>
      <c r="U171" s="32" t="n">
        <v>56.89</v>
      </c>
      <c r="V171" s="32" t="n">
        <v>56.53</v>
      </c>
      <c r="W171" s="32" t="n">
        <v>16.44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IF(B172=0,"",RANK(B172,$B$2:$B$407,0))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GREENPLY</t>
        </is>
      </c>
      <c r="D172" s="33" t="inlineStr">
        <is>
          <t>Greenply Industries Limited</t>
        </is>
      </c>
      <c r="E172" s="31" t="inlineStr">
        <is>
          <t>building materials</t>
        </is>
      </c>
      <c r="F172" s="31" t="inlineStr">
        <is>
          <t>miscellaneous</t>
        </is>
      </c>
      <c r="G172" s="31" t="inlineStr">
        <is>
          <t>smallcap</t>
        </is>
      </c>
      <c r="H172" s="32" t="n">
        <v>3843.24</v>
      </c>
      <c r="I172" s="32" t="n">
        <v>306.1</v>
      </c>
      <c r="J172" s="32" t="n">
        <v>-0.52</v>
      </c>
      <c r="K172" s="32" t="n">
        <v>111863</v>
      </c>
      <c r="L172" s="31" t="n">
        <v>56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66.20999999999999</v>
      </c>
      <c r="P172" s="32" t="n">
        <v>26.94</v>
      </c>
      <c r="Q172" s="32" t="n">
        <v>234.1</v>
      </c>
      <c r="R172" s="31" t="inlineStr">
        <is>
          <t>Earnings / Momentum Support</t>
        </is>
      </c>
      <c r="S172" s="31" t="inlineStr">
        <is>
          <t>Nifty Infra</t>
        </is>
      </c>
      <c r="T172" s="32" t="n">
        <v>0.23</v>
      </c>
      <c r="U172" s="32" t="n">
        <v>-1.97</v>
      </c>
      <c r="V172" s="32" t="n">
        <v>-2.2</v>
      </c>
      <c r="W172" s="32" t="n">
        <v>14.87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IF(B173=0,"",RANK(B173,$B$2:$B$407,0))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KDDL</t>
        </is>
      </c>
      <c r="D173" s="31" t="inlineStr">
        <is>
          <t>Kddl Limited</t>
        </is>
      </c>
      <c r="E173" s="31" t="inlineStr">
        <is>
          <t>consumer discretionary</t>
        </is>
      </c>
      <c r="F173" s="31" t="inlineStr">
        <is>
          <t>miscellaneous</t>
        </is>
      </c>
      <c r="G173" s="31" t="inlineStr">
        <is>
          <t>smallcap</t>
        </is>
      </c>
      <c r="H173" s="32" t="n">
        <v>4063.93</v>
      </c>
      <c r="I173" s="32" t="n">
        <v>3277</v>
      </c>
      <c r="J173" s="32" t="n">
        <v>-0.82</v>
      </c>
      <c r="K173" s="32" t="n">
        <v>19244</v>
      </c>
      <c r="L173" s="31" t="n">
        <v>55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69.56</v>
      </c>
      <c r="P173" s="32" t="n">
        <v>22.62</v>
      </c>
      <c r="Q173" s="32" t="n">
        <v>2469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-5.05</v>
      </c>
      <c r="U173" s="32" t="n">
        <v>17.31</v>
      </c>
      <c r="V173" s="32" t="n">
        <v>23.55</v>
      </c>
      <c r="W173" s="32" t="n">
        <v>14.7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Between 1.5 to 2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IF(B174=0,"",RANK(B174,$B$2:$B$407,0))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STEELCAS</t>
        </is>
      </c>
      <c r="D174" s="31" t="inlineStr">
        <is>
          <t>Steelcast Ltd</t>
        </is>
      </c>
      <c r="E174" s="31" t="inlineStr">
        <is>
          <t>industrials</t>
        </is>
      </c>
      <c r="F174" s="31" t="inlineStr">
        <is>
          <t>castings &amp; forgings</t>
        </is>
      </c>
      <c r="G174" s="31" t="inlineStr">
        <is>
          <t>smallcap</t>
        </is>
      </c>
      <c r="H174" s="32" t="n">
        <v>3075.97</v>
      </c>
      <c r="I174" s="32" t="n">
        <v>299.95</v>
      </c>
      <c r="J174" s="32" t="n">
        <v>-1.32</v>
      </c>
      <c r="K174" s="32" t="n">
        <v>72961</v>
      </c>
      <c r="L174" s="31" t="n">
        <v>40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71.05</v>
      </c>
      <c r="P174" s="32" t="n">
        <v>36.31</v>
      </c>
      <c r="Q174" s="32" t="n">
        <v>218.06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-5.05</v>
      </c>
      <c r="U174" s="32" t="n">
        <v>24.74</v>
      </c>
      <c r="V174" s="32" t="n">
        <v>31.37</v>
      </c>
      <c r="W174" s="32" t="n">
        <v>10.99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IF(B175=0,"",RANK(B175,$B$2:$B$407,0))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ASHIANA</t>
        </is>
      </c>
      <c r="D175" s="31" t="inlineStr">
        <is>
          <t>Ashiana Housing Limited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smallcap</t>
        </is>
      </c>
      <c r="H175" s="32" t="n">
        <v>3981.29</v>
      </c>
      <c r="I175" s="32" t="n">
        <v>387.9</v>
      </c>
      <c r="J175" s="32" t="n">
        <v>-2.06</v>
      </c>
      <c r="K175" s="32" t="n">
        <v>91917</v>
      </c>
      <c r="L175" s="31" t="n">
        <v>31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65.27</v>
      </c>
      <c r="P175" s="32" t="n">
        <v>34.71</v>
      </c>
      <c r="Q175" s="32" t="n">
        <v>296.22</v>
      </c>
      <c r="R175" s="31" t="inlineStr">
        <is>
          <t>Near 52W High Breakout</t>
        </is>
      </c>
      <c r="S175" s="31" t="inlineStr">
        <is>
          <t>Nifty Realty</t>
        </is>
      </c>
      <c r="T175" s="32" t="n">
        <v>-10.31</v>
      </c>
      <c r="U175" s="32" t="n">
        <v>13.85</v>
      </c>
      <c r="V175" s="32" t="n">
        <v>26.95</v>
      </c>
      <c r="W175" s="32" t="n">
        <v>8.529999999999999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IF(B176=0,"",RANK(B176,$B$2:$B$407,0))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SPECTRUM</t>
        </is>
      </c>
      <c r="D176" s="31" t="inlineStr">
        <is>
          <t>Spectrum Electrical Industries Ltd</t>
        </is>
      </c>
      <c r="E176" s="31" t="inlineStr">
        <is>
          <t>industrials</t>
        </is>
      </c>
      <c r="F176" s="31" t="inlineStr">
        <is>
          <t>electric equipment</t>
        </is>
      </c>
      <c r="G176" s="31" t="inlineStr">
        <is>
          <t>smallcap</t>
        </is>
      </c>
      <c r="H176" s="32" t="n">
        <v>3016.74</v>
      </c>
      <c r="I176" s="32" t="n">
        <v>1880</v>
      </c>
      <c r="J176" s="32" t="n">
        <v>-2.07</v>
      </c>
      <c r="K176" s="32" t="n">
        <v>16010</v>
      </c>
      <c r="L176" s="31" t="n">
        <v>50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65.78</v>
      </c>
      <c r="P176" s="32" t="n">
        <v>32.13</v>
      </c>
      <c r="Q176" s="32" t="n">
        <v>1298.65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-5.05</v>
      </c>
      <c r="U176" s="32" t="n">
        <v>26.49</v>
      </c>
      <c r="V176" s="32" t="n">
        <v>33.21</v>
      </c>
      <c r="W176" s="32" t="n">
        <v>12.92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IF(B177=0,"",RANK(B177,$B$2:$B$407,0))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AEROENTER</t>
        </is>
      </c>
      <c r="D177" s="31" t="inlineStr">
        <is>
          <t>Aeroflex Enterprises Ltd</t>
        </is>
      </c>
      <c r="E177" s="31" t="inlineStr">
        <is>
          <t>metals &amp; mining</t>
        </is>
      </c>
      <c r="F177" s="31" t="inlineStr">
        <is>
          <t>steel - medium / small</t>
        </is>
      </c>
      <c r="G177" s="31" t="inlineStr">
        <is>
          <t>smallcap</t>
        </is>
      </c>
      <c r="H177" s="32" t="n">
        <v>1581.95</v>
      </c>
      <c r="I177" s="32" t="n">
        <v>136.66</v>
      </c>
      <c r="J177" s="32" t="n">
        <v>-2.31</v>
      </c>
      <c r="K177" s="32" t="n">
        <v>873462</v>
      </c>
      <c r="L177" s="31" t="n">
        <v>86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74.73999999999999</v>
      </c>
      <c r="P177" s="32" t="n">
        <v>45.18</v>
      </c>
      <c r="Q177" s="32" t="n">
        <v>101.8</v>
      </c>
      <c r="R177" s="31" t="inlineStr">
        <is>
          <t>Near 52W High Breakout</t>
        </is>
      </c>
      <c r="S177" s="31" t="inlineStr">
        <is>
          <t>Nifty Metal</t>
        </is>
      </c>
      <c r="T177" s="32" t="n">
        <v>30.52</v>
      </c>
      <c r="U177" s="32" t="n">
        <v>37.7</v>
      </c>
      <c r="V177" s="32" t="n">
        <v>5.5</v>
      </c>
      <c r="W177" s="32" t="n">
        <v>30.43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Volatile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IF(B178=0,"",RANK(B178,$B$2:$B$407,0))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HFCL</t>
        </is>
      </c>
      <c r="D178" s="31" t="inlineStr">
        <is>
          <t>HFCL Ltd</t>
        </is>
      </c>
      <c r="E178" s="31" t="inlineStr">
        <is>
          <t>telecom</t>
        </is>
      </c>
      <c r="F178" s="31" t="inlineStr">
        <is>
          <t>cables - telephone</t>
        </is>
      </c>
      <c r="G178" s="31" t="inlineStr">
        <is>
          <t>largecap</t>
        </is>
      </c>
      <c r="H178" s="32" t="n">
        <v>32462.55</v>
      </c>
      <c r="I178" s="32" t="n">
        <v>204.59</v>
      </c>
      <c r="J178" s="32" t="n">
        <v>-3.54</v>
      </c>
      <c r="K178" s="32" t="n">
        <v>29245008</v>
      </c>
      <c r="L178" s="31" t="n">
        <v>98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78.95999999999999</v>
      </c>
      <c r="P178" s="32" t="n">
        <v>61.32</v>
      </c>
      <c r="Q178" s="32" t="n">
        <v>161.95</v>
      </c>
      <c r="R178" s="31" t="inlineStr">
        <is>
          <t>Near 52W High Breakout</t>
        </is>
      </c>
      <c r="S178" s="31" t="inlineStr">
        <is>
          <t>Nifty Infra</t>
        </is>
      </c>
      <c r="T178" s="32" t="n">
        <v>0.23</v>
      </c>
      <c r="U178" s="32" t="n">
        <v>142.18</v>
      </c>
      <c r="V178" s="32" t="n">
        <v>141.62</v>
      </c>
      <c r="W178" s="32" t="n">
        <v>71.09999999999999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Negative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IF(B179=0,"",RANK(B179,$B$2:$B$407,0))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MUNJALAU</t>
        </is>
      </c>
      <c r="D179" s="31" t="inlineStr">
        <is>
          <t>Munjal Auto Industries Limited</t>
        </is>
      </c>
      <c r="E179" s="31" t="inlineStr">
        <is>
          <t>auto</t>
        </is>
      </c>
      <c r="F179" s="31" t="inlineStr">
        <is>
          <t>auto ancillaries</t>
        </is>
      </c>
      <c r="G179" s="31" t="inlineStr">
        <is>
          <t>smallcap</t>
        </is>
      </c>
      <c r="H179" s="32" t="n">
        <v>1020.9</v>
      </c>
      <c r="I179" s="32" t="n">
        <v>98.09</v>
      </c>
      <c r="J179" s="32" t="n">
        <v>-3.92</v>
      </c>
      <c r="K179" s="32" t="n">
        <v>726604</v>
      </c>
      <c r="L179" s="31" t="n">
        <v>55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64.48999999999999</v>
      </c>
      <c r="P179" s="32" t="n">
        <v>29.72</v>
      </c>
      <c r="Q179" s="32" t="n">
        <v>72.63</v>
      </c>
      <c r="R179" s="31" t="inlineStr">
        <is>
          <t>Volume Spike / Accumulation</t>
        </is>
      </c>
      <c r="S179" s="31" t="inlineStr">
        <is>
          <t>Nifty Auto</t>
        </is>
      </c>
      <c r="T179" s="32" t="n">
        <v>13.04</v>
      </c>
      <c r="U179" s="32" t="n">
        <v>26.37</v>
      </c>
      <c r="V179" s="32" t="n">
        <v>11.79</v>
      </c>
      <c r="W179" s="32" t="n">
        <v>14.63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IF(B180=0,"",RANK(B180,$B$2:$B$407,0))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THERMAX</t>
        </is>
      </c>
      <c r="D180" s="31" t="inlineStr">
        <is>
          <t>Thermax Limited</t>
        </is>
      </c>
      <c r="E180" s="31" t="inlineStr">
        <is>
          <t>industrials</t>
        </is>
      </c>
      <c r="F180" s="31" t="inlineStr">
        <is>
          <t>electric equipment</t>
        </is>
      </c>
      <c r="G180" s="31" t="inlineStr">
        <is>
          <t>largecap</t>
        </is>
      </c>
      <c r="H180" s="32" t="n">
        <v>61013.98</v>
      </c>
      <c r="I180" s="32" t="n">
        <v>4917</v>
      </c>
      <c r="J180" s="32" t="n">
        <v>-3.97</v>
      </c>
      <c r="K180" s="32" t="n">
        <v>397719</v>
      </c>
      <c r="L180" s="31" t="n">
        <v>69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73.05</v>
      </c>
      <c r="P180" s="32" t="n">
        <v>48.08</v>
      </c>
      <c r="Q180" s="32" t="n">
        <v>3962.19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-5.05</v>
      </c>
      <c r="U180" s="32" t="n">
        <v>42.73</v>
      </c>
      <c r="V180" s="32" t="n">
        <v>50.32</v>
      </c>
      <c r="W180" s="32" t="n">
        <v>19.11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Between 12 to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Between 50% to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IF(B181=0,"",RANK(B181,$B$2:$B$407,0))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HMVL</t>
        </is>
      </c>
      <c r="D181" s="31" t="inlineStr">
        <is>
          <t>Hindustan Media Ventures Limited</t>
        </is>
      </c>
      <c r="E181" s="31" t="inlineStr">
        <is>
          <t>media</t>
        </is>
      </c>
      <c r="F181" s="31" t="inlineStr">
        <is>
          <t>entertainment / electronic media software</t>
        </is>
      </c>
      <c r="G181" s="31" t="inlineStr">
        <is>
          <t>smallcap</t>
        </is>
      </c>
      <c r="H181" s="32" t="n">
        <v>642.1900000000001</v>
      </c>
      <c r="I181" s="32" t="n">
        <v>89.20999999999999</v>
      </c>
      <c r="J181" s="32" t="n">
        <v>2.34</v>
      </c>
      <c r="K181" s="32" t="n">
        <v>128033</v>
      </c>
      <c r="L181" s="31" t="n">
        <v>41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69.18000000000001</v>
      </c>
      <c r="P181" s="32" t="n">
        <v>27.85</v>
      </c>
      <c r="Q181" s="32" t="n">
        <v>68.45999999999999</v>
      </c>
      <c r="R181" s="31" t="inlineStr">
        <is>
          <t>Near 52W High Breakout</t>
        </is>
      </c>
      <c r="S181" s="31" t="inlineStr">
        <is>
          <t>Nifty IT</t>
        </is>
      </c>
      <c r="T181" s="32" t="n">
        <v>-31.15</v>
      </c>
      <c r="U181" s="32" t="n">
        <v>0.04</v>
      </c>
      <c r="V181" s="32" t="n">
        <v>45.31</v>
      </c>
      <c r="W181" s="32" t="n">
        <v>11.05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Between 50% to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IF(B182=0,"",RANK(B182,$B$2:$B$407,0))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IKS</t>
        </is>
      </c>
      <c r="D182" s="31" t="inlineStr">
        <is>
          <t>Inventurus Knowledge Solutions Ltd</t>
        </is>
      </c>
      <c r="E182" s="31" t="inlineStr">
        <is>
          <t>i.t</t>
        </is>
      </c>
      <c r="F182" s="31" t="inlineStr">
        <is>
          <t>computers - software - medium / small</t>
        </is>
      </c>
      <c r="G182" s="31" t="inlineStr">
        <is>
          <t>largecap</t>
        </is>
      </c>
      <c r="H182" s="32" t="n">
        <v>30886.6</v>
      </c>
      <c r="I182" s="32" t="n">
        <v>1837.5</v>
      </c>
      <c r="J182" s="32" t="n">
        <v>2.07</v>
      </c>
      <c r="K182" s="32" t="n">
        <v>1276806</v>
      </c>
      <c r="L182" s="31" t="n">
        <v>46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65.12</v>
      </c>
      <c r="P182" s="32" t="n">
        <v>9.34</v>
      </c>
      <c r="Q182" s="32" t="n">
        <v>1455.41</v>
      </c>
      <c r="R182" s="31" t="inlineStr">
        <is>
          <t>Volume Spike &amp; Near 52W High Breakout</t>
        </is>
      </c>
      <c r="S182" s="31" t="inlineStr">
        <is>
          <t>Nifty IT</t>
        </is>
      </c>
      <c r="T182" s="32" t="n">
        <v>-31.15</v>
      </c>
      <c r="U182" s="32" t="n">
        <v>15.05</v>
      </c>
      <c r="V182" s="32" t="n">
        <v>67.11</v>
      </c>
      <c r="W182" s="32" t="n">
        <v>11.89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IF(B183=0,"",RANK(B183,$B$2:$B$407,0))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LALPATHLAB</t>
        </is>
      </c>
      <c r="D183" s="31" t="inlineStr">
        <is>
          <t>Dr. Lal Path Labs Ltd.</t>
        </is>
      </c>
      <c r="E183" s="31" t="inlineStr">
        <is>
          <t>healthcare</t>
        </is>
      </c>
      <c r="F183" s="31" t="inlineStr">
        <is>
          <t>healthcare</t>
        </is>
      </c>
      <c r="G183" s="31" t="inlineStr">
        <is>
          <t>largecap</t>
        </is>
      </c>
      <c r="H183" s="32" t="n">
        <v>27195.86</v>
      </c>
      <c r="I183" s="32" t="n">
        <v>1648</v>
      </c>
      <c r="J183" s="32" t="n">
        <v>1.53</v>
      </c>
      <c r="K183" s="32" t="n">
        <v>243983</v>
      </c>
      <c r="L183" s="31" t="n">
        <v>32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61.19</v>
      </c>
      <c r="P183" s="32" t="n">
        <v>27.58</v>
      </c>
      <c r="Q183" s="32" t="n">
        <v>1368.82</v>
      </c>
      <c r="R183" s="31" t="inlineStr">
        <is>
          <t>Near 52W High Breakout</t>
        </is>
      </c>
      <c r="S183" s="31" t="inlineStr">
        <is>
          <t>Nifty Pharma</t>
        </is>
      </c>
      <c r="T183" s="32" t="n">
        <v>13.06</v>
      </c>
      <c r="U183" s="32" t="n">
        <v>16.9</v>
      </c>
      <c r="V183" s="32" t="n">
        <v>3.4</v>
      </c>
      <c r="W183" s="32" t="n">
        <v>8.77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IF(B184=0,"",RANK(B184,$B$2:$B$407,0))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YATHARTH</t>
        </is>
      </c>
      <c r="D184" s="31" t="inlineStr">
        <is>
          <t>Yatharth Hospital &amp; Trauma Care Services Ltd</t>
        </is>
      </c>
      <c r="E184" s="31" t="inlineStr">
        <is>
          <t>healthcare</t>
        </is>
      </c>
      <c r="F184" s="31" t="inlineStr">
        <is>
          <t>healthcare</t>
        </is>
      </c>
      <c r="G184" s="31" t="inlineStr">
        <is>
          <t>midcap</t>
        </is>
      </c>
      <c r="H184" s="32" t="n">
        <v>8256.120000000001</v>
      </c>
      <c r="I184" s="32" t="n">
        <v>862.6</v>
      </c>
      <c r="J184" s="32" t="n">
        <v>0.67</v>
      </c>
      <c r="K184" s="32" t="n">
        <v>148559</v>
      </c>
      <c r="L184" s="31" t="n">
        <v>58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62.08</v>
      </c>
      <c r="P184" s="32" t="n">
        <v>29.41</v>
      </c>
      <c r="Q184" s="32" t="n">
        <v>680.01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13.06</v>
      </c>
      <c r="U184" s="32" t="n">
        <v>49.93</v>
      </c>
      <c r="V184" s="32" t="n">
        <v>32.6</v>
      </c>
      <c r="W184" s="32" t="n">
        <v>15.26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IF(B185=0,"",RANK(B185,$B$2:$B$407,0))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SUNPHARMA</t>
        </is>
      </c>
      <c r="D185" s="33" t="inlineStr">
        <is>
          <t>Sun Pharmaceuticals Industries Limited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largecap</t>
        </is>
      </c>
      <c r="H185" s="32" t="n">
        <v>447763.89</v>
      </c>
      <c r="I185" s="32" t="n">
        <v>1871</v>
      </c>
      <c r="J185" s="32" t="n">
        <v>0.26</v>
      </c>
      <c r="K185" s="32" t="n">
        <v>1485818</v>
      </c>
      <c r="L185" s="31" t="n">
        <v>12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60.34</v>
      </c>
      <c r="P185" s="32" t="n">
        <v>14.73</v>
      </c>
      <c r="Q185" s="32" t="n">
        <v>1650.7</v>
      </c>
      <c r="R185" s="31" t="inlineStr">
        <is>
          <t>Near 52W High Breakout</t>
        </is>
      </c>
      <c r="S185" s="31" t="inlineStr">
        <is>
          <t>Nifty Pharma</t>
        </is>
      </c>
      <c r="T185" s="32" t="n">
        <v>13.06</v>
      </c>
      <c r="U185" s="32" t="n">
        <v>12.71</v>
      </c>
      <c r="V185" s="32" t="n">
        <v>-0.31</v>
      </c>
      <c r="W185" s="32" t="n">
        <v>4.63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IF(B186=0,"",RANK(B186,$B$2:$B$407,0))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AJANTPHARM</t>
        </is>
      </c>
      <c r="D186" s="31" t="inlineStr">
        <is>
          <t>Ajanta Pharma Limited</t>
        </is>
      </c>
      <c r="E186" s="31" t="inlineStr">
        <is>
          <t>healthcare</t>
        </is>
      </c>
      <c r="F186" s="31" t="inlineStr">
        <is>
          <t>pharmaceuticals - indian - formulations</t>
        </is>
      </c>
      <c r="G186" s="31" t="inlineStr">
        <is>
          <t>largecap</t>
        </is>
      </c>
      <c r="H186" s="32" t="n">
        <v>41822.2</v>
      </c>
      <c r="I186" s="32" t="n">
        <v>3345.3</v>
      </c>
      <c r="J186" s="32" t="n">
        <v>-0.07000000000000001</v>
      </c>
      <c r="K186" s="32" t="n">
        <v>76713</v>
      </c>
      <c r="L186" s="31" t="n">
        <v>35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67.20999999999999</v>
      </c>
      <c r="P186" s="32" t="n">
        <v>35.32</v>
      </c>
      <c r="Q186" s="32" t="n">
        <v>2747.65</v>
      </c>
      <c r="R186" s="31" t="inlineStr">
        <is>
          <t>Volume Spike &amp; Near 52W High Breakout</t>
        </is>
      </c>
      <c r="S186" s="31" t="inlineStr">
        <is>
          <t>Nifty Pharma</t>
        </is>
      </c>
      <c r="T186" s="32" t="n">
        <v>13.06</v>
      </c>
      <c r="U186" s="32" t="n">
        <v>25.5</v>
      </c>
      <c r="V186" s="32" t="n">
        <v>11</v>
      </c>
      <c r="W186" s="32" t="n">
        <v>9.52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IF(B187=0,"",RANK(B187,$B$2:$B$407,0))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RAINBOW</t>
        </is>
      </c>
      <c r="D187" s="33" t="inlineStr">
        <is>
          <t>Rainbow Childrens Medicare Ltd</t>
        </is>
      </c>
      <c r="E187" s="31" t="inlineStr">
        <is>
          <t>healthcare</t>
        </is>
      </c>
      <c r="F187" s="31" t="inlineStr">
        <is>
          <t>healthcare</t>
        </is>
      </c>
      <c r="G187" s="31" t="inlineStr">
        <is>
          <t>midcap</t>
        </is>
      </c>
      <c r="H187" s="32" t="n">
        <v>14444.76</v>
      </c>
      <c r="I187" s="32" t="n">
        <v>1417.7</v>
      </c>
      <c r="J187" s="32" t="n">
        <v>-0.32</v>
      </c>
      <c r="K187" s="32" t="n">
        <v>111297</v>
      </c>
      <c r="L187" s="31" t="n">
        <v>8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61.56</v>
      </c>
      <c r="P187" s="32" t="n">
        <v>27.1</v>
      </c>
      <c r="Q187" s="32" t="n">
        <v>1236.68</v>
      </c>
      <c r="R187" s="31" t="inlineStr">
        <is>
          <t>Earnings / Momentum Support</t>
        </is>
      </c>
      <c r="S187" s="31" t="inlineStr">
        <is>
          <t>Nifty Pharma</t>
        </is>
      </c>
      <c r="T187" s="32" t="n">
        <v>13.06</v>
      </c>
      <c r="U187" s="32" t="n">
        <v>-11.17</v>
      </c>
      <c r="V187" s="32" t="n">
        <v>-21.43</v>
      </c>
      <c r="W187" s="32" t="n">
        <v>3.28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IF(B188=0,"",RANK(B188,$B$2:$B$407,0))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WOCKPHARMA</t>
        </is>
      </c>
      <c r="D188" s="33" t="inlineStr">
        <is>
          <t>Wockhardt Limited</t>
        </is>
      </c>
      <c r="E188" s="31" t="inlineStr">
        <is>
          <t>healthcare</t>
        </is>
      </c>
      <c r="F188" s="31" t="inlineStr">
        <is>
          <t>pharmaceuticals - indian - bulk drugs &amp; formln</t>
        </is>
      </c>
      <c r="G188" s="31" t="inlineStr">
        <is>
          <t>largecap</t>
        </is>
      </c>
      <c r="H188" s="32" t="n">
        <v>31892.34</v>
      </c>
      <c r="I188" s="32" t="n">
        <v>1950</v>
      </c>
      <c r="J188" s="32" t="n">
        <v>-0.65</v>
      </c>
      <c r="K188" s="32" t="n">
        <v>902283</v>
      </c>
      <c r="L188" s="31" t="n">
        <v>59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68.37</v>
      </c>
      <c r="P188" s="32" t="n">
        <v>39.38</v>
      </c>
      <c r="Q188" s="32" t="n">
        <v>1487.18</v>
      </c>
      <c r="R188" s="31" t="inlineStr">
        <is>
          <t>Near 52W High Breakout</t>
        </is>
      </c>
      <c r="S188" s="31" t="inlineStr">
        <is>
          <t>Nifty Pharma</t>
        </is>
      </c>
      <c r="T188" s="32" t="n">
        <v>13.06</v>
      </c>
      <c r="U188" s="32" t="n">
        <v>13.06</v>
      </c>
      <c r="V188" s="32" t="n">
        <v>-0.01</v>
      </c>
      <c r="W188" s="32" t="n">
        <v>15.62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IF(B189=0,"",RANK(B189,$B$2:$B$407,0))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CAPLIPOINT</t>
        </is>
      </c>
      <c r="D189" s="31" t="inlineStr">
        <is>
          <t>Caplin Point Laboratories Limited</t>
        </is>
      </c>
      <c r="E189" s="31" t="inlineStr">
        <is>
          <t>healthcare</t>
        </is>
      </c>
      <c r="F189" s="31" t="inlineStr">
        <is>
          <t>pharmaceuticals - indian - formulations</t>
        </is>
      </c>
      <c r="G189" s="31" t="inlineStr">
        <is>
          <t>midcap</t>
        </is>
      </c>
      <c r="H189" s="32" t="n">
        <v>19489.4</v>
      </c>
      <c r="I189" s="32" t="n">
        <v>2538.2</v>
      </c>
      <c r="J189" s="32" t="n">
        <v>-1.01</v>
      </c>
      <c r="K189" s="32" t="n">
        <v>74497</v>
      </c>
      <c r="L189" s="31" t="n">
        <v>72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79.48999999999999</v>
      </c>
      <c r="P189" s="32" t="n">
        <v>29.04</v>
      </c>
      <c r="Q189" s="32" t="n">
        <v>2082.4</v>
      </c>
      <c r="R189" s="31" t="inlineStr">
        <is>
          <t>Near 52W High Breakout</t>
        </is>
      </c>
      <c r="S189" s="31" t="inlineStr">
        <is>
          <t>Nifty Pharma</t>
        </is>
      </c>
      <c r="T189" s="32" t="n">
        <v>13.06</v>
      </c>
      <c r="U189" s="32" t="n">
        <v>26.21</v>
      </c>
      <c r="V189" s="32" t="n">
        <v>11.63</v>
      </c>
      <c r="W189" s="32" t="n">
        <v>20.26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Between 12 to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IF(B190=0,"",RANK(B190,$B$2:$B$407,0))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NELCAST</t>
        </is>
      </c>
      <c r="D190" s="31" t="inlineStr">
        <is>
          <t>Nelcast Limited</t>
        </is>
      </c>
      <c r="E190" s="31" t="inlineStr">
        <is>
          <t>industrials</t>
        </is>
      </c>
      <c r="F190" s="31" t="inlineStr">
        <is>
          <t>castings &amp; forgings</t>
        </is>
      </c>
      <c r="G190" s="31" t="inlineStr">
        <is>
          <t>smallcap</t>
        </is>
      </c>
      <c r="H190" s="32" t="n">
        <v>1176</v>
      </c>
      <c r="I190" s="32" t="n">
        <v>146.79</v>
      </c>
      <c r="J190" s="32" t="n">
        <v>8.6</v>
      </c>
      <c r="K190" s="32" t="n">
        <v>3867764</v>
      </c>
      <c r="L190" s="31" t="n">
        <v>14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58.91</v>
      </c>
      <c r="P190" s="32" t="n">
        <v>33.22</v>
      </c>
      <c r="Q190" s="32" t="n">
        <v>115.03</v>
      </c>
      <c r="R190" s="31" t="inlineStr">
        <is>
          <t>Volume Spike / Accumulation</t>
        </is>
      </c>
      <c r="S190" s="31" t="inlineStr">
        <is>
          <t>Nifty 50</t>
        </is>
      </c>
      <c r="T190" s="32" t="n">
        <v>-5.05</v>
      </c>
      <c r="U190" s="32" t="n">
        <v>-0.05</v>
      </c>
      <c r="V190" s="32" t="n">
        <v>5.26</v>
      </c>
      <c r="W190" s="32" t="n">
        <v>4.93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IF(B191=0,"",RANK(B191,$B$2:$B$407,0))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EXIDEIND</t>
        </is>
      </c>
      <c r="D191" s="33" t="inlineStr">
        <is>
          <t>Exide Industries Limited</t>
        </is>
      </c>
      <c r="E191" s="31" t="inlineStr">
        <is>
          <t>auto</t>
        </is>
      </c>
      <c r="F191" s="31" t="inlineStr">
        <is>
          <t>auto ancillaries</t>
        </is>
      </c>
      <c r="G191" s="31" t="inlineStr">
        <is>
          <t>largecap</t>
        </is>
      </c>
      <c r="H191" s="32" t="n">
        <v>33179.75</v>
      </c>
      <c r="I191" s="32" t="n">
        <v>419.35</v>
      </c>
      <c r="J191" s="32" t="n">
        <v>7.43</v>
      </c>
      <c r="K191" s="32" t="n">
        <v>21063500</v>
      </c>
      <c r="L191" s="31" t="n">
        <v>46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67.44</v>
      </c>
      <c r="P191" s="32" t="n">
        <v>28.87</v>
      </c>
      <c r="Q191" s="32" t="n">
        <v>343.66</v>
      </c>
      <c r="R191" s="31" t="inlineStr">
        <is>
          <t>Near 52W High Breakout</t>
        </is>
      </c>
      <c r="S191" s="31" t="inlineStr">
        <is>
          <t>Nifty Auto</t>
        </is>
      </c>
      <c r="T191" s="32" t="n">
        <v>13.04</v>
      </c>
      <c r="U191" s="32" t="n">
        <v>10.5</v>
      </c>
      <c r="V191" s="32" t="n">
        <v>-2.25</v>
      </c>
      <c r="W191" s="32" t="n">
        <v>11.96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Between 12 to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IF(B192=0,"",RANK(B192,$B$2:$B$407,0))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GHCLTEXTIL</t>
        </is>
      </c>
      <c r="D192" s="31" t="inlineStr">
        <is>
          <t>GHCL Textiles Ltd</t>
        </is>
      </c>
      <c r="E192" s="31" t="inlineStr">
        <is>
          <t>textiles</t>
        </is>
      </c>
      <c r="F192" s="31" t="inlineStr">
        <is>
          <t>textiles - spinning - synthetic / blended</t>
        </is>
      </c>
      <c r="G192" s="31" t="inlineStr">
        <is>
          <t>smallcap</t>
        </is>
      </c>
      <c r="H192" s="32" t="n">
        <v>928.42</v>
      </c>
      <c r="I192" s="32" t="n">
        <v>104.06</v>
      </c>
      <c r="J192" s="32" t="n">
        <v>7.13</v>
      </c>
      <c r="K192" s="32" t="n">
        <v>1408179</v>
      </c>
      <c r="L192" s="31" t="n">
        <v>50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65.78</v>
      </c>
      <c r="P192" s="32" t="n">
        <v>19.65</v>
      </c>
      <c r="Q192" s="32" t="n">
        <v>78.63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-5.05</v>
      </c>
      <c r="U192" s="32" t="n">
        <v>12.74</v>
      </c>
      <c r="V192" s="32" t="n">
        <v>18.74</v>
      </c>
      <c r="W192" s="32" t="n">
        <v>12.9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Less than 50%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IF(B193=0,"",RANK(B193,$B$2:$B$407,0))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SONACOMS</t>
        </is>
      </c>
      <c r="D193" s="31" t="inlineStr">
        <is>
          <t>Sona BLW Precision Forgings Ltd</t>
        </is>
      </c>
      <c r="E193" s="31" t="inlineStr">
        <is>
          <t>auto</t>
        </is>
      </c>
      <c r="F193" s="31" t="inlineStr">
        <is>
          <t>auto ancillaries</t>
        </is>
      </c>
      <c r="G193" s="31" t="inlineStr">
        <is>
          <t>largecap</t>
        </is>
      </c>
      <c r="H193" s="32" t="n">
        <v>38517.2</v>
      </c>
      <c r="I193" s="32" t="n">
        <v>662.3</v>
      </c>
      <c r="J193" s="32" t="n">
        <v>6.93</v>
      </c>
      <c r="K193" s="32" t="n">
        <v>7802225</v>
      </c>
      <c r="L193" s="31" t="n">
        <v>56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70.27</v>
      </c>
      <c r="P193" s="32" t="n">
        <v>33.01</v>
      </c>
      <c r="Q193" s="32" t="n">
        <v>550.45</v>
      </c>
      <c r="R193" s="31" t="inlineStr">
        <is>
          <t>Near 52W High Breakout</t>
        </is>
      </c>
      <c r="S193" s="31" t="inlineStr">
        <is>
          <t>Nifty Auto</t>
        </is>
      </c>
      <c r="T193" s="32" t="n">
        <v>13.04</v>
      </c>
      <c r="U193" s="32" t="n">
        <v>39.29</v>
      </c>
      <c r="V193" s="32" t="n">
        <v>23.22</v>
      </c>
      <c r="W193" s="32" t="n">
        <v>14.72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Between 12 to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Between 50% to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IF(B194=0,"",RANK(B194,$B$2:$B$407,0))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XPROINDIA</t>
        </is>
      </c>
      <c r="D194" s="31" t="inlineStr">
        <is>
          <t>Xpro India Limited</t>
        </is>
      </c>
      <c r="E194" s="31" t="inlineStr">
        <is>
          <t>industrials</t>
        </is>
      </c>
      <c r="F194" s="31" t="inlineStr">
        <is>
          <t>packaging</t>
        </is>
      </c>
      <c r="G194" s="31" t="inlineStr">
        <is>
          <t>smallcap</t>
        </is>
      </c>
      <c r="H194" s="32" t="n">
        <v>3350.16</v>
      </c>
      <c r="I194" s="32" t="n">
        <v>1503.6</v>
      </c>
      <c r="J194" s="32" t="n">
        <v>5.34</v>
      </c>
      <c r="K194" s="32" t="n">
        <v>151143</v>
      </c>
      <c r="L194" s="31" t="n">
        <v>56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72.34</v>
      </c>
      <c r="P194" s="32" t="n">
        <v>30.17</v>
      </c>
      <c r="Q194" s="32" t="n">
        <v>1136.45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-5.05</v>
      </c>
      <c r="U194" s="32" t="n">
        <v>21.43</v>
      </c>
      <c r="V194" s="32" t="n">
        <v>27.88</v>
      </c>
      <c r="W194" s="32" t="n">
        <v>14.82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Between 1.5 to 2</t>
        </is>
      </c>
      <c r="BU194" s="31">
        <f>IF(BT194="Above 2",0,IF(BT194="Between 1.5 to 2",5,IF(BT194="Less than 1.5",10,0)))</f>
        <v/>
      </c>
      <c r="BV194" s="31" t="inlineStr">
        <is>
          <t>Less than 50%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IF(B195=0,"",RANK(B195,$B$2:$B$407,0))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SCHNEIDER</t>
        </is>
      </c>
      <c r="D195" s="31" t="inlineStr">
        <is>
          <t>Schneider Electric Infrastructure Limited</t>
        </is>
      </c>
      <c r="E195" s="31" t="inlineStr">
        <is>
          <t>industrials</t>
        </is>
      </c>
      <c r="F195" s="31" t="inlineStr">
        <is>
          <t>electric equipment</t>
        </is>
      </c>
      <c r="G195" s="31" t="inlineStr">
        <is>
          <t>largecap</t>
        </is>
      </c>
      <c r="H195" s="32" t="n">
        <v>33163.73</v>
      </c>
      <c r="I195" s="32" t="n">
        <v>1453.9</v>
      </c>
      <c r="J195" s="32" t="n">
        <v>4.82</v>
      </c>
      <c r="K195" s="32" t="n">
        <v>444627</v>
      </c>
      <c r="L195" s="31" t="n">
        <v>83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71.03</v>
      </c>
      <c r="P195" s="32" t="n">
        <v>41.83</v>
      </c>
      <c r="Q195" s="32" t="n">
        <v>1081.82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-5.05</v>
      </c>
      <c r="U195" s="32" t="n">
        <v>77.52</v>
      </c>
      <c r="V195" s="32" t="n">
        <v>86.95999999999999</v>
      </c>
      <c r="W195" s="32" t="n">
        <v>27.11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IF(B196=0,"",RANK(B196,$B$2:$B$407,0))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JAMNAAUTO</t>
        </is>
      </c>
      <c r="D196" s="31" t="inlineStr">
        <is>
          <t>Jamna Auto Industries Limited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midcap</t>
        </is>
      </c>
      <c r="H196" s="32" t="n">
        <v>5379.71</v>
      </c>
      <c r="I196" s="32" t="n">
        <v>139.46</v>
      </c>
      <c r="J196" s="32" t="n">
        <v>3.62</v>
      </c>
      <c r="K196" s="32" t="n">
        <v>5572207</v>
      </c>
      <c r="L196" s="31" t="n">
        <v>52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60</v>
      </c>
      <c r="P196" s="32" t="n">
        <v>17.89</v>
      </c>
      <c r="Q196" s="32" t="n">
        <v>105.32</v>
      </c>
      <c r="R196" s="31" t="inlineStr">
        <is>
          <t>Earnings / Momentum Support</t>
        </is>
      </c>
      <c r="S196" s="31" t="inlineStr">
        <is>
          <t>Nifty Auto</t>
        </is>
      </c>
      <c r="T196" s="32" t="n">
        <v>13.04</v>
      </c>
      <c r="U196" s="32" t="n">
        <v>50.15</v>
      </c>
      <c r="V196" s="32" t="n">
        <v>32.83</v>
      </c>
      <c r="W196" s="32" t="n">
        <v>13.6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IF(B197=0,"",RANK(B197,$B$2:$B$407,0))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OBEROIRLTY</t>
        </is>
      </c>
      <c r="D197" s="31" t="inlineStr">
        <is>
          <t>Oberoi Realty Limited</t>
        </is>
      </c>
      <c r="E197" s="31" t="inlineStr">
        <is>
          <t>realty</t>
        </is>
      </c>
      <c r="F197" s="31" t="inlineStr">
        <is>
          <t>construction</t>
        </is>
      </c>
      <c r="G197" s="31" t="inlineStr">
        <is>
          <t>largecap</t>
        </is>
      </c>
      <c r="H197" s="32" t="n">
        <v>65615.66</v>
      </c>
      <c r="I197" s="32" t="n">
        <v>1864.7</v>
      </c>
      <c r="J197" s="32" t="n">
        <v>3.33</v>
      </c>
      <c r="K197" s="32" t="n">
        <v>1203888</v>
      </c>
      <c r="L197" s="31" t="n">
        <v>18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65.84999999999999</v>
      </c>
      <c r="P197" s="32" t="n">
        <v>13.05</v>
      </c>
      <c r="Q197" s="32" t="n">
        <v>1564.98</v>
      </c>
      <c r="R197" s="31" t="inlineStr">
        <is>
          <t>Volume Spike &amp; Near 52W High Breakout</t>
        </is>
      </c>
      <c r="S197" s="31" t="inlineStr">
        <is>
          <t>Nifty Realty</t>
        </is>
      </c>
      <c r="T197" s="32" t="n">
        <v>-10.31</v>
      </c>
      <c r="U197" s="32" t="n">
        <v>0.23</v>
      </c>
      <c r="V197" s="32" t="n">
        <v>11.76</v>
      </c>
      <c r="W197" s="32" t="n">
        <v>5.78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IF(B198=0,"",RANK(B198,$B$2:$B$407,0))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OLECTRA</t>
        </is>
      </c>
      <c r="D198" s="31" t="inlineStr">
        <is>
          <t>Olectra Greentech Ltd</t>
        </is>
      </c>
      <c r="E198" s="31" t="inlineStr">
        <is>
          <t>auto</t>
        </is>
      </c>
      <c r="F198" s="31" t="inlineStr">
        <is>
          <t>automobiles - lcvs / hcvs</t>
        </is>
      </c>
      <c r="G198" s="31" t="inlineStr">
        <is>
          <t>midcap</t>
        </is>
      </c>
      <c r="H198" s="32" t="n">
        <v>12413.89</v>
      </c>
      <c r="I198" s="32" t="n">
        <v>1537.8</v>
      </c>
      <c r="J198" s="32" t="n">
        <v>1.68</v>
      </c>
      <c r="K198" s="32" t="n">
        <v>1105726</v>
      </c>
      <c r="L198" s="31" t="n">
        <v>69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65.88</v>
      </c>
      <c r="P198" s="32" t="n">
        <v>27.92</v>
      </c>
      <c r="Q198" s="32" t="n">
        <v>1159.49</v>
      </c>
      <c r="R198" s="31" t="inlineStr">
        <is>
          <t>Earnings / Momentum Support</t>
        </is>
      </c>
      <c r="S198" s="31" t="inlineStr">
        <is>
          <t>Nifty Auto</t>
        </is>
      </c>
      <c r="T198" s="32" t="n">
        <v>13.04</v>
      </c>
      <c r="U198" s="32" t="n">
        <v>28.24</v>
      </c>
      <c r="V198" s="32" t="n">
        <v>13.45</v>
      </c>
      <c r="W198" s="32" t="n">
        <v>18.57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IF(B199=0,"",RANK(B199,$B$2:$B$407,0))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BORORENEW</t>
        </is>
      </c>
      <c r="D199" s="31" t="inlineStr">
        <is>
          <t>Borosil Renewables Ltd</t>
        </is>
      </c>
      <c r="E199" s="31" t="inlineStr">
        <is>
          <t>building materials</t>
        </is>
      </c>
      <c r="F199" s="31" t="inlineStr">
        <is>
          <t>glass &amp; glass products</t>
        </is>
      </c>
      <c r="G199" s="31" t="inlineStr">
        <is>
          <t>midcap</t>
        </is>
      </c>
      <c r="H199" s="32" t="n">
        <v>8582.360000000001</v>
      </c>
      <c r="I199" s="32" t="n">
        <v>622.45</v>
      </c>
      <c r="J199" s="32" t="n">
        <v>1.67</v>
      </c>
      <c r="K199" s="32" t="n">
        <v>421561</v>
      </c>
      <c r="L199" s="31" t="n">
        <v>66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64.63</v>
      </c>
      <c r="P199" s="32" t="n">
        <v>23.21</v>
      </c>
      <c r="Q199" s="32" t="n">
        <v>483.43</v>
      </c>
      <c r="R199" s="31" t="inlineStr">
        <is>
          <t>Earnings / Momentum Support</t>
        </is>
      </c>
      <c r="S199" s="31" t="inlineStr">
        <is>
          <t>Nifty Infra</t>
        </is>
      </c>
      <c r="T199" s="32" t="n">
        <v>0.23</v>
      </c>
      <c r="U199" s="32" t="n">
        <v>25.22</v>
      </c>
      <c r="V199" s="32" t="n">
        <v>24.93</v>
      </c>
      <c r="W199" s="32" t="n">
        <v>17.86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IF(B200=0,"",RANK(B200,$B$2:$B$407,0))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RICOAUTO</t>
        </is>
      </c>
      <c r="D200" s="31" t="inlineStr">
        <is>
          <t>Rico Auto Industries Limited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smallcap</t>
        </is>
      </c>
      <c r="H200" s="32" t="n">
        <v>1839.47</v>
      </c>
      <c r="I200" s="32" t="n">
        <v>138.15</v>
      </c>
      <c r="J200" s="32" t="n">
        <v>1.6</v>
      </c>
      <c r="K200" s="32" t="n">
        <v>1989681</v>
      </c>
      <c r="L200" s="31" t="n">
        <v>72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59.01</v>
      </c>
      <c r="P200" s="32" t="n">
        <v>25.85</v>
      </c>
      <c r="Q200" s="32" t="n">
        <v>101.62</v>
      </c>
      <c r="R200" s="31" t="inlineStr">
        <is>
          <t>Near 52W High Breakout</t>
        </is>
      </c>
      <c r="S200" s="31" t="inlineStr">
        <is>
          <t>Nifty Auto</t>
        </is>
      </c>
      <c r="T200" s="32" t="n">
        <v>13.04</v>
      </c>
      <c r="U200" s="32" t="n">
        <v>81.55</v>
      </c>
      <c r="V200" s="32" t="n">
        <v>60.6</v>
      </c>
      <c r="W200" s="32" t="n">
        <v>20.41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IF(B201=0,"",RANK(B201,$B$2:$B$407,0))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JSWDULUX</t>
        </is>
      </c>
      <c r="D201" s="31" t="inlineStr">
        <is>
          <t>JSW Dulux Ltd</t>
        </is>
      </c>
      <c r="E201" s="31" t="inlineStr">
        <is>
          <t>building materials</t>
        </is>
      </c>
      <c r="F201" s="31" t="inlineStr">
        <is>
          <t>paints / varnishes</t>
        </is>
      </c>
      <c r="G201" s="31" t="inlineStr">
        <is>
          <t>midcap</t>
        </is>
      </c>
      <c r="H201" s="32" t="n">
        <v>14682.2</v>
      </c>
      <c r="I201" s="32" t="n">
        <v>3259.7</v>
      </c>
      <c r="J201" s="32" t="n">
        <v>1.11</v>
      </c>
      <c r="K201" s="32" t="n">
        <v>47774</v>
      </c>
      <c r="L201" s="31" t="n">
        <v>4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60.34</v>
      </c>
      <c r="P201" s="32" t="n">
        <v>17.33</v>
      </c>
      <c r="Q201" s="32" t="n">
        <v>2713</v>
      </c>
      <c r="R201" s="31" t="inlineStr">
        <is>
          <t>Earnings / Momentum Support</t>
        </is>
      </c>
      <c r="S201" s="31" t="inlineStr">
        <is>
          <t>Nifty Infra</t>
        </is>
      </c>
      <c r="T201" s="32" t="n">
        <v>0.23</v>
      </c>
      <c r="U201" s="32" t="n">
        <v>1.3</v>
      </c>
      <c r="V201" s="32" t="n">
        <v>1.06</v>
      </c>
      <c r="W201" s="32" t="n">
        <v>2.57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IF(B202=0,"",RANK(B202,$B$2:$B$407,0))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WELSPUNLIV</t>
        </is>
      </c>
      <c r="D202" s="31" t="inlineStr">
        <is>
          <t>Welspun Living Ltd</t>
        </is>
      </c>
      <c r="E202" s="31" t="inlineStr">
        <is>
          <t>textiles</t>
        </is>
      </c>
      <c r="F202" s="31" t="inlineStr">
        <is>
          <t>textiles - products</t>
        </is>
      </c>
      <c r="G202" s="31" t="inlineStr">
        <is>
          <t>midcap</t>
        </is>
      </c>
      <c r="H202" s="32" t="n">
        <v>15850.95</v>
      </c>
      <c r="I202" s="32" t="n">
        <v>166.83</v>
      </c>
      <c r="J202" s="32" t="n">
        <v>0.95</v>
      </c>
      <c r="K202" s="32" t="n">
        <v>1425211</v>
      </c>
      <c r="L202" s="31" t="n">
        <v>53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70.77</v>
      </c>
      <c r="P202" s="32" t="n">
        <v>22.63</v>
      </c>
      <c r="Q202" s="32" t="n">
        <v>131.75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-5.05</v>
      </c>
      <c r="U202" s="32" t="n">
        <v>15.49</v>
      </c>
      <c r="V202" s="32" t="n">
        <v>21.63</v>
      </c>
      <c r="W202" s="32" t="n">
        <v>13.88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IF(B203=0,"",RANK(B203,$B$2:$B$407,0))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REDTAPE</t>
        </is>
      </c>
      <c r="D203" s="31" t="inlineStr">
        <is>
          <t>Redtape Ltd</t>
        </is>
      </c>
      <c r="E203" s="31" t="inlineStr">
        <is>
          <t>consumer discretionary</t>
        </is>
      </c>
      <c r="F203" s="31" t="inlineStr">
        <is>
          <t>trading</t>
        </is>
      </c>
      <c r="G203" s="31" t="inlineStr">
        <is>
          <t>midcap</t>
        </is>
      </c>
      <c r="H203" s="32" t="n">
        <v>7528.13</v>
      </c>
      <c r="I203" s="32" t="n">
        <v>137.33</v>
      </c>
      <c r="J203" s="32" t="n">
        <v>0.84</v>
      </c>
      <c r="K203" s="32" t="n">
        <v>191846</v>
      </c>
      <c r="L203" s="31" t="n">
        <v>18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55.34</v>
      </c>
      <c r="P203" s="32" t="n">
        <v>24.61</v>
      </c>
      <c r="Q203" s="32" t="n">
        <v>105.45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-5.05</v>
      </c>
      <c r="U203" s="32" t="n">
        <v>4.79</v>
      </c>
      <c r="V203" s="32" t="n">
        <v>10.36</v>
      </c>
      <c r="W203" s="32" t="n">
        <v>5.74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Between 50% to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IF(B204=0,"",RANK(B204,$B$2:$B$407,0))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IGPL</t>
        </is>
      </c>
      <c r="D204" s="31" t="inlineStr">
        <is>
          <t>Ig Petrochemicals Limited</t>
        </is>
      </c>
      <c r="E204" s="31" t="inlineStr">
        <is>
          <t>chemicals</t>
        </is>
      </c>
      <c r="F204" s="31" t="inlineStr">
        <is>
          <t>chemicals</t>
        </is>
      </c>
      <c r="G204" s="31" t="inlineStr">
        <is>
          <t>smallcap</t>
        </is>
      </c>
      <c r="H204" s="32" t="n">
        <v>1383.77</v>
      </c>
      <c r="I204" s="32" t="n">
        <v>452.25</v>
      </c>
      <c r="J204" s="32" t="n">
        <v>0.65</v>
      </c>
      <c r="K204" s="32" t="n">
        <v>14160</v>
      </c>
      <c r="L204" s="31" t="n">
        <v>18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58.85</v>
      </c>
      <c r="P204" s="32" t="n">
        <v>21.45</v>
      </c>
      <c r="Q204" s="32" t="n">
        <v>361.77</v>
      </c>
      <c r="R204" s="31" t="inlineStr">
        <is>
          <t>Earnings / Momentum Support</t>
        </is>
      </c>
      <c r="S204" s="31" t="inlineStr">
        <is>
          <t>Nifty IT</t>
        </is>
      </c>
      <c r="T204" s="32" t="n">
        <v>-31.15</v>
      </c>
      <c r="U204" s="32" t="n">
        <v>-4.53</v>
      </c>
      <c r="V204" s="32" t="n">
        <v>38.67</v>
      </c>
      <c r="W204" s="32" t="n">
        <v>5.76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IF(B205=0,"",RANK(B205,$B$2:$B$407,0))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PANSARI</t>
        </is>
      </c>
      <c r="D205" s="31" t="inlineStr">
        <is>
          <t>Pansari Developers Ltd</t>
        </is>
      </c>
      <c r="E205" s="31" t="inlineStr">
        <is>
          <t>realty</t>
        </is>
      </c>
      <c r="F205" s="31" t="inlineStr">
        <is>
          <t>construction</t>
        </is>
      </c>
      <c r="G205" s="31" t="inlineStr">
        <is>
          <t>smallcap</t>
        </is>
      </c>
      <c r="H205" s="32" t="n">
        <v>537.71</v>
      </c>
      <c r="I205" s="32" t="n">
        <v>307.95</v>
      </c>
      <c r="J205" s="32" t="n">
        <v>-0.08</v>
      </c>
      <c r="K205" s="32" t="n">
        <v>88958</v>
      </c>
      <c r="L205" s="31" t="n">
        <v>31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55.14</v>
      </c>
      <c r="P205" s="32" t="n">
        <v>22.8</v>
      </c>
      <c r="Q205" s="32" t="n">
        <v>211.46</v>
      </c>
      <c r="R205" s="31" t="inlineStr">
        <is>
          <t>Volume Spike &amp; Near 52W High Breakout</t>
        </is>
      </c>
      <c r="S205" s="31" t="inlineStr">
        <is>
          <t>Nifty Realty</t>
        </is>
      </c>
      <c r="T205" s="32" t="n">
        <v>-10.31</v>
      </c>
      <c r="U205" s="32" t="n">
        <v>20.6</v>
      </c>
      <c r="V205" s="32" t="n">
        <v>34.47</v>
      </c>
      <c r="W205" s="32" t="n">
        <v>8.67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IF(B206=0,"",RANK(B206,$B$2:$B$407,0))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HONAUT</t>
        </is>
      </c>
      <c r="D206" s="33" t="inlineStr">
        <is>
          <t>Honeywell Automation India Limited</t>
        </is>
      </c>
      <c r="E206" s="31" t="inlineStr">
        <is>
          <t>consumer discretionary</t>
        </is>
      </c>
      <c r="F206" s="31" t="inlineStr">
        <is>
          <t>electronics - components</t>
        </is>
      </c>
      <c r="G206" s="31" t="inlineStr">
        <is>
          <t>largecap</t>
        </is>
      </c>
      <c r="H206" s="32" t="n">
        <v>35061.06</v>
      </c>
      <c r="I206" s="32" t="n">
        <v>39545</v>
      </c>
      <c r="J206" s="32" t="n">
        <v>-0.28</v>
      </c>
      <c r="K206" s="32" t="n">
        <v>3826</v>
      </c>
      <c r="L206" s="31" t="n">
        <v>41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66.86</v>
      </c>
      <c r="P206" s="32" t="n">
        <v>21.91</v>
      </c>
      <c r="Q206" s="32" t="n">
        <v>32683.9</v>
      </c>
      <c r="R206" s="31" t="inlineStr">
        <is>
          <t>Near 52W High Breakout</t>
        </is>
      </c>
      <c r="S206" s="31" t="inlineStr">
        <is>
          <t>Nifty 500</t>
        </is>
      </c>
      <c r="T206" s="32" t="n">
        <v>-1.26</v>
      </c>
      <c r="U206" s="32" t="n">
        <v>-3.5</v>
      </c>
      <c r="V206" s="32" t="n">
        <v>-2.27</v>
      </c>
      <c r="W206" s="32" t="n">
        <v>11.09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IF(B207=0,"",RANK(B207,$B$2:$B$407,0))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HIRECT</t>
        </is>
      </c>
      <c r="D207" s="31" t="inlineStr">
        <is>
          <t>Hind Rectifiers Limited</t>
        </is>
      </c>
      <c r="E207" s="31" t="inlineStr">
        <is>
          <t>consumer discretionary</t>
        </is>
      </c>
      <c r="F207" s="31" t="inlineStr">
        <is>
          <t>electronics - components</t>
        </is>
      </c>
      <c r="G207" s="31" t="inlineStr">
        <is>
          <t>smallcap</t>
        </is>
      </c>
      <c r="H207" s="32" t="n">
        <v>3963.27</v>
      </c>
      <c r="I207" s="32" t="n">
        <v>1144</v>
      </c>
      <c r="J207" s="32" t="n">
        <v>-0.8</v>
      </c>
      <c r="K207" s="32" t="n">
        <v>79522</v>
      </c>
      <c r="L207" s="31" t="n">
        <v>84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74.06999999999999</v>
      </c>
      <c r="P207" s="32" t="n">
        <v>29.32</v>
      </c>
      <c r="Q207" s="32" t="n">
        <v>826.0700000000001</v>
      </c>
      <c r="R207" s="31" t="inlineStr">
        <is>
          <t>Near 52W High Breakout</t>
        </is>
      </c>
      <c r="S207" s="31" t="inlineStr">
        <is>
          <t>Nifty Infra</t>
        </is>
      </c>
      <c r="T207" s="32" t="n">
        <v>0.23</v>
      </c>
      <c r="U207" s="32" t="n">
        <v>75.77</v>
      </c>
      <c r="V207" s="32" t="n">
        <v>75.36</v>
      </c>
      <c r="W207" s="32" t="n">
        <v>28.12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IF(B208=0,"",RANK(B208,$B$2:$B$407,0))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JSWINFRA</t>
        </is>
      </c>
      <c r="D208" s="31" t="inlineStr">
        <is>
          <t>JSW Infrastructure Ltd</t>
        </is>
      </c>
      <c r="E208" s="31" t="inlineStr">
        <is>
          <t>transportation</t>
        </is>
      </c>
      <c r="F208" s="31" t="inlineStr">
        <is>
          <t>miscellaneous</t>
        </is>
      </c>
      <c r="G208" s="31" t="inlineStr">
        <is>
          <t>largecap</t>
        </is>
      </c>
      <c r="H208" s="32" t="n">
        <v>69394.55</v>
      </c>
      <c r="I208" s="32" t="n">
        <v>327.5</v>
      </c>
      <c r="J208" s="32" t="n">
        <v>-0.89</v>
      </c>
      <c r="K208" s="32" t="n">
        <v>3693824</v>
      </c>
      <c r="L208" s="31" t="n">
        <v>37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69.36</v>
      </c>
      <c r="P208" s="32" t="n">
        <v>26.98</v>
      </c>
      <c r="Q208" s="32" t="n">
        <v>267.65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-5.05</v>
      </c>
      <c r="U208" s="32" t="n">
        <v>7.45</v>
      </c>
      <c r="V208" s="32" t="n">
        <v>13.17</v>
      </c>
      <c r="W208" s="32" t="n">
        <v>10.11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IF(B209=0,"",RANK(B209,$B$2:$B$407,0))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KPRMILL</t>
        </is>
      </c>
      <c r="D209" s="31" t="inlineStr">
        <is>
          <t>K.p.r. Mill Limited</t>
        </is>
      </c>
      <c r="E209" s="31" t="inlineStr">
        <is>
          <t>consumer discretionary</t>
        </is>
      </c>
      <c r="F209" s="31" t="inlineStr">
        <is>
          <t>textiles - products</t>
        </is>
      </c>
      <c r="G209" s="31" t="inlineStr">
        <is>
          <t>largecap</t>
        </is>
      </c>
      <c r="H209" s="32" t="n">
        <v>40730.56</v>
      </c>
      <c r="I209" s="32" t="n">
        <v>1180.8</v>
      </c>
      <c r="J209" s="32" t="n">
        <v>-0.91</v>
      </c>
      <c r="K209" s="32" t="n">
        <v>382211</v>
      </c>
      <c r="L209" s="31" t="n">
        <v>37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70.11</v>
      </c>
      <c r="P209" s="32" t="n">
        <v>34.39</v>
      </c>
      <c r="Q209" s="32" t="n">
        <v>906.59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-5.05</v>
      </c>
      <c r="U209" s="32" t="n">
        <v>-0.25</v>
      </c>
      <c r="V209" s="32" t="n">
        <v>5.05</v>
      </c>
      <c r="W209" s="32" t="n">
        <v>10.24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IF(B210=0,"",RANK(B210,$B$2:$B$407,0))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AVL</t>
        </is>
      </c>
      <c r="D210" s="31" t="inlineStr">
        <is>
          <t>Aditya Vision Ltd</t>
        </is>
      </c>
      <c r="E210" s="31" t="inlineStr">
        <is>
          <t>consumer discretionary</t>
        </is>
      </c>
      <c r="F210" s="31" t="inlineStr">
        <is>
          <t>trading</t>
        </is>
      </c>
      <c r="G210" s="31" t="inlineStr">
        <is>
          <t>midcap</t>
        </is>
      </c>
      <c r="H210" s="32" t="n">
        <v>8350.709999999999</v>
      </c>
      <c r="I210" s="32" t="n">
        <v>640.35</v>
      </c>
      <c r="J210" s="32" t="n">
        <v>-0.97</v>
      </c>
      <c r="K210" s="32" t="n">
        <v>274727</v>
      </c>
      <c r="L210" s="31" t="n">
        <v>77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67.18000000000001</v>
      </c>
      <c r="P210" s="32" t="n">
        <v>30.57</v>
      </c>
      <c r="Q210" s="32" t="n">
        <v>515.95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-5.05</v>
      </c>
      <c r="U210" s="32" t="n">
        <v>77.83</v>
      </c>
      <c r="V210" s="32" t="n">
        <v>87.28</v>
      </c>
      <c r="W210" s="32" t="n">
        <v>23.09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Between 1.5 to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IF(B211=0,"",RANK(B211,$B$2:$B$407,0))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SPAL</t>
        </is>
      </c>
      <c r="D211" s="31" t="inlineStr">
        <is>
          <t>S. P. Apparels Limited</t>
        </is>
      </c>
      <c r="E211" s="31" t="inlineStr">
        <is>
          <t>consumer discretionary</t>
        </is>
      </c>
      <c r="F211" s="31" t="inlineStr">
        <is>
          <t>textiles - products</t>
        </is>
      </c>
      <c r="G211" s="31" t="inlineStr">
        <is>
          <t>smallcap</t>
        </is>
      </c>
      <c r="H211" s="32" t="n">
        <v>2812.54</v>
      </c>
      <c r="I211" s="32" t="n">
        <v>1104.9</v>
      </c>
      <c r="J211" s="32" t="n">
        <v>-1.24</v>
      </c>
      <c r="K211" s="32" t="n">
        <v>112264</v>
      </c>
      <c r="L211" s="31" t="n">
        <v>68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79.79000000000001</v>
      </c>
      <c r="P211" s="32" t="n">
        <v>32.22</v>
      </c>
      <c r="Q211" s="32" t="n">
        <v>821.66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-5.05</v>
      </c>
      <c r="U211" s="32" t="n">
        <v>29.69</v>
      </c>
      <c r="V211" s="32" t="n">
        <v>36.58</v>
      </c>
      <c r="W211" s="32" t="n">
        <v>18.42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IF(B212=0,"",RANK(B212,$B$2:$B$407,0))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GMRAIRPORT</t>
        </is>
      </c>
      <c r="D212" s="31" t="inlineStr">
        <is>
          <t>GMR Airports Ltd</t>
        </is>
      </c>
      <c r="E212" s="31" t="inlineStr">
        <is>
          <t>miscellaneous</t>
        </is>
      </c>
      <c r="F212" s="31" t="inlineStr">
        <is>
          <t>miscellaneous</t>
        </is>
      </c>
      <c r="G212" s="31" t="inlineStr">
        <is>
          <t>largecap</t>
        </is>
      </c>
      <c r="H212" s="32" t="n">
        <v>119876.05</v>
      </c>
      <c r="I212" s="32" t="n">
        <v>111.79</v>
      </c>
      <c r="J212" s="32" t="n">
        <v>-1.53</v>
      </c>
      <c r="K212" s="32" t="n">
        <v>22066921</v>
      </c>
      <c r="L212" s="31" t="n">
        <v>39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66.18000000000001</v>
      </c>
      <c r="P212" s="32" t="n">
        <v>16.6</v>
      </c>
      <c r="Q212" s="32" t="n">
        <v>92.58</v>
      </c>
      <c r="R212" s="31" t="inlineStr">
        <is>
          <t>Near 52W High Breakout</t>
        </is>
      </c>
      <c r="S212" s="31" t="inlineStr">
        <is>
          <t>Nifty 500</t>
        </is>
      </c>
      <c r="T212" s="32" t="n">
        <v>-1.26</v>
      </c>
      <c r="U212" s="32" t="n">
        <v>24.34</v>
      </c>
      <c r="V212" s="32" t="n">
        <v>25.93</v>
      </c>
      <c r="W212" s="32" t="n">
        <v>10.67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IF(B213=0,"",RANK(B213,$B$2:$B$407,0))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KSB</t>
        </is>
      </c>
      <c r="D213" s="31" t="inlineStr">
        <is>
          <t>KSB Ltd</t>
        </is>
      </c>
      <c r="E213" s="31" t="inlineStr">
        <is>
          <t>industrials</t>
        </is>
      </c>
      <c r="F213" s="31" t="inlineStr">
        <is>
          <t>pumps</t>
        </is>
      </c>
      <c r="G213" s="31" t="inlineStr">
        <is>
          <t>midcap</t>
        </is>
      </c>
      <c r="H213" s="32" t="n">
        <v>16752.15</v>
      </c>
      <c r="I213" s="32" t="n">
        <v>946</v>
      </c>
      <c r="J213" s="32" t="n">
        <v>-1.72</v>
      </c>
      <c r="K213" s="32" t="n">
        <v>111337</v>
      </c>
      <c r="L213" s="31" t="n">
        <v>18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63.76</v>
      </c>
      <c r="P213" s="32" t="n">
        <v>28.28</v>
      </c>
      <c r="Q213" s="32" t="n">
        <v>788.55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-5.05</v>
      </c>
      <c r="U213" s="32" t="n">
        <v>14.6</v>
      </c>
      <c r="V213" s="32" t="n">
        <v>20.69</v>
      </c>
      <c r="W213" s="32" t="n">
        <v>5.76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IF(B214=0,"",RANK(B214,$B$2:$B$407,0))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CGPOWER</t>
        </is>
      </c>
      <c r="D214" s="31" t="inlineStr">
        <is>
          <t>CG Power and Industrial Solutions Ltd</t>
        </is>
      </c>
      <c r="E214" s="31" t="inlineStr">
        <is>
          <t>industrials</t>
        </is>
      </c>
      <c r="F214" s="31" t="inlineStr">
        <is>
          <t>electric equipment</t>
        </is>
      </c>
      <c r="G214" s="31" t="inlineStr">
        <is>
          <t>largecap</t>
        </is>
      </c>
      <c r="H214" s="32" t="n">
        <v>153791.06</v>
      </c>
      <c r="I214" s="32" t="n">
        <v>959.4</v>
      </c>
      <c r="J214" s="32" t="n">
        <v>-1.75</v>
      </c>
      <c r="K214" s="32" t="n">
        <v>5251907</v>
      </c>
      <c r="L214" s="31" t="n">
        <v>64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70.06</v>
      </c>
      <c r="P214" s="32" t="n">
        <v>33.36</v>
      </c>
      <c r="Q214" s="32" t="n">
        <v>798.65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-5.05</v>
      </c>
      <c r="U214" s="32" t="n">
        <v>42.11</v>
      </c>
      <c r="V214" s="32" t="n">
        <v>49.67</v>
      </c>
      <c r="W214" s="32" t="n">
        <v>16.89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Less than 50%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IF(B215=0,"",RANK(B215,$B$2:$B$407,0))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SIGMAADV</t>
        </is>
      </c>
      <c r="D215" s="31" t="inlineStr">
        <is>
          <t>Sigma Advanced System Ltd</t>
        </is>
      </c>
      <c r="E215" s="31" t="inlineStr">
        <is>
          <t>aerospace &amp; defence</t>
        </is>
      </c>
      <c r="F215" s="31" t="inlineStr">
        <is>
          <t>electronics - components</t>
        </is>
      </c>
      <c r="G215" s="31" t="inlineStr">
        <is>
          <t>midcap</t>
        </is>
      </c>
      <c r="H215" s="32" t="n">
        <v>10245.7</v>
      </c>
      <c r="I215" s="32" t="n">
        <v>561.05</v>
      </c>
      <c r="J215" s="32" t="n">
        <v>-3.49</v>
      </c>
      <c r="K215" s="32" t="n">
        <v>370636</v>
      </c>
      <c r="L215" s="31" t="n">
        <v>99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79.42</v>
      </c>
      <c r="P215" s="32" t="n">
        <v>54.69</v>
      </c>
      <c r="Q215" s="32" t="n">
        <v>464.17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-5.05</v>
      </c>
      <c r="U215" s="32" t="n">
        <v>443.92</v>
      </c>
      <c r="V215" s="32" t="n">
        <v>472.83</v>
      </c>
      <c r="W215" s="32" t="n">
        <v>114.37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Negative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IF(B216=0,"",RANK(B216,$B$2:$B$407,0))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DIAMONDYD</t>
        </is>
      </c>
      <c r="D216" s="31" t="inlineStr">
        <is>
          <t>Prataap Snacks Ltd</t>
        </is>
      </c>
      <c r="E216" s="31" t="inlineStr">
        <is>
          <t>fmcg</t>
        </is>
      </c>
      <c r="F216" s="31" t="inlineStr">
        <is>
          <t>food - processing - indian</t>
        </is>
      </c>
      <c r="G216" s="31" t="inlineStr">
        <is>
          <t>smallcap</t>
        </is>
      </c>
      <c r="H216" s="32" t="n">
        <v>2703.01</v>
      </c>
      <c r="I216" s="32" t="n">
        <v>1192.2</v>
      </c>
      <c r="J216" s="32" t="n">
        <v>5.43</v>
      </c>
      <c r="K216" s="32" t="n">
        <v>156748</v>
      </c>
      <c r="L216" s="31" t="n">
        <v>34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64.89</v>
      </c>
      <c r="P216" s="32" t="n">
        <v>19.87</v>
      </c>
      <c r="Q216" s="32" t="n">
        <v>952.09</v>
      </c>
      <c r="R216" s="31" t="inlineStr">
        <is>
          <t>Near 52W High Breakout</t>
        </is>
      </c>
      <c r="S216" s="31" t="inlineStr">
        <is>
          <t>Nifty FMCG</t>
        </is>
      </c>
      <c r="T216" s="32" t="n">
        <v>-8.5</v>
      </c>
      <c r="U216" s="32" t="n">
        <v>16.1</v>
      </c>
      <c r="V216" s="32" t="n">
        <v>26.88</v>
      </c>
      <c r="W216" s="32" t="n">
        <v>9.26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B2C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Between 50% to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IF(B217=0,"",RANK(B217,$B$2:$B$407,0))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TIPSMUSIC</t>
        </is>
      </c>
      <c r="D217" s="31" t="inlineStr">
        <is>
          <t>Tips Music Ltd</t>
        </is>
      </c>
      <c r="E217" s="31" t="inlineStr">
        <is>
          <t>media</t>
        </is>
      </c>
      <c r="F217" s="31" t="inlineStr">
        <is>
          <t>entertainment / electronic media software</t>
        </is>
      </c>
      <c r="G217" s="31" t="inlineStr">
        <is>
          <t>midcap</t>
        </is>
      </c>
      <c r="H217" s="32" t="n">
        <v>8410.68</v>
      </c>
      <c r="I217" s="32" t="n">
        <v>677.1</v>
      </c>
      <c r="J217" s="32" t="n">
        <v>2.91</v>
      </c>
      <c r="K217" s="32" t="n">
        <v>552506</v>
      </c>
      <c r="L217" s="31" t="n">
        <v>25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61.34</v>
      </c>
      <c r="P217" s="32" t="n">
        <v>34.67</v>
      </c>
      <c r="Q217" s="32" t="n">
        <v>534.72</v>
      </c>
      <c r="R217" s="31" t="inlineStr">
        <is>
          <t>Near 52W High Breakout</t>
        </is>
      </c>
      <c r="S217" s="31" t="inlineStr">
        <is>
          <t>Nifty IT</t>
        </is>
      </c>
      <c r="T217" s="32" t="n">
        <v>-31.15</v>
      </c>
      <c r="U217" s="32" t="n">
        <v>3.85</v>
      </c>
      <c r="V217" s="32" t="n">
        <v>50.84</v>
      </c>
      <c r="W217" s="32" t="n">
        <v>7.25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IF(B218=0,"",RANK(B218,$B$2:$B$407,0))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FORTIS</t>
        </is>
      </c>
      <c r="D218" s="31" t="inlineStr">
        <is>
          <t>Fortis Healthcare Limited</t>
        </is>
      </c>
      <c r="E218" s="31" t="inlineStr">
        <is>
          <t>healthcare</t>
        </is>
      </c>
      <c r="F218" s="31" t="inlineStr">
        <is>
          <t>healthcare</t>
        </is>
      </c>
      <c r="G218" s="31" t="inlineStr">
        <is>
          <t>largecap</t>
        </is>
      </c>
      <c r="H218" s="32" t="n">
        <v>71649.3</v>
      </c>
      <c r="I218" s="32" t="n">
        <v>974.95</v>
      </c>
      <c r="J218" s="32" t="n">
        <v>2.73</v>
      </c>
      <c r="K218" s="32" t="n">
        <v>1255791</v>
      </c>
      <c r="L218" s="31" t="n">
        <v>35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58.27</v>
      </c>
      <c r="P218" s="32" t="n">
        <v>13.48</v>
      </c>
      <c r="Q218" s="32" t="n">
        <v>829.76</v>
      </c>
      <c r="R218" s="31" t="inlineStr">
        <is>
          <t>Volume Spike / Accumulation</t>
        </is>
      </c>
      <c r="S218" s="31" t="inlineStr">
        <is>
          <t>Nifty Pharma</t>
        </is>
      </c>
      <c r="T218" s="32" t="n">
        <v>13.06</v>
      </c>
      <c r="U218" s="32" t="n">
        <v>20.95</v>
      </c>
      <c r="V218" s="32" t="n">
        <v>6.97</v>
      </c>
      <c r="W218" s="32" t="n">
        <v>9.67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IF(B219=0,"",RANK(B219,$B$2:$B$407,0))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JBCHEPHARM</t>
        </is>
      </c>
      <c r="D219" s="31" t="inlineStr">
        <is>
          <t>Jb Chemicals &amp; Pharmaceuticals Limited</t>
        </is>
      </c>
      <c r="E219" s="31" t="inlineStr">
        <is>
          <t>healthcare</t>
        </is>
      </c>
      <c r="F219" s="31" t="inlineStr">
        <is>
          <t>pharmaceuticals - indian - bulk drugs &amp; formln</t>
        </is>
      </c>
      <c r="G219" s="31" t="inlineStr">
        <is>
          <t>largecap</t>
        </is>
      </c>
      <c r="H219" s="32" t="n">
        <v>36896.39</v>
      </c>
      <c r="I219" s="32" t="n">
        <v>2328</v>
      </c>
      <c r="J219" s="32" t="n">
        <v>1.31</v>
      </c>
      <c r="K219" s="32" t="n">
        <v>86694</v>
      </c>
      <c r="L219" s="31" t="n">
        <v>44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71.66</v>
      </c>
      <c r="P219" s="32" t="n">
        <v>37.76</v>
      </c>
      <c r="Q219" s="32" t="n">
        <v>1996.96</v>
      </c>
      <c r="R219" s="31" t="inlineStr">
        <is>
          <t>Near 52W High Breakout</t>
        </is>
      </c>
      <c r="S219" s="31" t="inlineStr">
        <is>
          <t>Nifty Pharma</t>
        </is>
      </c>
      <c r="T219" s="32" t="n">
        <v>13.06</v>
      </c>
      <c r="U219" s="32" t="n">
        <v>43.81</v>
      </c>
      <c r="V219" s="32" t="n">
        <v>27.19</v>
      </c>
      <c r="W219" s="32" t="n">
        <v>11.51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Between 50% to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IF(B220=0,"",RANK(B220,$B$2:$B$407,0))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VSTIND</t>
        </is>
      </c>
      <c r="D220" s="33" t="inlineStr">
        <is>
          <t>Vst Industries Limited</t>
        </is>
      </c>
      <c r="E220" s="31" t="inlineStr">
        <is>
          <t>fmcg</t>
        </is>
      </c>
      <c r="F220" s="31" t="inlineStr">
        <is>
          <t>cigarettes</t>
        </is>
      </c>
      <c r="G220" s="31" t="inlineStr">
        <is>
          <t>smallcap</t>
        </is>
      </c>
      <c r="H220" s="32" t="n">
        <v>4421.49</v>
      </c>
      <c r="I220" s="32" t="n">
        <v>262</v>
      </c>
      <c r="J220" s="32" t="n">
        <v>0.65</v>
      </c>
      <c r="K220" s="32" t="n">
        <v>275407</v>
      </c>
      <c r="L220" s="31" t="n">
        <v>6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58.18</v>
      </c>
      <c r="P220" s="32" t="n">
        <v>23.19</v>
      </c>
      <c r="Q220" s="32" t="n">
        <v>225.2</v>
      </c>
      <c r="R220" s="31" t="inlineStr">
        <is>
          <t>Earnings / Momentum Support</t>
        </is>
      </c>
      <c r="S220" s="31" t="inlineStr">
        <is>
          <t>Nifty FMCG</t>
        </is>
      </c>
      <c r="T220" s="32" t="n">
        <v>-8.5</v>
      </c>
      <c r="U220" s="32" t="n">
        <v>-9.470000000000001</v>
      </c>
      <c r="V220" s="32" t="n">
        <v>-1.06</v>
      </c>
      <c r="W220" s="32" t="n">
        <v>3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B2C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Less than 50%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IF(B221=0,"",RANK(B221,$B$2:$B$407,0))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MANKIND</t>
        </is>
      </c>
      <c r="D221" s="33" t="inlineStr">
        <is>
          <t>Mankind Pharma Ltd</t>
        </is>
      </c>
      <c r="E221" s="31" t="inlineStr">
        <is>
          <t>healthcare</t>
        </is>
      </c>
      <c r="F221" s="31" t="inlineStr">
        <is>
          <t>pharmaceuticals - indian - bulk drugs &amp; formln</t>
        </is>
      </c>
      <c r="G221" s="31" t="inlineStr">
        <is>
          <t>largecap</t>
        </is>
      </c>
      <c r="H221" s="32" t="n">
        <v>102806.64</v>
      </c>
      <c r="I221" s="32" t="n">
        <v>2486.9</v>
      </c>
      <c r="J221" s="32" t="n">
        <v>-0.14</v>
      </c>
      <c r="K221" s="32" t="n">
        <v>180320</v>
      </c>
      <c r="L221" s="31" t="n">
        <v>20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61.69</v>
      </c>
      <c r="P221" s="32" t="n">
        <v>23.16</v>
      </c>
      <c r="Q221" s="32" t="n">
        <v>2084.7</v>
      </c>
      <c r="R221" s="31" t="inlineStr">
        <is>
          <t>Earnings / Momentum Support</t>
        </is>
      </c>
      <c r="S221" s="31" t="inlineStr">
        <is>
          <t>Nifty Pharma</t>
        </is>
      </c>
      <c r="T221" s="32" t="n">
        <v>13.06</v>
      </c>
      <c r="U221" s="32" t="n">
        <v>1.98</v>
      </c>
      <c r="V221" s="32" t="n">
        <v>-9.800000000000001</v>
      </c>
      <c r="W221" s="32" t="n">
        <v>5.99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IF(B222=0,"",RANK(B222,$B$2:$B$407,0))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COMSYN</t>
        </is>
      </c>
      <c r="D222" s="31" t="inlineStr">
        <is>
          <t>Commercial Syn Bags Ltd</t>
        </is>
      </c>
      <c r="E222" s="31" t="inlineStr">
        <is>
          <t>industrials</t>
        </is>
      </c>
      <c r="F222" s="31" t="inlineStr">
        <is>
          <t>packaging</t>
        </is>
      </c>
      <c r="G222" s="31" t="inlineStr">
        <is>
          <t>smallcap</t>
        </is>
      </c>
      <c r="H222" s="32" t="n">
        <v>630.86</v>
      </c>
      <c r="I222" s="32" t="n">
        <v>186.76</v>
      </c>
      <c r="J222" s="32" t="n">
        <v>19.42</v>
      </c>
      <c r="K222" s="32" t="n">
        <v>4682555</v>
      </c>
      <c r="L222" s="31" t="n">
        <v>50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68.36</v>
      </c>
      <c r="P222" s="32" t="n">
        <v>37.29</v>
      </c>
      <c r="Q222" s="32" t="n">
        <v>149.09</v>
      </c>
      <c r="R222" s="31" t="inlineStr">
        <is>
          <t>Volume Spike &amp; Near 52W High Breakout</t>
        </is>
      </c>
      <c r="S222" s="31" t="inlineStr">
        <is>
          <t>Nifty 50</t>
        </is>
      </c>
      <c r="T222" s="32" t="n">
        <v>-5.05</v>
      </c>
      <c r="U222" s="32" t="n">
        <v>48.76</v>
      </c>
      <c r="V222" s="32" t="n">
        <v>56.67</v>
      </c>
      <c r="W222" s="32" t="n">
        <v>13.21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Between 0.7 to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IF(B223=0,"",RANK(B223,$B$2:$B$407,0))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MODISONLTD</t>
        </is>
      </c>
      <c r="D223" s="31" t="inlineStr">
        <is>
          <t>Modison Ltd</t>
        </is>
      </c>
      <c r="E223" s="31" t="inlineStr">
        <is>
          <t>industrials</t>
        </is>
      </c>
      <c r="F223" s="31" t="inlineStr">
        <is>
          <t>electric equipment</t>
        </is>
      </c>
      <c r="G223" s="31" t="inlineStr">
        <is>
          <t>smallcap</t>
        </is>
      </c>
      <c r="H223" s="32" t="n">
        <v>952.41</v>
      </c>
      <c r="I223" s="32" t="n">
        <v>308.15</v>
      </c>
      <c r="J223" s="32" t="n">
        <v>4.99</v>
      </c>
      <c r="K223" s="32" t="n">
        <v>84439</v>
      </c>
      <c r="L223" s="31" t="n">
        <v>95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69.17</v>
      </c>
      <c r="P223" s="32" t="n">
        <v>45.01</v>
      </c>
      <c r="Q223" s="32" t="n">
        <v>266.88</v>
      </c>
      <c r="R223" s="31" t="inlineStr">
        <is>
          <t>Earnings / Momentum Support</t>
        </is>
      </c>
      <c r="S223" s="31" t="inlineStr">
        <is>
          <t>Nifty 50</t>
        </is>
      </c>
      <c r="T223" s="32" t="n">
        <v>-5.05</v>
      </c>
      <c r="U223" s="32" t="n">
        <v>85.90000000000001</v>
      </c>
      <c r="V223" s="32" t="n">
        <v>95.79000000000001</v>
      </c>
      <c r="W223" s="32" t="n">
        <v>52.95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IF(B224=0,"",RANK(B224,$B$2:$B$407,0))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ORBTEXP</t>
        </is>
      </c>
      <c r="D224" s="31" t="inlineStr">
        <is>
          <t>Orbit Exports Limited</t>
        </is>
      </c>
      <c r="E224" s="31" t="inlineStr">
        <is>
          <t>textiles</t>
        </is>
      </c>
      <c r="F224" s="31" t="inlineStr">
        <is>
          <t>textiles - processing</t>
        </is>
      </c>
      <c r="G224" s="31" t="inlineStr">
        <is>
          <t>smallcap</t>
        </is>
      </c>
      <c r="H224" s="32" t="n">
        <v>571.5</v>
      </c>
      <c r="I224" s="32" t="n">
        <v>223.97</v>
      </c>
      <c r="J224" s="32" t="n">
        <v>3.9</v>
      </c>
      <c r="K224" s="32" t="n">
        <v>7436</v>
      </c>
      <c r="L224" s="31" t="n">
        <v>44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64.23999999999999</v>
      </c>
      <c r="P224" s="32" t="n">
        <v>24.15</v>
      </c>
      <c r="Q224" s="32" t="n">
        <v>166.22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-5.05</v>
      </c>
      <c r="U224" s="32" t="n">
        <v>1.68</v>
      </c>
      <c r="V224" s="32" t="n">
        <v>7.09</v>
      </c>
      <c r="W224" s="32" t="n">
        <v>11.77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IF(B225=0,"",RANK(B225,$B$2:$B$407,0))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QUADFUTURE</t>
        </is>
      </c>
      <c r="D225" s="33" t="inlineStr">
        <is>
          <t>Quadrant Future Tek Ltd</t>
        </is>
      </c>
      <c r="E225" s="31" t="inlineStr">
        <is>
          <t>industrials</t>
        </is>
      </c>
      <c r="F225" s="31" t="inlineStr">
        <is>
          <t>cables - power</t>
        </is>
      </c>
      <c r="G225" s="31" t="inlineStr">
        <is>
          <t>smallcap</t>
        </is>
      </c>
      <c r="H225" s="32" t="n">
        <v>1769</v>
      </c>
      <c r="I225" s="32" t="n">
        <v>456</v>
      </c>
      <c r="J225" s="32" t="n">
        <v>3.11</v>
      </c>
      <c r="K225" s="32" t="n">
        <v>278158</v>
      </c>
      <c r="L225" s="31" t="n">
        <v>55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71.18000000000001</v>
      </c>
      <c r="P225" s="32" t="n">
        <v>23.38</v>
      </c>
      <c r="Q225" s="32" t="n">
        <v>328.07</v>
      </c>
      <c r="R225" s="31" t="inlineStr">
        <is>
          <t>Earnings / Momentum Support</t>
        </is>
      </c>
      <c r="S225" s="31" t="inlineStr">
        <is>
          <t>Nifty Energy</t>
        </is>
      </c>
      <c r="T225" s="32" t="n">
        <v>8.76</v>
      </c>
      <c r="U225" s="32" t="n">
        <v>-3.61</v>
      </c>
      <c r="V225" s="32" t="n">
        <v>-11.37</v>
      </c>
      <c r="W225" s="32" t="n">
        <v>14.28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IF(B226=0,"",RANK(B226,$B$2:$B$407,0))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AARTIIND</t>
        </is>
      </c>
      <c r="D226" s="31" t="inlineStr">
        <is>
          <t>Aarti Industries Limited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midcap</t>
        </is>
      </c>
      <c r="H226" s="32" t="n">
        <v>16954.91</v>
      </c>
      <c r="I226" s="32" t="n">
        <v>482.05</v>
      </c>
      <c r="J226" s="32" t="n">
        <v>3.09</v>
      </c>
      <c r="K226" s="32" t="n">
        <v>1032420</v>
      </c>
      <c r="L226" s="31" t="n">
        <v>13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58.47</v>
      </c>
      <c r="P226" s="32" t="n">
        <v>22.44</v>
      </c>
      <c r="Q226" s="32" t="n">
        <v>400.99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-5.05</v>
      </c>
      <c r="U226" s="32" t="n">
        <v>1.42</v>
      </c>
      <c r="V226" s="32" t="n">
        <v>6.82</v>
      </c>
      <c r="W226" s="32" t="n">
        <v>4.69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IF(B227=0,"",RANK(B227,$B$2:$B$407,0))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VARROC</t>
        </is>
      </c>
      <c r="D227" s="31" t="inlineStr">
        <is>
          <t>Varroc Engineering Ltd</t>
        </is>
      </c>
      <c r="E227" s="31" t="inlineStr">
        <is>
          <t>auto</t>
        </is>
      </c>
      <c r="F227" s="31" t="inlineStr">
        <is>
          <t>auto ancillaries</t>
        </is>
      </c>
      <c r="G227" s="31" t="inlineStr">
        <is>
          <t>midcap</t>
        </is>
      </c>
      <c r="H227" s="32" t="n">
        <v>9734.790000000001</v>
      </c>
      <c r="I227" s="32" t="n">
        <v>656.3</v>
      </c>
      <c r="J227" s="32" t="n">
        <v>3.01</v>
      </c>
      <c r="K227" s="32" t="n">
        <v>240405</v>
      </c>
      <c r="L227" s="31" t="n">
        <v>42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67.89</v>
      </c>
      <c r="P227" s="32" t="n">
        <v>19.24</v>
      </c>
      <c r="Q227" s="32" t="n">
        <v>528.73</v>
      </c>
      <c r="R227" s="31" t="inlineStr">
        <is>
          <t>Volume Spike &amp; Near 52W High Breakout</t>
        </is>
      </c>
      <c r="S227" s="31" t="inlineStr">
        <is>
          <t>Nifty Auto</t>
        </is>
      </c>
      <c r="T227" s="32" t="n">
        <v>13.04</v>
      </c>
      <c r="U227" s="32" t="n">
        <v>15.63</v>
      </c>
      <c r="V227" s="32" t="n">
        <v>2.29</v>
      </c>
      <c r="W227" s="32" t="n">
        <v>11.17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Between 50% to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IF(B228=0,"",RANK(B228,$B$2:$B$407,0))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SRF</t>
        </is>
      </c>
      <c r="D228" s="33" t="inlineStr">
        <is>
          <t>Srf Limited</t>
        </is>
      </c>
      <c r="E228" s="31" t="inlineStr">
        <is>
          <t>chemicals</t>
        </is>
      </c>
      <c r="F228" s="31" t="inlineStr">
        <is>
          <t>chemicals</t>
        </is>
      </c>
      <c r="G228" s="31" t="inlineStr">
        <is>
          <t>largecap</t>
        </is>
      </c>
      <c r="H228" s="32" t="n">
        <v>81217.44</v>
      </c>
      <c r="I228" s="32" t="n">
        <v>2799.4</v>
      </c>
      <c r="J228" s="32" t="n">
        <v>2.17</v>
      </c>
      <c r="K228" s="32" t="n">
        <v>563679</v>
      </c>
      <c r="L228" s="31" t="n">
        <v>2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55.18</v>
      </c>
      <c r="P228" s="32" t="n">
        <v>14.15</v>
      </c>
      <c r="Q228" s="32" t="n">
        <v>2324.93</v>
      </c>
      <c r="R228" s="31" t="inlineStr">
        <is>
          <t>Earnings / Momentum Support</t>
        </is>
      </c>
      <c r="S228" s="31" t="inlineStr">
        <is>
          <t>Nifty 500</t>
        </is>
      </c>
      <c r="T228" s="32" t="n">
        <v>-1.26</v>
      </c>
      <c r="U228" s="32" t="n">
        <v>-13.07</v>
      </c>
      <c r="V228" s="32" t="n">
        <v>-11.96</v>
      </c>
      <c r="W228" s="32" t="n">
        <v>1.23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Shallow Cyclical (2 to 3 Years Growth)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Sideways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IF(B229=0,"",RANK(B229,$B$2:$B$407,0))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NH</t>
        </is>
      </c>
      <c r="D229" s="33" t="inlineStr">
        <is>
          <t>Narayana Hrudayalaya Ltd.</t>
        </is>
      </c>
      <c r="E229" s="31" t="inlineStr">
        <is>
          <t>healthcare</t>
        </is>
      </c>
      <c r="F229" s="31" t="inlineStr">
        <is>
          <t>healthcare</t>
        </is>
      </c>
      <c r="G229" s="31" t="inlineStr">
        <is>
          <t>largecap</t>
        </is>
      </c>
      <c r="H229" s="32" t="n">
        <v>40046.54</v>
      </c>
      <c r="I229" s="32" t="n">
        <v>1986.2</v>
      </c>
      <c r="J229" s="32" t="n">
        <v>1.36</v>
      </c>
      <c r="K229" s="32" t="n">
        <v>203345</v>
      </c>
      <c r="L229" s="31" t="n">
        <v>16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61.24</v>
      </c>
      <c r="P229" s="32" t="n">
        <v>20.5</v>
      </c>
      <c r="Q229" s="32" t="n">
        <v>1645.71</v>
      </c>
      <c r="R229" s="31" t="inlineStr">
        <is>
          <t>Near 52W High Breakout</t>
        </is>
      </c>
      <c r="S229" s="31" t="inlineStr">
        <is>
          <t>Nifty Pharma</t>
        </is>
      </c>
      <c r="T229" s="32" t="n">
        <v>13.06</v>
      </c>
      <c r="U229" s="32" t="n">
        <v>-1.02</v>
      </c>
      <c r="V229" s="32" t="n">
        <v>-12.46</v>
      </c>
      <c r="W229" s="32" t="n">
        <v>5.2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Shallow Cyclical (2 to 3 Years Growth)</t>
        </is>
      </c>
      <c r="AG229" s="31">
        <f>IF(AF229="Structural (10 Years Consistency)",10,IF(AF229="Shallow Cyclical (2 to 3 years growth)",5,0))</f>
        <v/>
      </c>
      <c r="AH229" s="31" t="inlineStr">
        <is>
          <t>Yes due to Product Mix change or Operating Leverage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B2C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Between 12 to 20%</t>
        </is>
      </c>
      <c r="BO229" s="31">
        <f>IF(BN229="More than 20%",10,IF(BN229="Between 12 to 20%",5,IF(BN229="Less than 12%",0,0)))</f>
        <v/>
      </c>
      <c r="BP229" s="31" t="inlineStr">
        <is>
          <t>Yes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IF(B230=0,"",RANK(B230,$B$2:$B$407,0))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ADANIGREEN</t>
        </is>
      </c>
      <c r="D230" s="31" t="inlineStr">
        <is>
          <t>Adani Green Energy Ltd</t>
        </is>
      </c>
      <c r="E230" s="31" t="inlineStr">
        <is>
          <t>power &amp; utilities</t>
        </is>
      </c>
      <c r="F230" s="31" t="inlineStr">
        <is>
          <t>power generation and supply</t>
        </is>
      </c>
      <c r="G230" s="31" t="inlineStr">
        <is>
          <t>largecap</t>
        </is>
      </c>
      <c r="H230" s="32" t="n">
        <v>252841.54</v>
      </c>
      <c r="I230" s="32" t="n">
        <v>1555.2</v>
      </c>
      <c r="J230" s="32" t="n">
        <v>1.32</v>
      </c>
      <c r="K230" s="32" t="n">
        <v>2378828</v>
      </c>
      <c r="L230" s="31" t="n">
        <v>86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75.23999999999999</v>
      </c>
      <c r="P230" s="32" t="n">
        <v>46.87</v>
      </c>
      <c r="Q230" s="32" t="n">
        <v>1249.57</v>
      </c>
      <c r="R230" s="31" t="inlineStr">
        <is>
          <t>Near 52W High Breakout</t>
        </is>
      </c>
      <c r="S230" s="31" t="inlineStr">
        <is>
          <t>Nifty IT</t>
        </is>
      </c>
      <c r="T230" s="32" t="n">
        <v>-31.15</v>
      </c>
      <c r="U230" s="32" t="n">
        <v>56.02</v>
      </c>
      <c r="V230" s="32" t="n">
        <v>126.62</v>
      </c>
      <c r="W230" s="32" t="n">
        <v>30.04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More than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IF(B231=0,"",RANK(B231,$B$2:$B$407,0))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DLINKINDIA</t>
        </is>
      </c>
      <c r="D231" s="31" t="inlineStr">
        <is>
          <t>D-link (india) Limited</t>
        </is>
      </c>
      <c r="E231" s="31" t="inlineStr">
        <is>
          <t>services</t>
        </is>
      </c>
      <c r="F231" s="31" t="inlineStr">
        <is>
          <t>trading</t>
        </is>
      </c>
      <c r="G231" s="31" t="inlineStr">
        <is>
          <t>smallcap</t>
        </is>
      </c>
      <c r="H231" s="32" t="n">
        <v>1837.38</v>
      </c>
      <c r="I231" s="32" t="n">
        <v>523.75</v>
      </c>
      <c r="J231" s="32" t="n">
        <v>1.21</v>
      </c>
      <c r="K231" s="32" t="n">
        <v>189452</v>
      </c>
      <c r="L231" s="31" t="n">
        <v>22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67.65000000000001</v>
      </c>
      <c r="P231" s="32" t="n">
        <v>35.34</v>
      </c>
      <c r="Q231" s="32" t="n">
        <v>433.21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-5.05</v>
      </c>
      <c r="U231" s="32" t="n">
        <v>-4.39</v>
      </c>
      <c r="V231" s="32" t="n">
        <v>0.7</v>
      </c>
      <c r="W231" s="32" t="n">
        <v>6.42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Less than 50%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IF(B232=0,"",RANK(B232,$B$2:$B$407,0))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ASIANPAINT</t>
        </is>
      </c>
      <c r="D232" s="31" t="inlineStr">
        <is>
          <t>Asian Paints Limited</t>
        </is>
      </c>
      <c r="E232" s="31" t="inlineStr">
        <is>
          <t>building materials</t>
        </is>
      </c>
      <c r="F232" s="31" t="inlineStr">
        <is>
          <t>paints / varnishes</t>
        </is>
      </c>
      <c r="G232" s="31" t="inlineStr">
        <is>
          <t>largecap</t>
        </is>
      </c>
      <c r="H232" s="32" t="n">
        <v>260556.49</v>
      </c>
      <c r="I232" s="32" t="n">
        <v>2744.5</v>
      </c>
      <c r="J232" s="32" t="n">
        <v>1.03</v>
      </c>
      <c r="K232" s="32" t="n">
        <v>1629567</v>
      </c>
      <c r="L232" s="31" t="n">
        <v>35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62.42</v>
      </c>
      <c r="P232" s="32" t="n">
        <v>19.38</v>
      </c>
      <c r="Q232" s="32" t="n">
        <v>2332.89</v>
      </c>
      <c r="R232" s="31" t="inlineStr">
        <is>
          <t>Volume Spike / Accumulation</t>
        </is>
      </c>
      <c r="S232" s="31" t="inlineStr">
        <is>
          <t>Nifty Infra</t>
        </is>
      </c>
      <c r="T232" s="32" t="n">
        <v>0.23</v>
      </c>
      <c r="U232" s="32" t="n">
        <v>14.37</v>
      </c>
      <c r="V232" s="32" t="n">
        <v>14.11</v>
      </c>
      <c r="W232" s="32" t="n">
        <v>9.710000000000001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IF(B233=0,"",RANK(B233,$B$2:$B$407,0))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MGEL</t>
        </is>
      </c>
      <c r="D233" s="31" t="inlineStr">
        <is>
          <t>Mangalam Global Enterprise Ltd</t>
        </is>
      </c>
      <c r="E233" s="31" t="inlineStr">
        <is>
          <t>services</t>
        </is>
      </c>
      <c r="F233" s="31" t="inlineStr">
        <is>
          <t>trading</t>
        </is>
      </c>
      <c r="G233" s="31" t="inlineStr">
        <is>
          <t>smallcap</t>
        </is>
      </c>
      <c r="H233" s="32" t="n">
        <v>544.4299999999999</v>
      </c>
      <c r="I233" s="32" t="n">
        <v>16.69</v>
      </c>
      <c r="J233" s="32" t="n">
        <v>1.03</v>
      </c>
      <c r="K233" s="32" t="n">
        <v>167287</v>
      </c>
      <c r="L233" s="31" t="n">
        <v>55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65.08</v>
      </c>
      <c r="P233" s="32" t="n">
        <v>32.79</v>
      </c>
      <c r="Q233" s="32" t="n">
        <v>11.85</v>
      </c>
      <c r="R233" s="31" t="inlineStr">
        <is>
          <t>Earnings / Momentum Support</t>
        </is>
      </c>
      <c r="S233" s="31" t="inlineStr">
        <is>
          <t>Nifty 50</t>
        </is>
      </c>
      <c r="T233" s="32" t="n">
        <v>-5.05</v>
      </c>
      <c r="U233" s="32" t="n">
        <v>9.58</v>
      </c>
      <c r="V233" s="32" t="n">
        <v>15.41</v>
      </c>
      <c r="W233" s="32" t="n">
        <v>14.65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IF(B234=0,"",RANK(B234,$B$2:$B$407,0))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JINDALSAW</t>
        </is>
      </c>
      <c r="D234" s="33" t="inlineStr">
        <is>
          <t>Jindal Saw Limited</t>
        </is>
      </c>
      <c r="E234" s="31" t="inlineStr">
        <is>
          <t>industrials</t>
        </is>
      </c>
      <c r="F234" s="31" t="inlineStr">
        <is>
          <t>steel - large</t>
        </is>
      </c>
      <c r="G234" s="31" t="inlineStr">
        <is>
          <t>midcap</t>
        </is>
      </c>
      <c r="H234" s="32" t="n">
        <v>16643.2</v>
      </c>
      <c r="I234" s="32" t="n">
        <v>262.9</v>
      </c>
      <c r="J234" s="32" t="n">
        <v>1.02</v>
      </c>
      <c r="K234" s="32" t="n">
        <v>1581060</v>
      </c>
      <c r="L234" s="31" t="n">
        <v>47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65.19</v>
      </c>
      <c r="P234" s="32" t="n">
        <v>34.73</v>
      </c>
      <c r="Q234" s="32" t="n">
        <v>200.21</v>
      </c>
      <c r="R234" s="31" t="inlineStr">
        <is>
          <t>Near 52W High Breakout</t>
        </is>
      </c>
      <c r="S234" s="31" t="inlineStr">
        <is>
          <t>Nifty Metal</t>
        </is>
      </c>
      <c r="T234" s="32" t="n">
        <v>30.52</v>
      </c>
      <c r="U234" s="32" t="n">
        <v>13.93</v>
      </c>
      <c r="V234" s="32" t="n">
        <v>-12.71</v>
      </c>
      <c r="W234" s="32" t="n">
        <v>12.08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IF(B235=0,"",RANK(B235,$B$2:$B$407,0))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DIACABS</t>
        </is>
      </c>
      <c r="D235" s="31" t="inlineStr">
        <is>
          <t>Diamond Power Infrastructure Ltd</t>
        </is>
      </c>
      <c r="E235" s="31" t="inlineStr">
        <is>
          <t>industrials</t>
        </is>
      </c>
      <c r="F235" s="31" t="inlineStr">
        <is>
          <t>cables - power</t>
        </is>
      </c>
      <c r="G235" s="31" t="inlineStr">
        <is>
          <t>midcap</t>
        </is>
      </c>
      <c r="H235" s="32" t="n">
        <v>10999.47</v>
      </c>
      <c r="I235" s="32" t="n">
        <v>210.29</v>
      </c>
      <c r="J235" s="32" t="n">
        <v>0.75</v>
      </c>
      <c r="K235" s="32" t="n">
        <v>2429152</v>
      </c>
      <c r="L235" s="31" t="n">
        <v>80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75.70999999999999</v>
      </c>
      <c r="P235" s="32" t="n">
        <v>42.35</v>
      </c>
      <c r="Q235" s="32" t="n">
        <v>159.2</v>
      </c>
      <c r="R235" s="31" t="inlineStr">
        <is>
          <t>Near 52W High Breakout</t>
        </is>
      </c>
      <c r="S235" s="31" t="inlineStr">
        <is>
          <t>Nifty Energy</t>
        </is>
      </c>
      <c r="T235" s="32" t="n">
        <v>8.76</v>
      </c>
      <c r="U235" s="32" t="n">
        <v>50.77</v>
      </c>
      <c r="V235" s="32" t="n">
        <v>38.63</v>
      </c>
      <c r="W235" s="32" t="n">
        <v>25.2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Negative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IF(B236=0,"",RANK(B236,$B$2:$B$407,0))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INOXINDIA</t>
        </is>
      </c>
      <c r="D236" s="31" t="inlineStr">
        <is>
          <t>Inox India Ltd</t>
        </is>
      </c>
      <c r="E236" s="31" t="inlineStr">
        <is>
          <t>industrials</t>
        </is>
      </c>
      <c r="F236" s="31" t="inlineStr">
        <is>
          <t>packaging</t>
        </is>
      </c>
      <c r="G236" s="31" t="inlineStr">
        <is>
          <t>midcap</t>
        </is>
      </c>
      <c r="H236" s="32" t="n">
        <v>17290.45</v>
      </c>
      <c r="I236" s="32" t="n">
        <v>1907</v>
      </c>
      <c r="J236" s="32" t="n">
        <v>0.11</v>
      </c>
      <c r="K236" s="32" t="n">
        <v>196739</v>
      </c>
      <c r="L236" s="31" t="n">
        <v>74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80.20999999999999</v>
      </c>
      <c r="P236" s="32" t="n">
        <v>62.88</v>
      </c>
      <c r="Q236" s="32" t="n">
        <v>1478.63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-5.05</v>
      </c>
      <c r="U236" s="32" t="n">
        <v>51.81</v>
      </c>
      <c r="V236" s="32" t="n">
        <v>59.88</v>
      </c>
      <c r="W236" s="32" t="n">
        <v>21.38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Between 12 to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IF(B237=0,"",RANK(B237,$B$2:$B$407,0))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RML</t>
        </is>
      </c>
      <c r="D237" s="31" t="inlineStr">
        <is>
          <t>Rane (madras) Limited</t>
        </is>
      </c>
      <c r="E237" s="31" t="inlineStr">
        <is>
          <t>auto</t>
        </is>
      </c>
      <c r="F237" s="31" t="inlineStr">
        <is>
          <t>auto ancillaries</t>
        </is>
      </c>
      <c r="G237" s="31" t="inlineStr">
        <is>
          <t>smallcap</t>
        </is>
      </c>
      <c r="H237" s="32" t="n">
        <v>3313.69</v>
      </c>
      <c r="I237" s="32" t="n">
        <v>1194.4</v>
      </c>
      <c r="J237" s="32" t="n">
        <v>-0.38</v>
      </c>
      <c r="K237" s="32" t="n">
        <v>52659</v>
      </c>
      <c r="L237" s="31" t="n">
        <v>82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71.77</v>
      </c>
      <c r="P237" s="32" t="n">
        <v>29.38</v>
      </c>
      <c r="Q237" s="32" t="n">
        <v>920.14</v>
      </c>
      <c r="R237" s="31" t="inlineStr">
        <is>
          <t>Near 52W High Breakout</t>
        </is>
      </c>
      <c r="S237" s="31" t="inlineStr">
        <is>
          <t>Nifty Auto</t>
        </is>
      </c>
      <c r="T237" s="32" t="n">
        <v>13.04</v>
      </c>
      <c r="U237" s="32" t="n">
        <v>32.59</v>
      </c>
      <c r="V237" s="32" t="n">
        <v>17.29</v>
      </c>
      <c r="W237" s="32" t="n">
        <v>25.99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Between 50% to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IF(B238=0,"",RANK(B238,$B$2:$B$407,0))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KKCL</t>
        </is>
      </c>
      <c r="D238" s="33" t="inlineStr">
        <is>
          <t>Kewal Kiran Clothing Limited</t>
        </is>
      </c>
      <c r="E238" s="31" t="inlineStr">
        <is>
          <t>consumer discretionary</t>
        </is>
      </c>
      <c r="F238" s="31" t="inlineStr">
        <is>
          <t>textiles - products</t>
        </is>
      </c>
      <c r="G238" s="31" t="inlineStr">
        <is>
          <t>smallcap</t>
        </is>
      </c>
      <c r="H238" s="32" t="n">
        <v>3103.75</v>
      </c>
      <c r="I238" s="32" t="n">
        <v>499.95</v>
      </c>
      <c r="J238" s="32" t="n">
        <v>-0.73</v>
      </c>
      <c r="K238" s="32" t="n">
        <v>23832</v>
      </c>
      <c r="L238" s="31" t="n">
        <v>2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56.08</v>
      </c>
      <c r="P238" s="32" t="n">
        <v>11.43</v>
      </c>
      <c r="Q238" s="32" t="n">
        <v>404.98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-5.05</v>
      </c>
      <c r="U238" s="32" t="n">
        <v>-12.91</v>
      </c>
      <c r="V238" s="32" t="n">
        <v>-8.279999999999999</v>
      </c>
      <c r="W238" s="32" t="n">
        <v>0.39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IF(B239=0,"",RANK(B239,$B$2:$B$407,0))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BOROSCI</t>
        </is>
      </c>
      <c r="D239" s="31" t="inlineStr">
        <is>
          <t>Borosil Scientific Ltd</t>
        </is>
      </c>
      <c r="E239" s="31" t="inlineStr">
        <is>
          <t>building materials</t>
        </is>
      </c>
      <c r="F239" s="31" t="inlineStr">
        <is>
          <t>glass &amp; glass products</t>
        </is>
      </c>
      <c r="G239" s="31" t="inlineStr">
        <is>
          <t>smallcap</t>
        </is>
      </c>
      <c r="H239" s="32" t="n">
        <v>1499.47</v>
      </c>
      <c r="I239" s="32" t="n">
        <v>167.2</v>
      </c>
      <c r="J239" s="32" t="n">
        <v>-0.82</v>
      </c>
      <c r="K239" s="32" t="n">
        <v>71627</v>
      </c>
      <c r="L239" s="31" t="n">
        <v>51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75.79000000000001</v>
      </c>
      <c r="P239" s="32" t="n">
        <v>31.05</v>
      </c>
      <c r="Q239" s="32" t="n">
        <v>129.56</v>
      </c>
      <c r="R239" s="31" t="inlineStr">
        <is>
          <t>Volume Spike / Accumulation</t>
        </is>
      </c>
      <c r="S239" s="31" t="inlineStr">
        <is>
          <t>Nifty Infra</t>
        </is>
      </c>
      <c r="T239" s="32" t="n">
        <v>0.23</v>
      </c>
      <c r="U239" s="32" t="n">
        <v>2.03</v>
      </c>
      <c r="V239" s="32" t="n">
        <v>1.8</v>
      </c>
      <c r="W239" s="32" t="n">
        <v>13.27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Above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IF(B240=0,"",RANK(B240,$B$2:$B$407,0))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IDEA</t>
        </is>
      </c>
      <c r="D240" s="31" t="inlineStr">
        <is>
          <t>Vodafone Idea Ltd</t>
        </is>
      </c>
      <c r="E240" s="31" t="inlineStr">
        <is>
          <t>telecom-service</t>
        </is>
      </c>
      <c r="F240" s="31" t="inlineStr">
        <is>
          <t>telecommunications - service provider</t>
        </is>
      </c>
      <c r="G240" s="31" t="inlineStr">
        <is>
          <t>largecap</t>
        </is>
      </c>
      <c r="H240" s="32" t="n">
        <v>158614.2</v>
      </c>
      <c r="I240" s="32" t="n">
        <v>14.48</v>
      </c>
      <c r="J240" s="32" t="n">
        <v>-1.09</v>
      </c>
      <c r="K240" s="32" t="n">
        <v>289092587</v>
      </c>
      <c r="L240" s="31" t="n">
        <v>88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68.34</v>
      </c>
      <c r="P240" s="32" t="n">
        <v>31.86</v>
      </c>
      <c r="Q240" s="32" t="n">
        <v>11.73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-5.05</v>
      </c>
      <c r="U240" s="32" t="n">
        <v>96.73999999999999</v>
      </c>
      <c r="V240" s="32" t="n">
        <v>107.2</v>
      </c>
      <c r="W240" s="32" t="n">
        <v>32.75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Oligopoly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IF(B241=0,"",RANK(B241,$B$2:$B$407,0))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NELCO</t>
        </is>
      </c>
      <c r="D241" s="33" t="inlineStr">
        <is>
          <t>Nelco Limited</t>
        </is>
      </c>
      <c r="E241" s="31" t="inlineStr">
        <is>
          <t>telecom</t>
        </is>
      </c>
      <c r="F241" s="31" t="inlineStr">
        <is>
          <t>telecommunications - service provider</t>
        </is>
      </c>
      <c r="G241" s="31" t="inlineStr">
        <is>
          <t>smallcap</t>
        </is>
      </c>
      <c r="H241" s="32" t="n">
        <v>2147.55</v>
      </c>
      <c r="I241" s="32" t="n">
        <v>927.65</v>
      </c>
      <c r="J241" s="32" t="n">
        <v>-1.43</v>
      </c>
      <c r="K241" s="32" t="n">
        <v>111112</v>
      </c>
      <c r="L241" s="31" t="n">
        <v>60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66.38</v>
      </c>
      <c r="P241" s="32" t="n">
        <v>20.39</v>
      </c>
      <c r="Q241" s="32" t="n">
        <v>692.12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-5.05</v>
      </c>
      <c r="U241" s="32" t="n">
        <v>-7.26</v>
      </c>
      <c r="V241" s="32" t="n">
        <v>-2.33</v>
      </c>
      <c r="W241" s="32" t="n">
        <v>15.86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Oligopoly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IF(B242=0,"",RANK(B242,$B$2:$B$407,0))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SHREEPUSHK</t>
        </is>
      </c>
      <c r="D242" s="31" t="inlineStr">
        <is>
          <t>Shree Pushkar Chemicals &amp; Fertilisers Limited</t>
        </is>
      </c>
      <c r="E242" s="31" t="inlineStr">
        <is>
          <t>chemicals</t>
        </is>
      </c>
      <c r="F242" s="31" t="inlineStr">
        <is>
          <t>dyes and pigments</t>
        </is>
      </c>
      <c r="G242" s="31" t="inlineStr">
        <is>
          <t>smallcap</t>
        </is>
      </c>
      <c r="H242" s="32" t="n">
        <v>1317.11</v>
      </c>
      <c r="I242" s="32" t="n">
        <v>399.3</v>
      </c>
      <c r="J242" s="32" t="n">
        <v>-1.96</v>
      </c>
      <c r="K242" s="32" t="n">
        <v>35658</v>
      </c>
      <c r="L242" s="31" t="n">
        <v>40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58.23</v>
      </c>
      <c r="P242" s="32" t="n">
        <v>30.08</v>
      </c>
      <c r="Q242" s="32" t="n">
        <v>297.35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-5.05</v>
      </c>
      <c r="U242" s="32" t="n">
        <v>17.49</v>
      </c>
      <c r="V242" s="32" t="n">
        <v>23.74</v>
      </c>
      <c r="W242" s="32" t="n">
        <v>10.81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IF(B243=0,"",RANK(B243,$B$2:$B$407,0))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AEROFLEX</t>
        </is>
      </c>
      <c r="D243" s="31" t="inlineStr">
        <is>
          <t>Aeroflex Industries Ltd</t>
        </is>
      </c>
      <c r="E243" s="31" t="inlineStr">
        <is>
          <t>metals &amp; mining</t>
        </is>
      </c>
      <c r="F243" s="31" t="inlineStr">
        <is>
          <t>steel - medium / small</t>
        </is>
      </c>
      <c r="G243" s="31" t="inlineStr">
        <is>
          <t>midcap</t>
        </is>
      </c>
      <c r="H243" s="32" t="n">
        <v>6464.36</v>
      </c>
      <c r="I243" s="32" t="n">
        <v>478.4</v>
      </c>
      <c r="J243" s="32" t="n">
        <v>-2.07</v>
      </c>
      <c r="K243" s="32" t="n">
        <v>2036954</v>
      </c>
      <c r="L243" s="31" t="n">
        <v>92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70.45999999999999</v>
      </c>
      <c r="P243" s="32" t="n">
        <v>67.75</v>
      </c>
      <c r="Q243" s="32" t="n">
        <v>360.04</v>
      </c>
      <c r="R243" s="31" t="inlineStr">
        <is>
          <t>Earnings / Momentum Support</t>
        </is>
      </c>
      <c r="S243" s="31" t="inlineStr">
        <is>
          <t>Nifty Metal</t>
        </is>
      </c>
      <c r="T243" s="32" t="n">
        <v>30.52</v>
      </c>
      <c r="U243" s="32" t="n">
        <v>137.9</v>
      </c>
      <c r="V243" s="32" t="n">
        <v>82.27</v>
      </c>
      <c r="W243" s="32" t="n">
        <v>41.15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Volatile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Between 1.5 to 2</t>
        </is>
      </c>
      <c r="BU243" s="31">
        <f>IF(BT243="Above 2",0,IF(BT243="Between 1.5 to 2",5,IF(BT243="Less than 1.5",10,0)))</f>
        <v/>
      </c>
      <c r="BV243" s="31" t="inlineStr">
        <is>
          <t>Between 50% to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IF(B244=0,"",RANK(B244,$B$2:$B$407,0))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YASHO</t>
        </is>
      </c>
      <c r="D244" s="31" t="inlineStr">
        <is>
          <t>Yasho Industries Ltd</t>
        </is>
      </c>
      <c r="E244" s="31" t="inlineStr">
        <is>
          <t>chemicals</t>
        </is>
      </c>
      <c r="F244" s="31" t="inlineStr">
        <is>
          <t>chemicals</t>
        </is>
      </c>
      <c r="G244" s="31" t="inlineStr">
        <is>
          <t>smallcap</t>
        </is>
      </c>
      <c r="H244" s="32" t="n">
        <v>3695.14</v>
      </c>
      <c r="I244" s="32" t="n">
        <v>2956.1</v>
      </c>
      <c r="J244" s="32" t="n">
        <v>-3.54</v>
      </c>
      <c r="K244" s="32" t="n">
        <v>55129</v>
      </c>
      <c r="L244" s="31" t="n">
        <v>91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84.05</v>
      </c>
      <c r="P244" s="32" t="n">
        <v>36.51</v>
      </c>
      <c r="Q244" s="32" t="n">
        <v>2192.07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-5.05</v>
      </c>
      <c r="U244" s="32" t="n">
        <v>40.29</v>
      </c>
      <c r="V244" s="32" t="n">
        <v>47.75</v>
      </c>
      <c r="W244" s="32" t="n">
        <v>37.08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More than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IF(B245=0,"",RANK(B245,$B$2:$B$407,0))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GPTHEALTH</t>
        </is>
      </c>
      <c r="D245" s="33" t="inlineStr">
        <is>
          <t>GPT Healthcare Ltd</t>
        </is>
      </c>
      <c r="E245" s="31" t="inlineStr">
        <is>
          <t>healthcare</t>
        </is>
      </c>
      <c r="F245" s="31" t="inlineStr">
        <is>
          <t>healthcare</t>
        </is>
      </c>
      <c r="G245" s="31" t="inlineStr">
        <is>
          <t>smallcap</t>
        </is>
      </c>
      <c r="H245" s="32" t="n">
        <v>1231.31</v>
      </c>
      <c r="I245" s="32" t="n">
        <v>156.47</v>
      </c>
      <c r="J245" s="32" t="n">
        <v>4.27</v>
      </c>
      <c r="K245" s="32" t="n">
        <v>333973</v>
      </c>
      <c r="L245" s="31" t="n">
        <v>23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66.95999999999999</v>
      </c>
      <c r="P245" s="32" t="n">
        <v>27.9</v>
      </c>
      <c r="Q245" s="32" t="n">
        <v>127.72</v>
      </c>
      <c r="R245" s="31" t="inlineStr">
        <is>
          <t>Earnings / Momentum Support</t>
        </is>
      </c>
      <c r="S245" s="31" t="inlineStr">
        <is>
          <t>Nifty Pharma</t>
        </is>
      </c>
      <c r="T245" s="32" t="n">
        <v>13.06</v>
      </c>
      <c r="U245" s="32" t="n">
        <v>2.74</v>
      </c>
      <c r="V245" s="32" t="n">
        <v>-9.130000000000001</v>
      </c>
      <c r="W245" s="32" t="n">
        <v>6.74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IF(B246=0,"",RANK(B246,$B$2:$B$407,0))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BALRAMCHIN</t>
        </is>
      </c>
      <c r="D246" s="31" t="inlineStr">
        <is>
          <t>Balrampur Chini Mills Limited</t>
        </is>
      </c>
      <c r="E246" s="31" t="inlineStr">
        <is>
          <t>fmcg</t>
        </is>
      </c>
      <c r="F246" s="31" t="inlineStr">
        <is>
          <t>sugar</t>
        </is>
      </c>
      <c r="G246" s="31" t="inlineStr">
        <is>
          <t>midcap</t>
        </is>
      </c>
      <c r="H246" s="32" t="n">
        <v>11529.91</v>
      </c>
      <c r="I246" s="32" t="n">
        <v>567.2</v>
      </c>
      <c r="J246" s="32" t="n">
        <v>3.93</v>
      </c>
      <c r="K246" s="32" t="n">
        <v>673438</v>
      </c>
      <c r="L246" s="31" t="n">
        <v>9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68.08</v>
      </c>
      <c r="P246" s="32" t="n">
        <v>24.64</v>
      </c>
      <c r="Q246" s="32" t="n">
        <v>460.41</v>
      </c>
      <c r="R246" s="31" t="inlineStr">
        <is>
          <t>Earnings / Momentum Support</t>
        </is>
      </c>
      <c r="S246" s="31" t="inlineStr">
        <is>
          <t>Nifty FMCG</t>
        </is>
      </c>
      <c r="T246" s="32" t="n">
        <v>-8.5</v>
      </c>
      <c r="U246" s="32" t="n">
        <v>-3.14</v>
      </c>
      <c r="V246" s="32" t="n">
        <v>5.86</v>
      </c>
      <c r="W246" s="32" t="n">
        <v>3.45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B2C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IF(B247=0,"",RANK(B247,$B$2:$B$407,0))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AVADHSUGAR</t>
        </is>
      </c>
      <c r="D247" s="31" t="inlineStr">
        <is>
          <t>Avadh Sugar &amp; Energy</t>
        </is>
      </c>
      <c r="E247" s="31" t="inlineStr">
        <is>
          <t>fmcg</t>
        </is>
      </c>
      <c r="F247" s="31" t="inlineStr">
        <is>
          <t>sugar</t>
        </is>
      </c>
      <c r="G247" s="31" t="inlineStr">
        <is>
          <t>smallcap</t>
        </is>
      </c>
      <c r="H247" s="32" t="n">
        <v>963.59</v>
      </c>
      <c r="I247" s="32" t="n">
        <v>490</v>
      </c>
      <c r="J247" s="32" t="n">
        <v>1.8</v>
      </c>
      <c r="K247" s="32" t="n">
        <v>11233</v>
      </c>
      <c r="L247" s="31" t="n">
        <v>3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61.53</v>
      </c>
      <c r="P247" s="32" t="n">
        <v>32.85</v>
      </c>
      <c r="Q247" s="32" t="n">
        <v>387.85</v>
      </c>
      <c r="R247" s="31" t="inlineStr">
        <is>
          <t>Near 52W High Breakout</t>
        </is>
      </c>
      <c r="S247" s="31" t="inlineStr">
        <is>
          <t>Nifty FMCG</t>
        </is>
      </c>
      <c r="T247" s="32" t="n">
        <v>-8.5</v>
      </c>
      <c r="U247" s="32" t="n">
        <v>-0.21</v>
      </c>
      <c r="V247" s="32" t="n">
        <v>9.06</v>
      </c>
      <c r="W247" s="32" t="n">
        <v>1.7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B2C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Annuity, Lower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More than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IF(B248=0,"",RANK(B248,$B$2:$B$407,0))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VIYASH</t>
        </is>
      </c>
      <c r="D248" s="31" t="inlineStr">
        <is>
          <t>Viyash Scientific Ltd</t>
        </is>
      </c>
      <c r="E248" s="31" t="inlineStr">
        <is>
          <t>healthcare</t>
        </is>
      </c>
      <c r="F248" s="31" t="inlineStr">
        <is>
          <t>pharmaceuticals - indian - bulk drugs &amp; formln</t>
        </is>
      </c>
      <c r="G248" s="31" t="inlineStr">
        <is>
          <t>midcap</t>
        </is>
      </c>
      <c r="H248" s="32" t="n">
        <v>12590.04</v>
      </c>
      <c r="I248" s="32" t="n">
        <v>292.45</v>
      </c>
      <c r="J248" s="32" t="n">
        <v>1.47</v>
      </c>
      <c r="K248" s="32" t="n">
        <v>3207272</v>
      </c>
      <c r="L248" s="31" t="n">
        <v>75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75.81</v>
      </c>
      <c r="P248" s="32" t="n">
        <v>38.32</v>
      </c>
      <c r="Q248" s="32" t="n">
        <v>226.39</v>
      </c>
      <c r="R248" s="31" t="inlineStr">
        <is>
          <t>Near 52W High Breakout</t>
        </is>
      </c>
      <c r="S248" s="31" t="inlineStr">
        <is>
          <t>Nifty Pharma</t>
        </is>
      </c>
      <c r="T248" s="32" t="n">
        <v>13.06</v>
      </c>
      <c r="U248" s="32" t="n">
        <v>55.24</v>
      </c>
      <c r="V248" s="32" t="n">
        <v>37.31</v>
      </c>
      <c r="W248" s="32" t="n">
        <v>21.51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Blue sky scenario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Less than 50%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IF(B249=0,"",RANK(B249,$B$2:$B$407,0))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APOLLOHOSP</t>
        </is>
      </c>
      <c r="D249" s="31" t="inlineStr">
        <is>
          <t>Apollo Hospitals Enterprise Limited</t>
        </is>
      </c>
      <c r="E249" s="31" t="inlineStr">
        <is>
          <t>healthcare</t>
        </is>
      </c>
      <c r="F249" s="31" t="inlineStr">
        <is>
          <t>healthcare</t>
        </is>
      </c>
      <c r="G249" s="31" t="inlineStr">
        <is>
          <t>largecap</t>
        </is>
      </c>
      <c r="H249" s="32" t="n">
        <v>123920.81</v>
      </c>
      <c r="I249" s="32" t="n">
        <v>8696</v>
      </c>
      <c r="J249" s="32" t="n">
        <v>0.9</v>
      </c>
      <c r="K249" s="32" t="n">
        <v>152717</v>
      </c>
      <c r="L249" s="31" t="n">
        <v>24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69.44</v>
      </c>
      <c r="P249" s="32" t="n">
        <v>18.06</v>
      </c>
      <c r="Q249" s="32" t="n">
        <v>7685.17</v>
      </c>
      <c r="R249" s="31" t="inlineStr">
        <is>
          <t>Near 52W High Breakout</t>
        </is>
      </c>
      <c r="S249" s="31" t="inlineStr">
        <is>
          <t>Nifty Pharma</t>
        </is>
      </c>
      <c r="T249" s="32" t="n">
        <v>13.06</v>
      </c>
      <c r="U249" s="32" t="n">
        <v>15.43</v>
      </c>
      <c r="V249" s="32" t="n">
        <v>2.09</v>
      </c>
      <c r="W249" s="32" t="n">
        <v>6.98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Oligopoly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B2C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Fully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Above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Yes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Between 1.5 to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IF(B250=0,"",RANK(B250,$B$2:$B$407,0))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FDC</t>
        </is>
      </c>
      <c r="D250" s="33" t="inlineStr">
        <is>
          <t>Fdc Limited</t>
        </is>
      </c>
      <c r="E250" s="31" t="inlineStr">
        <is>
          <t>healthcare</t>
        </is>
      </c>
      <c r="F250" s="31" t="inlineStr">
        <is>
          <t>pharmaceuticals - indian - bulk drugs &amp; formln</t>
        </is>
      </c>
      <c r="G250" s="31" t="inlineStr">
        <is>
          <t>midcap</t>
        </is>
      </c>
      <c r="H250" s="32" t="n">
        <v>7009.79</v>
      </c>
      <c r="I250" s="32" t="n">
        <v>434.25</v>
      </c>
      <c r="J250" s="32" t="n">
        <v>0.86</v>
      </c>
      <c r="K250" s="32" t="n">
        <v>237110</v>
      </c>
      <c r="L250" s="31" t="n">
        <v>16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63.51</v>
      </c>
      <c r="P250" s="32" t="n">
        <v>22.62</v>
      </c>
      <c r="Q250" s="32" t="n">
        <v>347.15</v>
      </c>
      <c r="R250" s="31" t="inlineStr">
        <is>
          <t>Earnings / Momentum Support</t>
        </is>
      </c>
      <c r="S250" s="31" t="inlineStr">
        <is>
          <t>Nifty Pharma</t>
        </is>
      </c>
      <c r="T250" s="32" t="n">
        <v>13.06</v>
      </c>
      <c r="U250" s="32" t="n">
        <v>-10.14</v>
      </c>
      <c r="V250" s="32" t="n">
        <v>-20.52</v>
      </c>
      <c r="W250" s="32" t="n">
        <v>5.25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Between 50% to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IF(B251=0,"",RANK(B251,$B$2:$B$407,0))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NOVARTIND</t>
        </is>
      </c>
      <c r="D251" s="31" t="inlineStr">
        <is>
          <t>Novartis India Ltd</t>
        </is>
      </c>
      <c r="E251" s="31" t="inlineStr">
        <is>
          <t>healthcare</t>
        </is>
      </c>
      <c r="F251" s="31" t="inlineStr">
        <is>
          <t>pharmaceuticals - multinational</t>
        </is>
      </c>
      <c r="G251" s="31" t="inlineStr">
        <is>
          <t>smallcap</t>
        </is>
      </c>
      <c r="H251" s="32" t="n">
        <v>3566.34</v>
      </c>
      <c r="I251" s="32" t="n">
        <v>1453.6</v>
      </c>
      <c r="J251" s="32" t="n">
        <v>0.64</v>
      </c>
      <c r="K251" s="32" t="n">
        <v>29616</v>
      </c>
      <c r="L251" s="31" t="n">
        <v>67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68.64</v>
      </c>
      <c r="P251" s="32" t="n">
        <v>66.45</v>
      </c>
      <c r="Q251" s="32" t="n">
        <v>1192.84</v>
      </c>
      <c r="R251" s="31" t="inlineStr">
        <is>
          <t>Earnings / Momentum Support</t>
        </is>
      </c>
      <c r="S251" s="31" t="inlineStr">
        <is>
          <t>Nifty Pharma</t>
        </is>
      </c>
      <c r="T251" s="32" t="n">
        <v>13.06</v>
      </c>
      <c r="U251" s="32" t="n">
        <v>42.76</v>
      </c>
      <c r="V251" s="32" t="n">
        <v>26.27</v>
      </c>
      <c r="W251" s="32" t="n">
        <v>17.92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IF(B252=0,"",RANK(B252,$B$2:$B$407,0))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DRREDDY</t>
        </is>
      </c>
      <c r="D252" s="33" t="inlineStr">
        <is>
          <t>Dr. Reddy's Laboratories Limited</t>
        </is>
      </c>
      <c r="E252" s="31" t="inlineStr">
        <is>
          <t>healthcare</t>
        </is>
      </c>
      <c r="F252" s="31" t="inlineStr">
        <is>
          <t>pharmaceuticals - indian - bulk drugs &amp; formln</t>
        </is>
      </c>
      <c r="G252" s="31" t="inlineStr">
        <is>
          <t>largecap</t>
        </is>
      </c>
      <c r="H252" s="32" t="n">
        <v>111835.69</v>
      </c>
      <c r="I252" s="32" t="n">
        <v>1345.7</v>
      </c>
      <c r="J252" s="32" t="n">
        <v>0.43</v>
      </c>
      <c r="K252" s="32" t="n">
        <v>809333</v>
      </c>
      <c r="L252" s="31" t="n">
        <v>6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59.11</v>
      </c>
      <c r="P252" s="32" t="n">
        <v>14.42</v>
      </c>
      <c r="Q252" s="32" t="n">
        <v>1151.23</v>
      </c>
      <c r="R252" s="31" t="inlineStr">
        <is>
          <t>Near 52W High Breakout</t>
        </is>
      </c>
      <c r="S252" s="31" t="inlineStr">
        <is>
          <t>Nifty Pharma</t>
        </is>
      </c>
      <c r="T252" s="32" t="n">
        <v>13.06</v>
      </c>
      <c r="U252" s="32" t="n">
        <v>3.58</v>
      </c>
      <c r="V252" s="32" t="n">
        <v>-8.390000000000001</v>
      </c>
      <c r="W252" s="32" t="n">
        <v>2.94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Annuity, Lower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Between 1.5 to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IF(B253=0,"",RANK(B253,$B$2:$B$407,0))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EIFFL</t>
        </is>
      </c>
      <c r="D253" s="31" t="inlineStr">
        <is>
          <t>Euro India Fresh Foods Ltd</t>
        </is>
      </c>
      <c r="E253" s="31" t="inlineStr">
        <is>
          <t>fmcg</t>
        </is>
      </c>
      <c r="F253" s="31" t="inlineStr">
        <is>
          <t>food - processing - indian</t>
        </is>
      </c>
      <c r="G253" s="31" t="inlineStr">
        <is>
          <t>smallcap</t>
        </is>
      </c>
      <c r="H253" s="32" t="n">
        <v>818.77</v>
      </c>
      <c r="I253" s="32" t="n">
        <v>331</v>
      </c>
      <c r="J253" s="32" t="n">
        <v>0.26</v>
      </c>
      <c r="K253" s="32" t="n">
        <v>4603</v>
      </c>
      <c r="L253" s="31" t="n">
        <v>65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70.62</v>
      </c>
      <c r="P253" s="32" t="n">
        <v>19.84</v>
      </c>
      <c r="Q253" s="32" t="n">
        <v>254.82</v>
      </c>
      <c r="R253" s="31" t="inlineStr">
        <is>
          <t>Near 52W High Breakout</t>
        </is>
      </c>
      <c r="S253" s="31" t="inlineStr">
        <is>
          <t>Nifty FMCG</t>
        </is>
      </c>
      <c r="T253" s="32" t="n">
        <v>-8.5</v>
      </c>
      <c r="U253" s="32" t="n">
        <v>31.1</v>
      </c>
      <c r="V253" s="32" t="n">
        <v>43.28</v>
      </c>
      <c r="W253" s="32" t="n">
        <v>17.09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B2C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Between 50% to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IF(B254=0,"",RANK(B254,$B$2:$B$407,0))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WANBURY</t>
        </is>
      </c>
      <c r="D254" s="33" t="inlineStr">
        <is>
          <t>Wanbury Limited</t>
        </is>
      </c>
      <c r="E254" s="31" t="inlineStr">
        <is>
          <t>healthcare</t>
        </is>
      </c>
      <c r="F254" s="31" t="inlineStr">
        <is>
          <t>pharmaceuticals - indian - bulk drugs &amp; formln</t>
        </is>
      </c>
      <c r="G254" s="31" t="inlineStr">
        <is>
          <t>smallcap</t>
        </is>
      </c>
      <c r="H254" s="32" t="n">
        <v>1004.68</v>
      </c>
      <c r="I254" s="32" t="n">
        <v>286.75</v>
      </c>
      <c r="J254" s="32" t="n">
        <v>-0.28</v>
      </c>
      <c r="K254" s="32" t="n">
        <v>147776</v>
      </c>
      <c r="L254" s="31" t="n">
        <v>21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57.54</v>
      </c>
      <c r="P254" s="32" t="n">
        <v>13.93</v>
      </c>
      <c r="Q254" s="32" t="n">
        <v>217.24</v>
      </c>
      <c r="R254" s="31" t="inlineStr">
        <is>
          <t>Volume Spike / Accumulation</t>
        </is>
      </c>
      <c r="S254" s="31" t="inlineStr">
        <is>
          <t>Nifty Pharma</t>
        </is>
      </c>
      <c r="T254" s="32" t="n">
        <v>13.06</v>
      </c>
      <c r="U254" s="32" t="n">
        <v>3.59</v>
      </c>
      <c r="V254" s="32" t="n">
        <v>-8.380000000000001</v>
      </c>
      <c r="W254" s="32" t="n">
        <v>6.25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IF(B255=0,"",RANK(B255,$B$2:$B$407,0))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GUFICBIO</t>
        </is>
      </c>
      <c r="D255" s="33" t="inlineStr">
        <is>
          <t>Gufic Biosciences Limited</t>
        </is>
      </c>
      <c r="E255" s="31" t="inlineStr">
        <is>
          <t>healthcare</t>
        </is>
      </c>
      <c r="F255" s="31" t="inlineStr">
        <is>
          <t>pharmaceuticals - indian - bulk drugs &amp; formln</t>
        </is>
      </c>
      <c r="G255" s="31" t="inlineStr">
        <is>
          <t>smallcap</t>
        </is>
      </c>
      <c r="H255" s="32" t="n">
        <v>3954.64</v>
      </c>
      <c r="I255" s="32" t="n">
        <v>385.65</v>
      </c>
      <c r="J255" s="32" t="n">
        <v>-2.21</v>
      </c>
      <c r="K255" s="32" t="n">
        <v>242269</v>
      </c>
      <c r="L255" s="31" t="n">
        <v>37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66.14</v>
      </c>
      <c r="P255" s="32" t="n">
        <v>28.1</v>
      </c>
      <c r="Q255" s="32" t="n">
        <v>289.07</v>
      </c>
      <c r="R255" s="31" t="inlineStr">
        <is>
          <t>Volume Spike &amp; Near 52W High Breakout</t>
        </is>
      </c>
      <c r="S255" s="31" t="inlineStr">
        <is>
          <t>Nifty Pharma</t>
        </is>
      </c>
      <c r="T255" s="32" t="n">
        <v>13.06</v>
      </c>
      <c r="U255" s="32" t="n">
        <v>11.63</v>
      </c>
      <c r="V255" s="32" t="n">
        <v>-1.26</v>
      </c>
      <c r="W255" s="32" t="n">
        <v>10.13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Less than 50%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IF(B256=0,"",RANK(B256,$B$2:$B$407,0))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TIRUPATIFL</t>
        </is>
      </c>
      <c r="D256" s="31" t="inlineStr">
        <is>
          <t>Tirupati Forge Ltd</t>
        </is>
      </c>
      <c r="E256" s="31" t="inlineStr">
        <is>
          <t>industrials</t>
        </is>
      </c>
      <c r="F256" s="31" t="inlineStr">
        <is>
          <t>castings &amp; forgings</t>
        </is>
      </c>
      <c r="G256" s="31" t="inlineStr">
        <is>
          <t>smallcap</t>
        </is>
      </c>
      <c r="H256" s="32" t="n">
        <v>826.5599999999999</v>
      </c>
      <c r="I256" s="32" t="n">
        <v>69.52</v>
      </c>
      <c r="J256" s="32" t="n">
        <v>8.66</v>
      </c>
      <c r="K256" s="32" t="n">
        <v>4922010</v>
      </c>
      <c r="L256" s="31" t="n">
        <v>78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78.73</v>
      </c>
      <c r="P256" s="32" t="n">
        <v>31.48</v>
      </c>
      <c r="Q256" s="32" t="n">
        <v>50.56</v>
      </c>
      <c r="R256" s="31" t="inlineStr">
        <is>
          <t>Volume Spike &amp; Near 52W High Breakout</t>
        </is>
      </c>
      <c r="S256" s="31" t="inlineStr">
        <is>
          <t>Nifty 50</t>
        </is>
      </c>
      <c r="T256" s="32" t="n">
        <v>-5.05</v>
      </c>
      <c r="U256" s="32" t="n">
        <v>50.02</v>
      </c>
      <c r="V256" s="32" t="n">
        <v>58</v>
      </c>
      <c r="W256" s="32" t="n">
        <v>23.34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IF(B257=0,"",RANK(B257,$B$2:$B$407,0))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RUBYMILLS</t>
        </is>
      </c>
      <c r="D257" s="31" t="inlineStr">
        <is>
          <t>The Ruby Mills Limited</t>
        </is>
      </c>
      <c r="E257" s="31" t="inlineStr">
        <is>
          <t>textiles</t>
        </is>
      </c>
      <c r="F257" s="31" t="inlineStr">
        <is>
          <t>textiles - composite</t>
        </is>
      </c>
      <c r="G257" s="31" t="inlineStr">
        <is>
          <t>smallcap</t>
        </is>
      </c>
      <c r="H257" s="32" t="n">
        <v>1070.08</v>
      </c>
      <c r="I257" s="32" t="n">
        <v>332.9</v>
      </c>
      <c r="J257" s="32" t="n">
        <v>4.03</v>
      </c>
      <c r="K257" s="32" t="n">
        <v>8109</v>
      </c>
      <c r="L257" s="31" t="n">
        <v>71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70.73999999999999</v>
      </c>
      <c r="P257" s="32" t="n">
        <v>45.88</v>
      </c>
      <c r="Q257" s="32" t="n">
        <v>253.81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-5.05</v>
      </c>
      <c r="U257" s="32" t="n">
        <v>33.31</v>
      </c>
      <c r="V257" s="32" t="n">
        <v>40.4</v>
      </c>
      <c r="W257" s="32" t="n">
        <v>19.94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IF(B258=0,"",RANK(B258,$B$2:$B$407,0))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DEEPAKFERT</t>
        </is>
      </c>
      <c r="D258" s="31" t="inlineStr">
        <is>
          <t>Deepak Fertilizers And Petrochemicals Corporation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largecap</t>
        </is>
      </c>
      <c r="H258" s="32" t="n">
        <v>20256.12</v>
      </c>
      <c r="I258" s="32" t="n">
        <v>1664.3</v>
      </c>
      <c r="J258" s="32" t="n">
        <v>3.72</v>
      </c>
      <c r="K258" s="32" t="n">
        <v>340171</v>
      </c>
      <c r="L258" s="31" t="n">
        <v>65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73.59999999999999</v>
      </c>
      <c r="P258" s="32" t="n">
        <v>35.87</v>
      </c>
      <c r="Q258" s="32" t="n">
        <v>1306.21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-5.05</v>
      </c>
      <c r="U258" s="32" t="n">
        <v>-1.97</v>
      </c>
      <c r="V258" s="32" t="n">
        <v>3.24</v>
      </c>
      <c r="W258" s="32" t="n">
        <v>17.37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Less than 50%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Between 0.7 to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IF(B259=0,"",RANK(B259,$B$2:$B$407,0))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MACPOWER</t>
        </is>
      </c>
      <c r="D259" s="31" t="inlineStr">
        <is>
          <t>Macpower CNC Machines Ltd</t>
        </is>
      </c>
      <c r="E259" s="31" t="inlineStr">
        <is>
          <t>industrials</t>
        </is>
      </c>
      <c r="F259" s="31" t="inlineStr">
        <is>
          <t>engineering</t>
        </is>
      </c>
      <c r="G259" s="31" t="inlineStr">
        <is>
          <t>midcap</t>
        </is>
      </c>
      <c r="H259" s="32" t="n">
        <v>11241.23</v>
      </c>
      <c r="I259" s="32" t="n">
        <v>1393.5</v>
      </c>
      <c r="J259" s="32" t="n">
        <v>3.69</v>
      </c>
      <c r="K259" s="32" t="n">
        <v>68871</v>
      </c>
      <c r="L259" s="31" t="n">
        <v>78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67.8</v>
      </c>
      <c r="P259" s="32" t="n">
        <v>24.49</v>
      </c>
      <c r="Q259" s="32" t="n">
        <v>970.33</v>
      </c>
      <c r="R259" s="31" t="inlineStr">
        <is>
          <t>Volume Spike &amp; Near 52W High Breakout</t>
        </is>
      </c>
      <c r="S259" s="31" t="inlineStr">
        <is>
          <t>Nifty 50</t>
        </is>
      </c>
      <c r="T259" s="32" t="n">
        <v>-5.05</v>
      </c>
      <c r="U259" s="32" t="n">
        <v>43.53</v>
      </c>
      <c r="V259" s="32" t="n">
        <v>51.16</v>
      </c>
      <c r="W259" s="32" t="n">
        <v>23.44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Between 12 to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Less than 50%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IF(B260=0,"",RANK(B260,$B$2:$B$407,0))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GATEWAY</t>
        </is>
      </c>
      <c r="D260" s="31" t="inlineStr">
        <is>
          <t>Gateway Distriparks Ltd</t>
        </is>
      </c>
      <c r="E260" s="31" t="inlineStr">
        <is>
          <t>transportation</t>
        </is>
      </c>
      <c r="F260" s="31" t="inlineStr">
        <is>
          <t>miscellaneous</t>
        </is>
      </c>
      <c r="G260" s="31" t="inlineStr">
        <is>
          <t>smallcap</t>
        </is>
      </c>
      <c r="H260" s="32" t="n">
        <v>2969.38</v>
      </c>
      <c r="I260" s="32" t="n">
        <v>61.41</v>
      </c>
      <c r="J260" s="32" t="n">
        <v>3.33</v>
      </c>
      <c r="K260" s="32" t="n">
        <v>1258141</v>
      </c>
      <c r="L260" s="31" t="n">
        <v>3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57.37</v>
      </c>
      <c r="P260" s="32" t="n">
        <v>15.68</v>
      </c>
      <c r="Q260" s="32" t="n">
        <v>49.14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-5.05</v>
      </c>
      <c r="U260" s="32" t="n">
        <v>-2.48</v>
      </c>
      <c r="V260" s="32" t="n">
        <v>2.7</v>
      </c>
      <c r="W260" s="32" t="n">
        <v>2.35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IF(B261=0,"",RANK(B261,$B$2:$B$407,0))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SHAILY</t>
        </is>
      </c>
      <c r="D261" s="31" t="inlineStr">
        <is>
          <t>Shaily Engineering Plastics Ltd</t>
        </is>
      </c>
      <c r="E261" s="31" t="inlineStr">
        <is>
          <t>plastic products</t>
        </is>
      </c>
      <c r="F261" s="31" t="inlineStr">
        <is>
          <t>plastics products</t>
        </is>
      </c>
      <c r="G261" s="31" t="inlineStr">
        <is>
          <t>midcap</t>
        </is>
      </c>
      <c r="H261" s="32" t="n">
        <v>13185.44</v>
      </c>
      <c r="I261" s="32" t="n">
        <v>2940.4</v>
      </c>
      <c r="J261" s="32" t="n">
        <v>2.48</v>
      </c>
      <c r="K261" s="32" t="n">
        <v>203244</v>
      </c>
      <c r="L261" s="31" t="n">
        <v>76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63.21</v>
      </c>
      <c r="P261" s="32" t="n">
        <v>26.36</v>
      </c>
      <c r="Q261" s="32" t="n">
        <v>2205.94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-5.05</v>
      </c>
      <c r="U261" s="32" t="n">
        <v>80.72</v>
      </c>
      <c r="V261" s="32" t="n">
        <v>90.33</v>
      </c>
      <c r="W261" s="32" t="n">
        <v>22.41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Between 1.5 to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IF(B262=0,"",RANK(B262,$B$2:$B$407,0))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KRISHANA</t>
        </is>
      </c>
      <c r="D262" s="31" t="inlineStr">
        <is>
          <t>Krishana Phoschem Ltd</t>
        </is>
      </c>
      <c r="E262" s="31" t="inlineStr">
        <is>
          <t>chemicals</t>
        </is>
      </c>
      <c r="F262" s="31" t="inlineStr">
        <is>
          <t>fertilizers</t>
        </is>
      </c>
      <c r="G262" s="31" t="inlineStr">
        <is>
          <t>smallcap</t>
        </is>
      </c>
      <c r="H262" s="32" t="n">
        <v>4313.4</v>
      </c>
      <c r="I262" s="32" t="n">
        <v>713.5</v>
      </c>
      <c r="J262" s="32" t="n">
        <v>2.27</v>
      </c>
      <c r="K262" s="32" t="n">
        <v>525867</v>
      </c>
      <c r="L262" s="31" t="n">
        <v>65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69.44</v>
      </c>
      <c r="P262" s="32" t="n">
        <v>44.82</v>
      </c>
      <c r="Q262" s="32" t="n">
        <v>559.2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-5.05</v>
      </c>
      <c r="U262" s="32" t="n">
        <v>59.91</v>
      </c>
      <c r="V262" s="32" t="n">
        <v>68.41</v>
      </c>
      <c r="W262" s="32" t="n">
        <v>16.94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Above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Negative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IF(B263=0,"",RANK(B263,$B$2:$B$407,0))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MBAPL</t>
        </is>
      </c>
      <c r="D263" s="31" t="inlineStr">
        <is>
          <t>Madhya Bharat Agro Products Ltd</t>
        </is>
      </c>
      <c r="E263" s="31" t="inlineStr">
        <is>
          <t>chemicals</t>
        </is>
      </c>
      <c r="F263" s="31" t="inlineStr">
        <is>
          <t>fertilizers</t>
        </is>
      </c>
      <c r="G263" s="31" t="inlineStr">
        <is>
          <t>midcap</t>
        </is>
      </c>
      <c r="H263" s="32" t="n">
        <v>5198.47</v>
      </c>
      <c r="I263" s="32" t="n">
        <v>604.3</v>
      </c>
      <c r="J263" s="32" t="n">
        <v>1.86</v>
      </c>
      <c r="K263" s="32" t="n">
        <v>403332</v>
      </c>
      <c r="L263" s="31" t="n">
        <v>39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73.19</v>
      </c>
      <c r="P263" s="32" t="n">
        <v>52.49</v>
      </c>
      <c r="Q263" s="32" t="n">
        <v>481.89</v>
      </c>
      <c r="R263" s="31" t="inlineStr">
        <is>
          <t>Near 52W High Breakout</t>
        </is>
      </c>
      <c r="S263" s="31" t="inlineStr">
        <is>
          <t>Nifty 50</t>
        </is>
      </c>
      <c r="T263" s="32" t="n">
        <v>-5.05</v>
      </c>
      <c r="U263" s="32" t="n">
        <v>43.27</v>
      </c>
      <c r="V263" s="32" t="n">
        <v>50.89</v>
      </c>
      <c r="W263" s="32" t="n">
        <v>10.72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Negative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More than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IF(B264=0,"",RANK(B264,$B$2:$B$407,0))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CYIENTDLM</t>
        </is>
      </c>
      <c r="D264" s="31" t="inlineStr">
        <is>
          <t>Cyient DLM Ltd</t>
        </is>
      </c>
      <c r="E264" s="31" t="inlineStr">
        <is>
          <t>consumer discretionary</t>
        </is>
      </c>
      <c r="F264" s="31" t="inlineStr">
        <is>
          <t>electronics - components</t>
        </is>
      </c>
      <c r="G264" s="31" t="inlineStr">
        <is>
          <t>smallcap</t>
        </is>
      </c>
      <c r="H264" s="32" t="n">
        <v>3684.49</v>
      </c>
      <c r="I264" s="32" t="n">
        <v>471.85</v>
      </c>
      <c r="J264" s="32" t="n">
        <v>1.64</v>
      </c>
      <c r="K264" s="32" t="n">
        <v>195115</v>
      </c>
      <c r="L264" s="31" t="n">
        <v>67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65.58</v>
      </c>
      <c r="P264" s="32" t="n">
        <v>35.25</v>
      </c>
      <c r="Q264" s="32" t="n">
        <v>363.04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-5.05</v>
      </c>
      <c r="U264" s="32" t="n">
        <v>-2.65</v>
      </c>
      <c r="V264" s="32" t="n">
        <v>2.52</v>
      </c>
      <c r="W264" s="32" t="n">
        <v>17.92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Less than 50%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IF(B265=0,"",RANK(B265,$B$2:$B$407,0))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BHAGERIA</t>
        </is>
      </c>
      <c r="D265" s="31" t="inlineStr">
        <is>
          <t>Bhageria Industries Limited</t>
        </is>
      </c>
      <c r="E265" s="31" t="inlineStr">
        <is>
          <t>chemicals</t>
        </is>
      </c>
      <c r="F265" s="31" t="inlineStr">
        <is>
          <t>dyes and pigments</t>
        </is>
      </c>
      <c r="G265" s="31" t="inlineStr">
        <is>
          <t>smallcap</t>
        </is>
      </c>
      <c r="H265" s="32" t="n">
        <v>966.54</v>
      </c>
      <c r="I265" s="32" t="n">
        <v>224</v>
      </c>
      <c r="J265" s="32" t="n">
        <v>1.15</v>
      </c>
      <c r="K265" s="32" t="n">
        <v>208944</v>
      </c>
      <c r="L265" s="31" t="n">
        <v>60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68.11</v>
      </c>
      <c r="P265" s="32" t="n">
        <v>19.02</v>
      </c>
      <c r="Q265" s="32" t="n">
        <v>170.26</v>
      </c>
      <c r="R265" s="31" t="inlineStr">
        <is>
          <t>Near 52W High Breakout</t>
        </is>
      </c>
      <c r="S265" s="31" t="inlineStr">
        <is>
          <t>Nifty IT</t>
        </is>
      </c>
      <c r="T265" s="32" t="n">
        <v>-31.15</v>
      </c>
      <c r="U265" s="32" t="n">
        <v>9.91</v>
      </c>
      <c r="V265" s="32" t="n">
        <v>59.64</v>
      </c>
      <c r="W265" s="32" t="n">
        <v>15.88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IF(B266=0,"",RANK(B266,$B$2:$B$407,0))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ADANIENT</t>
        </is>
      </c>
      <c r="D266" s="31" t="inlineStr">
        <is>
          <t>Adani Enterprises Limited</t>
        </is>
      </c>
      <c r="E266" s="31" t="inlineStr">
        <is>
          <t>services</t>
        </is>
      </c>
      <c r="F266" s="31" t="inlineStr">
        <is>
          <t>trading</t>
        </is>
      </c>
      <c r="G266" s="31" t="inlineStr">
        <is>
          <t>largecap</t>
        </is>
      </c>
      <c r="H266" s="32" t="n">
        <v>406367.64</v>
      </c>
      <c r="I266" s="32" t="n">
        <v>3177.5</v>
      </c>
      <c r="J266" s="32" t="n">
        <v>1.08</v>
      </c>
      <c r="K266" s="32" t="n">
        <v>3400054</v>
      </c>
      <c r="L266" s="31" t="n">
        <v>77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73.98999999999999</v>
      </c>
      <c r="P266" s="32" t="n">
        <v>33.87</v>
      </c>
      <c r="Q266" s="32" t="n">
        <v>2628.79</v>
      </c>
      <c r="R266" s="31" t="inlineStr">
        <is>
          <t>Near 52W High Breakout</t>
        </is>
      </c>
      <c r="S266" s="31" t="inlineStr">
        <is>
          <t>Nifty 50</t>
        </is>
      </c>
      <c r="T266" s="32" t="n">
        <v>-5.05</v>
      </c>
      <c r="U266" s="32" t="n">
        <v>22.31</v>
      </c>
      <c r="V266" s="32" t="n">
        <v>28.81</v>
      </c>
      <c r="W266" s="32" t="n">
        <v>22.95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Less than 50% and Borrowings are increasing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Between 0.7 to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IF(B267=0,"",RANK(B267,$B$2:$B$407,0))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GLOSTERLTD</t>
        </is>
      </c>
      <c r="D267" s="31" t="inlineStr">
        <is>
          <t>Gloster Ltd</t>
        </is>
      </c>
      <c r="E267" s="31" t="inlineStr">
        <is>
          <t>textiles</t>
        </is>
      </c>
      <c r="F267" s="31" t="inlineStr">
        <is>
          <t>textiles - jute - yarn / products</t>
        </is>
      </c>
      <c r="G267" s="31" t="inlineStr">
        <is>
          <t>smallcap</t>
        </is>
      </c>
      <c r="H267" s="32" t="n">
        <v>811.72</v>
      </c>
      <c r="I267" s="32" t="n">
        <v>749.45</v>
      </c>
      <c r="J267" s="32" t="n">
        <v>1.04</v>
      </c>
      <c r="K267" s="32" t="n">
        <v>18378</v>
      </c>
      <c r="L267" s="31" t="n">
        <v>41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72.66</v>
      </c>
      <c r="P267" s="32" t="n">
        <v>30.92</v>
      </c>
      <c r="Q267" s="32" t="n">
        <v>608.9400000000001</v>
      </c>
      <c r="R267" s="31" t="inlineStr">
        <is>
          <t>Near 52W High Breakout</t>
        </is>
      </c>
      <c r="S267" s="31" t="inlineStr">
        <is>
          <t>Nifty 50</t>
        </is>
      </c>
      <c r="T267" s="32" t="n">
        <v>-5.05</v>
      </c>
      <c r="U267" s="32" t="n">
        <v>-2</v>
      </c>
      <c r="V267" s="32" t="n">
        <v>3.21</v>
      </c>
      <c r="W267" s="32" t="n">
        <v>11.09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IF(B268=0,"",RANK(B268,$B$2:$B$407,0))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NAZARA</t>
        </is>
      </c>
      <c r="D268" s="31" t="inlineStr">
        <is>
          <t>Nazara Technologies Ltd</t>
        </is>
      </c>
      <c r="E268" s="31" t="inlineStr">
        <is>
          <t>i.t</t>
        </is>
      </c>
      <c r="F268" s="31" t="inlineStr">
        <is>
          <t>telecommunications - service provider</t>
        </is>
      </c>
      <c r="G268" s="31" t="inlineStr">
        <is>
          <t>midcap</t>
        </is>
      </c>
      <c r="H268" s="32" t="n">
        <v>11217.68</v>
      </c>
      <c r="I268" s="32" t="n">
        <v>305.25</v>
      </c>
      <c r="J268" s="32" t="n">
        <v>0.8100000000000001</v>
      </c>
      <c r="K268" s="32" t="n">
        <v>4303661</v>
      </c>
      <c r="L268" s="31" t="n">
        <v>14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61</v>
      </c>
      <c r="P268" s="32" t="n">
        <v>14.69</v>
      </c>
      <c r="Q268" s="32" t="n">
        <v>237.31</v>
      </c>
      <c r="R268" s="31" t="inlineStr">
        <is>
          <t>Earnings / Momentum Support</t>
        </is>
      </c>
      <c r="S268" s="31" t="inlineStr">
        <is>
          <t>Nifty IT</t>
        </is>
      </c>
      <c r="T268" s="32" t="n">
        <v>-31.15</v>
      </c>
      <c r="U268" s="32" t="n">
        <v>-11.85</v>
      </c>
      <c r="V268" s="32" t="n">
        <v>28.04</v>
      </c>
      <c r="W268" s="32" t="n">
        <v>4.98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Between 50% to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IF(B269=0,"",RANK(B269,$B$2:$B$407,0))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ATULAUTO</t>
        </is>
      </c>
      <c r="D269" s="33" t="inlineStr">
        <is>
          <t>Atul Auto Limited</t>
        </is>
      </c>
      <c r="E269" s="31" t="inlineStr">
        <is>
          <t>auto</t>
        </is>
      </c>
      <c r="F269" s="31" t="inlineStr">
        <is>
          <t>automobiles - scooters and 3 - wheelers</t>
        </is>
      </c>
      <c r="G269" s="31" t="inlineStr">
        <is>
          <t>smallcap</t>
        </is>
      </c>
      <c r="H269" s="32" t="n">
        <v>1363.98</v>
      </c>
      <c r="I269" s="32" t="n">
        <v>494.5</v>
      </c>
      <c r="J269" s="32" t="n">
        <v>0.61</v>
      </c>
      <c r="K269" s="32" t="n">
        <v>168446</v>
      </c>
      <c r="L269" s="31" t="n">
        <v>22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55.29</v>
      </c>
      <c r="P269" s="32" t="n">
        <v>23.32</v>
      </c>
      <c r="Q269" s="32" t="n">
        <v>392.83</v>
      </c>
      <c r="R269" s="31" t="inlineStr">
        <is>
          <t>Earnings / Momentum Support</t>
        </is>
      </c>
      <c r="S269" s="31" t="inlineStr">
        <is>
          <t>Nifty Auto</t>
        </is>
      </c>
      <c r="T269" s="32" t="n">
        <v>13.04</v>
      </c>
      <c r="U269" s="32" t="n">
        <v>8.75</v>
      </c>
      <c r="V269" s="32" t="n">
        <v>-3.8</v>
      </c>
      <c r="W269" s="32" t="n">
        <v>6.5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1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IF(B270=0,"",RANK(B270,$B$2:$B$407,0))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RBA</t>
        </is>
      </c>
      <c r="D270" s="33" t="inlineStr">
        <is>
          <t>Restaurant Brands Asia Ltd</t>
        </is>
      </c>
      <c r="E270" s="31" t="inlineStr">
        <is>
          <t>consumer discretionary</t>
        </is>
      </c>
      <c r="F270" s="31" t="inlineStr">
        <is>
          <t>hotels</t>
        </is>
      </c>
      <c r="G270" s="31" t="inlineStr">
        <is>
          <t>midcap</t>
        </is>
      </c>
      <c r="H270" s="32" t="n">
        <v>5484.55</v>
      </c>
      <c r="I270" s="32" t="n">
        <v>77.56</v>
      </c>
      <c r="J270" s="32" t="n">
        <v>0.61</v>
      </c>
      <c r="K270" s="32" t="n">
        <v>8344521</v>
      </c>
      <c r="L270" s="31" t="n">
        <v>17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68.97</v>
      </c>
      <c r="P270" s="32" t="n">
        <v>23.79</v>
      </c>
      <c r="Q270" s="32" t="n">
        <v>67.64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-5.05</v>
      </c>
      <c r="U270" s="32" t="n">
        <v>-5.23</v>
      </c>
      <c r="V270" s="32" t="n">
        <v>-0.19</v>
      </c>
      <c r="W270" s="32" t="n">
        <v>5.36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IF(B271=0,"",RANK(B271,$B$2:$B$407,0))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SSWL</t>
        </is>
      </c>
      <c r="D271" s="33" t="inlineStr">
        <is>
          <t>Steel Strips Wheels Limited</t>
        </is>
      </c>
      <c r="E271" s="31" t="inlineStr">
        <is>
          <t>auto</t>
        </is>
      </c>
      <c r="F271" s="31" t="inlineStr">
        <is>
          <t>auto ancillaries</t>
        </is>
      </c>
      <c r="G271" s="31" t="inlineStr">
        <is>
          <t>smallcap</t>
        </is>
      </c>
      <c r="H271" s="32" t="n">
        <v>3882.04</v>
      </c>
      <c r="I271" s="32" t="n">
        <v>248.06</v>
      </c>
      <c r="J271" s="32" t="n">
        <v>0.44</v>
      </c>
      <c r="K271" s="32" t="n">
        <v>837398</v>
      </c>
      <c r="L271" s="31" t="n">
        <v>24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64.45</v>
      </c>
      <c r="P271" s="32" t="n">
        <v>9.69</v>
      </c>
      <c r="Q271" s="32" t="n">
        <v>191.56</v>
      </c>
      <c r="R271" s="31" t="inlineStr">
        <is>
          <t>Near 52W High Breakout</t>
        </is>
      </c>
      <c r="S271" s="31" t="inlineStr">
        <is>
          <t>Nifty Auto</t>
        </is>
      </c>
      <c r="T271" s="32" t="n">
        <v>13.04</v>
      </c>
      <c r="U271" s="32" t="n">
        <v>-1.4</v>
      </c>
      <c r="V271" s="32" t="n">
        <v>-12.78</v>
      </c>
      <c r="W271" s="32" t="n">
        <v>7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Less than 1.5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IF(B272=0,"",RANK(B272,$B$2:$B$407,0))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JASH</t>
        </is>
      </c>
      <c r="D272" s="33" t="inlineStr">
        <is>
          <t>Jash Engineering Ltd</t>
        </is>
      </c>
      <c r="E272" s="31" t="inlineStr">
        <is>
          <t>industrials</t>
        </is>
      </c>
      <c r="F272" s="31" t="inlineStr">
        <is>
          <t>engineering</t>
        </is>
      </c>
      <c r="G272" s="31" t="inlineStr">
        <is>
          <t>smallcap</t>
        </is>
      </c>
      <c r="H272" s="32" t="n">
        <v>3185.6</v>
      </c>
      <c r="I272" s="32" t="n">
        <v>506</v>
      </c>
      <c r="J272" s="32" t="n">
        <v>0.38</v>
      </c>
      <c r="K272" s="32" t="n">
        <v>153156</v>
      </c>
      <c r="L272" s="31" t="n">
        <v>23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61.28</v>
      </c>
      <c r="P272" s="32" t="n">
        <v>15.88</v>
      </c>
      <c r="Q272" s="32" t="n">
        <v>417.62</v>
      </c>
      <c r="R272" s="31" t="inlineStr">
        <is>
          <t>Volume Spike / Accumulation</t>
        </is>
      </c>
      <c r="S272" s="31" t="inlineStr">
        <is>
          <t>Nifty 50</t>
        </is>
      </c>
      <c r="T272" s="32" t="n">
        <v>-5.05</v>
      </c>
      <c r="U272" s="32" t="n">
        <v>-12.47</v>
      </c>
      <c r="V272" s="32" t="n">
        <v>-7.82</v>
      </c>
      <c r="W272" s="32" t="n">
        <v>6.69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IF(B273=0,"",RANK(B273,$B$2:$B$407,0))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DELHIVERY</t>
        </is>
      </c>
      <c r="D273" s="31" t="inlineStr">
        <is>
          <t>Delhivery Ltd</t>
        </is>
      </c>
      <c r="E273" s="31" t="inlineStr">
        <is>
          <t>transportation</t>
        </is>
      </c>
      <c r="F273" s="31" t="inlineStr">
        <is>
          <t>miscellaneous</t>
        </is>
      </c>
      <c r="G273" s="31" t="inlineStr">
        <is>
          <t>largecap</t>
        </is>
      </c>
      <c r="H273" s="32" t="n">
        <v>38006.83</v>
      </c>
      <c r="I273" s="32" t="n">
        <v>509.3</v>
      </c>
      <c r="J273" s="32" t="n">
        <v>0.32</v>
      </c>
      <c r="K273" s="32" t="n">
        <v>12862841</v>
      </c>
      <c r="L273" s="31" t="n">
        <v>36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66.45</v>
      </c>
      <c r="P273" s="32" t="n">
        <v>12.3</v>
      </c>
      <c r="Q273" s="32" t="n">
        <v>420.09</v>
      </c>
      <c r="R273" s="31" t="inlineStr">
        <is>
          <t>Volume Spike &amp; Near 52W High Breakout</t>
        </is>
      </c>
      <c r="S273" s="31" t="inlineStr">
        <is>
          <t>Nifty 50</t>
        </is>
      </c>
      <c r="T273" s="32" t="n">
        <v>-5.05</v>
      </c>
      <c r="U273" s="32" t="n">
        <v>30.56</v>
      </c>
      <c r="V273" s="32" t="n">
        <v>37.5</v>
      </c>
      <c r="W273" s="32" t="n">
        <v>9.789999999999999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IF(B274=0,"",RANK(B274,$B$2:$B$407,0))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KAJARIACER</t>
        </is>
      </c>
      <c r="D274" s="31" t="inlineStr">
        <is>
          <t>Kajaria Ceramics Limited</t>
        </is>
      </c>
      <c r="E274" s="31" t="inlineStr">
        <is>
          <t>building materials</t>
        </is>
      </c>
      <c r="F274" s="31" t="inlineStr">
        <is>
          <t>ceramics - tiles / sanitaryware</t>
        </is>
      </c>
      <c r="G274" s="31" t="inlineStr">
        <is>
          <t>midcap</t>
        </is>
      </c>
      <c r="H274" s="32" t="n">
        <v>19170.01</v>
      </c>
      <c r="I274" s="32" t="n">
        <v>1204</v>
      </c>
      <c r="J274" s="32" t="n">
        <v>0.03</v>
      </c>
      <c r="K274" s="32" t="n">
        <v>323782</v>
      </c>
      <c r="L274" s="31" t="n">
        <v>23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63.52</v>
      </c>
      <c r="P274" s="32" t="n">
        <v>19.89</v>
      </c>
      <c r="Q274" s="32" t="n">
        <v>989.6799999999999</v>
      </c>
      <c r="R274" s="31" t="inlineStr">
        <is>
          <t>Earnings / Momentum Support</t>
        </is>
      </c>
      <c r="S274" s="31" t="inlineStr">
        <is>
          <t>Nifty Infra</t>
        </is>
      </c>
      <c r="T274" s="32" t="n">
        <v>0.23</v>
      </c>
      <c r="U274" s="32" t="n">
        <v>5.7</v>
      </c>
      <c r="V274" s="32" t="n">
        <v>5.45</v>
      </c>
      <c r="W274" s="32" t="n">
        <v>6.71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IF(B275=0,"",RANK(B275,$B$2:$B$407,0))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HCC</t>
        </is>
      </c>
      <c r="D275" s="33" t="inlineStr">
        <is>
          <t>Hindustan Construction Company Limited</t>
        </is>
      </c>
      <c r="E275" s="31" t="inlineStr">
        <is>
          <t>realty</t>
        </is>
      </c>
      <c r="F275" s="31" t="inlineStr">
        <is>
          <t>construction</t>
        </is>
      </c>
      <c r="G275" s="31" t="inlineStr">
        <is>
          <t>midcap</t>
        </is>
      </c>
      <c r="H275" s="32" t="n">
        <v>6732.03</v>
      </c>
      <c r="I275" s="32" t="n">
        <v>25.57</v>
      </c>
      <c r="J275" s="32" t="n">
        <v>-0.51</v>
      </c>
      <c r="K275" s="32" t="n">
        <v>20258936</v>
      </c>
      <c r="L275" s="31" t="n">
        <v>57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60.21</v>
      </c>
      <c r="P275" s="32" t="n">
        <v>24.06</v>
      </c>
      <c r="Q275" s="32" t="n">
        <v>19.72</v>
      </c>
      <c r="R275" s="31" t="inlineStr">
        <is>
          <t>Earnings / Momentum Support</t>
        </is>
      </c>
      <c r="S275" s="31" t="inlineStr">
        <is>
          <t>Nifty Realty</t>
        </is>
      </c>
      <c r="T275" s="32" t="n">
        <v>-10.31</v>
      </c>
      <c r="U275" s="32" t="n">
        <v>-14.6</v>
      </c>
      <c r="V275" s="32" t="n">
        <v>-4.77</v>
      </c>
      <c r="W275" s="32" t="n">
        <v>14.96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IF(B276=0,"",RANK(B276,$B$2:$B$407,0))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KIRLOSENG</t>
        </is>
      </c>
      <c r="D276" s="31" t="inlineStr">
        <is>
          <t>Kirloskar Oil Engines Limited</t>
        </is>
      </c>
      <c r="E276" s="31" t="inlineStr">
        <is>
          <t>industrials</t>
        </is>
      </c>
      <c r="F276" s="31" t="inlineStr">
        <is>
          <t>engines</t>
        </is>
      </c>
      <c r="G276" s="31" t="inlineStr">
        <is>
          <t>largecap</t>
        </is>
      </c>
      <c r="H276" s="32" t="n">
        <v>34030.04</v>
      </c>
      <c r="I276" s="32" t="n">
        <v>2321.4</v>
      </c>
      <c r="J276" s="32" t="n">
        <v>-0.84</v>
      </c>
      <c r="K276" s="32" t="n">
        <v>558705</v>
      </c>
      <c r="L276" s="31" t="n">
        <v>91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74.94</v>
      </c>
      <c r="P276" s="32" t="n">
        <v>44.3</v>
      </c>
      <c r="Q276" s="32" t="n">
        <v>1921.97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-5.05</v>
      </c>
      <c r="U276" s="32" t="n">
        <v>173.03</v>
      </c>
      <c r="V276" s="32" t="n">
        <v>187.55</v>
      </c>
      <c r="W276" s="32" t="n">
        <v>38.23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Above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Between 50% to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More than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IF(B277=0,"",RANK(B277,$B$2:$B$407,0))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LLOYDSENGG</t>
        </is>
      </c>
      <c r="D277" s="31" t="inlineStr">
        <is>
          <t>Lloyds Engineering Works Ltd</t>
        </is>
      </c>
      <c r="E277" s="31" t="inlineStr">
        <is>
          <t>industrials</t>
        </is>
      </c>
      <c r="F277" s="31" t="inlineStr">
        <is>
          <t>engineering</t>
        </is>
      </c>
      <c r="G277" s="31" t="inlineStr">
        <is>
          <t>midcap</t>
        </is>
      </c>
      <c r="H277" s="32" t="n">
        <v>12462.29</v>
      </c>
      <c r="I277" s="32" t="n">
        <v>83.27</v>
      </c>
      <c r="J277" s="32" t="n">
        <v>-1.1</v>
      </c>
      <c r="K277" s="32" t="n">
        <v>7009597</v>
      </c>
      <c r="L277" s="31" t="n">
        <v>83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70.62</v>
      </c>
      <c r="P277" s="32" t="n">
        <v>33.09</v>
      </c>
      <c r="Q277" s="32" t="n">
        <v>65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-5.05</v>
      </c>
      <c r="U277" s="32" t="n">
        <v>3.88</v>
      </c>
      <c r="V277" s="32" t="n">
        <v>9.41</v>
      </c>
      <c r="W277" s="32" t="n">
        <v>27.72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Negative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IF(B278=0,"",RANK(B278,$B$2:$B$407,0))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HINDCOMPOS</t>
        </is>
      </c>
      <c r="D278" s="33" t="inlineStr">
        <is>
          <t>Hindustan Composites Limited</t>
        </is>
      </c>
      <c r="E278" s="31" t="inlineStr">
        <is>
          <t>auto</t>
        </is>
      </c>
      <c r="F278" s="31" t="inlineStr">
        <is>
          <t>auto ancillaries</t>
        </is>
      </c>
      <c r="G278" s="31" t="inlineStr">
        <is>
          <t>smallcap</t>
        </is>
      </c>
      <c r="H278" s="32" t="n">
        <v>687.13</v>
      </c>
      <c r="I278" s="32" t="n">
        <v>458.25</v>
      </c>
      <c r="J278" s="32" t="n">
        <v>-1.5</v>
      </c>
      <c r="K278" s="32" t="n">
        <v>55585</v>
      </c>
      <c r="L278" s="31" t="n">
        <v>18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56.81</v>
      </c>
      <c r="P278" s="32" t="n">
        <v>23.85</v>
      </c>
      <c r="Q278" s="32" t="n">
        <v>366.42</v>
      </c>
      <c r="R278" s="31" t="inlineStr">
        <is>
          <t>Volume Spike / Accumulation</t>
        </is>
      </c>
      <c r="S278" s="31" t="inlineStr">
        <is>
          <t>Nifty Auto</t>
        </is>
      </c>
      <c r="T278" s="32" t="n">
        <v>13.04</v>
      </c>
      <c r="U278" s="32" t="n">
        <v>-4.13</v>
      </c>
      <c r="V278" s="32" t="n">
        <v>-15.19</v>
      </c>
      <c r="W278" s="32" t="n">
        <v>5.59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1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Less than 50%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IF(B279=0,"",RANK(B279,$B$2:$B$407,0))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CARBORUNIV</t>
        </is>
      </c>
      <c r="D279" s="31" t="inlineStr">
        <is>
          <t>Carborundum Universal Limited</t>
        </is>
      </c>
      <c r="E279" s="31" t="inlineStr">
        <is>
          <t>industrials</t>
        </is>
      </c>
      <c r="F279" s="31" t="inlineStr">
        <is>
          <t>abrasives and grinding wheels</t>
        </is>
      </c>
      <c r="G279" s="31" t="inlineStr">
        <is>
          <t>largecap</t>
        </is>
      </c>
      <c r="H279" s="32" t="n">
        <v>22171.42</v>
      </c>
      <c r="I279" s="32" t="n">
        <v>1141.7</v>
      </c>
      <c r="J279" s="32" t="n">
        <v>-1.91</v>
      </c>
      <c r="K279" s="32" t="n">
        <v>103565</v>
      </c>
      <c r="L279" s="31" t="n">
        <v>39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64.15000000000001</v>
      </c>
      <c r="P279" s="32" t="n">
        <v>39.85</v>
      </c>
      <c r="Q279" s="32" t="n">
        <v>975.26</v>
      </c>
      <c r="R279" s="31" t="inlineStr">
        <is>
          <t>Earnings / Momentum Support</t>
        </is>
      </c>
      <c r="S279" s="31" t="inlineStr">
        <is>
          <t>Nifty 50</t>
        </is>
      </c>
      <c r="T279" s="32" t="n">
        <v>-5.05</v>
      </c>
      <c r="U279" s="32" t="n">
        <v>14.86</v>
      </c>
      <c r="V279" s="32" t="n">
        <v>20.97</v>
      </c>
      <c r="W279" s="32" t="n">
        <v>10.55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IF(B280=0,"",RANK(B280,$B$2:$B$407,0))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MARINE</t>
        </is>
      </c>
      <c r="D280" s="31" t="inlineStr">
        <is>
          <t>Marine Electricals (India) Ltd</t>
        </is>
      </c>
      <c r="E280" s="31" t="inlineStr">
        <is>
          <t>industrials</t>
        </is>
      </c>
      <c r="F280" s="31" t="inlineStr">
        <is>
          <t>electric equipment</t>
        </is>
      </c>
      <c r="G280" s="31" t="inlineStr">
        <is>
          <t>smallcap</t>
        </is>
      </c>
      <c r="H280" s="32" t="n">
        <v>713.79</v>
      </c>
      <c r="I280" s="32" t="n">
        <v>284.2</v>
      </c>
      <c r="J280" s="32" t="n">
        <v>-2.32</v>
      </c>
      <c r="K280" s="32" t="n">
        <v>676200</v>
      </c>
      <c r="L280" s="31" t="n">
        <v>77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66.64</v>
      </c>
      <c r="P280" s="32" t="n">
        <v>27.04</v>
      </c>
      <c r="Q280" s="32" t="n">
        <v>204.46</v>
      </c>
      <c r="R280" s="31" t="inlineStr">
        <is>
          <t>Near 52W High Breakout</t>
        </is>
      </c>
      <c r="S280" s="31" t="inlineStr">
        <is>
          <t>Nifty 50</t>
        </is>
      </c>
      <c r="T280" s="32" t="n">
        <v>-5.05</v>
      </c>
      <c r="U280" s="32" t="n">
        <v>39.18</v>
      </c>
      <c r="V280" s="32" t="n">
        <v>46.58</v>
      </c>
      <c r="W280" s="32" t="n">
        <v>23.13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Between 1.5 to 2</t>
        </is>
      </c>
      <c r="BU280" s="31">
        <f>IF(BT280="Above 2",0,IF(BT280="Between 1.5 to 2",5,IF(BT280="Less than 1.5",10,0)))</f>
        <v/>
      </c>
      <c r="BV280" s="31" t="inlineStr">
        <is>
          <t>Negative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IF(B281=0,"",RANK(B281,$B$2:$B$407,0))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BHAGCHEM</t>
        </is>
      </c>
      <c r="D281" s="31" t="inlineStr">
        <is>
          <t>Bhagiradha Chemicals &amp; Industries Ltd</t>
        </is>
      </c>
      <c r="E281" s="31" t="inlineStr">
        <is>
          <t>chemicals</t>
        </is>
      </c>
      <c r="F281" s="31" t="inlineStr">
        <is>
          <t>pesticides / agrochemicals - indian</t>
        </is>
      </c>
      <c r="G281" s="31" t="inlineStr">
        <is>
          <t>smallcap</t>
        </is>
      </c>
      <c r="H281" s="32" t="n">
        <v>3743.55</v>
      </c>
      <c r="I281" s="32" t="n">
        <v>281.95</v>
      </c>
      <c r="J281" s="32" t="n">
        <v>-2.34</v>
      </c>
      <c r="K281" s="32" t="n">
        <v>52362</v>
      </c>
      <c r="L281" s="31" t="n">
        <v>33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65.56999999999999</v>
      </c>
      <c r="P281" s="32" t="n">
        <v>23.12</v>
      </c>
      <c r="Q281" s="32" t="n">
        <v>208.93</v>
      </c>
      <c r="R281" s="31" t="inlineStr">
        <is>
          <t>Earnings / Momentum Support</t>
        </is>
      </c>
      <c r="S281" s="31" t="inlineStr">
        <is>
          <t>Nifty IT</t>
        </is>
      </c>
      <c r="T281" s="32" t="n">
        <v>-31.15</v>
      </c>
      <c r="U281" s="32" t="n">
        <v>-8.44</v>
      </c>
      <c r="V281" s="32" t="n">
        <v>32.99</v>
      </c>
      <c r="W281" s="32" t="n">
        <v>9.17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Less than 50%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IF(B282=0,"",RANK(B282,$B$2:$B$407,0))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APOLLOTYRE</t>
        </is>
      </c>
      <c r="D282" s="33" t="inlineStr">
        <is>
          <t>Apollo Tyres Limited</t>
        </is>
      </c>
      <c r="E282" s="31" t="inlineStr">
        <is>
          <t>auto</t>
        </is>
      </c>
      <c r="F282" s="31" t="inlineStr">
        <is>
          <t>tyres</t>
        </is>
      </c>
      <c r="G282" s="31" t="inlineStr">
        <is>
          <t>largecap</t>
        </is>
      </c>
      <c r="H282" s="32" t="n">
        <v>27414.13</v>
      </c>
      <c r="I282" s="32" t="n">
        <v>456.6</v>
      </c>
      <c r="J282" s="32" t="n">
        <v>5.78</v>
      </c>
      <c r="K282" s="32" t="n">
        <v>4300516</v>
      </c>
      <c r="L282" s="31" t="n">
        <v>7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56.34</v>
      </c>
      <c r="P282" s="32" t="n">
        <v>22.53</v>
      </c>
      <c r="Q282" s="32" t="n">
        <v>365.96</v>
      </c>
      <c r="R282" s="31" t="inlineStr">
        <is>
          <t>Earnings / Momentum Support</t>
        </is>
      </c>
      <c r="S282" s="31" t="inlineStr">
        <is>
          <t>Nifty Auto</t>
        </is>
      </c>
      <c r="T282" s="32" t="n">
        <v>13.04</v>
      </c>
      <c r="U282" s="32" t="n">
        <v>1.21</v>
      </c>
      <c r="V282" s="32" t="n">
        <v>-10.47</v>
      </c>
      <c r="W282" s="32" t="n">
        <v>3.04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Oligopoly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Cyclical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B2C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Fully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Above 40</t>
        </is>
      </c>
      <c r="AY282" s="31">
        <f>IF(AX282="Above 40",20,IF(AX282="20 to 40",10,IF(AX282="0 to 20",-5,0)))</f>
        <v/>
      </c>
      <c r="AZ282" s="31" t="inlineStr">
        <is>
          <t>Above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Yes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Between 1.5 to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IF(B283=0,"",RANK(B283,$B$2:$B$407,0))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TRIVENI</t>
        </is>
      </c>
      <c r="D283" s="31" t="inlineStr">
        <is>
          <t>Triveni Engineering &amp; Industries Limited</t>
        </is>
      </c>
      <c r="E283" s="31" t="inlineStr">
        <is>
          <t>fmcg</t>
        </is>
      </c>
      <c r="F283" s="31" t="inlineStr">
        <is>
          <t>sugar</t>
        </is>
      </c>
      <c r="G283" s="31" t="inlineStr">
        <is>
          <t>midcap</t>
        </is>
      </c>
      <c r="H283" s="32" t="n">
        <v>9888.719999999999</v>
      </c>
      <c r="I283" s="32" t="n">
        <v>468.3</v>
      </c>
      <c r="J283" s="32" t="n">
        <v>3.66</v>
      </c>
      <c r="K283" s="32" t="n">
        <v>1491784</v>
      </c>
      <c r="L283" s="31" t="n">
        <v>34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69.54000000000001</v>
      </c>
      <c r="P283" s="32" t="n">
        <v>19.97</v>
      </c>
      <c r="Q283" s="32" t="n">
        <v>373.54</v>
      </c>
      <c r="R283" s="31" t="inlineStr">
        <is>
          <t>Volume Spike &amp; Near 52W High Breakout</t>
        </is>
      </c>
      <c r="S283" s="31" t="inlineStr">
        <is>
          <t>Nifty FMCG</t>
        </is>
      </c>
      <c r="T283" s="32" t="n">
        <v>-8.5</v>
      </c>
      <c r="U283" s="32" t="n">
        <v>26.25</v>
      </c>
      <c r="V283" s="32" t="n">
        <v>37.97</v>
      </c>
      <c r="W283" s="32" t="n">
        <v>9.289999999999999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B2C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Annuity, Lower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Less than 50%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IF(B284=0,"",RANK(B284,$B$2:$B$407,0))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INDSWFTLAB</t>
        </is>
      </c>
      <c r="D284" s="31" t="inlineStr">
        <is>
          <t>Ind-swift Laboratories Limited</t>
        </is>
      </c>
      <c r="E284" s="31" t="inlineStr">
        <is>
          <t>healthcare</t>
        </is>
      </c>
      <c r="F284" s="31" t="inlineStr">
        <is>
          <t>pharmaceuticals - indian - bulk drugs &amp; formln</t>
        </is>
      </c>
      <c r="G284" s="31" t="inlineStr">
        <is>
          <t>smallcap</t>
        </is>
      </c>
      <c r="H284" s="32" t="n">
        <v>1743.07</v>
      </c>
      <c r="I284" s="32" t="n">
        <v>206.22</v>
      </c>
      <c r="J284" s="32" t="n">
        <v>2.74</v>
      </c>
      <c r="K284" s="32" t="n">
        <v>526610</v>
      </c>
      <c r="L284" s="31" t="n">
        <v>81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83.84999999999999</v>
      </c>
      <c r="P284" s="32" t="n">
        <v>40.75</v>
      </c>
      <c r="Q284" s="32" t="n">
        <v>156.98</v>
      </c>
      <c r="R284" s="31" t="inlineStr">
        <is>
          <t>Near 52W High Breakout</t>
        </is>
      </c>
      <c r="S284" s="31" t="inlineStr">
        <is>
          <t>Nifty Pharma</t>
        </is>
      </c>
      <c r="T284" s="32" t="n">
        <v>13.06</v>
      </c>
      <c r="U284" s="32" t="n">
        <v>80.83</v>
      </c>
      <c r="V284" s="32" t="n">
        <v>59.94</v>
      </c>
      <c r="W284" s="32" t="n">
        <v>25.62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Above 40</t>
        </is>
      </c>
      <c r="AY284" s="31">
        <f>IF(AX284="Above 40",20,IF(AX284="20 to 40",10,IF(AX284="0 to 20",-5,0)))</f>
        <v/>
      </c>
      <c r="AZ284" s="31" t="inlineStr">
        <is>
          <t>Above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IF(B285=0,"",RANK(B285,$B$2:$B$407,0))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MEDANTA</t>
        </is>
      </c>
      <c r="D285" s="31" t="inlineStr">
        <is>
          <t>Global Health Ltd</t>
        </is>
      </c>
      <c r="E285" s="31" t="inlineStr">
        <is>
          <t>healthcare</t>
        </is>
      </c>
      <c r="F285" s="31" t="inlineStr">
        <is>
          <t>healthcare</t>
        </is>
      </c>
      <c r="G285" s="31" t="inlineStr">
        <is>
          <t>largecap</t>
        </is>
      </c>
      <c r="H285" s="32" t="n">
        <v>35695.36</v>
      </c>
      <c r="I285" s="32" t="n">
        <v>1345.3</v>
      </c>
      <c r="J285" s="32" t="n">
        <v>1.3</v>
      </c>
      <c r="K285" s="32" t="n">
        <v>127284</v>
      </c>
      <c r="L285" s="31" t="n">
        <v>40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66.47</v>
      </c>
      <c r="P285" s="32" t="n">
        <v>15.18</v>
      </c>
      <c r="Q285" s="32" t="n">
        <v>1117.56</v>
      </c>
      <c r="R285" s="31" t="inlineStr">
        <is>
          <t>Earnings / Momentum Support</t>
        </is>
      </c>
      <c r="S285" s="31" t="inlineStr">
        <is>
          <t>Nifty Pharma</t>
        </is>
      </c>
      <c r="T285" s="32" t="n">
        <v>13.06</v>
      </c>
      <c r="U285" s="32" t="n">
        <v>13.68</v>
      </c>
      <c r="V285" s="32" t="n">
        <v>0.55</v>
      </c>
      <c r="W285" s="32" t="n">
        <v>11.01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Between 1.5 to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IF(B286=0,"",RANK(B286,$B$2:$B$407,0))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TORNTPHARM</t>
        </is>
      </c>
      <c r="D286" s="31" t="inlineStr">
        <is>
          <t>Torrent Pharmaceuticals Limited</t>
        </is>
      </c>
      <c r="E286" s="31" t="inlineStr">
        <is>
          <t>healthcare</t>
        </is>
      </c>
      <c r="F286" s="31" t="inlineStr">
        <is>
          <t>pharmaceuticals - indian - formulations</t>
        </is>
      </c>
      <c r="G286" s="31" t="inlineStr">
        <is>
          <t>largecap</t>
        </is>
      </c>
      <c r="H286" s="32" t="n">
        <v>157065.76</v>
      </c>
      <c r="I286" s="32" t="n">
        <v>4661.4</v>
      </c>
      <c r="J286" s="32" t="n">
        <v>0.44</v>
      </c>
      <c r="K286" s="32" t="n">
        <v>227461</v>
      </c>
      <c r="L286" s="31" t="n">
        <v>38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67.91</v>
      </c>
      <c r="P286" s="32" t="n">
        <v>28.48</v>
      </c>
      <c r="Q286" s="32" t="n">
        <v>3998.62</v>
      </c>
      <c r="R286" s="31" t="inlineStr">
        <is>
          <t>Near 52W High Breakout</t>
        </is>
      </c>
      <c r="S286" s="31" t="inlineStr">
        <is>
          <t>Nifty Pharma</t>
        </is>
      </c>
      <c r="T286" s="32" t="n">
        <v>13.06</v>
      </c>
      <c r="U286" s="32" t="n">
        <v>39.63</v>
      </c>
      <c r="V286" s="32" t="n">
        <v>23.5</v>
      </c>
      <c r="W286" s="32" t="n">
        <v>10.5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Yes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Between 50% to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IF(B287=0,"",RANK(B287,$B$2:$B$407,0))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ZYDUSLIFE</t>
        </is>
      </c>
      <c r="D287" s="33" t="inlineStr">
        <is>
          <t>Zydus Lifesciences Ltd</t>
        </is>
      </c>
      <c r="E287" s="31" t="inlineStr">
        <is>
          <t>healthcare</t>
        </is>
      </c>
      <c r="F287" s="31" t="inlineStr">
        <is>
          <t>pharmaceuticals - indian - bulk drugs &amp; formln</t>
        </is>
      </c>
      <c r="G287" s="31" t="inlineStr">
        <is>
          <t>largecap</t>
        </is>
      </c>
      <c r="H287" s="32" t="n">
        <v>110643.13</v>
      </c>
      <c r="I287" s="32" t="n">
        <v>1099.8</v>
      </c>
      <c r="J287" s="32" t="n">
        <v>-0.85</v>
      </c>
      <c r="K287" s="32" t="n">
        <v>586081</v>
      </c>
      <c r="L287" s="31" t="n">
        <v>29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67.77</v>
      </c>
      <c r="P287" s="32" t="n">
        <v>27.11</v>
      </c>
      <c r="Q287" s="32" t="n">
        <v>942.29</v>
      </c>
      <c r="R287" s="31" t="inlineStr">
        <is>
          <t>Near 52W High Breakout</t>
        </is>
      </c>
      <c r="S287" s="31" t="inlineStr">
        <is>
          <t>Nifty Pharma</t>
        </is>
      </c>
      <c r="T287" s="32" t="n">
        <v>13.06</v>
      </c>
      <c r="U287" s="32" t="n">
        <v>11.13</v>
      </c>
      <c r="V287" s="32" t="n">
        <v>-1.71</v>
      </c>
      <c r="W287" s="32" t="n">
        <v>8.279999999999999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Less than 50%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IF(B288=0,"",RANK(B288,$B$2:$B$407,0))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MMFL</t>
        </is>
      </c>
      <c r="D288" s="31" t="inlineStr">
        <is>
          <t>Mm Forgings Limited</t>
        </is>
      </c>
      <c r="E288" s="31" t="inlineStr">
        <is>
          <t>industrials</t>
        </is>
      </c>
      <c r="F288" s="31" t="inlineStr">
        <is>
          <t>castings &amp; forgings</t>
        </is>
      </c>
      <c r="G288" s="31" t="inlineStr">
        <is>
          <t>smallcap</t>
        </is>
      </c>
      <c r="H288" s="32" t="n">
        <v>2231.09</v>
      </c>
      <c r="I288" s="32" t="n">
        <v>486.2</v>
      </c>
      <c r="J288" s="32" t="n">
        <v>5.22</v>
      </c>
      <c r="K288" s="32" t="n">
        <v>890101</v>
      </c>
      <c r="L288" s="31" t="n">
        <v>39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62.33</v>
      </c>
      <c r="P288" s="32" t="n">
        <v>14.82</v>
      </c>
      <c r="Q288" s="32" t="n">
        <v>366.63</v>
      </c>
      <c r="R288" s="31" t="inlineStr">
        <is>
          <t>Volume Spike &amp; Near 52W High Breakout</t>
        </is>
      </c>
      <c r="S288" s="31" t="inlineStr">
        <is>
          <t>Nifty 50</t>
        </is>
      </c>
      <c r="T288" s="32" t="n">
        <v>-5.05</v>
      </c>
      <c r="U288" s="32" t="n">
        <v>31.72</v>
      </c>
      <c r="V288" s="32" t="n">
        <v>38.72</v>
      </c>
      <c r="W288" s="32" t="n">
        <v>10.55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More than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IF(B289=0,"",RANK(B289,$B$2:$B$407,0))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LOKESHMACH</t>
        </is>
      </c>
      <c r="D289" s="31" t="inlineStr">
        <is>
          <t>Lokesh Machines Limited</t>
        </is>
      </c>
      <c r="E289" s="31" t="inlineStr">
        <is>
          <t>industrials</t>
        </is>
      </c>
      <c r="F289" s="31" t="inlineStr">
        <is>
          <t>engineering</t>
        </is>
      </c>
      <c r="G289" s="31" t="inlineStr">
        <is>
          <t>smallcap</t>
        </is>
      </c>
      <c r="H289" s="32" t="n">
        <v>608.45</v>
      </c>
      <c r="I289" s="32" t="n">
        <v>299.95</v>
      </c>
      <c r="J289" s="32" t="n">
        <v>4.99</v>
      </c>
      <c r="K289" s="32" t="n">
        <v>18189</v>
      </c>
      <c r="L289" s="31" t="n">
        <v>65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69.73999999999999</v>
      </c>
      <c r="P289" s="32" t="n">
        <v>41.62</v>
      </c>
      <c r="Q289" s="32" t="n">
        <v>217.27</v>
      </c>
      <c r="R289" s="31" t="inlineStr">
        <is>
          <t>Near 52W High Breakout</t>
        </is>
      </c>
      <c r="S289" s="31" t="inlineStr">
        <is>
          <t>Nifty 50</t>
        </is>
      </c>
      <c r="T289" s="32" t="n">
        <v>-5.05</v>
      </c>
      <c r="U289" s="32" t="n">
        <v>41.84</v>
      </c>
      <c r="V289" s="32" t="n">
        <v>49.38</v>
      </c>
      <c r="W289" s="32" t="n">
        <v>17.11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Negative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IF(B290=0,"",RANK(B290,$B$2:$B$407,0))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SUYOG</t>
        </is>
      </c>
      <c r="D290" s="31" t="inlineStr">
        <is>
          <t>Suyog Telematics Ltd</t>
        </is>
      </c>
      <c r="E290" s="31" t="inlineStr">
        <is>
          <t>telecom</t>
        </is>
      </c>
      <c r="F290" s="31" t="inlineStr">
        <is>
          <t>transmisson line towers / equipment</t>
        </is>
      </c>
      <c r="G290" s="31" t="inlineStr">
        <is>
          <t>smallcap</t>
        </is>
      </c>
      <c r="H290" s="32" t="n">
        <v>982.0700000000001</v>
      </c>
      <c r="I290" s="32" t="n">
        <v>872.75</v>
      </c>
      <c r="J290" s="32" t="n">
        <v>4.13</v>
      </c>
      <c r="K290" s="32" t="n">
        <v>141978</v>
      </c>
      <c r="L290" s="31" t="n">
        <v>27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60.47</v>
      </c>
      <c r="P290" s="32" t="n">
        <v>16.22</v>
      </c>
      <c r="Q290" s="32" t="n">
        <v>627.1900000000001</v>
      </c>
      <c r="R290" s="31" t="inlineStr">
        <is>
          <t>Volume Spike &amp; Near 52W High Breakout</t>
        </is>
      </c>
      <c r="S290" s="31" t="inlineStr">
        <is>
          <t>Nifty 50</t>
        </is>
      </c>
      <c r="T290" s="32" t="n">
        <v>-5.05</v>
      </c>
      <c r="U290" s="32" t="n">
        <v>-1.74</v>
      </c>
      <c r="V290" s="32" t="n">
        <v>3.48</v>
      </c>
      <c r="W290" s="32" t="n">
        <v>7.52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Oligopoly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Less than 50%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IF(B291=0,"",RANK(B291,$B$2:$B$407,0))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TVSSRICHAK</t>
        </is>
      </c>
      <c r="D291" s="31" t="inlineStr">
        <is>
          <t>Tvs Srichakra Limited</t>
        </is>
      </c>
      <c r="E291" s="31" t="inlineStr">
        <is>
          <t>auto</t>
        </is>
      </c>
      <c r="F291" s="31" t="inlineStr">
        <is>
          <t>tyres</t>
        </is>
      </c>
      <c r="G291" s="31" t="inlineStr">
        <is>
          <t>smallcap</t>
        </is>
      </c>
      <c r="H291" s="32" t="n">
        <v>3206.24</v>
      </c>
      <c r="I291" s="32" t="n">
        <v>4327.3</v>
      </c>
      <c r="J291" s="32" t="n">
        <v>3.34</v>
      </c>
      <c r="K291" s="32" t="n">
        <v>14004</v>
      </c>
      <c r="L291" s="31" t="n">
        <v>47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61.33</v>
      </c>
      <c r="P291" s="32" t="n">
        <v>13.75</v>
      </c>
      <c r="Q291" s="32" t="n">
        <v>3405.8</v>
      </c>
      <c r="R291" s="31" t="inlineStr">
        <is>
          <t>Earnings / Momentum Support</t>
        </is>
      </c>
      <c r="S291" s="31" t="inlineStr">
        <is>
          <t>Nifty Auto</t>
        </is>
      </c>
      <c r="T291" s="32" t="n">
        <v>13.04</v>
      </c>
      <c r="U291" s="32" t="n">
        <v>34.61</v>
      </c>
      <c r="V291" s="32" t="n">
        <v>19.08</v>
      </c>
      <c r="W291" s="32" t="n">
        <v>12.31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IF(B292=0,"",RANK(B292,$B$2:$B$407,0))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UNIMECH</t>
        </is>
      </c>
      <c r="D292" s="33" t="inlineStr">
        <is>
          <t>Unimech Aerospace and Manufacturing Ltd</t>
        </is>
      </c>
      <c r="E292" s="31" t="inlineStr">
        <is>
          <t>aerospace &amp; defence</t>
        </is>
      </c>
      <c r="F292" s="31" t="inlineStr">
        <is>
          <t>engineering</t>
        </is>
      </c>
      <c r="G292" s="31" t="inlineStr">
        <is>
          <t>midcap</t>
        </is>
      </c>
      <c r="H292" s="32" t="n">
        <v>5819.55</v>
      </c>
      <c r="I292" s="32" t="n">
        <v>1179</v>
      </c>
      <c r="J292" s="32" t="n">
        <v>3.03</v>
      </c>
      <c r="K292" s="32" t="n">
        <v>190565</v>
      </c>
      <c r="L292" s="31" t="n">
        <v>53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62.94</v>
      </c>
      <c r="P292" s="32" t="n">
        <v>24.97</v>
      </c>
      <c r="Q292" s="32" t="n">
        <v>872.98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-5.05</v>
      </c>
      <c r="U292" s="32" t="n">
        <v>-9.07</v>
      </c>
      <c r="V292" s="32" t="n">
        <v>-4.24</v>
      </c>
      <c r="W292" s="32" t="n">
        <v>13.98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IF(B293=0,"",RANK(B293,$B$2:$B$407,0))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MANINDS</t>
        </is>
      </c>
      <c r="D293" s="31" t="inlineStr">
        <is>
          <t>Man Industries (india) Limited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smallcap</t>
        </is>
      </c>
      <c r="H293" s="32" t="n">
        <v>4375.31</v>
      </c>
      <c r="I293" s="32" t="n">
        <v>597.1</v>
      </c>
      <c r="J293" s="32" t="n">
        <v>2.37</v>
      </c>
      <c r="K293" s="32" t="n">
        <v>256458</v>
      </c>
      <c r="L293" s="31" t="n">
        <v>79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63.79</v>
      </c>
      <c r="P293" s="32" t="n">
        <v>30.85</v>
      </c>
      <c r="Q293" s="32" t="n">
        <v>424.13</v>
      </c>
      <c r="R293" s="31" t="inlineStr">
        <is>
          <t>Near 52W High Breakout</t>
        </is>
      </c>
      <c r="S293" s="31" t="inlineStr">
        <is>
          <t>Nifty Metal</t>
        </is>
      </c>
      <c r="T293" s="32" t="n">
        <v>30.52</v>
      </c>
      <c r="U293" s="32" t="n">
        <v>38.09</v>
      </c>
      <c r="V293" s="32" t="n">
        <v>5.8</v>
      </c>
      <c r="W293" s="32" t="n">
        <v>24.31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Blue sky scenario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IF(B294=0,"",RANK(B294,$B$2:$B$407,0))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PRECOT</t>
        </is>
      </c>
      <c r="D294" s="31" t="inlineStr">
        <is>
          <t>Precot Meridian Limited</t>
        </is>
      </c>
      <c r="E294" s="31" t="inlineStr">
        <is>
          <t>textiles</t>
        </is>
      </c>
      <c r="F294" s="31" t="inlineStr">
        <is>
          <t>textiles - cotton/blended</t>
        </is>
      </c>
      <c r="G294" s="31" t="inlineStr">
        <is>
          <t>smallcap</t>
        </is>
      </c>
      <c r="H294" s="32" t="n">
        <v>881.58</v>
      </c>
      <c r="I294" s="32" t="n">
        <v>749</v>
      </c>
      <c r="J294" s="32" t="n">
        <v>1.95</v>
      </c>
      <c r="K294" s="32" t="n">
        <v>13767</v>
      </c>
      <c r="L294" s="31" t="n">
        <v>56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62.04</v>
      </c>
      <c r="P294" s="32" t="n">
        <v>42.36</v>
      </c>
      <c r="Q294" s="32" t="n">
        <v>568.78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-5.05</v>
      </c>
      <c r="U294" s="32" t="n">
        <v>31.02</v>
      </c>
      <c r="V294" s="32" t="n">
        <v>37.98</v>
      </c>
      <c r="W294" s="32" t="n">
        <v>14.86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Above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IF(B295=0,"",RANK(B295,$B$2:$B$407,0))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BHARATFORG</t>
        </is>
      </c>
      <c r="D295" s="31" t="inlineStr">
        <is>
          <t>Bharat Forge Limited</t>
        </is>
      </c>
      <c r="E295" s="31" t="inlineStr">
        <is>
          <t>industrials</t>
        </is>
      </c>
      <c r="F295" s="31" t="inlineStr">
        <is>
          <t>castings &amp; forgings</t>
        </is>
      </c>
      <c r="G295" s="31" t="inlineStr">
        <is>
          <t>largecap</t>
        </is>
      </c>
      <c r="H295" s="32" t="n">
        <v>100819.33</v>
      </c>
      <c r="I295" s="32" t="n">
        <v>2148.9</v>
      </c>
      <c r="J295" s="32" t="n">
        <v>1.9</v>
      </c>
      <c r="K295" s="32" t="n">
        <v>773564</v>
      </c>
      <c r="L295" s="31" t="n">
        <v>65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72.38</v>
      </c>
      <c r="P295" s="32" t="n">
        <v>38.36</v>
      </c>
      <c r="Q295" s="32" t="n">
        <v>1779.49</v>
      </c>
      <c r="R295" s="31" t="inlineStr">
        <is>
          <t>Volume Spike &amp; Near 52W High Breakout</t>
        </is>
      </c>
      <c r="S295" s="31" t="inlineStr">
        <is>
          <t>Nifty 50</t>
        </is>
      </c>
      <c r="T295" s="32" t="n">
        <v>-5.05</v>
      </c>
      <c r="U295" s="32" t="n">
        <v>63.66</v>
      </c>
      <c r="V295" s="32" t="n">
        <v>72.36</v>
      </c>
      <c r="W295" s="32" t="n">
        <v>17.37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IF(B296=0,"",RANK(B296,$B$2:$B$407,0))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GREENLAM</t>
        </is>
      </c>
      <c r="D296" s="31" t="inlineStr">
        <is>
          <t>Greenlam Industries Limited</t>
        </is>
      </c>
      <c r="E296" s="31" t="inlineStr">
        <is>
          <t>building materials</t>
        </is>
      </c>
      <c r="F296" s="31" t="inlineStr">
        <is>
          <t>miscellaneous</t>
        </is>
      </c>
      <c r="G296" s="31" t="inlineStr">
        <is>
          <t>midcap</t>
        </is>
      </c>
      <c r="H296" s="32" t="n">
        <v>6516.47</v>
      </c>
      <c r="I296" s="32" t="n">
        <v>260</v>
      </c>
      <c r="J296" s="32" t="n">
        <v>1.8</v>
      </c>
      <c r="K296" s="32" t="n">
        <v>86787</v>
      </c>
      <c r="L296" s="31" t="n">
        <v>15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61.81</v>
      </c>
      <c r="P296" s="32" t="n">
        <v>19.69</v>
      </c>
      <c r="Q296" s="32" t="n">
        <v>197.23</v>
      </c>
      <c r="R296" s="31" t="inlineStr">
        <is>
          <t>Near 52W High Breakout</t>
        </is>
      </c>
      <c r="S296" s="31" t="inlineStr">
        <is>
          <t>Nifty Infra</t>
        </is>
      </c>
      <c r="T296" s="32" t="n">
        <v>0.23</v>
      </c>
      <c r="U296" s="32" t="n">
        <v>4.93</v>
      </c>
      <c r="V296" s="32" t="n">
        <v>4.68</v>
      </c>
      <c r="W296" s="32" t="n">
        <v>4.99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Between 0.7 to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IF(B297=0,"",RANK(B297,$B$2:$B$407,0))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EPL</t>
        </is>
      </c>
      <c r="D297" s="31" t="inlineStr">
        <is>
          <t>EPL Ltd</t>
        </is>
      </c>
      <c r="E297" s="31" t="inlineStr">
        <is>
          <t>industrials</t>
        </is>
      </c>
      <c r="F297" s="31" t="inlineStr">
        <is>
          <t>packaging</t>
        </is>
      </c>
      <c r="G297" s="31" t="inlineStr">
        <is>
          <t>midcap</t>
        </is>
      </c>
      <c r="H297" s="32" t="n">
        <v>7277.95</v>
      </c>
      <c r="I297" s="32" t="n">
        <v>230.5</v>
      </c>
      <c r="J297" s="32" t="n">
        <v>1.43</v>
      </c>
      <c r="K297" s="32" t="n">
        <v>564031</v>
      </c>
      <c r="L297" s="31" t="n">
        <v>3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57.15</v>
      </c>
      <c r="P297" s="32" t="n">
        <v>7.82</v>
      </c>
      <c r="Q297" s="32" t="n">
        <v>189.95</v>
      </c>
      <c r="R297" s="31" t="inlineStr">
        <is>
          <t>Near 52W High Breakout</t>
        </is>
      </c>
      <c r="S297" s="31" t="inlineStr">
        <is>
          <t>Nifty 50</t>
        </is>
      </c>
      <c r="T297" s="32" t="n">
        <v>-5.05</v>
      </c>
      <c r="U297" s="32" t="n">
        <v>-0.15</v>
      </c>
      <c r="V297" s="32" t="n">
        <v>5.15</v>
      </c>
      <c r="W297" s="32" t="n">
        <v>1.69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IF(B298=0,"",RANK(B298,$B$2:$B$407,0))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GOODLUCK</t>
        </is>
      </c>
      <c r="D298" s="31" t="inlineStr">
        <is>
          <t>Goodluck India Limited</t>
        </is>
      </c>
      <c r="E298" s="31" t="inlineStr">
        <is>
          <t>metals &amp; mining</t>
        </is>
      </c>
      <c r="F298" s="31" t="inlineStr">
        <is>
          <t>steel - medium / small</t>
        </is>
      </c>
      <c r="G298" s="31" t="inlineStr">
        <is>
          <t>smallcap</t>
        </is>
      </c>
      <c r="H298" s="32" t="n">
        <v>4902.02</v>
      </c>
      <c r="I298" s="32" t="n">
        <v>1490.7</v>
      </c>
      <c r="J298" s="32" t="n">
        <v>1.08</v>
      </c>
      <c r="K298" s="32" t="n">
        <v>132243</v>
      </c>
      <c r="L298" s="31" t="n">
        <v>61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63.39</v>
      </c>
      <c r="P298" s="32" t="n">
        <v>29.02</v>
      </c>
      <c r="Q298" s="32" t="n">
        <v>1116.28</v>
      </c>
      <c r="R298" s="31" t="inlineStr">
        <is>
          <t>Volume Spike &amp; Near 52W High Breakout</t>
        </is>
      </c>
      <c r="S298" s="31" t="inlineStr">
        <is>
          <t>Nifty Metal</t>
        </is>
      </c>
      <c r="T298" s="32" t="n">
        <v>30.52</v>
      </c>
      <c r="U298" s="32" t="n">
        <v>32.89</v>
      </c>
      <c r="V298" s="32" t="n">
        <v>1.82</v>
      </c>
      <c r="W298" s="32" t="n">
        <v>16.17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Blue sky scenario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Less than 1.5</t>
        </is>
      </c>
      <c r="BU298" s="31">
        <f>IF(BT298="Above 2",0,IF(BT298="Between 1.5 to 2",5,IF(BT298="Less than 1.5",10,0)))</f>
        <v/>
      </c>
      <c r="BV298" s="31" t="inlineStr">
        <is>
          <t>Less than 50%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IF(B299=0,"",RANK(B299,$B$2:$B$407,0))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TPLPLASTEH</t>
        </is>
      </c>
      <c r="D299" s="33" t="inlineStr">
        <is>
          <t>Tpl Plastech Limited</t>
        </is>
      </c>
      <c r="E299" s="31" t="inlineStr">
        <is>
          <t>industrials</t>
        </is>
      </c>
      <c r="F299" s="31" t="inlineStr">
        <is>
          <t>packaging</t>
        </is>
      </c>
      <c r="G299" s="31" t="inlineStr">
        <is>
          <t>smallcap</t>
        </is>
      </c>
      <c r="H299" s="32" t="n">
        <v>562.48</v>
      </c>
      <c r="I299" s="32" t="n">
        <v>72.84</v>
      </c>
      <c r="J299" s="32" t="n">
        <v>1.01</v>
      </c>
      <c r="K299" s="32" t="n">
        <v>30537</v>
      </c>
      <c r="L299" s="31" t="n">
        <v>5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56.47</v>
      </c>
      <c r="P299" s="32" t="n">
        <v>13.83</v>
      </c>
      <c r="Q299" s="32" t="n">
        <v>53.64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-5.05</v>
      </c>
      <c r="U299" s="32" t="n">
        <v>-10.7</v>
      </c>
      <c r="V299" s="32" t="n">
        <v>-5.95</v>
      </c>
      <c r="W299" s="32" t="n">
        <v>2.89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Between 12 to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IF(B300=0,"",RANK(B300,$B$2:$B$407,0))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GRASIM</t>
        </is>
      </c>
      <c r="D300" s="31" t="inlineStr">
        <is>
          <t>Grasim Industries Limited</t>
        </is>
      </c>
      <c r="E300" s="31" t="inlineStr">
        <is>
          <t>textiles</t>
        </is>
      </c>
      <c r="F300" s="31" t="inlineStr">
        <is>
          <t>textiles - manmade</t>
        </is>
      </c>
      <c r="G300" s="31" t="inlineStr">
        <is>
          <t>largecap</t>
        </is>
      </c>
      <c r="H300" s="32" t="n">
        <v>213729.52</v>
      </c>
      <c r="I300" s="32" t="n">
        <v>3169.2</v>
      </c>
      <c r="J300" s="32" t="n">
        <v>0.92</v>
      </c>
      <c r="K300" s="32" t="n">
        <v>449711</v>
      </c>
      <c r="L300" s="31" t="n">
        <v>28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66.27</v>
      </c>
      <c r="P300" s="32" t="n">
        <v>25.14</v>
      </c>
      <c r="Q300" s="32" t="n">
        <v>2781.26</v>
      </c>
      <c r="R300" s="31" t="inlineStr">
        <is>
          <t>Near 52W High Breakout</t>
        </is>
      </c>
      <c r="S300" s="31" t="inlineStr">
        <is>
          <t>Nifty 50</t>
        </is>
      </c>
      <c r="T300" s="32" t="n">
        <v>-5.05</v>
      </c>
      <c r="U300" s="32" t="n">
        <v>13.36</v>
      </c>
      <c r="V300" s="32" t="n">
        <v>19.39</v>
      </c>
      <c r="W300" s="32" t="n">
        <v>7.83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Blue sky scenario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Negative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More than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IF(B301=0,"",RANK(B301,$B$2:$B$407,0))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NAVINFLUOR</t>
        </is>
      </c>
      <c r="D301" s="31" t="inlineStr">
        <is>
          <t>Navin Fluorine International Limited</t>
        </is>
      </c>
      <c r="E301" s="31" t="inlineStr">
        <is>
          <t>chemicals</t>
        </is>
      </c>
      <c r="F301" s="31" t="inlineStr">
        <is>
          <t>chemicals</t>
        </is>
      </c>
      <c r="G301" s="31" t="inlineStr">
        <is>
          <t>largecap</t>
        </is>
      </c>
      <c r="H301" s="32" t="n">
        <v>38872.04</v>
      </c>
      <c r="I301" s="32" t="n">
        <v>7646.5</v>
      </c>
      <c r="J301" s="32" t="n">
        <v>0.8100000000000001</v>
      </c>
      <c r="K301" s="32" t="n">
        <v>79203</v>
      </c>
      <c r="L301" s="31" t="n">
        <v>61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73.56</v>
      </c>
      <c r="P301" s="32" t="n">
        <v>43.31</v>
      </c>
      <c r="Q301" s="32" t="n">
        <v>6310.69</v>
      </c>
      <c r="R301" s="31" t="inlineStr">
        <is>
          <t>Near 52W High Breakout</t>
        </is>
      </c>
      <c r="S301" s="31" t="inlineStr">
        <is>
          <t>Nifty 50</t>
        </is>
      </c>
      <c r="T301" s="32" t="n">
        <v>-5.05</v>
      </c>
      <c r="U301" s="32" t="n">
        <v>55.35</v>
      </c>
      <c r="V301" s="32" t="n">
        <v>63.61</v>
      </c>
      <c r="W301" s="32" t="n">
        <v>16.28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Shallow Cyclical (2 to 3 Years Growth)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Between 50% to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IF(B302=0,"",RANK(B302,$B$2:$B$407,0))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CERA</t>
        </is>
      </c>
      <c r="D302" s="33" t="inlineStr">
        <is>
          <t>Cera Sanitaryware Limited</t>
        </is>
      </c>
      <c r="E302" s="31" t="inlineStr">
        <is>
          <t>building materials</t>
        </is>
      </c>
      <c r="F302" s="31" t="inlineStr">
        <is>
          <t>ceramics - tiles / sanitaryware</t>
        </is>
      </c>
      <c r="G302" s="31" t="inlineStr">
        <is>
          <t>midcap</t>
        </is>
      </c>
      <c r="H302" s="32" t="n">
        <v>8307.309999999999</v>
      </c>
      <c r="I302" s="32" t="n">
        <v>6476</v>
      </c>
      <c r="J302" s="32" t="n">
        <v>0.54</v>
      </c>
      <c r="K302" s="32" t="n">
        <v>12442</v>
      </c>
      <c r="L302" s="31" t="n">
        <v>30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67.48999999999999</v>
      </c>
      <c r="P302" s="32" t="n">
        <v>32.81</v>
      </c>
      <c r="Q302" s="32" t="n">
        <v>5327.78</v>
      </c>
      <c r="R302" s="31" t="inlineStr">
        <is>
          <t>Earnings / Momentum Support</t>
        </is>
      </c>
      <c r="S302" s="31" t="inlineStr">
        <is>
          <t>Nifty Infra</t>
        </is>
      </c>
      <c r="T302" s="32" t="n">
        <v>0.23</v>
      </c>
      <c r="U302" s="32" t="n">
        <v>-4.06</v>
      </c>
      <c r="V302" s="32" t="n">
        <v>-4.28</v>
      </c>
      <c r="W302" s="32" t="n">
        <v>8.49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IF(B303=0,"",RANK(B303,$B$2:$B$407,0))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SBC</t>
        </is>
      </c>
      <c r="D303" s="31" t="inlineStr">
        <is>
          <t>SBC Exports Ltd</t>
        </is>
      </c>
      <c r="E303" s="31" t="inlineStr">
        <is>
          <t>textiles</t>
        </is>
      </c>
      <c r="F303" s="31" t="inlineStr">
        <is>
          <t>textiles - products</t>
        </is>
      </c>
      <c r="G303" s="31" t="inlineStr">
        <is>
          <t>smallcap</t>
        </is>
      </c>
      <c r="H303" s="32" t="n">
        <v>2000</v>
      </c>
      <c r="I303" s="32" t="n">
        <v>42.11</v>
      </c>
      <c r="J303" s="32" t="n">
        <v>0.26</v>
      </c>
      <c r="K303" s="32" t="n">
        <v>9028203</v>
      </c>
      <c r="L303" s="31" t="n">
        <v>87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73.23</v>
      </c>
      <c r="P303" s="32" t="n">
        <v>32.7</v>
      </c>
      <c r="Q303" s="32" t="n">
        <v>35.84</v>
      </c>
      <c r="R303" s="31" t="inlineStr">
        <is>
          <t>Near 52W High Breakout</t>
        </is>
      </c>
      <c r="S303" s="31" t="inlineStr">
        <is>
          <t>Nifty 50</t>
        </is>
      </c>
      <c r="T303" s="32" t="n">
        <v>-5.05</v>
      </c>
      <c r="U303" s="32" t="n">
        <v>181.86</v>
      </c>
      <c r="V303" s="32" t="n">
        <v>196.85</v>
      </c>
      <c r="W303" s="32" t="n">
        <v>31.93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Blue sky scenario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Between 1.5 to 2</t>
        </is>
      </c>
      <c r="BU303" s="31">
        <f>IF(BT303="Above 2",0,IF(BT303="Between 1.5 to 2",5,IF(BT303="Less than 1.5",10,0)))</f>
        <v/>
      </c>
      <c r="BV303" s="31" t="inlineStr">
        <is>
          <t>Negative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IF(B304=0,"",RANK(B304,$B$2:$B$407,0))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TBZ</t>
        </is>
      </c>
      <c r="D304" s="31" t="inlineStr">
        <is>
          <t>Tribhovandas Bhimji Zaveri Limited</t>
        </is>
      </c>
      <c r="E304" s="31" t="inlineStr">
        <is>
          <t>consumer discretionary</t>
        </is>
      </c>
      <c r="F304" s="31" t="inlineStr">
        <is>
          <t>diamond cutting / jewellery</t>
        </is>
      </c>
      <c r="G304" s="31" t="inlineStr">
        <is>
          <t>smallcap</t>
        </is>
      </c>
      <c r="H304" s="32" t="n">
        <v>1276.36</v>
      </c>
      <c r="I304" s="32" t="n">
        <v>191.7</v>
      </c>
      <c r="J304" s="32" t="n">
        <v>0.22</v>
      </c>
      <c r="K304" s="32" t="n">
        <v>231944</v>
      </c>
      <c r="L304" s="31" t="n">
        <v>48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64</v>
      </c>
      <c r="P304" s="32" t="n">
        <v>18.32</v>
      </c>
      <c r="Q304" s="32" t="n">
        <v>141.43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-5.05</v>
      </c>
      <c r="U304" s="32" t="n">
        <v>-0.29</v>
      </c>
      <c r="V304" s="32" t="n">
        <v>5.01</v>
      </c>
      <c r="W304" s="32" t="n">
        <v>12.43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Less than 50% and Borrowings are increasing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IF(B305=0,"",RANK(B305,$B$2:$B$407,0))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MSPL</t>
        </is>
      </c>
      <c r="D305" s="31" t="inlineStr">
        <is>
          <t>Msp Steel &amp; Power Limited</t>
        </is>
      </c>
      <c r="E305" s="31" t="inlineStr">
        <is>
          <t>metals &amp; mining</t>
        </is>
      </c>
      <c r="F305" s="31" t="inlineStr">
        <is>
          <t>steel - medium / small</t>
        </is>
      </c>
      <c r="G305" s="31" t="inlineStr">
        <is>
          <t>smallcap</t>
        </is>
      </c>
      <c r="H305" s="32" t="n">
        <v>2415.12</v>
      </c>
      <c r="I305" s="32" t="n">
        <v>42.59</v>
      </c>
      <c r="J305" s="32" t="n">
        <v>-0.05</v>
      </c>
      <c r="K305" s="32" t="n">
        <v>1829686</v>
      </c>
      <c r="L305" s="31" t="n">
        <v>69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61.99</v>
      </c>
      <c r="P305" s="32" t="n">
        <v>24.55</v>
      </c>
      <c r="Q305" s="32" t="n">
        <v>33.76</v>
      </c>
      <c r="R305" s="31" t="inlineStr">
        <is>
          <t>Near 52W High Breakout</t>
        </is>
      </c>
      <c r="S305" s="31" t="inlineStr">
        <is>
          <t>Nifty Metal</t>
        </is>
      </c>
      <c r="T305" s="32" t="n">
        <v>30.52</v>
      </c>
      <c r="U305" s="32" t="n">
        <v>56.87</v>
      </c>
      <c r="V305" s="32" t="n">
        <v>20.19</v>
      </c>
      <c r="W305" s="32" t="n">
        <v>18.95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IF(B306=0,"",RANK(B306,$B$2:$B$407,0))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LIKHITHA</t>
        </is>
      </c>
      <c r="D306" s="31" t="inlineStr">
        <is>
          <t>Likhitha Infrastructure Ltd</t>
        </is>
      </c>
      <c r="E306" s="31" t="inlineStr">
        <is>
          <t>realty</t>
        </is>
      </c>
      <c r="F306" s="31" t="inlineStr">
        <is>
          <t>construction</t>
        </is>
      </c>
      <c r="G306" s="31" t="inlineStr">
        <is>
          <t>smallcap</t>
        </is>
      </c>
      <c r="H306" s="32" t="n">
        <v>1049.76</v>
      </c>
      <c r="I306" s="32" t="n">
        <v>265</v>
      </c>
      <c r="J306" s="32" t="n">
        <v>-0.41</v>
      </c>
      <c r="K306" s="32" t="n">
        <v>58768</v>
      </c>
      <c r="L306" s="31" t="n">
        <v>49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68.23</v>
      </c>
      <c r="P306" s="32" t="n">
        <v>29.46</v>
      </c>
      <c r="Q306" s="32" t="n">
        <v>198.42</v>
      </c>
      <c r="R306" s="31" t="inlineStr">
        <is>
          <t>Volume Spike / Accumulation</t>
        </is>
      </c>
      <c r="S306" s="31" t="inlineStr">
        <is>
          <t>Nifty Realty</t>
        </is>
      </c>
      <c r="T306" s="32" t="n">
        <v>-10.31</v>
      </c>
      <c r="U306" s="32" t="n">
        <v>-7.29</v>
      </c>
      <c r="V306" s="32" t="n">
        <v>3.37</v>
      </c>
      <c r="W306" s="32" t="n">
        <v>12.61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Negative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IF(B307=0,"",RANK(B307,$B$2:$B$407,0))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MSTCLTD</t>
        </is>
      </c>
      <c r="D307" s="31" t="inlineStr">
        <is>
          <t>MSTC Ltd</t>
        </is>
      </c>
      <c r="E307" s="31" t="inlineStr">
        <is>
          <t>i.t</t>
        </is>
      </c>
      <c r="F307" s="31" t="inlineStr">
        <is>
          <t>trading</t>
        </is>
      </c>
      <c r="G307" s="31" t="inlineStr">
        <is>
          <t>midcap</t>
        </is>
      </c>
      <c r="H307" s="32" t="n">
        <v>5039.23</v>
      </c>
      <c r="I307" s="32" t="n">
        <v>695.15</v>
      </c>
      <c r="J307" s="32" t="n">
        <v>-2.88</v>
      </c>
      <c r="K307" s="32" t="n">
        <v>821267</v>
      </c>
      <c r="L307" s="31" t="n">
        <v>78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71.23999999999999</v>
      </c>
      <c r="P307" s="32" t="n">
        <v>23.98</v>
      </c>
      <c r="Q307" s="32" t="n">
        <v>525.49</v>
      </c>
      <c r="R307" s="31" t="inlineStr">
        <is>
          <t>Near 52W High Breakout</t>
        </is>
      </c>
      <c r="S307" s="31" t="inlineStr">
        <is>
          <t>Nifty IT</t>
        </is>
      </c>
      <c r="T307" s="32" t="n">
        <v>-31.15</v>
      </c>
      <c r="U307" s="32" t="n">
        <v>28.32</v>
      </c>
      <c r="V307" s="32" t="n">
        <v>86.39</v>
      </c>
      <c r="W307" s="32" t="n">
        <v>23.14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IF(B308=0,"",RANK(B308,$B$2:$B$407,0))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JNKINDIA</t>
        </is>
      </c>
      <c r="D308" s="31" t="inlineStr">
        <is>
          <t>JNK India Ltd</t>
        </is>
      </c>
      <c r="E308" s="31" t="inlineStr">
        <is>
          <t>realty</t>
        </is>
      </c>
      <c r="F308" s="31" t="inlineStr">
        <is>
          <t>engineering - turnkey services</t>
        </is>
      </c>
      <c r="G308" s="31" t="inlineStr">
        <is>
          <t>smallcap</t>
        </is>
      </c>
      <c r="H308" s="32" t="n">
        <v>2756.85</v>
      </c>
      <c r="I308" s="32" t="n">
        <v>476.2</v>
      </c>
      <c r="J308" s="32" t="n">
        <v>-3.35</v>
      </c>
      <c r="K308" s="32" t="n">
        <v>311974</v>
      </c>
      <c r="L308" s="31" t="n">
        <v>87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71.09999999999999</v>
      </c>
      <c r="P308" s="32" t="n">
        <v>39.41</v>
      </c>
      <c r="Q308" s="32" t="n">
        <v>356.73</v>
      </c>
      <c r="R308" s="31" t="inlineStr">
        <is>
          <t>Earnings / Momentum Support</t>
        </is>
      </c>
      <c r="S308" s="31" t="inlineStr">
        <is>
          <t>Nifty Realty</t>
        </is>
      </c>
      <c r="T308" s="32" t="n">
        <v>-10.31</v>
      </c>
      <c r="U308" s="32" t="n">
        <v>42.52</v>
      </c>
      <c r="V308" s="32" t="n">
        <v>58.91</v>
      </c>
      <c r="W308" s="32" t="n">
        <v>31.51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Negative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IF(B309=0,"",RANK(B309,$B$2:$B$407,0))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APCOTEXIND</t>
        </is>
      </c>
      <c r="D309" s="31" t="inlineStr">
        <is>
          <t>Apcotex Industries Limited</t>
        </is>
      </c>
      <c r="E309" s="31" t="inlineStr">
        <is>
          <t>chemicals</t>
        </is>
      </c>
      <c r="F309" s="31" t="inlineStr">
        <is>
          <t>miscellaneous</t>
        </is>
      </c>
      <c r="G309" s="31" t="inlineStr">
        <is>
          <t>smallcap</t>
        </is>
      </c>
      <c r="H309" s="32" t="n">
        <v>2629.58</v>
      </c>
      <c r="I309" s="32" t="n">
        <v>525</v>
      </c>
      <c r="J309" s="32" t="n">
        <v>3.51</v>
      </c>
      <c r="K309" s="32" t="n">
        <v>94963</v>
      </c>
      <c r="L309" s="31" t="n">
        <v>66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66</v>
      </c>
      <c r="P309" s="32" t="n">
        <v>44.37</v>
      </c>
      <c r="Q309" s="32" t="n">
        <v>414.81</v>
      </c>
      <c r="R309" s="31" t="inlineStr">
        <is>
          <t>Near 52W High Breakout</t>
        </is>
      </c>
      <c r="S309" s="31" t="inlineStr">
        <is>
          <t>Nifty 50</t>
        </is>
      </c>
      <c r="T309" s="32" t="n">
        <v>-5.05</v>
      </c>
      <c r="U309" s="32" t="n">
        <v>33.26</v>
      </c>
      <c r="V309" s="32" t="n">
        <v>40.34</v>
      </c>
      <c r="W309" s="32" t="n">
        <v>17.74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Oligopoly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Fully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Above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1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Sideways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Overhead supply in last 2 years in last 2 years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Between 50% to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IF(B310=0,"",RANK(B310,$B$2:$B$407,0))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CIPLA</t>
        </is>
      </c>
      <c r="D310" s="33" t="inlineStr">
        <is>
          <t>Cipla Limited</t>
        </is>
      </c>
      <c r="E310" s="31" t="inlineStr">
        <is>
          <t>healthcare</t>
        </is>
      </c>
      <c r="F310" s="31" t="inlineStr">
        <is>
          <t>pharmaceuticals - indian - bulk drugs &amp; formln</t>
        </is>
      </c>
      <c r="G310" s="31" t="inlineStr">
        <is>
          <t>largecap</t>
        </is>
      </c>
      <c r="H310" s="32" t="n">
        <v>117669.7</v>
      </c>
      <c r="I310" s="32" t="n">
        <v>1456</v>
      </c>
      <c r="J310" s="32" t="n">
        <v>-0.05</v>
      </c>
      <c r="K310" s="32" t="n">
        <v>731416</v>
      </c>
      <c r="L310" s="31" t="n">
        <v>15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60.44</v>
      </c>
      <c r="P310" s="32" t="n">
        <v>21.25</v>
      </c>
      <c r="Q310" s="32" t="n">
        <v>1262.82</v>
      </c>
      <c r="R310" s="31" t="inlineStr">
        <is>
          <t>Earnings / Momentum Support</t>
        </is>
      </c>
      <c r="S310" s="31" t="inlineStr">
        <is>
          <t>Nifty Pharma</t>
        </is>
      </c>
      <c r="T310" s="32" t="n">
        <v>13.06</v>
      </c>
      <c r="U310" s="32" t="n">
        <v>-2.88</v>
      </c>
      <c r="V310" s="32" t="n">
        <v>-14.11</v>
      </c>
      <c r="W310" s="32" t="n">
        <v>5.06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Yes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Annuity, Lower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Between 50% to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IF(B311=0,"",RANK(B311,$B$2:$B$407,0))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KOVAI</t>
        </is>
      </c>
      <c r="D311" s="33" t="inlineStr">
        <is>
          <t>Kovai Medical Center &amp; Hospital Ltd</t>
        </is>
      </c>
      <c r="E311" s="31" t="inlineStr">
        <is>
          <t>healthcare</t>
        </is>
      </c>
      <c r="F311" s="31" t="inlineStr">
        <is>
          <t>healthcare</t>
        </is>
      </c>
      <c r="G311" s="31" t="inlineStr">
        <is>
          <t>midcap</t>
        </is>
      </c>
      <c r="H311" s="32" t="n">
        <v>6620.07</v>
      </c>
      <c r="I311" s="32" t="n">
        <v>6041</v>
      </c>
      <c r="J311" s="32" t="n">
        <v>-0.15</v>
      </c>
      <c r="K311" s="32" t="n">
        <v>8874</v>
      </c>
      <c r="L311" s="31" t="n">
        <v>9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63.63</v>
      </c>
      <c r="P311" s="32" t="n">
        <v>18.49</v>
      </c>
      <c r="Q311" s="32" t="n">
        <v>5036.44</v>
      </c>
      <c r="R311" s="31" t="inlineStr">
        <is>
          <t>Earnings / Momentum Support</t>
        </is>
      </c>
      <c r="S311" s="31" t="inlineStr">
        <is>
          <t>Nifty Pharma</t>
        </is>
      </c>
      <c r="T311" s="32" t="n">
        <v>13.06</v>
      </c>
      <c r="U311" s="32" t="n">
        <v>-1.84</v>
      </c>
      <c r="V311" s="32" t="n">
        <v>-13.19</v>
      </c>
      <c r="W311" s="32" t="n">
        <v>3.73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Between 12 to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Between 1.5 to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IF(B312=0,"",RANK(B312,$B$2:$B$407,0))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MAXHEALTH</t>
        </is>
      </c>
      <c r="D312" s="33" t="inlineStr">
        <is>
          <t>Max Healthcare Institute Ltd</t>
        </is>
      </c>
      <c r="E312" s="31" t="inlineStr">
        <is>
          <t>healthcare</t>
        </is>
      </c>
      <c r="F312" s="31" t="inlineStr">
        <is>
          <t>healthcare</t>
        </is>
      </c>
      <c r="G312" s="31" t="inlineStr">
        <is>
          <t>largecap</t>
        </is>
      </c>
      <c r="H312" s="32" t="n">
        <v>110927.66</v>
      </c>
      <c r="I312" s="32" t="n">
        <v>1127.9</v>
      </c>
      <c r="J312" s="32" t="n">
        <v>-1.05</v>
      </c>
      <c r="K312" s="32" t="n">
        <v>1053703</v>
      </c>
      <c r="L312" s="31" t="n">
        <v>3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60.25</v>
      </c>
      <c r="P312" s="32" t="n">
        <v>22.56</v>
      </c>
      <c r="Q312" s="32" t="n">
        <v>935.17</v>
      </c>
      <c r="R312" s="31" t="inlineStr">
        <is>
          <t>Earnings / Momentum Support</t>
        </is>
      </c>
      <c r="S312" s="31" t="inlineStr">
        <is>
          <t>Nifty Pharma</t>
        </is>
      </c>
      <c r="T312" s="32" t="n">
        <v>13.06</v>
      </c>
      <c r="U312" s="32" t="n">
        <v>-13.16</v>
      </c>
      <c r="V312" s="32" t="n">
        <v>-23.19</v>
      </c>
      <c r="W312" s="32" t="n">
        <v>1.87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Annuity, Lower One Time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IF(B313=0,"",RANK(B313,$B$2:$B$407,0))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BEPL</t>
        </is>
      </c>
      <c r="D313" s="33" t="inlineStr">
        <is>
          <t>Bhansali Engineering Polymers Limited</t>
        </is>
      </c>
      <c r="E313" s="31" t="inlineStr">
        <is>
          <t>energy</t>
        </is>
      </c>
      <c r="F313" s="31" t="inlineStr">
        <is>
          <t>petrochemicals</t>
        </is>
      </c>
      <c r="G313" s="31" t="inlineStr">
        <is>
          <t>smallcap</t>
        </is>
      </c>
      <c r="H313" s="32" t="n">
        <v>2443.29</v>
      </c>
      <c r="I313" s="32" t="n">
        <v>102.38</v>
      </c>
      <c r="J313" s="32" t="n">
        <v>4.28</v>
      </c>
      <c r="K313" s="32" t="n">
        <v>716761</v>
      </c>
      <c r="L313" s="31" t="n">
        <v>3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59.59</v>
      </c>
      <c r="P313" s="32" t="n">
        <v>32.88</v>
      </c>
      <c r="Q313" s="32" t="n">
        <v>85.23</v>
      </c>
      <c r="R313" s="31" t="inlineStr">
        <is>
          <t>Earnings / Momentum Support</t>
        </is>
      </c>
      <c r="S313" s="31" t="inlineStr">
        <is>
          <t>Nifty Energy</t>
        </is>
      </c>
      <c r="T313" s="32" t="n">
        <v>8.76</v>
      </c>
      <c r="U313" s="32" t="n">
        <v>-7.95</v>
      </c>
      <c r="V313" s="32" t="n">
        <v>-15.36</v>
      </c>
      <c r="W313" s="32" t="n">
        <v>2.36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Oligopoly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Yes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IF(B314=0,"",RANK(B314,$B$2:$B$407,0))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PDSL</t>
        </is>
      </c>
      <c r="D314" s="33" t="inlineStr">
        <is>
          <t>PDS Ltd</t>
        </is>
      </c>
      <c r="E314" s="31" t="inlineStr">
        <is>
          <t>textiles</t>
        </is>
      </c>
      <c r="F314" s="31" t="inlineStr">
        <is>
          <t>trading</t>
        </is>
      </c>
      <c r="G314" s="31" t="inlineStr">
        <is>
          <t>midcap</t>
        </is>
      </c>
      <c r="H314" s="32" t="n">
        <v>5124.45</v>
      </c>
      <c r="I314" s="32" t="n">
        <v>370</v>
      </c>
      <c r="J314" s="32" t="n">
        <v>2.13</v>
      </c>
      <c r="K314" s="32" t="n">
        <v>378460</v>
      </c>
      <c r="L314" s="31" t="n">
        <v>22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62.02</v>
      </c>
      <c r="P314" s="32" t="n">
        <v>14.33</v>
      </c>
      <c r="Q314" s="32" t="n">
        <v>269.87</v>
      </c>
      <c r="R314" s="31" t="inlineStr">
        <is>
          <t>Earnings / Momentum Support</t>
        </is>
      </c>
      <c r="S314" s="31" t="inlineStr">
        <is>
          <t>Nifty 50</t>
        </is>
      </c>
      <c r="T314" s="32" t="n">
        <v>-5.05</v>
      </c>
      <c r="U314" s="32" t="n">
        <v>-7.54</v>
      </c>
      <c r="V314" s="32" t="n">
        <v>-2.63</v>
      </c>
      <c r="W314" s="32" t="n">
        <v>6.41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IF(B315=0,"",RANK(B315,$B$2:$B$407,0))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SPECIALITY</t>
        </is>
      </c>
      <c r="D315" s="31" t="inlineStr">
        <is>
          <t>Speciality Restaurants Limited</t>
        </is>
      </c>
      <c r="E315" s="31" t="inlineStr">
        <is>
          <t>services</t>
        </is>
      </c>
      <c r="F315" s="31" t="inlineStr">
        <is>
          <t>hotels</t>
        </is>
      </c>
      <c r="G315" s="31" t="inlineStr">
        <is>
          <t>smallcap</t>
        </is>
      </c>
      <c r="H315" s="32" t="n">
        <v>616.45</v>
      </c>
      <c r="I315" s="32" t="n">
        <v>130</v>
      </c>
      <c r="J315" s="32" t="n">
        <v>1.72</v>
      </c>
      <c r="K315" s="32" t="n">
        <v>48077</v>
      </c>
      <c r="L315" s="31" t="n">
        <v>36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65.28</v>
      </c>
      <c r="P315" s="32" t="n">
        <v>17.84</v>
      </c>
      <c r="Q315" s="32" t="n">
        <v>95.54000000000001</v>
      </c>
      <c r="R315" s="31" t="inlineStr">
        <is>
          <t>Earnings / Momentum Support</t>
        </is>
      </c>
      <c r="S315" s="31" t="inlineStr">
        <is>
          <t>Nifty 50</t>
        </is>
      </c>
      <c r="T315" s="32" t="n">
        <v>-5.05</v>
      </c>
      <c r="U315" s="32" t="n">
        <v>4.46</v>
      </c>
      <c r="V315" s="32" t="n">
        <v>10.02</v>
      </c>
      <c r="W315" s="32" t="n">
        <v>9.779999999999999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IF(B316=0,"",RANK(B316,$B$2:$B$407,0))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FAZE3Q</t>
        </is>
      </c>
      <c r="D316" s="31" t="inlineStr">
        <is>
          <t>Faze Three Ltd</t>
        </is>
      </c>
      <c r="E316" s="31" t="inlineStr">
        <is>
          <t>textiles</t>
        </is>
      </c>
      <c r="F316" s="31" t="inlineStr">
        <is>
          <t>textiles - processing</t>
        </is>
      </c>
      <c r="G316" s="31" t="inlineStr">
        <is>
          <t>smallcap</t>
        </is>
      </c>
      <c r="H316" s="32" t="n">
        <v>1476.28</v>
      </c>
      <c r="I316" s="32" t="n">
        <v>616</v>
      </c>
      <c r="J316" s="32" t="n">
        <v>1.47</v>
      </c>
      <c r="K316" s="32" t="n">
        <v>27163</v>
      </c>
      <c r="L316" s="31" t="n">
        <v>50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65.31</v>
      </c>
      <c r="P316" s="32" t="n">
        <v>15.72</v>
      </c>
      <c r="Q316" s="32" t="n">
        <v>449.45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-5.05</v>
      </c>
      <c r="U316" s="32" t="n">
        <v>3.13</v>
      </c>
      <c r="V316" s="32" t="n">
        <v>8.619999999999999</v>
      </c>
      <c r="W316" s="32" t="n">
        <v>12.78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Between 12 to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IF(B317=0,"",RANK(B317,$B$2:$B$407,0))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TEXINFRA</t>
        </is>
      </c>
      <c r="D317" s="31" t="inlineStr">
        <is>
          <t>Texmaco Infrastructure &amp; Holdings Limited</t>
        </is>
      </c>
      <c r="E317" s="31" t="inlineStr">
        <is>
          <t>realty</t>
        </is>
      </c>
      <c r="F317" s="31" t="inlineStr">
        <is>
          <t>construction</t>
        </is>
      </c>
      <c r="G317" s="31" t="inlineStr">
        <is>
          <t>smallcap</t>
        </is>
      </c>
      <c r="H317" s="32" t="n">
        <v>1405.9</v>
      </c>
      <c r="I317" s="32" t="n">
        <v>111.68</v>
      </c>
      <c r="J317" s="32" t="n">
        <v>1.22</v>
      </c>
      <c r="K317" s="32" t="n">
        <v>139564</v>
      </c>
      <c r="L317" s="31" t="n">
        <v>12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65.81999999999999</v>
      </c>
      <c r="P317" s="32" t="n">
        <v>20.94</v>
      </c>
      <c r="Q317" s="32" t="n">
        <v>89.79000000000001</v>
      </c>
      <c r="R317" s="31" t="inlineStr">
        <is>
          <t>Near 52W High Breakout</t>
        </is>
      </c>
      <c r="S317" s="31" t="inlineStr">
        <is>
          <t>Nifty Realty</t>
        </is>
      </c>
      <c r="T317" s="32" t="n">
        <v>-10.31</v>
      </c>
      <c r="U317" s="32" t="n">
        <v>7.77</v>
      </c>
      <c r="V317" s="32" t="n">
        <v>20.17</v>
      </c>
      <c r="W317" s="32" t="n">
        <v>4.59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Negative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IF(B318=0,"",RANK(B318,$B$2:$B$407,0))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RESPONIND</t>
        </is>
      </c>
      <c r="D318" s="33" t="inlineStr">
        <is>
          <t>Responsive Industries Limited</t>
        </is>
      </c>
      <c r="E318" s="31" t="inlineStr">
        <is>
          <t>plastic products</t>
        </is>
      </c>
      <c r="F318" s="31" t="inlineStr">
        <is>
          <t>plastics products</t>
        </is>
      </c>
      <c r="G318" s="31" t="inlineStr">
        <is>
          <t>midcap</t>
        </is>
      </c>
      <c r="H318" s="32" t="n">
        <v>5355.63</v>
      </c>
      <c r="I318" s="32" t="n">
        <v>202.5</v>
      </c>
      <c r="J318" s="32" t="n">
        <v>0.8100000000000001</v>
      </c>
      <c r="K318" s="32" t="n">
        <v>33513</v>
      </c>
      <c r="L318" s="31" t="n">
        <v>45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59.27</v>
      </c>
      <c r="P318" s="32" t="n">
        <v>22.32</v>
      </c>
      <c r="Q318" s="32" t="n">
        <v>136.49</v>
      </c>
      <c r="R318" s="31" t="inlineStr">
        <is>
          <t>Earnings / Momentum Support</t>
        </is>
      </c>
      <c r="S318" s="31" t="inlineStr">
        <is>
          <t>Nifty 50</t>
        </is>
      </c>
      <c r="T318" s="32" t="n">
        <v>-5.05</v>
      </c>
      <c r="U318" s="32" t="n">
        <v>-16.96</v>
      </c>
      <c r="V318" s="32" t="n">
        <v>-12.55</v>
      </c>
      <c r="W318" s="32" t="n">
        <v>11.78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Less than 50%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IF(B319=0,"",RANK(B319,$B$2:$B$407,0))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ACMESOLAR</t>
        </is>
      </c>
      <c r="D319" s="31" t="inlineStr">
        <is>
          <t>ACME Solar Holdings Ltd</t>
        </is>
      </c>
      <c r="E319" s="31" t="inlineStr">
        <is>
          <t>realty</t>
        </is>
      </c>
      <c r="F319" s="31" t="inlineStr">
        <is>
          <t>engineering - turnkey services</t>
        </is>
      </c>
      <c r="G319" s="31" t="inlineStr">
        <is>
          <t>largecap</t>
        </is>
      </c>
      <c r="H319" s="32" t="n">
        <v>27596.37</v>
      </c>
      <c r="I319" s="32" t="n">
        <v>393.25</v>
      </c>
      <c r="J319" s="32" t="n">
        <v>0.63</v>
      </c>
      <c r="K319" s="32" t="n">
        <v>1452767</v>
      </c>
      <c r="L319" s="31" t="n">
        <v>70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73.58</v>
      </c>
      <c r="P319" s="32" t="n">
        <v>27.58</v>
      </c>
      <c r="Q319" s="32" t="n">
        <v>308.5</v>
      </c>
      <c r="R319" s="31" t="inlineStr">
        <is>
          <t>Near 52W High Breakout</t>
        </is>
      </c>
      <c r="S319" s="31" t="inlineStr">
        <is>
          <t>Nifty Realty</t>
        </is>
      </c>
      <c r="T319" s="32" t="n">
        <v>-10.31</v>
      </c>
      <c r="U319" s="32" t="n">
        <v>57.71</v>
      </c>
      <c r="V319" s="32" t="n">
        <v>75.84999999999999</v>
      </c>
      <c r="W319" s="32" t="n">
        <v>19.88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Blue sky scenario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Between 50% to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IF(B320=0,"",RANK(B320,$B$2:$B$407,0))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INDHOTEL</t>
        </is>
      </c>
      <c r="D320" s="31" t="inlineStr">
        <is>
          <t>The Indian Hotels Company Limited</t>
        </is>
      </c>
      <c r="E320" s="31" t="inlineStr">
        <is>
          <t>services</t>
        </is>
      </c>
      <c r="F320" s="31" t="inlineStr">
        <is>
          <t>hotels</t>
        </is>
      </c>
      <c r="G320" s="31" t="inlineStr">
        <is>
          <t>largecap</t>
        </is>
      </c>
      <c r="H320" s="32" t="n">
        <v>102309.19</v>
      </c>
      <c r="I320" s="32" t="n">
        <v>720.7</v>
      </c>
      <c r="J320" s="32" t="n">
        <v>0.27</v>
      </c>
      <c r="K320" s="32" t="n">
        <v>3062675</v>
      </c>
      <c r="L320" s="31" t="n">
        <v>17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60.16</v>
      </c>
      <c r="P320" s="32" t="n">
        <v>14.2</v>
      </c>
      <c r="Q320" s="32" t="n">
        <v>610.78</v>
      </c>
      <c r="R320" s="31" t="inlineStr">
        <is>
          <t>Earnings / Momentum Support</t>
        </is>
      </c>
      <c r="S320" s="31" t="inlineStr">
        <is>
          <t>Nifty 50</t>
        </is>
      </c>
      <c r="T320" s="32" t="n">
        <v>-5.05</v>
      </c>
      <c r="U320" s="32" t="n">
        <v>-3.16</v>
      </c>
      <c r="V320" s="32" t="n">
        <v>1.99</v>
      </c>
      <c r="W320" s="32" t="n">
        <v>5.31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Between 12 to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IF(B321=0,"",RANK(B321,$B$2:$B$407,0))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POKARNA</t>
        </is>
      </c>
      <c r="D321" s="31" t="inlineStr">
        <is>
          <t>Pokarna Limited</t>
        </is>
      </c>
      <c r="E321" s="31" t="inlineStr">
        <is>
          <t>consumer discretionary</t>
        </is>
      </c>
      <c r="F321" s="31" t="inlineStr">
        <is>
          <t>miscellaneous</t>
        </is>
      </c>
      <c r="G321" s="31" t="inlineStr">
        <is>
          <t>smallcap</t>
        </is>
      </c>
      <c r="H321" s="32" t="n">
        <v>3172.64</v>
      </c>
      <c r="I321" s="32" t="n">
        <v>1024.9</v>
      </c>
      <c r="J321" s="32" t="n">
        <v>0.16</v>
      </c>
      <c r="K321" s="32" t="n">
        <v>47251</v>
      </c>
      <c r="L321" s="31" t="n">
        <v>10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59.21</v>
      </c>
      <c r="P321" s="32" t="n">
        <v>14.66</v>
      </c>
      <c r="Q321" s="32" t="n">
        <v>788.23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-5.05</v>
      </c>
      <c r="U321" s="32" t="n">
        <v>-3.73</v>
      </c>
      <c r="V321" s="32" t="n">
        <v>1.38</v>
      </c>
      <c r="W321" s="32" t="n">
        <v>4.01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IF(B322=0,"",RANK(B322,$B$2:$B$407,0))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NIBE</t>
        </is>
      </c>
      <c r="D322" s="31" t="inlineStr">
        <is>
          <t>NIBE Ltd</t>
        </is>
      </c>
      <c r="E322" s="31" t="inlineStr">
        <is>
          <t>aerospace &amp; defence</t>
        </is>
      </c>
      <c r="F322" s="31" t="inlineStr">
        <is>
          <t>engineering</t>
        </is>
      </c>
      <c r="G322" s="31" t="inlineStr">
        <is>
          <t>smallcap</t>
        </is>
      </c>
      <c r="H322" s="32" t="n">
        <v>2527.57</v>
      </c>
      <c r="I322" s="32" t="n">
        <v>1656.7</v>
      </c>
      <c r="J322" s="32" t="n">
        <v>0.03</v>
      </c>
      <c r="K322" s="32" t="n">
        <v>56265</v>
      </c>
      <c r="L322" s="31" t="n">
        <v>74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65.39</v>
      </c>
      <c r="P322" s="32" t="n">
        <v>27.29</v>
      </c>
      <c r="Q322" s="32" t="n">
        <v>1324.5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-5.05</v>
      </c>
      <c r="U322" s="32" t="n">
        <v>-1.04</v>
      </c>
      <c r="V322" s="32" t="n">
        <v>4.22</v>
      </c>
      <c r="W322" s="32" t="n">
        <v>21.41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Negative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IF(B323=0,"",RANK(B323,$B$2:$B$407,0))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MANGLMCEM</t>
        </is>
      </c>
      <c r="D323" s="31" t="inlineStr">
        <is>
          <t>Mangalam Cement Limited</t>
        </is>
      </c>
      <c r="E323" s="31" t="inlineStr">
        <is>
          <t>building materials</t>
        </is>
      </c>
      <c r="F323" s="31" t="inlineStr">
        <is>
          <t>cement - north india</t>
        </is>
      </c>
      <c r="G323" s="31" t="inlineStr">
        <is>
          <t>smallcap</t>
        </is>
      </c>
      <c r="H323" s="32" t="n">
        <v>2509.82</v>
      </c>
      <c r="I323" s="32" t="n">
        <v>897</v>
      </c>
      <c r="J323" s="32" t="n">
        <v>-1.73</v>
      </c>
      <c r="K323" s="32" t="n">
        <v>25778</v>
      </c>
      <c r="L323" s="31" t="n">
        <v>21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57.57</v>
      </c>
      <c r="P323" s="32" t="n">
        <v>18.26</v>
      </c>
      <c r="Q323" s="32" t="n">
        <v>759.28</v>
      </c>
      <c r="R323" s="31" t="inlineStr">
        <is>
          <t>Near 52W High Breakout</t>
        </is>
      </c>
      <c r="S323" s="31" t="inlineStr">
        <is>
          <t>Nifty Infra</t>
        </is>
      </c>
      <c r="T323" s="32" t="n">
        <v>0.23</v>
      </c>
      <c r="U323" s="32" t="n">
        <v>20.66</v>
      </c>
      <c r="V323" s="32" t="n">
        <v>20.39</v>
      </c>
      <c r="W323" s="32" t="n">
        <v>6.32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Less than 50%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Between 0.7 to 1.2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IF(B324=0,"",RANK(B324,$B$2:$B$407,0))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RPGLIFE</t>
        </is>
      </c>
      <c r="D324" s="33" t="inlineStr">
        <is>
          <t>Rpg Life Sciences Limited</t>
        </is>
      </c>
      <c r="E324" s="31" t="inlineStr">
        <is>
          <t>healthcare</t>
        </is>
      </c>
      <c r="F324" s="31" t="inlineStr">
        <is>
          <t>pharmaceuticals - indian - bulk drugs &amp; formln</t>
        </is>
      </c>
      <c r="G324" s="31" t="inlineStr">
        <is>
          <t>smallcap</t>
        </is>
      </c>
      <c r="H324" s="32" t="n">
        <v>3890.97</v>
      </c>
      <c r="I324" s="32" t="n">
        <v>2393.7</v>
      </c>
      <c r="J324" s="32" t="n">
        <v>1.75</v>
      </c>
      <c r="K324" s="32" t="n">
        <v>18317</v>
      </c>
      <c r="L324" s="31" t="n">
        <v>14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61.48</v>
      </c>
      <c r="P324" s="32" t="n">
        <v>21.81</v>
      </c>
      <c r="Q324" s="32" t="n">
        <v>1960.52</v>
      </c>
      <c r="R324" s="31" t="inlineStr">
        <is>
          <t>Earnings / Momentum Support</t>
        </is>
      </c>
      <c r="S324" s="31" t="inlineStr">
        <is>
          <t>Nifty Pharma</t>
        </is>
      </c>
      <c r="T324" s="32" t="n">
        <v>13.06</v>
      </c>
      <c r="U324" s="32" t="n">
        <v>-5.01</v>
      </c>
      <c r="V324" s="32" t="n">
        <v>-15.98</v>
      </c>
      <c r="W324" s="32" t="n">
        <v>4.84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Yes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Less than 50%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IF(B325=0,"",RANK(B325,$B$2:$B$407,0))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KIMS</t>
        </is>
      </c>
      <c r="D325" s="31" t="inlineStr">
        <is>
          <t>Krishna Institute of Medical Sciences Ltd</t>
        </is>
      </c>
      <c r="E325" s="31" t="inlineStr">
        <is>
          <t>healthcare</t>
        </is>
      </c>
      <c r="F325" s="31" t="inlineStr">
        <is>
          <t>healthcare</t>
        </is>
      </c>
      <c r="G325" s="31" t="inlineStr">
        <is>
          <t>largecap</t>
        </is>
      </c>
      <c r="H325" s="32" t="n">
        <v>33251.55</v>
      </c>
      <c r="I325" s="32" t="n">
        <v>837.9</v>
      </c>
      <c r="J325" s="32" t="n">
        <v>0.83</v>
      </c>
      <c r="K325" s="32" t="n">
        <v>564664</v>
      </c>
      <c r="L325" s="31" t="n">
        <v>44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68.90000000000001</v>
      </c>
      <c r="P325" s="32" t="n">
        <v>29.46</v>
      </c>
      <c r="Q325" s="32" t="n">
        <v>683.73</v>
      </c>
      <c r="R325" s="31" t="inlineStr">
        <is>
          <t>Near 52W High Breakout</t>
        </is>
      </c>
      <c r="S325" s="31" t="inlineStr">
        <is>
          <t>Nifty Pharma</t>
        </is>
      </c>
      <c r="T325" s="32" t="n">
        <v>13.06</v>
      </c>
      <c r="U325" s="32" t="n">
        <v>22.13</v>
      </c>
      <c r="V325" s="32" t="n">
        <v>8.02</v>
      </c>
      <c r="W325" s="32" t="n">
        <v>11.77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Yes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Annuity, Lower One Time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Blue sky scenario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Between 50% to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More than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IF(B326=0,"",RANK(B326,$B$2:$B$407,0))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ZOTA</t>
        </is>
      </c>
      <c r="D326" s="31" t="inlineStr">
        <is>
          <t>Zota Health Care Ltd</t>
        </is>
      </c>
      <c r="E326" s="31" t="inlineStr">
        <is>
          <t>healthcare</t>
        </is>
      </c>
      <c r="F326" s="31" t="inlineStr">
        <is>
          <t>pharmaceuticals - indian - bulk drugs &amp; formln</t>
        </is>
      </c>
      <c r="G326" s="31" t="inlineStr">
        <is>
          <t>smallcap</t>
        </is>
      </c>
      <c r="H326" s="32" t="n">
        <v>4954.54</v>
      </c>
      <c r="I326" s="32" t="n">
        <v>1438.5</v>
      </c>
      <c r="J326" s="32" t="n">
        <v>0.55</v>
      </c>
      <c r="K326" s="32" t="n">
        <v>46742</v>
      </c>
      <c r="L326" s="31" t="n">
        <v>45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59.32</v>
      </c>
      <c r="P326" s="32" t="n">
        <v>11.58</v>
      </c>
      <c r="Q326" s="32" t="n">
        <v>1090.84</v>
      </c>
      <c r="R326" s="31" t="inlineStr">
        <is>
          <t>Earnings / Momentum Support</t>
        </is>
      </c>
      <c r="S326" s="31" t="inlineStr">
        <is>
          <t>Nifty Pharma</t>
        </is>
      </c>
      <c r="T326" s="32" t="n">
        <v>13.06</v>
      </c>
      <c r="U326" s="32" t="n">
        <v>19.98</v>
      </c>
      <c r="V326" s="32" t="n">
        <v>6.12</v>
      </c>
      <c r="W326" s="32" t="n">
        <v>11.83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Yes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Annuity, Lower One Time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Negative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IF(B327=0,"",RANK(B327,$B$2:$B$407,0))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PRICOLLTD</t>
        </is>
      </c>
      <c r="D327" s="31" t="inlineStr">
        <is>
          <t>Pricol Ltd.</t>
        </is>
      </c>
      <c r="E327" s="31" t="inlineStr">
        <is>
          <t>auto</t>
        </is>
      </c>
      <c r="F327" s="31" t="inlineStr">
        <is>
          <t>auto ancillaries</t>
        </is>
      </c>
      <c r="G327" s="31" t="inlineStr">
        <is>
          <t>midcap</t>
        </is>
      </c>
      <c r="H327" s="32" t="n">
        <v>7511.56</v>
      </c>
      <c r="I327" s="32" t="n">
        <v>617.1</v>
      </c>
      <c r="J327" s="32" t="n">
        <v>0.13</v>
      </c>
      <c r="K327" s="32" t="n">
        <v>536748</v>
      </c>
      <c r="L327" s="31" t="n">
        <v>43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58.02</v>
      </c>
      <c r="P327" s="32" t="n">
        <v>16.5</v>
      </c>
      <c r="Q327" s="32" t="n">
        <v>481.7</v>
      </c>
      <c r="R327" s="31" t="inlineStr">
        <is>
          <t>Earnings / Momentum Support</t>
        </is>
      </c>
      <c r="S327" s="31" t="inlineStr">
        <is>
          <t>Nifty Auto</t>
        </is>
      </c>
      <c r="T327" s="32" t="n">
        <v>13.04</v>
      </c>
      <c r="U327" s="32" t="n">
        <v>35.69</v>
      </c>
      <c r="V327" s="32" t="n">
        <v>20.03</v>
      </c>
      <c r="W327" s="32" t="n">
        <v>11.32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Oligopoly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Shallow Cyclical (2 to 3 Years Growth)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Fully One Time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Allocated capital in Non-core Areas</t>
        </is>
      </c>
      <c r="AU327" s="31">
        <f>IF(AT327="Good",10,0)</f>
        <v/>
      </c>
      <c r="AV327" s="31" t="inlineStr">
        <is>
          <t>Yes only for next 1 to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Blue sky scenario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Between 12 to 20%</t>
        </is>
      </c>
      <c r="BO327" s="31">
        <f>IF(BN327="More than 20%",10,IF(BN327="Between 12 to 20%",5,IF(BN327="Less than 12%",0,0)))</f>
        <v/>
      </c>
      <c r="BP327" s="31" t="inlineStr">
        <is>
          <t>Yes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Between 1.5 to 2</t>
        </is>
      </c>
      <c r="BU327" s="31">
        <f>IF(BT327="Above 2",0,IF(BT327="Between 1.5 to 2",5,IF(BT327="Less than 1.5",10,0)))</f>
        <v/>
      </c>
      <c r="BV327" s="31" t="inlineStr">
        <is>
          <t>Between 50% to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IF(B328=0,"",RANK(B328,$B$2:$B$407,0))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RBZJEWEL</t>
        </is>
      </c>
      <c r="D328" s="31" t="inlineStr">
        <is>
          <t>RBZ Jewellers Ltd</t>
        </is>
      </c>
      <c r="E328" s="31" t="inlineStr">
        <is>
          <t>consumer discretionary</t>
        </is>
      </c>
      <c r="F328" s="31" t="inlineStr">
        <is>
          <t>diamond cutting / jewellery</t>
        </is>
      </c>
      <c r="G328" s="31" t="inlineStr">
        <is>
          <t>smallcap</t>
        </is>
      </c>
      <c r="H328" s="32" t="n">
        <v>542.36</v>
      </c>
      <c r="I328" s="32" t="n">
        <v>145.9</v>
      </c>
      <c r="J328" s="32" t="n">
        <v>7.6</v>
      </c>
      <c r="K328" s="32" t="n">
        <v>198573</v>
      </c>
      <c r="L328" s="31" t="n">
        <v>14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55.7</v>
      </c>
      <c r="P328" s="32" t="n">
        <v>21.62</v>
      </c>
      <c r="Q328" s="32" t="n">
        <v>109.7</v>
      </c>
      <c r="R328" s="31" t="inlineStr">
        <is>
          <t>Volume Spike / Accumulation</t>
        </is>
      </c>
      <c r="S328" s="31" t="inlineStr">
        <is>
          <t>Nifty 50</t>
        </is>
      </c>
      <c r="T328" s="32" t="n">
        <v>-5.05</v>
      </c>
      <c r="U328" s="32" t="n">
        <v>3.06</v>
      </c>
      <c r="V328" s="32" t="n">
        <v>8.539999999999999</v>
      </c>
      <c r="W328" s="32" t="n">
        <v>4.93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20 to 40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1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Negative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IF(B329=0,"",RANK(B329,$B$2:$B$407,0))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GALAPREC</t>
        </is>
      </c>
      <c r="D329" s="31" t="inlineStr">
        <is>
          <t>Gala Precision Engineering Ltd</t>
        </is>
      </c>
      <c r="E329" s="31" t="inlineStr">
        <is>
          <t>industrials</t>
        </is>
      </c>
      <c r="F329" s="31" t="inlineStr">
        <is>
          <t>fasteners</t>
        </is>
      </c>
      <c r="G329" s="31" t="inlineStr">
        <is>
          <t>smallcap</t>
        </is>
      </c>
      <c r="H329" s="32" t="n">
        <v>1418.47</v>
      </c>
      <c r="I329" s="32" t="n">
        <v>1177.9</v>
      </c>
      <c r="J329" s="32" t="n">
        <v>5.88</v>
      </c>
      <c r="K329" s="32" t="n">
        <v>120659</v>
      </c>
      <c r="L329" s="31" t="n">
        <v>74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79.65000000000001</v>
      </c>
      <c r="P329" s="32" t="n">
        <v>32.05</v>
      </c>
      <c r="Q329" s="32" t="n">
        <v>912.38</v>
      </c>
      <c r="R329" s="31" t="inlineStr">
        <is>
          <t>Near 52W High Breakout</t>
        </is>
      </c>
      <c r="S329" s="31" t="inlineStr">
        <is>
          <t>Nifty 50</t>
        </is>
      </c>
      <c r="T329" s="32" t="n">
        <v>-5.05</v>
      </c>
      <c r="U329" s="32" t="n">
        <v>38.45</v>
      </c>
      <c r="V329" s="32" t="n">
        <v>45.81</v>
      </c>
      <c r="W329" s="32" t="n">
        <v>21.44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Above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Less than 50%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IF(B330=0,"",RANK(B330,$B$2:$B$407,0))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DEEDEV</t>
        </is>
      </c>
      <c r="D330" s="31" t="inlineStr">
        <is>
          <t>DEE Development Engineers Ltd</t>
        </is>
      </c>
      <c r="E330" s="31" t="inlineStr">
        <is>
          <t>metals &amp; mining</t>
        </is>
      </c>
      <c r="F330" s="31" t="inlineStr">
        <is>
          <t>steel - medium / small</t>
        </is>
      </c>
      <c r="G330" s="31" t="inlineStr">
        <is>
          <t>smallcap</t>
        </is>
      </c>
      <c r="H330" s="32" t="n">
        <v>4679.09</v>
      </c>
      <c r="I330" s="32" t="n">
        <v>709.3</v>
      </c>
      <c r="J330" s="32" t="n">
        <v>5</v>
      </c>
      <c r="K330" s="32" t="n">
        <v>32858</v>
      </c>
      <c r="L330" s="31" t="n">
        <v>96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80.98999999999999</v>
      </c>
      <c r="P330" s="32" t="n">
        <v>64.33</v>
      </c>
      <c r="Q330" s="32" t="n">
        <v>534.45</v>
      </c>
      <c r="R330" s="31" t="inlineStr">
        <is>
          <t>Near 52W High Breakout</t>
        </is>
      </c>
      <c r="S330" s="31" t="inlineStr">
        <is>
          <t>Nifty Metal</t>
        </is>
      </c>
      <c r="T330" s="32" t="n">
        <v>30.52</v>
      </c>
      <c r="U330" s="32" t="n">
        <v>126.58</v>
      </c>
      <c r="V330" s="32" t="n">
        <v>73.59999999999999</v>
      </c>
      <c r="W330" s="32" t="n">
        <v>55.47</v>
      </c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Cyclical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Volatile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Yes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Above 40</t>
        </is>
      </c>
      <c r="AY330" s="31">
        <f>IF(AX330="Above 40",20,IF(AX330="20 to 40",10,IF(AX330="0 to 20",-5,0)))</f>
        <v/>
      </c>
      <c r="AZ330" s="31" t="inlineStr">
        <is>
          <t>Above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Blue sky scenario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Less than 50%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IF(B331=0,"",RANK(B331,$B$2:$B$407,0))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PRESTIGE</t>
        </is>
      </c>
      <c r="D331" s="31" t="inlineStr">
        <is>
          <t>Prestige Estates Projects Limited</t>
        </is>
      </c>
      <c r="E331" s="31" t="inlineStr">
        <is>
          <t>realty</t>
        </is>
      </c>
      <c r="F331" s="31" t="inlineStr">
        <is>
          <t>construction</t>
        </is>
      </c>
      <c r="G331" s="31" t="inlineStr">
        <is>
          <t>largecap</t>
        </is>
      </c>
      <c r="H331" s="32" t="n">
        <v>70006.58</v>
      </c>
      <c r="I331" s="32" t="n">
        <v>1674.1</v>
      </c>
      <c r="J331" s="32" t="n">
        <v>3</v>
      </c>
      <c r="K331" s="32" t="n">
        <v>1774104</v>
      </c>
      <c r="L331" s="31" t="n">
        <v>49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63.79</v>
      </c>
      <c r="P331" s="32" t="n">
        <v>13.79</v>
      </c>
      <c r="Q331" s="32" t="n">
        <v>1334.07</v>
      </c>
      <c r="R331" s="31" t="inlineStr">
        <is>
          <t>Earnings / Momentum Support</t>
        </is>
      </c>
      <c r="S331" s="31" t="inlineStr">
        <is>
          <t>Nifty Realty</t>
        </is>
      </c>
      <c r="T331" s="32" t="n">
        <v>-10.31</v>
      </c>
      <c r="U331" s="32" t="n">
        <v>3.91</v>
      </c>
      <c r="V331" s="32" t="n">
        <v>15.86</v>
      </c>
      <c r="W331" s="32" t="n">
        <v>12.51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Between 0.7 to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IF(B332=0,"",RANK(B332,$B$2:$B$407,0))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USHAMART</t>
        </is>
      </c>
      <c r="D332" s="31" t="inlineStr">
        <is>
          <t>Usha Martin Limited</t>
        </is>
      </c>
      <c r="E332" s="31" t="inlineStr">
        <is>
          <t>metals &amp; mining</t>
        </is>
      </c>
      <c r="F332" s="31" t="inlineStr">
        <is>
          <t>steel - medium / small</t>
        </is>
      </c>
      <c r="G332" s="31" t="inlineStr">
        <is>
          <t>midcap</t>
        </is>
      </c>
      <c r="H332" s="32" t="n">
        <v>15017.69</v>
      </c>
      <c r="I332" s="32" t="n">
        <v>502.4</v>
      </c>
      <c r="J332" s="32" t="n">
        <v>1.95</v>
      </c>
      <c r="K332" s="32" t="n">
        <v>420517</v>
      </c>
      <c r="L332" s="31" t="n">
        <v>47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64.05</v>
      </c>
      <c r="P332" s="32" t="n">
        <v>38.53</v>
      </c>
      <c r="Q332" s="32" t="n">
        <v>415.2</v>
      </c>
      <c r="R332" s="31" t="inlineStr">
        <is>
          <t>Near 52W High Breakout</t>
        </is>
      </c>
      <c r="S332" s="31" t="inlineStr">
        <is>
          <t>Nifty Metal</t>
        </is>
      </c>
      <c r="T332" s="32" t="n">
        <v>30.52</v>
      </c>
      <c r="U332" s="32" t="n">
        <v>36.76</v>
      </c>
      <c r="V332" s="32" t="n">
        <v>4.78</v>
      </c>
      <c r="W332" s="32" t="n">
        <v>12.22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Cyclical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Volatile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Blue sky scenario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Less than 1.5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IF(B333=0,"",RANK(B333,$B$2:$B$407,0))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TITAN</t>
        </is>
      </c>
      <c r="D333" s="31" t="inlineStr">
        <is>
          <t>Titan Company Limited</t>
        </is>
      </c>
      <c r="E333" s="31" t="inlineStr">
        <is>
          <t>consumer discretionary</t>
        </is>
      </c>
      <c r="F333" s="31" t="inlineStr">
        <is>
          <t>diamond cutting / jewellery</t>
        </is>
      </c>
      <c r="G333" s="31" t="inlineStr">
        <is>
          <t>largecap</t>
        </is>
      </c>
      <c r="H333" s="32" t="n">
        <v>390501.62</v>
      </c>
      <c r="I333" s="32" t="n">
        <v>4481.1</v>
      </c>
      <c r="J333" s="32" t="n">
        <v>1.88</v>
      </c>
      <c r="K333" s="32" t="n">
        <v>820755</v>
      </c>
      <c r="L333" s="31" t="n">
        <v>21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59.03</v>
      </c>
      <c r="P333" s="32" t="n">
        <v>13.85</v>
      </c>
      <c r="Q333" s="32" t="n">
        <v>3838.66</v>
      </c>
      <c r="R333" s="31" t="inlineStr">
        <is>
          <t>Near 52W High Breakout</t>
        </is>
      </c>
      <c r="S333" s="31" t="inlineStr">
        <is>
          <t>Nifty 50</t>
        </is>
      </c>
      <c r="T333" s="32" t="n">
        <v>-5.05</v>
      </c>
      <c r="U333" s="32" t="n">
        <v>21.91</v>
      </c>
      <c r="V333" s="32" t="n">
        <v>28.39</v>
      </c>
      <c r="W333" s="32" t="n">
        <v>6.23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Blue sky scenario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Between 50% to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IF(B334=0,"",RANK(B334,$B$2:$B$407,0))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GANDHAR</t>
        </is>
      </c>
      <c r="D334" s="33" t="inlineStr">
        <is>
          <t>Gandhar Oil Refinery (India) Ltd</t>
        </is>
      </c>
      <c r="E334" s="31" t="inlineStr">
        <is>
          <t>energy</t>
        </is>
      </c>
      <c r="F334" s="31" t="inlineStr">
        <is>
          <t>refineries</t>
        </is>
      </c>
      <c r="G334" s="31" t="inlineStr">
        <is>
          <t>smallcap</t>
        </is>
      </c>
      <c r="H334" s="32" t="n">
        <v>1804.8</v>
      </c>
      <c r="I334" s="32" t="n">
        <v>186.84</v>
      </c>
      <c r="J334" s="32" t="n">
        <v>1.33</v>
      </c>
      <c r="K334" s="32" t="n">
        <v>1014573</v>
      </c>
      <c r="L334" s="31" t="n">
        <v>52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66.84</v>
      </c>
      <c r="P334" s="32" t="n">
        <v>34.63</v>
      </c>
      <c r="Q334" s="32" t="n">
        <v>141.11</v>
      </c>
      <c r="R334" s="31" t="inlineStr">
        <is>
          <t>Near 52W High Breakout</t>
        </is>
      </c>
      <c r="S334" s="31" t="inlineStr">
        <is>
          <t>Nifty Energy</t>
        </is>
      </c>
      <c r="T334" s="32" t="n">
        <v>8.76</v>
      </c>
      <c r="U334" s="32" t="n">
        <v>7.86</v>
      </c>
      <c r="V334" s="32" t="n">
        <v>-0.83</v>
      </c>
      <c r="W334" s="32" t="n">
        <v>13.5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Between 50% to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IF(B335=0,"",RANK(B335,$B$2:$B$407,0))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PATELENG</t>
        </is>
      </c>
      <c r="D335" s="33" t="inlineStr">
        <is>
          <t>Patel Engineering Limited</t>
        </is>
      </c>
      <c r="E335" s="31" t="inlineStr">
        <is>
          <t>realty</t>
        </is>
      </c>
      <c r="F335" s="31" t="inlineStr">
        <is>
          <t>construction</t>
        </is>
      </c>
      <c r="G335" s="31" t="inlineStr">
        <is>
          <t>smallcap</t>
        </is>
      </c>
      <c r="H335" s="32" t="n">
        <v>3416.94</v>
      </c>
      <c r="I335" s="32" t="n">
        <v>34.42</v>
      </c>
      <c r="J335" s="32" t="n">
        <v>-0.06</v>
      </c>
      <c r="K335" s="32" t="n">
        <v>6026972</v>
      </c>
      <c r="L335" s="31" t="n">
        <v>25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63.6</v>
      </c>
      <c r="P335" s="32" t="n">
        <v>16.21</v>
      </c>
      <c r="Q335" s="32" t="n">
        <v>26.34</v>
      </c>
      <c r="R335" s="31" t="inlineStr">
        <is>
          <t>Earnings / Momentum Support</t>
        </is>
      </c>
      <c r="S335" s="31" t="inlineStr">
        <is>
          <t>Nifty Realty</t>
        </is>
      </c>
      <c r="T335" s="32" t="n">
        <v>-10.31</v>
      </c>
      <c r="U335" s="32" t="n">
        <v>-15.47</v>
      </c>
      <c r="V335" s="32" t="n">
        <v>-5.75</v>
      </c>
      <c r="W335" s="32" t="n">
        <v>7.2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IF(B336=0,"",RANK(B336,$B$2:$B$407,0))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NAVNETEDUL</t>
        </is>
      </c>
      <c r="D336" s="31" t="inlineStr">
        <is>
          <t>Navneet Education Limited</t>
        </is>
      </c>
      <c r="E336" s="31" t="inlineStr">
        <is>
          <t>miscellaneous</t>
        </is>
      </c>
      <c r="F336" s="31" t="inlineStr">
        <is>
          <t>printing &amp; stationery</t>
        </is>
      </c>
      <c r="G336" s="31" t="inlineStr">
        <is>
          <t>smallcap</t>
        </is>
      </c>
      <c r="H336" s="32" t="n">
        <v>3283.47</v>
      </c>
      <c r="I336" s="32" t="n">
        <v>148</v>
      </c>
      <c r="J336" s="32" t="n">
        <v>-0.29</v>
      </c>
      <c r="K336" s="32" t="n">
        <v>216164</v>
      </c>
      <c r="L336" s="31" t="n">
        <v>15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55.03</v>
      </c>
      <c r="P336" s="32" t="n">
        <v>24.99</v>
      </c>
      <c r="Q336" s="32" t="n">
        <v>126.76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-5.05</v>
      </c>
      <c r="U336" s="32" t="n">
        <v>6.54</v>
      </c>
      <c r="V336" s="32" t="n">
        <v>12.2</v>
      </c>
      <c r="W336" s="32" t="n">
        <v>5.02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20 to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IF(B337=0,"",RANK(B337,$B$2:$B$407,0))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TVSSCS</t>
        </is>
      </c>
      <c r="D337" s="31" t="inlineStr">
        <is>
          <t>TVS Supply Chain Solutions Ltd</t>
        </is>
      </c>
      <c r="E337" s="31" t="inlineStr">
        <is>
          <t>transportation</t>
        </is>
      </c>
      <c r="F337" s="31" t="inlineStr">
        <is>
          <t>miscellaneous</t>
        </is>
      </c>
      <c r="G337" s="31" t="inlineStr">
        <is>
          <t>midcap</t>
        </is>
      </c>
      <c r="H337" s="32" t="n">
        <v>6084.75</v>
      </c>
      <c r="I337" s="32" t="n">
        <v>137.21</v>
      </c>
      <c r="J337" s="32" t="n">
        <v>-0.51</v>
      </c>
      <c r="K337" s="32" t="n">
        <v>330627</v>
      </c>
      <c r="L337" s="31" t="n">
        <v>36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59.64</v>
      </c>
      <c r="P337" s="32" t="n">
        <v>13.05</v>
      </c>
      <c r="Q337" s="32" t="n">
        <v>105.58</v>
      </c>
      <c r="R337" s="31" t="inlineStr">
        <is>
          <t>Near 52W High Breakout</t>
        </is>
      </c>
      <c r="S337" s="31" t="inlineStr">
        <is>
          <t>Nifty 50</t>
        </is>
      </c>
      <c r="T337" s="32" t="n">
        <v>-5.05</v>
      </c>
      <c r="U337" s="32" t="n">
        <v>3.99</v>
      </c>
      <c r="V337" s="32" t="n">
        <v>9.52</v>
      </c>
      <c r="W337" s="32" t="n">
        <v>9.77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More than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IF(B338=0,"",RANK(B338,$B$2:$B$407,0))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ELECTHERM</t>
        </is>
      </c>
      <c r="D338" s="33" t="inlineStr">
        <is>
          <t>Electrotherm (india) Limited</t>
        </is>
      </c>
      <c r="E338" s="31" t="inlineStr">
        <is>
          <t>metals &amp; mining</t>
        </is>
      </c>
      <c r="F338" s="31" t="inlineStr">
        <is>
          <t>steel - medium / small</t>
        </is>
      </c>
      <c r="G338" s="31" t="inlineStr">
        <is>
          <t>smallcap</t>
        </is>
      </c>
      <c r="H338" s="32" t="n">
        <v>1402.35</v>
      </c>
      <c r="I338" s="32" t="n">
        <v>1091.2</v>
      </c>
      <c r="J338" s="32" t="n">
        <v>-0.85</v>
      </c>
      <c r="K338" s="32" t="n">
        <v>14978</v>
      </c>
      <c r="L338" s="31" t="n">
        <v>78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61.42</v>
      </c>
      <c r="P338" s="32" t="n">
        <v>31.6</v>
      </c>
      <c r="Q338" s="32" t="n">
        <v>759.2</v>
      </c>
      <c r="R338" s="31" t="inlineStr">
        <is>
          <t>Earnings / Momentum Support</t>
        </is>
      </c>
      <c r="S338" s="31" t="inlineStr">
        <is>
          <t>Nifty Metal</t>
        </is>
      </c>
      <c r="T338" s="32" t="n">
        <v>30.52</v>
      </c>
      <c r="U338" s="32" t="n">
        <v>1.49</v>
      </c>
      <c r="V338" s="32" t="n">
        <v>-22.24</v>
      </c>
      <c r="W338" s="32" t="n">
        <v>23.31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Cyclical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20 to 40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Less than 1.5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IF(B339=0,"",RANK(B339,$B$2:$B$407,0))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SUZLON</t>
        </is>
      </c>
      <c r="D339" s="33" t="inlineStr">
        <is>
          <t>Suzlon Energy Limited</t>
        </is>
      </c>
      <c r="E339" s="31" t="inlineStr">
        <is>
          <t>industrials</t>
        </is>
      </c>
      <c r="F339" s="31" t="inlineStr">
        <is>
          <t>electric equipment</t>
        </is>
      </c>
      <c r="G339" s="31" t="inlineStr">
        <is>
          <t>largecap</t>
        </is>
      </c>
      <c r="H339" s="32" t="n">
        <v>80025.17</v>
      </c>
      <c r="I339" s="32" t="n">
        <v>57.67</v>
      </c>
      <c r="J339" s="32" t="n">
        <v>-1.17</v>
      </c>
      <c r="K339" s="32" t="n">
        <v>51175497</v>
      </c>
      <c r="L339" s="31" t="n">
        <v>29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60.16</v>
      </c>
      <c r="P339" s="32" t="n">
        <v>26.95</v>
      </c>
      <c r="Q339" s="32" t="n">
        <v>47.68</v>
      </c>
      <c r="R339" s="31" t="inlineStr">
        <is>
          <t>Earnings / Momentum Support</t>
        </is>
      </c>
      <c r="S339" s="31" t="inlineStr">
        <is>
          <t>Nifty 50</t>
        </is>
      </c>
      <c r="T339" s="32" t="n">
        <v>-5.05</v>
      </c>
      <c r="U339" s="32" t="n">
        <v>-11.99</v>
      </c>
      <c r="V339" s="32" t="n">
        <v>-7.32</v>
      </c>
      <c r="W339" s="32" t="n">
        <v>8.15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Less than 50%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IF(B340=0,"",RANK(B340,$B$2:$B$407,0))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IRISDOREME</t>
        </is>
      </c>
      <c r="D340" s="31" t="inlineStr">
        <is>
          <t>Iris Clothings Ltd</t>
        </is>
      </c>
      <c r="E340" s="31" t="inlineStr">
        <is>
          <t>consumer discretionary</t>
        </is>
      </c>
      <c r="F340" s="31" t="inlineStr">
        <is>
          <t>textiles - products</t>
        </is>
      </c>
      <c r="G340" s="31" t="inlineStr">
        <is>
          <t>smallcap</t>
        </is>
      </c>
      <c r="H340" s="32" t="n">
        <v>843.74</v>
      </c>
      <c r="I340" s="32" t="n">
        <v>42.85</v>
      </c>
      <c r="J340" s="32" t="n">
        <v>-3.34</v>
      </c>
      <c r="K340" s="32" t="n">
        <v>391488</v>
      </c>
      <c r="L340" s="31" t="n">
        <v>50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68.8</v>
      </c>
      <c r="P340" s="32" t="n">
        <v>19.13</v>
      </c>
      <c r="Q340" s="32" t="n">
        <v>30.85</v>
      </c>
      <c r="R340" s="31" t="inlineStr">
        <is>
          <t>Volume Spike &amp; Near 52W High Breakout</t>
        </is>
      </c>
      <c r="S340" s="31" t="inlineStr">
        <is>
          <t>Nifty 50</t>
        </is>
      </c>
      <c r="T340" s="32" t="n">
        <v>-5.05</v>
      </c>
      <c r="U340" s="32" t="n">
        <v>22.15</v>
      </c>
      <c r="V340" s="32" t="n">
        <v>28.64</v>
      </c>
      <c r="W340" s="32" t="n">
        <v>13.05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Negative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IF(B341=0,"",RANK(B341,$B$2:$B$407,0))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THEMISMED</t>
        </is>
      </c>
      <c r="D341" s="33" t="inlineStr">
        <is>
          <t>Themis Medicare Limited</t>
        </is>
      </c>
      <c r="E341" s="31" t="inlineStr">
        <is>
          <t>healthcare</t>
        </is>
      </c>
      <c r="F341" s="31" t="inlineStr">
        <is>
          <t>pharmaceuticals - indian - bulk drugs &amp; formln</t>
        </is>
      </c>
      <c r="G341" s="31" t="inlineStr">
        <is>
          <t>smallcap</t>
        </is>
      </c>
      <c r="H341" s="32" t="n">
        <v>1019.36</v>
      </c>
      <c r="I341" s="32" t="n">
        <v>119.11</v>
      </c>
      <c r="J341" s="32" t="n">
        <v>7.62</v>
      </c>
      <c r="K341" s="32" t="n">
        <v>1924896</v>
      </c>
      <c r="L341" s="31" t="n">
        <v>48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65.08</v>
      </c>
      <c r="P341" s="32" t="n">
        <v>21.92</v>
      </c>
      <c r="Q341" s="32" t="n">
        <v>81.42</v>
      </c>
      <c r="R341" s="31" t="inlineStr">
        <is>
          <t>Earnings / Momentum Support</t>
        </is>
      </c>
      <c r="S341" s="31" t="inlineStr">
        <is>
          <t>Nifty Pharma</t>
        </is>
      </c>
      <c r="T341" s="32" t="n">
        <v>13.06</v>
      </c>
      <c r="U341" s="32" t="n">
        <v>-4.16</v>
      </c>
      <c r="V341" s="32" t="n">
        <v>-15.24</v>
      </c>
      <c r="W341" s="32" t="n">
        <v>12.39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Yes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Annuity, Lower One Time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Negative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IF(B342=0,"",RANK(B342,$B$2:$B$407,0))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AGARWALEYE</t>
        </is>
      </c>
      <c r="D342" s="31" t="inlineStr">
        <is>
          <t>Dr Agarwals Health Care Ltd</t>
        </is>
      </c>
      <c r="E342" s="31" t="inlineStr">
        <is>
          <t>healthcare</t>
        </is>
      </c>
      <c r="F342" s="31" t="inlineStr">
        <is>
          <t>healthcare</t>
        </is>
      </c>
      <c r="G342" s="31" t="inlineStr">
        <is>
          <t>midcap</t>
        </is>
      </c>
      <c r="H342" s="32" t="n">
        <v>14859.86</v>
      </c>
      <c r="I342" s="32" t="n">
        <v>476.6</v>
      </c>
      <c r="J342" s="32" t="n">
        <v>1.61</v>
      </c>
      <c r="K342" s="32" t="n">
        <v>66531</v>
      </c>
      <c r="L342" s="31" t="n">
        <v>22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55.2</v>
      </c>
      <c r="P342" s="32" t="n">
        <v>14.37</v>
      </c>
      <c r="Q342" s="32" t="n">
        <v>391.3</v>
      </c>
      <c r="R342" s="31" t="inlineStr">
        <is>
          <t>Earnings / Momentum Support</t>
        </is>
      </c>
      <c r="S342" s="31" t="inlineStr">
        <is>
          <t>Nifty Pharma</t>
        </is>
      </c>
      <c r="T342" s="32" t="n">
        <v>13.06</v>
      </c>
      <c r="U342" s="32" t="n">
        <v>14.39</v>
      </c>
      <c r="V342" s="32" t="n">
        <v>1.17</v>
      </c>
      <c r="W342" s="32" t="n">
        <v>6.41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Yes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Annuity, Lower One Time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IF(B343=0,"",RANK(B343,$B$2:$B$407,0))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JLHL</t>
        </is>
      </c>
      <c r="D343" s="33" t="inlineStr">
        <is>
          <t>Jupiter Life Line Hospitals Ltd</t>
        </is>
      </c>
      <c r="E343" s="31" t="inlineStr">
        <is>
          <t>healthcare</t>
        </is>
      </c>
      <c r="F343" s="31" t="inlineStr">
        <is>
          <t>healthcare</t>
        </is>
      </c>
      <c r="G343" s="31" t="inlineStr">
        <is>
          <t>midcap</t>
        </is>
      </c>
      <c r="H343" s="32" t="n">
        <v>9471.01</v>
      </c>
      <c r="I343" s="32" t="n">
        <v>1454.9</v>
      </c>
      <c r="J343" s="32" t="n">
        <v>0.72</v>
      </c>
      <c r="K343" s="32" t="n">
        <v>17558</v>
      </c>
      <c r="L343" s="31" t="n">
        <v>9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64.39</v>
      </c>
      <c r="P343" s="32" t="n">
        <v>18.43</v>
      </c>
      <c r="Q343" s="32" t="n">
        <v>1216.14</v>
      </c>
      <c r="R343" s="31" t="inlineStr">
        <is>
          <t>Earnings / Momentum Support</t>
        </is>
      </c>
      <c r="S343" s="31" t="inlineStr">
        <is>
          <t>Nifty Pharma</t>
        </is>
      </c>
      <c r="T343" s="32" t="n">
        <v>13.06</v>
      </c>
      <c r="U343" s="32" t="n">
        <v>-3.45</v>
      </c>
      <c r="V343" s="32" t="n">
        <v>-14.61</v>
      </c>
      <c r="W343" s="32" t="n">
        <v>3.46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Annuity, Lower One Time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Between 12 to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IF(B344=0,"",RANK(B344,$B$2:$B$407,0))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MOREPENLAB</t>
        </is>
      </c>
      <c r="D344" s="33" t="inlineStr">
        <is>
          <t>Morepen Laboratories Limited</t>
        </is>
      </c>
      <c r="E344" s="31" t="inlineStr">
        <is>
          <t>healthcare</t>
        </is>
      </c>
      <c r="F344" s="31" t="inlineStr">
        <is>
          <t>pharmaceuticals - indian - bulk drugs &amp; formln</t>
        </is>
      </c>
      <c r="G344" s="31" t="inlineStr">
        <is>
          <t>smallcap</t>
        </is>
      </c>
      <c r="H344" s="32" t="n">
        <v>3434.57</v>
      </c>
      <c r="I344" s="32" t="n">
        <v>59.79</v>
      </c>
      <c r="J344" s="32" t="n">
        <v>-4.61</v>
      </c>
      <c r="K344" s="32" t="n">
        <v>14256376</v>
      </c>
      <c r="L344" s="31" t="n">
        <v>51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73.52</v>
      </c>
      <c r="P344" s="32" t="n">
        <v>17.83</v>
      </c>
      <c r="Q344" s="32" t="n">
        <v>44.27</v>
      </c>
      <c r="R344" s="31" t="inlineStr">
        <is>
          <t>Volume Spike &amp; Near 52W High Breakout</t>
        </is>
      </c>
      <c r="S344" s="31" t="inlineStr">
        <is>
          <t>Nifty Pharma</t>
        </is>
      </c>
      <c r="T344" s="32" t="n">
        <v>13.06</v>
      </c>
      <c r="U344" s="32" t="n">
        <v>-8.130000000000001</v>
      </c>
      <c r="V344" s="32" t="n">
        <v>-18.75</v>
      </c>
      <c r="W344" s="32" t="n">
        <v>13.45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Annuity, Lower One Time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Less than 50%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IF(B345=0,"",RANK(B345,$B$2:$B$407,0))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CANTABIL</t>
        </is>
      </c>
      <c r="D345" s="31" t="inlineStr">
        <is>
          <t>Cantabil Retail India Limited</t>
        </is>
      </c>
      <c r="E345" s="31" t="inlineStr">
        <is>
          <t>textiles</t>
        </is>
      </c>
      <c r="F345" s="31" t="inlineStr">
        <is>
          <t>textiles - products</t>
        </is>
      </c>
      <c r="G345" s="31" t="inlineStr">
        <is>
          <t>smallcap</t>
        </is>
      </c>
      <c r="H345" s="32" t="n">
        <v>2023.62</v>
      </c>
      <c r="I345" s="32" t="n">
        <v>269.36</v>
      </c>
      <c r="J345" s="32" t="n">
        <v>11.33</v>
      </c>
      <c r="K345" s="32" t="n">
        <v>3547455</v>
      </c>
      <c r="L345" s="31" t="n">
        <v>8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59.65</v>
      </c>
      <c r="P345" s="32" t="n">
        <v>11.29</v>
      </c>
      <c r="Q345" s="32" t="n">
        <v>206.06</v>
      </c>
      <c r="R345" s="31" t="inlineStr">
        <is>
          <t>Volume Spike / Accumulation</t>
        </is>
      </c>
      <c r="S345" s="31" t="inlineStr">
        <is>
          <t>Nifty 50</t>
        </is>
      </c>
      <c r="T345" s="32" t="n">
        <v>-5.05</v>
      </c>
      <c r="U345" s="32" t="n">
        <v>-0.67</v>
      </c>
      <c r="V345" s="32" t="n">
        <v>4.61</v>
      </c>
      <c r="W345" s="32" t="n">
        <v>3.3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1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Between 0.7 to 1.2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IF(B346=0,"",RANK(B346,$B$2:$B$407,0))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EMIL</t>
        </is>
      </c>
      <c r="D346" s="31" t="inlineStr">
        <is>
          <t>Electronics Mart India Ltd</t>
        </is>
      </c>
      <c r="E346" s="31" t="inlineStr">
        <is>
          <t>consumer discretionary</t>
        </is>
      </c>
      <c r="F346" s="31" t="inlineStr">
        <is>
          <t>trading</t>
        </is>
      </c>
      <c r="G346" s="31" t="inlineStr">
        <is>
          <t>smallcap</t>
        </is>
      </c>
      <c r="H346" s="32" t="n">
        <v>4917.86</v>
      </c>
      <c r="I346" s="32" t="n">
        <v>136.9</v>
      </c>
      <c r="J346" s="32" t="n">
        <v>7.1</v>
      </c>
      <c r="K346" s="32" t="n">
        <v>6397703</v>
      </c>
      <c r="L346" s="31" t="n">
        <v>38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64.78</v>
      </c>
      <c r="P346" s="32" t="n">
        <v>15.83</v>
      </c>
      <c r="Q346" s="32" t="n">
        <v>101.58</v>
      </c>
      <c r="R346" s="31" t="inlineStr">
        <is>
          <t>Earnings / Momentum Support</t>
        </is>
      </c>
      <c r="S346" s="31" t="inlineStr">
        <is>
          <t>Nifty 50</t>
        </is>
      </c>
      <c r="T346" s="32" t="n">
        <v>-5.05</v>
      </c>
      <c r="U346" s="32" t="n">
        <v>-4.94</v>
      </c>
      <c r="V346" s="32" t="n">
        <v>0.12</v>
      </c>
      <c r="W346" s="32" t="n">
        <v>10.41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Between 1.5 to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IF(B347=0,"",RANK(B347,$B$2:$B$407,0))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RGL</t>
        </is>
      </c>
      <c r="D347" s="31" t="inlineStr">
        <is>
          <t>Renaissance Global Ltd</t>
        </is>
      </c>
      <c r="E347" s="31" t="inlineStr">
        <is>
          <t>consumer discretionary</t>
        </is>
      </c>
      <c r="F347" s="31" t="inlineStr">
        <is>
          <t>diamond cutting / jewellery</t>
        </is>
      </c>
      <c r="G347" s="31" t="inlineStr">
        <is>
          <t>smallcap</t>
        </is>
      </c>
      <c r="H347" s="32" t="n">
        <v>1259.04</v>
      </c>
      <c r="I347" s="32" t="n">
        <v>120.52</v>
      </c>
      <c r="J347" s="32" t="n">
        <v>2.74</v>
      </c>
      <c r="K347" s="32" t="n">
        <v>531857</v>
      </c>
      <c r="L347" s="31" t="n">
        <v>10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57.16</v>
      </c>
      <c r="P347" s="32" t="n">
        <v>7.71</v>
      </c>
      <c r="Q347" s="32" t="n">
        <v>86.52</v>
      </c>
      <c r="R347" s="31" t="inlineStr">
        <is>
          <t>Earnings / Momentum Support</t>
        </is>
      </c>
      <c r="S347" s="31" t="inlineStr">
        <is>
          <t>Nifty 50</t>
        </is>
      </c>
      <c r="T347" s="32" t="n">
        <v>-5.05</v>
      </c>
      <c r="U347" s="32" t="n">
        <v>0.3</v>
      </c>
      <c r="V347" s="32" t="n">
        <v>5.63</v>
      </c>
      <c r="W347" s="32" t="n">
        <v>3.93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Between 1.5 to 2</t>
        </is>
      </c>
      <c r="BU347" s="31">
        <f>IF(BT347="Above 2",0,IF(BT347="Between 1.5 to 2",5,IF(BT347="Less than 1.5",10,0)))</f>
        <v/>
      </c>
      <c r="BV347" s="31" t="inlineStr">
        <is>
          <t>Less than 50%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IF(B348=0,"",RANK(B348,$B$2:$B$407,0))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ADANIENSOL</t>
        </is>
      </c>
      <c r="D348" s="31" t="inlineStr">
        <is>
          <t>Adani Energy Solutions Ltd</t>
        </is>
      </c>
      <c r="E348" s="31" t="inlineStr">
        <is>
          <t>power &amp; utilities</t>
        </is>
      </c>
      <c r="F348" s="31" t="inlineStr">
        <is>
          <t>power generation and supply</t>
        </is>
      </c>
      <c r="G348" s="31" t="inlineStr">
        <is>
          <t>largecap</t>
        </is>
      </c>
      <c r="H348" s="32" t="n">
        <v>182763.14</v>
      </c>
      <c r="I348" s="32" t="n">
        <v>1556.9</v>
      </c>
      <c r="J348" s="32" t="n">
        <v>2.33</v>
      </c>
      <c r="K348" s="32" t="n">
        <v>2583257</v>
      </c>
      <c r="L348" s="31" t="n">
        <v>83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70.41</v>
      </c>
      <c r="P348" s="32" t="n">
        <v>44.97</v>
      </c>
      <c r="Q348" s="32" t="n">
        <v>1242.28</v>
      </c>
      <c r="R348" s="31" t="inlineStr">
        <is>
          <t>Near 52W High Breakout</t>
        </is>
      </c>
      <c r="S348" s="31" t="inlineStr">
        <is>
          <t>Nifty IT</t>
        </is>
      </c>
      <c r="T348" s="32" t="n">
        <v>-31.15</v>
      </c>
      <c r="U348" s="32" t="n">
        <v>77.48999999999999</v>
      </c>
      <c r="V348" s="32" t="n">
        <v>157.8</v>
      </c>
      <c r="W348" s="32" t="n">
        <v>27.92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Above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2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Blue sky scenario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More than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IF(B349=0,"",RANK(B349,$B$2:$B$407,0))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PANACHE</t>
        </is>
      </c>
      <c r="D349" s="31" t="inlineStr">
        <is>
          <t>Panache Digilife Ltd</t>
        </is>
      </c>
      <c r="E349" s="31" t="inlineStr">
        <is>
          <t>i.t</t>
        </is>
      </c>
      <c r="F349" s="31" t="inlineStr">
        <is>
          <t>computers - hardware</t>
        </is>
      </c>
      <c r="G349" s="31" t="inlineStr">
        <is>
          <t>smallcap</t>
        </is>
      </c>
      <c r="H349" s="32" t="n">
        <v>658.58</v>
      </c>
      <c r="I349" s="32" t="n">
        <v>420</v>
      </c>
      <c r="J349" s="32" t="n">
        <v>2.13</v>
      </c>
      <c r="K349" s="32" t="n">
        <v>71877</v>
      </c>
      <c r="L349" s="31" t="n">
        <v>84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61.71</v>
      </c>
      <c r="P349" s="32" t="n">
        <v>17.09</v>
      </c>
      <c r="Q349" s="32" t="n">
        <v>305.35</v>
      </c>
      <c r="R349" s="31" t="inlineStr">
        <is>
          <t>Earnings / Momentum Support</t>
        </is>
      </c>
      <c r="S349" s="31" t="inlineStr">
        <is>
          <t>Nifty IT</t>
        </is>
      </c>
      <c r="T349" s="32" t="n">
        <v>-31.15</v>
      </c>
      <c r="U349" s="32" t="n">
        <v>87.77</v>
      </c>
      <c r="V349" s="32" t="n">
        <v>172.74</v>
      </c>
      <c r="W349" s="32" t="n">
        <v>28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Negative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IF(B350=0,"",RANK(B350,$B$2:$B$407,0))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ACE</t>
        </is>
      </c>
      <c r="D350" s="33" t="inlineStr">
        <is>
          <t>Action Construction Equipment Limited</t>
        </is>
      </c>
      <c r="E350" s="31" t="inlineStr">
        <is>
          <t>industrials</t>
        </is>
      </c>
      <c r="F350" s="31" t="inlineStr">
        <is>
          <t>engineering</t>
        </is>
      </c>
      <c r="G350" s="31" t="inlineStr">
        <is>
          <t>midcap</t>
        </is>
      </c>
      <c r="H350" s="32" t="n">
        <v>11897.6</v>
      </c>
      <c r="I350" s="32" t="n">
        <v>1016.7</v>
      </c>
      <c r="J350" s="32" t="n">
        <v>1.76</v>
      </c>
      <c r="K350" s="32" t="n">
        <v>208951</v>
      </c>
      <c r="L350" s="31" t="n">
        <v>5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60.48</v>
      </c>
      <c r="P350" s="32" t="n">
        <v>12.25</v>
      </c>
      <c r="Q350" s="32" t="n">
        <v>816.87</v>
      </c>
      <c r="R350" s="31" t="inlineStr">
        <is>
          <t>Earnings / Momentum Support</t>
        </is>
      </c>
      <c r="S350" s="31" t="inlineStr">
        <is>
          <t>Nifty 50</t>
        </is>
      </c>
      <c r="T350" s="32" t="n">
        <v>-5.05</v>
      </c>
      <c r="U350" s="32" t="n">
        <v>-14.24</v>
      </c>
      <c r="V350" s="32" t="n">
        <v>-9.68</v>
      </c>
      <c r="W350" s="32" t="n">
        <v>2.79</v>
      </c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IF(B351=0,"",RANK(B351,$B$2:$B$407,0))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VINCOFE</t>
        </is>
      </c>
      <c r="D351" s="31" t="inlineStr">
        <is>
          <t>Vintage Coffee &amp; Beverages Ltd</t>
        </is>
      </c>
      <c r="E351" s="31" t="inlineStr">
        <is>
          <t>consumer discretionary</t>
        </is>
      </c>
      <c r="F351" s="31" t="inlineStr">
        <is>
          <t>trading</t>
        </is>
      </c>
      <c r="G351" s="31" t="inlineStr">
        <is>
          <t>smallcap</t>
        </is>
      </c>
      <c r="H351" s="32" t="n">
        <v>2263.12</v>
      </c>
      <c r="I351" s="32" t="n">
        <v>157.05</v>
      </c>
      <c r="J351" s="32" t="n">
        <v>1.1</v>
      </c>
      <c r="K351" s="32" t="n">
        <v>2765691</v>
      </c>
      <c r="L351" s="31" t="n">
        <v>22</v>
      </c>
      <c r="M351" s="31" t="inlineStr">
        <is>
          <t>Outperforming</t>
        </is>
      </c>
      <c r="N351" s="32">
        <f>IF(M351="Underperforming",-5,IF(L351&gt;=95,15,IF(L351&gt;=90,10,IF(L351&gt;=80,5,0))))</f>
        <v/>
      </c>
      <c r="O351" s="32" t="n">
        <v>58.22</v>
      </c>
      <c r="P351" s="32" t="n">
        <v>15.96</v>
      </c>
      <c r="Q351" s="32" t="n">
        <v>117.55</v>
      </c>
      <c r="R351" s="31" t="inlineStr">
        <is>
          <t>Earnings / Momentum Support</t>
        </is>
      </c>
      <c r="S351" s="31" t="inlineStr">
        <is>
          <t>Nifty 50</t>
        </is>
      </c>
      <c r="T351" s="32" t="n">
        <v>-5.05</v>
      </c>
      <c r="U351" s="32" t="n">
        <v>10.91</v>
      </c>
      <c r="V351" s="32" t="n">
        <v>16.81</v>
      </c>
      <c r="W351" s="32" t="n">
        <v>6.43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Between 12 to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Between 1.5 to 2</t>
        </is>
      </c>
      <c r="BU351" s="31">
        <f>IF(BT351="Above 2",0,IF(BT351="Between 1.5 to 2",5,IF(BT351="Less than 1.5",10,0)))</f>
        <v/>
      </c>
      <c r="BV351" s="31" t="inlineStr">
        <is>
          <t>Less than 50%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IF(B352=0,"",RANK(B352,$B$2:$B$407,0))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SUPRAJIT</t>
        </is>
      </c>
      <c r="D352" s="33" t="inlineStr">
        <is>
          <t>Suprajit Engineering Limited</t>
        </is>
      </c>
      <c r="E352" s="31" t="inlineStr">
        <is>
          <t>auto</t>
        </is>
      </c>
      <c r="F352" s="31" t="inlineStr">
        <is>
          <t>auto ancillaries</t>
        </is>
      </c>
      <c r="G352" s="31" t="inlineStr">
        <is>
          <t>midcap</t>
        </is>
      </c>
      <c r="H352" s="32" t="n">
        <v>6395.6</v>
      </c>
      <c r="I352" s="32" t="n">
        <v>471.35</v>
      </c>
      <c r="J352" s="32" t="n">
        <v>1.09</v>
      </c>
      <c r="K352" s="32" t="n">
        <v>67548</v>
      </c>
      <c r="L352" s="31" t="n">
        <v>8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57.13</v>
      </c>
      <c r="P352" s="32" t="n">
        <v>27.76</v>
      </c>
      <c r="Q352" s="32" t="n">
        <v>378.92</v>
      </c>
      <c r="R352" s="31" t="inlineStr">
        <is>
          <t>Near 52W High Breakout</t>
        </is>
      </c>
      <c r="S352" s="31" t="inlineStr">
        <is>
          <t>Nifty Auto</t>
        </is>
      </c>
      <c r="T352" s="32" t="n">
        <v>13.04</v>
      </c>
      <c r="U352" s="32" t="n">
        <v>-0.01</v>
      </c>
      <c r="V352" s="32" t="n">
        <v>-11.55</v>
      </c>
      <c r="W352" s="32" t="n">
        <v>3.28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20 to 40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Less than 50%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IF(B353=0,"",RANK(B353,$B$2:$B$407,0))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INDIGO</t>
        </is>
      </c>
      <c r="D353" s="33" t="inlineStr">
        <is>
          <t>Interglobe Aviation Limited</t>
        </is>
      </c>
      <c r="E353" s="31" t="inlineStr">
        <is>
          <t>transportation</t>
        </is>
      </c>
      <c r="F353" s="31" t="inlineStr">
        <is>
          <t>transport - airlines</t>
        </is>
      </c>
      <c r="G353" s="31" t="inlineStr">
        <is>
          <t>largecap</t>
        </is>
      </c>
      <c r="H353" s="32" t="n">
        <v>208732.36</v>
      </c>
      <c r="I353" s="32" t="n">
        <v>5444</v>
      </c>
      <c r="J353" s="32" t="n">
        <v>0.83</v>
      </c>
      <c r="K353" s="32" t="n">
        <v>991002</v>
      </c>
      <c r="L353" s="31" t="n">
        <v>20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64.45999999999999</v>
      </c>
      <c r="P353" s="32" t="n">
        <v>29.25</v>
      </c>
      <c r="Q353" s="32" t="n">
        <v>4448.82</v>
      </c>
      <c r="R353" s="31" t="inlineStr">
        <is>
          <t>Earnings / Momentum Support</t>
        </is>
      </c>
      <c r="S353" s="31" t="inlineStr">
        <is>
          <t>Nifty 50</t>
        </is>
      </c>
      <c r="T353" s="32" t="n">
        <v>-5.05</v>
      </c>
      <c r="U353" s="32" t="n">
        <v>-5.21</v>
      </c>
      <c r="V353" s="32" t="n">
        <v>-0.17</v>
      </c>
      <c r="W353" s="32" t="n">
        <v>6.11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20 to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More than 1.2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IF(B354=0,"",RANK(B354,$B$2:$B$407,0))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KAMDHENU</t>
        </is>
      </c>
      <c r="D354" s="33" t="inlineStr">
        <is>
          <t>Kamdhenu Limited</t>
        </is>
      </c>
      <c r="E354" s="31" t="inlineStr">
        <is>
          <t>metals &amp; mining</t>
        </is>
      </c>
      <c r="F354" s="31" t="inlineStr">
        <is>
          <t>steel - medium / small</t>
        </is>
      </c>
      <c r="G354" s="31" t="inlineStr">
        <is>
          <t>smallcap</t>
        </is>
      </c>
      <c r="H354" s="32" t="n">
        <v>876.66</v>
      </c>
      <c r="I354" s="32" t="n">
        <v>31.2</v>
      </c>
      <c r="J354" s="32" t="n">
        <v>0.32</v>
      </c>
      <c r="K354" s="32" t="n">
        <v>875789</v>
      </c>
      <c r="L354" s="31" t="n">
        <v>60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65.23999999999999</v>
      </c>
      <c r="P354" s="32" t="n">
        <v>23.17</v>
      </c>
      <c r="Q354" s="32" t="n">
        <v>21.9</v>
      </c>
      <c r="R354" s="31" t="inlineStr">
        <is>
          <t>Near 52W High Breakout</t>
        </is>
      </c>
      <c r="S354" s="31" t="inlineStr">
        <is>
          <t>Nifty Metal</t>
        </is>
      </c>
      <c r="T354" s="32" t="n">
        <v>30.52</v>
      </c>
      <c r="U354" s="32" t="n">
        <v>-0.08</v>
      </c>
      <c r="V354" s="32" t="n">
        <v>-23.44</v>
      </c>
      <c r="W354" s="32" t="n">
        <v>15.79</v>
      </c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Cyclical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20 to 40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2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Between 50% to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IF(B355=0,"",RANK(B355,$B$2:$B$407,0))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NOCIL</t>
        </is>
      </c>
      <c r="D355" s="33" t="inlineStr">
        <is>
          <t>Nocil Limited</t>
        </is>
      </c>
      <c r="E355" s="31" t="inlineStr">
        <is>
          <t>chemicals</t>
        </is>
      </c>
      <c r="F355" s="31" t="inlineStr">
        <is>
          <t>chemicals</t>
        </is>
      </c>
      <c r="G355" s="31" t="inlineStr">
        <is>
          <t>smallcap</t>
        </is>
      </c>
      <c r="H355" s="32" t="n">
        <v>2986.24</v>
      </c>
      <c r="I355" s="32" t="n">
        <v>179.16</v>
      </c>
      <c r="J355" s="32" t="n">
        <v>0.21</v>
      </c>
      <c r="K355" s="32" t="n">
        <v>325985</v>
      </c>
      <c r="L355" s="31" t="n">
        <v>1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57.73</v>
      </c>
      <c r="P355" s="32" t="n">
        <v>19.54</v>
      </c>
      <c r="Q355" s="32" t="n">
        <v>139.52</v>
      </c>
      <c r="R355" s="31" t="inlineStr">
        <is>
          <t>Earnings / Momentum Support</t>
        </is>
      </c>
      <c r="S355" s="31" t="inlineStr">
        <is>
          <t>Nifty 50</t>
        </is>
      </c>
      <c r="T355" s="32" t="n">
        <v>-5.05</v>
      </c>
      <c r="U355" s="32" t="n">
        <v>-9.619999999999999</v>
      </c>
      <c r="V355" s="32" t="n">
        <v>-4.81</v>
      </c>
      <c r="W355" s="32" t="n">
        <v>0.18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2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IF(B356=0,"",RANK(B356,$B$2:$B$407,0))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3" t="inlineStr">
        <is>
          <t>VENUSPIPES</t>
        </is>
      </c>
      <c r="D356" s="33" t="inlineStr">
        <is>
          <t>Venus Pipes &amp; Tubes Ltd</t>
        </is>
      </c>
      <c r="E356" s="31" t="inlineStr">
        <is>
          <t>metals &amp; mining</t>
        </is>
      </c>
      <c r="F356" s="31" t="inlineStr">
        <is>
          <t>steel - medium / small</t>
        </is>
      </c>
      <c r="G356" s="31" t="inlineStr">
        <is>
          <t>smallcap</t>
        </is>
      </c>
      <c r="H356" s="32" t="n">
        <v>3743.4</v>
      </c>
      <c r="I356" s="32" t="n">
        <v>1782.8</v>
      </c>
      <c r="J356" s="32" t="n">
        <v>-1.34</v>
      </c>
      <c r="K356" s="32" t="n">
        <v>105765</v>
      </c>
      <c r="L356" s="31" t="n">
        <v>80</v>
      </c>
      <c r="M356" s="31" t="inlineStr">
        <is>
          <t>Underperforming</t>
        </is>
      </c>
      <c r="N356" s="32">
        <f>IF(M356="Underperforming",-5,IF(L356&gt;=95,15,IF(L356&gt;=90,10,IF(L356&gt;=80,5,0))))</f>
        <v/>
      </c>
      <c r="O356" s="32" t="n">
        <v>73.68000000000001</v>
      </c>
      <c r="P356" s="32" t="n">
        <v>20.82</v>
      </c>
      <c r="Q356" s="32" t="n">
        <v>1365.38</v>
      </c>
      <c r="R356" s="31" t="inlineStr">
        <is>
          <t>Near 52W High Breakout</t>
        </is>
      </c>
      <c r="S356" s="31" t="inlineStr">
        <is>
          <t>Nifty Metal</t>
        </is>
      </c>
      <c r="T356" s="32" t="n">
        <v>30.52</v>
      </c>
      <c r="U356" s="32" t="n">
        <v>22.41</v>
      </c>
      <c r="V356" s="32" t="n">
        <v>-6.21</v>
      </c>
      <c r="W356" s="32" t="n">
        <v>25.14</v>
      </c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Cyclical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Yes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20 to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Between 50% to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IF(B357=0,"",RANK(B357,$B$2:$B$407,0))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NEOGEN</t>
        </is>
      </c>
      <c r="D357" s="31" t="inlineStr">
        <is>
          <t>Neogen Chemicals Ltd</t>
        </is>
      </c>
      <c r="E357" s="31" t="inlineStr">
        <is>
          <t>chemicals</t>
        </is>
      </c>
      <c r="F357" s="31" t="inlineStr">
        <is>
          <t>chemicals</t>
        </is>
      </c>
      <c r="G357" s="31" t="inlineStr">
        <is>
          <t>midcap</t>
        </is>
      </c>
      <c r="H357" s="32" t="n">
        <v>5513.57</v>
      </c>
      <c r="I357" s="32" t="n">
        <v>1970.7</v>
      </c>
      <c r="J357" s="32" t="n">
        <v>-2.13</v>
      </c>
      <c r="K357" s="32" t="n">
        <v>35429</v>
      </c>
      <c r="L357" s="31" t="n">
        <v>73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65.55</v>
      </c>
      <c r="P357" s="32" t="n">
        <v>39.65</v>
      </c>
      <c r="Q357" s="32" t="n">
        <v>1519.45</v>
      </c>
      <c r="R357" s="31" t="inlineStr">
        <is>
          <t>Volume Spike &amp; Near 52W High Breakout</t>
        </is>
      </c>
      <c r="S357" s="31" t="inlineStr">
        <is>
          <t>Nifty 50</t>
        </is>
      </c>
      <c r="T357" s="32" t="n">
        <v>-5.05</v>
      </c>
      <c r="U357" s="32" t="n">
        <v>22</v>
      </c>
      <c r="V357" s="32" t="n">
        <v>28.48</v>
      </c>
      <c r="W357" s="32" t="n">
        <v>20.64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Yes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Yes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Negative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More than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IF(B358=0,"",RANK(B358,$B$2:$B$407,0))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HCG</t>
        </is>
      </c>
      <c r="D358" s="31" t="inlineStr">
        <is>
          <t>Healthcare Global Enterprises Limited</t>
        </is>
      </c>
      <c r="E358" s="31" t="inlineStr">
        <is>
          <t>healthcare</t>
        </is>
      </c>
      <c r="F358" s="31" t="inlineStr">
        <is>
          <t>healthcare</t>
        </is>
      </c>
      <c r="G358" s="31" t="inlineStr">
        <is>
          <t>midcap</t>
        </is>
      </c>
      <c r="H358" s="32" t="n">
        <v>9465.01</v>
      </c>
      <c r="I358" s="32" t="n">
        <v>645.1</v>
      </c>
      <c r="J358" s="32" t="n">
        <v>1.76</v>
      </c>
      <c r="K358" s="32" t="n">
        <v>212756</v>
      </c>
      <c r="L358" s="31" t="n">
        <v>30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58.3</v>
      </c>
      <c r="P358" s="32" t="n">
        <v>20.85</v>
      </c>
      <c r="Q358" s="32" t="n">
        <v>529.3200000000001</v>
      </c>
      <c r="R358" s="31" t="inlineStr">
        <is>
          <t>Earnings / Momentum Support</t>
        </is>
      </c>
      <c r="S358" s="31" t="inlineStr">
        <is>
          <t>Nifty Pharma</t>
        </is>
      </c>
      <c r="T358" s="32" t="n">
        <v>13.06</v>
      </c>
      <c r="U358" s="32" t="n">
        <v>14.6</v>
      </c>
      <c r="V358" s="32" t="n">
        <v>1.36</v>
      </c>
      <c r="W358" s="32" t="n">
        <v>8.4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Yes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Annuity, Lower One Time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20 to 40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2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More than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IF(B359=0,"",RANK(B359,$B$2:$B$407,0))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UNITDSPR</t>
        </is>
      </c>
      <c r="D359" s="31" t="inlineStr">
        <is>
          <t>United Spirits Ltd</t>
        </is>
      </c>
      <c r="E359" s="31" t="inlineStr">
        <is>
          <t>fmcg</t>
        </is>
      </c>
      <c r="F359" s="31" t="inlineStr">
        <is>
          <t>breweries &amp; distilleries</t>
        </is>
      </c>
      <c r="G359" s="31" t="inlineStr">
        <is>
          <t>largecap</t>
        </is>
      </c>
      <c r="H359" s="32" t="n">
        <v>98366.92999999999</v>
      </c>
      <c r="I359" s="32" t="n">
        <v>1373.4</v>
      </c>
      <c r="J359" s="32" t="n">
        <v>1.55</v>
      </c>
      <c r="K359" s="32" t="n">
        <v>320446</v>
      </c>
      <c r="L359" s="31" t="n">
        <v>6</v>
      </c>
      <c r="M359" s="31" t="inlineStr">
        <is>
          <t>Outperforming</t>
        </is>
      </c>
      <c r="N359" s="32">
        <f>IF(M359="Underperforming",-5,IF(L359&gt;=95,15,IF(L359&gt;=90,10,IF(L359&gt;=80,5,0))))</f>
        <v/>
      </c>
      <c r="O359" s="32" t="n">
        <v>54.94</v>
      </c>
      <c r="P359" s="32" t="n">
        <v>16.15</v>
      </c>
      <c r="Q359" s="32" t="n">
        <v>1177.66</v>
      </c>
      <c r="R359" s="31" t="inlineStr">
        <is>
          <t>Earnings / Momentum Support</t>
        </is>
      </c>
      <c r="S359" s="31" t="inlineStr">
        <is>
          <t>Nifty FMCG</t>
        </is>
      </c>
      <c r="T359" s="32" t="n">
        <v>-8.5</v>
      </c>
      <c r="U359" s="32" t="n">
        <v>0.7</v>
      </c>
      <c r="V359" s="32" t="n">
        <v>10.05</v>
      </c>
      <c r="W359" s="32" t="n">
        <v>2.91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B2C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Annuity, Lower One Time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1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Yes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Between 50% to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IF(B360=0,"",RANK(B360,$B$2:$B$407,0))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INDIGOPNTS</t>
        </is>
      </c>
      <c r="D360" s="33" t="inlineStr">
        <is>
          <t>Indigo Paints Ltd</t>
        </is>
      </c>
      <c r="E360" s="31" t="inlineStr">
        <is>
          <t>building materials</t>
        </is>
      </c>
      <c r="F360" s="31" t="inlineStr">
        <is>
          <t>paints / varnishes</t>
        </is>
      </c>
      <c r="G360" s="31" t="inlineStr">
        <is>
          <t>smallcap</t>
        </is>
      </c>
      <c r="H360" s="32" t="n">
        <v>4876.74</v>
      </c>
      <c r="I360" s="32" t="n">
        <v>1079.1</v>
      </c>
      <c r="J360" s="32" t="n">
        <v>5.49</v>
      </c>
      <c r="K360" s="32" t="n">
        <v>437413</v>
      </c>
      <c r="L360" s="31" t="n">
        <v>32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59.66</v>
      </c>
      <c r="P360" s="32" t="n">
        <v>15.34</v>
      </c>
      <c r="Q360" s="32" t="n">
        <v>841.12</v>
      </c>
      <c r="R360" s="31" t="inlineStr">
        <is>
          <t>Earnings / Momentum Support</t>
        </is>
      </c>
      <c r="S360" s="31" t="inlineStr">
        <is>
          <t>Nifty Infra</t>
        </is>
      </c>
      <c r="T360" s="32" t="n">
        <v>0.23</v>
      </c>
      <c r="U360" s="32" t="n">
        <v>-9.93</v>
      </c>
      <c r="V360" s="32" t="n">
        <v>-10.14</v>
      </c>
      <c r="W360" s="32" t="n">
        <v>8.970000000000001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2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IF(B361=0,"",RANK(B361,$B$2:$B$407,0))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3" t="inlineStr">
        <is>
          <t>CEATLTD</t>
        </is>
      </c>
      <c r="D361" s="33" t="inlineStr">
        <is>
          <t>Ceat Limited</t>
        </is>
      </c>
      <c r="E361" s="31" t="inlineStr">
        <is>
          <t>auto</t>
        </is>
      </c>
      <c r="F361" s="31" t="inlineStr">
        <is>
          <t>tyres</t>
        </is>
      </c>
      <c r="G361" s="31" t="inlineStr">
        <is>
          <t>midcap</t>
        </is>
      </c>
      <c r="H361" s="32" t="n">
        <v>14702.8</v>
      </c>
      <c r="I361" s="32" t="n">
        <v>3805.8</v>
      </c>
      <c r="J361" s="32" t="n">
        <v>4.7</v>
      </c>
      <c r="K361" s="32" t="n">
        <v>514759</v>
      </c>
      <c r="L361" s="31" t="n">
        <v>11</v>
      </c>
      <c r="M361" s="31" t="inlineStr">
        <is>
          <t>Underperforming</t>
        </is>
      </c>
      <c r="N361" s="32">
        <f>IF(M361="Underperforming",-5,IF(L361&gt;=95,15,IF(L361&gt;=90,10,IF(L361&gt;=80,5,0))))</f>
        <v/>
      </c>
      <c r="O361" s="32" t="n">
        <v>60.04</v>
      </c>
      <c r="P361" s="32" t="n">
        <v>6.7</v>
      </c>
      <c r="Q361" s="32" t="n">
        <v>3005.75</v>
      </c>
      <c r="R361" s="31" t="inlineStr">
        <is>
          <t>Earnings / Momentum Support</t>
        </is>
      </c>
      <c r="S361" s="31" t="inlineStr">
        <is>
          <t>Nifty Auto</t>
        </is>
      </c>
      <c r="T361" s="32" t="n">
        <v>13.04</v>
      </c>
      <c r="U361" s="32" t="n">
        <v>6.42</v>
      </c>
      <c r="V361" s="32" t="n">
        <v>-5.86</v>
      </c>
      <c r="W361" s="32" t="n">
        <v>4.3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1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IF(B362=0,"",RANK(B362,$B$2:$B$407,0))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MAHLOG</t>
        </is>
      </c>
      <c r="D362" s="31" t="inlineStr">
        <is>
          <t>Mahindra Logistics Ltd</t>
        </is>
      </c>
      <c r="E362" s="31" t="inlineStr">
        <is>
          <t>transportation</t>
        </is>
      </c>
      <c r="F362" s="31" t="inlineStr">
        <is>
          <t>miscellaneous</t>
        </is>
      </c>
      <c r="G362" s="31" t="inlineStr">
        <is>
          <t>smallcap</t>
        </is>
      </c>
      <c r="H362" s="32" t="n">
        <v>3685.12</v>
      </c>
      <c r="I362" s="32" t="n">
        <v>386.4</v>
      </c>
      <c r="J362" s="32" t="n">
        <v>4.04</v>
      </c>
      <c r="K362" s="32" t="n">
        <v>198057</v>
      </c>
      <c r="L362" s="31" t="n">
        <v>12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55.67</v>
      </c>
      <c r="P362" s="32" t="n">
        <v>16.06</v>
      </c>
      <c r="Q362" s="32" t="n">
        <v>339.6</v>
      </c>
      <c r="R362" s="31" t="inlineStr">
        <is>
          <t>Earnings / Momentum Support</t>
        </is>
      </c>
      <c r="S362" s="31" t="inlineStr">
        <is>
          <t>Nifty 50</t>
        </is>
      </c>
      <c r="T362" s="32" t="n">
        <v>-5.05</v>
      </c>
      <c r="U362" s="32" t="n">
        <v>10.06</v>
      </c>
      <c r="V362" s="32" t="n">
        <v>15.91</v>
      </c>
      <c r="W362" s="32" t="n">
        <v>4.44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IF(B363=0,"",RANK(B363,$B$2:$B$407,0))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3" t="inlineStr">
        <is>
          <t>REDINGTON</t>
        </is>
      </c>
      <c r="D363" s="33" t="inlineStr">
        <is>
          <t>Redington (india) Limited</t>
        </is>
      </c>
      <c r="E363" s="31" t="inlineStr">
        <is>
          <t>services</t>
        </is>
      </c>
      <c r="F363" s="31" t="inlineStr">
        <is>
          <t>trading</t>
        </is>
      </c>
      <c r="G363" s="31" t="inlineStr">
        <is>
          <t>largecap</t>
        </is>
      </c>
      <c r="H363" s="32" t="n">
        <v>21393.26</v>
      </c>
      <c r="I363" s="32" t="n">
        <v>279.2</v>
      </c>
      <c r="J363" s="32" t="n">
        <v>2.03</v>
      </c>
      <c r="K363" s="32" t="n">
        <v>3556931</v>
      </c>
      <c r="L363" s="31" t="n">
        <v>33</v>
      </c>
      <c r="M363" s="31" t="inlineStr">
        <is>
          <t>Underperforming</t>
        </is>
      </c>
      <c r="N363" s="32">
        <f>IF(M363="Underperforming",-5,IF(L363&gt;=95,15,IF(L363&gt;=90,10,IF(L363&gt;=80,5,0))))</f>
        <v/>
      </c>
      <c r="O363" s="32" t="n">
        <v>62.83</v>
      </c>
      <c r="P363" s="32" t="n">
        <v>15.15</v>
      </c>
      <c r="Q363" s="32" t="n">
        <v>212.31</v>
      </c>
      <c r="R363" s="31" t="inlineStr">
        <is>
          <t>Earnings / Momentum Support</t>
        </is>
      </c>
      <c r="S363" s="31" t="inlineStr">
        <is>
          <t>Nifty 50</t>
        </is>
      </c>
      <c r="T363" s="32" t="n">
        <v>-5.05</v>
      </c>
      <c r="U363" s="32" t="n">
        <v>-8.51</v>
      </c>
      <c r="V363" s="32" t="n">
        <v>-3.64</v>
      </c>
      <c r="W363" s="32" t="n">
        <v>9.02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2</t>
        </is>
      </c>
      <c r="BC363" s="31">
        <f>IF(BB363="Stage 2",20,IF(BB363="Stage 1",0,IF(BB363="Stage 3",5,IF(BB363="Stage 4",-5,0))))</f>
        <v/>
      </c>
      <c r="BD363" s="31" t="inlineStr">
        <is>
          <t>Positive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Less than 50%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IF(B364=0,"",RANK(B364,$B$2:$B$407,0))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PANAMAPET</t>
        </is>
      </c>
      <c r="D364" s="31" t="inlineStr">
        <is>
          <t>Panama Petrochem Limited</t>
        </is>
      </c>
      <c r="E364" s="31" t="inlineStr">
        <is>
          <t>energy</t>
        </is>
      </c>
      <c r="F364" s="31" t="inlineStr">
        <is>
          <t>petrochemicals</t>
        </is>
      </c>
      <c r="G364" s="31" t="inlineStr">
        <is>
          <t>smallcap</t>
        </is>
      </c>
      <c r="H364" s="32" t="n">
        <v>2522.89</v>
      </c>
      <c r="I364" s="32" t="n">
        <v>424.85</v>
      </c>
      <c r="J364" s="32" t="n">
        <v>1.87</v>
      </c>
      <c r="K364" s="32" t="n">
        <v>593846</v>
      </c>
      <c r="L364" s="31" t="n">
        <v>69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65.09999999999999</v>
      </c>
      <c r="P364" s="32" t="n">
        <v>30.13</v>
      </c>
      <c r="Q364" s="32" t="n">
        <v>351.42</v>
      </c>
      <c r="R364" s="31" t="inlineStr">
        <is>
          <t>Earnings / Momentum Support</t>
        </is>
      </c>
      <c r="S364" s="31" t="inlineStr">
        <is>
          <t>Nifty Energy</t>
        </is>
      </c>
      <c r="T364" s="32" t="n">
        <v>8.76</v>
      </c>
      <c r="U364" s="32" t="n">
        <v>21.02</v>
      </c>
      <c r="V364" s="32" t="n">
        <v>11.28</v>
      </c>
      <c r="W364" s="32" t="n">
        <v>18.76</v>
      </c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Oligopoly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Yes</t>
        </is>
      </c>
      <c r="AC364" s="31">
        <f>IF(AB364="No",5,0)</f>
        <v/>
      </c>
      <c r="AD364" s="31" t="inlineStr">
        <is>
          <t>Tailwind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20 to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2</t>
        </is>
      </c>
      <c r="BC364" s="31">
        <f>IF(BB364="Stage 2",20,IF(BB364="Stage 1",0,IF(BB364="Stage 3",5,IF(BB364="Stage 4",-5,0))))</f>
        <v/>
      </c>
      <c r="BD364" s="31" t="inlineStr">
        <is>
          <t>Positive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More than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Negative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IF(B365=0,"",RANK(B365,$B$2:$B$407,0))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RELTD</t>
        </is>
      </c>
      <c r="D365" s="31" t="inlineStr">
        <is>
          <t>Ravindra Energy Ltd</t>
        </is>
      </c>
      <c r="E365" s="31" t="inlineStr">
        <is>
          <t>industrials</t>
        </is>
      </c>
      <c r="F365" s="31" t="inlineStr">
        <is>
          <t>electric equipment</t>
        </is>
      </c>
      <c r="G365" s="31" t="inlineStr">
        <is>
          <t>smallcap</t>
        </is>
      </c>
      <c r="H365" s="32" t="n">
        <v>3260.78</v>
      </c>
      <c r="I365" s="32" t="n">
        <v>166.09</v>
      </c>
      <c r="J365" s="32" t="n">
        <v>1.13</v>
      </c>
      <c r="K365" s="32" t="n">
        <v>393241</v>
      </c>
      <c r="L365" s="31" t="n">
        <v>41</v>
      </c>
      <c r="M365" s="31" t="inlineStr">
        <is>
          <t>Outperforming</t>
        </is>
      </c>
      <c r="N365" s="32">
        <f>IF(M365="Underperforming",-5,IF(L365&gt;=95,15,IF(L365&gt;=90,10,IF(L365&gt;=80,5,0))))</f>
        <v/>
      </c>
      <c r="O365" s="32" t="n">
        <v>60.93</v>
      </c>
      <c r="P365" s="32" t="n">
        <v>14.02</v>
      </c>
      <c r="Q365" s="32" t="n">
        <v>117.37</v>
      </c>
      <c r="R365" s="31" t="inlineStr">
        <is>
          <t>Earnings / Momentum Support</t>
        </is>
      </c>
      <c r="S365" s="31" t="inlineStr">
        <is>
          <t>Nifty 50</t>
        </is>
      </c>
      <c r="T365" s="32" t="n">
        <v>-5.05</v>
      </c>
      <c r="U365" s="32" t="n">
        <v>25.35</v>
      </c>
      <c r="V365" s="32" t="n">
        <v>32.02</v>
      </c>
      <c r="W365" s="32" t="n">
        <v>11.02</v>
      </c>
      <c r="X365" s="31" t="inlineStr">
        <is>
          <t>Cyclical in an Upturn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2</t>
        </is>
      </c>
      <c r="BC365" s="31">
        <f>IF(BB365="Stage 2",20,IF(BB365="Stage 1",0,IF(BB365="Stage 3",5,IF(BB365="Stage 4",-5,0))))</f>
        <v/>
      </c>
      <c r="BD365" s="31" t="inlineStr">
        <is>
          <t>Positive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More than 1.2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IF(B366=0,"",RANK(B366,$B$2:$B$407,0))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GODREJIND</t>
        </is>
      </c>
      <c r="D366" s="31" t="inlineStr">
        <is>
          <t>Godrej Industries Limited</t>
        </is>
      </c>
      <c r="E366" s="31" t="inlineStr">
        <is>
          <t>chemicals</t>
        </is>
      </c>
      <c r="F366" s="31" t="inlineStr">
        <is>
          <t>chemicals</t>
        </is>
      </c>
      <c r="G366" s="31" t="inlineStr">
        <is>
          <t>largecap</t>
        </is>
      </c>
      <c r="H366" s="32" t="n">
        <v>40329.01</v>
      </c>
      <c r="I366" s="32" t="n">
        <v>1208</v>
      </c>
      <c r="J366" s="32" t="n">
        <v>0.89</v>
      </c>
      <c r="K366" s="32" t="n">
        <v>185256</v>
      </c>
      <c r="L366" s="31" t="n">
        <v>44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62.37</v>
      </c>
      <c r="P366" s="32" t="n">
        <v>28.27</v>
      </c>
      <c r="Q366" s="32" t="n">
        <v>927.6</v>
      </c>
      <c r="R366" s="31" t="inlineStr">
        <is>
          <t>Earnings / Momentum Support</t>
        </is>
      </c>
      <c r="S366" s="31" t="inlineStr">
        <is>
          <t>Nifty 50</t>
        </is>
      </c>
      <c r="T366" s="32" t="n">
        <v>-5.05</v>
      </c>
      <c r="U366" s="32" t="n">
        <v>3.99</v>
      </c>
      <c r="V366" s="32" t="n">
        <v>9.52</v>
      </c>
      <c r="W366" s="32" t="n">
        <v>11.58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Tailwind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20 to 40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2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More than 20%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Negative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More than 1.2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IF(B367=0,"",RANK(B367,$B$2:$B$407,0))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3" t="inlineStr">
        <is>
          <t>LLOYDSME</t>
        </is>
      </c>
      <c r="D367" s="33" t="inlineStr">
        <is>
          <t>Lloyds Metals &amp; Energy Ltd</t>
        </is>
      </c>
      <c r="E367" s="31" t="inlineStr">
        <is>
          <t>metals &amp; mining</t>
        </is>
      </c>
      <c r="F367" s="31" t="inlineStr">
        <is>
          <t>mining / minerals / metals</t>
        </is>
      </c>
      <c r="G367" s="31" t="inlineStr">
        <is>
          <t>largecap</t>
        </is>
      </c>
      <c r="H367" s="32" t="n">
        <v>101633.36</v>
      </c>
      <c r="I367" s="32" t="n">
        <v>1811.9</v>
      </c>
      <c r="J367" s="32" t="n">
        <v>0.33</v>
      </c>
      <c r="K367" s="32" t="n">
        <v>427477</v>
      </c>
      <c r="L367" s="31" t="n">
        <v>38</v>
      </c>
      <c r="M367" s="31" t="inlineStr">
        <is>
          <t>Underperforming</t>
        </is>
      </c>
      <c r="N367" s="32">
        <f>IF(M367="Underperforming",-5,IF(L367&gt;=95,15,IF(L367&gt;=90,10,IF(L367&gt;=80,5,0))))</f>
        <v/>
      </c>
      <c r="O367" s="32" t="n">
        <v>69.02</v>
      </c>
      <c r="P367" s="32" t="n">
        <v>43.88</v>
      </c>
      <c r="Q367" s="32" t="n">
        <v>1468.59</v>
      </c>
      <c r="R367" s="31" t="inlineStr">
        <is>
          <t>Near 52W High Breakout</t>
        </is>
      </c>
      <c r="S367" s="31" t="inlineStr">
        <is>
          <t>Nifty Metal</t>
        </is>
      </c>
      <c r="T367" s="32" t="n">
        <v>30.52</v>
      </c>
      <c r="U367" s="32" t="n">
        <v>16.69</v>
      </c>
      <c r="V367" s="32" t="n">
        <v>-10.59</v>
      </c>
      <c r="W367" s="32" t="n">
        <v>10.27</v>
      </c>
      <c r="X367" s="31" t="inlineStr">
        <is>
          <t>Cyclical in an Upturn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Cyclical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Above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2</t>
        </is>
      </c>
      <c r="BC367" s="31">
        <f>IF(BB367="Stage 2",20,IF(BB367="Stage 1",0,IF(BB367="Stage 3",5,IF(BB367="Stage 4",-5,0))))</f>
        <v/>
      </c>
      <c r="BD367" s="31" t="inlineStr">
        <is>
          <t>Positive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Blue sky scenario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Less than 50% and Borrowings are increasing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More than 1.2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IF(B368=0,"",RANK(B368,$B$2:$B$407,0))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3" t="inlineStr">
        <is>
          <t>TEJASNET</t>
        </is>
      </c>
      <c r="D368" s="33" t="inlineStr">
        <is>
          <t>Tejas Networks Ltd</t>
        </is>
      </c>
      <c r="E368" s="31" t="inlineStr">
        <is>
          <t>telecom</t>
        </is>
      </c>
      <c r="F368" s="31" t="inlineStr">
        <is>
          <t>telecommunications - equipment</t>
        </is>
      </c>
      <c r="G368" s="31" t="inlineStr">
        <is>
          <t>midcap</t>
        </is>
      </c>
      <c r="H368" s="32" t="n">
        <v>10790.71</v>
      </c>
      <c r="I368" s="32" t="n">
        <v>602.4</v>
      </c>
      <c r="J368" s="32" t="n">
        <v>-0.77</v>
      </c>
      <c r="K368" s="32" t="n">
        <v>2025052</v>
      </c>
      <c r="L368" s="31" t="n">
        <v>28</v>
      </c>
      <c r="M368" s="31" t="inlineStr">
        <is>
          <t>Underperforming</t>
        </is>
      </c>
      <c r="N368" s="32">
        <f>IF(M368="Underperforming",-5,IF(L368&gt;=95,15,IF(L368&gt;=90,10,IF(L368&gt;=80,5,0))))</f>
        <v/>
      </c>
      <c r="O368" s="32" t="n">
        <v>62.16</v>
      </c>
      <c r="P368" s="32" t="n">
        <v>26.88</v>
      </c>
      <c r="Q368" s="32" t="n">
        <v>454.83</v>
      </c>
      <c r="R368" s="31" t="inlineStr">
        <is>
          <t>Earnings / Momentum Support</t>
        </is>
      </c>
      <c r="S368" s="31" t="inlineStr">
        <is>
          <t>Nifty 50</t>
        </is>
      </c>
      <c r="T368" s="32" t="n">
        <v>-5.05</v>
      </c>
      <c r="U368" s="32" t="n">
        <v>-14.61</v>
      </c>
      <c r="V368" s="32" t="n">
        <v>-10.07</v>
      </c>
      <c r="W368" s="32" t="n">
        <v>8.07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Oligopoly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Yes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Stable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No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20 to 40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2</t>
        </is>
      </c>
      <c r="BC368" s="31">
        <f>IF(BB368="Stage 2",20,IF(BB368="Stage 1",0,IF(BB368="Stage 3",5,IF(BB368="Stage 4",-5,0))))</f>
        <v/>
      </c>
      <c r="BD368" s="31" t="inlineStr">
        <is>
          <t>Positive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Less than 1.5</t>
        </is>
      </c>
      <c r="BU368" s="31">
        <f>IF(BT368="Above 2",0,IF(BT368="Between 1.5 to 2",5,IF(BT368="Less than 1.5",10,0)))</f>
        <v/>
      </c>
      <c r="BV368" s="31" t="inlineStr">
        <is>
          <t>Negative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More than 1.2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IF(B369=0,"",RANK(B369,$B$2:$B$407,0))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VMART</t>
        </is>
      </c>
      <c r="D369" s="31" t="inlineStr">
        <is>
          <t>V-mart Retail Limited</t>
        </is>
      </c>
      <c r="E369" s="31" t="inlineStr">
        <is>
          <t>consumer discretionary</t>
        </is>
      </c>
      <c r="F369" s="31" t="inlineStr">
        <is>
          <t>trading</t>
        </is>
      </c>
      <c r="G369" s="31" t="inlineStr">
        <is>
          <t>midcap</t>
        </is>
      </c>
      <c r="H369" s="32" t="n">
        <v>6329.25</v>
      </c>
      <c r="I369" s="32" t="n">
        <v>790.05</v>
      </c>
      <c r="J369" s="32" t="n">
        <v>-0.82</v>
      </c>
      <c r="K369" s="32" t="n">
        <v>503631</v>
      </c>
      <c r="L369" s="31" t="n">
        <v>43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64.69</v>
      </c>
      <c r="P369" s="32" t="n">
        <v>19.74</v>
      </c>
      <c r="Q369" s="32" t="n">
        <v>620.6</v>
      </c>
      <c r="R369" s="31" t="inlineStr">
        <is>
          <t>Earnings / Momentum Support</t>
        </is>
      </c>
      <c r="S369" s="31" t="inlineStr">
        <is>
          <t>Nifty 50</t>
        </is>
      </c>
      <c r="T369" s="32" t="n">
        <v>-5.05</v>
      </c>
      <c r="U369" s="32" t="n">
        <v>-0.06</v>
      </c>
      <c r="V369" s="32" t="n">
        <v>5.26</v>
      </c>
      <c r="W369" s="32" t="n">
        <v>11.5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Tailwind</t>
        </is>
      </c>
      <c r="AE369" s="31">
        <f>IF(AD369="Tailwind",10,0)</f>
        <v/>
      </c>
      <c r="AF369" s="31" t="inlineStr">
        <is>
          <t>Structural (10 Years Consistency)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Stable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2</t>
        </is>
      </c>
      <c r="BC369" s="31">
        <f>IF(BB369="Stage 2",20,IF(BB369="Stage 1",0,IF(BB369="Stage 3",5,IF(BB369="Stage 4",-5,0))))</f>
        <v/>
      </c>
      <c r="BD369" s="31" t="inlineStr">
        <is>
          <t>Positive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Less than 12%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Yes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Between 0.7 to 1.2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IF(B370=0,"",RANK(B370,$B$2:$B$407,0))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3" t="inlineStr">
        <is>
          <t>PAGEIND</t>
        </is>
      </c>
      <c r="D370" s="33" t="inlineStr">
        <is>
          <t>Page Industries Limited</t>
        </is>
      </c>
      <c r="E370" s="31" t="inlineStr">
        <is>
          <t>consumer discretionary</t>
        </is>
      </c>
      <c r="F370" s="31" t="inlineStr">
        <is>
          <t>textiles - products</t>
        </is>
      </c>
      <c r="G370" s="31" t="inlineStr">
        <is>
          <t>largecap</t>
        </is>
      </c>
      <c r="H370" s="32" t="n">
        <v>48642.04</v>
      </c>
      <c r="I370" s="32" t="n">
        <v>42885</v>
      </c>
      <c r="J370" s="32" t="n">
        <v>-1.66</v>
      </c>
      <c r="K370" s="32" t="n">
        <v>42493</v>
      </c>
      <c r="L370" s="31" t="n">
        <v>11</v>
      </c>
      <c r="M370" s="31" t="inlineStr">
        <is>
          <t>Underperforming</t>
        </is>
      </c>
      <c r="N370" s="32">
        <f>IF(M370="Underperforming",-5,IF(L370&gt;=95,15,IF(L370&gt;=90,10,IF(L370&gt;=80,5,0))))</f>
        <v/>
      </c>
      <c r="O370" s="32" t="n">
        <v>68.45</v>
      </c>
      <c r="P370" s="32" t="n">
        <v>13.59</v>
      </c>
      <c r="Q370" s="32" t="n">
        <v>35932.56</v>
      </c>
      <c r="R370" s="31" t="inlineStr">
        <is>
          <t>Earnings / Momentum Support</t>
        </is>
      </c>
      <c r="S370" s="31" t="inlineStr">
        <is>
          <t>Nifty 50</t>
        </is>
      </c>
      <c r="T370" s="32" t="n">
        <v>-5.05</v>
      </c>
      <c r="U370" s="32" t="n">
        <v>-10.7</v>
      </c>
      <c r="V370" s="32" t="n">
        <v>-5.96</v>
      </c>
      <c r="W370" s="32" t="n">
        <v>4.18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2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Between 50% to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IF(B371=0,"",RANK(B371,$B$2:$B$407,0))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3" t="inlineStr">
        <is>
          <t>KIRLFER</t>
        </is>
      </c>
      <c r="D371" s="33" t="inlineStr">
        <is>
          <t>Kirloskar Ferrous Industries Ltd</t>
        </is>
      </c>
      <c r="E371" s="31" t="inlineStr">
        <is>
          <t>metals &amp; mining</t>
        </is>
      </c>
      <c r="F371" s="31" t="inlineStr">
        <is>
          <t>steel - large</t>
        </is>
      </c>
      <c r="G371" s="31" t="inlineStr">
        <is>
          <t>midcap</t>
        </is>
      </c>
      <c r="H371" s="32" t="n">
        <v>7530.32</v>
      </c>
      <c r="I371" s="32" t="n">
        <v>469.7</v>
      </c>
      <c r="J371" s="32" t="n">
        <v>2.87</v>
      </c>
      <c r="K371" s="32" t="n">
        <v>128738</v>
      </c>
      <c r="L371" s="31" t="n">
        <v>7</v>
      </c>
      <c r="M371" s="31" t="inlineStr">
        <is>
          <t>Underperforming</t>
        </is>
      </c>
      <c r="N371" s="32">
        <f>IF(M371="Underperforming",-5,IF(L371&gt;=95,15,IF(L371&gt;=90,10,IF(L371&gt;=80,5,0))))</f>
        <v/>
      </c>
      <c r="O371" s="32" t="n">
        <v>55.73</v>
      </c>
      <c r="P371" s="32" t="n">
        <v>14.4</v>
      </c>
      <c r="Q371" s="32" t="n">
        <v>370.29</v>
      </c>
      <c r="R371" s="31" t="inlineStr">
        <is>
          <t>Earnings / Momentum Support</t>
        </is>
      </c>
      <c r="S371" s="31" t="inlineStr">
        <is>
          <t>Nifty Metal</t>
        </is>
      </c>
      <c r="T371" s="32" t="n">
        <v>30.52</v>
      </c>
      <c r="U371" s="32" t="n">
        <v>-16.63</v>
      </c>
      <c r="V371" s="32" t="n">
        <v>-36.12</v>
      </c>
      <c r="W371" s="32" t="n">
        <v>3.01</v>
      </c>
      <c r="X371" s="31" t="inlineStr">
        <is>
          <t>Cyclical in an Upturn</t>
        </is>
      </c>
      <c r="Y371" s="31">
        <f>IF(X371="Growing Industry",10,IF(X371="Cyclical in an Upturn",5,0))</f>
        <v/>
      </c>
      <c r="Z371" s="31" t="inlineStr">
        <is>
          <t>Too Many Players with High ROCE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Headwind</t>
        </is>
      </c>
      <c r="AE371" s="31">
        <f>IF(AD371="Tailwind",10,0)</f>
        <v/>
      </c>
      <c r="AF371" s="31" t="inlineStr">
        <is>
          <t>Cyclical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Volatile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2</t>
        </is>
      </c>
      <c r="BC371" s="31">
        <f>IF(BB371="Stage 2",20,IF(BB371="Stage 1",0,IF(BB371="Stage 3",5,IF(BB371="Stage 4",-5,0))))</f>
        <v/>
      </c>
      <c r="BD371" s="31" t="inlineStr">
        <is>
          <t>Positive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No</t>
        </is>
      </c>
      <c r="BS371" s="31">
        <f>IF(BR371="NO",5,0)</f>
        <v/>
      </c>
      <c r="BT371" s="31" t="inlineStr">
        <is>
          <t>Less than 1.5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Less than 0.7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IF(B372=0,"",RANK(B372,$B$2:$B$407,0))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3" t="inlineStr">
        <is>
          <t>KSL</t>
        </is>
      </c>
      <c r="D372" s="33" t="inlineStr">
        <is>
          <t>Kalyani Steels Limited</t>
        </is>
      </c>
      <c r="E372" s="31" t="inlineStr">
        <is>
          <t>metals &amp; mining</t>
        </is>
      </c>
      <c r="F372" s="31" t="inlineStr">
        <is>
          <t>steel - medium / small</t>
        </is>
      </c>
      <c r="G372" s="31" t="inlineStr">
        <is>
          <t>smallcap</t>
        </is>
      </c>
      <c r="H372" s="32" t="n">
        <v>3788.21</v>
      </c>
      <c r="I372" s="32" t="n">
        <v>882.9</v>
      </c>
      <c r="J372" s="32" t="n">
        <v>1.74</v>
      </c>
      <c r="K372" s="32" t="n">
        <v>38603</v>
      </c>
      <c r="L372" s="31" t="n">
        <v>32</v>
      </c>
      <c r="M372" s="31" t="inlineStr">
        <is>
          <t>Underperforming</t>
        </is>
      </c>
      <c r="N372" s="32">
        <f>IF(M372="Underperforming",-5,IF(L372&gt;=95,15,IF(L372&gt;=90,10,IF(L372&gt;=80,5,0))))</f>
        <v/>
      </c>
      <c r="O372" s="32" t="n">
        <v>63.43</v>
      </c>
      <c r="P372" s="32" t="n">
        <v>19.34</v>
      </c>
      <c r="Q372" s="32" t="n">
        <v>704.23</v>
      </c>
      <c r="R372" s="31" t="inlineStr">
        <is>
          <t>Near 52W High Breakout</t>
        </is>
      </c>
      <c r="S372" s="31" t="inlineStr">
        <is>
          <t>Nifty Metal</t>
        </is>
      </c>
      <c r="T372" s="32" t="n">
        <v>30.52</v>
      </c>
      <c r="U372" s="32" t="n">
        <v>-7.04</v>
      </c>
      <c r="V372" s="32" t="n">
        <v>-28.78</v>
      </c>
      <c r="W372" s="32" t="n">
        <v>8.75</v>
      </c>
      <c r="X372" s="31" t="inlineStr">
        <is>
          <t>Cyclical in an Upturn</t>
        </is>
      </c>
      <c r="Y372" s="31">
        <f>IF(X372="Growing Industry",10,IF(X372="Cyclical in an Upturn",5,0))</f>
        <v/>
      </c>
      <c r="Z372" s="31" t="inlineStr">
        <is>
          <t>Too Many Players with High ROCE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Tailwind</t>
        </is>
      </c>
      <c r="AE372" s="31">
        <f>IF(AD372="Tailwind",10,0)</f>
        <v/>
      </c>
      <c r="AF372" s="31" t="inlineStr">
        <is>
          <t>Cyclical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Volatile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Yes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2</t>
        </is>
      </c>
      <c r="BC372" s="31">
        <f>IF(BB372="Stage 2",20,IF(BB372="Stage 1",0,IF(BB372="Stage 3",5,IF(BB372="Stage 4",-5,0))))</f>
        <v/>
      </c>
      <c r="BD372" s="31" t="inlineStr">
        <is>
          <t>Positive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Less than 12%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No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Less than 0.7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  <row r="373">
      <c r="A373" s="31">
        <f>IF(B373=0,"",RANK(B373,$B$2:$B$407,0))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3" t="inlineStr">
        <is>
          <t>AUTOAXLES</t>
        </is>
      </c>
      <c r="D373" s="33" t="inlineStr">
        <is>
          <t>Automotive Axles Limited</t>
        </is>
      </c>
      <c r="E373" s="31" t="inlineStr">
        <is>
          <t>auto</t>
        </is>
      </c>
      <c r="F373" s="31" t="inlineStr">
        <is>
          <t>auto ancillaries</t>
        </is>
      </c>
      <c r="G373" s="31" t="inlineStr">
        <is>
          <t>smallcap</t>
        </is>
      </c>
      <c r="H373" s="32" t="n">
        <v>2685.85</v>
      </c>
      <c r="I373" s="32" t="n">
        <v>1802</v>
      </c>
      <c r="J373" s="32" t="n">
        <v>1.39</v>
      </c>
      <c r="K373" s="32" t="n">
        <v>6224</v>
      </c>
      <c r="L373" s="31" t="n">
        <v>4</v>
      </c>
      <c r="M373" s="31" t="inlineStr">
        <is>
          <t>Underperforming</t>
        </is>
      </c>
      <c r="N373" s="32">
        <f>IF(M373="Underperforming",-5,IF(L373&gt;=95,15,IF(L373&gt;=90,10,IF(L373&gt;=80,5,0))))</f>
        <v/>
      </c>
      <c r="O373" s="32" t="n">
        <v>50.73</v>
      </c>
      <c r="P373" s="32" t="n">
        <v>9.4</v>
      </c>
      <c r="Q373" s="32" t="n">
        <v>1504.92</v>
      </c>
      <c r="R373" s="31" t="inlineStr">
        <is>
          <t>Earnings / Momentum Support</t>
        </is>
      </c>
      <c r="S373" s="31" t="inlineStr">
        <is>
          <t>Nifty Auto</t>
        </is>
      </c>
      <c r="T373" s="32" t="n">
        <v>13.04</v>
      </c>
      <c r="U373" s="32" t="n">
        <v>2.08</v>
      </c>
      <c r="V373" s="32" t="n">
        <v>-9.699999999999999</v>
      </c>
      <c r="W373" s="32" t="n">
        <v>2.54</v>
      </c>
      <c r="X373" s="31" t="inlineStr">
        <is>
          <t>Growing Industry</t>
        </is>
      </c>
      <c r="Y373" s="31">
        <f>IF(X373="Growing Industry",10,IF(X373="Cyclical in an Upturn",5,0))</f>
        <v/>
      </c>
      <c r="Z373" s="31" t="inlineStr">
        <is>
          <t>Too Many Players with High ROCE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No</t>
        </is>
      </c>
      <c r="AC373" s="31">
        <f>IF(AB373="No",5,0)</f>
        <v/>
      </c>
      <c r="AD373" s="31" t="inlineStr">
        <is>
          <t>Headwind</t>
        </is>
      </c>
      <c r="AE373" s="31">
        <f>IF(AD373="Tailwind",10,0)</f>
        <v/>
      </c>
      <c r="AF373" s="31" t="inlineStr">
        <is>
          <t>Structural (10 Years Consistency)</t>
        </is>
      </c>
      <c r="AG373" s="31">
        <f>IF(AF373="Structural (10 Years Consistency)",10,IF(AF373="Shallow Cyclical (2 to 3 years growth)",5,0))</f>
        <v/>
      </c>
      <c r="AH373" s="31" t="inlineStr">
        <is>
          <t>No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Stable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No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Good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0 to 20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1</t>
        </is>
      </c>
      <c r="BC373" s="31">
        <f>IF(BB373="Stage 2",20,IF(BB373="Stage 1",0,IF(BB373="Stage 3",5,IF(BB373="Stage 4",-5,0))))</f>
        <v/>
      </c>
      <c r="BD373" s="31" t="inlineStr">
        <is>
          <t>Positive Trend</t>
        </is>
      </c>
      <c r="BE373" s="31">
        <f>IF(BD373="Positive Trend",20,IF(BD373="Negative Trend",-10,0))</f>
        <v/>
      </c>
      <c r="BF373" s="31" t="inlineStr">
        <is>
          <t>Uptrend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Close to 52 week high or retracement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Between 12 to 20%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No</t>
        </is>
      </c>
      <c r="BS373" s="31">
        <f>IF(BR373="NO",5,0)</f>
        <v/>
      </c>
      <c r="BT373" s="31" t="inlineStr">
        <is>
          <t>Less than 1.5</t>
        </is>
      </c>
      <c r="BU373" s="31">
        <f>IF(BT373="Above 2",0,IF(BT373="Between 1.5 to 2",5,IF(BT373="Less than 1.5",10,0)))</f>
        <v/>
      </c>
      <c r="BV373" s="31" t="inlineStr">
        <is>
          <t>Above 70%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Less than 15%</t>
        </is>
      </c>
      <c r="CC373" s="31">
        <f>IF(CB373="More than 15%",-10,IF(CB373="Less than 15%",10,0))</f>
        <v/>
      </c>
      <c r="CD373" s="31" t="inlineStr">
        <is>
          <t>No</t>
        </is>
      </c>
      <c r="CE373" s="31">
        <f>IF(CD373="Yes, more than 10%",-10,IF(CD373="No",10,0))</f>
        <v/>
      </c>
    </row>
    <row r="374">
      <c r="A374" s="31">
        <f>IF(B374=0,"",RANK(B374,$B$2:$B$407,0))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AVANTEL</t>
        </is>
      </c>
      <c r="D374" s="31" t="inlineStr">
        <is>
          <t>Avantel Ltd</t>
        </is>
      </c>
      <c r="E374" s="31" t="inlineStr">
        <is>
          <t>aerospace &amp; defence</t>
        </is>
      </c>
      <c r="F374" s="31" t="inlineStr">
        <is>
          <t>telecommunications - equipment</t>
        </is>
      </c>
      <c r="G374" s="31" t="inlineStr">
        <is>
          <t>smallcap</t>
        </is>
      </c>
      <c r="H374" s="32" t="n">
        <v>4766.06</v>
      </c>
      <c r="I374" s="32" t="n">
        <v>180.18</v>
      </c>
      <c r="J374" s="32" t="n">
        <v>0.45</v>
      </c>
      <c r="K374" s="32" t="n">
        <v>1783926</v>
      </c>
      <c r="L374" s="31" t="n">
        <v>45</v>
      </c>
      <c r="M374" s="31" t="inlineStr">
        <is>
          <t>Outperforming</t>
        </is>
      </c>
      <c r="N374" s="32">
        <f>IF(M374="Underperforming",-5,IF(L374&gt;=95,15,IF(L374&gt;=90,10,IF(L374&gt;=80,5,0))))</f>
        <v/>
      </c>
      <c r="O374" s="32" t="n">
        <v>59.22</v>
      </c>
      <c r="P374" s="32" t="n">
        <v>12.4</v>
      </c>
      <c r="Q374" s="32" t="n">
        <v>129.06</v>
      </c>
      <c r="R374" s="31" t="inlineStr">
        <is>
          <t>Earnings / Momentum Support</t>
        </is>
      </c>
      <c r="S374" s="31" t="inlineStr">
        <is>
          <t>Nifty Infra</t>
        </is>
      </c>
      <c r="T374" s="32" t="n">
        <v>0.23</v>
      </c>
      <c r="U374" s="32" t="n">
        <v>13.15</v>
      </c>
      <c r="V374" s="32" t="n">
        <v>12.89</v>
      </c>
      <c r="W374" s="32" t="n">
        <v>11.79</v>
      </c>
      <c r="X374" s="31" t="inlineStr">
        <is>
          <t>Growing Industry</t>
        </is>
      </c>
      <c r="Y374" s="31">
        <f>IF(X374="Growing Industry",10,IF(X374="Cyclical in an Upturn",5,0))</f>
        <v/>
      </c>
      <c r="Z374" s="31" t="inlineStr">
        <is>
          <t>Oligopoly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Yes</t>
        </is>
      </c>
      <c r="AC374" s="31">
        <f>IF(AB374="No",5,0)</f>
        <v/>
      </c>
      <c r="AD374" s="31" t="inlineStr">
        <is>
          <t>Tailwind</t>
        </is>
      </c>
      <c r="AE374" s="31">
        <f>IF(AD374="Tailwind",10,0)</f>
        <v/>
      </c>
      <c r="AF374" s="31" t="inlineStr">
        <is>
          <t>Structural (10 Years Consistency)</t>
        </is>
      </c>
      <c r="AG374" s="31">
        <f>IF(AF374="Structural (10 Years Consistency)",10,IF(AF374="Shallow Cyclical (2 to 3 years growth)",5,0))</f>
        <v/>
      </c>
      <c r="AH374" s="31" t="inlineStr">
        <is>
          <t>No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Stable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No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Good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0 to 20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2</t>
        </is>
      </c>
      <c r="BC374" s="31">
        <f>IF(BB374="Stage 2",20,IF(BB374="Stage 1",0,IF(BB374="Stage 3",5,IF(BB374="Stage 4",-5,0))))</f>
        <v/>
      </c>
      <c r="BD374" s="31" t="inlineStr">
        <is>
          <t>Positive Trend</t>
        </is>
      </c>
      <c r="BE374" s="31">
        <f>IF(BD374="Positive Trend",20,IF(BD374="Negative Trend",-10,0))</f>
        <v/>
      </c>
      <c r="BF374" s="31" t="inlineStr">
        <is>
          <t>Uptrend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Close to 52 week high or retracement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Less than 12%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Yes</t>
        </is>
      </c>
      <c r="BS374" s="31">
        <f>IF(BR374="NO",5,0)</f>
        <v/>
      </c>
      <c r="BT374" s="31" t="inlineStr">
        <is>
          <t>Above 2</t>
        </is>
      </c>
      <c r="BU374" s="31">
        <f>IF(BT374="Above 2",0,IF(BT374="Between 1.5 to 2",5,IF(BT374="Less than 1.5",10,0)))</f>
        <v/>
      </c>
      <c r="BV374" s="31" t="inlineStr">
        <is>
          <t>Less than 50%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Less than 0.7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Less than 15%</t>
        </is>
      </c>
      <c r="CC374" s="31">
        <f>IF(CB374="More than 15%",-10,IF(CB374="Less than 15%",10,0))</f>
        <v/>
      </c>
      <c r="CD374" s="31" t="inlineStr">
        <is>
          <t>No</t>
        </is>
      </c>
      <c r="CE374" s="31">
        <f>IF(CD374="Yes, more than 10%",-10,IF(CD374="No",10,0))</f>
        <v/>
      </c>
    </row>
    <row r="375">
      <c r="A375" s="31">
        <f>IF(B375=0,"",RANK(B375,$B$2:$B$407,0))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MARUTI</t>
        </is>
      </c>
      <c r="D375" s="31" t="inlineStr">
        <is>
          <t>Maruti Suzuki India Limited</t>
        </is>
      </c>
      <c r="E375" s="31" t="inlineStr">
        <is>
          <t>auto</t>
        </is>
      </c>
      <c r="F375" s="31" t="inlineStr">
        <is>
          <t>automobiles - passenger cars</t>
        </is>
      </c>
      <c r="G375" s="31" t="inlineStr">
        <is>
          <t>largecap</t>
        </is>
      </c>
      <c r="H375" s="32" t="n">
        <v>452582.51</v>
      </c>
      <c r="I375" s="32" t="n">
        <v>14348</v>
      </c>
      <c r="J375" s="32" t="n">
        <v>-0.33</v>
      </c>
      <c r="K375" s="32" t="n">
        <v>327088</v>
      </c>
      <c r="L375" s="31" t="n">
        <v>25</v>
      </c>
      <c r="M375" s="31" t="inlineStr">
        <is>
          <t>Outperforming</t>
        </is>
      </c>
      <c r="N375" s="32">
        <f>IF(M375="Underperforming",-5,IF(L375&gt;=95,15,IF(L375&gt;=90,10,IF(L375&gt;=80,5,0))))</f>
        <v/>
      </c>
      <c r="O375" s="32" t="n">
        <v>55.22</v>
      </c>
      <c r="P375" s="32" t="n">
        <v>17.78</v>
      </c>
      <c r="Q375" s="32" t="n">
        <v>12161.35</v>
      </c>
      <c r="R375" s="31" t="inlineStr">
        <is>
          <t>Volume Spike / Accumulation</t>
        </is>
      </c>
      <c r="S375" s="31" t="inlineStr">
        <is>
          <t>Nifty Auto</t>
        </is>
      </c>
      <c r="T375" s="32" t="n">
        <v>13.04</v>
      </c>
      <c r="U375" s="32" t="n">
        <v>14.69</v>
      </c>
      <c r="V375" s="32" t="n">
        <v>1.45</v>
      </c>
      <c r="W375" s="32" t="n">
        <v>7.06</v>
      </c>
      <c r="X375" s="31" t="inlineStr">
        <is>
          <t>Growing Industry</t>
        </is>
      </c>
      <c r="Y375" s="31">
        <f>IF(X375="Growing Industry",10,IF(X375="Cyclical in an Upturn",5,0))</f>
        <v/>
      </c>
      <c r="Z375" s="31" t="inlineStr">
        <is>
          <t>Too Many Players with High ROCE</t>
        </is>
      </c>
      <c r="AA375" s="31">
        <f>IF(Z375="Monopoly",10,IF(Z375="Oligopoly",5,IF(Z375="Duopoly that cooperate",10,IF(Z375="Duopoly that compete",5,IF(Z375="Too many players with High ROCE",5,0)))))</f>
        <v/>
      </c>
      <c r="AB375" s="31" t="inlineStr">
        <is>
          <t>No</t>
        </is>
      </c>
      <c r="AC375" s="31">
        <f>IF(AB375="No",5,0)</f>
        <v/>
      </c>
      <c r="AD375" s="31" t="inlineStr">
        <is>
          <t>Headwind</t>
        </is>
      </c>
      <c r="AE375" s="31">
        <f>IF(AD375="Tailwind",10,0)</f>
        <v/>
      </c>
      <c r="AF375" s="31" t="inlineStr">
        <is>
          <t>Structural (10 Years Consistency)</t>
        </is>
      </c>
      <c r="AG375" s="31">
        <f>IF(AF375="Structural (10 Years Consistency)",10,IF(AF375="Shallow Cyclical (2 to 3 years growth)",5,0))</f>
        <v/>
      </c>
      <c r="AH375" s="31" t="inlineStr">
        <is>
          <t>No</t>
        </is>
      </c>
      <c r="AI375" s="31">
        <f>IF(AH375="Yes due to Product Mix change or Operating Leverage",10,IF(AH375="Yes, these are peak margins",-5,IF(AH375="No",5,0)))</f>
        <v/>
      </c>
      <c r="AJ375" s="31" t="inlineStr">
        <is>
          <t>Stable</t>
        </is>
      </c>
      <c r="AK375" s="31">
        <f>IF(AJ375="Stable",10,0)</f>
        <v/>
      </c>
      <c r="AL375" s="31" t="inlineStr">
        <is>
          <t>Yes</t>
        </is>
      </c>
      <c r="AM375" s="31">
        <f>IF(AL375="Yes",10,0)</f>
        <v/>
      </c>
      <c r="AN375" s="31" t="inlineStr">
        <is>
          <t>B2B</t>
        </is>
      </c>
      <c r="AO375" s="31">
        <f>IF(AN375="B2C",10,IF(AN375="B2B",5,0))</f>
        <v/>
      </c>
      <c r="AP375" s="31" t="inlineStr">
        <is>
          <t>Yes</t>
        </is>
      </c>
      <c r="AQ375" s="31">
        <f>IF(AP375="Yes",10,0)</f>
        <v/>
      </c>
      <c r="AR375" s="31" t="inlineStr">
        <is>
          <t>Higher One Time, Lower Annuity</t>
        </is>
      </c>
      <c r="AS375" s="31">
        <f>IF(AR375="Fully Annuity",10,IF(AR375="Higher Annuity, Lower One Time",5,IF(AR375="Higher One Time, Lower Annuity",3,0)))</f>
        <v/>
      </c>
      <c r="AT375" s="31" t="inlineStr">
        <is>
          <t>Good</t>
        </is>
      </c>
      <c r="AU375" s="31">
        <f>IF(AT375="Good",10,0)</f>
        <v/>
      </c>
      <c r="AV375" s="31" t="inlineStr">
        <is>
          <t>Yes for more than 2 years</t>
        </is>
      </c>
      <c r="AW375" s="31">
        <f>IF(AV375="Yes for more than 2 years",10,IF(AV375="Yes only for next 1 to 2 years",5,0))</f>
        <v/>
      </c>
      <c r="AX375" s="31" t="inlineStr">
        <is>
          <t>0 to 20</t>
        </is>
      </c>
      <c r="AY375" s="31">
        <f>IF(AX375="Above 40",20,IF(AX375="20 to 40",10,IF(AX375="0 to 20",-5,0)))</f>
        <v/>
      </c>
      <c r="AZ375" s="31" t="inlineStr">
        <is>
          <t>Between 50 to 75</t>
        </is>
      </c>
      <c r="BA375" s="31">
        <f>IF(AZ375="Between 50 to 75",10,IF(AZ375="Above 75",0,0))</f>
        <v/>
      </c>
      <c r="BB375" s="31" t="inlineStr">
        <is>
          <t>Stage 1</t>
        </is>
      </c>
      <c r="BC375" s="31">
        <f>IF(BB375="Stage 2",20,IF(BB375="Stage 1",0,IF(BB375="Stage 3",5,IF(BB375="Stage 4",-5,0))))</f>
        <v/>
      </c>
      <c r="BD375" s="31" t="inlineStr">
        <is>
          <t>Positive Trend</t>
        </is>
      </c>
      <c r="BE375" s="31">
        <f>IF(BD375="Positive Trend",20,IF(BD375="Negative Trend",-10,0))</f>
        <v/>
      </c>
      <c r="BF375" s="31" t="inlineStr">
        <is>
          <t>Uptrend</t>
        </is>
      </c>
      <c r="BG375" s="31">
        <f>IF(BF375="Uptrend",10,IF(BF375="Sideways",5,0))</f>
        <v/>
      </c>
      <c r="BH375" s="31" t="inlineStr">
        <is>
          <t>Uptrend</t>
        </is>
      </c>
      <c r="BI375" s="31">
        <f>IF(BH375="Uptrend",10,IF(BH375="Sideways",5,0))</f>
        <v/>
      </c>
      <c r="BJ375" s="31" t="inlineStr">
        <is>
          <t>Close to 52 week high or retracement</t>
        </is>
      </c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inlineStr">
        <is>
          <t>Yes</t>
        </is>
      </c>
      <c r="BM375" s="31">
        <f>IF(BL375="Yes",10,0)</f>
        <v/>
      </c>
      <c r="BN375" s="31" t="inlineStr">
        <is>
          <t>Less than 12%</t>
        </is>
      </c>
      <c r="BO375" s="31">
        <f>IF(BN375="More than 20%",10,IF(BN375="Between 12 to 20%",5,IF(BN375="Less than 12%",0,0)))</f>
        <v/>
      </c>
      <c r="BP375" s="31" t="inlineStr">
        <is>
          <t>No</t>
        </is>
      </c>
      <c r="BQ375" s="31">
        <f>IF(BP375="No",10,0)</f>
        <v/>
      </c>
      <c r="BR375" s="31" t="inlineStr">
        <is>
          <t>No</t>
        </is>
      </c>
      <c r="BS375" s="31">
        <f>IF(BR375="NO",5,0)</f>
        <v/>
      </c>
      <c r="BT375" s="31" t="inlineStr">
        <is>
          <t>Above 2</t>
        </is>
      </c>
      <c r="BU375" s="31">
        <f>IF(BT375="Above 2",0,IF(BT375="Between 1.5 to 2",5,IF(BT375="Less than 1.5",10,0)))</f>
        <v/>
      </c>
      <c r="BV375" s="31" t="inlineStr">
        <is>
          <t>Above 70%</t>
        </is>
      </c>
      <c r="BW375" s="31">
        <f>IF(BV375="Above 70%",10,IF(BV375="Between 50% to 70%",5,IF(BV375="Less than 50%",0,IF(BV375="Negative",-10,IF(BV375="Less than 50% and Borrowings are increasing",-5,0)))))</f>
        <v/>
      </c>
      <c r="BX375" s="31" t="inlineStr">
        <is>
          <t>Less than 0.7</t>
        </is>
      </c>
      <c r="BY375" s="31">
        <f>IF(BX375="More than 1.2",-10,IF(BX375="Between 0.7 to 1.2",0,IF(BX375="Less than 0.7",10,0)))</f>
        <v/>
      </c>
      <c r="BZ375" s="31" t="inlineStr">
        <is>
          <t>No</t>
        </is>
      </c>
      <c r="CA375" s="31">
        <f>IF(BZ375="Yes",-10,0)</f>
        <v/>
      </c>
      <c r="CB375" s="31" t="inlineStr">
        <is>
          <t>Less than 15%</t>
        </is>
      </c>
      <c r="CC375" s="31">
        <f>IF(CB375="More than 15%",-10,IF(CB375="Less than 15%",10,0))</f>
        <v/>
      </c>
      <c r="CD375" s="31" t="inlineStr">
        <is>
          <t>No</t>
        </is>
      </c>
      <c r="CE375" s="31">
        <f>IF(CD375="Yes, more than 10%",-10,IF(CD375="No",10,0))</f>
        <v/>
      </c>
    </row>
    <row r="376">
      <c r="A376" s="31">
        <f>IF(B376=0,"",RANK(B376,$B$2:$B$407,0))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3" t="inlineStr">
        <is>
          <t>GOKEX</t>
        </is>
      </c>
      <c r="D376" s="33" t="inlineStr">
        <is>
          <t>Gokaldas Exports Limited</t>
        </is>
      </c>
      <c r="E376" s="31" t="inlineStr">
        <is>
          <t>consumer discretionary</t>
        </is>
      </c>
      <c r="F376" s="31" t="inlineStr">
        <is>
          <t>textiles - products</t>
        </is>
      </c>
      <c r="G376" s="31" t="inlineStr">
        <is>
          <t>midcap</t>
        </is>
      </c>
      <c r="H376" s="32" t="n">
        <v>6509.48</v>
      </c>
      <c r="I376" s="32" t="n">
        <v>876.85</v>
      </c>
      <c r="J376" s="32" t="n">
        <v>-1.33</v>
      </c>
      <c r="K376" s="32" t="n">
        <v>311061</v>
      </c>
      <c r="L376" s="31" t="n">
        <v>36</v>
      </c>
      <c r="M376" s="31" t="inlineStr">
        <is>
          <t>Underperforming</t>
        </is>
      </c>
      <c r="N376" s="32">
        <f>IF(M376="Underperforming",-5,IF(L376&gt;=95,15,IF(L376&gt;=90,10,IF(L376&gt;=80,5,0))))</f>
        <v/>
      </c>
      <c r="O376" s="32" t="n">
        <v>63.5</v>
      </c>
      <c r="P376" s="32" t="n">
        <v>13.66</v>
      </c>
      <c r="Q376" s="32" t="n">
        <v>642.64</v>
      </c>
      <c r="R376" s="31" t="inlineStr">
        <is>
          <t>Earnings / Momentum Support</t>
        </is>
      </c>
      <c r="S376" s="31" t="inlineStr">
        <is>
          <t>Nifty 50</t>
        </is>
      </c>
      <c r="T376" s="32" t="n">
        <v>-5.05</v>
      </c>
      <c r="U376" s="32" t="n">
        <v>-5.83</v>
      </c>
      <c r="V376" s="32" t="n">
        <v>-0.82</v>
      </c>
      <c r="W376" s="32" t="n">
        <v>9.91</v>
      </c>
      <c r="X376" s="31" t="inlineStr">
        <is>
          <t>Growing Industry</t>
        </is>
      </c>
      <c r="Y376" s="31">
        <f>IF(X376="Growing Industry",10,IF(X376="Cyclical in an Upturn",5,0))</f>
        <v/>
      </c>
      <c r="Z376" s="31" t="inlineStr">
        <is>
          <t>Too Many Players with High ROCE</t>
        </is>
      </c>
      <c r="AA376" s="31">
        <f>IF(Z376="Monopoly",10,IF(Z376="Oligopoly",5,IF(Z376="Duopoly that cooperate",10,IF(Z376="Duopoly that compete",5,IF(Z376="Too many players with High ROCE",5,0)))))</f>
        <v/>
      </c>
      <c r="AB376" s="31" t="inlineStr">
        <is>
          <t>No</t>
        </is>
      </c>
      <c r="AC376" s="31">
        <f>IF(AB376="No",5,0)</f>
        <v/>
      </c>
      <c r="AD376" s="31" t="inlineStr">
        <is>
          <t>Tailwind</t>
        </is>
      </c>
      <c r="AE376" s="31">
        <f>IF(AD376="Tailwind",10,0)</f>
        <v/>
      </c>
      <c r="AF376" s="31" t="inlineStr">
        <is>
          <t>Structural (10 Years Consistency)</t>
        </is>
      </c>
      <c r="AG376" s="31">
        <f>IF(AF376="Structural (10 Years Consistency)",10,IF(AF376="Shallow Cyclical (2 to 3 years growth)",5,0))</f>
        <v/>
      </c>
      <c r="AH376" s="31" t="inlineStr">
        <is>
          <t>No</t>
        </is>
      </c>
      <c r="AI376" s="31">
        <f>IF(AH376="Yes due to Product Mix change or Operating Leverage",10,IF(AH376="Yes, these are peak margins",-5,IF(AH376="No",5,0)))</f>
        <v/>
      </c>
      <c r="AJ376" s="31" t="inlineStr">
        <is>
          <t>Stable</t>
        </is>
      </c>
      <c r="AK376" s="31">
        <f>IF(AJ376="Stable",10,0)</f>
        <v/>
      </c>
      <c r="AL376" s="31" t="inlineStr">
        <is>
          <t>Yes</t>
        </is>
      </c>
      <c r="AM376" s="31">
        <f>IF(AL376="Yes",10,0)</f>
        <v/>
      </c>
      <c r="AN376" s="31" t="inlineStr">
        <is>
          <t>B2B</t>
        </is>
      </c>
      <c r="AO376" s="31">
        <f>IF(AN376="B2C",10,IF(AN376="B2B",5,0))</f>
        <v/>
      </c>
      <c r="AP376" s="31" t="inlineStr">
        <is>
          <t>No</t>
        </is>
      </c>
      <c r="AQ376" s="31">
        <f>IF(AP376="Yes",10,0)</f>
        <v/>
      </c>
      <c r="AR376" s="31" t="inlineStr">
        <is>
          <t>Higher One Time, Lower Annuity</t>
        </is>
      </c>
      <c r="AS376" s="31">
        <f>IF(AR376="Fully Annuity",10,IF(AR376="Higher Annuity, Lower One Time",5,IF(AR376="Higher One Time, Lower Annuity",3,0)))</f>
        <v/>
      </c>
      <c r="AT376" s="31" t="inlineStr">
        <is>
          <t>Good</t>
        </is>
      </c>
      <c r="AU376" s="31">
        <f>IF(AT376="Good",10,0)</f>
        <v/>
      </c>
      <c r="AV376" s="31" t="inlineStr">
        <is>
          <t>Yes for more than 2 years</t>
        </is>
      </c>
      <c r="AW376" s="31">
        <f>IF(AV376="Yes for more than 2 years",10,IF(AV376="Yes only for next 1 to 2 years",5,0))</f>
        <v/>
      </c>
      <c r="AX376" s="31" t="inlineStr">
        <is>
          <t>0 to 20</t>
        </is>
      </c>
      <c r="AY376" s="31">
        <f>IF(AX376="Above 40",20,IF(AX376="20 to 40",10,IF(AX376="0 to 20",-5,0)))</f>
        <v/>
      </c>
      <c r="AZ376" s="31" t="inlineStr">
        <is>
          <t>Between 50 to 75</t>
        </is>
      </c>
      <c r="BA376" s="31">
        <f>IF(AZ376="Between 50 to 75",10,IF(AZ376="Above 75",0,0))</f>
        <v/>
      </c>
      <c r="BB376" s="31" t="inlineStr">
        <is>
          <t>Stage 2</t>
        </is>
      </c>
      <c r="BC376" s="31">
        <f>IF(BB376="Stage 2",20,IF(BB376="Stage 1",0,IF(BB376="Stage 3",5,IF(BB376="Stage 4",-5,0))))</f>
        <v/>
      </c>
      <c r="BD376" s="31" t="inlineStr">
        <is>
          <t>Positive Trend</t>
        </is>
      </c>
      <c r="BE376" s="31">
        <f>IF(BD376="Positive Trend",20,IF(BD376="Negative Trend",-10,0))</f>
        <v/>
      </c>
      <c r="BF376" s="31" t="inlineStr">
        <is>
          <t>Uptrend</t>
        </is>
      </c>
      <c r="BG376" s="31">
        <f>IF(BF376="Uptrend",10,IF(BF376="Sideways",5,0))</f>
        <v/>
      </c>
      <c r="BH376" s="31" t="inlineStr">
        <is>
          <t>Uptrend</t>
        </is>
      </c>
      <c r="BI376" s="31">
        <f>IF(BH376="Uptrend",10,IF(BH376="Sideways",5,0))</f>
        <v/>
      </c>
      <c r="BJ376" s="31" t="inlineStr">
        <is>
          <t>Close to 52 week high or retracement</t>
        </is>
      </c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inlineStr">
        <is>
          <t>Yes</t>
        </is>
      </c>
      <c r="BM376" s="31">
        <f>IF(BL376="Yes",10,0)</f>
        <v/>
      </c>
      <c r="BN376" s="31" t="inlineStr">
        <is>
          <t>Less than 12%</t>
        </is>
      </c>
      <c r="BO376" s="31">
        <f>IF(BN376="More than 20%",10,IF(BN376="Between 12 to 20%",5,IF(BN376="Less than 12%",0,0)))</f>
        <v/>
      </c>
      <c r="BP376" s="31" t="inlineStr">
        <is>
          <t>No</t>
        </is>
      </c>
      <c r="BQ376" s="31">
        <f>IF(BP376="No",10,0)</f>
        <v/>
      </c>
      <c r="BR376" s="31" t="inlineStr">
        <is>
          <t>Yes</t>
        </is>
      </c>
      <c r="BS376" s="31">
        <f>IF(BR376="NO",5,0)</f>
        <v/>
      </c>
      <c r="BT376" s="31" t="inlineStr">
        <is>
          <t>Above 2</t>
        </is>
      </c>
      <c r="BU376" s="31">
        <f>IF(BT376="Above 2",0,IF(BT376="Between 1.5 to 2",5,IF(BT376="Less than 1.5",10,0)))</f>
        <v/>
      </c>
      <c r="BV376" s="31" t="inlineStr">
        <is>
          <t>Less than 50%</t>
        </is>
      </c>
      <c r="BW376" s="31">
        <f>IF(BV376="Above 70%",10,IF(BV376="Between 50% to 70%",5,IF(BV376="Less than 50%",0,IF(BV376="Negative",-10,IF(BV376="Less than 50% and Borrowings are increasing",-5,0)))))</f>
        <v/>
      </c>
      <c r="BX376" s="31" t="inlineStr">
        <is>
          <t>Less than 0.7</t>
        </is>
      </c>
      <c r="BY376" s="31">
        <f>IF(BX376="More than 1.2",-10,IF(BX376="Between 0.7 to 1.2",0,IF(BX376="Less than 0.7",10,0)))</f>
        <v/>
      </c>
      <c r="BZ376" s="31" t="inlineStr">
        <is>
          <t>No</t>
        </is>
      </c>
      <c r="CA376" s="31">
        <f>IF(BZ376="Yes",-10,0)</f>
        <v/>
      </c>
      <c r="CB376" s="31" t="inlineStr">
        <is>
          <t>Less than 15%</t>
        </is>
      </c>
      <c r="CC376" s="31">
        <f>IF(CB376="More than 15%",-10,IF(CB376="Less than 15%",10,0))</f>
        <v/>
      </c>
      <c r="CD376" s="31" t="inlineStr">
        <is>
          <t>No</t>
        </is>
      </c>
      <c r="CE376" s="31">
        <f>IF(CD376="Yes, more than 10%",-10,IF(CD376="No",10,0))</f>
        <v/>
      </c>
    </row>
    <row r="377">
      <c r="A377" s="31">
        <f>IF(B377=0,"",RANK(B377,$B$2:$B$407,0))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SOBHA</t>
        </is>
      </c>
      <c r="D377" s="31" t="inlineStr">
        <is>
          <t>Sobha Limited</t>
        </is>
      </c>
      <c r="E377" s="31" t="inlineStr">
        <is>
          <t>realty</t>
        </is>
      </c>
      <c r="F377" s="31" t="inlineStr">
        <is>
          <t>construction</t>
        </is>
      </c>
      <c r="G377" s="31" t="inlineStr">
        <is>
          <t>midcap</t>
        </is>
      </c>
      <c r="H377" s="32" t="n">
        <v>15084.77</v>
      </c>
      <c r="I377" s="32" t="n">
        <v>1434.6</v>
      </c>
      <c r="J377" s="32" t="n">
        <v>1.72</v>
      </c>
      <c r="K377" s="32" t="n">
        <v>192952</v>
      </c>
      <c r="L377" s="31" t="n">
        <v>14</v>
      </c>
      <c r="M377" s="31" t="inlineStr">
        <is>
          <t>Outperforming</t>
        </is>
      </c>
      <c r="N377" s="32">
        <f>IF(M377="Underperforming",-5,IF(L377&gt;=95,15,IF(L377&gt;=90,10,IF(L377&gt;=80,5,0))))</f>
        <v/>
      </c>
      <c r="O377" s="32" t="n">
        <v>52.69</v>
      </c>
      <c r="P377" s="32" t="n">
        <v>11.01</v>
      </c>
      <c r="Q377" s="32" t="n">
        <v>1139.43</v>
      </c>
      <c r="R377" s="31" t="inlineStr">
        <is>
          <t>Earnings / Momentum Support</t>
        </is>
      </c>
      <c r="S377" s="31" t="inlineStr">
        <is>
          <t>Nifty Realty</t>
        </is>
      </c>
      <c r="T377" s="32" t="n">
        <v>-10.31</v>
      </c>
      <c r="U377" s="32" t="n">
        <v>-5.41</v>
      </c>
      <c r="V377" s="32" t="n">
        <v>5.46</v>
      </c>
      <c r="W377" s="32" t="n">
        <v>4.79</v>
      </c>
      <c r="X377" s="31" t="inlineStr">
        <is>
          <t>Growing Industry</t>
        </is>
      </c>
      <c r="Y377" s="31">
        <f>IF(X377="Growing Industry",10,IF(X377="Cyclical in an Upturn",5,0))</f>
        <v/>
      </c>
      <c r="Z377" s="31" t="inlineStr">
        <is>
          <t>Too Many Players with High ROCE</t>
        </is>
      </c>
      <c r="AA377" s="31">
        <f>IF(Z377="Monopoly",10,IF(Z377="Oligopoly",5,IF(Z377="Duopoly that cooperate",10,IF(Z377="Duopoly that compete",5,IF(Z377="Too many players with High ROCE",5,0)))))</f>
        <v/>
      </c>
      <c r="AB377" s="31" t="inlineStr">
        <is>
          <t>No</t>
        </is>
      </c>
      <c r="AC377" s="31">
        <f>IF(AB377="No",5,0)</f>
        <v/>
      </c>
      <c r="AD377" s="31" t="inlineStr">
        <is>
          <t>Headwind</t>
        </is>
      </c>
      <c r="AE377" s="31">
        <f>IF(AD377="Tailwind",10,0)</f>
        <v/>
      </c>
      <c r="AF377" s="31" t="inlineStr">
        <is>
          <t>Structural (10 Years Consistency)</t>
        </is>
      </c>
      <c r="AG377" s="31">
        <f>IF(AF377="Structural (10 Years Consistency)",10,IF(AF377="Shallow Cyclical (2 to 3 years growth)",5,0))</f>
        <v/>
      </c>
      <c r="AH377" s="31" t="inlineStr">
        <is>
          <t>No</t>
        </is>
      </c>
      <c r="AI377" s="31">
        <f>IF(AH377="Yes due to Product Mix change or Operating Leverage",10,IF(AH377="Yes, these are peak margins",-5,IF(AH377="No",5,0)))</f>
        <v/>
      </c>
      <c r="AJ377" s="31" t="inlineStr">
        <is>
          <t>Stable</t>
        </is>
      </c>
      <c r="AK377" s="31">
        <f>IF(AJ377="Stable",10,0)</f>
        <v/>
      </c>
      <c r="AL377" s="31" t="inlineStr">
        <is>
          <t>Yes</t>
        </is>
      </c>
      <c r="AM377" s="31">
        <f>IF(AL377="Yes",10,0)</f>
        <v/>
      </c>
      <c r="AN377" s="31" t="inlineStr">
        <is>
          <t>B2B</t>
        </is>
      </c>
      <c r="AO377" s="31">
        <f>IF(AN377="B2C",10,IF(AN377="B2B",5,0))</f>
        <v/>
      </c>
      <c r="AP377" s="31" t="inlineStr">
        <is>
          <t>No</t>
        </is>
      </c>
      <c r="AQ377" s="31">
        <f>IF(AP377="Yes",10,0)</f>
        <v/>
      </c>
      <c r="AR377" s="31" t="inlineStr">
        <is>
          <t>Higher One Time, Lower Annuity</t>
        </is>
      </c>
      <c r="AS377" s="31">
        <f>IF(AR377="Fully Annuity",10,IF(AR377="Higher Annuity, Lower One Time",5,IF(AR377="Higher One Time, Lower Annuity",3,0)))</f>
        <v/>
      </c>
      <c r="AT377" s="31" t="inlineStr">
        <is>
          <t>Good</t>
        </is>
      </c>
      <c r="AU377" s="31">
        <f>IF(AT377="Good",10,0)</f>
        <v/>
      </c>
      <c r="AV377" s="31" t="inlineStr">
        <is>
          <t>Yes for more than 2 years</t>
        </is>
      </c>
      <c r="AW377" s="31">
        <f>IF(AV377="Yes for more than 2 years",10,IF(AV377="Yes only for next 1 to 2 years",5,0))</f>
        <v/>
      </c>
      <c r="AX377" s="31" t="inlineStr">
        <is>
          <t>0 to 20</t>
        </is>
      </c>
      <c r="AY377" s="31">
        <f>IF(AX377="Above 40",20,IF(AX377="20 to 40",10,IF(AX377="0 to 20",-5,0)))</f>
        <v/>
      </c>
      <c r="AZ377" s="31" t="inlineStr">
        <is>
          <t>Between 50 to 75</t>
        </is>
      </c>
      <c r="BA377" s="31">
        <f>IF(AZ377="Between 50 to 75",10,IF(AZ377="Above 75",0,0))</f>
        <v/>
      </c>
      <c r="BB377" s="31" t="inlineStr">
        <is>
          <t>Stage 1</t>
        </is>
      </c>
      <c r="BC377" s="31">
        <f>IF(BB377="Stage 2",20,IF(BB377="Stage 1",0,IF(BB377="Stage 3",5,IF(BB377="Stage 4",-5,0))))</f>
        <v/>
      </c>
      <c r="BD377" s="31" t="inlineStr">
        <is>
          <t>Positive Trend</t>
        </is>
      </c>
      <c r="BE377" s="31">
        <f>IF(BD377="Positive Trend",20,IF(BD377="Negative Trend",-10,0))</f>
        <v/>
      </c>
      <c r="BF377" s="31" t="inlineStr">
        <is>
          <t>Uptrend</t>
        </is>
      </c>
      <c r="BG377" s="31">
        <f>IF(BF377="Uptrend",10,IF(BF377="Sideways",5,0))</f>
        <v/>
      </c>
      <c r="BH377" s="31" t="inlineStr">
        <is>
          <t>Uptrend</t>
        </is>
      </c>
      <c r="BI377" s="31">
        <f>IF(BH377="Uptrend",10,IF(BH377="Sideways",5,0))</f>
        <v/>
      </c>
      <c r="BJ377" s="31" t="inlineStr">
        <is>
          <t>Close to 52 week high or retracement</t>
        </is>
      </c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inlineStr">
        <is>
          <t>Yes</t>
        </is>
      </c>
      <c r="BM377" s="31">
        <f>IF(BL377="Yes",10,0)</f>
        <v/>
      </c>
      <c r="BN377" s="31" t="inlineStr">
        <is>
          <t>More than 20%</t>
        </is>
      </c>
      <c r="BO377" s="31">
        <f>IF(BN377="More than 20%",10,IF(BN377="Between 12 to 20%",5,IF(BN377="Less than 12%",0,0)))</f>
        <v/>
      </c>
      <c r="BP377" s="31" t="inlineStr">
        <is>
          <t>No</t>
        </is>
      </c>
      <c r="BQ377" s="31">
        <f>IF(BP377="No",10,0)</f>
        <v/>
      </c>
      <c r="BR377" s="31" t="inlineStr">
        <is>
          <t>Yes</t>
        </is>
      </c>
      <c r="BS377" s="31">
        <f>IF(BR377="NO",5,0)</f>
        <v/>
      </c>
      <c r="BT377" s="31" t="inlineStr">
        <is>
          <t>Above 2</t>
        </is>
      </c>
      <c r="BU377" s="31">
        <f>IF(BT377="Above 2",0,IF(BT377="Between 1.5 to 2",5,IF(BT377="Less than 1.5",10,0)))</f>
        <v/>
      </c>
      <c r="BV377" s="31" t="inlineStr">
        <is>
          <t>Above 70%</t>
        </is>
      </c>
      <c r="BW377" s="31">
        <f>IF(BV377="Above 70%",10,IF(BV377="Between 50% to 70%",5,IF(BV377="Less than 50%",0,IF(BV377="Negative",-10,IF(BV377="Less than 50% and Borrowings are increasing",-5,0)))))</f>
        <v/>
      </c>
      <c r="BX377" s="31" t="inlineStr">
        <is>
          <t>Less than 0.7</t>
        </is>
      </c>
      <c r="BY377" s="31">
        <f>IF(BX377="More than 1.2",-10,IF(BX377="Between 0.7 to 1.2",0,IF(BX377="Less than 0.7",10,0)))</f>
        <v/>
      </c>
      <c r="BZ377" s="31" t="inlineStr">
        <is>
          <t>No</t>
        </is>
      </c>
      <c r="CA377" s="31">
        <f>IF(BZ377="Yes",-10,0)</f>
        <v/>
      </c>
      <c r="CB377" s="31" t="inlineStr">
        <is>
          <t>Less than 15%</t>
        </is>
      </c>
      <c r="CC377" s="31">
        <f>IF(CB377="More than 15%",-10,IF(CB377="Less than 15%",10,0))</f>
        <v/>
      </c>
      <c r="CD377" s="31" t="inlineStr">
        <is>
          <t>No</t>
        </is>
      </c>
      <c r="CE377" s="31">
        <f>IF(CD377="Yes, more than 10%",-10,IF(CD377="No",10,0))</f>
        <v/>
      </c>
    </row>
    <row r="378">
      <c r="A378" s="31">
        <f>IF(B378=0,"",RANK(B378,$B$2:$B$407,0))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3" t="inlineStr">
        <is>
          <t>JBMA</t>
        </is>
      </c>
      <c r="D378" s="33" t="inlineStr">
        <is>
          <t>Jbm Auto Limited</t>
        </is>
      </c>
      <c r="E378" s="31" t="inlineStr">
        <is>
          <t>auto</t>
        </is>
      </c>
      <c r="F378" s="31" t="inlineStr">
        <is>
          <t>auto ancillaries</t>
        </is>
      </c>
      <c r="G378" s="31" t="inlineStr">
        <is>
          <t>midcap</t>
        </is>
      </c>
      <c r="H378" s="32" t="n">
        <v>16618.45</v>
      </c>
      <c r="I378" s="32" t="n">
        <v>712.3</v>
      </c>
      <c r="J378" s="32" t="n">
        <v>1.37</v>
      </c>
      <c r="K378" s="32" t="n">
        <v>592241</v>
      </c>
      <c r="L378" s="31" t="n">
        <v>29</v>
      </c>
      <c r="M378" s="31" t="inlineStr">
        <is>
          <t>Underperforming</t>
        </is>
      </c>
      <c r="N378" s="32">
        <f>IF(M378="Underperforming",-5,IF(L378&gt;=95,15,IF(L378&gt;=90,10,IF(L378&gt;=80,5,0))))</f>
        <v/>
      </c>
      <c r="O378" s="32" t="n">
        <v>61.87</v>
      </c>
      <c r="P378" s="32" t="n">
        <v>20.69</v>
      </c>
      <c r="Q378" s="32" t="n">
        <v>560.74</v>
      </c>
      <c r="R378" s="31" t="inlineStr">
        <is>
          <t>Near 52W High Breakout</t>
        </is>
      </c>
      <c r="S378" s="31" t="inlineStr">
        <is>
          <t>Nifty Auto</t>
        </is>
      </c>
      <c r="T378" s="32" t="n">
        <v>13.04</v>
      </c>
      <c r="U378" s="32" t="n">
        <v>10.32</v>
      </c>
      <c r="V378" s="32" t="n">
        <v>-2.41</v>
      </c>
      <c r="W378" s="32" t="n">
        <v>8.25</v>
      </c>
      <c r="X378" s="31" t="inlineStr">
        <is>
          <t>Growing Industry</t>
        </is>
      </c>
      <c r="Y378" s="31">
        <f>IF(X378="Growing Industry",10,IF(X378="Cyclical in an Upturn",5,0))</f>
        <v/>
      </c>
      <c r="Z378" s="31" t="inlineStr">
        <is>
          <t>Too Many Players with High ROCE</t>
        </is>
      </c>
      <c r="AA378" s="31">
        <f>IF(Z378="Monopoly",10,IF(Z378="Oligopoly",5,IF(Z378="Duopoly that cooperate",10,IF(Z378="Duopoly that compete",5,IF(Z378="Too many players with High ROCE",5,0)))))</f>
        <v/>
      </c>
      <c r="AB378" s="31" t="inlineStr">
        <is>
          <t>No</t>
        </is>
      </c>
      <c r="AC378" s="31">
        <f>IF(AB378="No",5,0)</f>
        <v/>
      </c>
      <c r="AD378" s="31" t="inlineStr">
        <is>
          <t>Tailwind</t>
        </is>
      </c>
      <c r="AE378" s="31">
        <f>IF(AD378="Tailwind",10,0)</f>
        <v/>
      </c>
      <c r="AF378" s="31" t="inlineStr">
        <is>
          <t>Structural (10 Years Consistency)</t>
        </is>
      </c>
      <c r="AG378" s="31">
        <f>IF(AF378="Structural (10 Years Consistency)",10,IF(AF378="Shallow Cyclical (2 to 3 years growth)",5,0))</f>
        <v/>
      </c>
      <c r="AH378" s="31" t="inlineStr">
        <is>
          <t>No</t>
        </is>
      </c>
      <c r="AI378" s="31">
        <f>IF(AH378="Yes due to Product Mix change or Operating Leverage",10,IF(AH378="Yes, these are peak margins",-5,IF(AH378="No",5,0)))</f>
        <v/>
      </c>
      <c r="AJ378" s="31" t="inlineStr">
        <is>
          <t>Stable</t>
        </is>
      </c>
      <c r="AK378" s="31">
        <f>IF(AJ378="Stable",10,0)</f>
        <v/>
      </c>
      <c r="AL378" s="31" t="inlineStr">
        <is>
          <t>Yes</t>
        </is>
      </c>
      <c r="AM378" s="31">
        <f>IF(AL378="Yes",10,0)</f>
        <v/>
      </c>
      <c r="AN378" s="31" t="inlineStr">
        <is>
          <t>B2B</t>
        </is>
      </c>
      <c r="AO378" s="31">
        <f>IF(AN378="B2C",10,IF(AN378="B2B",5,0))</f>
        <v/>
      </c>
      <c r="AP378" s="31" t="inlineStr">
        <is>
          <t>Yes</t>
        </is>
      </c>
      <c r="AQ378" s="31">
        <f>IF(AP378="Yes",10,0)</f>
        <v/>
      </c>
      <c r="AR378" s="31" t="inlineStr">
        <is>
          <t>Higher One Time, Lower Annuity</t>
        </is>
      </c>
      <c r="AS378" s="31">
        <f>IF(AR378="Fully Annuity",10,IF(AR378="Higher Annuity, Lower One Time",5,IF(AR378="Higher One Time, Lower Annuity",3,0)))</f>
        <v/>
      </c>
      <c r="AT378" s="31" t="inlineStr">
        <is>
          <t>Good</t>
        </is>
      </c>
      <c r="AU378" s="31">
        <f>IF(AT378="Good",10,0)</f>
        <v/>
      </c>
      <c r="AV378" s="31" t="inlineStr">
        <is>
          <t>Yes for more than 2 years</t>
        </is>
      </c>
      <c r="AW378" s="31">
        <f>IF(AV378="Yes for more than 2 years",10,IF(AV378="Yes only for next 1 to 2 years",5,0))</f>
        <v/>
      </c>
      <c r="AX378" s="31" t="inlineStr">
        <is>
          <t>20 to 40</t>
        </is>
      </c>
      <c r="AY378" s="31">
        <f>IF(AX378="Above 40",20,IF(AX378="20 to 40",10,IF(AX378="0 to 20",-5,0)))</f>
        <v/>
      </c>
      <c r="AZ378" s="31" t="inlineStr">
        <is>
          <t>Between 50 to 75</t>
        </is>
      </c>
      <c r="BA378" s="31">
        <f>IF(AZ378="Between 50 to 75",10,IF(AZ378="Above 75",0,0))</f>
        <v/>
      </c>
      <c r="BB378" s="31" t="inlineStr">
        <is>
          <t>Stage 2</t>
        </is>
      </c>
      <c r="BC378" s="31">
        <f>IF(BB378="Stage 2",20,IF(BB378="Stage 1",0,IF(BB378="Stage 3",5,IF(BB378="Stage 4",-5,0))))</f>
        <v/>
      </c>
      <c r="BD378" s="31" t="inlineStr">
        <is>
          <t>Positive Trend</t>
        </is>
      </c>
      <c r="BE378" s="31">
        <f>IF(BD378="Positive Trend",20,IF(BD378="Negative Trend",-10,0))</f>
        <v/>
      </c>
      <c r="BF378" s="31" t="inlineStr">
        <is>
          <t>Uptrend</t>
        </is>
      </c>
      <c r="BG378" s="31">
        <f>IF(BF378="Uptrend",10,IF(BF378="Sideways",5,0))</f>
        <v/>
      </c>
      <c r="BH378" s="31" t="inlineStr">
        <is>
          <t>Uptrend</t>
        </is>
      </c>
      <c r="BI378" s="31">
        <f>IF(BH378="Uptrend",10,IF(BH378="Sideways",5,0))</f>
        <v/>
      </c>
      <c r="BJ378" s="31" t="inlineStr">
        <is>
          <t>Close to 52 week high or retracement</t>
        </is>
      </c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inlineStr">
        <is>
          <t>Yes</t>
        </is>
      </c>
      <c r="BM378" s="31">
        <f>IF(BL378="Yes",10,0)</f>
        <v/>
      </c>
      <c r="BN378" s="31" t="inlineStr">
        <is>
          <t>Less than 12%</t>
        </is>
      </c>
      <c r="BO378" s="31">
        <f>IF(BN378="More than 20%",10,IF(BN378="Between 12 to 20%",5,IF(BN378="Less than 12%",0,0)))</f>
        <v/>
      </c>
      <c r="BP378" s="31" t="inlineStr">
        <is>
          <t>No</t>
        </is>
      </c>
      <c r="BQ378" s="31">
        <f>IF(BP378="No",10,0)</f>
        <v/>
      </c>
      <c r="BR378" s="31" t="inlineStr">
        <is>
          <t>Yes</t>
        </is>
      </c>
      <c r="BS378" s="31">
        <f>IF(BR378="NO",5,0)</f>
        <v/>
      </c>
      <c r="BT378" s="31" t="inlineStr">
        <is>
          <t>Above 2</t>
        </is>
      </c>
      <c r="BU378" s="31">
        <f>IF(BT378="Above 2",0,IF(BT378="Between 1.5 to 2",5,IF(BT378="Less than 1.5",10,0)))</f>
        <v/>
      </c>
      <c r="BV378" s="31" t="inlineStr">
        <is>
          <t>Negative</t>
        </is>
      </c>
      <c r="BW378" s="31">
        <f>IF(BV378="Above 70%",10,IF(BV378="Between 50% to 70%",5,IF(BV378="Less than 50%",0,IF(BV378="Negative",-10,IF(BV378="Less than 50% and Borrowings are increasing",-5,0)))))</f>
        <v/>
      </c>
      <c r="BX378" s="31" t="inlineStr">
        <is>
          <t>More than 1.2</t>
        </is>
      </c>
      <c r="BY378" s="31">
        <f>IF(BX378="More than 1.2",-10,IF(BX378="Between 0.7 to 1.2",0,IF(BX378="Less than 0.7",10,0)))</f>
        <v/>
      </c>
      <c r="BZ378" s="31" t="inlineStr">
        <is>
          <t>No</t>
        </is>
      </c>
      <c r="CA378" s="31">
        <f>IF(BZ378="Yes",-10,0)</f>
        <v/>
      </c>
      <c r="CB378" s="31" t="inlineStr">
        <is>
          <t>Less than 15%</t>
        </is>
      </c>
      <c r="CC378" s="31">
        <f>IF(CB378="More than 15%",-10,IF(CB378="Less than 15%",10,0))</f>
        <v/>
      </c>
      <c r="CD378" s="31" t="inlineStr">
        <is>
          <t>No</t>
        </is>
      </c>
      <c r="CE378" s="31">
        <f>IF(CD378="Yes, more than 10%",-10,IF(CD378="No",10,0))</f>
        <v/>
      </c>
    </row>
    <row r="379">
      <c r="A379" s="31">
        <f>IF(B379=0,"",RANK(B379,$B$2:$B$407,0))</f>
        <v/>
      </c>
      <c r="B379" s="32">
        <f>SUM(N379,Y379,AA379,AC379,AE379,AG379,AI379,AK379,AM379,AO379,AQ379,AS379,AU379,AW379,AY379,BA379,BC379,BE379,BG379,BI379,BK379,BM379,BO379,BQ379,BS379,BU379,BW379,BY379,CA379,CC379,CE379)</f>
        <v/>
      </c>
      <c r="C379" s="31" t="inlineStr">
        <is>
          <t>NHPC</t>
        </is>
      </c>
      <c r="D379" s="31" t="inlineStr">
        <is>
          <t>Nhpc Limited</t>
        </is>
      </c>
      <c r="E379" s="31" t="inlineStr">
        <is>
          <t>power &amp; utilities</t>
        </is>
      </c>
      <c r="F379" s="31" t="inlineStr">
        <is>
          <t>power generation and supply</t>
        </is>
      </c>
      <c r="G379" s="31" t="inlineStr">
        <is>
          <t>largecap</t>
        </is>
      </c>
      <c r="H379" s="32" t="n">
        <v>79928.34</v>
      </c>
      <c r="I379" s="32" t="n">
        <v>80.59</v>
      </c>
      <c r="J379" s="32" t="n">
        <v>1.28</v>
      </c>
      <c r="K379" s="32" t="n">
        <v>15760800</v>
      </c>
      <c r="L379" s="31" t="n">
        <v>2</v>
      </c>
      <c r="M379" s="31" t="inlineStr">
        <is>
          <t>Outperforming</t>
        </is>
      </c>
      <c r="N379" s="32">
        <f>IF(M379="Underperforming",-5,IF(L379&gt;=95,15,IF(L379&gt;=90,10,IF(L379&gt;=80,5,0))))</f>
        <v/>
      </c>
      <c r="O379" s="32" t="n">
        <v>54.43</v>
      </c>
      <c r="P379" s="32" t="n">
        <v>15.25</v>
      </c>
      <c r="Q379" s="32" t="n">
        <v>70.17</v>
      </c>
      <c r="R379" s="31" t="inlineStr">
        <is>
          <t>Earnings / Momentum Support</t>
        </is>
      </c>
      <c r="S379" s="31" t="inlineStr">
        <is>
          <t>Nifty IT</t>
        </is>
      </c>
      <c r="T379" s="32" t="n">
        <v>-31.15</v>
      </c>
      <c r="U379" s="32" t="n">
        <v>-2.94</v>
      </c>
      <c r="V379" s="32" t="n">
        <v>40.98</v>
      </c>
      <c r="W379" s="32" t="n">
        <v>0.9399999999999999</v>
      </c>
      <c r="X379" s="31" t="inlineStr">
        <is>
          <t>Growing Industry</t>
        </is>
      </c>
      <c r="Y379" s="31">
        <f>IF(X379="Growing Industry",10,IF(X379="Cyclical in an Upturn",5,0))</f>
        <v/>
      </c>
      <c r="Z379" s="31" t="inlineStr">
        <is>
          <t>Too Many Players with High ROCE</t>
        </is>
      </c>
      <c r="AA379" s="31">
        <f>IF(Z379="Monopoly",10,IF(Z379="Oligopoly",5,IF(Z379="Duopoly that cooperate",10,IF(Z379="Duopoly that compete",5,IF(Z379="Too many players with High ROCE",5,0)))))</f>
        <v/>
      </c>
      <c r="AB379" s="31" t="inlineStr">
        <is>
          <t>No</t>
        </is>
      </c>
      <c r="AC379" s="31">
        <f>IF(AB379="No",5,0)</f>
        <v/>
      </c>
      <c r="AD379" s="31" t="inlineStr">
        <is>
          <t>Headwind</t>
        </is>
      </c>
      <c r="AE379" s="31">
        <f>IF(AD379="Tailwind",10,0)</f>
        <v/>
      </c>
      <c r="AF379" s="31" t="inlineStr">
        <is>
          <t>Structural (10 Years Consistency)</t>
        </is>
      </c>
      <c r="AG379" s="31">
        <f>IF(AF379="Structural (10 Years Consistency)",10,IF(AF379="Shallow Cyclical (2 to 3 years growth)",5,0))</f>
        <v/>
      </c>
      <c r="AH379" s="31" t="inlineStr">
        <is>
          <t>No</t>
        </is>
      </c>
      <c r="AI379" s="31">
        <f>IF(AH379="Yes due to Product Mix change or Operating Leverage",10,IF(AH379="Yes, these are peak margins",-5,IF(AH379="No",5,0)))</f>
        <v/>
      </c>
      <c r="AJ379" s="31" t="inlineStr">
        <is>
          <t>Stable</t>
        </is>
      </c>
      <c r="AK379" s="31">
        <f>IF(AJ379="Stable",10,0)</f>
        <v/>
      </c>
      <c r="AL379" s="31" t="inlineStr">
        <is>
          <t>Yes</t>
        </is>
      </c>
      <c r="AM379" s="31">
        <f>IF(AL379="Yes",10,0)</f>
        <v/>
      </c>
      <c r="AN379" s="31" t="inlineStr">
        <is>
          <t>B2B</t>
        </is>
      </c>
      <c r="AO379" s="31">
        <f>IF(AN379="B2C",10,IF(AN379="B2B",5,0))</f>
        <v/>
      </c>
      <c r="AP379" s="31" t="inlineStr">
        <is>
          <t>No</t>
        </is>
      </c>
      <c r="AQ379" s="31">
        <f>IF(AP379="Yes",10,0)</f>
        <v/>
      </c>
      <c r="AR379" s="31" t="inlineStr">
        <is>
          <t>Higher One Time, Lower Annuity</t>
        </is>
      </c>
      <c r="AS379" s="31">
        <f>IF(AR379="Fully Annuity",10,IF(AR379="Higher Annuity, Lower One Time",5,IF(AR379="Higher One Time, Lower Annuity",3,0)))</f>
        <v/>
      </c>
      <c r="AT379" s="31" t="inlineStr">
        <is>
          <t>Good</t>
        </is>
      </c>
      <c r="AU379" s="31">
        <f>IF(AT379="Good",10,0)</f>
        <v/>
      </c>
      <c r="AV379" s="31" t="inlineStr">
        <is>
          <t>Yes for more than 2 years</t>
        </is>
      </c>
      <c r="AW379" s="31">
        <f>IF(AV379="Yes for more than 2 years",10,IF(AV379="Yes only for next 1 to 2 years",5,0))</f>
        <v/>
      </c>
      <c r="AX379" s="31" t="inlineStr">
        <is>
          <t>0 to 20</t>
        </is>
      </c>
      <c r="AY379" s="31">
        <f>IF(AX379="Above 40",20,IF(AX379="20 to 40",10,IF(AX379="0 to 20",-5,0)))</f>
        <v/>
      </c>
      <c r="AZ379" s="31" t="inlineStr">
        <is>
          <t>Between 50 to 75</t>
        </is>
      </c>
      <c r="BA379" s="31">
        <f>IF(AZ379="Between 50 to 75",10,IF(AZ379="Above 75",0,0))</f>
        <v/>
      </c>
      <c r="BB379" s="31" t="inlineStr">
        <is>
          <t>Stage 1</t>
        </is>
      </c>
      <c r="BC379" s="31">
        <f>IF(BB379="Stage 2",20,IF(BB379="Stage 1",0,IF(BB379="Stage 3",5,IF(BB379="Stage 4",-5,0))))</f>
        <v/>
      </c>
      <c r="BD379" s="31" t="inlineStr">
        <is>
          <t>Positive Trend</t>
        </is>
      </c>
      <c r="BE379" s="31">
        <f>IF(BD379="Positive Trend",20,IF(BD379="Negative Trend",-10,0))</f>
        <v/>
      </c>
      <c r="BF379" s="31" t="inlineStr">
        <is>
          <t>Uptrend</t>
        </is>
      </c>
      <c r="BG379" s="31">
        <f>IF(BF379="Uptrend",10,IF(BF379="Sideways",5,0))</f>
        <v/>
      </c>
      <c r="BH379" s="31" t="inlineStr">
        <is>
          <t>Uptrend</t>
        </is>
      </c>
      <c r="BI379" s="31">
        <f>IF(BH379="Uptrend",10,IF(BH379="Sideways",5,0))</f>
        <v/>
      </c>
      <c r="BJ379" s="31" t="inlineStr">
        <is>
          <t>Close to 52 week high or retracement</t>
        </is>
      </c>
      <c r="BK379" s="31">
        <f>IF(BJ379="Overhead supply in last 2 years in last 2 years",-5,IF(BJ379="Close to 52 week high or retracement",5,IF(BJ379="Blue sky scenario",10,IF(BJ379="Long term Downtrend",-10,0))))</f>
        <v/>
      </c>
      <c r="BL379" s="31" t="inlineStr">
        <is>
          <t>Yes</t>
        </is>
      </c>
      <c r="BM379" s="31">
        <f>IF(BL379="Yes",10,0)</f>
        <v/>
      </c>
      <c r="BN379" s="31" t="inlineStr">
        <is>
          <t>More than 20%</t>
        </is>
      </c>
      <c r="BO379" s="31">
        <f>IF(BN379="More than 20%",10,IF(BN379="Between 12 to 20%",5,IF(BN379="Less than 12%",0,0)))</f>
        <v/>
      </c>
      <c r="BP379" s="31" t="inlineStr">
        <is>
          <t>No</t>
        </is>
      </c>
      <c r="BQ379" s="31">
        <f>IF(BP379="No",10,0)</f>
        <v/>
      </c>
      <c r="BR379" s="31" t="inlineStr">
        <is>
          <t>No</t>
        </is>
      </c>
      <c r="BS379" s="31">
        <f>IF(BR379="NO",5,0)</f>
        <v/>
      </c>
      <c r="BT379" s="31" t="inlineStr">
        <is>
          <t>Less than 1.5</t>
        </is>
      </c>
      <c r="BU379" s="31">
        <f>IF(BT379="Above 2",0,IF(BT379="Between 1.5 to 2",5,IF(BT379="Less than 1.5",10,0)))</f>
        <v/>
      </c>
      <c r="BV379" s="31" t="inlineStr">
        <is>
          <t>Between 50% to 70%</t>
        </is>
      </c>
      <c r="BW379" s="31">
        <f>IF(BV379="Above 70%",10,IF(BV379="Between 50% to 70%",5,IF(BV379="Less than 50%",0,IF(BV379="Negative",-10,IF(BV379="Less than 50% and Borrowings are increasing",-5,0)))))</f>
        <v/>
      </c>
      <c r="BX379" s="31" t="inlineStr">
        <is>
          <t>Between 0.7 to 1.2</t>
        </is>
      </c>
      <c r="BY379" s="31">
        <f>IF(BX379="More than 1.2",-10,IF(BX379="Between 0.7 to 1.2",0,IF(BX379="Less than 0.7",10,0)))</f>
        <v/>
      </c>
      <c r="BZ379" s="31" t="inlineStr">
        <is>
          <t>No</t>
        </is>
      </c>
      <c r="CA379" s="31">
        <f>IF(BZ379="Yes",-10,0)</f>
        <v/>
      </c>
      <c r="CB379" s="31" t="inlineStr">
        <is>
          <t>Less than 15%</t>
        </is>
      </c>
      <c r="CC379" s="31">
        <f>IF(CB379="More than 15%",-10,IF(CB379="Less than 15%",10,0))</f>
        <v/>
      </c>
      <c r="CD379" s="31" t="inlineStr">
        <is>
          <t>No</t>
        </is>
      </c>
      <c r="CE379" s="31">
        <f>IF(CD379="Yes, more than 10%",-10,IF(CD379="No",10,0))</f>
        <v/>
      </c>
    </row>
    <row r="380">
      <c r="A380" s="31">
        <f>IF(B380=0,"",RANK(B380,$B$2:$B$407,0))</f>
        <v/>
      </c>
      <c r="B380" s="32">
        <f>SUM(N380,Y380,AA380,AC380,AE380,AG380,AI380,AK380,AM380,AO380,AQ380,AS380,AU380,AW380,AY380,BA380,BC380,BE380,BG380,BI380,BK380,BM380,BO380,BQ380,BS380,BU380,BW380,BY380,CA380,CC380,CE380)</f>
        <v/>
      </c>
      <c r="C380" s="31" t="inlineStr">
        <is>
          <t>KAPSTON</t>
        </is>
      </c>
      <c r="D380" s="31" t="inlineStr">
        <is>
          <t>Kapston Services Ltd</t>
        </is>
      </c>
      <c r="E380" s="31" t="inlineStr">
        <is>
          <t>miscellaneous</t>
        </is>
      </c>
      <c r="F380" s="31" t="inlineStr">
        <is>
          <t>miscellaneous</t>
        </is>
      </c>
      <c r="G380" s="31" t="inlineStr">
        <is>
          <t>smallcap</t>
        </is>
      </c>
      <c r="H380" s="32" t="n">
        <v>1144.1</v>
      </c>
      <c r="I380" s="32" t="n">
        <v>380</v>
      </c>
      <c r="J380" s="32" t="n">
        <v>1.08</v>
      </c>
      <c r="K380" s="32" t="n">
        <v>17456</v>
      </c>
      <c r="L380" s="31" t="n">
        <v>63</v>
      </c>
      <c r="M380" s="31" t="inlineStr">
        <is>
          <t>Outperforming</t>
        </is>
      </c>
      <c r="N380" s="32">
        <f>IF(M380="Underperforming",-5,IF(L380&gt;=95,15,IF(L380&gt;=90,10,IF(L380&gt;=80,5,0))))</f>
        <v/>
      </c>
      <c r="O380" s="32" t="n">
        <v>62.67</v>
      </c>
      <c r="P380" s="32" t="n">
        <v>14.05</v>
      </c>
      <c r="Q380" s="32" t="n">
        <v>278.58</v>
      </c>
      <c r="R380" s="31" t="inlineStr">
        <is>
          <t>Earnings / Momentum Support</t>
        </is>
      </c>
      <c r="S380" s="31" t="inlineStr">
        <is>
          <t>Nifty 50</t>
        </is>
      </c>
      <c r="T380" s="32" t="n">
        <v>-5.05</v>
      </c>
      <c r="U380" s="32" t="n">
        <v>50.97</v>
      </c>
      <c r="V380" s="32" t="n">
        <v>59</v>
      </c>
      <c r="W380" s="32" t="n">
        <v>16.6</v>
      </c>
      <c r="X380" s="31" t="inlineStr">
        <is>
          <t>Growing Industry</t>
        </is>
      </c>
      <c r="Y380" s="31">
        <f>IF(X380="Growing Industry",10,IF(X380="Cyclical in an Upturn",5,0))</f>
        <v/>
      </c>
      <c r="Z380" s="31" t="inlineStr">
        <is>
          <t>Too Many Players with High ROCE</t>
        </is>
      </c>
      <c r="AA380" s="31">
        <f>IF(Z380="Monopoly",10,IF(Z380="Oligopoly",5,IF(Z380="Duopoly that cooperate",10,IF(Z380="Duopoly that compete",5,IF(Z380="Too many players with High ROCE",5,0)))))</f>
        <v/>
      </c>
      <c r="AB380" s="31" t="inlineStr">
        <is>
          <t>No</t>
        </is>
      </c>
      <c r="AC380" s="31">
        <f>IF(AB380="No",5,0)</f>
        <v/>
      </c>
      <c r="AD380" s="31" t="inlineStr">
        <is>
          <t>Tailwind</t>
        </is>
      </c>
      <c r="AE380" s="31">
        <f>IF(AD380="Tailwind",10,0)</f>
        <v/>
      </c>
      <c r="AF380" s="31" t="inlineStr">
        <is>
          <t>Structural (10 Years Consistency)</t>
        </is>
      </c>
      <c r="AG380" s="31">
        <f>IF(AF380="Structural (10 Years Consistency)",10,IF(AF380="Shallow Cyclical (2 to 3 years growth)",5,0))</f>
        <v/>
      </c>
      <c r="AH380" s="31" t="inlineStr">
        <is>
          <t>No</t>
        </is>
      </c>
      <c r="AI380" s="31">
        <f>IF(AH380="Yes due to Product Mix change or Operating Leverage",10,IF(AH380="Yes, these are peak margins",-5,IF(AH380="No",5,0)))</f>
        <v/>
      </c>
      <c r="AJ380" s="31" t="inlineStr">
        <is>
          <t>Stable</t>
        </is>
      </c>
      <c r="AK380" s="31">
        <f>IF(AJ380="Stable",10,0)</f>
        <v/>
      </c>
      <c r="AL380" s="31" t="inlineStr">
        <is>
          <t>Yes</t>
        </is>
      </c>
      <c r="AM380" s="31">
        <f>IF(AL380="Yes",10,0)</f>
        <v/>
      </c>
      <c r="AN380" s="31" t="inlineStr">
        <is>
          <t>B2B</t>
        </is>
      </c>
      <c r="AO380" s="31">
        <f>IF(AN380="B2C",10,IF(AN380="B2B",5,0))</f>
        <v/>
      </c>
      <c r="AP380" s="31" t="inlineStr">
        <is>
          <t>No</t>
        </is>
      </c>
      <c r="AQ380" s="31">
        <f>IF(AP380="Yes",10,0)</f>
        <v/>
      </c>
      <c r="AR380" s="31" t="inlineStr">
        <is>
          <t>Higher One Time, Lower Annuity</t>
        </is>
      </c>
      <c r="AS380" s="31">
        <f>IF(AR380="Fully Annuity",10,IF(AR380="Higher Annuity, Lower One Time",5,IF(AR380="Higher One Time, Lower Annuity",3,0)))</f>
        <v/>
      </c>
      <c r="AT380" s="31" t="inlineStr">
        <is>
          <t>Good</t>
        </is>
      </c>
      <c r="AU380" s="31">
        <f>IF(AT380="Good",10,0)</f>
        <v/>
      </c>
      <c r="AV380" s="31" t="inlineStr">
        <is>
          <t>Yes for more than 2 years</t>
        </is>
      </c>
      <c r="AW380" s="31">
        <f>IF(AV380="Yes for more than 2 years",10,IF(AV380="Yes only for next 1 to 2 years",5,0))</f>
        <v/>
      </c>
      <c r="AX380" s="31" t="inlineStr">
        <is>
          <t>0 to 20</t>
        </is>
      </c>
      <c r="AY380" s="31">
        <f>IF(AX380="Above 40",20,IF(AX380="20 to 40",10,IF(AX380="0 to 20",-5,0)))</f>
        <v/>
      </c>
      <c r="AZ380" s="31" t="inlineStr">
        <is>
          <t>Between 50 to 75</t>
        </is>
      </c>
      <c r="BA380" s="31">
        <f>IF(AZ380="Between 50 to 75",10,IF(AZ380="Above 75",0,0))</f>
        <v/>
      </c>
      <c r="BB380" s="31" t="inlineStr">
        <is>
          <t>Stage 2</t>
        </is>
      </c>
      <c r="BC380" s="31">
        <f>IF(BB380="Stage 2",20,IF(BB380="Stage 1",0,IF(BB380="Stage 3",5,IF(BB380="Stage 4",-5,0))))</f>
        <v/>
      </c>
      <c r="BD380" s="31" t="inlineStr">
        <is>
          <t>Positive Trend</t>
        </is>
      </c>
      <c r="BE380" s="31">
        <f>IF(BD380="Positive Trend",20,IF(BD380="Negative Trend",-10,0))</f>
        <v/>
      </c>
      <c r="BF380" s="31" t="inlineStr">
        <is>
          <t>Uptrend</t>
        </is>
      </c>
      <c r="BG380" s="31">
        <f>IF(BF380="Uptrend",10,IF(BF380="Sideways",5,0))</f>
        <v/>
      </c>
      <c r="BH380" s="31" t="inlineStr">
        <is>
          <t>Uptrend</t>
        </is>
      </c>
      <c r="BI380" s="31">
        <f>IF(BH380="Uptrend",10,IF(BH380="Sideways",5,0))</f>
        <v/>
      </c>
      <c r="BJ380" s="31" t="inlineStr">
        <is>
          <t>Close to 52 week high or retracement</t>
        </is>
      </c>
      <c r="BK380" s="31">
        <f>IF(BJ380="Overhead supply in last 2 years in last 2 years",-5,IF(BJ380="Close to 52 week high or retracement",5,IF(BJ380="Blue sky scenario",10,IF(BJ380="Long term Downtrend",-10,0))))</f>
        <v/>
      </c>
      <c r="BL380" s="31" t="inlineStr">
        <is>
          <t>Yes</t>
        </is>
      </c>
      <c r="BM380" s="31">
        <f>IF(BL380="Yes",10,0)</f>
        <v/>
      </c>
      <c r="BN380" s="31" t="inlineStr">
        <is>
          <t>More than 20%</t>
        </is>
      </c>
      <c r="BO380" s="31">
        <f>IF(BN380="More than 20%",10,IF(BN380="Between 12 to 20%",5,IF(BN380="Less than 12%",0,0)))</f>
        <v/>
      </c>
      <c r="BP380" s="31" t="inlineStr">
        <is>
          <t>No</t>
        </is>
      </c>
      <c r="BQ380" s="31">
        <f>IF(BP380="No",10,0)</f>
        <v/>
      </c>
      <c r="BR380" s="31" t="inlineStr">
        <is>
          <t>Yes</t>
        </is>
      </c>
      <c r="BS380" s="31">
        <f>IF(BR380="NO",5,0)</f>
        <v/>
      </c>
      <c r="BT380" s="31" t="inlineStr">
        <is>
          <t>Between 1.5 to 2</t>
        </is>
      </c>
      <c r="BU380" s="31">
        <f>IF(BT380="Above 2",0,IF(BT380="Between 1.5 to 2",5,IF(BT380="Less than 1.5",10,0)))</f>
        <v/>
      </c>
      <c r="BV380" s="31" t="inlineStr">
        <is>
          <t>Less than 50% and Borrowings are increasing</t>
        </is>
      </c>
      <c r="BW380" s="31">
        <f>IF(BV380="Above 70%",10,IF(BV380="Between 50% to 70%",5,IF(BV380="Less than 50%",0,IF(BV380="Negative",-10,IF(BV380="Less than 50% and Borrowings are increasing",-5,0)))))</f>
        <v/>
      </c>
      <c r="BX380" s="31" t="inlineStr">
        <is>
          <t>More than 1.2</t>
        </is>
      </c>
      <c r="BY380" s="31">
        <f>IF(BX380="More than 1.2",-10,IF(BX380="Between 0.7 to 1.2",0,IF(BX380="Less than 0.7",10,0)))</f>
        <v/>
      </c>
      <c r="BZ380" s="31" t="inlineStr">
        <is>
          <t>No</t>
        </is>
      </c>
      <c r="CA380" s="31">
        <f>IF(BZ380="Yes",-10,0)</f>
        <v/>
      </c>
      <c r="CB380" s="31" t="inlineStr">
        <is>
          <t>Less than 15%</t>
        </is>
      </c>
      <c r="CC380" s="31">
        <f>IF(CB380="More than 15%",-10,IF(CB380="Less than 15%",10,0))</f>
        <v/>
      </c>
      <c r="CD380" s="31" t="inlineStr">
        <is>
          <t>No</t>
        </is>
      </c>
      <c r="CE380" s="31">
        <f>IF(CD380="Yes, more than 10%",-10,IF(CD380="No",10,0))</f>
        <v/>
      </c>
    </row>
    <row r="381">
      <c r="A381" s="31">
        <f>IF(B381=0,"",RANK(B381,$B$2:$B$407,0))</f>
        <v/>
      </c>
      <c r="B381" s="32">
        <f>SUM(N381,Y381,AA381,AC381,AE381,AG381,AI381,AK381,AM381,AO381,AQ381,AS381,AU381,AW381,AY381,BA381,BC381,BE381,BG381,BI381,BK381,BM381,BO381,BQ381,BS381,BU381,BW381,BY381,CA381,CC381,CE381)</f>
        <v/>
      </c>
      <c r="C381" s="31" t="inlineStr">
        <is>
          <t>TBOTEK</t>
        </is>
      </c>
      <c r="D381" s="31" t="inlineStr">
        <is>
          <t>TBO Tek Ltd</t>
        </is>
      </c>
      <c r="E381" s="31" t="inlineStr">
        <is>
          <t>i.t</t>
        </is>
      </c>
      <c r="F381" s="31" t="inlineStr">
        <is>
          <t>travel agencies</t>
        </is>
      </c>
      <c r="G381" s="31" t="inlineStr">
        <is>
          <t>midcap</t>
        </is>
      </c>
      <c r="H381" s="32" t="n">
        <v>16418.47</v>
      </c>
      <c r="I381" s="32" t="n">
        <v>1526.3</v>
      </c>
      <c r="J381" s="32" t="n">
        <v>0.95</v>
      </c>
      <c r="K381" s="32" t="n">
        <v>1830665</v>
      </c>
      <c r="L381" s="31" t="n">
        <v>47</v>
      </c>
      <c r="M381" s="31" t="inlineStr">
        <is>
          <t>Outperforming</t>
        </is>
      </c>
      <c r="N381" s="32">
        <f>IF(M381="Underperforming",-5,IF(L381&gt;=95,15,IF(L381&gt;=90,10,IF(L381&gt;=80,5,0))))</f>
        <v/>
      </c>
      <c r="O381" s="32" t="n">
        <v>61.45</v>
      </c>
      <c r="P381" s="32" t="n">
        <v>15.6</v>
      </c>
      <c r="Q381" s="32" t="n">
        <v>1151.86</v>
      </c>
      <c r="R381" s="31" t="inlineStr">
        <is>
          <t>Volume Spike / Accumulation</t>
        </is>
      </c>
      <c r="S381" s="31" t="inlineStr">
        <is>
          <t>Nifty IT</t>
        </is>
      </c>
      <c r="T381" s="32" t="n">
        <v>-31.15</v>
      </c>
      <c r="U381" s="32" t="n">
        <v>7.09</v>
      </c>
      <c r="V381" s="32" t="n">
        <v>55.54</v>
      </c>
      <c r="W381" s="32" t="n">
        <v>12.13</v>
      </c>
      <c r="X381" s="31" t="inlineStr">
        <is>
          <t>Growing Industry</t>
        </is>
      </c>
      <c r="Y381" s="31">
        <f>IF(X381="Growing Industry",10,IF(X381="Cyclical in an Upturn",5,0))</f>
        <v/>
      </c>
      <c r="Z381" s="31" t="inlineStr">
        <is>
          <t>Too Many Players with High ROCE</t>
        </is>
      </c>
      <c r="AA381" s="31">
        <f>IF(Z381="Monopoly",10,IF(Z381="Oligopoly",5,IF(Z381="Duopoly that cooperate",10,IF(Z381="Duopoly that compete",5,IF(Z381="Too many players with High ROCE",5,0)))))</f>
        <v/>
      </c>
      <c r="AB381" s="31" t="inlineStr">
        <is>
          <t>No</t>
        </is>
      </c>
      <c r="AC381" s="31">
        <f>IF(AB381="No",5,0)</f>
        <v/>
      </c>
      <c r="AD381" s="31" t="inlineStr">
        <is>
          <t>Headwind</t>
        </is>
      </c>
      <c r="AE381" s="31">
        <f>IF(AD381="Tailwind",10,0)</f>
        <v/>
      </c>
      <c r="AF381" s="31" t="inlineStr">
        <is>
          <t>Structural (10 Years Consistency)</t>
        </is>
      </c>
      <c r="AG381" s="31">
        <f>IF(AF381="Structural (10 Years Consistency)",10,IF(AF381="Shallow Cyclical (2 to 3 years growth)",5,0))</f>
        <v/>
      </c>
      <c r="AH381" s="31" t="inlineStr">
        <is>
          <t>No</t>
        </is>
      </c>
      <c r="AI381" s="31">
        <f>IF(AH381="Yes due to Product Mix change or Operating Leverage",10,IF(AH381="Yes, these are peak margins",-5,IF(AH381="No",5,0)))</f>
        <v/>
      </c>
      <c r="AJ381" s="31" t="inlineStr">
        <is>
          <t>Stable</t>
        </is>
      </c>
      <c r="AK381" s="31">
        <f>IF(AJ381="Stable",10,0)</f>
        <v/>
      </c>
      <c r="AL381" s="31" t="inlineStr">
        <is>
          <t>Yes</t>
        </is>
      </c>
      <c r="AM381" s="31">
        <f>IF(AL381="Yes",10,0)</f>
        <v/>
      </c>
      <c r="AN381" s="31" t="inlineStr">
        <is>
          <t>B2B</t>
        </is>
      </c>
      <c r="AO381" s="31">
        <f>IF(AN381="B2C",10,IF(AN381="B2B",5,0))</f>
        <v/>
      </c>
      <c r="AP381" s="31" t="inlineStr">
        <is>
          <t>Yes</t>
        </is>
      </c>
      <c r="AQ381" s="31">
        <f>IF(AP381="Yes",10,0)</f>
        <v/>
      </c>
      <c r="AR381" s="31" t="inlineStr">
        <is>
          <t>Higher One Time, Lower Annuity</t>
        </is>
      </c>
      <c r="AS381" s="31">
        <f>IF(AR381="Fully Annuity",10,IF(AR381="Higher Annuity, Lower One Time",5,IF(AR381="Higher One Time, Lower Annuity",3,0)))</f>
        <v/>
      </c>
      <c r="AT381" s="31" t="inlineStr">
        <is>
          <t>Good</t>
        </is>
      </c>
      <c r="AU381" s="31">
        <f>IF(AT381="Good",10,0)</f>
        <v/>
      </c>
      <c r="AV381" s="31" t="inlineStr">
        <is>
          <t>Yes for more than 2 years</t>
        </is>
      </c>
      <c r="AW381" s="31">
        <f>IF(AV381="Yes for more than 2 years",10,IF(AV381="Yes only for next 1 to 2 years",5,0))</f>
        <v/>
      </c>
      <c r="AX381" s="31" t="inlineStr">
        <is>
          <t>0 to 20</t>
        </is>
      </c>
      <c r="AY381" s="31">
        <f>IF(AX381="Above 40",20,IF(AX381="20 to 40",10,IF(AX381="0 to 20",-5,0)))</f>
        <v/>
      </c>
      <c r="AZ381" s="31" t="inlineStr">
        <is>
          <t>Between 50 to 75</t>
        </is>
      </c>
      <c r="BA381" s="31">
        <f>IF(AZ381="Between 50 to 75",10,IF(AZ381="Above 75",0,0))</f>
        <v/>
      </c>
      <c r="BB381" s="31" t="inlineStr">
        <is>
          <t>Stage 2</t>
        </is>
      </c>
      <c r="BC381" s="31">
        <f>IF(BB381="Stage 2",20,IF(BB381="Stage 1",0,IF(BB381="Stage 3",5,IF(BB381="Stage 4",-5,0))))</f>
        <v/>
      </c>
      <c r="BD381" s="31" t="inlineStr">
        <is>
          <t>Positive Trend</t>
        </is>
      </c>
      <c r="BE381" s="31">
        <f>IF(BD381="Positive Trend",20,IF(BD381="Negative Trend",-10,0))</f>
        <v/>
      </c>
      <c r="BF381" s="31" t="inlineStr">
        <is>
          <t>Uptrend</t>
        </is>
      </c>
      <c r="BG381" s="31">
        <f>IF(BF381="Uptrend",10,IF(BF381="Sideways",5,0))</f>
        <v/>
      </c>
      <c r="BH381" s="31" t="inlineStr">
        <is>
          <t>Uptrend</t>
        </is>
      </c>
      <c r="BI381" s="31">
        <f>IF(BH381="Uptrend",10,IF(BH381="Sideways",5,0))</f>
        <v/>
      </c>
      <c r="BJ381" s="31" t="inlineStr">
        <is>
          <t>Close to 52 week high or retracement</t>
        </is>
      </c>
      <c r="BK381" s="31">
        <f>IF(BJ381="Overhead supply in last 2 years in last 2 years",-5,IF(BJ381="Close to 52 week high or retracement",5,IF(BJ381="Blue sky scenario",10,IF(BJ381="Long term Downtrend",-10,0))))</f>
        <v/>
      </c>
      <c r="BL381" s="31" t="inlineStr">
        <is>
          <t>Yes</t>
        </is>
      </c>
      <c r="BM381" s="31">
        <f>IF(BL381="Yes",10,0)</f>
        <v/>
      </c>
      <c r="BN381" s="31" t="inlineStr">
        <is>
          <t>Less than 12%</t>
        </is>
      </c>
      <c r="BO381" s="31">
        <f>IF(BN381="More than 20%",10,IF(BN381="Between 12 to 20%",5,IF(BN381="Less than 12%",0,0)))</f>
        <v/>
      </c>
      <c r="BP381" s="31" t="inlineStr">
        <is>
          <t>No</t>
        </is>
      </c>
      <c r="BQ381" s="31">
        <f>IF(BP381="No",10,0)</f>
        <v/>
      </c>
      <c r="BR381" s="31" t="inlineStr">
        <is>
          <t>Yes</t>
        </is>
      </c>
      <c r="BS381" s="31">
        <f>IF(BR381="NO",5,0)</f>
        <v/>
      </c>
      <c r="BT381" s="31" t="inlineStr">
        <is>
          <t>Above 2</t>
        </is>
      </c>
      <c r="BU381" s="31">
        <f>IF(BT381="Above 2",0,IF(BT381="Between 1.5 to 2",5,IF(BT381="Less than 1.5",10,0)))</f>
        <v/>
      </c>
      <c r="BV381" s="31" t="inlineStr">
        <is>
          <t>Negative</t>
        </is>
      </c>
      <c r="BW381" s="31">
        <f>IF(BV381="Above 70%",10,IF(BV381="Between 50% to 70%",5,IF(BV381="Less than 50%",0,IF(BV381="Negative",-10,IF(BV381="Less than 50% and Borrowings are increasing",-5,0)))))</f>
        <v/>
      </c>
      <c r="BX381" s="31" t="inlineStr">
        <is>
          <t>Less than 0.7</t>
        </is>
      </c>
      <c r="BY381" s="31">
        <f>IF(BX381="More than 1.2",-10,IF(BX381="Between 0.7 to 1.2",0,IF(BX381="Less than 0.7",10,0)))</f>
        <v/>
      </c>
      <c r="BZ381" s="31" t="inlineStr">
        <is>
          <t>No</t>
        </is>
      </c>
      <c r="CA381" s="31">
        <f>IF(BZ381="Yes",-10,0)</f>
        <v/>
      </c>
      <c r="CB381" s="31" t="inlineStr">
        <is>
          <t>Less than 15%</t>
        </is>
      </c>
      <c r="CC381" s="31">
        <f>IF(CB381="More than 15%",-10,IF(CB381="Less than 15%",10,0))</f>
        <v/>
      </c>
      <c r="CD381" s="31" t="inlineStr">
        <is>
          <t>No</t>
        </is>
      </c>
      <c r="CE381" s="31">
        <f>IF(CD381="Yes, more than 10%",-10,IF(CD381="No",10,0))</f>
        <v/>
      </c>
    </row>
    <row r="382">
      <c r="A382" s="31">
        <f>IF(B382=0,"",RANK(B382,$B$2:$B$407,0))</f>
        <v/>
      </c>
      <c r="B382" s="32">
        <f>SUM(N382,Y382,AA382,AC382,AE382,AG382,AI382,AK382,AM382,AO382,AQ382,AS382,AU382,AW382,AY382,BA382,BC382,BE382,BG382,BI382,BK382,BM382,BO382,BQ382,BS382,BU382,BW382,BY382,CA382,CC382,CE382)</f>
        <v/>
      </c>
      <c r="C382" s="31" t="inlineStr">
        <is>
          <t>SIMPLEXINF</t>
        </is>
      </c>
      <c r="D382" s="31" t="inlineStr">
        <is>
          <t>Simplex Infrastructures Limited</t>
        </is>
      </c>
      <c r="E382" s="31" t="inlineStr">
        <is>
          <t>realty</t>
        </is>
      </c>
      <c r="F382" s="31" t="inlineStr">
        <is>
          <t>construction</t>
        </is>
      </c>
      <c r="G382" s="31" t="inlineStr">
        <is>
          <t>smallcap</t>
        </is>
      </c>
      <c r="H382" s="32" t="n">
        <v>2103.15</v>
      </c>
      <c r="I382" s="32" t="n">
        <v>265.9</v>
      </c>
      <c r="J382" s="32" t="n">
        <v>0</v>
      </c>
      <c r="K382" s="32" t="n">
        <v>46833</v>
      </c>
      <c r="L382" s="31" t="n">
        <v>71</v>
      </c>
      <c r="M382" s="31" t="inlineStr">
        <is>
          <t>Outperforming</t>
        </is>
      </c>
      <c r="N382" s="32">
        <f>IF(M382="Underperforming",-5,IF(L382&gt;=95,15,IF(L382&gt;=90,10,IF(L382&gt;=80,5,0))))</f>
        <v/>
      </c>
      <c r="O382" s="32" t="n">
        <v>57.36</v>
      </c>
      <c r="P382" s="32" t="n">
        <v>16.53</v>
      </c>
      <c r="Q382" s="32" t="n">
        <v>184.47</v>
      </c>
      <c r="R382" s="31" t="inlineStr">
        <is>
          <t>Earnings / Momentum Support</t>
        </is>
      </c>
      <c r="S382" s="31" t="inlineStr">
        <is>
          <t>Nifty Realty</t>
        </is>
      </c>
      <c r="T382" s="32" t="n">
        <v>-10.31</v>
      </c>
      <c r="U382" s="32" t="n">
        <v>2.74</v>
      </c>
      <c r="V382" s="32" t="n">
        <v>14.56</v>
      </c>
      <c r="W382" s="32" t="n">
        <v>20.21</v>
      </c>
      <c r="X382" s="31" t="inlineStr">
        <is>
          <t>Growing Industry</t>
        </is>
      </c>
      <c r="Y382" s="31">
        <f>IF(X382="Growing Industry",10,IF(X382="Cyclical in an Upturn",5,0))</f>
        <v/>
      </c>
      <c r="Z382" s="31" t="inlineStr">
        <is>
          <t>Too Many Players with High ROCE</t>
        </is>
      </c>
      <c r="AA382" s="31">
        <f>IF(Z382="Monopoly",10,IF(Z382="Oligopoly",5,IF(Z382="Duopoly that cooperate",10,IF(Z382="Duopoly that compete",5,IF(Z382="Too many players with High ROCE",5,0)))))</f>
        <v/>
      </c>
      <c r="AB382" s="31" t="inlineStr">
        <is>
          <t>No</t>
        </is>
      </c>
      <c r="AC382" s="31">
        <f>IF(AB382="No",5,0)</f>
        <v/>
      </c>
      <c r="AD382" s="31" t="inlineStr">
        <is>
          <t>Tailwind</t>
        </is>
      </c>
      <c r="AE382" s="31">
        <f>IF(AD382="Tailwind",10,0)</f>
        <v/>
      </c>
      <c r="AF382" s="31" t="inlineStr">
        <is>
          <t>Structural (10 Years Consistency)</t>
        </is>
      </c>
      <c r="AG382" s="31">
        <f>IF(AF382="Structural (10 Years Consistency)",10,IF(AF382="Shallow Cyclical (2 to 3 years growth)",5,0))</f>
        <v/>
      </c>
      <c r="AH382" s="31" t="inlineStr">
        <is>
          <t>No</t>
        </is>
      </c>
      <c r="AI382" s="31">
        <f>IF(AH382="Yes due to Product Mix change or Operating Leverage",10,IF(AH382="Yes, these are peak margins",-5,IF(AH382="No",5,0)))</f>
        <v/>
      </c>
      <c r="AJ382" s="31" t="inlineStr">
        <is>
          <t>Stable</t>
        </is>
      </c>
      <c r="AK382" s="31">
        <f>IF(AJ382="Stable",10,0)</f>
        <v/>
      </c>
      <c r="AL382" s="31" t="inlineStr">
        <is>
          <t>Yes</t>
        </is>
      </c>
      <c r="AM382" s="31">
        <f>IF(AL382="Yes",10,0)</f>
        <v/>
      </c>
      <c r="AN382" s="31" t="inlineStr">
        <is>
          <t>B2B</t>
        </is>
      </c>
      <c r="AO382" s="31">
        <f>IF(AN382="B2C",10,IF(AN382="B2B",5,0))</f>
        <v/>
      </c>
      <c r="AP382" s="31" t="inlineStr">
        <is>
          <t>No</t>
        </is>
      </c>
      <c r="AQ382" s="31">
        <f>IF(AP382="Yes",10,0)</f>
        <v/>
      </c>
      <c r="AR382" s="31" t="inlineStr">
        <is>
          <t>Higher One Time, Lower Annuity</t>
        </is>
      </c>
      <c r="AS382" s="31">
        <f>IF(AR382="Fully Annuity",10,IF(AR382="Higher Annuity, Lower One Time",5,IF(AR382="Higher One Time, Lower Annuity",3,0)))</f>
        <v/>
      </c>
      <c r="AT382" s="31" t="inlineStr">
        <is>
          <t>Good</t>
        </is>
      </c>
      <c r="AU382" s="31">
        <f>IF(AT382="Good",10,0)</f>
        <v/>
      </c>
      <c r="AV382" s="31" t="inlineStr">
        <is>
          <t>Yes for more than 2 years</t>
        </is>
      </c>
      <c r="AW382" s="31">
        <f>IF(AV382="Yes for more than 2 years",10,IF(AV382="Yes only for next 1 to 2 years",5,0))</f>
        <v/>
      </c>
      <c r="AX382" s="31" t="inlineStr">
        <is>
          <t>0 to 20</t>
        </is>
      </c>
      <c r="AY382" s="31">
        <f>IF(AX382="Above 40",20,IF(AX382="20 to 40",10,IF(AX382="0 to 20",-5,0)))</f>
        <v/>
      </c>
      <c r="AZ382" s="31" t="inlineStr">
        <is>
          <t>Between 50 to 75</t>
        </is>
      </c>
      <c r="BA382" s="31">
        <f>IF(AZ382="Between 50 to 75",10,IF(AZ382="Above 75",0,0))</f>
        <v/>
      </c>
      <c r="BB382" s="31" t="inlineStr">
        <is>
          <t>Stage 2</t>
        </is>
      </c>
      <c r="BC382" s="31">
        <f>IF(BB382="Stage 2",20,IF(BB382="Stage 1",0,IF(BB382="Stage 3",5,IF(BB382="Stage 4",-5,0))))</f>
        <v/>
      </c>
      <c r="BD382" s="31" t="inlineStr">
        <is>
          <t>Positive Trend</t>
        </is>
      </c>
      <c r="BE382" s="31">
        <f>IF(BD382="Positive Trend",20,IF(BD382="Negative Trend",-10,0))</f>
        <v/>
      </c>
      <c r="BF382" s="31" t="inlineStr">
        <is>
          <t>Uptrend</t>
        </is>
      </c>
      <c r="BG382" s="31">
        <f>IF(BF382="Uptrend",10,IF(BF382="Sideways",5,0))</f>
        <v/>
      </c>
      <c r="BH382" s="31" t="inlineStr">
        <is>
          <t>Uptrend</t>
        </is>
      </c>
      <c r="BI382" s="31">
        <f>IF(BH382="Uptrend",10,IF(BH382="Sideways",5,0))</f>
        <v/>
      </c>
      <c r="BJ382" s="31" t="inlineStr">
        <is>
          <t>Close to 52 week high or retracement</t>
        </is>
      </c>
      <c r="BK382" s="31">
        <f>IF(BJ382="Overhead supply in last 2 years in last 2 years",-5,IF(BJ382="Close to 52 week high or retracement",5,IF(BJ382="Blue sky scenario",10,IF(BJ382="Long term Downtrend",-10,0))))</f>
        <v/>
      </c>
      <c r="BL382" s="31" t="inlineStr">
        <is>
          <t>Yes</t>
        </is>
      </c>
      <c r="BM382" s="31">
        <f>IF(BL382="Yes",10,0)</f>
        <v/>
      </c>
      <c r="BN382" s="31" t="inlineStr">
        <is>
          <t>Less than 12%</t>
        </is>
      </c>
      <c r="BO382" s="31">
        <f>IF(BN382="More than 20%",10,IF(BN382="Between 12 to 20%",5,IF(BN382="Less than 12%",0,0)))</f>
        <v/>
      </c>
      <c r="BP382" s="31" t="inlineStr">
        <is>
          <t>No</t>
        </is>
      </c>
      <c r="BQ382" s="31">
        <f>IF(BP382="No",10,0)</f>
        <v/>
      </c>
      <c r="BR382" s="31" t="inlineStr">
        <is>
          <t>Yes</t>
        </is>
      </c>
      <c r="BS382" s="31">
        <f>IF(BR382="NO",5,0)</f>
        <v/>
      </c>
      <c r="BT382" s="31" t="inlineStr">
        <is>
          <t>Above 2</t>
        </is>
      </c>
      <c r="BU382" s="31">
        <f>IF(BT382="Above 2",0,IF(BT382="Between 1.5 to 2",5,IF(BT382="Less than 1.5",10,0)))</f>
        <v/>
      </c>
      <c r="BV382" s="31" t="inlineStr">
        <is>
          <t>Above 70%</t>
        </is>
      </c>
      <c r="BW382" s="31">
        <f>IF(BV382="Above 70%",10,IF(BV382="Between 50% to 70%",5,IF(BV382="Less than 50%",0,IF(BV382="Negative",-10,IF(BV382="Less than 50% and Borrowings are increasing",-5,0)))))</f>
        <v/>
      </c>
      <c r="BX382" s="31" t="inlineStr">
        <is>
          <t>More than 1.2</t>
        </is>
      </c>
      <c r="BY382" s="31">
        <f>IF(BX382="More than 1.2",-10,IF(BX382="Between 0.7 to 1.2",0,IF(BX382="Less than 0.7",10,0)))</f>
        <v/>
      </c>
      <c r="BZ382" s="31" t="inlineStr">
        <is>
          <t>No</t>
        </is>
      </c>
      <c r="CA382" s="31">
        <f>IF(BZ382="Yes",-10,0)</f>
        <v/>
      </c>
      <c r="CB382" s="31" t="inlineStr">
        <is>
          <t>Less than 15%</t>
        </is>
      </c>
      <c r="CC382" s="31">
        <f>IF(CB382="More than 15%",-10,IF(CB382="Less than 15%",10,0))</f>
        <v/>
      </c>
      <c r="CD382" s="31" t="inlineStr">
        <is>
          <t>No</t>
        </is>
      </c>
      <c r="CE382" s="31">
        <f>IF(CD382="Yes, more than 10%",-10,IF(CD382="No",10,0))</f>
        <v/>
      </c>
    </row>
    <row r="383">
      <c r="A383" s="31">
        <f>IF(B383=0,"",RANK(B383,$B$2:$B$407,0))</f>
        <v/>
      </c>
      <c r="B383" s="32">
        <f>SUM(N383,Y383,AA383,AC383,AE383,AG383,AI383,AK383,AM383,AO383,AQ383,AS383,AU383,AW383,AY383,BA383,BC383,BE383,BG383,BI383,BK383,BM383,BO383,BQ383,BS383,BU383,BW383,BY383,CA383,CC383,CE383)</f>
        <v/>
      </c>
      <c r="C383" s="33" t="inlineStr">
        <is>
          <t>HAL</t>
        </is>
      </c>
      <c r="D383" s="33" t="inlineStr">
        <is>
          <t>Hindustan Aeronautics Ltd</t>
        </is>
      </c>
      <c r="E383" s="31" t="inlineStr">
        <is>
          <t>aerospace &amp; defence</t>
        </is>
      </c>
      <c r="F383" s="31" t="inlineStr">
        <is>
          <t>engineering</t>
        </is>
      </c>
      <c r="G383" s="31" t="inlineStr">
        <is>
          <t>largecap</t>
        </is>
      </c>
      <c r="H383" s="32" t="n">
        <v>296561.59</v>
      </c>
      <c r="I383" s="32" t="n">
        <v>4434</v>
      </c>
      <c r="J383" s="32" t="n">
        <v>-0.01</v>
      </c>
      <c r="K383" s="32" t="n">
        <v>282622</v>
      </c>
      <c r="L383" s="31" t="n">
        <v>4</v>
      </c>
      <c r="M383" s="31" t="inlineStr">
        <is>
          <t>Underperforming</t>
        </is>
      </c>
      <c r="N383" s="32">
        <f>IF(M383="Underperforming",-5,IF(L383&gt;=95,15,IF(L383&gt;=90,10,IF(L383&gt;=80,5,0))))</f>
        <v/>
      </c>
      <c r="O383" s="32" t="n">
        <v>53.94</v>
      </c>
      <c r="P383" s="32" t="n">
        <v>17.43</v>
      </c>
      <c r="Q383" s="32" t="n">
        <v>4012.06</v>
      </c>
      <c r="R383" s="31" t="inlineStr">
        <is>
          <t>Earnings / Momentum Support</t>
        </is>
      </c>
      <c r="S383" s="31" t="inlineStr">
        <is>
          <t>Nifty 50</t>
        </is>
      </c>
      <c r="T383" s="32" t="n">
        <v>-5.05</v>
      </c>
      <c r="U383" s="32" t="n">
        <v>-10.16</v>
      </c>
      <c r="V383" s="32" t="n">
        <v>-5.38</v>
      </c>
      <c r="W383" s="32" t="n">
        <v>2.65</v>
      </c>
      <c r="X383" s="31" t="inlineStr">
        <is>
          <t>Growing Industry</t>
        </is>
      </c>
      <c r="Y383" s="31">
        <f>IF(X383="Growing Industry",10,IF(X383="Cyclical in an Upturn",5,0))</f>
        <v/>
      </c>
      <c r="Z383" s="31" t="inlineStr">
        <is>
          <t>Too Many Players with High ROCE</t>
        </is>
      </c>
      <c r="AA383" s="31">
        <f>IF(Z383="Monopoly",10,IF(Z383="Oligopoly",5,IF(Z383="Duopoly that cooperate",10,IF(Z383="Duopoly that compete",5,IF(Z383="Too many players with High ROCE",5,0)))))</f>
        <v/>
      </c>
      <c r="AB383" s="31" t="inlineStr">
        <is>
          <t>No</t>
        </is>
      </c>
      <c r="AC383" s="31">
        <f>IF(AB383="No",5,0)</f>
        <v/>
      </c>
      <c r="AD383" s="31" t="inlineStr">
        <is>
          <t>Tailwind</t>
        </is>
      </c>
      <c r="AE383" s="31">
        <f>IF(AD383="Tailwind",10,0)</f>
        <v/>
      </c>
      <c r="AF383" s="31" t="inlineStr">
        <is>
          <t>Structural (10 Years Consistency)</t>
        </is>
      </c>
      <c r="AG383" s="31">
        <f>IF(AF383="Structural (10 Years Consistency)",10,IF(AF383="Shallow Cyclical (2 to 3 years growth)",5,0))</f>
        <v/>
      </c>
      <c r="AH383" s="31" t="inlineStr">
        <is>
          <t>No</t>
        </is>
      </c>
      <c r="AI383" s="31">
        <f>IF(AH383="Yes due to Product Mix change or Operating Leverage",10,IF(AH383="Yes, these are peak margins",-5,IF(AH383="No",5,0)))</f>
        <v/>
      </c>
      <c r="AJ383" s="31" t="inlineStr">
        <is>
          <t>Stable</t>
        </is>
      </c>
      <c r="AK383" s="31">
        <f>IF(AJ383="Stable",10,0)</f>
        <v/>
      </c>
      <c r="AL383" s="31" t="inlineStr">
        <is>
          <t>Yes</t>
        </is>
      </c>
      <c r="AM383" s="31">
        <f>IF(AL383="Yes",10,0)</f>
        <v/>
      </c>
      <c r="AN383" s="31" t="inlineStr">
        <is>
          <t>B2B</t>
        </is>
      </c>
      <c r="AO383" s="31">
        <f>IF(AN383="B2C",10,IF(AN383="B2B",5,0))</f>
        <v/>
      </c>
      <c r="AP383" s="31" t="inlineStr">
        <is>
          <t>No</t>
        </is>
      </c>
      <c r="AQ383" s="31">
        <f>IF(AP383="Yes",10,0)</f>
        <v/>
      </c>
      <c r="AR383" s="31" t="inlineStr">
        <is>
          <t>Higher One Time, Lower Annuity</t>
        </is>
      </c>
      <c r="AS383" s="31">
        <f>IF(AR383="Fully Annuity",10,IF(AR383="Higher Annuity, Lower One Time",5,IF(AR383="Higher One Time, Lower Annuity",3,0)))</f>
        <v/>
      </c>
      <c r="AT383" s="31" t="inlineStr">
        <is>
          <t>Good</t>
        </is>
      </c>
      <c r="AU383" s="31">
        <f>IF(AT383="Good",10,0)</f>
        <v/>
      </c>
      <c r="AV383" s="31" t="inlineStr">
        <is>
          <t>Yes for more than 2 years</t>
        </is>
      </c>
      <c r="AW383" s="31">
        <f>IF(AV383="Yes for more than 2 years",10,IF(AV383="Yes only for next 1 to 2 years",5,0))</f>
        <v/>
      </c>
      <c r="AX383" s="31" t="inlineStr">
        <is>
          <t>0 to 20</t>
        </is>
      </c>
      <c r="AY383" s="31">
        <f>IF(AX383="Above 40",20,IF(AX383="20 to 40",10,IF(AX383="0 to 20",-5,0)))</f>
        <v/>
      </c>
      <c r="AZ383" s="31" t="inlineStr">
        <is>
          <t>Between 50 to 75</t>
        </is>
      </c>
      <c r="BA383" s="31">
        <f>IF(AZ383="Between 50 to 75",10,IF(AZ383="Above 75",0,0))</f>
        <v/>
      </c>
      <c r="BB383" s="31" t="inlineStr">
        <is>
          <t>Stage 1</t>
        </is>
      </c>
      <c r="BC383" s="31">
        <f>IF(BB383="Stage 2",20,IF(BB383="Stage 1",0,IF(BB383="Stage 3",5,IF(BB383="Stage 4",-5,0))))</f>
        <v/>
      </c>
      <c r="BD383" s="31" t="inlineStr">
        <is>
          <t>Positive Trend</t>
        </is>
      </c>
      <c r="BE383" s="31">
        <f>IF(BD383="Positive Trend",20,IF(BD383="Negative Trend",-10,0))</f>
        <v/>
      </c>
      <c r="BF383" s="31" t="inlineStr">
        <is>
          <t>Uptrend</t>
        </is>
      </c>
      <c r="BG383" s="31">
        <f>IF(BF383="Uptrend",10,IF(BF383="Sideways",5,0))</f>
        <v/>
      </c>
      <c r="BH383" s="31" t="inlineStr">
        <is>
          <t>Uptrend</t>
        </is>
      </c>
      <c r="BI383" s="31">
        <f>IF(BH383="Uptrend",10,IF(BH383="Sideways",5,0))</f>
        <v/>
      </c>
      <c r="BJ383" s="31" t="inlineStr">
        <is>
          <t>Close to 52 week high or retracement</t>
        </is>
      </c>
      <c r="BK383" s="31">
        <f>IF(BJ383="Overhead supply in last 2 years in last 2 years",-5,IF(BJ383="Close to 52 week high or retracement",5,IF(BJ383="Blue sky scenario",10,IF(BJ383="Long term Downtrend",-10,0))))</f>
        <v/>
      </c>
      <c r="BL383" s="31" t="inlineStr">
        <is>
          <t>Yes</t>
        </is>
      </c>
      <c r="BM383" s="31">
        <f>IF(BL383="Yes",10,0)</f>
        <v/>
      </c>
      <c r="BN383" s="31" t="inlineStr">
        <is>
          <t>Less than 12%</t>
        </is>
      </c>
      <c r="BO383" s="31">
        <f>IF(BN383="More than 20%",10,IF(BN383="Between 12 to 20%",5,IF(BN383="Less than 12%",0,0)))</f>
        <v/>
      </c>
      <c r="BP383" s="31" t="inlineStr">
        <is>
          <t>No</t>
        </is>
      </c>
      <c r="BQ383" s="31">
        <f>IF(BP383="No",10,0)</f>
        <v/>
      </c>
      <c r="BR383" s="31" t="inlineStr">
        <is>
          <t>No</t>
        </is>
      </c>
      <c r="BS383" s="31">
        <f>IF(BR383="NO",5,0)</f>
        <v/>
      </c>
      <c r="BT383" s="31" t="inlineStr">
        <is>
          <t>Above 2</t>
        </is>
      </c>
      <c r="BU383" s="31">
        <f>IF(BT383="Above 2",0,IF(BT383="Between 1.5 to 2",5,IF(BT383="Less than 1.5",10,0)))</f>
        <v/>
      </c>
      <c r="BV383" s="31" t="inlineStr">
        <is>
          <t>Above 70%</t>
        </is>
      </c>
      <c r="BW383" s="31">
        <f>IF(BV383="Above 70%",10,IF(BV383="Between 50% to 70%",5,IF(BV383="Less than 50%",0,IF(BV383="Negative",-10,IF(BV383="Less than 50% and Borrowings are increasing",-5,0)))))</f>
        <v/>
      </c>
      <c r="BX383" s="31" t="inlineStr">
        <is>
          <t>Less than 0.7</t>
        </is>
      </c>
      <c r="BY383" s="31">
        <f>IF(BX383="More than 1.2",-10,IF(BX383="Between 0.7 to 1.2",0,IF(BX383="Less than 0.7",10,0)))</f>
        <v/>
      </c>
      <c r="BZ383" s="31" t="inlineStr">
        <is>
          <t>No</t>
        </is>
      </c>
      <c r="CA383" s="31">
        <f>IF(BZ383="Yes",-10,0)</f>
        <v/>
      </c>
      <c r="CB383" s="31" t="inlineStr">
        <is>
          <t>Less than 15%</t>
        </is>
      </c>
      <c r="CC383" s="31">
        <f>IF(CB383="More than 15%",-10,IF(CB383="Less than 15%",10,0))</f>
        <v/>
      </c>
      <c r="CD383" s="31" t="inlineStr">
        <is>
          <t>No</t>
        </is>
      </c>
      <c r="CE383" s="31">
        <f>IF(CD383="Yes, more than 10%",-10,IF(CD383="No",10,0))</f>
        <v/>
      </c>
    </row>
    <row r="384">
      <c r="A384" s="31">
        <f>IF(B384=0,"",RANK(B384,$B$2:$B$407,0))</f>
        <v/>
      </c>
      <c r="B384" s="32">
        <f>SUM(N384,Y384,AA384,AC384,AE384,AG384,AI384,AK384,AM384,AO384,AQ384,AS384,AU384,AW384,AY384,BA384,BC384,BE384,BG384,BI384,BK384,BM384,BO384,BQ384,BS384,BU384,BW384,BY384,CA384,CC384,CE384)</f>
        <v/>
      </c>
      <c r="C384" s="33" t="inlineStr">
        <is>
          <t>GODREJPROP</t>
        </is>
      </c>
      <c r="D384" s="33" t="inlineStr">
        <is>
          <t>Godrej Properties Limited</t>
        </is>
      </c>
      <c r="E384" s="31" t="inlineStr">
        <is>
          <t>realty</t>
        </is>
      </c>
      <c r="F384" s="31" t="inlineStr">
        <is>
          <t>construction</t>
        </is>
      </c>
      <c r="G384" s="31" t="inlineStr">
        <is>
          <t>largecap</t>
        </is>
      </c>
      <c r="H384" s="32" t="n">
        <v>59024.4</v>
      </c>
      <c r="I384" s="32" t="n">
        <v>1959.2</v>
      </c>
      <c r="J384" s="32" t="n">
        <v>-0.02</v>
      </c>
      <c r="K384" s="32" t="n">
        <v>572960</v>
      </c>
      <c r="L384" s="31" t="n">
        <v>14</v>
      </c>
      <c r="M384" s="31" t="inlineStr">
        <is>
          <t>Underperforming</t>
        </is>
      </c>
      <c r="N384" s="32">
        <f>IF(M384="Underperforming",-5,IF(L384&gt;=95,15,IF(L384&gt;=90,10,IF(L384&gt;=80,5,0))))</f>
        <v/>
      </c>
      <c r="O384" s="32" t="n">
        <v>58.55</v>
      </c>
      <c r="P384" s="32" t="n">
        <v>8.49</v>
      </c>
      <c r="Q384" s="32" t="n">
        <v>1560.08</v>
      </c>
      <c r="R384" s="31" t="inlineStr">
        <is>
          <t>Earnings / Momentum Support</t>
        </is>
      </c>
      <c r="S384" s="31" t="inlineStr">
        <is>
          <t>Nifty Realty</t>
        </is>
      </c>
      <c r="T384" s="32" t="n">
        <v>-10.31</v>
      </c>
      <c r="U384" s="32" t="n">
        <v>-14.55</v>
      </c>
      <c r="V384" s="32" t="n">
        <v>-4.73</v>
      </c>
      <c r="W384" s="32" t="n">
        <v>4.79</v>
      </c>
      <c r="X384" s="31" t="inlineStr">
        <is>
          <t>Growing Industry</t>
        </is>
      </c>
      <c r="Y384" s="31">
        <f>IF(X384="Growing Industry",10,IF(X384="Cyclical in an Upturn",5,0))</f>
        <v/>
      </c>
      <c r="Z384" s="31" t="inlineStr">
        <is>
          <t>Too Many Players with High ROCE</t>
        </is>
      </c>
      <c r="AA384" s="31">
        <f>IF(Z384="Monopoly",10,IF(Z384="Oligopoly",5,IF(Z384="Duopoly that cooperate",10,IF(Z384="Duopoly that compete",5,IF(Z384="Too many players with High ROCE",5,0)))))</f>
        <v/>
      </c>
      <c r="AB384" s="31" t="inlineStr">
        <is>
          <t>No</t>
        </is>
      </c>
      <c r="AC384" s="31">
        <f>IF(AB384="No",5,0)</f>
        <v/>
      </c>
      <c r="AD384" s="31" t="inlineStr">
        <is>
          <t>Headwind</t>
        </is>
      </c>
      <c r="AE384" s="31">
        <f>IF(AD384="Tailwind",10,0)</f>
        <v/>
      </c>
      <c r="AF384" s="31" t="inlineStr">
        <is>
          <t>Structural (10 Years Consistency)</t>
        </is>
      </c>
      <c r="AG384" s="31">
        <f>IF(AF384="Structural (10 Years Consistency)",10,IF(AF384="Shallow Cyclical (2 to 3 years growth)",5,0))</f>
        <v/>
      </c>
      <c r="AH384" s="31" t="inlineStr">
        <is>
          <t>No</t>
        </is>
      </c>
      <c r="AI384" s="31">
        <f>IF(AH384="Yes due to Product Mix change or Operating Leverage",10,IF(AH384="Yes, these are peak margins",-5,IF(AH384="No",5,0)))</f>
        <v/>
      </c>
      <c r="AJ384" s="31" t="inlineStr">
        <is>
          <t>Stable</t>
        </is>
      </c>
      <c r="AK384" s="31">
        <f>IF(AJ384="Stable",10,0)</f>
        <v/>
      </c>
      <c r="AL384" s="31" t="inlineStr">
        <is>
          <t>Yes</t>
        </is>
      </c>
      <c r="AM384" s="31">
        <f>IF(AL384="Yes",10,0)</f>
        <v/>
      </c>
      <c r="AN384" s="31" t="inlineStr">
        <is>
          <t>B2B</t>
        </is>
      </c>
      <c r="AO384" s="31">
        <f>IF(AN384="B2C",10,IF(AN384="B2B",5,0))</f>
        <v/>
      </c>
      <c r="AP384" s="31" t="inlineStr">
        <is>
          <t>No</t>
        </is>
      </c>
      <c r="AQ384" s="31">
        <f>IF(AP384="Yes",10,0)</f>
        <v/>
      </c>
      <c r="AR384" s="31" t="inlineStr">
        <is>
          <t>Higher One Time, Lower Annuity</t>
        </is>
      </c>
      <c r="AS384" s="31">
        <f>IF(AR384="Fully Annuity",10,IF(AR384="Higher Annuity, Lower One Time",5,IF(AR384="Higher One Time, Lower Annuity",3,0)))</f>
        <v/>
      </c>
      <c r="AT384" s="31" t="inlineStr">
        <is>
          <t>Good</t>
        </is>
      </c>
      <c r="AU384" s="31">
        <f>IF(AT384="Good",10,0)</f>
        <v/>
      </c>
      <c r="AV384" s="31" t="inlineStr">
        <is>
          <t>Yes for more than 2 years</t>
        </is>
      </c>
      <c r="AW384" s="31">
        <f>IF(AV384="Yes for more than 2 years",10,IF(AV384="Yes only for next 1 to 2 years",5,0))</f>
        <v/>
      </c>
      <c r="AX384" s="31" t="inlineStr">
        <is>
          <t>0 to 20</t>
        </is>
      </c>
      <c r="AY384" s="31">
        <f>IF(AX384="Above 40",20,IF(AX384="20 to 40",10,IF(AX384="0 to 20",-5,0)))</f>
        <v/>
      </c>
      <c r="AZ384" s="31" t="inlineStr">
        <is>
          <t>Between 50 to 75</t>
        </is>
      </c>
      <c r="BA384" s="31">
        <f>IF(AZ384="Between 50 to 75",10,IF(AZ384="Above 75",0,0))</f>
        <v/>
      </c>
      <c r="BB384" s="31" t="inlineStr">
        <is>
          <t>Stage 1</t>
        </is>
      </c>
      <c r="BC384" s="31">
        <f>IF(BB384="Stage 2",20,IF(BB384="Stage 1",0,IF(BB384="Stage 3",5,IF(BB384="Stage 4",-5,0))))</f>
        <v/>
      </c>
      <c r="BD384" s="31" t="inlineStr">
        <is>
          <t>Positive Trend</t>
        </is>
      </c>
      <c r="BE384" s="31">
        <f>IF(BD384="Positive Trend",20,IF(BD384="Negative Trend",-10,0))</f>
        <v/>
      </c>
      <c r="BF384" s="31" t="inlineStr">
        <is>
          <t>Uptrend</t>
        </is>
      </c>
      <c r="BG384" s="31">
        <f>IF(BF384="Uptrend",10,IF(BF384="Sideways",5,0))</f>
        <v/>
      </c>
      <c r="BH384" s="31" t="inlineStr">
        <is>
          <t>Uptrend</t>
        </is>
      </c>
      <c r="BI384" s="31">
        <f>IF(BH384="Uptrend",10,IF(BH384="Sideways",5,0))</f>
        <v/>
      </c>
      <c r="BJ384" s="31" t="inlineStr">
        <is>
          <t>Close to 52 week high or retracement</t>
        </is>
      </c>
      <c r="BK384" s="31">
        <f>IF(BJ384="Overhead supply in last 2 years in last 2 years",-5,IF(BJ384="Close to 52 week high or retracement",5,IF(BJ384="Blue sky scenario",10,IF(BJ384="Long term Downtrend",-10,0))))</f>
        <v/>
      </c>
      <c r="BL384" s="31" t="inlineStr">
        <is>
          <t>Yes</t>
        </is>
      </c>
      <c r="BM384" s="31">
        <f>IF(BL384="Yes",10,0)</f>
        <v/>
      </c>
      <c r="BN384" s="31" t="inlineStr">
        <is>
          <t>More than 20%</t>
        </is>
      </c>
      <c r="BO384" s="31">
        <f>IF(BN384="More than 20%",10,IF(BN384="Between 12 to 20%",5,IF(BN384="Less than 12%",0,0)))</f>
        <v/>
      </c>
      <c r="BP384" s="31" t="inlineStr">
        <is>
          <t>No</t>
        </is>
      </c>
      <c r="BQ384" s="31">
        <f>IF(BP384="No",10,0)</f>
        <v/>
      </c>
      <c r="BR384" s="31" t="inlineStr">
        <is>
          <t>No</t>
        </is>
      </c>
      <c r="BS384" s="31">
        <f>IF(BR384="NO",5,0)</f>
        <v/>
      </c>
      <c r="BT384" s="31" t="inlineStr">
        <is>
          <t>Less than 1.5</t>
        </is>
      </c>
      <c r="BU384" s="31">
        <f>IF(BT384="Above 2",0,IF(BT384="Between 1.5 to 2",5,IF(BT384="Less than 1.5",10,0)))</f>
        <v/>
      </c>
      <c r="BV384" s="31" t="inlineStr">
        <is>
          <t>Above 70%</t>
        </is>
      </c>
      <c r="BW384" s="31">
        <f>IF(BV384="Above 70%",10,IF(BV384="Between 50% to 70%",5,IF(BV384="Less than 50%",0,IF(BV384="Negative",-10,IF(BV384="Less than 50% and Borrowings are increasing",-5,0)))))</f>
        <v/>
      </c>
      <c r="BX384" s="31" t="inlineStr">
        <is>
          <t>Between 0.7 to 1.2</t>
        </is>
      </c>
      <c r="BY384" s="31">
        <f>IF(BX384="More than 1.2",-10,IF(BX384="Between 0.7 to 1.2",0,IF(BX384="Less than 0.7",10,0)))</f>
        <v/>
      </c>
      <c r="BZ384" s="31" t="inlineStr">
        <is>
          <t>No</t>
        </is>
      </c>
      <c r="CA384" s="31">
        <f>IF(BZ384="Yes",-10,0)</f>
        <v/>
      </c>
      <c r="CB384" s="31" t="inlineStr">
        <is>
          <t>Less than 15%</t>
        </is>
      </c>
      <c r="CC384" s="31">
        <f>IF(CB384="More than 15%",-10,IF(CB384="Less than 15%",10,0))</f>
        <v/>
      </c>
      <c r="CD384" s="31" t="inlineStr">
        <is>
          <t>No</t>
        </is>
      </c>
      <c r="CE384" s="31">
        <f>IF(CD384="Yes, more than 10%",-10,IF(CD384="No",10,0))</f>
        <v/>
      </c>
    </row>
    <row r="385">
      <c r="A385" s="31">
        <f>IF(B385=0,"",RANK(B385,$B$2:$B$407,0))</f>
        <v/>
      </c>
      <c r="B385" s="32">
        <f>SUM(N385,Y385,AA385,AC385,AE385,AG385,AI385,AK385,AM385,AO385,AQ385,AS385,AU385,AW385,AY385,BA385,BC385,BE385,BG385,BI385,BK385,BM385,BO385,BQ385,BS385,BU385,BW385,BY385,CA385,CC385,CE385)</f>
        <v/>
      </c>
      <c r="C385" s="33" t="inlineStr">
        <is>
          <t>GAIL</t>
        </is>
      </c>
      <c r="D385" s="33" t="inlineStr">
        <is>
          <t>Gail (india) Limited</t>
        </is>
      </c>
      <c r="E385" s="31" t="inlineStr">
        <is>
          <t>energy</t>
        </is>
      </c>
      <c r="F385" s="31" t="inlineStr">
        <is>
          <t>miscellaneous</t>
        </is>
      </c>
      <c r="G385" s="31" t="inlineStr">
        <is>
          <t>largecap</t>
        </is>
      </c>
      <c r="H385" s="32" t="n">
        <v>114735.49</v>
      </c>
      <c r="I385" s="32" t="n">
        <v>174.29</v>
      </c>
      <c r="J385" s="32" t="n">
        <v>-0.12</v>
      </c>
      <c r="K385" s="32" t="n">
        <v>3376923</v>
      </c>
      <c r="L385" s="31" t="n">
        <v>10</v>
      </c>
      <c r="M385" s="31" t="inlineStr">
        <is>
          <t>Underperforming</t>
        </is>
      </c>
      <c r="N385" s="32">
        <f>IF(M385="Underperforming",-5,IF(L385&gt;=95,15,IF(L385&gt;=90,10,IF(L385&gt;=80,5,0))))</f>
        <v/>
      </c>
      <c r="O385" s="32" t="n">
        <v>59.65</v>
      </c>
      <c r="P385" s="32" t="n">
        <v>9.44</v>
      </c>
      <c r="Q385" s="32" t="n">
        <v>148.89</v>
      </c>
      <c r="R385" s="31" t="inlineStr">
        <is>
          <t>Near 52W High Breakout</t>
        </is>
      </c>
      <c r="S385" s="31" t="inlineStr">
        <is>
          <t>Nifty Energy</t>
        </is>
      </c>
      <c r="T385" s="32" t="n">
        <v>8.76</v>
      </c>
      <c r="U385" s="32" t="n">
        <v>-6.54</v>
      </c>
      <c r="V385" s="32" t="n">
        <v>-14.07</v>
      </c>
      <c r="W385" s="32" t="n">
        <v>4.08</v>
      </c>
      <c r="X385" s="31" t="inlineStr">
        <is>
          <t>Cyclical in an Upturn</t>
        </is>
      </c>
      <c r="Y385" s="31">
        <f>IF(X385="Growing Industry",10,IF(X385="Cyclical in an Upturn",5,0))</f>
        <v/>
      </c>
      <c r="Z385" s="31" t="inlineStr">
        <is>
          <t>Oligopoly</t>
        </is>
      </c>
      <c r="AA385" s="31">
        <f>IF(Z385="Monopoly",10,IF(Z385="Oligopoly",5,IF(Z385="Duopoly that cooperate",10,IF(Z385="Duopoly that compete",5,IF(Z385="Too many players with High ROCE",5,0)))))</f>
        <v/>
      </c>
      <c r="AB385" s="31" t="inlineStr">
        <is>
          <t>Yes</t>
        </is>
      </c>
      <c r="AC385" s="31">
        <f>IF(AB385="No",5,0)</f>
        <v/>
      </c>
      <c r="AD385" s="31" t="inlineStr">
        <is>
          <t>Tailwind</t>
        </is>
      </c>
      <c r="AE385" s="31">
        <f>IF(AD385="Tailwind",10,0)</f>
        <v/>
      </c>
      <c r="AF385" s="31" t="inlineStr">
        <is>
          <t>Cyclical</t>
        </is>
      </c>
      <c r="AG385" s="31">
        <f>IF(AF385="Structural (10 Years Consistency)",10,IF(AF385="Shallow Cyclical (2 to 3 years growth)",5,0))</f>
        <v/>
      </c>
      <c r="AH385" s="31" t="inlineStr">
        <is>
          <t>No</t>
        </is>
      </c>
      <c r="AI385" s="31">
        <f>IF(AH385="Yes due to Product Mix change or Operating Leverage",10,IF(AH385="Yes, these are peak margins",-5,IF(AH385="No",5,0)))</f>
        <v/>
      </c>
      <c r="AJ385" s="31" t="inlineStr">
        <is>
          <t>Volatile</t>
        </is>
      </c>
      <c r="AK385" s="31">
        <f>IF(AJ385="Stable",10,0)</f>
        <v/>
      </c>
      <c r="AL385" s="31" t="inlineStr">
        <is>
          <t>Yes</t>
        </is>
      </c>
      <c r="AM385" s="31">
        <f>IF(AL385="Yes",10,0)</f>
        <v/>
      </c>
      <c r="AN385" s="31" t="inlineStr">
        <is>
          <t>B2B</t>
        </is>
      </c>
      <c r="AO385" s="31">
        <f>IF(AN385="B2C",10,IF(AN385="B2B",5,0))</f>
        <v/>
      </c>
      <c r="AP385" s="31" t="inlineStr">
        <is>
          <t>Yes</t>
        </is>
      </c>
      <c r="AQ385" s="31">
        <f>IF(AP385="Yes",10,0)</f>
        <v/>
      </c>
      <c r="AR385" s="31" t="inlineStr">
        <is>
          <t>Higher One Time, Lower Annuity</t>
        </is>
      </c>
      <c r="AS385" s="31">
        <f>IF(AR385="Fully Annuity",10,IF(AR385="Higher Annuity, Lower One Time",5,IF(AR385="Higher One Time, Lower Annuity",3,0)))</f>
        <v/>
      </c>
      <c r="AT385" s="31" t="inlineStr">
        <is>
          <t>Good</t>
        </is>
      </c>
      <c r="AU385" s="31">
        <f>IF(AT385="Good",10,0)</f>
        <v/>
      </c>
      <c r="AV385" s="31" t="inlineStr">
        <is>
          <t>Yes for more than 2 years</t>
        </is>
      </c>
      <c r="AW385" s="31">
        <f>IF(AV385="Yes for more than 2 years",10,IF(AV385="Yes only for next 1 to 2 years",5,0))</f>
        <v/>
      </c>
      <c r="AX385" s="31" t="inlineStr">
        <is>
          <t>0 to 20</t>
        </is>
      </c>
      <c r="AY385" s="31">
        <f>IF(AX385="Above 40",20,IF(AX385="20 to 40",10,IF(AX385="0 to 20",-5,0)))</f>
        <v/>
      </c>
      <c r="AZ385" s="31" t="inlineStr">
        <is>
          <t>Between 50 to 75</t>
        </is>
      </c>
      <c r="BA385" s="31">
        <f>IF(AZ385="Between 50 to 75",10,IF(AZ385="Above 75",0,0))</f>
        <v/>
      </c>
      <c r="BB385" s="31" t="inlineStr">
        <is>
          <t>Stage 2</t>
        </is>
      </c>
      <c r="BC385" s="31">
        <f>IF(BB385="Stage 2",20,IF(BB385="Stage 1",0,IF(BB385="Stage 3",5,IF(BB385="Stage 4",-5,0))))</f>
        <v/>
      </c>
      <c r="BD385" s="31" t="inlineStr">
        <is>
          <t>Positive Trend</t>
        </is>
      </c>
      <c r="BE385" s="31">
        <f>IF(BD385="Positive Trend",20,IF(BD385="Negative Trend",-10,0))</f>
        <v/>
      </c>
      <c r="BF385" s="31" t="inlineStr">
        <is>
          <t>Uptrend</t>
        </is>
      </c>
      <c r="BG385" s="31">
        <f>IF(BF385="Uptrend",10,IF(BF385="Sideways",5,0))</f>
        <v/>
      </c>
      <c r="BH385" s="31" t="inlineStr">
        <is>
          <t>Uptrend</t>
        </is>
      </c>
      <c r="BI385" s="31">
        <f>IF(BH385="Uptrend",10,IF(BH385="Sideways",5,0))</f>
        <v/>
      </c>
      <c r="BJ385" s="31" t="inlineStr">
        <is>
          <t>Close to 52 week high or retracement</t>
        </is>
      </c>
      <c r="BK385" s="31">
        <f>IF(BJ385="Overhead supply in last 2 years in last 2 years",-5,IF(BJ385="Close to 52 week high or retracement",5,IF(BJ385="Blue sky scenario",10,IF(BJ385="Long term Downtrend",-10,0))))</f>
        <v/>
      </c>
      <c r="BL385" s="31" t="inlineStr">
        <is>
          <t>Yes</t>
        </is>
      </c>
      <c r="BM385" s="31">
        <f>IF(BL385="Yes",10,0)</f>
        <v/>
      </c>
      <c r="BN385" s="31" t="inlineStr">
        <is>
          <t>Less than 12%</t>
        </is>
      </c>
      <c r="BO385" s="31">
        <f>IF(BN385="More than 20%",10,IF(BN385="Between 12 to 20%",5,IF(BN385="Less than 12%",0,0)))</f>
        <v/>
      </c>
      <c r="BP385" s="31" t="inlineStr">
        <is>
          <t>No</t>
        </is>
      </c>
      <c r="BQ385" s="31">
        <f>IF(BP385="No",10,0)</f>
        <v/>
      </c>
      <c r="BR385" s="31" t="inlineStr">
        <is>
          <t>No</t>
        </is>
      </c>
      <c r="BS385" s="31">
        <f>IF(BR385="NO",5,0)</f>
        <v/>
      </c>
      <c r="BT385" s="31" t="inlineStr">
        <is>
          <t>Above 2</t>
        </is>
      </c>
      <c r="BU385" s="31">
        <f>IF(BT385="Above 2",0,IF(BT385="Between 1.5 to 2",5,IF(BT385="Less than 1.5",10,0)))</f>
        <v/>
      </c>
      <c r="BV385" s="31" t="inlineStr">
        <is>
          <t>Above 70%</t>
        </is>
      </c>
      <c r="BW385" s="31">
        <f>IF(BV385="Above 70%",10,IF(BV385="Between 50% to 70%",5,IF(BV385="Less than 50%",0,IF(BV385="Negative",-10,IF(BV385="Less than 50% and Borrowings are increasing",-5,0)))))</f>
        <v/>
      </c>
      <c r="BX385" s="31" t="inlineStr">
        <is>
          <t>Less than 0.7</t>
        </is>
      </c>
      <c r="BY385" s="31">
        <f>IF(BX385="More than 1.2",-10,IF(BX385="Between 0.7 to 1.2",0,IF(BX385="Less than 0.7",10,0)))</f>
        <v/>
      </c>
      <c r="BZ385" s="31" t="inlineStr">
        <is>
          <t>No</t>
        </is>
      </c>
      <c r="CA385" s="31">
        <f>IF(BZ385="Yes",-10,0)</f>
        <v/>
      </c>
      <c r="CB385" s="31" t="inlineStr">
        <is>
          <t>Less than 15%</t>
        </is>
      </c>
      <c r="CC385" s="31">
        <f>IF(CB385="More than 15%",-10,IF(CB385="Less than 15%",10,0))</f>
        <v/>
      </c>
      <c r="CD385" s="31" t="inlineStr">
        <is>
          <t>No</t>
        </is>
      </c>
      <c r="CE385" s="31">
        <f>IF(CD385="Yes, more than 10%",-10,IF(CD385="No",10,0))</f>
        <v/>
      </c>
    </row>
    <row r="386">
      <c r="A386" s="31">
        <f>IF(B386=0,"",RANK(B386,$B$2:$B$407,0))</f>
        <v/>
      </c>
      <c r="B386" s="32">
        <f>SUM(N386,Y386,AA386,AC386,AE386,AG386,AI386,AK386,AM386,AO386,AQ386,AS386,AU386,AW386,AY386,BA386,BC386,BE386,BG386,BI386,BK386,BM386,BO386,BQ386,BS386,BU386,BW386,BY386,CA386,CC386,CE386)</f>
        <v/>
      </c>
      <c r="C386" s="31" t="inlineStr">
        <is>
          <t>ALKEM</t>
        </is>
      </c>
      <c r="D386" s="31" t="inlineStr">
        <is>
          <t>Alkem Laboratories Limited</t>
        </is>
      </c>
      <c r="E386" s="31" t="inlineStr">
        <is>
          <t>healthcare</t>
        </is>
      </c>
      <c r="F386" s="31" t="inlineStr">
        <is>
          <t>pharmaceuticals - indian - bulk drugs &amp; formln</t>
        </is>
      </c>
      <c r="G386" s="31" t="inlineStr">
        <is>
          <t>largecap</t>
        </is>
      </c>
      <c r="H386" s="32" t="n">
        <v>66567.81</v>
      </c>
      <c r="I386" s="32" t="n">
        <v>5499</v>
      </c>
      <c r="J386" s="32" t="n">
        <v>-1.23</v>
      </c>
      <c r="K386" s="32" t="n">
        <v>163412</v>
      </c>
      <c r="L386" s="31" t="n">
        <v>9</v>
      </c>
      <c r="M386" s="31" t="inlineStr">
        <is>
          <t>Outperforming</t>
        </is>
      </c>
      <c r="N386" s="32">
        <f>IF(M386="Underperforming",-5,IF(L386&gt;=95,15,IF(L386&gt;=90,10,IF(L386&gt;=80,5,0))))</f>
        <v/>
      </c>
      <c r="O386" s="32" t="n">
        <v>52.47</v>
      </c>
      <c r="P386" s="32" t="n">
        <v>13.5</v>
      </c>
      <c r="Q386" s="32" t="n">
        <v>4743.59</v>
      </c>
      <c r="R386" s="31" t="inlineStr">
        <is>
          <t>Near 52W High Breakout</t>
        </is>
      </c>
      <c r="S386" s="31" t="inlineStr">
        <is>
          <t>Nifty Pharma</t>
        </is>
      </c>
      <c r="T386" s="32" t="n">
        <v>13.06</v>
      </c>
      <c r="U386" s="32" t="n">
        <v>13.66</v>
      </c>
      <c r="V386" s="32" t="n">
        <v>0.53</v>
      </c>
      <c r="W386" s="32" t="n">
        <v>3.66</v>
      </c>
      <c r="X386" s="31" t="inlineStr">
        <is>
          <t>Growing Industry</t>
        </is>
      </c>
      <c r="Y386" s="31">
        <f>IF(X386="Growing Industry",10,IF(X386="Cyclical in an Upturn",5,0))</f>
        <v/>
      </c>
      <c r="Z386" s="31" t="inlineStr">
        <is>
          <t>Too Many Players with High ROCE</t>
        </is>
      </c>
      <c r="AA386" s="31">
        <f>IF(Z386="Monopoly",10,IF(Z386="Oligopoly",5,IF(Z386="Duopoly that cooperate",10,IF(Z386="Duopoly that compete",5,IF(Z386="Too many players with High ROCE",5,0)))))</f>
        <v/>
      </c>
      <c r="AB386" s="31" t="inlineStr">
        <is>
          <t>Yes</t>
        </is>
      </c>
      <c r="AC386" s="31">
        <f>IF(AB386="No",5,0)</f>
        <v/>
      </c>
      <c r="AD386" s="31" t="inlineStr">
        <is>
          <t>Headwind</t>
        </is>
      </c>
      <c r="AE386" s="31">
        <f>IF(AD386="Tailwind",10,0)</f>
        <v/>
      </c>
      <c r="AF386" s="31" t="inlineStr">
        <is>
          <t>Structural (10 Years Consistency)</t>
        </is>
      </c>
      <c r="AG386" s="31">
        <f>IF(AF386="Structural (10 Years Consistency)",10,IF(AF386="Shallow Cyclical (2 to 3 years growth)",5,0))</f>
        <v/>
      </c>
      <c r="AH386" s="31" t="inlineStr">
        <is>
          <t>No</t>
        </is>
      </c>
      <c r="AI386" s="31">
        <f>IF(AH386="Yes due to Product Mix change or Operating Leverage",10,IF(AH386="Yes, these are peak margins",-5,IF(AH386="No",5,0)))</f>
        <v/>
      </c>
      <c r="AJ386" s="31" t="inlineStr">
        <is>
          <t>Stable</t>
        </is>
      </c>
      <c r="AK386" s="31">
        <f>IF(AJ386="Stable",10,0)</f>
        <v/>
      </c>
      <c r="AL386" s="31" t="inlineStr">
        <is>
          <t>Yes</t>
        </is>
      </c>
      <c r="AM386" s="31">
        <f>IF(AL386="Yes",10,0)</f>
        <v/>
      </c>
      <c r="AN386" s="31" t="inlineStr">
        <is>
          <t>B2B</t>
        </is>
      </c>
      <c r="AO386" s="31">
        <f>IF(AN386="B2C",10,IF(AN386="B2B",5,0))</f>
        <v/>
      </c>
      <c r="AP386" s="31" t="inlineStr">
        <is>
          <t>Yes</t>
        </is>
      </c>
      <c r="AQ386" s="31">
        <f>IF(AP386="Yes",10,0)</f>
        <v/>
      </c>
      <c r="AR386" s="31" t="inlineStr">
        <is>
          <t>Higher Annuity, Lower One Time</t>
        </is>
      </c>
      <c r="AS386" s="31">
        <f>IF(AR386="Fully Annuity",10,IF(AR386="Higher Annuity, Lower One Time",5,IF(AR386="Higher One Time, Lower Annuity",3,0)))</f>
        <v/>
      </c>
      <c r="AT386" s="31" t="inlineStr">
        <is>
          <t>Good</t>
        </is>
      </c>
      <c r="AU386" s="31">
        <f>IF(AT386="Good",10,0)</f>
        <v/>
      </c>
      <c r="AV386" s="31" t="inlineStr">
        <is>
          <t>Yes for more than 2 years</t>
        </is>
      </c>
      <c r="AW386" s="31">
        <f>IF(AV386="Yes for more than 2 years",10,IF(AV386="Yes only for next 1 to 2 years",5,0))</f>
        <v/>
      </c>
      <c r="AX386" s="31" t="inlineStr">
        <is>
          <t>0 to 20</t>
        </is>
      </c>
      <c r="AY386" s="31">
        <f>IF(AX386="Above 40",20,IF(AX386="20 to 40",10,IF(AX386="0 to 20",-5,0)))</f>
        <v/>
      </c>
      <c r="AZ386" s="31" t="inlineStr">
        <is>
          <t>Between 50 to 75</t>
        </is>
      </c>
      <c r="BA386" s="31">
        <f>IF(AZ386="Between 50 to 75",10,IF(AZ386="Above 75",0,0))</f>
        <v/>
      </c>
      <c r="BB386" s="31" t="inlineStr">
        <is>
          <t>Stage 1</t>
        </is>
      </c>
      <c r="BC386" s="31">
        <f>IF(BB386="Stage 2",20,IF(BB386="Stage 1",0,IF(BB386="Stage 3",5,IF(BB386="Stage 4",-5,0))))</f>
        <v/>
      </c>
      <c r="BD386" s="31" t="inlineStr">
        <is>
          <t>Positive Trend</t>
        </is>
      </c>
      <c r="BE386" s="31">
        <f>IF(BD386="Positive Trend",20,IF(BD386="Negative Trend",-10,0))</f>
        <v/>
      </c>
      <c r="BF386" s="31" t="inlineStr">
        <is>
          <t>Uptrend</t>
        </is>
      </c>
      <c r="BG386" s="31">
        <f>IF(BF386="Uptrend",10,IF(BF386="Sideways",5,0))</f>
        <v/>
      </c>
      <c r="BH386" s="31" t="inlineStr">
        <is>
          <t>Uptrend</t>
        </is>
      </c>
      <c r="BI386" s="31">
        <f>IF(BH386="Uptrend",10,IF(BH386="Sideways",5,0))</f>
        <v/>
      </c>
      <c r="BJ386" s="31" t="inlineStr">
        <is>
          <t>Close to 52 week high or retracement</t>
        </is>
      </c>
      <c r="BK386" s="31">
        <f>IF(BJ386="Overhead supply in last 2 years in last 2 years",-5,IF(BJ386="Close to 52 week high or retracement",5,IF(BJ386="Blue sky scenario",10,IF(BJ386="Long term Downtrend",-10,0))))</f>
        <v/>
      </c>
      <c r="BL386" s="31" t="inlineStr">
        <is>
          <t>Yes</t>
        </is>
      </c>
      <c r="BM386" s="31">
        <f>IF(BL386="Yes",10,0)</f>
        <v/>
      </c>
      <c r="BN386" s="31" t="inlineStr">
        <is>
          <t>Less than 12%</t>
        </is>
      </c>
      <c r="BO386" s="31">
        <f>IF(BN386="More than 20%",10,IF(BN386="Between 12 to 20%",5,IF(BN386="Less than 12%",0,0)))</f>
        <v/>
      </c>
      <c r="BP386" s="31" t="inlineStr">
        <is>
          <t>No</t>
        </is>
      </c>
      <c r="BQ386" s="31">
        <f>IF(BP386="No",10,0)</f>
        <v/>
      </c>
      <c r="BR386" s="31" t="inlineStr">
        <is>
          <t>No</t>
        </is>
      </c>
      <c r="BS386" s="31">
        <f>IF(BR386="NO",5,0)</f>
        <v/>
      </c>
      <c r="BT386" s="31" t="inlineStr">
        <is>
          <t>Above 2</t>
        </is>
      </c>
      <c r="BU386" s="31">
        <f>IF(BT386="Above 2",0,IF(BT386="Between 1.5 to 2",5,IF(BT386="Less than 1.5",10,0)))</f>
        <v/>
      </c>
      <c r="BV386" s="31" t="inlineStr">
        <is>
          <t>Between 50% to 70%</t>
        </is>
      </c>
      <c r="BW386" s="31">
        <f>IF(BV386="Above 70%",10,IF(BV386="Between 50% to 70%",5,IF(BV386="Less than 50%",0,IF(BV386="Negative",-10,IF(BV386="Less than 50% and Borrowings are increasing",-5,0)))))</f>
        <v/>
      </c>
      <c r="BX386" s="31" t="inlineStr">
        <is>
          <t>Less than 0.7</t>
        </is>
      </c>
      <c r="BY386" s="31">
        <f>IF(BX386="More than 1.2",-10,IF(BX386="Between 0.7 to 1.2",0,IF(BX386="Less than 0.7",10,0)))</f>
        <v/>
      </c>
      <c r="BZ386" s="31" t="inlineStr">
        <is>
          <t>No</t>
        </is>
      </c>
      <c r="CA386" s="31">
        <f>IF(BZ386="Yes",-10,0)</f>
        <v/>
      </c>
      <c r="CB386" s="31" t="inlineStr">
        <is>
          <t>Less than 15%</t>
        </is>
      </c>
      <c r="CC386" s="31">
        <f>IF(CB386="More than 15%",-10,IF(CB386="Less than 15%",10,0))</f>
        <v/>
      </c>
      <c r="CD386" s="31" t="inlineStr">
        <is>
          <t>No</t>
        </is>
      </c>
      <c r="CE386" s="31">
        <f>IF(CD386="Yes, more than 10%",-10,IF(CD386="No",10,0))</f>
        <v/>
      </c>
    </row>
    <row r="387">
      <c r="A387" s="31">
        <f>IF(B387=0,"",RANK(B387,$B$2:$B$407,0))</f>
        <v/>
      </c>
      <c r="B387" s="32">
        <f>SUM(N387,Y387,AA387,AC387,AE387,AG387,AI387,AK387,AM387,AO387,AQ387,AS387,AU387,AW387,AY387,BA387,BC387,BE387,BG387,BI387,BK387,BM387,BO387,BQ387,BS387,BU387,BW387,BY387,CA387,CC387,CE387)</f>
        <v/>
      </c>
      <c r="C387" s="31" t="inlineStr">
        <is>
          <t>3MINDIA</t>
        </is>
      </c>
      <c r="D387" s="31" t="inlineStr">
        <is>
          <t>3m India Limited</t>
        </is>
      </c>
      <c r="E387" s="31" t="inlineStr">
        <is>
          <t>miscellaneous</t>
        </is>
      </c>
      <c r="F387" s="31" t="inlineStr">
        <is>
          <t>diversified - large</t>
        </is>
      </c>
      <c r="G387" s="31" t="inlineStr">
        <is>
          <t>largecap</t>
        </is>
      </c>
      <c r="H387" s="32" t="n">
        <v>37664.76</v>
      </c>
      <c r="I387" s="32" t="n">
        <v>34000</v>
      </c>
      <c r="J387" s="32" t="n">
        <v>1.69</v>
      </c>
      <c r="K387" s="32" t="n">
        <v>2869</v>
      </c>
      <c r="L387" s="31" t="n">
        <v>27</v>
      </c>
      <c r="M387" s="31" t="inlineStr">
        <is>
          <t>Outperforming</t>
        </is>
      </c>
      <c r="N387" s="32">
        <f>IF(M387="Underperforming",-5,IF(L387&gt;=95,15,IF(L387&gt;=90,10,IF(L387&gt;=80,5,0))))</f>
        <v/>
      </c>
      <c r="O387" s="32" t="n">
        <v>54.5</v>
      </c>
      <c r="P387" s="32" t="n">
        <v>9.960000000000001</v>
      </c>
      <c r="Q387" s="32" t="n">
        <v>28011.9</v>
      </c>
      <c r="R387" s="31" t="inlineStr">
        <is>
          <t>Earnings / Momentum Support</t>
        </is>
      </c>
      <c r="S387" s="31" t="inlineStr">
        <is>
          <t>Nifty 50</t>
        </is>
      </c>
      <c r="T387" s="32" t="n">
        <v>-5.05</v>
      </c>
      <c r="U387" s="32" t="n">
        <v>19.34</v>
      </c>
      <c r="V387" s="32" t="n">
        <v>25.69</v>
      </c>
      <c r="W387" s="32" t="n">
        <v>7.43</v>
      </c>
      <c r="X387" s="31" t="inlineStr">
        <is>
          <t>Growing Industry</t>
        </is>
      </c>
      <c r="Y387" s="31">
        <f>IF(X387="Growing Industry",10,IF(X387="Cyclical in an Upturn",5,0))</f>
        <v/>
      </c>
      <c r="Z387" s="31" t="inlineStr">
        <is>
          <t>Too Many Players with High ROCE</t>
        </is>
      </c>
      <c r="AA387" s="31">
        <f>IF(Z387="Monopoly",10,IF(Z387="Oligopoly",5,IF(Z387="Duopoly that cooperate",10,IF(Z387="Duopoly that compete",5,IF(Z387="Too many players with High ROCE",5,0)))))</f>
        <v/>
      </c>
      <c r="AB387" s="31" t="inlineStr">
        <is>
          <t>No</t>
        </is>
      </c>
      <c r="AC387" s="31">
        <f>IF(AB387="No",5,0)</f>
        <v/>
      </c>
      <c r="AD387" s="31" t="inlineStr">
        <is>
          <t>Headwind</t>
        </is>
      </c>
      <c r="AE387" s="31">
        <f>IF(AD387="Tailwind",10,0)</f>
        <v/>
      </c>
      <c r="AF387" s="31" t="inlineStr">
        <is>
          <t>Structural (10 Years Consistency)</t>
        </is>
      </c>
      <c r="AG387" s="31">
        <f>IF(AF387="Structural (10 Years Consistency)",10,IF(AF387="Shallow Cyclical (2 to 3 years growth)",5,0))</f>
        <v/>
      </c>
      <c r="AH387" s="31" t="inlineStr">
        <is>
          <t>No</t>
        </is>
      </c>
      <c r="AI387" s="31">
        <f>IF(AH387="Yes due to Product Mix change or Operating Leverage",10,IF(AH387="Yes, these are peak margins",-5,IF(AH387="No",5,0)))</f>
        <v/>
      </c>
      <c r="AJ387" s="31" t="inlineStr">
        <is>
          <t>Stable</t>
        </is>
      </c>
      <c r="AK387" s="31">
        <f>IF(AJ387="Stable",10,0)</f>
        <v/>
      </c>
      <c r="AL387" s="31" t="inlineStr">
        <is>
          <t>Yes</t>
        </is>
      </c>
      <c r="AM387" s="31">
        <f>IF(AL387="Yes",10,0)</f>
        <v/>
      </c>
      <c r="AN387" s="31" t="inlineStr">
        <is>
          <t>B2B</t>
        </is>
      </c>
      <c r="AO387" s="31">
        <f>IF(AN387="B2C",10,IF(AN387="B2B",5,0))</f>
        <v/>
      </c>
      <c r="AP387" s="31" t="inlineStr">
        <is>
          <t>No</t>
        </is>
      </c>
      <c r="AQ387" s="31">
        <f>IF(AP387="Yes",10,0)</f>
        <v/>
      </c>
      <c r="AR387" s="31" t="inlineStr">
        <is>
          <t>Higher One Time, Lower Annuity</t>
        </is>
      </c>
      <c r="AS387" s="31">
        <f>IF(AR387="Fully Annuity",10,IF(AR387="Higher Annuity, Lower One Time",5,IF(AR387="Higher One Time, Lower Annuity",3,0)))</f>
        <v/>
      </c>
      <c r="AT387" s="31" t="inlineStr">
        <is>
          <t>Good</t>
        </is>
      </c>
      <c r="AU387" s="31">
        <f>IF(AT387="Good",10,0)</f>
        <v/>
      </c>
      <c r="AV387" s="31" t="inlineStr">
        <is>
          <t>Yes for more than 2 years</t>
        </is>
      </c>
      <c r="AW387" s="31">
        <f>IF(AV387="Yes for more than 2 years",10,IF(AV387="Yes only for next 1 to 2 years",5,0))</f>
        <v/>
      </c>
      <c r="AX387" s="31" t="inlineStr">
        <is>
          <t>0 to 20</t>
        </is>
      </c>
      <c r="AY387" s="31">
        <f>IF(AX387="Above 40",20,IF(AX387="20 to 40",10,IF(AX387="0 to 20",-5,0)))</f>
        <v/>
      </c>
      <c r="AZ387" s="31" t="inlineStr">
        <is>
          <t>Between 50 to 75</t>
        </is>
      </c>
      <c r="BA387" s="31">
        <f>IF(AZ387="Between 50 to 75",10,IF(AZ387="Above 75",0,0))</f>
        <v/>
      </c>
      <c r="BB387" s="31" t="inlineStr">
        <is>
          <t>Stage 1</t>
        </is>
      </c>
      <c r="BC387" s="31">
        <f>IF(BB387="Stage 2",20,IF(BB387="Stage 1",0,IF(BB387="Stage 3",5,IF(BB387="Stage 4",-5,0))))</f>
        <v/>
      </c>
      <c r="BD387" s="31" t="inlineStr">
        <is>
          <t>Positive Trend</t>
        </is>
      </c>
      <c r="BE387" s="31">
        <f>IF(BD387="Positive Trend",20,IF(BD387="Negative Trend",-10,0))</f>
        <v/>
      </c>
      <c r="BF387" s="31" t="inlineStr">
        <is>
          <t>Uptrend</t>
        </is>
      </c>
      <c r="BG387" s="31">
        <f>IF(BF387="Uptrend",10,IF(BF387="Sideways",5,0))</f>
        <v/>
      </c>
      <c r="BH387" s="31" t="inlineStr">
        <is>
          <t>Uptrend</t>
        </is>
      </c>
      <c r="BI387" s="31">
        <f>IF(BH387="Uptrend",10,IF(BH387="Sideways",5,0))</f>
        <v/>
      </c>
      <c r="BJ387" s="31" t="inlineStr">
        <is>
          <t>Close to 52 week high or retracement</t>
        </is>
      </c>
      <c r="BK387" s="31">
        <f>IF(BJ387="Overhead supply in last 2 years in last 2 years",-5,IF(BJ387="Close to 52 week high or retracement",5,IF(BJ387="Blue sky scenario",10,IF(BJ387="Long term Downtrend",-10,0))))</f>
        <v/>
      </c>
      <c r="BL387" s="31" t="inlineStr">
        <is>
          <t>Yes</t>
        </is>
      </c>
      <c r="BM387" s="31">
        <f>IF(BL387="Yes",10,0)</f>
        <v/>
      </c>
      <c r="BN387" s="31" t="inlineStr">
        <is>
          <t>More than 20%</t>
        </is>
      </c>
      <c r="BO387" s="31">
        <f>IF(BN387="More than 20%",10,IF(BN387="Between 12 to 20%",5,IF(BN387="Less than 12%",0,0)))</f>
        <v/>
      </c>
      <c r="BP387" s="31" t="inlineStr">
        <is>
          <t>No</t>
        </is>
      </c>
      <c r="BQ387" s="31">
        <f>IF(BP387="No",10,0)</f>
        <v/>
      </c>
      <c r="BR387" s="31" t="inlineStr">
        <is>
          <t>Yes</t>
        </is>
      </c>
      <c r="BS387" s="31">
        <f>IF(BR387="NO",5,0)</f>
        <v/>
      </c>
      <c r="BT387" s="31" t="inlineStr">
        <is>
          <t>Above 2</t>
        </is>
      </c>
      <c r="BU387" s="31">
        <f>IF(BT387="Above 2",0,IF(BT387="Between 1.5 to 2",5,IF(BT387="Less than 1.5",10,0)))</f>
        <v/>
      </c>
      <c r="BV387" s="31" t="inlineStr">
        <is>
          <t>Between 50% to 70%</t>
        </is>
      </c>
      <c r="BW387" s="31">
        <f>IF(BV387="Above 70%",10,IF(BV387="Between 50% to 70%",5,IF(BV387="Less than 50%",0,IF(BV387="Negative",-10,IF(BV387="Less than 50% and Borrowings are increasing",-5,0)))))</f>
        <v/>
      </c>
      <c r="BX387" s="31" t="inlineStr">
        <is>
          <t>Less than 0.7</t>
        </is>
      </c>
      <c r="BY387" s="31">
        <f>IF(BX387="More than 1.2",-10,IF(BX387="Between 0.7 to 1.2",0,IF(BX387="Less than 0.7",10,0)))</f>
        <v/>
      </c>
      <c r="BZ387" s="31" t="inlineStr">
        <is>
          <t>No</t>
        </is>
      </c>
      <c r="CA387" s="31">
        <f>IF(BZ387="Yes",-10,0)</f>
        <v/>
      </c>
      <c r="CB387" s="31" t="inlineStr">
        <is>
          <t>Less than 15%</t>
        </is>
      </c>
      <c r="CC387" s="31">
        <f>IF(CB387="More than 15%",-10,IF(CB387="Less than 15%",10,0))</f>
        <v/>
      </c>
      <c r="CD387" s="31" t="inlineStr">
        <is>
          <t>No</t>
        </is>
      </c>
      <c r="CE387" s="31">
        <f>IF(CD387="Yes, more than 10%",-10,IF(CD387="No",10,0))</f>
        <v/>
      </c>
    </row>
    <row r="388">
      <c r="A388" s="31">
        <f>IF(B388=0,"",RANK(B388,$B$2:$B$407,0))</f>
        <v/>
      </c>
      <c r="B388" s="32">
        <f>SUM(N388,Y388,AA388,AC388,AE388,AG388,AI388,AK388,AM388,AO388,AQ388,AS388,AU388,AW388,AY388,BA388,BC388,BE388,BG388,BI388,BK388,BM388,BO388,BQ388,BS388,BU388,BW388,BY388,CA388,CC388,CE388)</f>
        <v/>
      </c>
      <c r="C388" s="31" t="inlineStr">
        <is>
          <t>POCL</t>
        </is>
      </c>
      <c r="D388" s="31" t="inlineStr">
        <is>
          <t>Pondy Oxides &amp; Chemicals Ltd</t>
        </is>
      </c>
      <c r="E388" s="31" t="inlineStr">
        <is>
          <t>metals &amp; mining</t>
        </is>
      </c>
      <c r="F388" s="31" t="inlineStr">
        <is>
          <t>mining / minerals / metals</t>
        </is>
      </c>
      <c r="G388" s="31" t="inlineStr">
        <is>
          <t>smallcap</t>
        </is>
      </c>
      <c r="H388" s="32" t="n">
        <v>4191.33</v>
      </c>
      <c r="I388" s="32" t="n">
        <v>1392</v>
      </c>
      <c r="J388" s="32" t="n">
        <v>1.33</v>
      </c>
      <c r="K388" s="32" t="n">
        <v>193751</v>
      </c>
      <c r="L388" s="31" t="n">
        <v>64</v>
      </c>
      <c r="M388" s="31" t="inlineStr">
        <is>
          <t>Outperforming</t>
        </is>
      </c>
      <c r="N388" s="32">
        <f>IF(M388="Underperforming",-5,IF(L388&gt;=95,15,IF(L388&gt;=90,10,IF(L388&gt;=80,5,0))))</f>
        <v/>
      </c>
      <c r="O388" s="32" t="n">
        <v>56.82</v>
      </c>
      <c r="P388" s="32" t="n">
        <v>22.33</v>
      </c>
      <c r="Q388" s="32" t="n">
        <v>1119.2</v>
      </c>
      <c r="R388" s="31" t="inlineStr">
        <is>
          <t>Earnings / Momentum Support</t>
        </is>
      </c>
      <c r="S388" s="31" t="inlineStr">
        <is>
          <t>Nifty Metal</t>
        </is>
      </c>
      <c r="T388" s="32" t="n">
        <v>30.52</v>
      </c>
      <c r="U388" s="32" t="n">
        <v>49.39</v>
      </c>
      <c r="V388" s="32" t="n">
        <v>14.46</v>
      </c>
      <c r="W388" s="32" t="n">
        <v>16.84</v>
      </c>
      <c r="X388" s="31" t="inlineStr">
        <is>
          <t>Cyclical in an Upturn</t>
        </is>
      </c>
      <c r="Y388" s="31">
        <f>IF(X388="Growing Industry",10,IF(X388="Cyclical in an Upturn",5,0))</f>
        <v/>
      </c>
      <c r="Z388" s="31" t="inlineStr">
        <is>
          <t>Too Many Players with High ROCE</t>
        </is>
      </c>
      <c r="AA388" s="31">
        <f>IF(Z388="Monopoly",10,IF(Z388="Oligopoly",5,IF(Z388="Duopoly that cooperate",10,IF(Z388="Duopoly that compete",5,IF(Z388="Too many players with High ROCE",5,0)))))</f>
        <v/>
      </c>
      <c r="AB388" s="31" t="inlineStr">
        <is>
          <t>No</t>
        </is>
      </c>
      <c r="AC388" s="31">
        <f>IF(AB388="No",5,0)</f>
        <v/>
      </c>
      <c r="AD388" s="31" t="inlineStr">
        <is>
          <t>Headwind</t>
        </is>
      </c>
      <c r="AE388" s="31">
        <f>IF(AD388="Tailwind",10,0)</f>
        <v/>
      </c>
      <c r="AF388" s="31" t="inlineStr">
        <is>
          <t>Cyclical</t>
        </is>
      </c>
      <c r="AG388" s="31">
        <f>IF(AF388="Structural (10 Years Consistency)",10,IF(AF388="Shallow Cyclical (2 to 3 years growth)",5,0))</f>
        <v/>
      </c>
      <c r="AH388" s="31" t="inlineStr">
        <is>
          <t>No</t>
        </is>
      </c>
      <c r="AI388" s="31">
        <f>IF(AH388="Yes due to Product Mix change or Operating Leverage",10,IF(AH388="Yes, these are peak margins",-5,IF(AH388="No",5,0)))</f>
        <v/>
      </c>
      <c r="AJ388" s="31" t="inlineStr">
        <is>
          <t>Volatile</t>
        </is>
      </c>
      <c r="AK388" s="31">
        <f>IF(AJ388="Stable",10,0)</f>
        <v/>
      </c>
      <c r="AL388" s="31" t="inlineStr">
        <is>
          <t>Yes</t>
        </is>
      </c>
      <c r="AM388" s="31">
        <f>IF(AL388="Yes",10,0)</f>
        <v/>
      </c>
      <c r="AN388" s="31" t="inlineStr">
        <is>
          <t>B2B</t>
        </is>
      </c>
      <c r="AO388" s="31">
        <f>IF(AN388="B2C",10,IF(AN388="B2B",5,0))</f>
        <v/>
      </c>
      <c r="AP388" s="31" t="inlineStr">
        <is>
          <t>No</t>
        </is>
      </c>
      <c r="AQ388" s="31">
        <f>IF(AP388="Yes",10,0)</f>
        <v/>
      </c>
      <c r="AR388" s="31" t="inlineStr">
        <is>
          <t>Higher One Time, Lower Annuity</t>
        </is>
      </c>
      <c r="AS388" s="31">
        <f>IF(AR388="Fully Annuity",10,IF(AR388="Higher Annuity, Lower One Time",5,IF(AR388="Higher One Time, Lower Annuity",3,0)))</f>
        <v/>
      </c>
      <c r="AT388" s="31" t="inlineStr">
        <is>
          <t>Good</t>
        </is>
      </c>
      <c r="AU388" s="31">
        <f>IF(AT388="Good",10,0)</f>
        <v/>
      </c>
      <c r="AV388" s="31" t="inlineStr">
        <is>
          <t>Yes for more than 2 years</t>
        </is>
      </c>
      <c r="AW388" s="31">
        <f>IF(AV388="Yes for more than 2 years",10,IF(AV388="Yes only for next 1 to 2 years",5,0))</f>
        <v/>
      </c>
      <c r="AX388" s="31" t="inlineStr">
        <is>
          <t>20 to 40</t>
        </is>
      </c>
      <c r="AY388" s="31">
        <f>IF(AX388="Above 40",20,IF(AX388="20 to 40",10,IF(AX388="0 to 20",-5,0)))</f>
        <v/>
      </c>
      <c r="AZ388" s="31" t="inlineStr">
        <is>
          <t>Between 50 to 75</t>
        </is>
      </c>
      <c r="BA388" s="31">
        <f>IF(AZ388="Between 50 to 75",10,IF(AZ388="Above 75",0,0))</f>
        <v/>
      </c>
      <c r="BB388" s="31" t="inlineStr">
        <is>
          <t>Stage 2</t>
        </is>
      </c>
      <c r="BC388" s="31">
        <f>IF(BB388="Stage 2",20,IF(BB388="Stage 1",0,IF(BB388="Stage 3",5,IF(BB388="Stage 4",-5,0))))</f>
        <v/>
      </c>
      <c r="BD388" s="31" t="inlineStr">
        <is>
          <t>Positive Trend</t>
        </is>
      </c>
      <c r="BE388" s="31">
        <f>IF(BD388="Positive Trend",20,IF(BD388="Negative Trend",-10,0))</f>
        <v/>
      </c>
      <c r="BF388" s="31" t="inlineStr">
        <is>
          <t>Uptrend</t>
        </is>
      </c>
      <c r="BG388" s="31">
        <f>IF(BF388="Uptrend",10,IF(BF388="Sideways",5,0))</f>
        <v/>
      </c>
      <c r="BH388" s="31" t="inlineStr">
        <is>
          <t>Uptrend</t>
        </is>
      </c>
      <c r="BI388" s="31">
        <f>IF(BH388="Uptrend",10,IF(BH388="Sideways",5,0))</f>
        <v/>
      </c>
      <c r="BJ388" s="31" t="inlineStr">
        <is>
          <t>Close to 52 week high or retracement</t>
        </is>
      </c>
      <c r="BK388" s="31">
        <f>IF(BJ388="Overhead supply in last 2 years in last 2 years",-5,IF(BJ388="Close to 52 week high or retracement",5,IF(BJ388="Blue sky scenario",10,IF(BJ388="Long term Downtrend",-10,0))))</f>
        <v/>
      </c>
      <c r="BL388" s="31" t="inlineStr">
        <is>
          <t>Yes</t>
        </is>
      </c>
      <c r="BM388" s="31">
        <f>IF(BL388="Yes",10,0)</f>
        <v/>
      </c>
      <c r="BN388" s="31" t="inlineStr">
        <is>
          <t>More than 20%</t>
        </is>
      </c>
      <c r="BO388" s="31">
        <f>IF(BN388="More than 20%",10,IF(BN388="Between 12 to 20%",5,IF(BN388="Less than 12%",0,0)))</f>
        <v/>
      </c>
      <c r="BP388" s="31" t="inlineStr">
        <is>
          <t>No</t>
        </is>
      </c>
      <c r="BQ388" s="31">
        <f>IF(BP388="No",10,0)</f>
        <v/>
      </c>
      <c r="BR388" s="31" t="inlineStr">
        <is>
          <t>No</t>
        </is>
      </c>
      <c r="BS388" s="31">
        <f>IF(BR388="NO",5,0)</f>
        <v/>
      </c>
      <c r="BT388" s="31" t="inlineStr">
        <is>
          <t>Above 2</t>
        </is>
      </c>
      <c r="BU388" s="31">
        <f>IF(BT388="Above 2",0,IF(BT388="Between 1.5 to 2",5,IF(BT388="Less than 1.5",10,0)))</f>
        <v/>
      </c>
      <c r="BV388" s="31" t="inlineStr">
        <is>
          <t>Negative</t>
        </is>
      </c>
      <c r="BW388" s="31">
        <f>IF(BV388="Above 70%",10,IF(BV388="Between 50% to 70%",5,IF(BV388="Less than 50%",0,IF(BV388="Negative",-10,IF(BV388="Less than 50% and Borrowings are increasing",-5,0)))))</f>
        <v/>
      </c>
      <c r="BX388" s="31" t="inlineStr">
        <is>
          <t>Less than 0.7</t>
        </is>
      </c>
      <c r="BY388" s="31">
        <f>IF(BX388="More than 1.2",-10,IF(BX388="Between 0.7 to 1.2",0,IF(BX388="Less than 0.7",10,0)))</f>
        <v/>
      </c>
      <c r="BZ388" s="31" t="inlineStr">
        <is>
          <t>No</t>
        </is>
      </c>
      <c r="CA388" s="31">
        <f>IF(BZ388="Yes",-10,0)</f>
        <v/>
      </c>
      <c r="CB388" s="31" t="inlineStr">
        <is>
          <t>Less than 15%</t>
        </is>
      </c>
      <c r="CC388" s="31">
        <f>IF(CB388="More than 15%",-10,IF(CB388="Less than 15%",10,0))</f>
        <v/>
      </c>
      <c r="CD388" s="31" t="inlineStr">
        <is>
          <t>No</t>
        </is>
      </c>
      <c r="CE388" s="31">
        <f>IF(CD388="Yes, more than 10%",-10,IF(CD388="No",10,0))</f>
        <v/>
      </c>
    </row>
    <row r="389">
      <c r="A389" s="31">
        <f>IF(B389=0,"",RANK(B389,$B$2:$B$407,0))</f>
        <v/>
      </c>
      <c r="B389" s="32">
        <f>SUM(N389,Y389,AA389,AC389,AE389,AG389,AI389,AK389,AM389,AO389,AQ389,AS389,AU389,AW389,AY389,BA389,BC389,BE389,BG389,BI389,BK389,BM389,BO389,BQ389,BS389,BU389,BW389,BY389,CA389,CC389,CE389)</f>
        <v/>
      </c>
      <c r="C389" s="31" t="inlineStr">
        <is>
          <t>KRYSTAL</t>
        </is>
      </c>
      <c r="D389" s="31" t="inlineStr">
        <is>
          <t>Krystal Integrated Services Ltd</t>
        </is>
      </c>
      <c r="E389" s="31" t="inlineStr">
        <is>
          <t>miscellaneous</t>
        </is>
      </c>
      <c r="F389" s="31" t="inlineStr">
        <is>
          <t>miscellaneous</t>
        </is>
      </c>
      <c r="G389" s="31" t="inlineStr">
        <is>
          <t>smallcap</t>
        </is>
      </c>
      <c r="H389" s="32" t="n">
        <v>838.3200000000001</v>
      </c>
      <c r="I389" s="32" t="n">
        <v>600</v>
      </c>
      <c r="J389" s="32" t="n">
        <v>0</v>
      </c>
      <c r="K389" s="32" t="n">
        <v>8931</v>
      </c>
      <c r="L389" s="31" t="n">
        <v>6</v>
      </c>
      <c r="M389" s="31" t="inlineStr">
        <is>
          <t>Outperforming</t>
        </is>
      </c>
      <c r="N389" s="32">
        <f>IF(M389="Underperforming",-5,IF(L389&gt;=95,15,IF(L389&gt;=90,10,IF(L389&gt;=80,5,0))))</f>
        <v/>
      </c>
      <c r="O389" s="32" t="n">
        <v>53.38</v>
      </c>
      <c r="P389" s="32" t="n">
        <v>18.07</v>
      </c>
      <c r="Q389" s="32" t="n">
        <v>490.84</v>
      </c>
      <c r="R389" s="31" t="inlineStr">
        <is>
          <t>Earnings / Momentum Support</t>
        </is>
      </c>
      <c r="S389" s="31" t="inlineStr">
        <is>
          <t>Nifty 50</t>
        </is>
      </c>
      <c r="T389" s="32" t="n">
        <v>-5.05</v>
      </c>
      <c r="U389" s="32" t="n">
        <v>-1.05</v>
      </c>
      <c r="V389" s="32" t="n">
        <v>4.21</v>
      </c>
      <c r="W389" s="32" t="n">
        <v>2.91</v>
      </c>
      <c r="X389" s="31" t="inlineStr">
        <is>
          <t>Growing Industry</t>
        </is>
      </c>
      <c r="Y389" s="31">
        <f>IF(X389="Growing Industry",10,IF(X389="Cyclical in an Upturn",5,0))</f>
        <v/>
      </c>
      <c r="Z389" s="31" t="inlineStr">
        <is>
          <t>Too Many Players with High ROCE</t>
        </is>
      </c>
      <c r="AA389" s="31">
        <f>IF(Z389="Monopoly",10,IF(Z389="Oligopoly",5,IF(Z389="Duopoly that cooperate",10,IF(Z389="Duopoly that compete",5,IF(Z389="Too many players with High ROCE",5,0)))))</f>
        <v/>
      </c>
      <c r="AB389" s="31" t="inlineStr">
        <is>
          <t>No</t>
        </is>
      </c>
      <c r="AC389" s="31">
        <f>IF(AB389="No",5,0)</f>
        <v/>
      </c>
      <c r="AD389" s="31" t="inlineStr">
        <is>
          <t>Headwind</t>
        </is>
      </c>
      <c r="AE389" s="31">
        <f>IF(AD389="Tailwind",10,0)</f>
        <v/>
      </c>
      <c r="AF389" s="31" t="inlineStr">
        <is>
          <t>Structural (10 Years Consistency)</t>
        </is>
      </c>
      <c r="AG389" s="31">
        <f>IF(AF389="Structural (10 Years Consistency)",10,IF(AF389="Shallow Cyclical (2 to 3 years growth)",5,0))</f>
        <v/>
      </c>
      <c r="AH389" s="31" t="inlineStr">
        <is>
          <t>No</t>
        </is>
      </c>
      <c r="AI389" s="31">
        <f>IF(AH389="Yes due to Product Mix change or Operating Leverage",10,IF(AH389="Yes, these are peak margins",-5,IF(AH389="No",5,0)))</f>
        <v/>
      </c>
      <c r="AJ389" s="31" t="inlineStr">
        <is>
          <t>Stable</t>
        </is>
      </c>
      <c r="AK389" s="31">
        <f>IF(AJ389="Stable",10,0)</f>
        <v/>
      </c>
      <c r="AL389" s="31" t="inlineStr">
        <is>
          <t>Yes</t>
        </is>
      </c>
      <c r="AM389" s="31">
        <f>IF(AL389="Yes",10,0)</f>
        <v/>
      </c>
      <c r="AN389" s="31" t="inlineStr">
        <is>
          <t>B2B</t>
        </is>
      </c>
      <c r="AO389" s="31">
        <f>IF(AN389="B2C",10,IF(AN389="B2B",5,0))</f>
        <v/>
      </c>
      <c r="AP389" s="31" t="inlineStr">
        <is>
          <t>No</t>
        </is>
      </c>
      <c r="AQ389" s="31">
        <f>IF(AP389="Yes",10,0)</f>
        <v/>
      </c>
      <c r="AR389" s="31" t="inlineStr">
        <is>
          <t>Higher One Time, Lower Annuity</t>
        </is>
      </c>
      <c r="AS389" s="31">
        <f>IF(AR389="Fully Annuity",10,IF(AR389="Higher Annuity, Lower One Time",5,IF(AR389="Higher One Time, Lower Annuity",3,0)))</f>
        <v/>
      </c>
      <c r="AT389" s="31" t="inlineStr">
        <is>
          <t>Good</t>
        </is>
      </c>
      <c r="AU389" s="31">
        <f>IF(AT389="Good",10,0)</f>
        <v/>
      </c>
      <c r="AV389" s="31" t="inlineStr">
        <is>
          <t>Yes for more than 2 years</t>
        </is>
      </c>
      <c r="AW389" s="31">
        <f>IF(AV389="Yes for more than 2 years",10,IF(AV389="Yes only for next 1 to 2 years",5,0))</f>
        <v/>
      </c>
      <c r="AX389" s="31" t="inlineStr">
        <is>
          <t>0 to 20</t>
        </is>
      </c>
      <c r="AY389" s="31">
        <f>IF(AX389="Above 40",20,IF(AX389="20 to 40",10,IF(AX389="0 to 20",-5,0)))</f>
        <v/>
      </c>
      <c r="AZ389" s="31" t="inlineStr">
        <is>
          <t>Between 50 to 75</t>
        </is>
      </c>
      <c r="BA389" s="31">
        <f>IF(AZ389="Between 50 to 75",10,IF(AZ389="Above 75",0,0))</f>
        <v/>
      </c>
      <c r="BB389" s="31" t="inlineStr">
        <is>
          <t>Stage 1</t>
        </is>
      </c>
      <c r="BC389" s="31">
        <f>IF(BB389="Stage 2",20,IF(BB389="Stage 1",0,IF(BB389="Stage 3",5,IF(BB389="Stage 4",-5,0))))</f>
        <v/>
      </c>
      <c r="BD389" s="31" t="inlineStr">
        <is>
          <t>Positive Trend</t>
        </is>
      </c>
      <c r="BE389" s="31">
        <f>IF(BD389="Positive Trend",20,IF(BD389="Negative Trend",-10,0))</f>
        <v/>
      </c>
      <c r="BF389" s="31" t="inlineStr">
        <is>
          <t>Uptrend</t>
        </is>
      </c>
      <c r="BG389" s="31">
        <f>IF(BF389="Uptrend",10,IF(BF389="Sideways",5,0))</f>
        <v/>
      </c>
      <c r="BH389" s="31" t="inlineStr">
        <is>
          <t>Uptrend</t>
        </is>
      </c>
      <c r="BI389" s="31">
        <f>IF(BH389="Uptrend",10,IF(BH389="Sideways",5,0))</f>
        <v/>
      </c>
      <c r="BJ389" s="31" t="inlineStr">
        <is>
          <t>Close to 52 week high or retracement</t>
        </is>
      </c>
      <c r="BK389" s="31">
        <f>IF(BJ389="Overhead supply in last 2 years in last 2 years",-5,IF(BJ389="Close to 52 week high or retracement",5,IF(BJ389="Blue sky scenario",10,IF(BJ389="Long term Downtrend",-10,0))))</f>
        <v/>
      </c>
      <c r="BL389" s="31" t="inlineStr">
        <is>
          <t>Yes</t>
        </is>
      </c>
      <c r="BM389" s="31">
        <f>IF(BL389="Yes",10,0)</f>
        <v/>
      </c>
      <c r="BN389" s="31" t="inlineStr">
        <is>
          <t>Less than 12%</t>
        </is>
      </c>
      <c r="BO389" s="31">
        <f>IF(BN389="More than 20%",10,IF(BN389="Between 12 to 20%",5,IF(BN389="Less than 12%",0,0)))</f>
        <v/>
      </c>
      <c r="BP389" s="31" t="inlineStr">
        <is>
          <t>No</t>
        </is>
      </c>
      <c r="BQ389" s="31">
        <f>IF(BP389="No",10,0)</f>
        <v/>
      </c>
      <c r="BR389" s="31" t="inlineStr">
        <is>
          <t>No</t>
        </is>
      </c>
      <c r="BS389" s="31">
        <f>IF(BR389="NO",5,0)</f>
        <v/>
      </c>
      <c r="BT389" s="31" t="inlineStr">
        <is>
          <t>Less than 1.5</t>
        </is>
      </c>
      <c r="BU389" s="31">
        <f>IF(BT389="Above 2",0,IF(BT389="Between 1.5 to 2",5,IF(BT389="Less than 1.5",10,0)))</f>
        <v/>
      </c>
      <c r="BV389" s="31" t="inlineStr">
        <is>
          <t>Less than 50%</t>
        </is>
      </c>
      <c r="BW389" s="31">
        <f>IF(BV389="Above 70%",10,IF(BV389="Between 50% to 70%",5,IF(BV389="Less than 50%",0,IF(BV389="Negative",-10,IF(BV389="Less than 50% and Borrowings are increasing",-5,0)))))</f>
        <v/>
      </c>
      <c r="BX389" s="31" t="inlineStr">
        <is>
          <t>Less than 0.7</t>
        </is>
      </c>
      <c r="BY389" s="31">
        <f>IF(BX389="More than 1.2",-10,IF(BX389="Between 0.7 to 1.2",0,IF(BX389="Less than 0.7",10,0)))</f>
        <v/>
      </c>
      <c r="BZ389" s="31" t="inlineStr">
        <is>
          <t>No</t>
        </is>
      </c>
      <c r="CA389" s="31">
        <f>IF(BZ389="Yes",-10,0)</f>
        <v/>
      </c>
      <c r="CB389" s="31" t="inlineStr">
        <is>
          <t>Less than 15%</t>
        </is>
      </c>
      <c r="CC389" s="31">
        <f>IF(CB389="More than 15%",-10,IF(CB389="Less than 15%",10,0))</f>
        <v/>
      </c>
      <c r="CD389" s="31" t="inlineStr">
        <is>
          <t>No</t>
        </is>
      </c>
      <c r="CE389" s="31">
        <f>IF(CD389="Yes, more than 10%",-10,IF(CD389="No",10,0))</f>
        <v/>
      </c>
    </row>
    <row r="390">
      <c r="A390" s="31">
        <f>IF(B390=0,"",RANK(B390,$B$2:$B$407,0))</f>
        <v/>
      </c>
      <c r="B390" s="32">
        <f>SUM(N390,Y390,AA390,AC390,AE390,AG390,AI390,AK390,AM390,AO390,AQ390,AS390,AU390,AW390,AY390,BA390,BC390,BE390,BG390,BI390,BK390,BM390,BO390,BQ390,BS390,BU390,BW390,BY390,CA390,CC390,CE390)</f>
        <v/>
      </c>
      <c r="C390" s="31" t="inlineStr">
        <is>
          <t>MAHLIFE</t>
        </is>
      </c>
      <c r="D390" s="31" t="inlineStr">
        <is>
          <t>Mahindra Lifespace Developers Limited</t>
        </is>
      </c>
      <c r="E390" s="31" t="inlineStr">
        <is>
          <t>realty</t>
        </is>
      </c>
      <c r="F390" s="31" t="inlineStr">
        <is>
          <t>construction</t>
        </is>
      </c>
      <c r="G390" s="31" t="inlineStr">
        <is>
          <t>midcap</t>
        </is>
      </c>
      <c r="H390" s="32" t="n">
        <v>7951.28</v>
      </c>
      <c r="I390" s="32" t="n">
        <v>372.2</v>
      </c>
      <c r="J390" s="32" t="n">
        <v>-0.13</v>
      </c>
      <c r="K390" s="32" t="n">
        <v>121172</v>
      </c>
      <c r="L390" s="31" t="n">
        <v>13</v>
      </c>
      <c r="M390" s="31" t="inlineStr">
        <is>
          <t>Outperforming</t>
        </is>
      </c>
      <c r="N390" s="32">
        <f>IF(M390="Underperforming",-5,IF(L390&gt;=95,15,IF(L390&gt;=90,10,IF(L390&gt;=80,5,0))))</f>
        <v/>
      </c>
      <c r="O390" s="32" t="n">
        <v>57.17</v>
      </c>
      <c r="P390" s="32" t="n">
        <v>13.25</v>
      </c>
      <c r="Q390" s="32" t="n">
        <v>300.23</v>
      </c>
      <c r="R390" s="31" t="inlineStr">
        <is>
          <t>Earnings / Momentum Support</t>
        </is>
      </c>
      <c r="S390" s="31" t="inlineStr">
        <is>
          <t>Nifty Realty</t>
        </is>
      </c>
      <c r="T390" s="32" t="n">
        <v>-10.31</v>
      </c>
      <c r="U390" s="32" t="n">
        <v>3.73</v>
      </c>
      <c r="V390" s="32" t="n">
        <v>15.66</v>
      </c>
      <c r="W390" s="32" t="n">
        <v>4.76</v>
      </c>
      <c r="X390" s="31" t="inlineStr">
        <is>
          <t>Growing Industry</t>
        </is>
      </c>
      <c r="Y390" s="31">
        <f>IF(X390="Growing Industry",10,IF(X390="Cyclical in an Upturn",5,0))</f>
        <v/>
      </c>
      <c r="Z390" s="31" t="inlineStr">
        <is>
          <t>Too Many Players with High ROCE</t>
        </is>
      </c>
      <c r="AA390" s="31">
        <f>IF(Z390="Monopoly",10,IF(Z390="Oligopoly",5,IF(Z390="Duopoly that cooperate",10,IF(Z390="Duopoly that compete",5,IF(Z390="Too many players with High ROCE",5,0)))))</f>
        <v/>
      </c>
      <c r="AB390" s="31" t="inlineStr">
        <is>
          <t>No</t>
        </is>
      </c>
      <c r="AC390" s="31">
        <f>IF(AB390="No",5,0)</f>
        <v/>
      </c>
      <c r="AD390" s="31" t="inlineStr">
        <is>
          <t>Headwind</t>
        </is>
      </c>
      <c r="AE390" s="31">
        <f>IF(AD390="Tailwind",10,0)</f>
        <v/>
      </c>
      <c r="AF390" s="31" t="inlineStr">
        <is>
          <t>Structural (10 Years Consistency)</t>
        </is>
      </c>
      <c r="AG390" s="31">
        <f>IF(AF390="Structural (10 Years Consistency)",10,IF(AF390="Shallow Cyclical (2 to 3 years growth)",5,0))</f>
        <v/>
      </c>
      <c r="AH390" s="31" t="inlineStr">
        <is>
          <t>No</t>
        </is>
      </c>
      <c r="AI390" s="31">
        <f>IF(AH390="Yes due to Product Mix change or Operating Leverage",10,IF(AH390="Yes, these are peak margins",-5,IF(AH390="No",5,0)))</f>
        <v/>
      </c>
      <c r="AJ390" s="31" t="inlineStr">
        <is>
          <t>Stable</t>
        </is>
      </c>
      <c r="AK390" s="31">
        <f>IF(AJ390="Stable",10,0)</f>
        <v/>
      </c>
      <c r="AL390" s="31" t="inlineStr">
        <is>
          <t>Yes</t>
        </is>
      </c>
      <c r="AM390" s="31">
        <f>IF(AL390="Yes",10,0)</f>
        <v/>
      </c>
      <c r="AN390" s="31" t="inlineStr">
        <is>
          <t>B2B</t>
        </is>
      </c>
      <c r="AO390" s="31">
        <f>IF(AN390="B2C",10,IF(AN390="B2B",5,0))</f>
        <v/>
      </c>
      <c r="AP390" s="31" t="inlineStr">
        <is>
          <t>No</t>
        </is>
      </c>
      <c r="AQ390" s="31">
        <f>IF(AP390="Yes",10,0)</f>
        <v/>
      </c>
      <c r="AR390" s="31" t="inlineStr">
        <is>
          <t>Higher One Time, Lower Annuity</t>
        </is>
      </c>
      <c r="AS390" s="31">
        <f>IF(AR390="Fully Annuity",10,IF(AR390="Higher Annuity, Lower One Time",5,IF(AR390="Higher One Time, Lower Annuity",3,0)))</f>
        <v/>
      </c>
      <c r="AT390" s="31" t="inlineStr">
        <is>
          <t>Good</t>
        </is>
      </c>
      <c r="AU390" s="31">
        <f>IF(AT390="Good",10,0)</f>
        <v/>
      </c>
      <c r="AV390" s="31" t="inlineStr">
        <is>
          <t>Yes for more than 2 years</t>
        </is>
      </c>
      <c r="AW390" s="31">
        <f>IF(AV390="Yes for more than 2 years",10,IF(AV390="Yes only for next 1 to 2 years",5,0))</f>
        <v/>
      </c>
      <c r="AX390" s="31" t="inlineStr">
        <is>
          <t>0 to 20</t>
        </is>
      </c>
      <c r="AY390" s="31">
        <f>IF(AX390="Above 40",20,IF(AX390="20 to 40",10,IF(AX390="0 to 20",-5,0)))</f>
        <v/>
      </c>
      <c r="AZ390" s="31" t="inlineStr">
        <is>
          <t>Between 50 to 75</t>
        </is>
      </c>
      <c r="BA390" s="31">
        <f>IF(AZ390="Between 50 to 75",10,IF(AZ390="Above 75",0,0))</f>
        <v/>
      </c>
      <c r="BB390" s="31" t="inlineStr">
        <is>
          <t>Stage 1</t>
        </is>
      </c>
      <c r="BC390" s="31">
        <f>IF(BB390="Stage 2",20,IF(BB390="Stage 1",0,IF(BB390="Stage 3",5,IF(BB390="Stage 4",-5,0))))</f>
        <v/>
      </c>
      <c r="BD390" s="31" t="inlineStr">
        <is>
          <t>Positive Trend</t>
        </is>
      </c>
      <c r="BE390" s="31">
        <f>IF(BD390="Positive Trend",20,IF(BD390="Negative Trend",-10,0))</f>
        <v/>
      </c>
      <c r="BF390" s="31" t="inlineStr">
        <is>
          <t>Uptrend</t>
        </is>
      </c>
      <c r="BG390" s="31">
        <f>IF(BF390="Uptrend",10,IF(BF390="Sideways",5,0))</f>
        <v/>
      </c>
      <c r="BH390" s="31" t="inlineStr">
        <is>
          <t>Uptrend</t>
        </is>
      </c>
      <c r="BI390" s="31">
        <f>IF(BH390="Uptrend",10,IF(BH390="Sideways",5,0))</f>
        <v/>
      </c>
      <c r="BJ390" s="31" t="inlineStr">
        <is>
          <t>Close to 52 week high or retracement</t>
        </is>
      </c>
      <c r="BK390" s="31">
        <f>IF(BJ390="Overhead supply in last 2 years in last 2 years",-5,IF(BJ390="Close to 52 week high or retracement",5,IF(BJ390="Blue sky scenario",10,IF(BJ390="Long term Downtrend",-10,0))))</f>
        <v/>
      </c>
      <c r="BL390" s="31" t="inlineStr">
        <is>
          <t>Yes</t>
        </is>
      </c>
      <c r="BM390" s="31">
        <f>IF(BL390="Yes",10,0)</f>
        <v/>
      </c>
      <c r="BN390" s="31" t="inlineStr">
        <is>
          <t>Less than 12%</t>
        </is>
      </c>
      <c r="BO390" s="31">
        <f>IF(BN390="More than 20%",10,IF(BN390="Between 12 to 20%",5,IF(BN390="Less than 12%",0,0)))</f>
        <v/>
      </c>
      <c r="BP390" s="31" t="inlineStr">
        <is>
          <t>No</t>
        </is>
      </c>
      <c r="BQ390" s="31">
        <f>IF(BP390="No",10,0)</f>
        <v/>
      </c>
      <c r="BR390" s="31" t="inlineStr">
        <is>
          <t>No</t>
        </is>
      </c>
      <c r="BS390" s="31">
        <f>IF(BR390="NO",5,0)</f>
        <v/>
      </c>
      <c r="BT390" s="31" t="inlineStr">
        <is>
          <t>Above 2</t>
        </is>
      </c>
      <c r="BU390" s="31">
        <f>IF(BT390="Above 2",0,IF(BT390="Between 1.5 to 2",5,IF(BT390="Less than 1.5",10,0)))</f>
        <v/>
      </c>
      <c r="BV390" s="31" t="inlineStr">
        <is>
          <t>Above 70%</t>
        </is>
      </c>
      <c r="BW390" s="31">
        <f>IF(BV390="Above 70%",10,IF(BV390="Between 50% to 70%",5,IF(BV390="Less than 50%",0,IF(BV390="Negative",-10,IF(BV390="Less than 50% and Borrowings are increasing",-5,0)))))</f>
        <v/>
      </c>
      <c r="BX390" s="31" t="inlineStr">
        <is>
          <t>Less than 0.7</t>
        </is>
      </c>
      <c r="BY390" s="31">
        <f>IF(BX390="More than 1.2",-10,IF(BX390="Between 0.7 to 1.2",0,IF(BX390="Less than 0.7",10,0)))</f>
        <v/>
      </c>
      <c r="BZ390" s="31" t="inlineStr">
        <is>
          <t>No</t>
        </is>
      </c>
      <c r="CA390" s="31">
        <f>IF(BZ390="Yes",-10,0)</f>
        <v/>
      </c>
      <c r="CB390" s="31" t="inlineStr">
        <is>
          <t>Less than 15%</t>
        </is>
      </c>
      <c r="CC390" s="31">
        <f>IF(CB390="More than 15%",-10,IF(CB390="Less than 15%",10,0))</f>
        <v/>
      </c>
      <c r="CD390" s="31" t="inlineStr">
        <is>
          <t>No</t>
        </is>
      </c>
      <c r="CE390" s="31">
        <f>IF(CD390="Yes, more than 10%",-10,IF(CD390="No",10,0))</f>
        <v/>
      </c>
    </row>
    <row r="391">
      <c r="A391" s="31">
        <f>IF(B391=0,"",RANK(B391,$B$2:$B$407,0))</f>
        <v/>
      </c>
      <c r="B391" s="32">
        <f>SUM(N391,Y391,AA391,AC391,AE391,AG391,AI391,AK391,AM391,AO391,AQ391,AS391,AU391,AW391,AY391,BA391,BC391,BE391,BG391,BI391,BK391,BM391,BO391,BQ391,BS391,BU391,BW391,BY391,CA391,CC391,CE391)</f>
        <v/>
      </c>
      <c r="C391" s="33" t="inlineStr">
        <is>
          <t>JTEKTINDIA</t>
        </is>
      </c>
      <c r="D391" s="33" t="inlineStr">
        <is>
          <t>JTEKT India Ltd</t>
        </is>
      </c>
      <c r="E391" s="31" t="inlineStr">
        <is>
          <t>auto</t>
        </is>
      </c>
      <c r="F391" s="31" t="inlineStr">
        <is>
          <t>auto ancillaries</t>
        </is>
      </c>
      <c r="G391" s="31" t="inlineStr">
        <is>
          <t>smallcap</t>
        </is>
      </c>
      <c r="H391" s="32" t="n">
        <v>4215.88</v>
      </c>
      <c r="I391" s="32" t="n">
        <v>151.48</v>
      </c>
      <c r="J391" s="32" t="n">
        <v>-0.33</v>
      </c>
      <c r="K391" s="32" t="n">
        <v>3729107</v>
      </c>
      <c r="L391" s="31" t="n">
        <v>19</v>
      </c>
      <c r="M391" s="31" t="inlineStr">
        <is>
          <t>Underperforming</t>
        </is>
      </c>
      <c r="N391" s="32">
        <f>IF(M391="Underperforming",-5,IF(L391&gt;=95,15,IF(L391&gt;=90,10,IF(L391&gt;=80,5,0))))</f>
        <v/>
      </c>
      <c r="O391" s="32" t="n">
        <v>58.16</v>
      </c>
      <c r="P391" s="32" t="n">
        <v>18.93</v>
      </c>
      <c r="Q391" s="32" t="n">
        <v>113.3</v>
      </c>
      <c r="R391" s="31" t="inlineStr">
        <is>
          <t>Volume Spike / Accumulation</t>
        </is>
      </c>
      <c r="S391" s="31" t="inlineStr">
        <is>
          <t>Nifty Auto</t>
        </is>
      </c>
      <c r="T391" s="32" t="n">
        <v>13.04</v>
      </c>
      <c r="U391" s="32" t="n">
        <v>6.44</v>
      </c>
      <c r="V391" s="32" t="n">
        <v>-5.84</v>
      </c>
      <c r="W391" s="32" t="n">
        <v>5.96</v>
      </c>
      <c r="X391" s="31" t="inlineStr">
        <is>
          <t>Growing Industry</t>
        </is>
      </c>
      <c r="Y391" s="31">
        <f>IF(X391="Growing Industry",10,IF(X391="Cyclical in an Upturn",5,0))</f>
        <v/>
      </c>
      <c r="Z391" s="31" t="inlineStr">
        <is>
          <t>Too Many Players with High ROCE</t>
        </is>
      </c>
      <c r="AA391" s="31">
        <f>IF(Z391="Monopoly",10,IF(Z391="Oligopoly",5,IF(Z391="Duopoly that cooperate",10,IF(Z391="Duopoly that compete",5,IF(Z391="Too many players with High ROCE",5,0)))))</f>
        <v/>
      </c>
      <c r="AB391" s="31" t="inlineStr">
        <is>
          <t>No</t>
        </is>
      </c>
      <c r="AC391" s="31">
        <f>IF(AB391="No",5,0)</f>
        <v/>
      </c>
      <c r="AD391" s="31" t="inlineStr">
        <is>
          <t>Tailwind</t>
        </is>
      </c>
      <c r="AE391" s="31">
        <f>IF(AD391="Tailwind",10,0)</f>
        <v/>
      </c>
      <c r="AF391" s="31" t="inlineStr">
        <is>
          <t>Structural (10 Years Consistency)</t>
        </is>
      </c>
      <c r="AG391" s="31">
        <f>IF(AF391="Structural (10 Years Consistency)",10,IF(AF391="Shallow Cyclical (2 to 3 years growth)",5,0))</f>
        <v/>
      </c>
      <c r="AH391" s="31" t="inlineStr">
        <is>
          <t>No</t>
        </is>
      </c>
      <c r="AI391" s="31">
        <f>IF(AH391="Yes due to Product Mix change or Operating Leverage",10,IF(AH391="Yes, these are peak margins",-5,IF(AH391="No",5,0)))</f>
        <v/>
      </c>
      <c r="AJ391" s="31" t="inlineStr">
        <is>
          <t>Stable</t>
        </is>
      </c>
      <c r="AK391" s="31">
        <f>IF(AJ391="Stable",10,0)</f>
        <v/>
      </c>
      <c r="AL391" s="31" t="inlineStr">
        <is>
          <t>Yes</t>
        </is>
      </c>
      <c r="AM391" s="31">
        <f>IF(AL391="Yes",10,0)</f>
        <v/>
      </c>
      <c r="AN391" s="31" t="inlineStr">
        <is>
          <t>B2B</t>
        </is>
      </c>
      <c r="AO391" s="31">
        <f>IF(AN391="B2C",10,IF(AN391="B2B",5,0))</f>
        <v/>
      </c>
      <c r="AP391" s="31" t="inlineStr">
        <is>
          <t>Yes</t>
        </is>
      </c>
      <c r="AQ391" s="31">
        <f>IF(AP391="Yes",10,0)</f>
        <v/>
      </c>
      <c r="AR391" s="31" t="inlineStr">
        <is>
          <t>Higher One Time, Lower Annuity</t>
        </is>
      </c>
      <c r="AS391" s="31">
        <f>IF(AR391="Fully Annuity",10,IF(AR391="Higher Annuity, Lower One Time",5,IF(AR391="Higher One Time, Lower Annuity",3,0)))</f>
        <v/>
      </c>
      <c r="AT391" s="31" t="inlineStr">
        <is>
          <t>Good</t>
        </is>
      </c>
      <c r="AU391" s="31">
        <f>IF(AT391="Good",10,0)</f>
        <v/>
      </c>
      <c r="AV391" s="31" t="inlineStr">
        <is>
          <t>Yes for more than 2 years</t>
        </is>
      </c>
      <c r="AW391" s="31">
        <f>IF(AV391="Yes for more than 2 years",10,IF(AV391="Yes only for next 1 to 2 years",5,0))</f>
        <v/>
      </c>
      <c r="AX391" s="31" t="inlineStr">
        <is>
          <t>0 to 20</t>
        </is>
      </c>
      <c r="AY391" s="31">
        <f>IF(AX391="Above 40",20,IF(AX391="20 to 40",10,IF(AX391="0 to 20",-5,0)))</f>
        <v/>
      </c>
      <c r="AZ391" s="31" t="inlineStr">
        <is>
          <t>Between 50 to 75</t>
        </is>
      </c>
      <c r="BA391" s="31">
        <f>IF(AZ391="Between 50 to 75",10,IF(AZ391="Above 75",0,0))</f>
        <v/>
      </c>
      <c r="BB391" s="31" t="inlineStr">
        <is>
          <t>Stage 1</t>
        </is>
      </c>
      <c r="BC391" s="31">
        <f>IF(BB391="Stage 2",20,IF(BB391="Stage 1",0,IF(BB391="Stage 3",5,IF(BB391="Stage 4",-5,0))))</f>
        <v/>
      </c>
      <c r="BD391" s="31" t="inlineStr">
        <is>
          <t>Positive Trend</t>
        </is>
      </c>
      <c r="BE391" s="31">
        <f>IF(BD391="Positive Trend",20,IF(BD391="Negative Trend",-10,0))</f>
        <v/>
      </c>
      <c r="BF391" s="31" t="inlineStr">
        <is>
          <t>Uptrend</t>
        </is>
      </c>
      <c r="BG391" s="31">
        <f>IF(BF391="Uptrend",10,IF(BF391="Sideways",5,0))</f>
        <v/>
      </c>
      <c r="BH391" s="31" t="inlineStr">
        <is>
          <t>Uptrend</t>
        </is>
      </c>
      <c r="BI391" s="31">
        <f>IF(BH391="Uptrend",10,IF(BH391="Sideways",5,0))</f>
        <v/>
      </c>
      <c r="BJ391" s="31" t="inlineStr">
        <is>
          <t>Close to 52 week high or retracement</t>
        </is>
      </c>
      <c r="BK391" s="31">
        <f>IF(BJ391="Overhead supply in last 2 years in last 2 years",-5,IF(BJ391="Close to 52 week high or retracement",5,IF(BJ391="Blue sky scenario",10,IF(BJ391="Long term Downtrend",-10,0))))</f>
        <v/>
      </c>
      <c r="BL391" s="31" t="inlineStr">
        <is>
          <t>Yes</t>
        </is>
      </c>
      <c r="BM391" s="31">
        <f>IF(BL391="Yes",10,0)</f>
        <v/>
      </c>
      <c r="BN391" s="31" t="inlineStr">
        <is>
          <t>Less than 12%</t>
        </is>
      </c>
      <c r="BO391" s="31">
        <f>IF(BN391="More than 20%",10,IF(BN391="Between 12 to 20%",5,IF(BN391="Less than 12%",0,0)))</f>
        <v/>
      </c>
      <c r="BP391" s="31" t="inlineStr">
        <is>
          <t>No</t>
        </is>
      </c>
      <c r="BQ391" s="31">
        <f>IF(BP391="No",10,0)</f>
        <v/>
      </c>
      <c r="BR391" s="31" t="inlineStr">
        <is>
          <t>Yes</t>
        </is>
      </c>
      <c r="BS391" s="31">
        <f>IF(BR391="NO",5,0)</f>
        <v/>
      </c>
      <c r="BT391" s="31" t="inlineStr">
        <is>
          <t>Above 2</t>
        </is>
      </c>
      <c r="BU391" s="31">
        <f>IF(BT391="Above 2",0,IF(BT391="Between 1.5 to 2",5,IF(BT391="Less than 1.5",10,0)))</f>
        <v/>
      </c>
      <c r="BV391" s="31" t="inlineStr">
        <is>
          <t>Less than 50%</t>
        </is>
      </c>
      <c r="BW391" s="31">
        <f>IF(BV391="Above 70%",10,IF(BV391="Between 50% to 70%",5,IF(BV391="Less than 50%",0,IF(BV391="Negative",-10,IF(BV391="Less than 50% and Borrowings are increasing",-5,0)))))</f>
        <v/>
      </c>
      <c r="BX391" s="31" t="inlineStr">
        <is>
          <t>Less than 0.7</t>
        </is>
      </c>
      <c r="BY391" s="31">
        <f>IF(BX391="More than 1.2",-10,IF(BX391="Between 0.7 to 1.2",0,IF(BX391="Less than 0.7",10,0)))</f>
        <v/>
      </c>
      <c r="BZ391" s="31" t="inlineStr">
        <is>
          <t>No</t>
        </is>
      </c>
      <c r="CA391" s="31">
        <f>IF(BZ391="Yes",-10,0)</f>
        <v/>
      </c>
      <c r="CB391" s="31" t="inlineStr">
        <is>
          <t>Less than 15%</t>
        </is>
      </c>
      <c r="CC391" s="31">
        <f>IF(CB391="More than 15%",-10,IF(CB391="Less than 15%",10,0))</f>
        <v/>
      </c>
      <c r="CD391" s="31" t="inlineStr">
        <is>
          <t>No</t>
        </is>
      </c>
      <c r="CE391" s="31">
        <f>IF(CD391="Yes, more than 10%",-10,IF(CD391="No",10,0))</f>
        <v/>
      </c>
    </row>
    <row r="392">
      <c r="A392" s="31">
        <f>IF(B392=0,"",RANK(B392,$B$2:$B$407,0))</f>
        <v/>
      </c>
      <c r="B392" s="32">
        <f>SUM(N392,Y392,AA392,AC392,AE392,AG392,AI392,AK392,AM392,AO392,AQ392,AS392,AU392,AW392,AY392,BA392,BC392,BE392,BG392,BI392,BK392,BM392,BO392,BQ392,BS392,BU392,BW392,BY392,CA392,CC392,CE392)</f>
        <v/>
      </c>
      <c r="C392" s="31" t="inlineStr">
        <is>
          <t>TI</t>
        </is>
      </c>
      <c r="D392" s="31" t="inlineStr">
        <is>
          <t>Tilaknagar Industries Limited</t>
        </is>
      </c>
      <c r="E392" s="31" t="inlineStr">
        <is>
          <t>fmcg</t>
        </is>
      </c>
      <c r="F392" s="31" t="inlineStr">
        <is>
          <t>breweries &amp; distilleries</t>
        </is>
      </c>
      <c r="G392" s="31" t="inlineStr">
        <is>
          <t>midcap</t>
        </is>
      </c>
      <c r="H392" s="32" t="n">
        <v>11201.78</v>
      </c>
      <c r="I392" s="32" t="n">
        <v>454</v>
      </c>
      <c r="J392" s="32" t="n">
        <v>0.18</v>
      </c>
      <c r="K392" s="32" t="n">
        <v>375255</v>
      </c>
      <c r="L392" s="31" t="n">
        <v>30</v>
      </c>
      <c r="M392" s="31" t="inlineStr">
        <is>
          <t>Outperforming</t>
        </is>
      </c>
      <c r="N392" s="32">
        <f>IF(M392="Underperforming",-5,IF(L392&gt;=95,15,IF(L392&gt;=90,10,IF(L392&gt;=80,5,0))))</f>
        <v/>
      </c>
      <c r="O392" s="32" t="n">
        <v>52.99</v>
      </c>
      <c r="P392" s="32" t="n">
        <v>8.699999999999999</v>
      </c>
      <c r="Q392" s="32" t="n">
        <v>372.61</v>
      </c>
      <c r="R392" s="31" t="inlineStr">
        <is>
          <t>Earnings / Momentum Support</t>
        </is>
      </c>
      <c r="S392" s="31" t="inlineStr">
        <is>
          <t>Nifty FMCG</t>
        </is>
      </c>
      <c r="T392" s="32" t="n">
        <v>-8.5</v>
      </c>
      <c r="U392" s="32" t="n">
        <v>33.52</v>
      </c>
      <c r="V392" s="32" t="n">
        <v>45.92</v>
      </c>
      <c r="W392" s="32" t="n">
        <v>8.43</v>
      </c>
      <c r="X392" s="31" t="inlineStr">
        <is>
          <t>Growing Industry</t>
        </is>
      </c>
      <c r="Y392" s="31">
        <f>IF(X392="Growing Industry",10,IF(X392="Cyclical in an Upturn",5,0))</f>
        <v/>
      </c>
      <c r="Z392" s="31" t="inlineStr">
        <is>
          <t>Too Many Players with High ROCE</t>
        </is>
      </c>
      <c r="AA392" s="31">
        <f>IF(Z392="Monopoly",10,IF(Z392="Oligopoly",5,IF(Z392="Duopoly that cooperate",10,IF(Z392="Duopoly that compete",5,IF(Z392="Too many players with High ROCE",5,0)))))</f>
        <v/>
      </c>
      <c r="AB392" s="31" t="inlineStr">
        <is>
          <t>No</t>
        </is>
      </c>
      <c r="AC392" s="31">
        <f>IF(AB392="No",5,0)</f>
        <v/>
      </c>
      <c r="AD392" s="31" t="inlineStr">
        <is>
          <t>Tailwind</t>
        </is>
      </c>
      <c r="AE392" s="31">
        <f>IF(AD392="Tailwind",10,0)</f>
        <v/>
      </c>
      <c r="AF392" s="31" t="inlineStr">
        <is>
          <t>Structural (10 Years Consistency)</t>
        </is>
      </c>
      <c r="AG392" s="31">
        <f>IF(AF392="Structural (10 Years Consistency)",10,IF(AF392="Shallow Cyclical (2 to 3 years growth)",5,0))</f>
        <v/>
      </c>
      <c r="AH392" s="31" t="inlineStr">
        <is>
          <t>No</t>
        </is>
      </c>
      <c r="AI392" s="31">
        <f>IF(AH392="Yes due to Product Mix change or Operating Leverage",10,IF(AH392="Yes, these are peak margins",-5,IF(AH392="No",5,0)))</f>
        <v/>
      </c>
      <c r="AJ392" s="31" t="inlineStr">
        <is>
          <t>Stable</t>
        </is>
      </c>
      <c r="AK392" s="31">
        <f>IF(AJ392="Stable",10,0)</f>
        <v/>
      </c>
      <c r="AL392" s="31" t="inlineStr">
        <is>
          <t>Yes</t>
        </is>
      </c>
      <c r="AM392" s="31">
        <f>IF(AL392="Yes",10,0)</f>
        <v/>
      </c>
      <c r="AN392" s="31" t="inlineStr">
        <is>
          <t>B2C</t>
        </is>
      </c>
      <c r="AO392" s="31">
        <f>IF(AN392="B2C",10,IF(AN392="B2B",5,0))</f>
        <v/>
      </c>
      <c r="AP392" s="31" t="inlineStr">
        <is>
          <t>No</t>
        </is>
      </c>
      <c r="AQ392" s="31">
        <f>IF(AP392="Yes",10,0)</f>
        <v/>
      </c>
      <c r="AR392" s="31" t="inlineStr">
        <is>
          <t>Higher Annuity, Lower One Time</t>
        </is>
      </c>
      <c r="AS392" s="31">
        <f>IF(AR392="Fully Annuity",10,IF(AR392="Higher Annuity, Lower One Time",5,IF(AR392="Higher One Time, Lower Annuity",3,0)))</f>
        <v/>
      </c>
      <c r="AT392" s="31" t="inlineStr">
        <is>
          <t>Good</t>
        </is>
      </c>
      <c r="AU392" s="31">
        <f>IF(AT392="Good",10,0)</f>
        <v/>
      </c>
      <c r="AV392" s="31" t="inlineStr">
        <is>
          <t>Yes for more than 2 years</t>
        </is>
      </c>
      <c r="AW392" s="31">
        <f>IF(AV392="Yes for more than 2 years",10,IF(AV392="Yes only for next 1 to 2 years",5,0))</f>
        <v/>
      </c>
      <c r="AX392" s="31" t="inlineStr">
        <is>
          <t>0 to 20</t>
        </is>
      </c>
      <c r="AY392" s="31">
        <f>IF(AX392="Above 40",20,IF(AX392="20 to 40",10,IF(AX392="0 to 20",-5,0)))</f>
        <v/>
      </c>
      <c r="AZ392" s="31" t="inlineStr">
        <is>
          <t>Between 50 to 75</t>
        </is>
      </c>
      <c r="BA392" s="31">
        <f>IF(AZ392="Between 50 to 75",10,IF(AZ392="Above 75",0,0))</f>
        <v/>
      </c>
      <c r="BB392" s="31" t="inlineStr">
        <is>
          <t>Stage 1</t>
        </is>
      </c>
      <c r="BC392" s="31">
        <f>IF(BB392="Stage 2",20,IF(BB392="Stage 1",0,IF(BB392="Stage 3",5,IF(BB392="Stage 4",-5,0))))</f>
        <v/>
      </c>
      <c r="BD392" s="31" t="inlineStr">
        <is>
          <t>Positive Trend</t>
        </is>
      </c>
      <c r="BE392" s="31">
        <f>IF(BD392="Positive Trend",20,IF(BD392="Negative Trend",-10,0))</f>
        <v/>
      </c>
      <c r="BF392" s="31" t="inlineStr">
        <is>
          <t>Uptrend</t>
        </is>
      </c>
      <c r="BG392" s="31">
        <f>IF(BF392="Uptrend",10,IF(BF392="Sideways",5,0))</f>
        <v/>
      </c>
      <c r="BH392" s="31" t="inlineStr">
        <is>
          <t>Uptrend</t>
        </is>
      </c>
      <c r="BI392" s="31">
        <f>IF(BH392="Uptrend",10,IF(BH392="Sideways",5,0))</f>
        <v/>
      </c>
      <c r="BJ392" s="31" t="inlineStr">
        <is>
          <t>Close to 52 week high or retracement</t>
        </is>
      </c>
      <c r="BK392" s="31">
        <f>IF(BJ392="Overhead supply in last 2 years in last 2 years",-5,IF(BJ392="Close to 52 week high or retracement",5,IF(BJ392="Blue sky scenario",10,IF(BJ392="Long term Downtrend",-10,0))))</f>
        <v/>
      </c>
      <c r="BL392" s="31" t="inlineStr">
        <is>
          <t>Yes</t>
        </is>
      </c>
      <c r="BM392" s="31">
        <f>IF(BL392="Yes",10,0)</f>
        <v/>
      </c>
      <c r="BN392" s="31" t="inlineStr">
        <is>
          <t>More than 20%</t>
        </is>
      </c>
      <c r="BO392" s="31">
        <f>IF(BN392="More than 20%",10,IF(BN392="Between 12 to 20%",5,IF(BN392="Less than 12%",0,0)))</f>
        <v/>
      </c>
      <c r="BP392" s="31" t="inlineStr">
        <is>
          <t>No</t>
        </is>
      </c>
      <c r="BQ392" s="31">
        <f>IF(BP392="No",10,0)</f>
        <v/>
      </c>
      <c r="BR392" s="31" t="inlineStr">
        <is>
          <t>Yes</t>
        </is>
      </c>
      <c r="BS392" s="31">
        <f>IF(BR392="NO",5,0)</f>
        <v/>
      </c>
      <c r="BT392" s="31" t="inlineStr">
        <is>
          <t>Above 2</t>
        </is>
      </c>
      <c r="BU392" s="31">
        <f>IF(BT392="Above 2",0,IF(BT392="Between 1.5 to 2",5,IF(BT392="Less than 1.5",10,0)))</f>
        <v/>
      </c>
      <c r="BV392" s="31" t="inlineStr">
        <is>
          <t>Negative</t>
        </is>
      </c>
      <c r="BW392" s="31">
        <f>IF(BV392="Above 70%",10,IF(BV392="Between 50% to 70%",5,IF(BV392="Less than 50%",0,IF(BV392="Negative",-10,IF(BV392="Less than 50% and Borrowings are increasing",-5,0)))))</f>
        <v/>
      </c>
      <c r="BX392" s="31" t="inlineStr">
        <is>
          <t>Between 0.7 to 1.2</t>
        </is>
      </c>
      <c r="BY392" s="31">
        <f>IF(BX392="More than 1.2",-10,IF(BX392="Between 0.7 to 1.2",0,IF(BX392="Less than 0.7",10,0)))</f>
        <v/>
      </c>
      <c r="BZ392" s="31" t="inlineStr">
        <is>
          <t>No</t>
        </is>
      </c>
      <c r="CA392" s="31">
        <f>IF(BZ392="Yes",-10,0)</f>
        <v/>
      </c>
      <c r="CB392" s="31" t="inlineStr">
        <is>
          <t>Less than 15%</t>
        </is>
      </c>
      <c r="CC392" s="31">
        <f>IF(CB392="More than 15%",-10,IF(CB392="Less than 15%",10,0))</f>
        <v/>
      </c>
      <c r="CD392" s="31" t="inlineStr">
        <is>
          <t>No</t>
        </is>
      </c>
      <c r="CE392" s="31">
        <f>IF(CD392="Yes, more than 10%",-10,IF(CD392="No",10,0))</f>
        <v/>
      </c>
    </row>
    <row r="393">
      <c r="A393" s="31">
        <f>IF(B393=0,"",RANK(B393,$B$2:$B$407,0))</f>
        <v/>
      </c>
      <c r="B393" s="32">
        <f>SUM(N393,Y393,AA393,AC393,AE393,AG393,AI393,AK393,AM393,AO393,AQ393,AS393,AU393,AW393,AY393,BA393,BC393,BE393,BG393,BI393,BK393,BM393,BO393,BQ393,BS393,BU393,BW393,BY393,CA393,CC393,CE393)</f>
        <v/>
      </c>
      <c r="C393" s="31" t="inlineStr">
        <is>
          <t>BIL</t>
        </is>
      </c>
      <c r="D393" s="31" t="inlineStr">
        <is>
          <t>Bhartiya International Limited</t>
        </is>
      </c>
      <c r="E393" s="31" t="inlineStr">
        <is>
          <t>consumer discretionary</t>
        </is>
      </c>
      <c r="F393" s="31" t="inlineStr">
        <is>
          <t>leather / leather products</t>
        </is>
      </c>
      <c r="G393" s="31" t="inlineStr">
        <is>
          <t>smallcap</t>
        </is>
      </c>
      <c r="H393" s="32" t="n">
        <v>1008.26</v>
      </c>
      <c r="I393" s="32" t="n">
        <v>799.8</v>
      </c>
      <c r="J393" s="32" t="n">
        <v>6.38</v>
      </c>
      <c r="K393" s="32" t="n">
        <v>8617</v>
      </c>
      <c r="L393" s="31" t="n">
        <v>13</v>
      </c>
      <c r="M393" s="31" t="inlineStr">
        <is>
          <t>Outperforming</t>
        </is>
      </c>
      <c r="N393" s="32">
        <f>IF(M393="Underperforming",-5,IF(L393&gt;=95,15,IF(L393&gt;=90,10,IF(L393&gt;=80,5,0))))</f>
        <v/>
      </c>
      <c r="O393" s="32" t="n">
        <v>54.82</v>
      </c>
      <c r="P393" s="32" t="n">
        <v>13.81</v>
      </c>
      <c r="Q393" s="32" t="n">
        <v>553.21</v>
      </c>
      <c r="R393" s="31" t="inlineStr">
        <is>
          <t>Earnings / Momentum Support</t>
        </is>
      </c>
      <c r="S393" s="31" t="inlineStr">
        <is>
          <t>Nifty 50</t>
        </is>
      </c>
      <c r="T393" s="32" t="n">
        <v>-5.05</v>
      </c>
      <c r="U393" s="32" t="n">
        <v>9.41</v>
      </c>
      <c r="V393" s="32" t="n">
        <v>15.23</v>
      </c>
      <c r="W393" s="32" t="n">
        <v>4.72</v>
      </c>
      <c r="X393" s="31" t="inlineStr">
        <is>
          <t>Growing Industry</t>
        </is>
      </c>
      <c r="Y393" s="31">
        <f>IF(X393="Growing Industry",10,IF(X393="Cyclical in an Upturn",5,0))</f>
        <v/>
      </c>
      <c r="Z393" s="31" t="inlineStr">
        <is>
          <t>Too Many Players with High ROCE</t>
        </is>
      </c>
      <c r="AA393" s="31">
        <f>IF(Z393="Monopoly",10,IF(Z393="Oligopoly",5,IF(Z393="Duopoly that cooperate",10,IF(Z393="Duopoly that compete",5,IF(Z393="Too many players with High ROCE",5,0)))))</f>
        <v/>
      </c>
      <c r="AB393" s="31" t="inlineStr">
        <is>
          <t>No</t>
        </is>
      </c>
      <c r="AC393" s="31">
        <f>IF(AB393="No",5,0)</f>
        <v/>
      </c>
      <c r="AD393" s="31" t="inlineStr">
        <is>
          <t>Tailwind</t>
        </is>
      </c>
      <c r="AE393" s="31">
        <f>IF(AD393="Tailwind",10,0)</f>
        <v/>
      </c>
      <c r="AF393" s="31" t="inlineStr">
        <is>
          <t>Structural (10 Years Consistency)</t>
        </is>
      </c>
      <c r="AG393" s="31">
        <f>IF(AF393="Structural (10 Years Consistency)",10,IF(AF393="Shallow Cyclical (2 to 3 years growth)",5,0))</f>
        <v/>
      </c>
      <c r="AH393" s="31" t="inlineStr">
        <is>
          <t>No</t>
        </is>
      </c>
      <c r="AI393" s="31">
        <f>IF(AH393="Yes due to Product Mix change or Operating Leverage",10,IF(AH393="Yes, these are peak margins",-5,IF(AH393="No",5,0)))</f>
        <v/>
      </c>
      <c r="AJ393" s="31" t="inlineStr">
        <is>
          <t>Stable</t>
        </is>
      </c>
      <c r="AK393" s="31">
        <f>IF(AJ393="Stable",10,0)</f>
        <v/>
      </c>
      <c r="AL393" s="31" t="inlineStr">
        <is>
          <t>Yes</t>
        </is>
      </c>
      <c r="AM393" s="31">
        <f>IF(AL393="Yes",10,0)</f>
        <v/>
      </c>
      <c r="AN393" s="31" t="inlineStr">
        <is>
          <t>B2B</t>
        </is>
      </c>
      <c r="AO393" s="31">
        <f>IF(AN393="B2C",10,IF(AN393="B2B",5,0))</f>
        <v/>
      </c>
      <c r="AP393" s="31" t="inlineStr">
        <is>
          <t>No</t>
        </is>
      </c>
      <c r="AQ393" s="31">
        <f>IF(AP393="Yes",10,0)</f>
        <v/>
      </c>
      <c r="AR393" s="31" t="inlineStr">
        <is>
          <t>Higher One Time, Lower Annuity</t>
        </is>
      </c>
      <c r="AS393" s="31">
        <f>IF(AR393="Fully Annuity",10,IF(AR393="Higher Annuity, Lower One Time",5,IF(AR393="Higher One Time, Lower Annuity",3,0)))</f>
        <v/>
      </c>
      <c r="AT393" s="31" t="inlineStr">
        <is>
          <t>Good</t>
        </is>
      </c>
      <c r="AU393" s="31">
        <f>IF(AT393="Good",10,0)</f>
        <v/>
      </c>
      <c r="AV393" s="31" t="inlineStr">
        <is>
          <t>Yes for more than 2 years</t>
        </is>
      </c>
      <c r="AW393" s="31">
        <f>IF(AV393="Yes for more than 2 years",10,IF(AV393="Yes only for next 1 to 2 years",5,0))</f>
        <v/>
      </c>
      <c r="AX393" s="31" t="inlineStr">
        <is>
          <t>0 to 20</t>
        </is>
      </c>
      <c r="AY393" s="31">
        <f>IF(AX393="Above 40",20,IF(AX393="20 to 40",10,IF(AX393="0 to 20",-5,0)))</f>
        <v/>
      </c>
      <c r="AZ393" s="31" t="inlineStr">
        <is>
          <t>Between 50 to 75</t>
        </is>
      </c>
      <c r="BA393" s="31">
        <f>IF(AZ393="Between 50 to 75",10,IF(AZ393="Above 75",0,0))</f>
        <v/>
      </c>
      <c r="BB393" s="31" t="inlineStr">
        <is>
          <t>Stage 1</t>
        </is>
      </c>
      <c r="BC393" s="31">
        <f>IF(BB393="Stage 2",20,IF(BB393="Stage 1",0,IF(BB393="Stage 3",5,IF(BB393="Stage 4",-5,0))))</f>
        <v/>
      </c>
      <c r="BD393" s="31" t="inlineStr">
        <is>
          <t>Positive Trend</t>
        </is>
      </c>
      <c r="BE393" s="31">
        <f>IF(BD393="Positive Trend",20,IF(BD393="Negative Trend",-10,0))</f>
        <v/>
      </c>
      <c r="BF393" s="31" t="inlineStr">
        <is>
          <t>Uptrend</t>
        </is>
      </c>
      <c r="BG393" s="31">
        <f>IF(BF393="Uptrend",10,IF(BF393="Sideways",5,0))</f>
        <v/>
      </c>
      <c r="BH393" s="31" t="inlineStr">
        <is>
          <t>Uptrend</t>
        </is>
      </c>
      <c r="BI393" s="31">
        <f>IF(BH393="Uptrend",10,IF(BH393="Sideways",5,0))</f>
        <v/>
      </c>
      <c r="BJ393" s="31" t="inlineStr">
        <is>
          <t>Close to 52 week high or retracement</t>
        </is>
      </c>
      <c r="BK393" s="31">
        <f>IF(BJ393="Overhead supply in last 2 years in last 2 years",-5,IF(BJ393="Close to 52 week high or retracement",5,IF(BJ393="Blue sky scenario",10,IF(BJ393="Long term Downtrend",-10,0))))</f>
        <v/>
      </c>
      <c r="BL393" s="31" t="inlineStr">
        <is>
          <t>Yes</t>
        </is>
      </c>
      <c r="BM393" s="31">
        <f>IF(BL393="Yes",10,0)</f>
        <v/>
      </c>
      <c r="BN393" s="31" t="inlineStr">
        <is>
          <t>More than 20%</t>
        </is>
      </c>
      <c r="BO393" s="31">
        <f>IF(BN393="More than 20%",10,IF(BN393="Between 12 to 20%",5,IF(BN393="Less than 12%",0,0)))</f>
        <v/>
      </c>
      <c r="BP393" s="31" t="inlineStr">
        <is>
          <t>No</t>
        </is>
      </c>
      <c r="BQ393" s="31">
        <f>IF(BP393="No",10,0)</f>
        <v/>
      </c>
      <c r="BR393" s="31" t="inlineStr">
        <is>
          <t>Yes</t>
        </is>
      </c>
      <c r="BS393" s="31">
        <f>IF(BR393="NO",5,0)</f>
        <v/>
      </c>
      <c r="BT393" s="31" t="inlineStr">
        <is>
          <t>Above 2</t>
        </is>
      </c>
      <c r="BU393" s="31">
        <f>IF(BT393="Above 2",0,IF(BT393="Between 1.5 to 2",5,IF(BT393="Less than 1.5",10,0)))</f>
        <v/>
      </c>
      <c r="BV393" s="31" t="inlineStr">
        <is>
          <t>Less than 50% and Borrowings are increasing</t>
        </is>
      </c>
      <c r="BW393" s="31">
        <f>IF(BV393="Above 70%",10,IF(BV393="Between 50% to 70%",5,IF(BV393="Less than 50%",0,IF(BV393="Negative",-10,IF(BV393="Less than 50% and Borrowings are increasing",-5,0)))))</f>
        <v/>
      </c>
      <c r="BX393" s="31" t="inlineStr">
        <is>
          <t>Between 0.7 to 1.2</t>
        </is>
      </c>
      <c r="BY393" s="31">
        <f>IF(BX393="More than 1.2",-10,IF(BX393="Between 0.7 to 1.2",0,IF(BX393="Less than 0.7",10,0)))</f>
        <v/>
      </c>
      <c r="BZ393" s="31" t="inlineStr">
        <is>
          <t>No</t>
        </is>
      </c>
      <c r="CA393" s="31">
        <f>IF(BZ393="Yes",-10,0)</f>
        <v/>
      </c>
      <c r="CB393" s="31" t="inlineStr">
        <is>
          <t>Less than 15%</t>
        </is>
      </c>
      <c r="CC393" s="31">
        <f>IF(CB393="More than 15%",-10,IF(CB393="Less than 15%",10,0))</f>
        <v/>
      </c>
      <c r="CD393" s="31" t="inlineStr">
        <is>
          <t>No</t>
        </is>
      </c>
      <c r="CE393" s="31">
        <f>IF(CD393="Yes, more than 10%",-10,IF(CD393="No",10,0))</f>
        <v/>
      </c>
    </row>
    <row r="394">
      <c r="A394" s="31">
        <f>IF(B394=0,"",RANK(B394,$B$2:$B$407,0))</f>
        <v/>
      </c>
      <c r="B394" s="32">
        <f>SUM(N394,Y394,AA394,AC394,AE394,AG394,AI394,AK394,AM394,AO394,AQ394,AS394,AU394,AW394,AY394,BA394,BC394,BE394,BG394,BI394,BK394,BM394,BO394,BQ394,BS394,BU394,BW394,BY394,CA394,CC394,CE394)</f>
        <v/>
      </c>
      <c r="C394" s="33" t="inlineStr">
        <is>
          <t>SHREECEM</t>
        </is>
      </c>
      <c r="D394" s="33" t="inlineStr">
        <is>
          <t>Shree Cements Limited</t>
        </is>
      </c>
      <c r="E394" s="31" t="inlineStr">
        <is>
          <t>building materials</t>
        </is>
      </c>
      <c r="F394" s="31" t="inlineStr">
        <is>
          <t>cement - north india</t>
        </is>
      </c>
      <c r="G394" s="31" t="inlineStr">
        <is>
          <t>largecap</t>
        </is>
      </c>
      <c r="H394" s="32" t="n">
        <v>93521.3</v>
      </c>
      <c r="I394" s="32" t="n">
        <v>26260</v>
      </c>
      <c r="J394" s="32" t="n">
        <v>1.31</v>
      </c>
      <c r="K394" s="32" t="n">
        <v>10263</v>
      </c>
      <c r="L394" s="31" t="n">
        <v>1</v>
      </c>
      <c r="M394" s="31" t="inlineStr">
        <is>
          <t>Underperforming</t>
        </is>
      </c>
      <c r="N394" s="32">
        <f>IF(M394="Underperforming",-5,IF(L394&gt;=95,15,IF(L394&gt;=90,10,IF(L394&gt;=80,5,0))))</f>
        <v/>
      </c>
      <c r="O394" s="32" t="n">
        <v>54.23</v>
      </c>
      <c r="P394" s="32" t="n">
        <v>19.03</v>
      </c>
      <c r="Q394" s="32" t="n">
        <v>22375.64</v>
      </c>
      <c r="R394" s="31" t="inlineStr">
        <is>
          <t>Earnings / Momentum Support</t>
        </is>
      </c>
      <c r="S394" s="31" t="inlineStr">
        <is>
          <t>Nifty Infra</t>
        </is>
      </c>
      <c r="T394" s="32" t="n">
        <v>0.23</v>
      </c>
      <c r="U394" s="32" t="n">
        <v>-15.87</v>
      </c>
      <c r="V394" s="32" t="n">
        <v>-16.06</v>
      </c>
      <c r="W394" s="32" t="n">
        <v>-0.28</v>
      </c>
      <c r="X394" s="31" t="inlineStr">
        <is>
          <t>Growing Industry</t>
        </is>
      </c>
      <c r="Y394" s="31">
        <f>IF(X394="Growing Industry",10,IF(X394="Cyclical in an Upturn",5,0))</f>
        <v/>
      </c>
      <c r="Z394" s="31" t="inlineStr">
        <is>
          <t>Too Many Players with High ROCE</t>
        </is>
      </c>
      <c r="AA394" s="31">
        <f>IF(Z394="Monopoly",10,IF(Z394="Oligopoly",5,IF(Z394="Duopoly that cooperate",10,IF(Z394="Duopoly that compete",5,IF(Z394="Too many players with High ROCE",5,0)))))</f>
        <v/>
      </c>
      <c r="AB394" s="31" t="inlineStr">
        <is>
          <t>No</t>
        </is>
      </c>
      <c r="AC394" s="31">
        <f>IF(AB394="No",5,0)</f>
        <v/>
      </c>
      <c r="AD394" s="31" t="inlineStr">
        <is>
          <t>Headwind</t>
        </is>
      </c>
      <c r="AE394" s="31">
        <f>IF(AD394="Tailwind",10,0)</f>
        <v/>
      </c>
      <c r="AF394" s="31" t="inlineStr">
        <is>
          <t>Structural (10 Years Consistency)</t>
        </is>
      </c>
      <c r="AG394" s="31">
        <f>IF(AF394="Structural (10 Years Consistency)",10,IF(AF394="Shallow Cyclical (2 to 3 years growth)",5,0))</f>
        <v/>
      </c>
      <c r="AH394" s="31" t="inlineStr">
        <is>
          <t>No</t>
        </is>
      </c>
      <c r="AI394" s="31">
        <f>IF(AH394="Yes due to Product Mix change or Operating Leverage",10,IF(AH394="Yes, these are peak margins",-5,IF(AH394="No",5,0)))</f>
        <v/>
      </c>
      <c r="AJ394" s="31" t="inlineStr">
        <is>
          <t>Stable</t>
        </is>
      </c>
      <c r="AK394" s="31">
        <f>IF(AJ394="Stable",10,0)</f>
        <v/>
      </c>
      <c r="AL394" s="31" t="inlineStr">
        <is>
          <t>Yes</t>
        </is>
      </c>
      <c r="AM394" s="31">
        <f>IF(AL394="Yes",10,0)</f>
        <v/>
      </c>
      <c r="AN394" s="31" t="inlineStr">
        <is>
          <t>B2B</t>
        </is>
      </c>
      <c r="AO394" s="31">
        <f>IF(AN394="B2C",10,IF(AN394="B2B",5,0))</f>
        <v/>
      </c>
      <c r="AP394" s="31" t="inlineStr">
        <is>
          <t>No</t>
        </is>
      </c>
      <c r="AQ394" s="31">
        <f>IF(AP394="Yes",10,0)</f>
        <v/>
      </c>
      <c r="AR394" s="31" t="inlineStr">
        <is>
          <t>Higher One Time, Lower Annuity</t>
        </is>
      </c>
      <c r="AS394" s="31">
        <f>IF(AR394="Fully Annuity",10,IF(AR394="Higher Annuity, Lower One Time",5,IF(AR394="Higher One Time, Lower Annuity",3,0)))</f>
        <v/>
      </c>
      <c r="AT394" s="31" t="inlineStr">
        <is>
          <t>Good</t>
        </is>
      </c>
      <c r="AU394" s="31">
        <f>IF(AT394="Good",10,0)</f>
        <v/>
      </c>
      <c r="AV394" s="31" t="inlineStr">
        <is>
          <t>Yes for more than 2 years</t>
        </is>
      </c>
      <c r="AW394" s="31">
        <f>IF(AV394="Yes for more than 2 years",10,IF(AV394="Yes only for next 1 to 2 years",5,0))</f>
        <v/>
      </c>
      <c r="AX394" s="31" t="inlineStr">
        <is>
          <t>0 to 20</t>
        </is>
      </c>
      <c r="AY394" s="31">
        <f>IF(AX394="Above 40",20,IF(AX394="20 to 40",10,IF(AX394="0 to 20",-5,0)))</f>
        <v/>
      </c>
      <c r="AZ394" s="31" t="inlineStr">
        <is>
          <t>Between 50 to 75</t>
        </is>
      </c>
      <c r="BA394" s="31">
        <f>IF(AZ394="Between 50 to 75",10,IF(AZ394="Above 75",0,0))</f>
        <v/>
      </c>
      <c r="BB394" s="31" t="inlineStr">
        <is>
          <t>Stage 1</t>
        </is>
      </c>
      <c r="BC394" s="31">
        <f>IF(BB394="Stage 2",20,IF(BB394="Stage 1",0,IF(BB394="Stage 3",5,IF(BB394="Stage 4",-5,0))))</f>
        <v/>
      </c>
      <c r="BD394" s="31" t="inlineStr">
        <is>
          <t>Positive Trend</t>
        </is>
      </c>
      <c r="BE394" s="31">
        <f>IF(BD394="Positive Trend",20,IF(BD394="Negative Trend",-10,0))</f>
        <v/>
      </c>
      <c r="BF394" s="31" t="inlineStr">
        <is>
          <t>Uptrend</t>
        </is>
      </c>
      <c r="BG394" s="31">
        <f>IF(BF394="Uptrend",10,IF(BF394="Sideways",5,0))</f>
        <v/>
      </c>
      <c r="BH394" s="31" t="inlineStr">
        <is>
          <t>Uptrend</t>
        </is>
      </c>
      <c r="BI394" s="31">
        <f>IF(BH394="Uptrend",10,IF(BH394="Sideways",5,0))</f>
        <v/>
      </c>
      <c r="BJ394" s="31" t="inlineStr">
        <is>
          <t>Close to 52 week high or retracement</t>
        </is>
      </c>
      <c r="BK394" s="31">
        <f>IF(BJ394="Overhead supply in last 2 years in last 2 years",-5,IF(BJ394="Close to 52 week high or retracement",5,IF(BJ394="Blue sky scenario",10,IF(BJ394="Long term Downtrend",-10,0))))</f>
        <v/>
      </c>
      <c r="BL394" s="31" t="inlineStr">
        <is>
          <t>Yes</t>
        </is>
      </c>
      <c r="BM394" s="31">
        <f>IF(BL394="Yes",10,0)</f>
        <v/>
      </c>
      <c r="BN394" s="31" t="inlineStr">
        <is>
          <t>Less than 12%</t>
        </is>
      </c>
      <c r="BO394" s="31">
        <f>IF(BN394="More than 20%",10,IF(BN394="Between 12 to 20%",5,IF(BN394="Less than 12%",0,0)))</f>
        <v/>
      </c>
      <c r="BP394" s="31" t="inlineStr">
        <is>
          <t>No</t>
        </is>
      </c>
      <c r="BQ394" s="31">
        <f>IF(BP394="No",10,0)</f>
        <v/>
      </c>
      <c r="BR394" s="31" t="inlineStr">
        <is>
          <t>Yes</t>
        </is>
      </c>
      <c r="BS394" s="31">
        <f>IF(BR394="NO",5,0)</f>
        <v/>
      </c>
      <c r="BT394" s="31" t="inlineStr">
        <is>
          <t>Above 2</t>
        </is>
      </c>
      <c r="BU394" s="31">
        <f>IF(BT394="Above 2",0,IF(BT394="Between 1.5 to 2",5,IF(BT394="Less than 1.5",10,0)))</f>
        <v/>
      </c>
      <c r="BV394" s="31" t="inlineStr">
        <is>
          <t>Above 70%</t>
        </is>
      </c>
      <c r="BW394" s="31">
        <f>IF(BV394="Above 70%",10,IF(BV394="Between 50% to 70%",5,IF(BV394="Less than 50%",0,IF(BV394="Negative",-10,IF(BV394="Less than 50% and Borrowings are increasing",-5,0)))))</f>
        <v/>
      </c>
      <c r="BX394" s="31" t="inlineStr">
        <is>
          <t>Less than 0.7</t>
        </is>
      </c>
      <c r="BY394" s="31">
        <f>IF(BX394="More than 1.2",-10,IF(BX394="Between 0.7 to 1.2",0,IF(BX394="Less than 0.7",10,0)))</f>
        <v/>
      </c>
      <c r="BZ394" s="31" t="inlineStr">
        <is>
          <t>No</t>
        </is>
      </c>
      <c r="CA394" s="31">
        <f>IF(BZ394="Yes",-10,0)</f>
        <v/>
      </c>
      <c r="CB394" s="31" t="inlineStr">
        <is>
          <t>Less than 15%</t>
        </is>
      </c>
      <c r="CC394" s="31">
        <f>IF(CB394="More than 15%",-10,IF(CB394="Less than 15%",10,0))</f>
        <v/>
      </c>
      <c r="CD394" s="31" t="inlineStr">
        <is>
          <t>No</t>
        </is>
      </c>
      <c r="CE394" s="31">
        <f>IF(CD394="Yes, more than 10%",-10,IF(CD394="No",10,0))</f>
        <v/>
      </c>
    </row>
    <row r="395">
      <c r="A395" s="31">
        <f>IF(B395=0,"",RANK(B395,$B$2:$B$407,0))</f>
        <v/>
      </c>
      <c r="B395" s="32">
        <f>SUM(N395,Y395,AA395,AC395,AE395,AG395,AI395,AK395,AM395,AO395,AQ395,AS395,AU395,AW395,AY395,BA395,BC395,BE395,BG395,BI395,BK395,BM395,BO395,BQ395,BS395,BU395,BW395,BY395,CA395,CC395,CE395)</f>
        <v/>
      </c>
      <c r="C395" s="31" t="inlineStr">
        <is>
          <t>ARVINDFASN</t>
        </is>
      </c>
      <c r="D395" s="31" t="inlineStr">
        <is>
          <t>Arvind Fashions Ltd</t>
        </is>
      </c>
      <c r="E395" s="31" t="inlineStr">
        <is>
          <t>consumer discretionary</t>
        </is>
      </c>
      <c r="F395" s="31" t="inlineStr">
        <is>
          <t>trading</t>
        </is>
      </c>
      <c r="G395" s="31" t="inlineStr">
        <is>
          <t>midcap</t>
        </is>
      </c>
      <c r="H395" s="32" t="n">
        <v>6285.13</v>
      </c>
      <c r="I395" s="32" t="n">
        <v>475</v>
      </c>
      <c r="J395" s="32" t="n">
        <v>1.01</v>
      </c>
      <c r="K395" s="32" t="n">
        <v>245355</v>
      </c>
      <c r="L395" s="31" t="n">
        <v>8</v>
      </c>
      <c r="M395" s="31" t="inlineStr">
        <is>
          <t>Outperforming</t>
        </is>
      </c>
      <c r="N395" s="32">
        <f>IF(M395="Underperforming",-5,IF(L395&gt;=95,15,IF(L395&gt;=90,10,IF(L395&gt;=80,5,0))))</f>
        <v/>
      </c>
      <c r="O395" s="32" t="n">
        <v>52.64</v>
      </c>
      <c r="P395" s="32" t="n">
        <v>8.31</v>
      </c>
      <c r="Q395" s="32" t="n">
        <v>368.99</v>
      </c>
      <c r="R395" s="31" t="inlineStr">
        <is>
          <t>Earnings / Momentum Support</t>
        </is>
      </c>
      <c r="S395" s="31" t="inlineStr">
        <is>
          <t>Nifty 50</t>
        </is>
      </c>
      <c r="T395" s="32" t="n">
        <v>-5.05</v>
      </c>
      <c r="U395" s="32" t="n">
        <v>5.55</v>
      </c>
      <c r="V395" s="32" t="n">
        <v>11.16</v>
      </c>
      <c r="W395" s="32" t="n">
        <v>3.43</v>
      </c>
      <c r="X395" s="31" t="inlineStr">
        <is>
          <t>Growing Industry</t>
        </is>
      </c>
      <c r="Y395" s="31">
        <f>IF(X395="Growing Industry",10,IF(X395="Cyclical in an Upturn",5,0))</f>
        <v/>
      </c>
      <c r="Z395" s="31" t="inlineStr">
        <is>
          <t>Too Many Players with High ROCE</t>
        </is>
      </c>
      <c r="AA395" s="31">
        <f>IF(Z395="Monopoly",10,IF(Z395="Oligopoly",5,IF(Z395="Duopoly that cooperate",10,IF(Z395="Duopoly that compete",5,IF(Z395="Too many players with High ROCE",5,0)))))</f>
        <v/>
      </c>
      <c r="AB395" s="31" t="inlineStr">
        <is>
          <t>No</t>
        </is>
      </c>
      <c r="AC395" s="31">
        <f>IF(AB395="No",5,0)</f>
        <v/>
      </c>
      <c r="AD395" s="31" t="inlineStr">
        <is>
          <t>Headwind</t>
        </is>
      </c>
      <c r="AE395" s="31">
        <f>IF(AD395="Tailwind",10,0)</f>
        <v/>
      </c>
      <c r="AF395" s="31" t="inlineStr">
        <is>
          <t>Structural (10 Years Consistency)</t>
        </is>
      </c>
      <c r="AG395" s="31">
        <f>IF(AF395="Structural (10 Years Consistency)",10,IF(AF395="Shallow Cyclical (2 to 3 years growth)",5,0))</f>
        <v/>
      </c>
      <c r="AH395" s="31" t="inlineStr">
        <is>
          <t>No</t>
        </is>
      </c>
      <c r="AI395" s="31">
        <f>IF(AH395="Yes due to Product Mix change or Operating Leverage",10,IF(AH395="Yes, these are peak margins",-5,IF(AH395="No",5,0)))</f>
        <v/>
      </c>
      <c r="AJ395" s="31" t="inlineStr">
        <is>
          <t>Stable</t>
        </is>
      </c>
      <c r="AK395" s="31">
        <f>IF(AJ395="Stable",10,0)</f>
        <v/>
      </c>
      <c r="AL395" s="31" t="inlineStr">
        <is>
          <t>Yes</t>
        </is>
      </c>
      <c r="AM395" s="31">
        <f>IF(AL395="Yes",10,0)</f>
        <v/>
      </c>
      <c r="AN395" s="31" t="inlineStr">
        <is>
          <t>B2B</t>
        </is>
      </c>
      <c r="AO395" s="31">
        <f>IF(AN395="B2C",10,IF(AN395="B2B",5,0))</f>
        <v/>
      </c>
      <c r="AP395" s="31" t="inlineStr">
        <is>
          <t>No</t>
        </is>
      </c>
      <c r="AQ395" s="31">
        <f>IF(AP395="Yes",10,0)</f>
        <v/>
      </c>
      <c r="AR395" s="31" t="inlineStr">
        <is>
          <t>Higher One Time, Lower Annuity</t>
        </is>
      </c>
      <c r="AS395" s="31">
        <f>IF(AR395="Fully Annuity",10,IF(AR395="Higher Annuity, Lower One Time",5,IF(AR395="Higher One Time, Lower Annuity",3,0)))</f>
        <v/>
      </c>
      <c r="AT395" s="31" t="inlineStr">
        <is>
          <t>Good</t>
        </is>
      </c>
      <c r="AU395" s="31">
        <f>IF(AT395="Good",10,0)</f>
        <v/>
      </c>
      <c r="AV395" s="31" t="inlineStr">
        <is>
          <t>Yes for more than 2 years</t>
        </is>
      </c>
      <c r="AW395" s="31">
        <f>IF(AV395="Yes for more than 2 years",10,IF(AV395="Yes only for next 1 to 2 years",5,0))</f>
        <v/>
      </c>
      <c r="AX395" s="31" t="inlineStr">
        <is>
          <t>0 to 20</t>
        </is>
      </c>
      <c r="AY395" s="31">
        <f>IF(AX395="Above 40",20,IF(AX395="20 to 40",10,IF(AX395="0 to 20",-5,0)))</f>
        <v/>
      </c>
      <c r="AZ395" s="31" t="inlineStr">
        <is>
          <t>Between 50 to 75</t>
        </is>
      </c>
      <c r="BA395" s="31">
        <f>IF(AZ395="Between 50 to 75",10,IF(AZ395="Above 75",0,0))</f>
        <v/>
      </c>
      <c r="BB395" s="31" t="inlineStr">
        <is>
          <t>Stage 1</t>
        </is>
      </c>
      <c r="BC395" s="31">
        <f>IF(BB395="Stage 2",20,IF(BB395="Stage 1",0,IF(BB395="Stage 3",5,IF(BB395="Stage 4",-5,0))))</f>
        <v/>
      </c>
      <c r="BD395" s="31" t="inlineStr">
        <is>
          <t>Positive Trend</t>
        </is>
      </c>
      <c r="BE395" s="31">
        <f>IF(BD395="Positive Trend",20,IF(BD395="Negative Trend",-10,0))</f>
        <v/>
      </c>
      <c r="BF395" s="31" t="inlineStr">
        <is>
          <t>Uptrend</t>
        </is>
      </c>
      <c r="BG395" s="31">
        <f>IF(BF395="Uptrend",10,IF(BF395="Sideways",5,0))</f>
        <v/>
      </c>
      <c r="BH395" s="31" t="inlineStr">
        <is>
          <t>Uptrend</t>
        </is>
      </c>
      <c r="BI395" s="31">
        <f>IF(BH395="Uptrend",10,IF(BH395="Sideways",5,0))</f>
        <v/>
      </c>
      <c r="BJ395" s="31" t="inlineStr">
        <is>
          <t>Close to 52 week high or retracement</t>
        </is>
      </c>
      <c r="BK395" s="31">
        <f>IF(BJ395="Overhead supply in last 2 years in last 2 years",-5,IF(BJ395="Close to 52 week high or retracement",5,IF(BJ395="Blue sky scenario",10,IF(BJ395="Long term Downtrend",-10,0))))</f>
        <v/>
      </c>
      <c r="BL395" s="31" t="inlineStr">
        <is>
          <t>Yes</t>
        </is>
      </c>
      <c r="BM395" s="31">
        <f>IF(BL395="Yes",10,0)</f>
        <v/>
      </c>
      <c r="BN395" s="31" t="inlineStr">
        <is>
          <t>More than 20%</t>
        </is>
      </c>
      <c r="BO395" s="31">
        <f>IF(BN395="More than 20%",10,IF(BN395="Between 12 to 20%",5,IF(BN395="Less than 12%",0,0)))</f>
        <v/>
      </c>
      <c r="BP395" s="31" t="inlineStr">
        <is>
          <t>No</t>
        </is>
      </c>
      <c r="BQ395" s="31">
        <f>IF(BP395="No",10,0)</f>
        <v/>
      </c>
      <c r="BR395" s="31" t="inlineStr">
        <is>
          <t>Yes</t>
        </is>
      </c>
      <c r="BS395" s="31">
        <f>IF(BR395="NO",5,0)</f>
        <v/>
      </c>
      <c r="BT395" s="31" t="inlineStr">
        <is>
          <t>Above 2</t>
        </is>
      </c>
      <c r="BU395" s="31">
        <f>IF(BT395="Above 2",0,IF(BT395="Between 1.5 to 2",5,IF(BT395="Less than 1.5",10,0)))</f>
        <v/>
      </c>
      <c r="BV395" s="31" t="inlineStr">
        <is>
          <t>Between 50% to 70%</t>
        </is>
      </c>
      <c r="BW395" s="31">
        <f>IF(BV395="Above 70%",10,IF(BV395="Between 50% to 70%",5,IF(BV395="Less than 50%",0,IF(BV395="Negative",-10,IF(BV395="Less than 50% and Borrowings are increasing",-5,0)))))</f>
        <v/>
      </c>
      <c r="BX395" s="31" t="inlineStr">
        <is>
          <t>Between 0.7 to 1.2</t>
        </is>
      </c>
      <c r="BY395" s="31">
        <f>IF(BX395="More than 1.2",-10,IF(BX395="Between 0.7 to 1.2",0,IF(BX395="Less than 0.7",10,0)))</f>
        <v/>
      </c>
      <c r="BZ395" s="31" t="inlineStr">
        <is>
          <t>No</t>
        </is>
      </c>
      <c r="CA395" s="31">
        <f>IF(BZ395="Yes",-10,0)</f>
        <v/>
      </c>
      <c r="CB395" s="31" t="inlineStr">
        <is>
          <t>Less than 15%</t>
        </is>
      </c>
      <c r="CC395" s="31">
        <f>IF(CB395="More than 15%",-10,IF(CB395="Less than 15%",10,0))</f>
        <v/>
      </c>
      <c r="CD395" s="31" t="inlineStr">
        <is>
          <t>No</t>
        </is>
      </c>
      <c r="CE395" s="31">
        <f>IF(CD395="Yes, more than 10%",-10,IF(CD395="No",10,0))</f>
        <v/>
      </c>
    </row>
    <row r="396">
      <c r="A396" s="31">
        <f>IF(B396=0,"",RANK(B396,$B$2:$B$407,0))</f>
        <v/>
      </c>
      <c r="B396" s="32">
        <f>SUM(N396,Y396,AA396,AC396,AE396,AG396,AI396,AK396,AM396,AO396,AQ396,AS396,AU396,AW396,AY396,BA396,BC396,BE396,BG396,BI396,BK396,BM396,BO396,BQ396,BS396,BU396,BW396,BY396,CA396,CC396,CE396)</f>
        <v/>
      </c>
      <c r="C396" s="31" t="inlineStr">
        <is>
          <t>ATGL</t>
        </is>
      </c>
      <c r="D396" s="31" t="inlineStr">
        <is>
          <t>Adani Total Gas Ltd</t>
        </is>
      </c>
      <c r="E396" s="31" t="inlineStr">
        <is>
          <t>energy</t>
        </is>
      </c>
      <c r="F396" s="31" t="inlineStr">
        <is>
          <t>miscellaneous</t>
        </is>
      </c>
      <c r="G396" s="31" t="inlineStr">
        <is>
          <t>largecap</t>
        </is>
      </c>
      <c r="H396" s="32" t="n">
        <v>80726.06</v>
      </c>
      <c r="I396" s="32" t="n">
        <v>733.45</v>
      </c>
      <c r="J396" s="32" t="n">
        <v>-0.07000000000000001</v>
      </c>
      <c r="K396" s="32" t="n">
        <v>1764349</v>
      </c>
      <c r="L396" s="31" t="n">
        <v>46</v>
      </c>
      <c r="M396" s="31" t="inlineStr">
        <is>
          <t>Outperforming</t>
        </is>
      </c>
      <c r="N396" s="32">
        <f>IF(M396="Underperforming",-5,IF(L396&gt;=95,15,IF(L396&gt;=90,10,IF(L396&gt;=80,5,0))))</f>
        <v/>
      </c>
      <c r="O396" s="32" t="n">
        <v>64.78</v>
      </c>
      <c r="P396" s="32" t="n">
        <v>52.49</v>
      </c>
      <c r="Q396" s="32" t="n">
        <v>585.96</v>
      </c>
      <c r="R396" s="31" t="inlineStr">
        <is>
          <t>Earnings / Momentum Support</t>
        </is>
      </c>
      <c r="S396" s="31" t="inlineStr">
        <is>
          <t>Nifty Energy</t>
        </is>
      </c>
      <c r="T396" s="32" t="n">
        <v>8.76</v>
      </c>
      <c r="U396" s="32" t="n">
        <v>11.15</v>
      </c>
      <c r="V396" s="32" t="n">
        <v>2.2</v>
      </c>
      <c r="W396" s="32" t="n">
        <v>11.88</v>
      </c>
      <c r="X396" s="31" t="inlineStr">
        <is>
          <t>Cyclical in an Upturn</t>
        </is>
      </c>
      <c r="Y396" s="31">
        <f>IF(X396="Growing Industry",10,IF(X396="Cyclical in an Upturn",5,0))</f>
        <v/>
      </c>
      <c r="Z396" s="31" t="inlineStr">
        <is>
          <t>Oligopoly</t>
        </is>
      </c>
      <c r="AA396" s="31">
        <f>IF(Z396="Monopoly",10,IF(Z396="Oligopoly",5,IF(Z396="Duopoly that cooperate",10,IF(Z396="Duopoly that compete",5,IF(Z396="Too many players with High ROCE",5,0)))))</f>
        <v/>
      </c>
      <c r="AB396" s="31" t="inlineStr">
        <is>
          <t>Yes</t>
        </is>
      </c>
      <c r="AC396" s="31">
        <f>IF(AB396="No",5,0)</f>
        <v/>
      </c>
      <c r="AD396" s="31" t="inlineStr">
        <is>
          <t>Tailwind</t>
        </is>
      </c>
      <c r="AE396" s="31">
        <f>IF(AD396="Tailwind",10,0)</f>
        <v/>
      </c>
      <c r="AF396" s="31" t="inlineStr">
        <is>
          <t>Cyclical</t>
        </is>
      </c>
      <c r="AG396" s="31">
        <f>IF(AF396="Structural (10 Years Consistency)",10,IF(AF396="Shallow Cyclical (2 to 3 years growth)",5,0))</f>
        <v/>
      </c>
      <c r="AH396" s="31" t="inlineStr">
        <is>
          <t>No</t>
        </is>
      </c>
      <c r="AI396" s="31">
        <f>IF(AH396="Yes due to Product Mix change or Operating Leverage",10,IF(AH396="Yes, these are peak margins",-5,IF(AH396="No",5,0)))</f>
        <v/>
      </c>
      <c r="AJ396" s="31" t="inlineStr">
        <is>
          <t>Volatile</t>
        </is>
      </c>
      <c r="AK396" s="31">
        <f>IF(AJ396="Stable",10,0)</f>
        <v/>
      </c>
      <c r="AL396" s="31" t="inlineStr">
        <is>
          <t>Yes</t>
        </is>
      </c>
      <c r="AM396" s="31">
        <f>IF(AL396="Yes",10,0)</f>
        <v/>
      </c>
      <c r="AN396" s="31" t="inlineStr">
        <is>
          <t>B2B</t>
        </is>
      </c>
      <c r="AO396" s="31">
        <f>IF(AN396="B2C",10,IF(AN396="B2B",5,0))</f>
        <v/>
      </c>
      <c r="AP396" s="31" t="inlineStr">
        <is>
          <t>No</t>
        </is>
      </c>
      <c r="AQ396" s="31">
        <f>IF(AP396="Yes",10,0)</f>
        <v/>
      </c>
      <c r="AR396" s="31" t="inlineStr">
        <is>
          <t>Higher One Time, Lower Annuity</t>
        </is>
      </c>
      <c r="AS396" s="31">
        <f>IF(AR396="Fully Annuity",10,IF(AR396="Higher Annuity, Lower One Time",5,IF(AR396="Higher One Time, Lower Annuity",3,0)))</f>
        <v/>
      </c>
      <c r="AT396" s="31" t="inlineStr">
        <is>
          <t>Good</t>
        </is>
      </c>
      <c r="AU396" s="31">
        <f>IF(AT396="Good",10,0)</f>
        <v/>
      </c>
      <c r="AV396" s="31" t="inlineStr">
        <is>
          <t>Yes for more than 2 years</t>
        </is>
      </c>
      <c r="AW396" s="31">
        <f>IF(AV396="Yes for more than 2 years",10,IF(AV396="Yes only for next 1 to 2 years",5,0))</f>
        <v/>
      </c>
      <c r="AX396" s="31" t="inlineStr">
        <is>
          <t>Above 40</t>
        </is>
      </c>
      <c r="AY396" s="31">
        <f>IF(AX396="Above 40",20,IF(AX396="20 to 40",10,IF(AX396="0 to 20",-5,0)))</f>
        <v/>
      </c>
      <c r="AZ396" s="31" t="inlineStr">
        <is>
          <t>Between 50 to 75</t>
        </is>
      </c>
      <c r="BA396" s="31">
        <f>IF(AZ396="Between 50 to 75",10,IF(AZ396="Above 75",0,0))</f>
        <v/>
      </c>
      <c r="BB396" s="31" t="inlineStr">
        <is>
          <t>Stage 2</t>
        </is>
      </c>
      <c r="BC396" s="31">
        <f>IF(BB396="Stage 2",20,IF(BB396="Stage 1",0,IF(BB396="Stage 3",5,IF(BB396="Stage 4",-5,0))))</f>
        <v/>
      </c>
      <c r="BD396" s="31" t="inlineStr">
        <is>
          <t>Negative Trend</t>
        </is>
      </c>
      <c r="BE396" s="31">
        <f>IF(BD396="Positive Trend",20,IF(BD396="Negative Trend",-10,0))</f>
        <v/>
      </c>
      <c r="BF396" s="31" t="inlineStr">
        <is>
          <t>Uptrend</t>
        </is>
      </c>
      <c r="BG396" s="31">
        <f>IF(BF396="Uptrend",10,IF(BF396="Sideways",5,0))</f>
        <v/>
      </c>
      <c r="BH396" s="31" t="inlineStr">
        <is>
          <t>Uptrend</t>
        </is>
      </c>
      <c r="BI396" s="31">
        <f>IF(BH396="Uptrend",10,IF(BH396="Sideways",5,0))</f>
        <v/>
      </c>
      <c r="BJ396" s="31" t="inlineStr">
        <is>
          <t>Close to 52 week high or retracement</t>
        </is>
      </c>
      <c r="BK396" s="31">
        <f>IF(BJ396="Overhead supply in last 2 years in last 2 years",-5,IF(BJ396="Close to 52 week high or retracement",5,IF(BJ396="Blue sky scenario",10,IF(BJ396="Long term Downtrend",-10,0))))</f>
        <v/>
      </c>
      <c r="BL396" s="31" t="inlineStr">
        <is>
          <t>Yes</t>
        </is>
      </c>
      <c r="BM396" s="31">
        <f>IF(BL396="Yes",10,0)</f>
        <v/>
      </c>
      <c r="BN396" s="31" t="inlineStr">
        <is>
          <t>Less than 12%</t>
        </is>
      </c>
      <c r="BO396" s="31">
        <f>IF(BN396="More than 20%",10,IF(BN396="Between 12 to 20%",5,IF(BN396="Less than 12%",0,0)))</f>
        <v/>
      </c>
      <c r="BP396" s="31" t="inlineStr">
        <is>
          <t>No</t>
        </is>
      </c>
      <c r="BQ396" s="31">
        <f>IF(BP396="No",10,0)</f>
        <v/>
      </c>
      <c r="BR396" s="31" t="inlineStr">
        <is>
          <t>Yes</t>
        </is>
      </c>
      <c r="BS396" s="31">
        <f>IF(BR396="NO",5,0)</f>
        <v/>
      </c>
      <c r="BT396" s="31" t="inlineStr">
        <is>
          <t>Above 2</t>
        </is>
      </c>
      <c r="BU396" s="31">
        <f>IF(BT396="Above 2",0,IF(BT396="Between 1.5 to 2",5,IF(BT396="Less than 1.5",10,0)))</f>
        <v/>
      </c>
      <c r="BV396" s="31" t="inlineStr">
        <is>
          <t>Above 70%</t>
        </is>
      </c>
      <c r="BW396" s="31">
        <f>IF(BV396="Above 70%",10,IF(BV396="Between 50% to 70%",5,IF(BV396="Less than 50%",0,IF(BV396="Negative",-10,IF(BV396="Less than 50% and Borrowings are increasing",-5,0)))))</f>
        <v/>
      </c>
      <c r="BX396" s="31" t="inlineStr">
        <is>
          <t>Less than 0.7</t>
        </is>
      </c>
      <c r="BY396" s="31">
        <f>IF(BX396="More than 1.2",-10,IF(BX396="Between 0.7 to 1.2",0,IF(BX396="Less than 0.7",10,0)))</f>
        <v/>
      </c>
      <c r="BZ396" s="31" t="inlineStr">
        <is>
          <t>No</t>
        </is>
      </c>
      <c r="CA396" s="31">
        <f>IF(BZ396="Yes",-10,0)</f>
        <v/>
      </c>
      <c r="CB396" s="31" t="inlineStr">
        <is>
          <t>Less than 15%</t>
        </is>
      </c>
      <c r="CC396" s="31">
        <f>IF(CB396="More than 15%",-10,IF(CB396="Less than 15%",10,0))</f>
        <v/>
      </c>
      <c r="CD396" s="31" t="inlineStr">
        <is>
          <t>No</t>
        </is>
      </c>
      <c r="CE396" s="31">
        <f>IF(CD396="Yes, more than 10%",-10,IF(CD396="No",10,0))</f>
        <v/>
      </c>
    </row>
    <row r="397">
      <c r="A397" s="31">
        <f>IF(B397=0,"",RANK(B397,$B$2:$B$407,0))</f>
        <v/>
      </c>
      <c r="B397" s="32">
        <f>SUM(N397,Y397,AA397,AC397,AE397,AG397,AI397,AK397,AM397,AO397,AQ397,AS397,AU397,AW397,AY397,BA397,BC397,BE397,BG397,BI397,BK397,BM397,BO397,BQ397,BS397,BU397,BW397,BY397,CA397,CC397,CE397)</f>
        <v/>
      </c>
      <c r="C397" s="33" t="inlineStr">
        <is>
          <t>JTLIND</t>
        </is>
      </c>
      <c r="D397" s="33" t="inlineStr">
        <is>
          <t>JTL Industries Ltd</t>
        </is>
      </c>
      <c r="E397" s="31" t="inlineStr">
        <is>
          <t>metals &amp; mining</t>
        </is>
      </c>
      <c r="F397" s="31" t="inlineStr">
        <is>
          <t>steel - medium / small</t>
        </is>
      </c>
      <c r="G397" s="31" t="inlineStr">
        <is>
          <t>smallcap</t>
        </is>
      </c>
      <c r="H397" s="32" t="n">
        <v>3175.31</v>
      </c>
      <c r="I397" s="32" t="n">
        <v>80.13</v>
      </c>
      <c r="J397" s="32" t="n">
        <v>-0.8</v>
      </c>
      <c r="K397" s="32" t="n">
        <v>4874831</v>
      </c>
      <c r="L397" s="31" t="n">
        <v>60</v>
      </c>
      <c r="M397" s="31" t="inlineStr">
        <is>
          <t>Underperforming</t>
        </is>
      </c>
      <c r="N397" s="32">
        <f>IF(M397="Underperforming",-5,IF(L397&gt;=95,15,IF(L397&gt;=90,10,IF(L397&gt;=80,5,0))))</f>
        <v/>
      </c>
      <c r="O397" s="32" t="n">
        <v>59.23</v>
      </c>
      <c r="P397" s="32" t="n">
        <v>12.23</v>
      </c>
      <c r="Q397" s="32" t="n">
        <v>55.2</v>
      </c>
      <c r="R397" s="31" t="inlineStr">
        <is>
          <t>Earnings / Momentum Support</t>
        </is>
      </c>
      <c r="S397" s="31" t="inlineStr">
        <is>
          <t>Nifty Metal</t>
        </is>
      </c>
      <c r="T397" s="32" t="n">
        <v>30.52</v>
      </c>
      <c r="U397" s="32" t="n">
        <v>3.18</v>
      </c>
      <c r="V397" s="32" t="n">
        <v>-20.94</v>
      </c>
      <c r="W397" s="32" t="n">
        <v>16.09</v>
      </c>
      <c r="X397" s="31" t="inlineStr">
        <is>
          <t>Cyclical in an Upturn</t>
        </is>
      </c>
      <c r="Y397" s="31">
        <f>IF(X397="Growing Industry",10,IF(X397="Cyclical in an Upturn",5,0))</f>
        <v/>
      </c>
      <c r="Z397" s="31" t="inlineStr">
        <is>
          <t>Too Many Players with High ROCE</t>
        </is>
      </c>
      <c r="AA397" s="31">
        <f>IF(Z397="Monopoly",10,IF(Z397="Oligopoly",5,IF(Z397="Duopoly that cooperate",10,IF(Z397="Duopoly that compete",5,IF(Z397="Too many players with High ROCE",5,0)))))</f>
        <v/>
      </c>
      <c r="AB397" s="31" t="inlineStr">
        <is>
          <t>No</t>
        </is>
      </c>
      <c r="AC397" s="31">
        <f>IF(AB397="No",5,0)</f>
        <v/>
      </c>
      <c r="AD397" s="31" t="inlineStr">
        <is>
          <t>Tailwind</t>
        </is>
      </c>
      <c r="AE397" s="31">
        <f>IF(AD397="Tailwind",10,0)</f>
        <v/>
      </c>
      <c r="AF397" s="31" t="inlineStr">
        <is>
          <t>Cyclical</t>
        </is>
      </c>
      <c r="AG397" s="31">
        <f>IF(AF397="Structural (10 Years Consistency)",10,IF(AF397="Shallow Cyclical (2 to 3 years growth)",5,0))</f>
        <v/>
      </c>
      <c r="AH397" s="31" t="inlineStr">
        <is>
          <t>No</t>
        </is>
      </c>
      <c r="AI397" s="31">
        <f>IF(AH397="Yes due to Product Mix change or Operating Leverage",10,IF(AH397="Yes, these are peak margins",-5,IF(AH397="No",5,0)))</f>
        <v/>
      </c>
      <c r="AJ397" s="31" t="inlineStr">
        <is>
          <t>Volatile</t>
        </is>
      </c>
      <c r="AK397" s="31">
        <f>IF(AJ397="Stable",10,0)</f>
        <v/>
      </c>
      <c r="AL397" s="31" t="inlineStr">
        <is>
          <t>Yes</t>
        </is>
      </c>
      <c r="AM397" s="31">
        <f>IF(AL397="Yes",10,0)</f>
        <v/>
      </c>
      <c r="AN397" s="31" t="inlineStr">
        <is>
          <t>B2B</t>
        </is>
      </c>
      <c r="AO397" s="31">
        <f>IF(AN397="B2C",10,IF(AN397="B2B",5,0))</f>
        <v/>
      </c>
      <c r="AP397" s="31" t="inlineStr">
        <is>
          <t>No</t>
        </is>
      </c>
      <c r="AQ397" s="31">
        <f>IF(AP397="Yes",10,0)</f>
        <v/>
      </c>
      <c r="AR397" s="31" t="inlineStr">
        <is>
          <t>Higher One Time, Lower Annuity</t>
        </is>
      </c>
      <c r="AS397" s="31">
        <f>IF(AR397="Fully Annuity",10,IF(AR397="Higher Annuity, Lower One Time",5,IF(AR397="Higher One Time, Lower Annuity",3,0)))</f>
        <v/>
      </c>
      <c r="AT397" s="31" t="inlineStr">
        <is>
          <t>Good</t>
        </is>
      </c>
      <c r="AU397" s="31">
        <f>IF(AT397="Good",10,0)</f>
        <v/>
      </c>
      <c r="AV397" s="31" t="inlineStr">
        <is>
          <t>Yes for more than 2 years</t>
        </is>
      </c>
      <c r="AW397" s="31">
        <f>IF(AV397="Yes for more than 2 years",10,IF(AV397="Yes only for next 1 to 2 years",5,0))</f>
        <v/>
      </c>
      <c r="AX397" s="31" t="inlineStr">
        <is>
          <t>0 to 20</t>
        </is>
      </c>
      <c r="AY397" s="31">
        <f>IF(AX397="Above 40",20,IF(AX397="20 to 40",10,IF(AX397="0 to 20",-5,0)))</f>
        <v/>
      </c>
      <c r="AZ397" s="31" t="inlineStr">
        <is>
          <t>Between 50 to 75</t>
        </is>
      </c>
      <c r="BA397" s="31">
        <f>IF(AZ397="Between 50 to 75",10,IF(AZ397="Above 75",0,0))</f>
        <v/>
      </c>
      <c r="BB397" s="31" t="inlineStr">
        <is>
          <t>Stage 2</t>
        </is>
      </c>
      <c r="BC397" s="31">
        <f>IF(BB397="Stage 2",20,IF(BB397="Stage 1",0,IF(BB397="Stage 3",5,IF(BB397="Stage 4",-5,0))))</f>
        <v/>
      </c>
      <c r="BD397" s="31" t="inlineStr">
        <is>
          <t>Positive Trend</t>
        </is>
      </c>
      <c r="BE397" s="31">
        <f>IF(BD397="Positive Trend",20,IF(BD397="Negative Trend",-10,0))</f>
        <v/>
      </c>
      <c r="BF397" s="31" t="inlineStr">
        <is>
          <t>Uptrend</t>
        </is>
      </c>
      <c r="BG397" s="31">
        <f>IF(BF397="Uptrend",10,IF(BF397="Sideways",5,0))</f>
        <v/>
      </c>
      <c r="BH397" s="31" t="inlineStr">
        <is>
          <t>Uptrend</t>
        </is>
      </c>
      <c r="BI397" s="31">
        <f>IF(BH397="Uptrend",10,IF(BH397="Sideways",5,0))</f>
        <v/>
      </c>
      <c r="BJ397" s="31" t="inlineStr">
        <is>
          <t>Close to 52 week high or retracement</t>
        </is>
      </c>
      <c r="BK397" s="31">
        <f>IF(BJ397="Overhead supply in last 2 years in last 2 years",-5,IF(BJ397="Close to 52 week high or retracement",5,IF(BJ397="Blue sky scenario",10,IF(BJ397="Long term Downtrend",-10,0))))</f>
        <v/>
      </c>
      <c r="BL397" s="31" t="inlineStr">
        <is>
          <t>Yes</t>
        </is>
      </c>
      <c r="BM397" s="31">
        <f>IF(BL397="Yes",10,0)</f>
        <v/>
      </c>
      <c r="BN397" s="31" t="inlineStr">
        <is>
          <t>More than 20%</t>
        </is>
      </c>
      <c r="BO397" s="31">
        <f>IF(BN397="More than 20%",10,IF(BN397="Between 12 to 20%",5,IF(BN397="Less than 12%",0,0)))</f>
        <v/>
      </c>
      <c r="BP397" s="31" t="inlineStr">
        <is>
          <t>No</t>
        </is>
      </c>
      <c r="BQ397" s="31">
        <f>IF(BP397="No",10,0)</f>
        <v/>
      </c>
      <c r="BR397" s="31" t="inlineStr">
        <is>
          <t>No</t>
        </is>
      </c>
      <c r="BS397" s="31">
        <f>IF(BR397="NO",5,0)</f>
        <v/>
      </c>
      <c r="BT397" s="31" t="inlineStr">
        <is>
          <t>Above 2</t>
        </is>
      </c>
      <c r="BU397" s="31">
        <f>IF(BT397="Above 2",0,IF(BT397="Between 1.5 to 2",5,IF(BT397="Less than 1.5",10,0)))</f>
        <v/>
      </c>
      <c r="BV397" s="31" t="inlineStr">
        <is>
          <t>Negative</t>
        </is>
      </c>
      <c r="BW397" s="31">
        <f>IF(BV397="Above 70%",10,IF(BV397="Between 50% to 70%",5,IF(BV397="Less than 50%",0,IF(BV397="Negative",-10,IF(BV397="Less than 50% and Borrowings are increasing",-5,0)))))</f>
        <v/>
      </c>
      <c r="BX397" s="31" t="inlineStr">
        <is>
          <t>Less than 0.7</t>
        </is>
      </c>
      <c r="BY397" s="31">
        <f>IF(BX397="More than 1.2",-10,IF(BX397="Between 0.7 to 1.2",0,IF(BX397="Less than 0.7",10,0)))</f>
        <v/>
      </c>
      <c r="BZ397" s="31" t="inlineStr">
        <is>
          <t>No</t>
        </is>
      </c>
      <c r="CA397" s="31">
        <f>IF(BZ397="Yes",-10,0)</f>
        <v/>
      </c>
      <c r="CB397" s="31" t="inlineStr">
        <is>
          <t>Less than 15%</t>
        </is>
      </c>
      <c r="CC397" s="31">
        <f>IF(CB397="More than 15%",-10,IF(CB397="Less than 15%",10,0))</f>
        <v/>
      </c>
      <c r="CD397" s="31" t="inlineStr">
        <is>
          <t>No</t>
        </is>
      </c>
      <c r="CE397" s="31">
        <f>IF(CD397="Yes, more than 10%",-10,IF(CD397="No",10,0))</f>
        <v/>
      </c>
    </row>
    <row r="398">
      <c r="A398" s="31">
        <f>IF(B398=0,"",RANK(B398,$B$2:$B$407,0))</f>
        <v/>
      </c>
      <c r="B398" s="32">
        <f>SUM(N398,Y398,AA398,AC398,AE398,AG398,AI398,AK398,AM398,AO398,AQ398,AS398,AU398,AW398,AY398,BA398,BC398,BE398,BG398,BI398,BK398,BM398,BO398,BQ398,BS398,BU398,BW398,BY398,CA398,CC398,CE398)</f>
        <v/>
      </c>
      <c r="C398" s="33" t="inlineStr">
        <is>
          <t>RAJRILTD</t>
        </is>
      </c>
      <c r="D398" s="33" t="inlineStr">
        <is>
          <t>Raj Rayon Industries Ltd</t>
        </is>
      </c>
      <c r="E398" s="31" t="inlineStr">
        <is>
          <t>textiles</t>
        </is>
      </c>
      <c r="F398" s="31" t="inlineStr">
        <is>
          <t>textiles - manmade</t>
        </is>
      </c>
      <c r="G398" s="31" t="inlineStr">
        <is>
          <t>smallcap</t>
        </is>
      </c>
      <c r="H398" s="32" t="n">
        <v>1346.28</v>
      </c>
      <c r="I398" s="32" t="n">
        <v>23.73</v>
      </c>
      <c r="J398" s="32" t="n">
        <v>-1.98</v>
      </c>
      <c r="K398" s="32" t="n">
        <v>12184</v>
      </c>
      <c r="L398" s="31" t="n">
        <v>2</v>
      </c>
      <c r="M398" s="31" t="inlineStr">
        <is>
          <t>Underperforming</t>
        </is>
      </c>
      <c r="N398" s="32">
        <f>IF(M398="Underperforming",-5,IF(L398&gt;=95,15,IF(L398&gt;=90,10,IF(L398&gt;=80,5,0))))</f>
        <v/>
      </c>
      <c r="O398" s="32" t="n">
        <v>59.47</v>
      </c>
      <c r="P398" s="32" t="n">
        <v>13.23</v>
      </c>
      <c r="Q398" s="32" t="n">
        <v>19.44</v>
      </c>
      <c r="R398" s="31" t="inlineStr">
        <is>
          <t>Volume Spike / Accumulation</t>
        </is>
      </c>
      <c r="S398" s="31" t="inlineStr">
        <is>
          <t>Nifty 50</t>
        </is>
      </c>
      <c r="T398" s="32" t="n">
        <v>-5.05</v>
      </c>
      <c r="U398" s="32" t="n">
        <v>-17.17</v>
      </c>
      <c r="V398" s="32" t="n">
        <v>-12.77</v>
      </c>
      <c r="W398" s="32" t="n">
        <v>0.39</v>
      </c>
      <c r="X398" s="31" t="inlineStr">
        <is>
          <t>Growing Industry</t>
        </is>
      </c>
      <c r="Y398" s="31">
        <f>IF(X398="Growing Industry",10,IF(X398="Cyclical in an Upturn",5,0))</f>
        <v/>
      </c>
      <c r="Z398" s="31" t="inlineStr">
        <is>
          <t>Too Many Players with High ROCE</t>
        </is>
      </c>
      <c r="AA398" s="31">
        <f>IF(Z398="Monopoly",10,IF(Z398="Oligopoly",5,IF(Z398="Duopoly that cooperate",10,IF(Z398="Duopoly that compete",5,IF(Z398="Too many players with High ROCE",5,0)))))</f>
        <v/>
      </c>
      <c r="AB398" s="31" t="inlineStr">
        <is>
          <t>No</t>
        </is>
      </c>
      <c r="AC398" s="31">
        <f>IF(AB398="No",5,0)</f>
        <v/>
      </c>
      <c r="AD398" s="31" t="inlineStr">
        <is>
          <t>Tailwind</t>
        </is>
      </c>
      <c r="AE398" s="31">
        <f>IF(AD398="Tailwind",10,0)</f>
        <v/>
      </c>
      <c r="AF398" s="31" t="inlineStr">
        <is>
          <t>Structural (10 Years Consistency)</t>
        </is>
      </c>
      <c r="AG398" s="31">
        <f>IF(AF398="Structural (10 Years Consistency)",10,IF(AF398="Shallow Cyclical (2 to 3 years growth)",5,0))</f>
        <v/>
      </c>
      <c r="AH398" s="31" t="inlineStr">
        <is>
          <t>No</t>
        </is>
      </c>
      <c r="AI398" s="31">
        <f>IF(AH398="Yes due to Product Mix change or Operating Leverage",10,IF(AH398="Yes, these are peak margins",-5,IF(AH398="No",5,0)))</f>
        <v/>
      </c>
      <c r="AJ398" s="31" t="inlineStr">
        <is>
          <t>Stable</t>
        </is>
      </c>
      <c r="AK398" s="31">
        <f>IF(AJ398="Stable",10,0)</f>
        <v/>
      </c>
      <c r="AL398" s="31" t="inlineStr">
        <is>
          <t>Yes</t>
        </is>
      </c>
      <c r="AM398" s="31">
        <f>IF(AL398="Yes",10,0)</f>
        <v/>
      </c>
      <c r="AN398" s="31" t="inlineStr">
        <is>
          <t>B2B</t>
        </is>
      </c>
      <c r="AO398" s="31">
        <f>IF(AN398="B2C",10,IF(AN398="B2B",5,0))</f>
        <v/>
      </c>
      <c r="AP398" s="31" t="inlineStr">
        <is>
          <t>Yes</t>
        </is>
      </c>
      <c r="AQ398" s="31">
        <f>IF(AP398="Yes",10,0)</f>
        <v/>
      </c>
      <c r="AR398" s="31" t="inlineStr">
        <is>
          <t>Higher One Time, Lower Annuity</t>
        </is>
      </c>
      <c r="AS398" s="31">
        <f>IF(AR398="Fully Annuity",10,IF(AR398="Higher Annuity, Lower One Time",5,IF(AR398="Higher One Time, Lower Annuity",3,0)))</f>
        <v/>
      </c>
      <c r="AT398" s="31" t="inlineStr">
        <is>
          <t>Good</t>
        </is>
      </c>
      <c r="AU398" s="31">
        <f>IF(AT398="Good",10,0)</f>
        <v/>
      </c>
      <c r="AV398" s="31" t="inlineStr">
        <is>
          <t>Yes for more than 2 years</t>
        </is>
      </c>
      <c r="AW398" s="31">
        <f>IF(AV398="Yes for more than 2 years",10,IF(AV398="Yes only for next 1 to 2 years",5,0))</f>
        <v/>
      </c>
      <c r="AX398" s="31" t="inlineStr">
        <is>
          <t>0 to 20</t>
        </is>
      </c>
      <c r="AY398" s="31">
        <f>IF(AX398="Above 40",20,IF(AX398="20 to 40",10,IF(AX398="0 to 20",-5,0)))</f>
        <v/>
      </c>
      <c r="AZ398" s="31" t="inlineStr">
        <is>
          <t>Between 50 to 75</t>
        </is>
      </c>
      <c r="BA398" s="31">
        <f>IF(AZ398="Between 50 to 75",10,IF(AZ398="Above 75",0,0))</f>
        <v/>
      </c>
      <c r="BB398" s="31" t="inlineStr">
        <is>
          <t>Stage 1</t>
        </is>
      </c>
      <c r="BC398" s="31">
        <f>IF(BB398="Stage 2",20,IF(BB398="Stage 1",0,IF(BB398="Stage 3",5,IF(BB398="Stage 4",-5,0))))</f>
        <v/>
      </c>
      <c r="BD398" s="31" t="inlineStr">
        <is>
          <t>Positive Trend</t>
        </is>
      </c>
      <c r="BE398" s="31">
        <f>IF(BD398="Positive Trend",20,IF(BD398="Negative Trend",-10,0))</f>
        <v/>
      </c>
      <c r="BF398" s="31" t="inlineStr">
        <is>
          <t>Uptrend</t>
        </is>
      </c>
      <c r="BG398" s="31">
        <f>IF(BF398="Uptrend",10,IF(BF398="Sideways",5,0))</f>
        <v/>
      </c>
      <c r="BH398" s="31" t="inlineStr">
        <is>
          <t>Uptrend</t>
        </is>
      </c>
      <c r="BI398" s="31">
        <f>IF(BH398="Uptrend",10,IF(BH398="Sideways",5,0))</f>
        <v/>
      </c>
      <c r="BJ398" s="31" t="inlineStr">
        <is>
          <t>Close to 52 week high or retracement</t>
        </is>
      </c>
      <c r="BK398" s="31">
        <f>IF(BJ398="Overhead supply in last 2 years in last 2 years",-5,IF(BJ398="Close to 52 week high or retracement",5,IF(BJ398="Blue sky scenario",10,IF(BJ398="Long term Downtrend",-10,0))))</f>
        <v/>
      </c>
      <c r="BL398" s="31" t="inlineStr">
        <is>
          <t>Yes</t>
        </is>
      </c>
      <c r="BM398" s="31">
        <f>IF(BL398="Yes",10,0)</f>
        <v/>
      </c>
      <c r="BN398" s="31" t="inlineStr">
        <is>
          <t>Less than 12%</t>
        </is>
      </c>
      <c r="BO398" s="31">
        <f>IF(BN398="More than 20%",10,IF(BN398="Between 12 to 20%",5,IF(BN398="Less than 12%",0,0)))</f>
        <v/>
      </c>
      <c r="BP398" s="31" t="inlineStr">
        <is>
          <t>No</t>
        </is>
      </c>
      <c r="BQ398" s="31">
        <f>IF(BP398="No",10,0)</f>
        <v/>
      </c>
      <c r="BR398" s="31" t="inlineStr">
        <is>
          <t>Yes</t>
        </is>
      </c>
      <c r="BS398" s="31">
        <f>IF(BR398="NO",5,0)</f>
        <v/>
      </c>
      <c r="BT398" s="31" t="inlineStr">
        <is>
          <t>Above 2</t>
        </is>
      </c>
      <c r="BU398" s="31">
        <f>IF(BT398="Above 2",0,IF(BT398="Between 1.5 to 2",5,IF(BT398="Less than 1.5",10,0)))</f>
        <v/>
      </c>
      <c r="BV398" s="31" t="inlineStr">
        <is>
          <t>Above 70%</t>
        </is>
      </c>
      <c r="BW398" s="31">
        <f>IF(BV398="Above 70%",10,IF(BV398="Between 50% to 70%",5,IF(BV398="Less than 50%",0,IF(BV398="Negative",-10,IF(BV398="Less than 50% and Borrowings are increasing",-5,0)))))</f>
        <v/>
      </c>
      <c r="BX398" s="31" t="inlineStr">
        <is>
          <t>More than 1.2</t>
        </is>
      </c>
      <c r="BY398" s="31">
        <f>IF(BX398="More than 1.2",-10,IF(BX398="Between 0.7 to 1.2",0,IF(BX398="Less than 0.7",10,0)))</f>
        <v/>
      </c>
      <c r="BZ398" s="31" t="inlineStr">
        <is>
          <t>No</t>
        </is>
      </c>
      <c r="CA398" s="31">
        <f>IF(BZ398="Yes",-10,0)</f>
        <v/>
      </c>
      <c r="CB398" s="31" t="inlineStr">
        <is>
          <t>Less than 15%</t>
        </is>
      </c>
      <c r="CC398" s="31">
        <f>IF(CB398="More than 15%",-10,IF(CB398="Less than 15%",10,0))</f>
        <v/>
      </c>
      <c r="CD398" s="31" t="inlineStr">
        <is>
          <t>No</t>
        </is>
      </c>
      <c r="CE398" s="31">
        <f>IF(CD398="Yes, more than 10%",-10,IF(CD398="No",10,0))</f>
        <v/>
      </c>
    </row>
    <row r="399">
      <c r="A399" s="31">
        <f>IF(B399=0,"",RANK(B399,$B$2:$B$407,0))</f>
        <v/>
      </c>
      <c r="B399" s="32">
        <f>SUM(N399,Y399,AA399,AC399,AE399,AG399,AI399,AK399,AM399,AO399,AQ399,AS399,AU399,AW399,AY399,BA399,BC399,BE399,BG399,BI399,BK399,BM399,BO399,BQ399,BS399,BU399,BW399,BY399,CA399,CC399,CE399)</f>
        <v/>
      </c>
      <c r="C399" s="33" t="inlineStr">
        <is>
          <t>ENTERO</t>
        </is>
      </c>
      <c r="D399" s="33" t="inlineStr">
        <is>
          <t>Entero Healthcare Solutions Ltd</t>
        </is>
      </c>
      <c r="E399" s="31" t="inlineStr">
        <is>
          <t>healthcare</t>
        </is>
      </c>
      <c r="F399" s="31" t="inlineStr">
        <is>
          <t>trading</t>
        </is>
      </c>
      <c r="G399" s="31" t="inlineStr">
        <is>
          <t>midcap</t>
        </is>
      </c>
      <c r="H399" s="32" t="n">
        <v>5175.63</v>
      </c>
      <c r="I399" s="32" t="n">
        <v>1194.3</v>
      </c>
      <c r="J399" s="32" t="n">
        <v>0.4</v>
      </c>
      <c r="K399" s="32" t="n">
        <v>34259</v>
      </c>
      <c r="L399" s="31" t="n">
        <v>1</v>
      </c>
      <c r="M399" s="31" t="inlineStr">
        <is>
          <t>Underperforming</t>
        </is>
      </c>
      <c r="N399" s="32">
        <f>IF(M399="Underperforming",-5,IF(L399&gt;=95,15,IF(L399&gt;=90,10,IF(L399&gt;=80,5,0))))</f>
        <v/>
      </c>
      <c r="O399" s="32" t="n">
        <v>51.83</v>
      </c>
      <c r="P399" s="32" t="n">
        <v>17.72</v>
      </c>
      <c r="Q399" s="32" t="n">
        <v>1022.97</v>
      </c>
      <c r="R399" s="31" t="inlineStr">
        <is>
          <t>Earnings / Momentum Support</t>
        </is>
      </c>
      <c r="S399" s="31" t="inlineStr">
        <is>
          <t>Nifty Pharma</t>
        </is>
      </c>
      <c r="T399" s="32" t="n">
        <v>13.06</v>
      </c>
      <c r="U399" s="32" t="n">
        <v>-3.12</v>
      </c>
      <c r="V399" s="32" t="n">
        <v>-14.32</v>
      </c>
      <c r="W399" s="32" t="n">
        <v>-1.23</v>
      </c>
      <c r="X399" s="31" t="inlineStr">
        <is>
          <t>Growing Industry</t>
        </is>
      </c>
      <c r="Y399" s="31">
        <f>IF(X399="Growing Industry",10,IF(X399="Cyclical in an Upturn",5,0))</f>
        <v/>
      </c>
      <c r="Z399" s="31" t="inlineStr">
        <is>
          <t>Too Many Players with High ROCE</t>
        </is>
      </c>
      <c r="AA399" s="31">
        <f>IF(Z399="Monopoly",10,IF(Z399="Oligopoly",5,IF(Z399="Duopoly that cooperate",10,IF(Z399="Duopoly that compete",5,IF(Z399="Too many players with High ROCE",5,0)))))</f>
        <v/>
      </c>
      <c r="AB399" s="31" t="inlineStr">
        <is>
          <t>Yes</t>
        </is>
      </c>
      <c r="AC399" s="31">
        <f>IF(AB399="No",5,0)</f>
        <v/>
      </c>
      <c r="AD399" s="31" t="inlineStr">
        <is>
          <t>Tailwind</t>
        </is>
      </c>
      <c r="AE399" s="31">
        <f>IF(AD399="Tailwind",10,0)</f>
        <v/>
      </c>
      <c r="AF399" s="31" t="inlineStr">
        <is>
          <t>Structural (10 Years Consistency)</t>
        </is>
      </c>
      <c r="AG399" s="31">
        <f>IF(AF399="Structural (10 Years Consistency)",10,IF(AF399="Shallow Cyclical (2 to 3 years growth)",5,0))</f>
        <v/>
      </c>
      <c r="AH399" s="31" t="inlineStr">
        <is>
          <t>No</t>
        </is>
      </c>
      <c r="AI399" s="31">
        <f>IF(AH399="Yes due to Product Mix change or Operating Leverage",10,IF(AH399="Yes, these are peak margins",-5,IF(AH399="No",5,0)))</f>
        <v/>
      </c>
      <c r="AJ399" s="31" t="inlineStr">
        <is>
          <t>Stable</t>
        </is>
      </c>
      <c r="AK399" s="31">
        <f>IF(AJ399="Stable",10,0)</f>
        <v/>
      </c>
      <c r="AL399" s="31" t="inlineStr">
        <is>
          <t>Yes</t>
        </is>
      </c>
      <c r="AM399" s="31">
        <f>IF(AL399="Yes",10,0)</f>
        <v/>
      </c>
      <c r="AN399" s="31" t="inlineStr">
        <is>
          <t>B2B</t>
        </is>
      </c>
      <c r="AO399" s="31">
        <f>IF(AN399="B2C",10,IF(AN399="B2B",5,0))</f>
        <v/>
      </c>
      <c r="AP399" s="31" t="inlineStr">
        <is>
          <t>No</t>
        </is>
      </c>
      <c r="AQ399" s="31">
        <f>IF(AP399="Yes",10,0)</f>
        <v/>
      </c>
      <c r="AR399" s="31" t="inlineStr">
        <is>
          <t>Higher Annuity, Lower One Time</t>
        </is>
      </c>
      <c r="AS399" s="31">
        <f>IF(AR399="Fully Annuity",10,IF(AR399="Higher Annuity, Lower One Time",5,IF(AR399="Higher One Time, Lower Annuity",3,0)))</f>
        <v/>
      </c>
      <c r="AT399" s="31" t="inlineStr">
        <is>
          <t>Good</t>
        </is>
      </c>
      <c r="AU399" s="31">
        <f>IF(AT399="Good",10,0)</f>
        <v/>
      </c>
      <c r="AV399" s="31" t="inlineStr">
        <is>
          <t>Yes for more than 2 years</t>
        </is>
      </c>
      <c r="AW399" s="31">
        <f>IF(AV399="Yes for more than 2 years",10,IF(AV399="Yes only for next 1 to 2 years",5,0))</f>
        <v/>
      </c>
      <c r="AX399" s="31" t="inlineStr">
        <is>
          <t>0 to 20</t>
        </is>
      </c>
      <c r="AY399" s="31">
        <f>IF(AX399="Above 40",20,IF(AX399="20 to 40",10,IF(AX399="0 to 20",-5,0)))</f>
        <v/>
      </c>
      <c r="AZ399" s="31" t="inlineStr">
        <is>
          <t>Between 50 to 75</t>
        </is>
      </c>
      <c r="BA399" s="31">
        <f>IF(AZ399="Between 50 to 75",10,IF(AZ399="Above 75",0,0))</f>
        <v/>
      </c>
      <c r="BB399" s="31" t="inlineStr">
        <is>
          <t>Stage 1</t>
        </is>
      </c>
      <c r="BC399" s="31">
        <f>IF(BB399="Stage 2",20,IF(BB399="Stage 1",0,IF(BB399="Stage 3",5,IF(BB399="Stage 4",-5,0))))</f>
        <v/>
      </c>
      <c r="BD399" s="31" t="inlineStr">
        <is>
          <t>Positive Trend</t>
        </is>
      </c>
      <c r="BE399" s="31">
        <f>IF(BD399="Positive Trend",20,IF(BD399="Negative Trend",-10,0))</f>
        <v/>
      </c>
      <c r="BF399" s="31" t="inlineStr">
        <is>
          <t>Uptrend</t>
        </is>
      </c>
      <c r="BG399" s="31">
        <f>IF(BF399="Uptrend",10,IF(BF399="Sideways",5,0))</f>
        <v/>
      </c>
      <c r="BH399" s="31" t="inlineStr">
        <is>
          <t>Uptrend</t>
        </is>
      </c>
      <c r="BI399" s="31">
        <f>IF(BH399="Uptrend",10,IF(BH399="Sideways",5,0))</f>
        <v/>
      </c>
      <c r="BJ399" s="31" t="inlineStr">
        <is>
          <t>Close to 52 week high or retracement</t>
        </is>
      </c>
      <c r="BK399" s="31">
        <f>IF(BJ399="Overhead supply in last 2 years in last 2 years",-5,IF(BJ399="Close to 52 week high or retracement",5,IF(BJ399="Blue sky scenario",10,IF(BJ399="Long term Downtrend",-10,0))))</f>
        <v/>
      </c>
      <c r="BL399" s="31" t="inlineStr">
        <is>
          <t>Yes</t>
        </is>
      </c>
      <c r="BM399" s="31">
        <f>IF(BL399="Yes",10,0)</f>
        <v/>
      </c>
      <c r="BN399" s="31" t="inlineStr">
        <is>
          <t>Less than 12%</t>
        </is>
      </c>
      <c r="BO399" s="31">
        <f>IF(BN399="More than 20%",10,IF(BN399="Between 12 to 20%",5,IF(BN399="Less than 12%",0,0)))</f>
        <v/>
      </c>
      <c r="BP399" s="31" t="inlineStr">
        <is>
          <t>No</t>
        </is>
      </c>
      <c r="BQ399" s="31">
        <f>IF(BP399="No",10,0)</f>
        <v/>
      </c>
      <c r="BR399" s="31" t="inlineStr">
        <is>
          <t>Yes</t>
        </is>
      </c>
      <c r="BS399" s="31">
        <f>IF(BR399="NO",5,0)</f>
        <v/>
      </c>
      <c r="BT399" s="31" t="inlineStr">
        <is>
          <t>Above 2</t>
        </is>
      </c>
      <c r="BU399" s="31">
        <f>IF(BT399="Above 2",0,IF(BT399="Between 1.5 to 2",5,IF(BT399="Less than 1.5",10,0)))</f>
        <v/>
      </c>
      <c r="BV399" s="31" t="inlineStr">
        <is>
          <t>Less than 50%</t>
        </is>
      </c>
      <c r="BW399" s="31">
        <f>IF(BV399="Above 70%",10,IF(BV399="Between 50% to 70%",5,IF(BV399="Less than 50%",0,IF(BV399="Negative",-10,IF(BV399="Less than 50% and Borrowings are increasing",-5,0)))))</f>
        <v/>
      </c>
      <c r="BX399" s="31" t="inlineStr">
        <is>
          <t>Less than 0.7</t>
        </is>
      </c>
      <c r="BY399" s="31">
        <f>IF(BX399="More than 1.2",-10,IF(BX399="Between 0.7 to 1.2",0,IF(BX399="Less than 0.7",10,0)))</f>
        <v/>
      </c>
      <c r="BZ399" s="31" t="inlineStr">
        <is>
          <t>No</t>
        </is>
      </c>
      <c r="CA399" s="31">
        <f>IF(BZ399="Yes",-10,0)</f>
        <v/>
      </c>
      <c r="CB399" s="31" t="inlineStr">
        <is>
          <t>Less than 15%</t>
        </is>
      </c>
      <c r="CC399" s="31">
        <f>IF(CB399="More than 15%",-10,IF(CB399="Less than 15%",10,0))</f>
        <v/>
      </c>
      <c r="CD399" s="31" t="inlineStr">
        <is>
          <t>No</t>
        </is>
      </c>
      <c r="CE399" s="31">
        <f>IF(CD399="Yes, more than 10%",-10,IF(CD399="No",10,0))</f>
        <v/>
      </c>
    </row>
    <row r="400">
      <c r="A400" s="31">
        <f>IF(B400=0,"",RANK(B400,$B$2:$B$407,0))</f>
        <v/>
      </c>
      <c r="B400" s="32">
        <f>SUM(N400,Y400,AA400,AC400,AE400,AG400,AI400,AK400,AM400,AO400,AQ400,AS400,AU400,AW400,AY400,BA400,BC400,BE400,BG400,BI400,BK400,BM400,BO400,BQ400,BS400,BU400,BW400,BY400,CA400,CC400,CE400)</f>
        <v/>
      </c>
      <c r="C400" s="33" t="inlineStr">
        <is>
          <t>RAJRATAN</t>
        </is>
      </c>
      <c r="D400" s="33" t="inlineStr">
        <is>
          <t>Rajratan Global Wire Ltd</t>
        </is>
      </c>
      <c r="E400" s="31" t="inlineStr">
        <is>
          <t>metals &amp; mining</t>
        </is>
      </c>
      <c r="F400" s="31" t="inlineStr">
        <is>
          <t>steel - medium / small</t>
        </is>
      </c>
      <c r="G400" s="31" t="inlineStr">
        <is>
          <t>smallcap</t>
        </is>
      </c>
      <c r="H400" s="32" t="n">
        <v>2278.35</v>
      </c>
      <c r="I400" s="32" t="n">
        <v>453.25</v>
      </c>
      <c r="J400" s="32" t="n">
        <v>1</v>
      </c>
      <c r="K400" s="32" t="n">
        <v>55917</v>
      </c>
      <c r="L400" s="31" t="n">
        <v>33</v>
      </c>
      <c r="M400" s="31" t="inlineStr">
        <is>
          <t>Underperforming</t>
        </is>
      </c>
      <c r="N400" s="32">
        <f>IF(M400="Underperforming",-5,IF(L400&gt;=95,15,IF(L400&gt;=90,10,IF(L400&gt;=80,5,0))))</f>
        <v/>
      </c>
      <c r="O400" s="32" t="n">
        <v>55.74</v>
      </c>
      <c r="P400" s="32" t="n">
        <v>8.44</v>
      </c>
      <c r="Q400" s="32" t="n">
        <v>336</v>
      </c>
      <c r="R400" s="31" t="inlineStr">
        <is>
          <t>Earnings / Momentum Support</t>
        </is>
      </c>
      <c r="S400" s="31" t="inlineStr">
        <is>
          <t>Nifty Metal</t>
        </is>
      </c>
      <c r="T400" s="32" t="n">
        <v>30.52</v>
      </c>
      <c r="U400" s="32" t="n">
        <v>7.85</v>
      </c>
      <c r="V400" s="32" t="n">
        <v>-17.36</v>
      </c>
      <c r="W400" s="32" t="n">
        <v>9.029999999999999</v>
      </c>
      <c r="X400" s="31" t="inlineStr">
        <is>
          <t>Cyclical in an Upturn</t>
        </is>
      </c>
      <c r="Y400" s="31">
        <f>IF(X400="Growing Industry",10,IF(X400="Cyclical in an Upturn",5,0))</f>
        <v/>
      </c>
      <c r="Z400" s="31" t="inlineStr">
        <is>
          <t>Too Many Players with High ROCE</t>
        </is>
      </c>
      <c r="AA400" s="31">
        <f>IF(Z400="Monopoly",10,IF(Z400="Oligopoly",5,IF(Z400="Duopoly that cooperate",10,IF(Z400="Duopoly that compete",5,IF(Z400="Too many players with High ROCE",5,0)))))</f>
        <v/>
      </c>
      <c r="AB400" s="31" t="inlineStr">
        <is>
          <t>No</t>
        </is>
      </c>
      <c r="AC400" s="31">
        <f>IF(AB400="No",5,0)</f>
        <v/>
      </c>
      <c r="AD400" s="31" t="inlineStr">
        <is>
          <t>Headwind</t>
        </is>
      </c>
      <c r="AE400" s="31">
        <f>IF(AD400="Tailwind",10,0)</f>
        <v/>
      </c>
      <c r="AF400" s="31" t="inlineStr">
        <is>
          <t>Cyclical</t>
        </is>
      </c>
      <c r="AG400" s="31">
        <f>IF(AF400="Structural (10 Years Consistency)",10,IF(AF400="Shallow Cyclical (2 to 3 years growth)",5,0))</f>
        <v/>
      </c>
      <c r="AH400" s="31" t="inlineStr">
        <is>
          <t>No</t>
        </is>
      </c>
      <c r="AI400" s="31">
        <f>IF(AH400="Yes due to Product Mix change or Operating Leverage",10,IF(AH400="Yes, these are peak margins",-5,IF(AH400="No",5,0)))</f>
        <v/>
      </c>
      <c r="AJ400" s="31" t="inlineStr">
        <is>
          <t>Volatile</t>
        </is>
      </c>
      <c r="AK400" s="31">
        <f>IF(AJ400="Stable",10,0)</f>
        <v/>
      </c>
      <c r="AL400" s="31" t="inlineStr">
        <is>
          <t>Yes</t>
        </is>
      </c>
      <c r="AM400" s="31">
        <f>IF(AL400="Yes",10,0)</f>
        <v/>
      </c>
      <c r="AN400" s="31" t="inlineStr">
        <is>
          <t>B2B</t>
        </is>
      </c>
      <c r="AO400" s="31">
        <f>IF(AN400="B2C",10,IF(AN400="B2B",5,0))</f>
        <v/>
      </c>
      <c r="AP400" s="31" t="inlineStr">
        <is>
          <t>No</t>
        </is>
      </c>
      <c r="AQ400" s="31">
        <f>IF(AP400="Yes",10,0)</f>
        <v/>
      </c>
      <c r="AR400" s="31" t="inlineStr">
        <is>
          <t>Higher One Time, Lower Annuity</t>
        </is>
      </c>
      <c r="AS400" s="31">
        <f>IF(AR400="Fully Annuity",10,IF(AR400="Higher Annuity, Lower One Time",5,IF(AR400="Higher One Time, Lower Annuity",3,0)))</f>
        <v/>
      </c>
      <c r="AT400" s="31" t="inlineStr">
        <is>
          <t>Good</t>
        </is>
      </c>
      <c r="AU400" s="31">
        <f>IF(AT400="Good",10,0)</f>
        <v/>
      </c>
      <c r="AV400" s="31" t="inlineStr">
        <is>
          <t>Yes for more than 2 years</t>
        </is>
      </c>
      <c r="AW400" s="31">
        <f>IF(AV400="Yes for more than 2 years",10,IF(AV400="Yes only for next 1 to 2 years",5,0))</f>
        <v/>
      </c>
      <c r="AX400" s="31" t="inlineStr">
        <is>
          <t>0 to 20</t>
        </is>
      </c>
      <c r="AY400" s="31">
        <f>IF(AX400="Above 40",20,IF(AX400="20 to 40",10,IF(AX400="0 to 20",-5,0)))</f>
        <v/>
      </c>
      <c r="AZ400" s="31" t="inlineStr">
        <is>
          <t>Between 50 to 75</t>
        </is>
      </c>
      <c r="BA400" s="31">
        <f>IF(AZ400="Between 50 to 75",10,IF(AZ400="Above 75",0,0))</f>
        <v/>
      </c>
      <c r="BB400" s="31" t="inlineStr">
        <is>
          <t>Stage 2</t>
        </is>
      </c>
      <c r="BC400" s="31">
        <f>IF(BB400="Stage 2",20,IF(BB400="Stage 1",0,IF(BB400="Stage 3",5,IF(BB400="Stage 4",-5,0))))</f>
        <v/>
      </c>
      <c r="BD400" s="31" t="inlineStr">
        <is>
          <t>Positive Trend</t>
        </is>
      </c>
      <c r="BE400" s="31">
        <f>IF(BD400="Positive Trend",20,IF(BD400="Negative Trend",-10,0))</f>
        <v/>
      </c>
      <c r="BF400" s="31" t="inlineStr">
        <is>
          <t>Uptrend</t>
        </is>
      </c>
      <c r="BG400" s="31">
        <f>IF(BF400="Uptrend",10,IF(BF400="Sideways",5,0))</f>
        <v/>
      </c>
      <c r="BH400" s="31" t="inlineStr">
        <is>
          <t>Uptrend</t>
        </is>
      </c>
      <c r="BI400" s="31">
        <f>IF(BH400="Uptrend",10,IF(BH400="Sideways",5,0))</f>
        <v/>
      </c>
      <c r="BJ400" s="31" t="inlineStr">
        <is>
          <t>Close to 52 week high or retracement</t>
        </is>
      </c>
      <c r="BK400" s="31">
        <f>IF(BJ400="Overhead supply in last 2 years in last 2 years",-5,IF(BJ400="Close to 52 week high or retracement",5,IF(BJ400="Blue sky scenario",10,IF(BJ400="Long term Downtrend",-10,0))))</f>
        <v/>
      </c>
      <c r="BL400" s="31" t="inlineStr">
        <is>
          <t>Yes</t>
        </is>
      </c>
      <c r="BM400" s="31">
        <f>IF(BL400="Yes",10,0)</f>
        <v/>
      </c>
      <c r="BN400" s="31" t="inlineStr">
        <is>
          <t>Less than 12%</t>
        </is>
      </c>
      <c r="BO400" s="31">
        <f>IF(BN400="More than 20%",10,IF(BN400="Between 12 to 20%",5,IF(BN400="Less than 12%",0,0)))</f>
        <v/>
      </c>
      <c r="BP400" s="31" t="inlineStr">
        <is>
          <t>No</t>
        </is>
      </c>
      <c r="BQ400" s="31">
        <f>IF(BP400="No",10,0)</f>
        <v/>
      </c>
      <c r="BR400" s="31" t="inlineStr">
        <is>
          <t>No</t>
        </is>
      </c>
      <c r="BS400" s="31">
        <f>IF(BR400="NO",5,0)</f>
        <v/>
      </c>
      <c r="BT400" s="31" t="inlineStr">
        <is>
          <t>Above 2</t>
        </is>
      </c>
      <c r="BU400" s="31">
        <f>IF(BT400="Above 2",0,IF(BT400="Between 1.5 to 2",5,IF(BT400="Less than 1.5",10,0)))</f>
        <v/>
      </c>
      <c r="BV400" s="31" t="inlineStr">
        <is>
          <t>Between 50% to 70%</t>
        </is>
      </c>
      <c r="BW400" s="31">
        <f>IF(BV400="Above 70%",10,IF(BV400="Between 50% to 70%",5,IF(BV400="Less than 50%",0,IF(BV400="Negative",-10,IF(BV400="Less than 50% and Borrowings are increasing",-5,0)))))</f>
        <v/>
      </c>
      <c r="BX400" s="31" t="inlineStr">
        <is>
          <t>Less than 0.7</t>
        </is>
      </c>
      <c r="BY400" s="31">
        <f>IF(BX400="More than 1.2",-10,IF(BX400="Between 0.7 to 1.2",0,IF(BX400="Less than 0.7",10,0)))</f>
        <v/>
      </c>
      <c r="BZ400" s="31" t="inlineStr">
        <is>
          <t>No</t>
        </is>
      </c>
      <c r="CA400" s="31">
        <f>IF(BZ400="Yes",-10,0)</f>
        <v/>
      </c>
      <c r="CB400" s="31" t="inlineStr">
        <is>
          <t>Less than 15%</t>
        </is>
      </c>
      <c r="CC400" s="31">
        <f>IF(CB400="More than 15%",-10,IF(CB400="Less than 15%",10,0))</f>
        <v/>
      </c>
      <c r="CD400" s="31" t="inlineStr">
        <is>
          <t>No</t>
        </is>
      </c>
      <c r="CE400" s="31">
        <f>IF(CD400="Yes, more than 10%",-10,IF(CD400="No",10,0))</f>
        <v/>
      </c>
    </row>
    <row r="401">
      <c r="A401" s="31">
        <f>IF(B401=0,"",RANK(B401,$B$2:$B$407,0))</f>
        <v/>
      </c>
      <c r="B401" s="32">
        <f>SUM(N401,Y401,AA401,AC401,AE401,AG401,AI401,AK401,AM401,AO401,AQ401,AS401,AU401,AW401,AY401,BA401,BC401,BE401,BG401,BI401,BK401,BM401,BO401,BQ401,BS401,BU401,BW401,BY401,CA401,CC401,CE401)</f>
        <v/>
      </c>
      <c r="C401" s="31" t="inlineStr">
        <is>
          <t>PAYTM</t>
        </is>
      </c>
      <c r="D401" s="31" t="inlineStr">
        <is>
          <t>One 97 Communications Ltd</t>
        </is>
      </c>
      <c r="E401" s="31" t="inlineStr">
        <is>
          <t>i.t</t>
        </is>
      </c>
      <c r="F401" s="31" t="inlineStr">
        <is>
          <t>miscellaneous</t>
        </is>
      </c>
      <c r="G401" s="31" t="inlineStr">
        <is>
          <t>largecap</t>
        </is>
      </c>
      <c r="H401" s="32" t="n">
        <v>77042.3</v>
      </c>
      <c r="I401" s="32" t="n">
        <v>1213.4</v>
      </c>
      <c r="J401" s="32" t="n">
        <v>0.8100000000000001</v>
      </c>
      <c r="K401" s="32" t="n">
        <v>2345056</v>
      </c>
      <c r="L401" s="31" t="n">
        <v>42</v>
      </c>
      <c r="M401" s="31" t="inlineStr">
        <is>
          <t>Outperforming</t>
        </is>
      </c>
      <c r="N401" s="32">
        <f>IF(M401="Underperforming",-5,IF(L401&gt;=95,15,IF(L401&gt;=90,10,IF(L401&gt;=80,5,0))))</f>
        <v/>
      </c>
      <c r="O401" s="32" t="n">
        <v>57.04</v>
      </c>
      <c r="P401" s="32" t="n">
        <v>17.93</v>
      </c>
      <c r="Q401" s="32" t="n">
        <v>936.76</v>
      </c>
      <c r="R401" s="31" t="inlineStr">
        <is>
          <t>Earnings / Momentum Support</t>
        </is>
      </c>
      <c r="S401" s="31" t="inlineStr">
        <is>
          <t>Nifty IT</t>
        </is>
      </c>
      <c r="T401" s="32" t="n">
        <v>-31.15</v>
      </c>
      <c r="U401" s="32" t="n">
        <v>30.35</v>
      </c>
      <c r="V401" s="32" t="n">
        <v>89.34</v>
      </c>
      <c r="W401" s="32" t="n">
        <v>11.31</v>
      </c>
      <c r="X401" s="31" t="inlineStr">
        <is>
          <t>Growing Industry</t>
        </is>
      </c>
      <c r="Y401" s="31">
        <f>IF(X401="Growing Industry",10,IF(X401="Cyclical in an Upturn",5,0))</f>
        <v/>
      </c>
      <c r="Z401" s="31" t="inlineStr">
        <is>
          <t>Too Many Players with High ROCE</t>
        </is>
      </c>
      <c r="AA401" s="31">
        <f>IF(Z401="Monopoly",10,IF(Z401="Oligopoly",5,IF(Z401="Duopoly that cooperate",10,IF(Z401="Duopoly that compete",5,IF(Z401="Too many players with High ROCE",5,0)))))</f>
        <v/>
      </c>
      <c r="AB401" s="31" t="inlineStr">
        <is>
          <t>No</t>
        </is>
      </c>
      <c r="AC401" s="31">
        <f>IF(AB401="No",5,0)</f>
        <v/>
      </c>
      <c r="AD401" s="31" t="inlineStr">
        <is>
          <t>Headwind</t>
        </is>
      </c>
      <c r="AE401" s="31">
        <f>IF(AD401="Tailwind",10,0)</f>
        <v/>
      </c>
      <c r="AF401" s="31" t="inlineStr">
        <is>
          <t>Structural (10 Years Consistency)</t>
        </is>
      </c>
      <c r="AG401" s="31">
        <f>IF(AF401="Structural (10 Years Consistency)",10,IF(AF401="Shallow Cyclical (2 to 3 years growth)",5,0))</f>
        <v/>
      </c>
      <c r="AH401" s="31" t="inlineStr">
        <is>
          <t>No</t>
        </is>
      </c>
      <c r="AI401" s="31">
        <f>IF(AH401="Yes due to Product Mix change or Operating Leverage",10,IF(AH401="Yes, these are peak margins",-5,IF(AH401="No",5,0)))</f>
        <v/>
      </c>
      <c r="AJ401" s="31" t="inlineStr">
        <is>
          <t>Stable</t>
        </is>
      </c>
      <c r="AK401" s="31">
        <f>IF(AJ401="Stable",10,0)</f>
        <v/>
      </c>
      <c r="AL401" s="31" t="inlineStr">
        <is>
          <t>Yes</t>
        </is>
      </c>
      <c r="AM401" s="31">
        <f>IF(AL401="Yes",10,0)</f>
        <v/>
      </c>
      <c r="AN401" s="31" t="inlineStr">
        <is>
          <t>B2B</t>
        </is>
      </c>
      <c r="AO401" s="31">
        <f>IF(AN401="B2C",10,IF(AN401="B2B",5,0))</f>
        <v/>
      </c>
      <c r="AP401" s="31" t="inlineStr">
        <is>
          <t>No</t>
        </is>
      </c>
      <c r="AQ401" s="31">
        <f>IF(AP401="Yes",10,0)</f>
        <v/>
      </c>
      <c r="AR401" s="31" t="inlineStr">
        <is>
          <t>Higher One Time, Lower Annuity</t>
        </is>
      </c>
      <c r="AS401" s="31">
        <f>IF(AR401="Fully Annuity",10,IF(AR401="Higher Annuity, Lower One Time",5,IF(AR401="Higher One Time, Lower Annuity",3,0)))</f>
        <v/>
      </c>
      <c r="AT401" s="31" t="inlineStr">
        <is>
          <t>Good</t>
        </is>
      </c>
      <c r="AU401" s="31">
        <f>IF(AT401="Good",10,0)</f>
        <v/>
      </c>
      <c r="AV401" s="31" t="inlineStr">
        <is>
          <t>Yes for more than 2 years</t>
        </is>
      </c>
      <c r="AW401" s="31">
        <f>IF(AV401="Yes for more than 2 years",10,IF(AV401="Yes only for next 1 to 2 years",5,0))</f>
        <v/>
      </c>
      <c r="AX401" s="31" t="inlineStr">
        <is>
          <t>0 to 20</t>
        </is>
      </c>
      <c r="AY401" s="31">
        <f>IF(AX401="Above 40",20,IF(AX401="20 to 40",10,IF(AX401="0 to 20",-5,0)))</f>
        <v/>
      </c>
      <c r="AZ401" s="31" t="inlineStr">
        <is>
          <t>Between 50 to 75</t>
        </is>
      </c>
      <c r="BA401" s="31">
        <f>IF(AZ401="Between 50 to 75",10,IF(AZ401="Above 75",0,0))</f>
        <v/>
      </c>
      <c r="BB401" s="31" t="inlineStr">
        <is>
          <t>Stage 1</t>
        </is>
      </c>
      <c r="BC401" s="31">
        <f>IF(BB401="Stage 2",20,IF(BB401="Stage 1",0,IF(BB401="Stage 3",5,IF(BB401="Stage 4",-5,0))))</f>
        <v/>
      </c>
      <c r="BD401" s="31" t="inlineStr">
        <is>
          <t>Positive Trend</t>
        </is>
      </c>
      <c r="BE401" s="31">
        <f>IF(BD401="Positive Trend",20,IF(BD401="Negative Trend",-10,0))</f>
        <v/>
      </c>
      <c r="BF401" s="31" t="inlineStr">
        <is>
          <t>Uptrend</t>
        </is>
      </c>
      <c r="BG401" s="31">
        <f>IF(BF401="Uptrend",10,IF(BF401="Sideways",5,0))</f>
        <v/>
      </c>
      <c r="BH401" s="31" t="inlineStr">
        <is>
          <t>Uptrend</t>
        </is>
      </c>
      <c r="BI401" s="31">
        <f>IF(BH401="Uptrend",10,IF(BH401="Sideways",5,0))</f>
        <v/>
      </c>
      <c r="BJ401" s="31" t="inlineStr">
        <is>
          <t>Close to 52 week high or retracement</t>
        </is>
      </c>
      <c r="BK401" s="31">
        <f>IF(BJ401="Overhead supply in last 2 years in last 2 years",-5,IF(BJ401="Close to 52 week high or retracement",5,IF(BJ401="Blue sky scenario",10,IF(BJ401="Long term Downtrend",-10,0))))</f>
        <v/>
      </c>
      <c r="BL401" s="31" t="inlineStr">
        <is>
          <t>Yes</t>
        </is>
      </c>
      <c r="BM401" s="31">
        <f>IF(BL401="Yes",10,0)</f>
        <v/>
      </c>
      <c r="BN401" s="31" t="inlineStr">
        <is>
          <t>More than 20%</t>
        </is>
      </c>
      <c r="BO401" s="31">
        <f>IF(BN401="More than 20%",10,IF(BN401="Between 12 to 20%",5,IF(BN401="Less than 12%",0,0)))</f>
        <v/>
      </c>
      <c r="BP401" s="31" t="inlineStr">
        <is>
          <t>No</t>
        </is>
      </c>
      <c r="BQ401" s="31">
        <f>IF(BP401="No",10,0)</f>
        <v/>
      </c>
      <c r="BR401" s="31" t="inlineStr">
        <is>
          <t>Yes</t>
        </is>
      </c>
      <c r="BS401" s="31">
        <f>IF(BR401="NO",5,0)</f>
        <v/>
      </c>
      <c r="BT401" s="31" t="inlineStr">
        <is>
          <t>Above 2</t>
        </is>
      </c>
      <c r="BU401" s="31">
        <f>IF(BT401="Above 2",0,IF(BT401="Between 1.5 to 2",5,IF(BT401="Less than 1.5",10,0)))</f>
        <v/>
      </c>
      <c r="BV401" s="31" t="inlineStr">
        <is>
          <t>Negative</t>
        </is>
      </c>
      <c r="BW401" s="31">
        <f>IF(BV401="Above 70%",10,IF(BV401="Between 50% to 70%",5,IF(BV401="Less than 50%",0,IF(BV401="Negative",-10,IF(BV401="Less than 50% and Borrowings are increasing",-5,0)))))</f>
        <v/>
      </c>
      <c r="BX401" s="31" t="inlineStr">
        <is>
          <t>Less than 0.7</t>
        </is>
      </c>
      <c r="BY401" s="31">
        <f>IF(BX401="More than 1.2",-10,IF(BX401="Between 0.7 to 1.2",0,IF(BX401="Less than 0.7",10,0)))</f>
        <v/>
      </c>
      <c r="BZ401" s="31" t="inlineStr">
        <is>
          <t>No</t>
        </is>
      </c>
      <c r="CA401" s="31">
        <f>IF(BZ401="Yes",-10,0)</f>
        <v/>
      </c>
      <c r="CB401" s="31" t="inlineStr">
        <is>
          <t>Less than 15%</t>
        </is>
      </c>
      <c r="CC401" s="31">
        <f>IF(CB401="More than 15%",-10,IF(CB401="Less than 15%",10,0))</f>
        <v/>
      </c>
      <c r="CD401" s="31" t="inlineStr">
        <is>
          <t>No</t>
        </is>
      </c>
      <c r="CE401" s="31">
        <f>IF(CD401="Yes, more than 10%",-10,IF(CD401="No",10,0))</f>
        <v/>
      </c>
    </row>
    <row r="402">
      <c r="A402" s="31">
        <f>IF(B402=0,"",RANK(B402,$B$2:$B$407,0))</f>
        <v/>
      </c>
      <c r="B402" s="32">
        <f>SUM(N402,Y402,AA402,AC402,AE402,AG402,AI402,AK402,AM402,AO402,AQ402,AS402,AU402,AW402,AY402,BA402,BC402,BE402,BG402,BI402,BK402,BM402,BO402,BQ402,BS402,BU402,BW402,BY402,CA402,CC402,CE402)</f>
        <v/>
      </c>
      <c r="C402" s="31" t="inlineStr">
        <is>
          <t>BALAMINES</t>
        </is>
      </c>
      <c r="D402" s="31" t="inlineStr">
        <is>
          <t>Balaji Amines Limited</t>
        </is>
      </c>
      <c r="E402" s="31" t="inlineStr">
        <is>
          <t>chemicals</t>
        </is>
      </c>
      <c r="F402" s="31" t="inlineStr">
        <is>
          <t>chemicals</t>
        </is>
      </c>
      <c r="G402" s="31" t="inlineStr">
        <is>
          <t>midcap</t>
        </is>
      </c>
      <c r="H402" s="32" t="n">
        <v>6772.46</v>
      </c>
      <c r="I402" s="32" t="n">
        <v>2231.3</v>
      </c>
      <c r="J402" s="32" t="n">
        <v>6.75</v>
      </c>
      <c r="K402" s="32" t="n">
        <v>669270</v>
      </c>
      <c r="L402" s="31" t="n">
        <v>89</v>
      </c>
      <c r="M402" s="31" t="inlineStr">
        <is>
          <t>Outperforming</t>
        </is>
      </c>
      <c r="N402" s="32">
        <f>IF(M402="Underperforming",-5,IF(L402&gt;=95,15,IF(L402&gt;=90,10,IF(L402&gt;=80,5,0))))</f>
        <v/>
      </c>
      <c r="O402" s="32" t="n">
        <v>77.12</v>
      </c>
      <c r="P402" s="32" t="n">
        <v>49.34</v>
      </c>
      <c r="Q402" s="32" t="n">
        <v>1634.44</v>
      </c>
      <c r="R402" s="31" t="inlineStr">
        <is>
          <t>Near 52W High Breakout</t>
        </is>
      </c>
      <c r="S402" s="31" t="inlineStr">
        <is>
          <t>Nifty 50</t>
        </is>
      </c>
      <c r="T402" s="32" t="n">
        <v>-5.05</v>
      </c>
      <c r="U402" s="32" t="n">
        <v>24.81</v>
      </c>
      <c r="V402" s="32" t="n">
        <v>31.45</v>
      </c>
      <c r="W402" s="32" t="n">
        <v>34.49</v>
      </c>
      <c r="X402" s="31" t="inlineStr">
        <is>
          <t>Growing Industry</t>
        </is>
      </c>
      <c r="Y402" s="31">
        <f>IF(X402="Growing Industry",10,IF(X402="Cyclical in an Upturn",5,0))</f>
        <v/>
      </c>
      <c r="Z402" s="31" t="inlineStr">
        <is>
          <t>Duopoly That Cooperate</t>
        </is>
      </c>
      <c r="AA402" s="31">
        <f>IF(Z402="Monopoly",10,IF(Z402="Oligopoly",5,IF(Z402="Duopoly that cooperate",10,IF(Z402="Duopoly that compete",5,IF(Z402="Too many players with High ROCE",5,0)))))</f>
        <v/>
      </c>
      <c r="AB402" s="31" t="inlineStr">
        <is>
          <t>No</t>
        </is>
      </c>
      <c r="AC402" s="31">
        <f>IF(AB402="No",5,0)</f>
        <v/>
      </c>
      <c r="AD402" s="31" t="inlineStr">
        <is>
          <t>Headwind</t>
        </is>
      </c>
      <c r="AE402" s="31">
        <f>IF(AD402="Tailwind",10,0)</f>
        <v/>
      </c>
      <c r="AF402" s="31" t="inlineStr">
        <is>
          <t>Shallow Cyclical (2 to 3 Years Growth)</t>
        </is>
      </c>
      <c r="AG402" s="31">
        <f>IF(AF402="Structural (10 Years Consistency)",10,IF(AF402="Shallow Cyclical (2 to 3 years growth)",5,0))</f>
        <v/>
      </c>
      <c r="AH402" s="31" t="inlineStr">
        <is>
          <t>No</t>
        </is>
      </c>
      <c r="AI402" s="31">
        <f>IF(AH402="Yes due to Product Mix change or Operating Leverage",10,IF(AH402="Yes, these are peak margins",-5,IF(AH402="No",5,0)))</f>
        <v/>
      </c>
      <c r="AJ402" s="31" t="inlineStr">
        <is>
          <t>Stable</t>
        </is>
      </c>
      <c r="AK402" s="31">
        <f>IF(AJ402="Stable",10,0)</f>
        <v/>
      </c>
      <c r="AL402" s="31" t="inlineStr">
        <is>
          <t>Yes</t>
        </is>
      </c>
      <c r="AM402" s="31">
        <f>IF(AL402="Yes",10,0)</f>
        <v/>
      </c>
      <c r="AN402" s="31" t="inlineStr">
        <is>
          <t>B2B</t>
        </is>
      </c>
      <c r="AO402" s="31">
        <f>IF(AN402="B2C",10,IF(AN402="B2B",5,0))</f>
        <v/>
      </c>
      <c r="AP402" s="31" t="inlineStr">
        <is>
          <t>Yes</t>
        </is>
      </c>
      <c r="AQ402" s="31">
        <f>IF(AP402="Yes",10,0)</f>
        <v/>
      </c>
      <c r="AR402" s="31" t="inlineStr">
        <is>
          <t>Higher One Time, Lower Annuity</t>
        </is>
      </c>
      <c r="AS402" s="31">
        <f>IF(AR402="Fully Annuity",10,IF(AR402="Higher Annuity, Lower One Time",5,IF(AR402="Higher One Time, Lower Annuity",3,0)))</f>
        <v/>
      </c>
      <c r="AT402" s="31" t="inlineStr">
        <is>
          <t>Good</t>
        </is>
      </c>
      <c r="AU402" s="31">
        <f>IF(AT402="Good",10,0)</f>
        <v/>
      </c>
      <c r="AV402" s="31" t="inlineStr">
        <is>
          <t>Yes for more than 2 years</t>
        </is>
      </c>
      <c r="AW402" s="31">
        <f>IF(AV402="Yes for more than 2 years",10,IF(AV402="Yes only for next 1 to 2 years",5,0))</f>
        <v/>
      </c>
      <c r="AX402" s="31" t="inlineStr">
        <is>
          <t>20 to 40</t>
        </is>
      </c>
      <c r="AY402" s="31">
        <f>IF(AX402="Above 40",20,IF(AX402="20 to 40",10,IF(AX402="0 to 20",-5,0)))</f>
        <v/>
      </c>
      <c r="AZ402" s="31" t="inlineStr">
        <is>
          <t>Between 50 to 75</t>
        </is>
      </c>
      <c r="BA402" s="31">
        <f>IF(AZ402="Between 50 to 75",10,IF(AZ402="Above 75",0,0))</f>
        <v/>
      </c>
      <c r="BB402" s="31" t="inlineStr">
        <is>
          <t>Stage 4</t>
        </is>
      </c>
      <c r="BC402" s="31">
        <f>IF(BB402="Stage 2",20,IF(BB402="Stage 1",0,IF(BB402="Stage 3",5,IF(BB402="Stage 4",-5,0))))</f>
        <v/>
      </c>
      <c r="BD402" s="31" t="inlineStr">
        <is>
          <t>Negative Trend</t>
        </is>
      </c>
      <c r="BE402" s="31">
        <f>IF(BD402="Positive Trend",20,IF(BD402="Negative Trend",-10,0))</f>
        <v/>
      </c>
      <c r="BF402" s="31" t="inlineStr">
        <is>
          <t>Downtrend</t>
        </is>
      </c>
      <c r="BG402" s="31">
        <f>IF(BF402="Uptrend",10,IF(BF402="Sideways",5,0))</f>
        <v/>
      </c>
      <c r="BH402" s="31" t="inlineStr">
        <is>
          <t>Uptrend</t>
        </is>
      </c>
      <c r="BI402" s="31">
        <f>IF(BH402="Uptrend",10,IF(BH402="Sideways",5,0))</f>
        <v/>
      </c>
      <c r="BJ402" s="31" t="inlineStr">
        <is>
          <t>Overhead supply in last 2 years in last 2 years</t>
        </is>
      </c>
      <c r="BK402" s="31">
        <f>IF(BJ402="Overhead supply in last 2 years in last 2 years",-5,IF(BJ402="Close to 52 week high or retracement",5,IF(BJ402="Blue sky scenario",10,IF(BJ402="Long term Downtrend",-10,0))))</f>
        <v/>
      </c>
      <c r="BL402" s="31" t="inlineStr">
        <is>
          <t>No</t>
        </is>
      </c>
      <c r="BM402" s="31">
        <f>IF(BL402="Yes",10,0)</f>
        <v/>
      </c>
      <c r="BN402" s="31" t="inlineStr">
        <is>
          <t>More than 20%</t>
        </is>
      </c>
      <c r="BO402" s="31">
        <f>IF(BN402="More than 20%",10,IF(BN402="Between 12 to 20%",5,IF(BN402="Less than 12%",0,0)))</f>
        <v/>
      </c>
      <c r="BP402" s="31" t="inlineStr">
        <is>
          <t>No</t>
        </is>
      </c>
      <c r="BQ402" s="31">
        <f>IF(BP402="No",10,0)</f>
        <v/>
      </c>
      <c r="BR402" s="31" t="inlineStr">
        <is>
          <t>Yes</t>
        </is>
      </c>
      <c r="BS402" s="31">
        <f>IF(BR402="NO",5,0)</f>
        <v/>
      </c>
      <c r="BT402" s="31" t="inlineStr">
        <is>
          <t>Less than 1.5</t>
        </is>
      </c>
      <c r="BU402" s="31">
        <f>IF(BT402="Above 2",0,IF(BT402="Between 1.5 to 2",5,IF(BT402="Less than 1.5",10,0)))</f>
        <v/>
      </c>
      <c r="BV402" s="31" t="inlineStr">
        <is>
          <t>Between 50% to 70%</t>
        </is>
      </c>
      <c r="BW402" s="31">
        <f>IF(BV402="Above 70%",10,IF(BV402="Between 50% to 70%",5,IF(BV402="Less than 50%",0,IF(BV402="Negative",-10,IF(BV402="Less than 50% and Borrowings are increasing",-5,0)))))</f>
        <v/>
      </c>
      <c r="BX402" s="31" t="inlineStr">
        <is>
          <t>Less than 0.7</t>
        </is>
      </c>
      <c r="BY402" s="31">
        <f>IF(BX402="More than 1.2",-10,IF(BX402="Between 0.7 to 1.2",0,IF(BX402="Less than 0.7",10,0)))</f>
        <v/>
      </c>
      <c r="BZ402" s="31" t="inlineStr">
        <is>
          <t>No</t>
        </is>
      </c>
      <c r="CA402" s="31">
        <f>IF(BZ402="Yes",-10,0)</f>
        <v/>
      </c>
      <c r="CB402" s="31" t="inlineStr">
        <is>
          <t>Less than 15%</t>
        </is>
      </c>
      <c r="CC402" s="31">
        <f>IF(CB402="More than 15%",-10,IF(CB402="Less than 15%",10,0))</f>
        <v/>
      </c>
      <c r="CD402" s="31" t="inlineStr">
        <is>
          <t>No</t>
        </is>
      </c>
      <c r="CE402" s="31">
        <f>IF(CD402="Yes, more than 10%",-10,IF(CD402="No",10,0))</f>
        <v/>
      </c>
    </row>
    <row r="403">
      <c r="A403" s="31">
        <f>IF(B403=0,"",RANK(B403,$B$2:$B$407,0))</f>
        <v/>
      </c>
      <c r="B403" s="32">
        <f>SUM(N403,Y403,AA403,AC403,AE403,AG403,AI403,AK403,AM403,AO403,AQ403,AS403,AU403,AW403,AY403,BA403,BC403,BE403,BG403,BI403,BK403,BM403,BO403,BQ403,BS403,BU403,BW403,BY403,CA403,CC403,CE403)</f>
        <v/>
      </c>
      <c r="C403" s="31" t="inlineStr">
        <is>
          <t>GAEL</t>
        </is>
      </c>
      <c r="D403" s="31" t="inlineStr">
        <is>
          <t>Gujarat Ambuja Exports Limited</t>
        </is>
      </c>
      <c r="E403" s="31" t="inlineStr">
        <is>
          <t>fmcg</t>
        </is>
      </c>
      <c r="F403" s="31" t="inlineStr">
        <is>
          <t>miscellaneous</t>
        </is>
      </c>
      <c r="G403" s="31" t="inlineStr">
        <is>
          <t>midcap</t>
        </is>
      </c>
      <c r="H403" s="32" t="n">
        <v>7453.4</v>
      </c>
      <c r="I403" s="32" t="n">
        <v>165.35</v>
      </c>
      <c r="J403" s="32" t="n">
        <v>1.75</v>
      </c>
      <c r="K403" s="32" t="n">
        <v>593323</v>
      </c>
      <c r="L403" s="31" t="n">
        <v>49</v>
      </c>
      <c r="M403" s="31" t="inlineStr">
        <is>
          <t>Outperforming</t>
        </is>
      </c>
      <c r="N403" s="32">
        <f>IF(M403="Underperforming",-5,IF(L403&gt;=95,15,IF(L403&gt;=90,10,IF(L403&gt;=80,5,0))))</f>
        <v/>
      </c>
      <c r="O403" s="32" t="n">
        <v>65.29000000000001</v>
      </c>
      <c r="P403" s="32" t="n">
        <v>41.01</v>
      </c>
      <c r="Q403" s="32" t="n">
        <v>134.59</v>
      </c>
      <c r="R403" s="31" t="inlineStr">
        <is>
          <t>Near 52W High Breakout</t>
        </is>
      </c>
      <c r="S403" s="31" t="inlineStr">
        <is>
          <t>Nifty FMCG</t>
        </is>
      </c>
      <c r="T403" s="32" t="n">
        <v>-8.5</v>
      </c>
      <c r="U403" s="32" t="n">
        <v>48.72</v>
      </c>
      <c r="V403" s="32" t="n">
        <v>62.53</v>
      </c>
      <c r="W403" s="32" t="n">
        <v>12.51</v>
      </c>
      <c r="X403" s="31" t="inlineStr">
        <is>
          <t>Growing Industry</t>
        </is>
      </c>
      <c r="Y403" s="31">
        <f>IF(X403="Growing Industry",10,IF(X403="Cyclical in an Upturn",5,0))</f>
        <v/>
      </c>
      <c r="Z403" s="31" t="inlineStr">
        <is>
          <t>Oligopoly</t>
        </is>
      </c>
      <c r="AA403" s="31">
        <f>IF(Z403="Monopoly",10,IF(Z403="Oligopoly",5,IF(Z403="Duopoly that cooperate",10,IF(Z403="Duopoly that compete",5,IF(Z403="Too many players with High ROCE",5,0)))))</f>
        <v/>
      </c>
      <c r="AB403" s="31" t="inlineStr">
        <is>
          <t>No</t>
        </is>
      </c>
      <c r="AC403" s="31">
        <f>IF(AB403="No",5,0)</f>
        <v/>
      </c>
      <c r="AD403" s="31" t="inlineStr">
        <is>
          <t>Tailwind</t>
        </is>
      </c>
      <c r="AE403" s="31">
        <f>IF(AD403="Tailwind",10,0)</f>
        <v/>
      </c>
      <c r="AF403" s="31" t="inlineStr">
        <is>
          <t>Shallow Cyclical (2 to 3 Years Growth)</t>
        </is>
      </c>
      <c r="AG403" s="31">
        <f>IF(AF403="Structural (10 Years Consistency)",10,IF(AF403="Shallow Cyclical (2 to 3 years growth)",5,0))</f>
        <v/>
      </c>
      <c r="AH403" s="31" t="inlineStr">
        <is>
          <t>Yes due to Product Mix change or Operating Leverage</t>
        </is>
      </c>
      <c r="AI403" s="31">
        <f>IF(AH403="Yes due to Product Mix change or Operating Leverage",10,IF(AH403="Yes, these are peak margins",-5,IF(AH403="No",5,0)))</f>
        <v/>
      </c>
      <c r="AJ403" s="31" t="inlineStr">
        <is>
          <t>Volatile</t>
        </is>
      </c>
      <c r="AK403" s="31">
        <f>IF(AJ403="Stable",10,0)</f>
        <v/>
      </c>
      <c r="AL403" s="31" t="inlineStr">
        <is>
          <t>Yes</t>
        </is>
      </c>
      <c r="AM403" s="31">
        <f>IF(AL403="Yes",10,0)</f>
        <v/>
      </c>
      <c r="AN403" s="31" t="inlineStr">
        <is>
          <t>B2B</t>
        </is>
      </c>
      <c r="AO403" s="31">
        <f>IF(AN403="B2C",10,IF(AN403="B2B",5,0))</f>
        <v/>
      </c>
      <c r="AP403" s="31" t="inlineStr">
        <is>
          <t>Yes</t>
        </is>
      </c>
      <c r="AQ403" s="31">
        <f>IF(AP403="Yes",10,0)</f>
        <v/>
      </c>
      <c r="AR403" s="31" t="inlineStr">
        <is>
          <t>Higher One Time, Lower Annuity</t>
        </is>
      </c>
      <c r="AS403" s="31">
        <f>IF(AR403="Fully Annuity",10,IF(AR403="Higher Annuity, Lower One Time",5,IF(AR403="Higher One Time, Lower Annuity",3,0)))</f>
        <v/>
      </c>
      <c r="AT403" s="31" t="inlineStr">
        <is>
          <t>Allocated capital in Non-core Areas</t>
        </is>
      </c>
      <c r="AU403" s="31">
        <f>IF(AT403="Good",10,0)</f>
        <v/>
      </c>
      <c r="AV403" s="31" t="inlineStr">
        <is>
          <t>Yes for more than 2 years</t>
        </is>
      </c>
      <c r="AW403" s="31">
        <f>IF(AV403="Yes for more than 2 years",10,IF(AV403="Yes only for next 1 to 2 years",5,0))</f>
        <v/>
      </c>
      <c r="AX403" s="31" t="inlineStr">
        <is>
          <t>Above 40</t>
        </is>
      </c>
      <c r="AY403" s="31">
        <f>IF(AX403="Above 40",20,IF(AX403="20 to 40",10,IF(AX403="0 to 20",-5,0)))</f>
        <v/>
      </c>
      <c r="AZ403" s="31" t="inlineStr">
        <is>
          <t>Between 50 to 75</t>
        </is>
      </c>
      <c r="BA403" s="31">
        <f>IF(AZ403="Between 50 to 75",10,IF(AZ403="Above 75",0,0))</f>
        <v/>
      </c>
      <c r="BB403" s="31" t="inlineStr">
        <is>
          <t>Stage 3</t>
        </is>
      </c>
      <c r="BC403" s="31">
        <f>IF(BB403="Stage 2",20,IF(BB403="Stage 1",0,IF(BB403="Stage 3",5,IF(BB403="Stage 4",-5,0))))</f>
        <v/>
      </c>
      <c r="BD403" s="31" t="inlineStr">
        <is>
          <t>Negative Trend</t>
        </is>
      </c>
      <c r="BE403" s="31">
        <f>IF(BD403="Positive Trend",20,IF(BD403="Negative Trend",-10,0))</f>
        <v/>
      </c>
      <c r="BF403" s="31" t="inlineStr">
        <is>
          <t>Sideways</t>
        </is>
      </c>
      <c r="BG403" s="31">
        <f>IF(BF403="Uptrend",10,IF(BF403="Sideways",5,0))</f>
        <v/>
      </c>
      <c r="BH403" s="31" t="inlineStr">
        <is>
          <t>Uptrend</t>
        </is>
      </c>
      <c r="BI403" s="31">
        <f>IF(BH403="Uptrend",10,IF(BH403="Sideways",5,0))</f>
        <v/>
      </c>
      <c r="BJ403" s="31" t="inlineStr">
        <is>
          <t>Overhead supply in last 2 years in last 2 years</t>
        </is>
      </c>
      <c r="BK403" s="31">
        <f>IF(BJ403="Overhead supply in last 2 years in last 2 years",-5,IF(BJ403="Close to 52 week high or retracement",5,IF(BJ403="Blue sky scenario",10,IF(BJ403="Long term Downtrend",-10,0))))</f>
        <v/>
      </c>
      <c r="BL403" s="31" t="inlineStr">
        <is>
          <t>Yes</t>
        </is>
      </c>
      <c r="BM403" s="31">
        <f>IF(BL403="Yes",10,0)</f>
        <v/>
      </c>
      <c r="BN403" s="31" t="inlineStr">
        <is>
          <t>More than 20%</t>
        </is>
      </c>
      <c r="BO403" s="31">
        <f>IF(BN403="More than 20%",10,IF(BN403="Between 12 to 20%",5,IF(BN403="Less than 12%",0,0)))</f>
        <v/>
      </c>
      <c r="BP403" s="31" t="inlineStr">
        <is>
          <t>No</t>
        </is>
      </c>
      <c r="BQ403" s="31">
        <f>IF(BP403="No",10,0)</f>
        <v/>
      </c>
      <c r="BR403" s="31" t="inlineStr">
        <is>
          <t>No</t>
        </is>
      </c>
      <c r="BS403" s="31">
        <f>IF(BR403="NO",5,0)</f>
        <v/>
      </c>
      <c r="BT403" s="31" t="inlineStr">
        <is>
          <t>Less than 1.5</t>
        </is>
      </c>
      <c r="BU403" s="31">
        <f>IF(BT403="Above 2",0,IF(BT403="Between 1.5 to 2",5,IF(BT403="Less than 1.5",10,0)))</f>
        <v/>
      </c>
      <c r="BV403" s="31" t="inlineStr">
        <is>
          <t>Above 70%</t>
        </is>
      </c>
      <c r="BW403" s="31">
        <f>IF(BV403="Above 70%",10,IF(BV403="Between 50% to 70%",5,IF(BV403="Less than 50%",0,IF(BV403="Negative",-10,IF(BV403="Less than 50% and Borrowings are increasing",-5,0)))))</f>
        <v/>
      </c>
      <c r="BX403" s="31" t="inlineStr">
        <is>
          <t>Less than 0.7</t>
        </is>
      </c>
      <c r="BY403" s="31">
        <f>IF(BX403="More than 1.2",-10,IF(BX403="Between 0.7 to 1.2",0,IF(BX403="Less than 0.7",10,0)))</f>
        <v/>
      </c>
      <c r="BZ403" s="31" t="inlineStr">
        <is>
          <t>No</t>
        </is>
      </c>
      <c r="CA403" s="31">
        <f>IF(BZ403="Yes",-10,0)</f>
        <v/>
      </c>
      <c r="CB403" s="31" t="inlineStr">
        <is>
          <t>More than 15%</t>
        </is>
      </c>
      <c r="CC403" s="31">
        <f>IF(CB403="More than 15%",-10,IF(CB403="Less than 15%",10,0))</f>
        <v/>
      </c>
      <c r="CD403" s="31" t="inlineStr">
        <is>
          <t>Yes Upto 10%</t>
        </is>
      </c>
      <c r="CE403" s="31">
        <f>IF(CD403="Yes, more than 10%",-10,IF(CD403="No",10,0))</f>
        <v/>
      </c>
    </row>
    <row r="404">
      <c r="A404" s="31">
        <f>IF(B404=0,"",RANK(B404,$B$2:$B$407,0))</f>
        <v/>
      </c>
      <c r="B404" s="32">
        <f>SUM(N404,Y404,AA404,AC404,AE404,AG404,AI404,AK404,AM404,AO404,AQ404,AS404,AU404,AW404,AY404,BA404,BC404,BE404,BG404,BI404,BK404,BM404,BO404,BQ404,BS404,BU404,BW404,BY404,CA404,CC404,CE404)</f>
        <v/>
      </c>
      <c r="C404" s="31" t="inlineStr">
        <is>
          <t>FLUOROCHEM</t>
        </is>
      </c>
      <c r="D404" s="31" t="inlineStr">
        <is>
          <t>Gujarat Fluorochemicals Ltd</t>
        </is>
      </c>
      <c r="E404" s="31" t="inlineStr">
        <is>
          <t>chemicals</t>
        </is>
      </c>
      <c r="F404" s="31" t="inlineStr">
        <is>
          <t>chemicals</t>
        </is>
      </c>
      <c r="G404" s="31" t="inlineStr">
        <is>
          <t>largecap</t>
        </is>
      </c>
      <c r="H404" s="32" t="n">
        <v>43180.94</v>
      </c>
      <c r="I404" s="32" t="n">
        <v>3972.6</v>
      </c>
      <c r="J404" s="32" t="n">
        <v>1.06</v>
      </c>
      <c r="K404" s="32" t="n">
        <v>123983</v>
      </c>
      <c r="L404" s="31" t="n">
        <v>28</v>
      </c>
      <c r="M404" s="31" t="inlineStr">
        <is>
          <t>Outperforming</t>
        </is>
      </c>
      <c r="N404" s="32">
        <f>IF(M404="Underperforming",-5,IF(L404&gt;=95,15,IF(L404&gt;=90,10,IF(L404&gt;=80,5,0))))</f>
        <v/>
      </c>
      <c r="O404" s="32" t="n">
        <v>63.17</v>
      </c>
      <c r="P404" s="32" t="n">
        <v>16.11</v>
      </c>
      <c r="Q404" s="32" t="n">
        <v>3252.27</v>
      </c>
      <c r="R404" s="31" t="inlineStr">
        <is>
          <t>Near 52W High Breakout</t>
        </is>
      </c>
      <c r="S404" s="31" t="inlineStr">
        <is>
          <t>Nifty 50</t>
        </is>
      </c>
      <c r="T404" s="32" t="n">
        <v>-5.05</v>
      </c>
      <c r="U404" s="32" t="n">
        <v>12.89</v>
      </c>
      <c r="V404" s="32" t="n">
        <v>18.89</v>
      </c>
      <c r="W404" s="32" t="n">
        <v>7.91</v>
      </c>
      <c r="X404" s="31" t="inlineStr">
        <is>
          <t>Growing Industry</t>
        </is>
      </c>
      <c r="Y404" s="31">
        <f>IF(X404="Growing Industry",10,IF(X404="Cyclical in an Upturn",5,0))</f>
        <v/>
      </c>
      <c r="Z404" s="31" t="inlineStr">
        <is>
          <t>Oligopoly</t>
        </is>
      </c>
      <c r="AA404" s="31">
        <f>IF(Z404="Monopoly",10,IF(Z404="Oligopoly",5,IF(Z404="Duopoly that cooperate",10,IF(Z404="Duopoly that compete",5,IF(Z404="Too many players with High ROCE",5,0)))))</f>
        <v/>
      </c>
      <c r="AB404" s="31" t="inlineStr">
        <is>
          <t>No</t>
        </is>
      </c>
      <c r="AC404" s="31">
        <f>IF(AB404="No",5,0)</f>
        <v/>
      </c>
      <c r="AD404" s="31" t="inlineStr">
        <is>
          <t>Tailwind</t>
        </is>
      </c>
      <c r="AE404" s="31">
        <f>IF(AD404="Tailwind",10,0)</f>
        <v/>
      </c>
      <c r="AF404" s="31" t="inlineStr">
        <is>
          <t>Shallow Cyclical (2 to 3 Years Growth)</t>
        </is>
      </c>
      <c r="AG404" s="31">
        <f>IF(AF404="Structural (10 Years Consistency)",10,IF(AF404="Shallow Cyclical (2 to 3 years growth)",5,0))</f>
        <v/>
      </c>
      <c r="AH404" s="31" t="inlineStr">
        <is>
          <t>Yes due to Product Mix change or Operating Leverage</t>
        </is>
      </c>
      <c r="AI404" s="31">
        <f>IF(AH404="Yes due to Product Mix change or Operating Leverage",10,IF(AH404="Yes, these are peak margins",-5,IF(AH404="No",5,0)))</f>
        <v/>
      </c>
      <c r="AJ404" s="31" t="inlineStr">
        <is>
          <t>Volatile</t>
        </is>
      </c>
      <c r="AK404" s="31">
        <f>IF(AJ404="Stable",10,0)</f>
        <v/>
      </c>
      <c r="AL404" s="31" t="inlineStr">
        <is>
          <t>Yes</t>
        </is>
      </c>
      <c r="AM404" s="31">
        <f>IF(AL404="Yes",10,0)</f>
        <v/>
      </c>
      <c r="AN404" s="31" t="inlineStr">
        <is>
          <t>B2B</t>
        </is>
      </c>
      <c r="AO404" s="31">
        <f>IF(AN404="B2C",10,IF(AN404="B2B",5,0))</f>
        <v/>
      </c>
      <c r="AP404" s="31" t="inlineStr">
        <is>
          <t>Yes</t>
        </is>
      </c>
      <c r="AQ404" s="31">
        <f>IF(AP404="Yes",10,0)</f>
        <v/>
      </c>
      <c r="AR404" s="31" t="inlineStr">
        <is>
          <t>Higher One Time, Lower Annuity</t>
        </is>
      </c>
      <c r="AS404" s="31">
        <f>IF(AR404="Fully Annuity",10,IF(AR404="Higher Annuity, Lower One Time",5,IF(AR404="Higher One Time, Lower Annuity",3,0)))</f>
        <v/>
      </c>
      <c r="AT404" s="31" t="inlineStr">
        <is>
          <t>Allocated capital in Non-core Areas</t>
        </is>
      </c>
      <c r="AU404" s="31">
        <f>IF(AT404="Good",10,0)</f>
        <v/>
      </c>
      <c r="AV404" s="31" t="inlineStr">
        <is>
          <t>Yes for more than 2 years</t>
        </is>
      </c>
      <c r="AW404" s="31">
        <f>IF(AV404="Yes for more than 2 years",10,IF(AV404="Yes only for next 1 to 2 years",5,0))</f>
        <v/>
      </c>
      <c r="AX404" s="31" t="inlineStr">
        <is>
          <t>Above 40</t>
        </is>
      </c>
      <c r="AY404" s="31">
        <f>IF(AX404="Above 40",20,IF(AX404="20 to 40",10,IF(AX404="0 to 20",-5,0)))</f>
        <v/>
      </c>
      <c r="AZ404" s="31" t="inlineStr">
        <is>
          <t>Between 50 to 75</t>
        </is>
      </c>
      <c r="BA404" s="31">
        <f>IF(AZ404="Between 50 to 75",10,IF(AZ404="Above 75",0,0))</f>
        <v/>
      </c>
      <c r="BB404" s="31" t="inlineStr">
        <is>
          <t>Stage 3</t>
        </is>
      </c>
      <c r="BC404" s="31">
        <f>IF(BB404="Stage 2",20,IF(BB404="Stage 1",0,IF(BB404="Stage 3",5,IF(BB404="Stage 4",-5,0))))</f>
        <v/>
      </c>
      <c r="BD404" s="31" t="inlineStr">
        <is>
          <t>Negative Trend</t>
        </is>
      </c>
      <c r="BE404" s="31">
        <f>IF(BD404="Positive Trend",20,IF(BD404="Negative Trend",-10,0))</f>
        <v/>
      </c>
      <c r="BF404" s="31" t="inlineStr">
        <is>
          <t>Sideways</t>
        </is>
      </c>
      <c r="BG404" s="31">
        <f>IF(BF404="Uptrend",10,IF(BF404="Sideways",5,0))</f>
        <v/>
      </c>
      <c r="BH404" s="31" t="inlineStr">
        <is>
          <t>Uptrend</t>
        </is>
      </c>
      <c r="BI404" s="31">
        <f>IF(BH404="Uptrend",10,IF(BH404="Sideways",5,0))</f>
        <v/>
      </c>
      <c r="BJ404" s="31" t="inlineStr">
        <is>
          <t>Overhead supply in last 2 years in last 2 years</t>
        </is>
      </c>
      <c r="BK404" s="31">
        <f>IF(BJ404="Overhead supply in last 2 years in last 2 years",-5,IF(BJ404="Close to 52 week high or retracement",5,IF(BJ404="Blue sky scenario",10,IF(BJ404="Long term Downtrend",-10,0))))</f>
        <v/>
      </c>
      <c r="BL404" s="31" t="inlineStr">
        <is>
          <t>Yes</t>
        </is>
      </c>
      <c r="BM404" s="31">
        <f>IF(BL404="Yes",10,0)</f>
        <v/>
      </c>
      <c r="BN404" s="31" t="inlineStr">
        <is>
          <t>More than 20%</t>
        </is>
      </c>
      <c r="BO404" s="31">
        <f>IF(BN404="More than 20%",10,IF(BN404="Between 12 to 20%",5,IF(BN404="Less than 12%",0,0)))</f>
        <v/>
      </c>
      <c r="BP404" s="31" t="inlineStr">
        <is>
          <t>No</t>
        </is>
      </c>
      <c r="BQ404" s="31">
        <f>IF(BP404="No",10,0)</f>
        <v/>
      </c>
      <c r="BR404" s="31" t="inlineStr">
        <is>
          <t>No</t>
        </is>
      </c>
      <c r="BS404" s="31">
        <f>IF(BR404="NO",5,0)</f>
        <v/>
      </c>
      <c r="BT404" s="31" t="inlineStr">
        <is>
          <t>Less than 1.5</t>
        </is>
      </c>
      <c r="BU404" s="31">
        <f>IF(BT404="Above 2",0,IF(BT404="Between 1.5 to 2",5,IF(BT404="Less than 1.5",10,0)))</f>
        <v/>
      </c>
      <c r="BV404" s="31" t="inlineStr">
        <is>
          <t>Above 70%</t>
        </is>
      </c>
      <c r="BW404" s="31">
        <f>IF(BV404="Above 70%",10,IF(BV404="Between 50% to 70%",5,IF(BV404="Less than 50%",0,IF(BV404="Negative",-10,IF(BV404="Less than 50% and Borrowings are increasing",-5,0)))))</f>
        <v/>
      </c>
      <c r="BX404" s="31" t="inlineStr">
        <is>
          <t>Less than 0.7</t>
        </is>
      </c>
      <c r="BY404" s="31">
        <f>IF(BX404="More than 1.2",-10,IF(BX404="Between 0.7 to 1.2",0,IF(BX404="Less than 0.7",10,0)))</f>
        <v/>
      </c>
      <c r="BZ404" s="31" t="inlineStr">
        <is>
          <t>No</t>
        </is>
      </c>
      <c r="CA404" s="31">
        <f>IF(BZ404="Yes",-10,0)</f>
        <v/>
      </c>
      <c r="CB404" s="31" t="inlineStr">
        <is>
          <t>More than 15%</t>
        </is>
      </c>
      <c r="CC404" s="31">
        <f>IF(CB404="More than 15%",-10,IF(CB404="Less than 15%",10,0))</f>
        <v/>
      </c>
      <c r="CD404" s="31" t="inlineStr">
        <is>
          <t>Yes Upto 10%</t>
        </is>
      </c>
      <c r="CE404" s="31">
        <f>IF(CD404="Yes, more than 10%",-10,IF(CD404="No",10,0))</f>
        <v/>
      </c>
    </row>
    <row r="405">
      <c r="A405" s="31">
        <f>IF(B405=0,"",RANK(B405,$B$2:$B$407,0))</f>
        <v/>
      </c>
      <c r="B405" s="32">
        <f>SUM(N405,Y405,AA405,AC405,AE405,AG405,AI405,AK405,AM405,AO405,AQ405,AS405,AU405,AW405,AY405,BA405,BC405,BE405,BG405,BI405,BK405,BM405,BO405,BQ405,BS405,BU405,BW405,BY405,CA405,CC405,CE405)</f>
        <v/>
      </c>
      <c r="C405" s="31" t="inlineStr">
        <is>
          <t>POLICYBZR</t>
        </is>
      </c>
      <c r="D405" s="31" t="inlineStr">
        <is>
          <t>PB Fintech Ltd</t>
        </is>
      </c>
      <c r="E405" s="31" t="inlineStr">
        <is>
          <t>i.t</t>
        </is>
      </c>
      <c r="F405" s="31" t="inlineStr">
        <is>
          <t>computers - software - medium / small</t>
        </is>
      </c>
      <c r="G405" s="31" t="inlineStr">
        <is>
          <t>largecap</t>
        </is>
      </c>
      <c r="H405" s="32" t="n">
        <v>77926.77</v>
      </c>
      <c r="I405" s="32" t="n">
        <v>1682.1</v>
      </c>
      <c r="J405" s="32" t="n">
        <v>-0.12</v>
      </c>
      <c r="K405" s="32" t="n">
        <v>897073</v>
      </c>
      <c r="L405" s="31" t="n">
        <v>7</v>
      </c>
      <c r="M405" s="31" t="inlineStr">
        <is>
          <t>Outperforming</t>
        </is>
      </c>
      <c r="N405" s="32">
        <f>IF(M405="Underperforming",-5,IF(L405&gt;=95,15,IF(L405&gt;=90,10,IF(L405&gt;=80,5,0))))</f>
        <v/>
      </c>
      <c r="O405" s="32" t="n">
        <v>53.15</v>
      </c>
      <c r="P405" s="32" t="n">
        <v>10.99</v>
      </c>
      <c r="Q405" s="32" t="n">
        <v>1427.12</v>
      </c>
      <c r="R405" s="31" t="inlineStr">
        <is>
          <t>Earnings / Momentum Support</t>
        </is>
      </c>
      <c r="S405" s="31" t="inlineStr">
        <is>
          <t>Nifty IT</t>
        </is>
      </c>
      <c r="T405" s="32" t="n">
        <v>-31.15</v>
      </c>
      <c r="U405" s="32" t="n">
        <v>-6.24</v>
      </c>
      <c r="V405" s="32" t="n">
        <v>36.19</v>
      </c>
      <c r="W405" s="32" t="n">
        <v>3.08</v>
      </c>
      <c r="X405" s="31" t="inlineStr">
        <is>
          <t>Growing Industry</t>
        </is>
      </c>
      <c r="Y405" s="31">
        <f>IF(X405="Growing Industry",10,IF(X405="Cyclical in an Upturn",5,0))</f>
        <v/>
      </c>
      <c r="Z405" s="31" t="inlineStr">
        <is>
          <t>Monopoly</t>
        </is>
      </c>
      <c r="AA405" s="31">
        <f>IF(Z405="Monopoly",10,IF(Z405="Oligopoly",5,IF(Z405="Duopoly that cooperate",10,IF(Z405="Duopoly that compete",5,IF(Z405="Too many players with High ROCE",5,0)))))</f>
        <v/>
      </c>
      <c r="AB405" s="31" t="inlineStr">
        <is>
          <t>Yes</t>
        </is>
      </c>
      <c r="AC405" s="31">
        <f>IF(AB405="No",5,0)</f>
        <v/>
      </c>
      <c r="AD405" s="31" t="inlineStr">
        <is>
          <t>Tailwind</t>
        </is>
      </c>
      <c r="AE405" s="31">
        <f>IF(AD405="Tailwind",10,0)</f>
        <v/>
      </c>
      <c r="AF405" s="31" t="inlineStr">
        <is>
          <t>Structural (10 Years Consistency)</t>
        </is>
      </c>
      <c r="AG405" s="31">
        <f>IF(AF405="Structural (10 Years Consistency)",10,IF(AF405="Shallow Cyclical (2 to 3 years growth)",5,0))</f>
        <v/>
      </c>
      <c r="AH405" s="31" t="inlineStr">
        <is>
          <t>No</t>
        </is>
      </c>
      <c r="AI405" s="31">
        <f>IF(AH405="Yes due to Product Mix change or Operating Leverage",10,IF(AH405="Yes, these are peak margins",-5,IF(AH405="No",5,0)))</f>
        <v/>
      </c>
      <c r="AJ405" s="31" t="inlineStr">
        <is>
          <t>Volatile</t>
        </is>
      </c>
      <c r="AK405" s="31">
        <f>IF(AJ405="Stable",10,0)</f>
        <v/>
      </c>
      <c r="AL405" s="31" t="inlineStr">
        <is>
          <t>Yes</t>
        </is>
      </c>
      <c r="AM405" s="31">
        <f>IF(AL405="Yes",10,0)</f>
        <v/>
      </c>
      <c r="AN405" s="31" t="inlineStr">
        <is>
          <t>B2C</t>
        </is>
      </c>
      <c r="AO405" s="31">
        <f>IF(AN405="B2C",10,IF(AN405="B2B",5,0))</f>
        <v/>
      </c>
      <c r="AP405" s="31" t="inlineStr">
        <is>
          <t>Yes</t>
        </is>
      </c>
      <c r="AQ405" s="31">
        <f>IF(AP405="Yes",10,0)</f>
        <v/>
      </c>
      <c r="AR405" s="31" t="inlineStr">
        <is>
          <t>Fully Annuity</t>
        </is>
      </c>
      <c r="AS405" s="31">
        <f>IF(AR405="Fully Annuity",10,IF(AR405="Higher Annuity, Lower One Time",5,IF(AR405="Higher One Time, Lower Annuity",3,0)))</f>
        <v/>
      </c>
      <c r="AT405" s="31" t="inlineStr">
        <is>
          <t>Allocated capital in Non-core Areas</t>
        </is>
      </c>
      <c r="AU405" s="31">
        <f>IF(AT405="Good",10,0)</f>
        <v/>
      </c>
      <c r="AV405" s="31" t="inlineStr">
        <is>
          <t>Yes for more than 2 years</t>
        </is>
      </c>
      <c r="AW405" s="31">
        <f>IF(AV405="Yes for more than 2 years",10,IF(AV405="Yes only for next 1 to 2 years",5,0))</f>
        <v/>
      </c>
      <c r="AX405" s="31" t="inlineStr">
        <is>
          <t>20 to 40</t>
        </is>
      </c>
      <c r="AY405" s="31">
        <f>IF(AX405="Above 40",20,IF(AX405="20 to 40",10,IF(AX405="0 to 20",-5,0)))</f>
        <v/>
      </c>
      <c r="AZ405" s="31" t="inlineStr">
        <is>
          <t>Below 45</t>
        </is>
      </c>
      <c r="BA405" s="31">
        <f>IF(AZ405="Between 50 to 75",10,IF(AZ405="Above 75",0,0))</f>
        <v/>
      </c>
      <c r="BB405" s="31" t="inlineStr">
        <is>
          <t>Stage 1</t>
        </is>
      </c>
      <c r="BC405" s="31">
        <f>IF(BB405="Stage 2",20,IF(BB405="Stage 1",0,IF(BB405="Stage 3",5,IF(BB405="Stage 4",-5,0))))</f>
        <v/>
      </c>
      <c r="BD405" s="31" t="inlineStr">
        <is>
          <t>Positive Trend</t>
        </is>
      </c>
      <c r="BE405" s="31">
        <f>IF(BD405="Positive Trend",20,IF(BD405="Negative Trend",-10,0))</f>
        <v/>
      </c>
      <c r="BF405" s="31" t="inlineStr">
        <is>
          <t>Downtrend</t>
        </is>
      </c>
      <c r="BG405" s="31">
        <f>IF(BF405="Uptrend",10,IF(BF405="Sideways",5,0))</f>
        <v/>
      </c>
      <c r="BH405" s="31" t="inlineStr">
        <is>
          <t>Downtrend</t>
        </is>
      </c>
      <c r="BI405" s="31">
        <f>IF(BH405="Uptrend",10,IF(BH405="Sideways",5,0))</f>
        <v/>
      </c>
      <c r="BJ405" s="31" t="inlineStr">
        <is>
          <t>Overhead supply in last 2 years in last 2 years</t>
        </is>
      </c>
      <c r="BK405" s="31">
        <f>IF(BJ405="Overhead supply in last 2 years in last 2 years",-5,IF(BJ405="Close to 52 week high or retracement",5,IF(BJ405="Blue sky scenario",10,IF(BJ405="Long term Downtrend",-10,0))))</f>
        <v/>
      </c>
      <c r="BL405" s="31" t="inlineStr">
        <is>
          <t>Yes</t>
        </is>
      </c>
      <c r="BM405" s="31">
        <f>IF(BL405="Yes",10,0)</f>
        <v/>
      </c>
      <c r="BN405" s="31" t="inlineStr">
        <is>
          <t>Less than 12%</t>
        </is>
      </c>
      <c r="BO405" s="31">
        <f>IF(BN405="More than 20%",10,IF(BN405="Between 12 to 20%",5,IF(BN405="Less than 12%",0,0)))</f>
        <v/>
      </c>
      <c r="BP405" s="31" t="inlineStr">
        <is>
          <t>Yes</t>
        </is>
      </c>
      <c r="BQ405" s="31">
        <f>IF(BP405="No",10,0)</f>
        <v/>
      </c>
      <c r="BR405" s="31" t="inlineStr">
        <is>
          <t>Yes</t>
        </is>
      </c>
      <c r="BS405" s="31">
        <f>IF(BR405="NO",5,0)</f>
        <v/>
      </c>
      <c r="BT405" s="31" t="inlineStr">
        <is>
          <t>Above 2</t>
        </is>
      </c>
      <c r="BU405" s="31">
        <f>IF(BT405="Above 2",0,IF(BT405="Between 1.5 to 2",5,IF(BT405="Less than 1.5",10,0)))</f>
        <v/>
      </c>
      <c r="BV405" s="31" t="inlineStr">
        <is>
          <t>Above 70%</t>
        </is>
      </c>
      <c r="BW405" s="31">
        <f>IF(BV405="Above 70%",10,IF(BV405="Between 50% to 70%",5,IF(BV405="Less than 50%",0,IF(BV405="Negative",-10,IF(BV405="Less than 50% and Borrowings are increasing",-5,0)))))</f>
        <v/>
      </c>
      <c r="BX405" s="31" t="inlineStr">
        <is>
          <t>Less than 0.7</t>
        </is>
      </c>
      <c r="BY405" s="31">
        <f>IF(BX405="More than 1.2",-10,IF(BX405="Between 0.7 to 1.2",0,IF(BX405="Less than 0.7",10,0)))</f>
        <v/>
      </c>
      <c r="BZ405" s="31" t="inlineStr">
        <is>
          <t>No</t>
        </is>
      </c>
      <c r="CA405" s="31">
        <f>IF(BZ405="Yes",-10,0)</f>
        <v/>
      </c>
      <c r="CB405" s="31" t="inlineStr">
        <is>
          <t>Less than 15%</t>
        </is>
      </c>
      <c r="CC405" s="31">
        <f>IF(CB405="More than 15%",-10,IF(CB405="Less than 15%",10,0))</f>
        <v/>
      </c>
      <c r="CD405" s="31" t="inlineStr">
        <is>
          <t>No</t>
        </is>
      </c>
      <c r="CE405" s="31">
        <f>IF(CD405="Yes, more than 10%",-10,IF(CD405="No",10,0))</f>
        <v/>
      </c>
    </row>
    <row r="406">
      <c r="A406" s="31">
        <f>IF(B406=0,"",RANK(B406,$B$2:$B$407,0))</f>
        <v/>
      </c>
      <c r="B406" s="32">
        <f>SUM(N406,Y406,AA406,AC406,AE406,AG406,AI406,AK406,AM406,AO406,AQ406,AS406,AU406,AW406,AY406,BA406,BC406,BE406,BG406,BI406,BK406,BM406,BO406,BQ406,BS406,BU406,BW406,BY406,CA406,CC406,CE406)</f>
        <v/>
      </c>
      <c r="C406" s="31" t="inlineStr">
        <is>
          <t>ICEMAKE</t>
        </is>
      </c>
      <c r="D406" s="31" t="inlineStr">
        <is>
          <t>ICE Make Refrigeration Ltd</t>
        </is>
      </c>
      <c r="E406" s="31" t="inlineStr">
        <is>
          <t>industrials</t>
        </is>
      </c>
      <c r="F406" s="31" t="inlineStr">
        <is>
          <t>engineering</t>
        </is>
      </c>
      <c r="G406" s="31" t="inlineStr">
        <is>
          <t>smallcap</t>
        </is>
      </c>
      <c r="H406" s="32" t="n">
        <v>1255.51</v>
      </c>
      <c r="I406" s="32" t="n">
        <v>794</v>
      </c>
      <c r="J406" s="32" t="n">
        <v>-0.21</v>
      </c>
      <c r="K406" s="32" t="n">
        <v>16580</v>
      </c>
      <c r="L406" s="31" t="n">
        <v>5</v>
      </c>
      <c r="M406" s="31" t="inlineStr">
        <is>
          <t>Outperforming</t>
        </is>
      </c>
      <c r="N406" s="32">
        <f>IF(M406="Underperforming",-5,IF(L406&gt;=95,15,IF(L406&gt;=90,10,IF(L406&gt;=80,5,0))))</f>
        <v/>
      </c>
      <c r="O406" s="32" t="n">
        <v>51.99</v>
      </c>
      <c r="P406" s="32" t="n">
        <v>15.79</v>
      </c>
      <c r="Q406" s="32" t="n">
        <v>633.91</v>
      </c>
      <c r="R406" s="31" t="inlineStr">
        <is>
          <t>Earnings / Momentum Support</t>
        </is>
      </c>
      <c r="S406" s="31" t="inlineStr">
        <is>
          <t>Nifty 50</t>
        </is>
      </c>
      <c r="T406" s="32" t="n">
        <v>-5.05</v>
      </c>
      <c r="U406" s="32" t="n">
        <v>-0.15</v>
      </c>
      <c r="V406" s="32" t="n">
        <v>5.16</v>
      </c>
      <c r="W406" s="32" t="n">
        <v>2.66</v>
      </c>
      <c r="X406" s="31" t="inlineStr">
        <is>
          <t>Cyclical in an Upturn</t>
        </is>
      </c>
      <c r="Y406" s="31">
        <f>IF(X406="Growing Industry",10,IF(X406="Cyclical in an Upturn",5,0))</f>
        <v/>
      </c>
      <c r="Z406" s="31" t="inlineStr">
        <is>
          <t>Too Many Players with High ROCE</t>
        </is>
      </c>
      <c r="AA406" s="31">
        <f>IF(Z406="Monopoly",10,IF(Z406="Oligopoly",5,IF(Z406="Duopoly that cooperate",10,IF(Z406="Duopoly that compete",5,IF(Z406="Too many players with High ROCE",5,0)))))</f>
        <v/>
      </c>
      <c r="AB406" s="31" t="inlineStr">
        <is>
          <t>No</t>
        </is>
      </c>
      <c r="AC406" s="31">
        <f>IF(AB406="No",5,0)</f>
        <v/>
      </c>
      <c r="AD406" s="31" t="inlineStr">
        <is>
          <t>Tailwind</t>
        </is>
      </c>
      <c r="AE406" s="31">
        <f>IF(AD406="Tailwind",10,0)</f>
        <v/>
      </c>
      <c r="AF406" s="31" t="inlineStr">
        <is>
          <t>Structural (10 Years Consistency)</t>
        </is>
      </c>
      <c r="AG406" s="31">
        <f>IF(AF406="Structural (10 Years Consistency)",10,IF(AF406="Shallow Cyclical (2 to 3 years growth)",5,0))</f>
        <v/>
      </c>
      <c r="AH406" s="31" t="inlineStr">
        <is>
          <t>No</t>
        </is>
      </c>
      <c r="AI406" s="31">
        <f>IF(AH406="Yes due to Product Mix change or Operating Leverage",10,IF(AH406="Yes, these are peak margins",-5,IF(AH406="No",5,0)))</f>
        <v/>
      </c>
      <c r="AJ406" s="31" t="inlineStr">
        <is>
          <t>Stable</t>
        </is>
      </c>
      <c r="AK406" s="31">
        <f>IF(AJ406="Stable",10,0)</f>
        <v/>
      </c>
      <c r="AL406" s="31" t="inlineStr">
        <is>
          <t>Yes</t>
        </is>
      </c>
      <c r="AM406" s="31">
        <f>IF(AL406="Yes",10,0)</f>
        <v/>
      </c>
      <c r="AN406" s="31" t="inlineStr">
        <is>
          <t>B2B</t>
        </is>
      </c>
      <c r="AO406" s="31">
        <f>IF(AN406="B2C",10,IF(AN406="B2B",5,0))</f>
        <v/>
      </c>
      <c r="AP406" s="31" t="inlineStr">
        <is>
          <t>No</t>
        </is>
      </c>
      <c r="AQ406" s="31">
        <f>IF(AP406="Yes",10,0)</f>
        <v/>
      </c>
      <c r="AR406" s="31" t="inlineStr">
        <is>
          <t>Higher One Time, Lower Annuity</t>
        </is>
      </c>
      <c r="AS406" s="31">
        <f>IF(AR406="Fully Annuity",10,IF(AR406="Higher Annuity, Lower One Time",5,IF(AR406="Higher One Time, Lower Annuity",3,0)))</f>
        <v/>
      </c>
      <c r="AT406" s="31" t="inlineStr">
        <is>
          <t>Good</t>
        </is>
      </c>
      <c r="AU406" s="31">
        <f>IF(AT406="Good",10,0)</f>
        <v/>
      </c>
      <c r="AV406" s="31" t="inlineStr">
        <is>
          <t>Yes for more than 2 years</t>
        </is>
      </c>
      <c r="AW406" s="31">
        <f>IF(AV406="Yes for more than 2 years",10,IF(AV406="Yes only for next 1 to 2 years",5,0))</f>
        <v/>
      </c>
      <c r="AX406" s="31" t="inlineStr">
        <is>
          <t>0 to 20</t>
        </is>
      </c>
      <c r="AY406" s="31">
        <f>IF(AX406="Above 40",20,IF(AX406="20 to 40",10,IF(AX406="0 to 20",-5,0)))</f>
        <v/>
      </c>
      <c r="AZ406" s="31" t="inlineStr">
        <is>
          <t>Between 50 to 75</t>
        </is>
      </c>
      <c r="BA406" s="31">
        <f>IF(AZ406="Between 50 to 75",10,IF(AZ406="Above 75",0,0))</f>
        <v/>
      </c>
      <c r="BB406" s="31" t="inlineStr">
        <is>
          <t>Stage 1</t>
        </is>
      </c>
      <c r="BC406" s="31">
        <f>IF(BB406="Stage 2",20,IF(BB406="Stage 1",0,IF(BB406="Stage 3",5,IF(BB406="Stage 4",-5,0))))</f>
        <v/>
      </c>
      <c r="BD406" s="31" t="inlineStr">
        <is>
          <t>Positive Trend</t>
        </is>
      </c>
      <c r="BE406" s="31">
        <f>IF(BD406="Positive Trend",20,IF(BD406="Negative Trend",-10,0))</f>
        <v/>
      </c>
      <c r="BF406" s="31" t="inlineStr">
        <is>
          <t>Uptrend</t>
        </is>
      </c>
      <c r="BG406" s="31">
        <f>IF(BF406="Uptrend",10,IF(BF406="Sideways",5,0))</f>
        <v/>
      </c>
      <c r="BH406" s="31" t="inlineStr">
        <is>
          <t>Uptrend</t>
        </is>
      </c>
      <c r="BI406" s="31">
        <f>IF(BH406="Uptrend",10,IF(BH406="Sideways",5,0))</f>
        <v/>
      </c>
      <c r="BJ406" s="31" t="inlineStr">
        <is>
          <t>Close to 52 week high or retracement</t>
        </is>
      </c>
      <c r="BK406" s="31">
        <f>IF(BJ406="Overhead supply in last 2 years in last 2 years",-5,IF(BJ406="Close to 52 week high or retracement",5,IF(BJ406="Blue sky scenario",10,IF(BJ406="Long term Downtrend",-10,0))))</f>
        <v/>
      </c>
      <c r="BL406" s="31" t="inlineStr">
        <is>
          <t>Yes</t>
        </is>
      </c>
      <c r="BM406" s="31">
        <f>IF(BL406="Yes",10,0)</f>
        <v/>
      </c>
      <c r="BN406" s="31" t="inlineStr">
        <is>
          <t>Less than 12%</t>
        </is>
      </c>
      <c r="BO406" s="31">
        <f>IF(BN406="More than 20%",10,IF(BN406="Between 12 to 20%",5,IF(BN406="Less than 12%",0,0)))</f>
        <v/>
      </c>
      <c r="BP406" s="31" t="inlineStr">
        <is>
          <t>No</t>
        </is>
      </c>
      <c r="BQ406" s="31">
        <f>IF(BP406="No",10,0)</f>
        <v/>
      </c>
      <c r="BR406" s="31" t="inlineStr">
        <is>
          <t>Yes</t>
        </is>
      </c>
      <c r="BS406" s="31">
        <f>IF(BR406="NO",5,0)</f>
        <v/>
      </c>
      <c r="BT406" s="31" t="inlineStr">
        <is>
          <t>Above 2</t>
        </is>
      </c>
      <c r="BU406" s="31">
        <f>IF(BT406="Above 2",0,IF(BT406="Between 1.5 to 2",5,IF(BT406="Less than 1.5",10,0)))</f>
        <v/>
      </c>
      <c r="BV406" s="31" t="inlineStr">
        <is>
          <t>Negative</t>
        </is>
      </c>
      <c r="BW406" s="31">
        <f>IF(BV406="Above 70%",10,IF(BV406="Between 50% to 70%",5,IF(BV406="Less than 50%",0,IF(BV406="Negative",-10,IF(BV406="Less than 50% and Borrowings are increasing",-5,0)))))</f>
        <v/>
      </c>
      <c r="BX406" s="31" t="inlineStr">
        <is>
          <t>Between 0.7 to 1.2</t>
        </is>
      </c>
      <c r="BY406" s="31">
        <f>IF(BX406="More than 1.2",-10,IF(BX406="Between 0.7 to 1.2",0,IF(BX406="Less than 0.7",10,0)))</f>
        <v/>
      </c>
      <c r="BZ406" s="31" t="inlineStr">
        <is>
          <t>No</t>
        </is>
      </c>
      <c r="CA406" s="31">
        <f>IF(BZ406="Yes",-10,0)</f>
        <v/>
      </c>
      <c r="CB406" s="31" t="inlineStr">
        <is>
          <t>Less than 15%</t>
        </is>
      </c>
      <c r="CC406" s="31">
        <f>IF(CB406="More than 15%",-10,IF(CB406="Less than 15%",10,0))</f>
        <v/>
      </c>
      <c r="CD406" s="31" t="inlineStr">
        <is>
          <t>No</t>
        </is>
      </c>
      <c r="CE406" s="31">
        <f>IF(CD406="Yes, more than 10%",-10,IF(CD406="No",10,0))</f>
        <v/>
      </c>
    </row>
    <row r="407">
      <c r="A407" s="31">
        <f>IF(B407=0,"",RANK(B407,$B$2:$B$407,0))</f>
        <v/>
      </c>
      <c r="B407" s="32">
        <f>SUM(N407,Y407,AA407,AC407,AE407,AG407,AI407,AK407,AM407,AO407,AQ407,AS407,AU407,AW407,AY407,BA407,BC407,BE407,BG407,BI407,BK407,BM407,BO407,BQ407,BS407,BU407,BW407,BY407,CA407,CC407,CE407)</f>
        <v/>
      </c>
      <c r="C407" s="31" t="inlineStr">
        <is>
          <t>TVSMOTOR</t>
        </is>
      </c>
      <c r="D407" s="31" t="inlineStr">
        <is>
          <t>Tvs Motor Company Limited</t>
        </is>
      </c>
      <c r="E407" s="31" t="inlineStr">
        <is>
          <t>auto</t>
        </is>
      </c>
      <c r="F407" s="31" t="inlineStr">
        <is>
          <t>automobiles - motorcycles / mopeds</t>
        </is>
      </c>
      <c r="G407" s="31" t="inlineStr">
        <is>
          <t>largecap</t>
        </is>
      </c>
      <c r="H407" s="32" t="n">
        <v>165995.44</v>
      </c>
      <c r="I407" s="32" t="n">
        <v>3626.8</v>
      </c>
      <c r="J407" s="32" t="n">
        <v>3.8</v>
      </c>
      <c r="K407" s="32" t="n">
        <v>1765456</v>
      </c>
      <c r="L407" s="31" t="n">
        <v>23</v>
      </c>
      <c r="M407" s="31" t="inlineStr">
        <is>
          <t>Outperforming</t>
        </is>
      </c>
      <c r="N407" s="32">
        <f>IF(M407="Underperforming",-5,IF(L407&gt;=95,15,IF(L407&gt;=90,10,IF(L407&gt;=80,5,0))))</f>
        <v/>
      </c>
      <c r="O407" s="32" t="n">
        <v>54.02</v>
      </c>
      <c r="P407" s="32" t="n">
        <v>8.57</v>
      </c>
      <c r="Q407" s="32" t="n">
        <v>3185.53</v>
      </c>
      <c r="R407" s="31" t="inlineStr">
        <is>
          <t>Earnings / Momentum Support</t>
        </is>
      </c>
      <c r="S407" s="31" t="inlineStr">
        <is>
          <t>Nifty Auto</t>
        </is>
      </c>
      <c r="T407" s="32" t="n">
        <v>13.04</v>
      </c>
      <c r="U407" s="32" t="n">
        <v>26.37</v>
      </c>
      <c r="V407" s="32" t="n">
        <v>11.79</v>
      </c>
      <c r="W407" s="32" t="n">
        <v>6.73</v>
      </c>
      <c r="X407" s="31" t="inlineStr">
        <is>
          <t>Growing Industry</t>
        </is>
      </c>
      <c r="Y407" s="31">
        <f>IF(X407="Growing Industry",10,IF(X407="Cyclical in an Upturn",5,0))</f>
        <v/>
      </c>
      <c r="Z407" s="31" t="inlineStr">
        <is>
          <t>Too Many Players with High ROCE</t>
        </is>
      </c>
      <c r="AA407" s="31">
        <f>IF(Z407="Monopoly",10,IF(Z407="Oligopoly",5,IF(Z407="Duopoly that cooperate",10,IF(Z407="Duopoly that compete",5,IF(Z407="Too many players with High ROCE",5,0)))))</f>
        <v/>
      </c>
      <c r="AB407" s="31" t="inlineStr">
        <is>
          <t>No</t>
        </is>
      </c>
      <c r="AC407" s="31">
        <f>IF(AB407="No",5,0)</f>
        <v/>
      </c>
      <c r="AD407" s="31" t="inlineStr">
        <is>
          <t>Headwind</t>
        </is>
      </c>
      <c r="AE407" s="31">
        <f>IF(AD407="Tailwind",10,0)</f>
        <v/>
      </c>
      <c r="AF407" s="31" t="inlineStr">
        <is>
          <t>Structural (10 Years Consistency)</t>
        </is>
      </c>
      <c r="AG407" s="31">
        <f>IF(AF407="Structural (10 Years Consistency)",10,IF(AF407="Shallow Cyclical (2 to 3 years growth)",5,0))</f>
        <v/>
      </c>
      <c r="AH407" s="31" t="inlineStr">
        <is>
          <t>No</t>
        </is>
      </c>
      <c r="AI407" s="31">
        <f>IF(AH407="Yes due to Product Mix change or Operating Leverage",10,IF(AH407="Yes, these are peak margins",-5,IF(AH407="No",5,0)))</f>
        <v/>
      </c>
      <c r="AJ407" s="31" t="inlineStr">
        <is>
          <t>Stable</t>
        </is>
      </c>
      <c r="AK407" s="31">
        <f>IF(AJ407="Stable",10,0)</f>
        <v/>
      </c>
      <c r="AL407" s="31" t="inlineStr">
        <is>
          <t>Yes</t>
        </is>
      </c>
      <c r="AM407" s="31">
        <f>IF(AL407="Yes",10,0)</f>
        <v/>
      </c>
      <c r="AN407" s="31" t="inlineStr">
        <is>
          <t>B2B</t>
        </is>
      </c>
      <c r="AO407" s="31">
        <f>IF(AN407="B2C",10,IF(AN407="B2B",5,0))</f>
        <v/>
      </c>
      <c r="AP407" s="31" t="inlineStr">
        <is>
          <t>No</t>
        </is>
      </c>
      <c r="AQ407" s="31">
        <f>IF(AP407="Yes",10,0)</f>
        <v/>
      </c>
      <c r="AR407" s="31" t="inlineStr">
        <is>
          <t>Higher One Time, Lower Annuity</t>
        </is>
      </c>
      <c r="AS407" s="31">
        <f>IF(AR407="Fully Annuity",10,IF(AR407="Higher Annuity, Lower One Time",5,IF(AR407="Higher One Time, Lower Annuity",3,0)))</f>
        <v/>
      </c>
      <c r="AT407" s="31" t="inlineStr">
        <is>
          <t>Good</t>
        </is>
      </c>
      <c r="AU407" s="31">
        <f>IF(AT407="Good",10,0)</f>
        <v/>
      </c>
      <c r="AV407" s="31" t="inlineStr">
        <is>
          <t>Yes for more than 2 years</t>
        </is>
      </c>
      <c r="AW407" s="31">
        <f>IF(AV407="Yes for more than 2 years",10,IF(AV407="Yes only for next 1 to 2 years",5,0))</f>
        <v/>
      </c>
      <c r="AX407" s="31" t="inlineStr">
        <is>
          <t>0 to 20</t>
        </is>
      </c>
      <c r="AY407" s="31">
        <f>IF(AX407="Above 40",20,IF(AX407="20 to 40",10,IF(AX407="0 to 20",-5,0)))</f>
        <v/>
      </c>
      <c r="AZ407" s="31" t="inlineStr">
        <is>
          <t>Between 50 to 75</t>
        </is>
      </c>
      <c r="BA407" s="31">
        <f>IF(AZ407="Between 50 to 75",10,IF(AZ407="Above 75",0,0))</f>
        <v/>
      </c>
      <c r="BB407" s="31" t="inlineStr">
        <is>
          <t>Stage 1</t>
        </is>
      </c>
      <c r="BC407" s="31">
        <f>IF(BB407="Stage 2",20,IF(BB407="Stage 1",0,IF(BB407="Stage 3",5,IF(BB407="Stage 4",-5,0))))</f>
        <v/>
      </c>
      <c r="BD407" s="31" t="inlineStr">
        <is>
          <t>Positive Trend</t>
        </is>
      </c>
      <c r="BE407" s="31">
        <f>IF(BD407="Positive Trend",20,IF(BD407="Negative Trend",-10,0))</f>
        <v/>
      </c>
      <c r="BF407" s="31" t="inlineStr">
        <is>
          <t>Uptrend</t>
        </is>
      </c>
      <c r="BG407" s="31">
        <f>IF(BF407="Uptrend",10,IF(BF407="Sideways",5,0))</f>
        <v/>
      </c>
      <c r="BH407" s="31" t="inlineStr">
        <is>
          <t>Uptrend</t>
        </is>
      </c>
      <c r="BI407" s="31">
        <f>IF(BH407="Uptrend",10,IF(BH407="Sideways",5,0))</f>
        <v/>
      </c>
      <c r="BJ407" s="31" t="inlineStr">
        <is>
          <t>Close to 52 week high or retracement</t>
        </is>
      </c>
      <c r="BK407" s="31">
        <f>IF(BJ407="Overhead supply in last 2 years in last 2 years",-5,IF(BJ407="Close to 52 week high or retracement",5,IF(BJ407="Blue sky scenario",10,IF(BJ407="Long term Downtrend",-10,0))))</f>
        <v/>
      </c>
      <c r="BL407" s="31" t="inlineStr">
        <is>
          <t>Yes</t>
        </is>
      </c>
      <c r="BM407" s="31">
        <f>IF(BL407="Yes",10,0)</f>
        <v/>
      </c>
      <c r="BN407" s="31" t="inlineStr">
        <is>
          <t>Between 12 to 20%</t>
        </is>
      </c>
      <c r="BO407" s="31">
        <f>IF(BN407="More than 20%",10,IF(BN407="Between 12 to 20%",5,IF(BN407="Less than 12%",0,0)))</f>
        <v/>
      </c>
      <c r="BP407" s="31" t="inlineStr">
        <is>
          <t>No</t>
        </is>
      </c>
      <c r="BQ407" s="31">
        <f>IF(BP407="No",10,0)</f>
        <v/>
      </c>
      <c r="BR407" s="31" t="inlineStr">
        <is>
          <t>Yes</t>
        </is>
      </c>
      <c r="BS407" s="31">
        <f>IF(BR407="NO",5,0)</f>
        <v/>
      </c>
      <c r="BT407" s="31" t="inlineStr">
        <is>
          <t>Above 2</t>
        </is>
      </c>
      <c r="BU407" s="31">
        <f>IF(BT407="Above 2",0,IF(BT407="Between 1.5 to 2",5,IF(BT407="Less than 1.5",10,0)))</f>
        <v/>
      </c>
      <c r="BV407" s="31" t="inlineStr">
        <is>
          <t>Less than 50% and Borrowings are increasing</t>
        </is>
      </c>
      <c r="BW407" s="31">
        <f>IF(BV407="Above 70%",10,IF(BV407="Between 50% to 70%",5,IF(BV407="Less than 50%",0,IF(BV407="Negative",-10,IF(BV407="Less than 50% and Borrowings are increasing",-5,0)))))</f>
        <v/>
      </c>
      <c r="BX407" s="31" t="inlineStr">
        <is>
          <t>More than 1.2</t>
        </is>
      </c>
      <c r="BY407" s="31">
        <f>IF(BX407="More than 1.2",-10,IF(BX407="Between 0.7 to 1.2",0,IF(BX407="Less than 0.7",10,0)))</f>
        <v/>
      </c>
      <c r="BZ407" s="31" t="inlineStr">
        <is>
          <t>No</t>
        </is>
      </c>
      <c r="CA407" s="31">
        <f>IF(BZ407="Yes",-10,0)</f>
        <v/>
      </c>
      <c r="CB407" s="31" t="inlineStr">
        <is>
          <t>Less than 15%</t>
        </is>
      </c>
      <c r="CC407" s="31">
        <f>IF(CB407="More than 15%",-10,IF(CB407="Less than 15%",10,0))</f>
        <v/>
      </c>
      <c r="CD407" s="31" t="inlineStr">
        <is>
          <t>No</t>
        </is>
      </c>
      <c r="CE407" s="31">
        <f>IF(CD407="Yes, more than 10%",-10,IF(CD407="No",10,0))</f>
        <v/>
      </c>
    </row>
  </sheetData>
  <autoFilter ref="A1:CE407"/>
  <conditionalFormatting sqref="B2:B40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0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0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07">
    <cfRule type="cellIs" priority="36" operator="equal" dxfId="3" stopIfTrue="1">
      <formula>"Underperforming"</formula>
    </cfRule>
  </conditionalFormatting>
  <conditionalFormatting sqref="N2:N407">
    <cfRule type="cellIs" priority="37" operator="equal" dxfId="3" stopIfTrue="1">
      <formula>-5</formula>
    </cfRule>
  </conditionalFormatting>
  <conditionalFormatting sqref="Q2:Q407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07" showDropDown="0" showInputMessage="0" showErrorMessage="0" allowBlank="1" type="list">
      <formula1>"Growing Industry,Stagnant Industry,Cyclical in an Upturn"</formula1>
    </dataValidation>
    <dataValidation sqref="Z2:Z40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07" showDropDown="0" showInputMessage="0" showErrorMessage="0" allowBlank="1" type="list">
      <formula1>"Yes,No"</formula1>
    </dataValidation>
    <dataValidation sqref="AD2:AD407" showDropDown="0" showInputMessage="0" showErrorMessage="0" allowBlank="1" type="list">
      <formula1>"Tailwind,Headwind"</formula1>
    </dataValidation>
    <dataValidation sqref="AF2:AF407" showDropDown="0" showInputMessage="0" showErrorMessage="0" allowBlank="1" type="list">
      <formula1>"Structural (10 Years Consistency),Shallow Cyclical (2 to 3 Years Growth),Cyclical"</formula1>
    </dataValidation>
    <dataValidation sqref="AH2:AH407" showDropDown="0" showInputMessage="0" showErrorMessage="0" allowBlank="1" type="list">
      <formula1>"Yes due to Product Mix change or Operating Leverage,Yes, these are peak margins,No"</formula1>
    </dataValidation>
    <dataValidation sqref="AJ2:AJ407" showDropDown="0" showInputMessage="0" showErrorMessage="0" allowBlank="1" type="list">
      <formula1>"Stable,Volatile"</formula1>
    </dataValidation>
    <dataValidation sqref="AL2:AL407" showDropDown="0" showInputMessage="0" showErrorMessage="0" allowBlank="1" type="list">
      <formula1>"Yes,No"</formula1>
    </dataValidation>
    <dataValidation sqref="AN2:AN407" showDropDown="0" showInputMessage="0" showErrorMessage="0" allowBlank="1" type="list">
      <formula1>"B2C,B2B,B2G"</formula1>
    </dataValidation>
    <dataValidation sqref="AP2:AP407" showDropDown="0" showInputMessage="0" showErrorMessage="0" allowBlank="1" type="list">
      <formula1>"Yes,No"</formula1>
    </dataValidation>
    <dataValidation sqref="AR2:AR407" showDropDown="0" showInputMessage="0" showErrorMessage="0" allowBlank="1" type="list">
      <formula1>"Fully Annuity,Higher Annuity, Lower One time,Higher One Time, Lower Annuity,Fully One Time"</formula1>
    </dataValidation>
    <dataValidation sqref="AT2:AT407" showDropDown="0" showInputMessage="0" showErrorMessage="0" allowBlank="1" type="list">
      <formula1>"Good,Allocated capital in Non-core Areas"</formula1>
    </dataValidation>
    <dataValidation sqref="AV2:AV407" showDropDown="0" showInputMessage="0" showErrorMessage="0" allowBlank="1" type="list">
      <formula1>"Yes for more than 2 years,Yes only for next 1 to 2 years,No"</formula1>
    </dataValidation>
    <dataValidation sqref="AX2:AX407" showDropDown="0" showInputMessage="0" showErrorMessage="0" allowBlank="1" type="list">
      <formula1>"Above 40,20 to 40,0 to 20"</formula1>
    </dataValidation>
    <dataValidation sqref="AZ2:AZ407" showDropDown="0" showInputMessage="0" showErrorMessage="0" allowBlank="1" type="list">
      <formula1>"Between 50 to 75,Above 75,Below 45"</formula1>
    </dataValidation>
    <dataValidation sqref="BB2:BB407" showDropDown="0" showInputMessage="0" showErrorMessage="0" allowBlank="1" type="list">
      <formula1>"Stage 1,Stage 2,Stage 3,Stage 4"</formula1>
    </dataValidation>
    <dataValidation sqref="BD2:BD407" showDropDown="0" showInputMessage="0" showErrorMessage="0" allowBlank="1" type="list">
      <formula1>"Positive Trend,Negative Trend"</formula1>
    </dataValidation>
    <dataValidation sqref="BF2:BF407" showDropDown="0" showInputMessage="0" showErrorMessage="0" allowBlank="1" type="list">
      <formula1>"Uptrend,Sideways,Downtrend"</formula1>
    </dataValidation>
    <dataValidation sqref="BH2:BH407" showDropDown="0" showInputMessage="0" showErrorMessage="0" allowBlank="1" type="list">
      <formula1>"Uptrend,Sideways,Downtrend"</formula1>
    </dataValidation>
    <dataValidation sqref="BJ2:BJ40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07" showDropDown="0" showInputMessage="0" showErrorMessage="0" allowBlank="1" type="list">
      <formula1>"Yes,No"</formula1>
    </dataValidation>
    <dataValidation sqref="BN2:BN407" showDropDown="0" showInputMessage="0" showErrorMessage="0" allowBlank="1" type="list">
      <formula1>"More than 20%,Between 12 to 20%,Less than 12%"</formula1>
    </dataValidation>
    <dataValidation sqref="BP2:BP407" showDropDown="0" showInputMessage="0" showErrorMessage="0" allowBlank="1" type="list">
      <formula1>"Yes,No"</formula1>
    </dataValidation>
    <dataValidation sqref="BR2:BR407" showDropDown="0" showInputMessage="0" showErrorMessage="0" allowBlank="1" type="list">
      <formula1>"Yes,No"</formula1>
    </dataValidation>
    <dataValidation sqref="BT2:BT407" showDropDown="0" showInputMessage="0" showErrorMessage="0" allowBlank="1" type="list">
      <formula1>"Above 2,Between 1.5 to 2,Less than 1.5"</formula1>
    </dataValidation>
    <dataValidation sqref="BV2:BV407" showDropDown="0" showInputMessage="0" showErrorMessage="0" allowBlank="1" type="list">
      <formula1>"Above 70%,Between 50% to 70%,Less than 50%,Less than 50% and Borrowings are increasing,Negative"</formula1>
    </dataValidation>
    <dataValidation sqref="BX2:BX407" showDropDown="0" showInputMessage="0" showErrorMessage="0" allowBlank="1" type="list">
      <formula1>"More than 1.2,Between 0.7 to 1.2,Less than 0.7"</formula1>
    </dataValidation>
    <dataValidation sqref="BZ2:BZ407" showDropDown="0" showInputMessage="0" showErrorMessage="0" allowBlank="1" type="list">
      <formula1>"Yes,No"</formula1>
    </dataValidation>
    <dataValidation sqref="CB2:CB407" showDropDown="0" showInputMessage="0" showErrorMessage="0" allowBlank="1" type="list">
      <formula1>"More than 15%,Less than 15%"</formula1>
    </dataValidation>
    <dataValidation sqref="CD2:CD40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IF(B2=0,"",RANK(B2,$B$2:$B$70,0))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2779.78</v>
      </c>
      <c r="I2" s="32" t="n">
        <v>259.68</v>
      </c>
      <c r="J2" s="32" t="n">
        <v>3.2</v>
      </c>
      <c r="K2" s="32" t="n">
        <v>955416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74.38</v>
      </c>
      <c r="P2" s="32" t="n">
        <v>55.75</v>
      </c>
      <c r="Q2" s="32" t="n">
        <v>203.17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1.75</v>
      </c>
      <c r="U2" s="32" t="n">
        <v>50.39</v>
      </c>
      <c r="V2" s="32" t="n">
        <v>47.8</v>
      </c>
      <c r="W2" s="32" t="n">
        <v>28.11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IF(B3=0,"",RANK(B3,$B$2:$B$70,0))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MAHABANK</t>
        </is>
      </c>
      <c r="D3" s="31" t="inlineStr">
        <is>
          <t>Bank Of Maharashtra Ltd</t>
        </is>
      </c>
      <c r="E3" s="31" t="inlineStr">
        <is>
          <t>bank</t>
        </is>
      </c>
      <c r="F3" s="31" t="inlineStr">
        <is>
          <t>banks - public sector</t>
        </is>
      </c>
      <c r="G3" s="31" t="inlineStr">
        <is>
          <t>largecap</t>
        </is>
      </c>
      <c r="H3" s="32" t="n">
        <v>70146.98</v>
      </c>
      <c r="I3" s="32" t="n">
        <v>91.04000000000001</v>
      </c>
      <c r="J3" s="32" t="n">
        <v>-0.18</v>
      </c>
      <c r="K3" s="32" t="n">
        <v>9484976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72.33</v>
      </c>
      <c r="P3" s="32" t="n">
        <v>51.02</v>
      </c>
      <c r="Q3" s="32" t="n">
        <v>74.89</v>
      </c>
      <c r="R3" s="31" t="inlineStr">
        <is>
          <t>Near 52W High Breakout</t>
        </is>
      </c>
      <c r="S3" s="31" t="inlineStr">
        <is>
          <t>Nifty Bank</t>
        </is>
      </c>
      <c r="T3" s="32" t="n">
        <v>1.75</v>
      </c>
      <c r="U3" s="32" t="n">
        <v>63.22</v>
      </c>
      <c r="V3" s="32" t="n">
        <v>60.41</v>
      </c>
      <c r="W3" s="32" t="n">
        <v>20.44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IF(B4=0,"",RANK(B4,$B$2:$B$70,0))</f>
        <v/>
      </c>
      <c r="B4" s="32">
        <f>SUM(N4,Y4,AA4,AC4,AE4,AG4,AI4,AK4,AM4,AO4,AQ4,AS4,AU4,AW4,AY4,BA4,BC4,BE4,BG4,BI4,BK4,BM4,BO4,BQ4,BS4,BU4,BW4,BY4,CA4)</f>
        <v/>
      </c>
      <c r="C4" s="31" t="inlineStr">
        <is>
          <t>NORTHARC</t>
        </is>
      </c>
      <c r="D4" s="31" t="inlineStr">
        <is>
          <t>Northern ARC Capital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4914.21</v>
      </c>
      <c r="I4" s="32" t="n">
        <v>310.2</v>
      </c>
      <c r="J4" s="32" t="n">
        <v>1.99</v>
      </c>
      <c r="K4" s="32" t="n">
        <v>1247678</v>
      </c>
      <c r="L4" s="31" t="n">
        <v>52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66.20999999999999</v>
      </c>
      <c r="P4" s="32" t="n">
        <v>28.88</v>
      </c>
      <c r="Q4" s="32" t="n">
        <v>240.66</v>
      </c>
      <c r="R4" s="31" t="inlineStr">
        <is>
          <t>Near 52W High Breakout</t>
        </is>
      </c>
      <c r="S4" s="31" t="inlineStr">
        <is>
          <t>Nifty Bank</t>
        </is>
      </c>
      <c r="T4" s="32" t="n">
        <v>1.75</v>
      </c>
      <c r="U4" s="32" t="n">
        <v>20.69</v>
      </c>
      <c r="V4" s="32" t="n">
        <v>18.61</v>
      </c>
      <c r="W4" s="32" t="n">
        <v>13.75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IF(B5=0,"",RANK(B5,$B$2:$B$70,0))</f>
        <v/>
      </c>
      <c r="B5" s="32">
        <f>SUM(N5,Y5,AA5,AC5,AE5,AG5,AI5,AK5,AM5,AO5,AQ5,AS5,AU5,AW5,AY5,BA5,BC5,BE5,BG5,BI5,BK5,BM5,BO5,BQ5,BS5,BU5,BW5,BY5,CA5)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11910.78</v>
      </c>
      <c r="I5" s="32" t="n">
        <v>61.4</v>
      </c>
      <c r="J5" s="32" t="n">
        <v>0.15</v>
      </c>
      <c r="K5" s="32" t="n">
        <v>21654415</v>
      </c>
      <c r="L5" s="31" t="n">
        <v>25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58.51</v>
      </c>
      <c r="P5" s="32" t="n">
        <v>20.06</v>
      </c>
      <c r="Q5" s="32" t="n">
        <v>48.54</v>
      </c>
      <c r="R5" s="31" t="inlineStr">
        <is>
          <t>Near 52W High Breakout</t>
        </is>
      </c>
      <c r="S5" s="31" t="inlineStr">
        <is>
          <t>Nifty Bank</t>
        </is>
      </c>
      <c r="T5" s="32" t="n">
        <v>1.75</v>
      </c>
      <c r="U5" s="32" t="n">
        <v>26.44</v>
      </c>
      <c r="V5" s="32" t="n">
        <v>24.26</v>
      </c>
      <c r="W5" s="32" t="n">
        <v>7.17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IF(B6=0,"",RANK(B6,$B$2:$B$70,0))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FEDERALBNK</t>
        </is>
      </c>
      <c r="D6" s="31" t="inlineStr">
        <is>
          <t>The Federal Bank 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81666.32000000001</v>
      </c>
      <c r="I6" s="32" t="n">
        <v>331</v>
      </c>
      <c r="J6" s="32" t="n">
        <v>-0.12</v>
      </c>
      <c r="K6" s="32" t="n">
        <v>7435661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72.06999999999999</v>
      </c>
      <c r="P6" s="32" t="n">
        <v>23.33</v>
      </c>
      <c r="Q6" s="32" t="n">
        <v>287.02</v>
      </c>
      <c r="R6" s="31" t="inlineStr">
        <is>
          <t>Near 52W High Breakout</t>
        </is>
      </c>
      <c r="S6" s="31" t="inlineStr">
        <is>
          <t>Nifty Bank</t>
        </is>
      </c>
      <c r="T6" s="32" t="n">
        <v>1.75</v>
      </c>
      <c r="U6" s="32" t="n">
        <v>54.66</v>
      </c>
      <c r="V6" s="32" t="n">
        <v>51.99</v>
      </c>
      <c r="W6" s="32" t="n">
        <v>15.48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IF(B7=0,"",RANK(B7,$B$2:$B$70,0))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FUSION</t>
        </is>
      </c>
      <c r="D7" s="31" t="inlineStr">
        <is>
          <t>Fusion Micro Finance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3305.02</v>
      </c>
      <c r="I7" s="32" t="n">
        <v>216.21</v>
      </c>
      <c r="J7" s="32" t="n">
        <v>6.03</v>
      </c>
      <c r="K7" s="32" t="n">
        <v>2510455</v>
      </c>
      <c r="L7" s="31" t="n">
        <v>51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63.41</v>
      </c>
      <c r="P7" s="32" t="n">
        <v>21</v>
      </c>
      <c r="Q7" s="32" t="n">
        <v>158.98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1.75</v>
      </c>
      <c r="U7" s="32" t="n">
        <v>11.06</v>
      </c>
      <c r="V7" s="32" t="n">
        <v>9.15</v>
      </c>
      <c r="W7" s="32" t="n">
        <v>13.44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IF(B8=0,"",RANK(B8,$B$2:$B$70,0))</f>
        <v/>
      </c>
      <c r="B8" s="32">
        <f>SUM(N8,Y8,AA8,AC8,AE8,AG8,AI8,AK8,AM8,AO8,AQ8,AS8,AU8,AW8,AY8,BA8,BC8,BE8,BG8,BI8,BK8,BM8,BO8,BQ8,BS8,BU8,BW8,BY8,CA8)</f>
        <v/>
      </c>
      <c r="C8" s="31" t="inlineStr">
        <is>
          <t>J&amp;KBANK</t>
        </is>
      </c>
      <c r="D8" s="31" t="inlineStr">
        <is>
          <t>The Jammu &amp; Kashmir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17200.47</v>
      </c>
      <c r="I8" s="32" t="n">
        <v>164.7</v>
      </c>
      <c r="J8" s="32" t="n">
        <v>5.44</v>
      </c>
      <c r="K8" s="32" t="n">
        <v>7874766</v>
      </c>
      <c r="L8" s="31" t="n">
        <v>68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72.84999999999999</v>
      </c>
      <c r="P8" s="32" t="n">
        <v>53.02</v>
      </c>
      <c r="Q8" s="32" t="n">
        <v>132.75</v>
      </c>
      <c r="R8" s="31" t="inlineStr">
        <is>
          <t>Near 52W High Breakout</t>
        </is>
      </c>
      <c r="S8" s="31" t="inlineStr">
        <is>
          <t>Nifty Bank</t>
        </is>
      </c>
      <c r="T8" s="32" t="n">
        <v>1.75</v>
      </c>
      <c r="U8" s="32" t="n">
        <v>47.16</v>
      </c>
      <c r="V8" s="32" t="n">
        <v>44.62</v>
      </c>
      <c r="W8" s="32" t="n">
        <v>18.46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IF(B9=0,"",RANK(B9,$B$2:$B$70,0))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SURYODAY</t>
        </is>
      </c>
      <c r="D9" s="31" t="inlineStr">
        <is>
          <t>Suryoday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smallcap</t>
        </is>
      </c>
      <c r="H9" s="32" t="n">
        <v>1897.38</v>
      </c>
      <c r="I9" s="32" t="n">
        <v>183.7</v>
      </c>
      <c r="J9" s="32" t="n">
        <v>2.91</v>
      </c>
      <c r="K9" s="32" t="n">
        <v>1104756</v>
      </c>
      <c r="L9" s="31" t="n">
        <v>62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66.95</v>
      </c>
      <c r="P9" s="32" t="n">
        <v>33.91</v>
      </c>
      <c r="Q9" s="32" t="n">
        <v>142.83</v>
      </c>
      <c r="R9" s="31" t="inlineStr">
        <is>
          <t>Near 52W High Breakout</t>
        </is>
      </c>
      <c r="S9" s="31" t="inlineStr">
        <is>
          <t>Nifty Bank</t>
        </is>
      </c>
      <c r="T9" s="32" t="n">
        <v>1.75</v>
      </c>
      <c r="U9" s="32" t="n">
        <v>30.13</v>
      </c>
      <c r="V9" s="32" t="n">
        <v>27.89</v>
      </c>
      <c r="W9" s="32" t="n">
        <v>16.33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IF(B10=0,"",RANK(B10,$B$2:$B$70,0))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PAISALO</t>
        </is>
      </c>
      <c r="D10" s="31" t="inlineStr">
        <is>
          <t>Paisalo Digital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6443.05</v>
      </c>
      <c r="I10" s="32" t="n">
        <v>71.92</v>
      </c>
      <c r="J10" s="32" t="n">
        <v>1.52</v>
      </c>
      <c r="K10" s="32" t="n">
        <v>60359121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84.13</v>
      </c>
      <c r="P10" s="32" t="n">
        <v>44.09</v>
      </c>
      <c r="Q10" s="32" t="n">
        <v>57.23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1.75</v>
      </c>
      <c r="U10" s="32" t="n">
        <v>136.33</v>
      </c>
      <c r="V10" s="32" t="n">
        <v>132.26</v>
      </c>
      <c r="W10" s="32" t="n">
        <v>44.17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IF(B11=0,"",RANK(B11,$B$2:$B$70,0))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RANEHOLDIN</t>
        </is>
      </c>
      <c r="D11" s="31" t="inlineStr">
        <is>
          <t>Rane Holdings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2456.21</v>
      </c>
      <c r="I11" s="32" t="n">
        <v>1720.1</v>
      </c>
      <c r="J11" s="32" t="n">
        <v>-0.01</v>
      </c>
      <c r="K11" s="32" t="n">
        <v>12952</v>
      </c>
      <c r="L11" s="31" t="n">
        <v>74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70.87</v>
      </c>
      <c r="P11" s="32" t="n">
        <v>30.27</v>
      </c>
      <c r="Q11" s="32" t="n">
        <v>1298.7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1.75</v>
      </c>
      <c r="U11" s="32" t="n">
        <v>12.79</v>
      </c>
      <c r="V11" s="32" t="n">
        <v>10.84</v>
      </c>
      <c r="W11" s="32" t="n">
        <v>21.28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IF(B12=0,"",RANK(B12,$B$2:$B$70,0))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AADHARHFC</t>
        </is>
      </c>
      <c r="D12" s="31" t="inlineStr">
        <is>
          <t>Aadhar Housing Finance Ltd</t>
        </is>
      </c>
      <c r="E12" s="31" t="inlineStr">
        <is>
          <t>financials</t>
        </is>
      </c>
      <c r="F12" s="31" t="inlineStr">
        <is>
          <t>finance - housing</t>
        </is>
      </c>
      <c r="G12" s="31" t="inlineStr">
        <is>
          <t>largecap</t>
        </is>
      </c>
      <c r="H12" s="32" t="n">
        <v>22558.56</v>
      </c>
      <c r="I12" s="32" t="n">
        <v>535.7</v>
      </c>
      <c r="J12" s="32" t="n">
        <v>3.47</v>
      </c>
      <c r="K12" s="32" t="n">
        <v>1367969</v>
      </c>
      <c r="L12" s="31" t="n">
        <v>29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64.34</v>
      </c>
      <c r="P12" s="32" t="n">
        <v>23.38</v>
      </c>
      <c r="Q12" s="32" t="n">
        <v>434.89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1.75</v>
      </c>
      <c r="U12" s="32" t="n">
        <v>16.39</v>
      </c>
      <c r="V12" s="32" t="n">
        <v>14.39</v>
      </c>
      <c r="W12" s="32" t="n">
        <v>8.140000000000001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IF(B13=0,"",RANK(B13,$B$2:$B$70,0))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CREDITACC</t>
        </is>
      </c>
      <c r="D13" s="31" t="inlineStr">
        <is>
          <t>CreditAccess Grameen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24066.25</v>
      </c>
      <c r="I13" s="32" t="n">
        <v>1543.3</v>
      </c>
      <c r="J13" s="32" t="n">
        <v>2.73</v>
      </c>
      <c r="K13" s="32" t="n">
        <v>360516</v>
      </c>
      <c r="L13" s="31" t="n">
        <v>40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65.06999999999999</v>
      </c>
      <c r="P13" s="32" t="n">
        <v>35.46</v>
      </c>
      <c r="Q13" s="32" t="n">
        <v>1209.12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1.75</v>
      </c>
      <c r="U13" s="32" t="n">
        <v>19.59</v>
      </c>
      <c r="V13" s="32" t="n">
        <v>17.53</v>
      </c>
      <c r="W13" s="32" t="n">
        <v>10.82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IF(B14=0,"",RANK(B14,$B$2:$B$70,0))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MUFIN</t>
        </is>
      </c>
      <c r="D14" s="31" t="inlineStr">
        <is>
          <t>Mufin Green Finance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2655.37</v>
      </c>
      <c r="I14" s="32" t="n">
        <v>135.3</v>
      </c>
      <c r="J14" s="32" t="n">
        <v>0.97</v>
      </c>
      <c r="K14" s="32" t="n">
        <v>1647295</v>
      </c>
      <c r="L14" s="31" t="n">
        <v>67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68.89</v>
      </c>
      <c r="P14" s="32" t="n">
        <v>23.29</v>
      </c>
      <c r="Q14" s="32" t="n">
        <v>109.43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1.75</v>
      </c>
      <c r="U14" s="32" t="n">
        <v>56.72</v>
      </c>
      <c r="V14" s="32" t="n">
        <v>54.02</v>
      </c>
      <c r="W14" s="32" t="n">
        <v>18.33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IF(B15=0,"",RANK(B15,$B$2:$B$70,0))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AUBANK</t>
        </is>
      </c>
      <c r="D15" s="31" t="inlineStr">
        <is>
          <t>AU Small Finance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78672.81</v>
      </c>
      <c r="I15" s="32" t="n">
        <v>1057</v>
      </c>
      <c r="J15" s="32" t="n">
        <v>0.53</v>
      </c>
      <c r="K15" s="32" t="n">
        <v>1248062</v>
      </c>
      <c r="L15" s="31" t="n">
        <v>41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61.12</v>
      </c>
      <c r="P15" s="32" t="n">
        <v>25.72</v>
      </c>
      <c r="Q15" s="32" t="n">
        <v>886.61</v>
      </c>
      <c r="R15" s="31" t="inlineStr">
        <is>
          <t>Volume Spike &amp; Near 52W High Breakout</t>
        </is>
      </c>
      <c r="S15" s="31" t="inlineStr">
        <is>
          <t>Nifty Bank</t>
        </is>
      </c>
      <c r="T15" s="32" t="n">
        <v>1.75</v>
      </c>
      <c r="U15" s="32" t="n">
        <v>28.98</v>
      </c>
      <c r="V15" s="32" t="n">
        <v>26.76</v>
      </c>
      <c r="W15" s="32" t="n">
        <v>11.12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IF(B16=0,"",RANK(B16,$B$2:$B$70,0))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21823.58</v>
      </c>
      <c r="I16" s="32" t="n">
        <v>227.76</v>
      </c>
      <c r="J16" s="32" t="n">
        <v>0.41</v>
      </c>
      <c r="K16" s="32" t="n">
        <v>1901052</v>
      </c>
      <c r="L16" s="31" t="n">
        <v>58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71.33</v>
      </c>
      <c r="P16" s="32" t="n">
        <v>23.57</v>
      </c>
      <c r="Q16" s="32" t="n">
        <v>187.34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1.75</v>
      </c>
      <c r="U16" s="32" t="n">
        <v>37.31</v>
      </c>
      <c r="V16" s="32" t="n">
        <v>34.94</v>
      </c>
      <c r="W16" s="32" t="n">
        <v>15.13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IF(B17=0,"",RANK(B17,$B$2:$B$70,0))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MANBA</t>
        </is>
      </c>
      <c r="D17" s="33" t="inlineStr">
        <is>
          <t>Manba Finance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697.72</v>
      </c>
      <c r="I17" s="32" t="n">
        <v>138.12</v>
      </c>
      <c r="J17" s="32" t="n">
        <v>-0.55</v>
      </c>
      <c r="K17" s="32" t="n">
        <v>235383</v>
      </c>
      <c r="L17" s="31" t="n">
        <v>26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63.75</v>
      </c>
      <c r="P17" s="32" t="n">
        <v>25.97</v>
      </c>
      <c r="Q17" s="32" t="n">
        <v>108.73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1.75</v>
      </c>
      <c r="U17" s="32" t="n">
        <v>-2.31</v>
      </c>
      <c r="V17" s="32" t="n">
        <v>-4</v>
      </c>
      <c r="W17" s="32" t="n">
        <v>7.27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IF(B18=0,"",RANK(B18,$B$2:$B$70,0))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DCBBANK</t>
        </is>
      </c>
      <c r="D18" s="31" t="inlineStr">
        <is>
          <t>Dcb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5962.59</v>
      </c>
      <c r="I18" s="32" t="n">
        <v>193.49</v>
      </c>
      <c r="J18" s="32" t="n">
        <v>4.46</v>
      </c>
      <c r="K18" s="32" t="n">
        <v>2606537</v>
      </c>
      <c r="L18" s="31" t="n">
        <v>42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62.95</v>
      </c>
      <c r="P18" s="32" t="n">
        <v>22.89</v>
      </c>
      <c r="Q18" s="32" t="n">
        <v>156.17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1.75</v>
      </c>
      <c r="U18" s="32" t="n">
        <v>36.44</v>
      </c>
      <c r="V18" s="32" t="n">
        <v>34.09</v>
      </c>
      <c r="W18" s="32" t="n">
        <v>11.17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IF(B19=0,"",RANK(B19,$B$2:$B$70,0))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ABSLAMC</t>
        </is>
      </c>
      <c r="D19" s="31" t="inlineStr">
        <is>
          <t>Aditya Birla Sun Life AMC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33056.76</v>
      </c>
      <c r="I19" s="32" t="n">
        <v>1191.3</v>
      </c>
      <c r="J19" s="32" t="n">
        <v>4.08</v>
      </c>
      <c r="K19" s="32" t="n">
        <v>260053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69.14</v>
      </c>
      <c r="P19" s="32" t="n">
        <v>44.85</v>
      </c>
      <c r="Q19" s="32" t="n">
        <v>954.55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1.75</v>
      </c>
      <c r="U19" s="32" t="n">
        <v>52.3</v>
      </c>
      <c r="V19" s="32" t="n">
        <v>49.68</v>
      </c>
      <c r="W19" s="32" t="n">
        <v>15.26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IF(B20=0,"",RANK(B20,$B$2:$B$70,0))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MANAPPURAM</t>
        </is>
      </c>
      <c r="D20" s="31" t="inlineStr">
        <is>
          <t>Manappuram Finance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29744.08</v>
      </c>
      <c r="I20" s="32" t="n">
        <v>323.1</v>
      </c>
      <c r="J20" s="32" t="n">
        <v>2.04</v>
      </c>
      <c r="K20" s="32" t="n">
        <v>2185040</v>
      </c>
      <c r="L20" s="31" t="n">
        <v>35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60.76</v>
      </c>
      <c r="P20" s="32" t="n">
        <v>15.84</v>
      </c>
      <c r="Q20" s="32" t="n">
        <v>261.05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1.75</v>
      </c>
      <c r="U20" s="32" t="n">
        <v>17.62</v>
      </c>
      <c r="V20" s="32" t="n">
        <v>15.59</v>
      </c>
      <c r="W20" s="32" t="n">
        <v>9.59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IF(B21=0,"",RANK(B21,$B$2:$B$70,0))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CUB</t>
        </is>
      </c>
      <c r="D21" s="31" t="inlineStr">
        <is>
          <t>City Union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midcap</t>
        </is>
      </c>
      <c r="H21" s="32" t="n">
        <v>16053.54</v>
      </c>
      <c r="I21" s="32" t="n">
        <v>217.8</v>
      </c>
      <c r="J21" s="32" t="n">
        <v>0.8100000000000001</v>
      </c>
      <c r="K21" s="32" t="n">
        <v>4341950</v>
      </c>
      <c r="L21" s="31" t="n">
        <v>45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61.71</v>
      </c>
      <c r="P21" s="32" t="n">
        <v>14.26</v>
      </c>
      <c r="Q21" s="32" t="n">
        <v>170.67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1.75</v>
      </c>
      <c r="U21" s="32" t="n">
        <v>34.92</v>
      </c>
      <c r="V21" s="32" t="n">
        <v>32.59</v>
      </c>
      <c r="W21" s="32" t="n">
        <v>11.78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IF(B22=0,"",RANK(B22,$B$2:$B$70,0))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STARHEALTH</t>
        </is>
      </c>
      <c r="D22" s="31" t="inlineStr">
        <is>
          <t>Star Health &amp; Allied Insurance Company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34527.52</v>
      </c>
      <c r="I22" s="32" t="n">
        <v>588.5</v>
      </c>
      <c r="J22" s="32" t="n">
        <v>0.29</v>
      </c>
      <c r="K22" s="32" t="n">
        <v>241255</v>
      </c>
      <c r="L22" s="31" t="n">
        <v>47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71.95999999999999</v>
      </c>
      <c r="P22" s="32" t="n">
        <v>35.91</v>
      </c>
      <c r="Q22" s="32" t="n">
        <v>488.85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1.75</v>
      </c>
      <c r="U22" s="32" t="n">
        <v>39.04</v>
      </c>
      <c r="V22" s="32" t="n">
        <v>36.65</v>
      </c>
      <c r="W22" s="32" t="n">
        <v>12.25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IF(B23=0,"",RANK(B23,$B$2:$B$70,0))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NIACL</t>
        </is>
      </c>
      <c r="D23" s="33" t="inlineStr">
        <is>
          <t>New India Assurance Company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30176.53</v>
      </c>
      <c r="I23" s="32" t="n">
        <v>187.68</v>
      </c>
      <c r="J23" s="32" t="n">
        <v>2.5</v>
      </c>
      <c r="K23" s="32" t="n">
        <v>3045802</v>
      </c>
      <c r="L23" s="31" t="n">
        <v>53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60.58</v>
      </c>
      <c r="P23" s="32" t="n">
        <v>22.49</v>
      </c>
      <c r="Q23" s="32" t="n">
        <v>151.07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1.75</v>
      </c>
      <c r="U23" s="32" t="n">
        <v>1.75</v>
      </c>
      <c r="V23" s="32" t="n">
        <v>0</v>
      </c>
      <c r="W23" s="32" t="n">
        <v>13.76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IF(B24=0,"",RANK(B24,$B$2:$B$70,0))</f>
        <v/>
      </c>
      <c r="B24" s="32">
        <f>SUM(N24,Y24,AA24,AC24,AE24,AG24,AI24,AK24,AM24,AO24,AQ24,AS24,AU24,AW24,AY24,BA24,BC24,BE24,BG24,BI24,BK24,BM24,BO24,BQ24,BS24,BU24,BW24,BY24,CA24)</f>
        <v/>
      </c>
      <c r="C24" s="33" t="inlineStr">
        <is>
          <t>NIVABUPA</t>
        </is>
      </c>
      <c r="D24" s="33" t="inlineStr">
        <is>
          <t>Niva Bupa Health Insurance Company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midcap</t>
        </is>
      </c>
      <c r="H24" s="32" t="n">
        <v>15725.55</v>
      </c>
      <c r="I24" s="32" t="n">
        <v>86.28</v>
      </c>
      <c r="J24" s="32" t="n">
        <v>1.36</v>
      </c>
      <c r="K24" s="32" t="n">
        <v>732464</v>
      </c>
      <c r="L24" s="31" t="n">
        <v>12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61.28</v>
      </c>
      <c r="P24" s="32" t="n">
        <v>27.58</v>
      </c>
      <c r="Q24" s="32" t="n">
        <v>72.14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1.75</v>
      </c>
      <c r="U24" s="32" t="n">
        <v>1.45</v>
      </c>
      <c r="V24" s="32" t="n">
        <v>-0.3</v>
      </c>
      <c r="W24" s="32" t="n">
        <v>4.47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IF(B25=0,"",RANK(B25,$B$2:$B$70,0))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INDUSINDBK</t>
        </is>
      </c>
      <c r="D25" s="31" t="inlineStr">
        <is>
          <t>Indusind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73360.63</v>
      </c>
      <c r="I25" s="32" t="n">
        <v>943.5</v>
      </c>
      <c r="J25" s="32" t="n">
        <v>0.2</v>
      </c>
      <c r="K25" s="32" t="n">
        <v>1177428</v>
      </c>
      <c r="L25" s="31" t="n">
        <v>27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57.95</v>
      </c>
      <c r="P25" s="32" t="n">
        <v>15.48</v>
      </c>
      <c r="Q25" s="32" t="n">
        <v>797.37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1.75</v>
      </c>
      <c r="U25" s="32" t="n">
        <v>10.37</v>
      </c>
      <c r="V25" s="32" t="n">
        <v>8.470000000000001</v>
      </c>
      <c r="W25" s="32" t="n">
        <v>7.41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IF(B26=0,"",RANK(B26,$B$2:$B$70,0))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ESAFSFB</t>
        </is>
      </c>
      <c r="D26" s="33" t="inlineStr">
        <is>
          <t>ESAF Small Finance Bank Ltd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smallcap</t>
        </is>
      </c>
      <c r="H26" s="32" t="n">
        <v>1733.14</v>
      </c>
      <c r="I26" s="32" t="n">
        <v>33.58</v>
      </c>
      <c r="J26" s="32" t="n">
        <v>-0.09</v>
      </c>
      <c r="K26" s="32" t="n">
        <v>2595535</v>
      </c>
      <c r="L26" s="31" t="n">
        <v>35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62.04</v>
      </c>
      <c r="P26" s="32" t="n">
        <v>25.99</v>
      </c>
      <c r="Q26" s="32" t="n">
        <v>27.41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1.75</v>
      </c>
      <c r="U26" s="32" t="n">
        <v>-3.95</v>
      </c>
      <c r="V26" s="32" t="n">
        <v>-5.6</v>
      </c>
      <c r="W26" s="32" t="n">
        <v>9.74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IF(B27=0,"",RANK(B27,$B$2:$B$70,0))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MUTHOOTMF</t>
        </is>
      </c>
      <c r="D27" s="31" t="inlineStr">
        <is>
          <t>Muthoot Microfin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3752.02</v>
      </c>
      <c r="I27" s="32" t="n">
        <v>216.31</v>
      </c>
      <c r="J27" s="32" t="n">
        <v>-1.71</v>
      </c>
      <c r="K27" s="32" t="n">
        <v>308965</v>
      </c>
      <c r="L27" s="31" t="n">
        <v>64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67.56</v>
      </c>
      <c r="P27" s="32" t="n">
        <v>29.61</v>
      </c>
      <c r="Q27" s="32" t="n">
        <v>165.04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1.75</v>
      </c>
      <c r="U27" s="32" t="n">
        <v>40.49</v>
      </c>
      <c r="V27" s="32" t="n">
        <v>38.07</v>
      </c>
      <c r="W27" s="32" t="n">
        <v>16.76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IF(B28=0,"",RANK(B28,$B$2:$B$70,0))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MANCREDIT</t>
        </is>
      </c>
      <c r="D28" s="31" t="inlineStr">
        <is>
          <t>Mangal Credit &amp; Fincorp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509.73</v>
      </c>
      <c r="I28" s="32" t="n">
        <v>236.29</v>
      </c>
      <c r="J28" s="32" t="n">
        <v>-2.12</v>
      </c>
      <c r="K28" s="32" t="n">
        <v>1189673</v>
      </c>
      <c r="L28" s="31" t="n">
        <v>53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77.13</v>
      </c>
      <c r="P28" s="32" t="n">
        <v>28.3</v>
      </c>
      <c r="Q28" s="32" t="n">
        <v>184.66</v>
      </c>
      <c r="R28" s="31" t="inlineStr">
        <is>
          <t>Volume Spike &amp; Near 52W High Breakout</t>
        </is>
      </c>
      <c r="S28" s="31" t="inlineStr">
        <is>
          <t>Nifty Bank</t>
        </is>
      </c>
      <c r="T28" s="32" t="n">
        <v>1.75</v>
      </c>
      <c r="U28" s="32" t="n">
        <v>25.48</v>
      </c>
      <c r="V28" s="32" t="n">
        <v>23.32</v>
      </c>
      <c r="W28" s="32" t="n">
        <v>13.94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Above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IF(B29=0,"",RANK(B29,$B$2:$B$70,0))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JSFB</t>
        </is>
      </c>
      <c r="D29" s="33" t="inlineStr">
        <is>
          <t>Jana Small Finance Bank Ltd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smallcap</t>
        </is>
      </c>
      <c r="H29" s="32" t="n">
        <v>4927.61</v>
      </c>
      <c r="I29" s="32" t="n">
        <v>479.1</v>
      </c>
      <c r="J29" s="32" t="n">
        <v>2.4</v>
      </c>
      <c r="K29" s="32" t="n">
        <v>453231</v>
      </c>
      <c r="L29" s="31" t="n">
        <v>20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58.35</v>
      </c>
      <c r="P29" s="32" t="n">
        <v>26.79</v>
      </c>
      <c r="Q29" s="32" t="n">
        <v>380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1.75</v>
      </c>
      <c r="U29" s="32" t="n">
        <v>-3.01</v>
      </c>
      <c r="V29" s="32" t="n">
        <v>-4.68</v>
      </c>
      <c r="W29" s="32" t="n">
        <v>6.12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IF(B30=0,"",RANK(B30,$B$2:$B$70,0))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SPANDANA</t>
        </is>
      </c>
      <c r="D30" s="33" t="inlineStr">
        <is>
          <t>Spandana Sphoorty Financial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2462.85</v>
      </c>
      <c r="I30" s="32" t="n">
        <v>283.7</v>
      </c>
      <c r="J30" s="32" t="n">
        <v>2.11</v>
      </c>
      <c r="K30" s="32" t="n">
        <v>416227</v>
      </c>
      <c r="L30" s="31" t="n">
        <v>36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58.92</v>
      </c>
      <c r="P30" s="32" t="n">
        <v>15.84</v>
      </c>
      <c r="Q30" s="32" t="n">
        <v>208.66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1.75</v>
      </c>
      <c r="U30" s="32" t="n">
        <v>-1.44</v>
      </c>
      <c r="V30" s="32" t="n">
        <v>-3.14</v>
      </c>
      <c r="W30" s="32" t="n">
        <v>10.06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IF(B31=0,"",RANK(B31,$B$2:$B$70,0))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SHRIRAMFIN</t>
        </is>
      </c>
      <c r="D31" s="31" t="inlineStr">
        <is>
          <t>Shriram Finance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246585.06</v>
      </c>
      <c r="I31" s="32" t="n">
        <v>1066.7</v>
      </c>
      <c r="J31" s="32" t="n">
        <v>1.77</v>
      </c>
      <c r="K31" s="32" t="n">
        <v>5736445</v>
      </c>
      <c r="L31" s="31" t="n">
        <v>61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62.19</v>
      </c>
      <c r="P31" s="32" t="n">
        <v>11.58</v>
      </c>
      <c r="Q31" s="32" t="n">
        <v>858.96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1.75</v>
      </c>
      <c r="U31" s="32" t="n">
        <v>59.43</v>
      </c>
      <c r="V31" s="32" t="n">
        <v>56.69</v>
      </c>
      <c r="W31" s="32" t="n">
        <v>16.17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IF(B32=0,"",RANK(B32,$B$2:$B$70,0))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NUVAMA</t>
        </is>
      </c>
      <c r="D32" s="31" t="inlineStr">
        <is>
          <t>Nuvama Wealth Management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32550.84</v>
      </c>
      <c r="I32" s="32" t="n">
        <v>1819.1</v>
      </c>
      <c r="J32" s="32" t="n">
        <v>1.73</v>
      </c>
      <c r="K32" s="32" t="n">
        <v>226338</v>
      </c>
      <c r="L32" s="31" t="n">
        <v>72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69.42</v>
      </c>
      <c r="P32" s="32" t="n">
        <v>29.22</v>
      </c>
      <c r="Q32" s="32" t="n">
        <v>1467.1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1.75</v>
      </c>
      <c r="U32" s="32" t="n">
        <v>27.66</v>
      </c>
      <c r="V32" s="32" t="n">
        <v>25.46</v>
      </c>
      <c r="W32" s="32" t="n">
        <v>20.4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IF(B33=0,"",RANK(B33,$B$2:$B$70,0))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ANGELONE</t>
        </is>
      </c>
      <c r="D33" s="31" t="inlineStr">
        <is>
          <t>Angel One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31005.65</v>
      </c>
      <c r="I33" s="32" t="n">
        <v>346.15</v>
      </c>
      <c r="J33" s="32" t="n">
        <v>1.69</v>
      </c>
      <c r="K33" s="32" t="n">
        <v>7642733</v>
      </c>
      <c r="L33" s="31" t="n">
        <v>59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63.32</v>
      </c>
      <c r="P33" s="32" t="n">
        <v>25.76</v>
      </c>
      <c r="Q33" s="32" t="n">
        <v>277.28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1.75</v>
      </c>
      <c r="U33" s="32" t="n">
        <v>26.71</v>
      </c>
      <c r="V33" s="32" t="n">
        <v>24.53</v>
      </c>
      <c r="W33" s="32" t="n">
        <v>15.54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IF(B34=0,"",RANK(B34,$B$2:$B$70,0))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NAM-INDIA</t>
        </is>
      </c>
      <c r="D34" s="31" t="inlineStr">
        <is>
          <t>Nippon Life India Asset Management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76344.2</v>
      </c>
      <c r="I34" s="32" t="n">
        <v>1213.2</v>
      </c>
      <c r="J34" s="32" t="n">
        <v>1.4</v>
      </c>
      <c r="K34" s="32" t="n">
        <v>784637</v>
      </c>
      <c r="L34" s="31" t="n">
        <v>73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70.95</v>
      </c>
      <c r="P34" s="32" t="n">
        <v>37.13</v>
      </c>
      <c r="Q34" s="32" t="n">
        <v>969.36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1.75</v>
      </c>
      <c r="U34" s="32" t="n">
        <v>56.91</v>
      </c>
      <c r="V34" s="32" t="n">
        <v>54.2</v>
      </c>
      <c r="W34" s="32" t="n">
        <v>20.51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IF(B35=0,"",RANK(B35,$B$2:$B$70,0))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ANANDRATHI</t>
        </is>
      </c>
      <c r="D35" s="31" t="inlineStr">
        <is>
          <t>Anand Rathi Wealth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32625.45</v>
      </c>
      <c r="I35" s="32" t="n">
        <v>1989.7</v>
      </c>
      <c r="J35" s="32" t="n">
        <v>1.26</v>
      </c>
      <c r="K35" s="32" t="n">
        <v>321393</v>
      </c>
      <c r="L35" s="31" t="n">
        <v>70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75.63</v>
      </c>
      <c r="P35" s="32" t="n">
        <v>43</v>
      </c>
      <c r="Q35" s="32" t="n">
        <v>1696.66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1.75</v>
      </c>
      <c r="U35" s="32" t="n">
        <v>89.48999999999999</v>
      </c>
      <c r="V35" s="32" t="n">
        <v>86.22</v>
      </c>
      <c r="W35" s="32" t="n">
        <v>19.28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Above 40</t>
        </is>
      </c>
      <c r="BM35" s="31">
        <f>IF(BL35="Above 40",20,IF(BL35="20 to 40",10,IF(BL35="0 to 20",-5,0)))</f>
        <v/>
      </c>
      <c r="BN35" s="31" t="inlineStr">
        <is>
          <t>Above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IF(B36=0,"",RANK(B36,$B$2:$B$70,0))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OFSS</t>
        </is>
      </c>
      <c r="D36" s="31" t="inlineStr">
        <is>
          <t>Oracle Financial Services Software Limited</t>
        </is>
      </c>
      <c r="E36" s="31" t="inlineStr">
        <is>
          <t>i.t</t>
        </is>
      </c>
      <c r="F36" s="31" t="inlineStr">
        <is>
          <t>computers - software - large</t>
        </is>
      </c>
      <c r="G36" s="31" t="inlineStr">
        <is>
          <t>largecap</t>
        </is>
      </c>
      <c r="H36" s="32" t="n">
        <v>94546.27</v>
      </c>
      <c r="I36" s="32" t="n">
        <v>10986</v>
      </c>
      <c r="J36" s="32" t="n">
        <v>1.13</v>
      </c>
      <c r="K36" s="32" t="n">
        <v>356692</v>
      </c>
      <c r="L36" s="31" t="n">
        <v>71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73.02</v>
      </c>
      <c r="P36" s="32" t="n">
        <v>31.03</v>
      </c>
      <c r="Q36" s="32" t="n">
        <v>8818.190000000001</v>
      </c>
      <c r="R36" s="31" t="inlineStr">
        <is>
          <t>Near 52W High Breakout</t>
        </is>
      </c>
      <c r="S36" s="31" t="inlineStr">
        <is>
          <t>Nifty IT</t>
        </is>
      </c>
      <c r="T36" s="32" t="n">
        <v>-31.15</v>
      </c>
      <c r="U36" s="32" t="n">
        <v>25.98</v>
      </c>
      <c r="V36" s="32" t="n">
        <v>82.98999999999999</v>
      </c>
      <c r="W36" s="32" t="n">
        <v>19.93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above 5x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IF(B37=0,"",RANK(B37,$B$2:$B$70,0))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LTF</t>
        </is>
      </c>
      <c r="D37" s="31" t="inlineStr">
        <is>
          <t>L&amp;T Finance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78312.14999999999</v>
      </c>
      <c r="I37" s="32" t="n">
        <v>315.25</v>
      </c>
      <c r="J37" s="32" t="n">
        <v>0.82</v>
      </c>
      <c r="K37" s="32" t="n">
        <v>4080354</v>
      </c>
      <c r="L37" s="31" t="n">
        <v>67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61.35</v>
      </c>
      <c r="P37" s="32" t="n">
        <v>17.78</v>
      </c>
      <c r="Q37" s="32" t="n">
        <v>252.14</v>
      </c>
      <c r="R37" s="31" t="inlineStr">
        <is>
          <t>Volume Spike &amp; Near 52W High Breakout</t>
        </is>
      </c>
      <c r="S37" s="31" t="inlineStr">
        <is>
          <t>Nifty Bank</t>
        </is>
      </c>
      <c r="T37" s="32" t="n">
        <v>1.75</v>
      </c>
      <c r="U37" s="32" t="n">
        <v>54.89</v>
      </c>
      <c r="V37" s="32" t="n">
        <v>52.22</v>
      </c>
      <c r="W37" s="32" t="n">
        <v>17.93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IF(B38=0,"",RANK(B38,$B$2:$B$70,0))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PNBHOUSING</t>
        </is>
      </c>
      <c r="D38" s="33" t="inlineStr">
        <is>
          <t>Pnb Housing Finance Limited</t>
        </is>
      </c>
      <c r="E38" s="31" t="inlineStr">
        <is>
          <t>financials</t>
        </is>
      </c>
      <c r="F38" s="31" t="inlineStr">
        <is>
          <t>finance - housing</t>
        </is>
      </c>
      <c r="G38" s="31" t="inlineStr">
        <is>
          <t>largecap</t>
        </is>
      </c>
      <c r="H38" s="32" t="n">
        <v>27400.29</v>
      </c>
      <c r="I38" s="32" t="n">
        <v>1055.6</v>
      </c>
      <c r="J38" s="32" t="n">
        <v>0.36</v>
      </c>
      <c r="K38" s="32" t="n">
        <v>499657</v>
      </c>
      <c r="L38" s="31" t="n">
        <v>31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62.33</v>
      </c>
      <c r="P38" s="32" t="n">
        <v>27.45</v>
      </c>
      <c r="Q38" s="32" t="n">
        <v>894.37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1.75</v>
      </c>
      <c r="U38" s="32" t="n">
        <v>-1.85</v>
      </c>
      <c r="V38" s="32" t="n">
        <v>-3.54</v>
      </c>
      <c r="W38" s="32" t="n">
        <v>8.539999999999999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IF(B39=0,"",RANK(B39,$B$2:$B$70,0))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ABCAPITAL</t>
        </is>
      </c>
      <c r="D39" s="31" t="inlineStr">
        <is>
          <t>Aditya Birla Capital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107495.32</v>
      </c>
      <c r="I39" s="32" t="n">
        <v>392.95</v>
      </c>
      <c r="J39" s="32" t="n">
        <v>-0.05</v>
      </c>
      <c r="K39" s="32" t="n">
        <v>2941678</v>
      </c>
      <c r="L39" s="31" t="n">
        <v>57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69.27</v>
      </c>
      <c r="P39" s="32" t="n">
        <v>19.88</v>
      </c>
      <c r="Q39" s="32" t="n">
        <v>325.85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1.75</v>
      </c>
      <c r="U39" s="32" t="n">
        <v>42.86</v>
      </c>
      <c r="V39" s="32" t="n">
        <v>40.4</v>
      </c>
      <c r="W39" s="32" t="n">
        <v>15.08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Blue sky scenario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IF(B40=0,"",RANK(B40,$B$2:$B$70,0))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CHOLAFIN</t>
        </is>
      </c>
      <c r="D40" s="31" t="inlineStr">
        <is>
          <t>Cholamandalam Investment And Finance Company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153647.86</v>
      </c>
      <c r="I40" s="32" t="n">
        <v>1788.5</v>
      </c>
      <c r="J40" s="32" t="n">
        <v>-0.82</v>
      </c>
      <c r="K40" s="32" t="n">
        <v>1239025</v>
      </c>
      <c r="L40" s="31" t="n">
        <v>42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60.9</v>
      </c>
      <c r="P40" s="32" t="n">
        <v>11.3</v>
      </c>
      <c r="Q40" s="32" t="n">
        <v>1458.13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1.75</v>
      </c>
      <c r="U40" s="32" t="n">
        <v>17.29</v>
      </c>
      <c r="V40" s="32" t="n">
        <v>15.27</v>
      </c>
      <c r="W40" s="32" t="n">
        <v>11.25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Blue sky scenario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IF(B41=0,"",RANK(B41,$B$2:$B$70,0))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KICL</t>
        </is>
      </c>
      <c r="D41" s="31" t="inlineStr">
        <is>
          <t>Kalyani Investment Company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2300.95</v>
      </c>
      <c r="I41" s="32" t="n">
        <v>5422</v>
      </c>
      <c r="J41" s="32" t="n">
        <v>2.86</v>
      </c>
      <c r="K41" s="32" t="n">
        <v>4534</v>
      </c>
      <c r="L41" s="31" t="n">
        <v>26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62.49</v>
      </c>
      <c r="P41" s="32" t="n">
        <v>21.03</v>
      </c>
      <c r="Q41" s="32" t="n">
        <v>4411.06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1.75</v>
      </c>
      <c r="U41" s="32" t="n">
        <v>5.19</v>
      </c>
      <c r="V41" s="32" t="n">
        <v>3.37</v>
      </c>
      <c r="W41" s="32" t="n">
        <v>7.37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IF(B42=0,"",RANK(B42,$B$2:$B$70,0))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PRUDENT</t>
        </is>
      </c>
      <c r="D42" s="31" t="inlineStr">
        <is>
          <t>Prudent Corporate Advisory Services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midcap</t>
        </is>
      </c>
      <c r="H42" s="32" t="n">
        <v>12318.49</v>
      </c>
      <c r="I42" s="32" t="n">
        <v>3003.6</v>
      </c>
      <c r="J42" s="32" t="n">
        <v>0.96</v>
      </c>
      <c r="K42" s="32" t="n">
        <v>8300</v>
      </c>
      <c r="L42" s="31" t="n">
        <v>38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63.6</v>
      </c>
      <c r="P42" s="32" t="n">
        <v>25.5</v>
      </c>
      <c r="Q42" s="32" t="n">
        <v>2407.17</v>
      </c>
      <c r="R42" s="31" t="inlineStr">
        <is>
          <t>Near 52W High Breakout</t>
        </is>
      </c>
      <c r="S42" s="31" t="inlineStr">
        <is>
          <t>Nifty Bank</t>
        </is>
      </c>
      <c r="T42" s="32" t="n">
        <v>1.75</v>
      </c>
      <c r="U42" s="32" t="n">
        <v>13.09</v>
      </c>
      <c r="V42" s="32" t="n">
        <v>11.14</v>
      </c>
      <c r="W42" s="32" t="n">
        <v>10.45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above 5x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IF(B43=0,"",RANK(B43,$B$2:$B$70,0))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EQUITASBNK</t>
        </is>
      </c>
      <c r="D43" s="31" t="inlineStr">
        <is>
          <t>Equitas Small Finance Bank Ltd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midcap</t>
        </is>
      </c>
      <c r="H43" s="32" t="n">
        <v>8796.299999999999</v>
      </c>
      <c r="I43" s="32" t="n">
        <v>77.45</v>
      </c>
      <c r="J43" s="32" t="n">
        <v>0.47</v>
      </c>
      <c r="K43" s="32" t="n">
        <v>2112599</v>
      </c>
      <c r="L43" s="31" t="n">
        <v>51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64.14</v>
      </c>
      <c r="P43" s="32" t="n">
        <v>25.05</v>
      </c>
      <c r="Q43" s="32" t="n">
        <v>61.93</v>
      </c>
      <c r="R43" s="31" t="inlineStr">
        <is>
          <t>Near 52W High Breakout</t>
        </is>
      </c>
      <c r="S43" s="31" t="inlineStr">
        <is>
          <t>Nifty Bank</t>
        </is>
      </c>
      <c r="T43" s="32" t="n">
        <v>1.75</v>
      </c>
      <c r="U43" s="32" t="n">
        <v>14.01</v>
      </c>
      <c r="V43" s="32" t="n">
        <v>12.05</v>
      </c>
      <c r="W43" s="32" t="n">
        <v>13.28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Cyclical in an Uptick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inlineStr">
        <is>
          <t>Yes</t>
        </is>
      </c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No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No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IF(B44=0,"",RANK(B44,$B$2:$B$70,0))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CANFINHOME</t>
        </is>
      </c>
      <c r="D44" s="31" t="inlineStr">
        <is>
          <t>Can Fin Homes Limited</t>
        </is>
      </c>
      <c r="E44" s="31" t="inlineStr">
        <is>
          <t>financials</t>
        </is>
      </c>
      <c r="F44" s="31" t="inlineStr">
        <is>
          <t>finance - housing</t>
        </is>
      </c>
      <c r="G44" s="31" t="inlineStr">
        <is>
          <t>midcap</t>
        </is>
      </c>
      <c r="H44" s="32" t="n">
        <v>11748.85</v>
      </c>
      <c r="I44" s="32" t="n">
        <v>882.5</v>
      </c>
      <c r="J44" s="32" t="n">
        <v>0.02</v>
      </c>
      <c r="K44" s="32" t="n">
        <v>281596</v>
      </c>
      <c r="L44" s="31" t="n">
        <v>10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54.72</v>
      </c>
      <c r="P44" s="32" t="n">
        <v>16.36</v>
      </c>
      <c r="Q44" s="32" t="n">
        <v>739.22</v>
      </c>
      <c r="R44" s="31" t="inlineStr">
        <is>
          <t>Volume Spike / Accumulation</t>
        </is>
      </c>
      <c r="S44" s="31" t="inlineStr">
        <is>
          <t>Nifty Bank</t>
        </is>
      </c>
      <c r="T44" s="32" t="n">
        <v>1.75</v>
      </c>
      <c r="U44" s="32" t="n">
        <v>9.619999999999999</v>
      </c>
      <c r="V44" s="32" t="n">
        <v>7.74</v>
      </c>
      <c r="W44" s="32" t="n">
        <v>3.88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IF(B45=0,"",RANK(B45,$B$2:$B$70,0))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UNIONBANK</t>
        </is>
      </c>
      <c r="D45" s="31" t="inlineStr">
        <is>
          <t>Union Bank Of India Ltd</t>
        </is>
      </c>
      <c r="E45" s="31" t="inlineStr">
        <is>
          <t>bank</t>
        </is>
      </c>
      <c r="F45" s="31" t="inlineStr">
        <is>
          <t>banks - public sector</t>
        </is>
      </c>
      <c r="G45" s="31" t="inlineStr">
        <is>
          <t>largecap</t>
        </is>
      </c>
      <c r="H45" s="32" t="n">
        <v>133496.49</v>
      </c>
      <c r="I45" s="32" t="n">
        <v>174.35</v>
      </c>
      <c r="J45" s="32" t="n">
        <v>-0.3</v>
      </c>
      <c r="K45" s="32" t="n">
        <v>17815927</v>
      </c>
      <c r="L45" s="31" t="n">
        <v>15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57.29</v>
      </c>
      <c r="P45" s="32" t="n">
        <v>20.05</v>
      </c>
      <c r="Q45" s="32" t="n">
        <v>153.28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1.75</v>
      </c>
      <c r="U45" s="32" t="n">
        <v>21.21</v>
      </c>
      <c r="V45" s="32" t="n">
        <v>19.12</v>
      </c>
      <c r="W45" s="32" t="n">
        <v>5.05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20 to 40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IF(B46=0,"",RANK(B46,$B$2:$B$70,0))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AXISBANK</t>
        </is>
      </c>
      <c r="D46" s="31" t="inlineStr">
        <is>
          <t>Axis Bank Limited</t>
        </is>
      </c>
      <c r="E46" s="31" t="inlineStr">
        <is>
          <t>bank</t>
        </is>
      </c>
      <c r="F46" s="31" t="inlineStr">
        <is>
          <t>banks - private sector</t>
        </is>
      </c>
      <c r="G46" s="31" t="inlineStr">
        <is>
          <t>largecap</t>
        </is>
      </c>
      <c r="H46" s="32" t="n">
        <v>425415.59</v>
      </c>
      <c r="I46" s="32" t="n">
        <v>1362.6</v>
      </c>
      <c r="J46" s="32" t="n">
        <v>-0.45</v>
      </c>
      <c r="K46" s="32" t="n">
        <v>4013561</v>
      </c>
      <c r="L46" s="31" t="n">
        <v>19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58.82</v>
      </c>
      <c r="P46" s="32" t="n">
        <v>9.73</v>
      </c>
      <c r="Q46" s="32" t="n">
        <v>1188</v>
      </c>
      <c r="R46" s="31" t="inlineStr">
        <is>
          <t>Near 52W High Breakout</t>
        </is>
      </c>
      <c r="S46" s="31" t="inlineStr">
        <is>
          <t>Nifty Bank</t>
        </is>
      </c>
      <c r="T46" s="32" t="n">
        <v>1.75</v>
      </c>
      <c r="U46" s="32" t="n">
        <v>15.71</v>
      </c>
      <c r="V46" s="32" t="n">
        <v>13.72</v>
      </c>
      <c r="W46" s="32" t="n">
        <v>5.92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Blue sky scenario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IF(B47=0,"",RANK(B47,$B$2:$B$70,0))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STEL</t>
        </is>
      </c>
      <c r="D47" s="31" t="inlineStr">
        <is>
          <t>Stel Holdings Limited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smallcap</t>
        </is>
      </c>
      <c r="H47" s="32" t="n">
        <v>1084.44</v>
      </c>
      <c r="I47" s="32" t="n">
        <v>572.9</v>
      </c>
      <c r="J47" s="32" t="n">
        <v>-2.5</v>
      </c>
      <c r="K47" s="32" t="n">
        <v>5046</v>
      </c>
      <c r="L47" s="31" t="n">
        <v>52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62.19</v>
      </c>
      <c r="P47" s="32" t="n">
        <v>14.06</v>
      </c>
      <c r="Q47" s="32" t="n">
        <v>428.78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1.75</v>
      </c>
      <c r="U47" s="32" t="n">
        <v>38.99</v>
      </c>
      <c r="V47" s="32" t="n">
        <v>36.59</v>
      </c>
      <c r="W47" s="32" t="n">
        <v>13.57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Blue sky scenario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IF(B48=0,"",RANK(B48,$B$2:$B$70,0))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KIRLOSIND</t>
        </is>
      </c>
      <c r="D48" s="33" t="inlineStr">
        <is>
          <t>Kirloskar Industries Limited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smallcap</t>
        </is>
      </c>
      <c r="H48" s="32" t="n">
        <v>4144.27</v>
      </c>
      <c r="I48" s="32" t="n">
        <v>4097.2</v>
      </c>
      <c r="J48" s="32" t="n">
        <v>3.9</v>
      </c>
      <c r="K48" s="32" t="n">
        <v>21471</v>
      </c>
      <c r="L48" s="31" t="n">
        <v>44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68.86</v>
      </c>
      <c r="P48" s="32" t="n">
        <v>21.72</v>
      </c>
      <c r="Q48" s="32" t="n">
        <v>3053.15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1.75</v>
      </c>
      <c r="U48" s="32" t="n">
        <v>-3.25</v>
      </c>
      <c r="V48" s="32" t="n">
        <v>-4.91</v>
      </c>
      <c r="W48" s="32" t="n">
        <v>11.59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20 to 40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IF(B49=0,"",RANK(B49,$B$2:$B$70,0))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BFINVEST</t>
        </is>
      </c>
      <c r="D49" s="33" t="inlineStr">
        <is>
          <t>Bf Investment Limited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smallcap</t>
        </is>
      </c>
      <c r="H49" s="32" t="n">
        <v>1682.99</v>
      </c>
      <c r="I49" s="32" t="n">
        <v>460.75</v>
      </c>
      <c r="J49" s="32" t="n">
        <v>3.12</v>
      </c>
      <c r="K49" s="32" t="n">
        <v>37623</v>
      </c>
      <c r="L49" s="31" t="n">
        <v>21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60.07</v>
      </c>
      <c r="P49" s="32" t="n">
        <v>17.98</v>
      </c>
      <c r="Q49" s="32" t="n">
        <v>365.18</v>
      </c>
      <c r="R49" s="31" t="inlineStr">
        <is>
          <t>Earnings / Momentum Support</t>
        </is>
      </c>
      <c r="S49" s="31" t="inlineStr">
        <is>
          <t>Nifty Bank</t>
        </is>
      </c>
      <c r="T49" s="32" t="n">
        <v>1.75</v>
      </c>
      <c r="U49" s="32" t="n">
        <v>-6.56</v>
      </c>
      <c r="V49" s="32" t="n">
        <v>-8.17</v>
      </c>
      <c r="W49" s="32" t="n">
        <v>6.22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more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IF(B50=0,"",RANK(B50,$B$2:$B$70,0))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LICI</t>
        </is>
      </c>
      <c r="D50" s="33" t="inlineStr">
        <is>
          <t>Life Insurance Corporation of India Ltd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largecap</t>
        </is>
      </c>
      <c r="H50" s="32" t="n">
        <v>549895.3</v>
      </c>
      <c r="I50" s="32" t="n">
        <v>432.1</v>
      </c>
      <c r="J50" s="32" t="n">
        <v>-0.6</v>
      </c>
      <c r="K50" s="32" t="n">
        <v>1767476</v>
      </c>
      <c r="L50" s="31" t="n">
        <v>9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58.65</v>
      </c>
      <c r="P50" s="32" t="n">
        <v>12.6</v>
      </c>
      <c r="Q50" s="32" t="n">
        <v>363.39</v>
      </c>
      <c r="R50" s="31" t="inlineStr">
        <is>
          <t>Near 52W High Breakout</t>
        </is>
      </c>
      <c r="S50" s="31" t="inlineStr">
        <is>
          <t>Nifty Bank</t>
        </is>
      </c>
      <c r="T50" s="32" t="n">
        <v>1.75</v>
      </c>
      <c r="U50" s="32" t="n">
        <v>-4.73</v>
      </c>
      <c r="V50" s="32" t="n">
        <v>-6.37</v>
      </c>
      <c r="W50" s="32" t="n">
        <v>3.74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between 2.5x to 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IF(B51=0,"",RANK(B51,$B$2:$B$70,0))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5PAISA</t>
        </is>
      </c>
      <c r="D51" s="33" t="inlineStr">
        <is>
          <t>5Paisa Capital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1703.94</v>
      </c>
      <c r="I51" s="32" t="n">
        <v>385.3</v>
      </c>
      <c r="J51" s="32" t="n">
        <v>6.01</v>
      </c>
      <c r="K51" s="32" t="n">
        <v>327776</v>
      </c>
      <c r="L51" s="31" t="n">
        <v>27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64.3</v>
      </c>
      <c r="P51" s="32" t="n">
        <v>12.4</v>
      </c>
      <c r="Q51" s="32" t="n">
        <v>288.76</v>
      </c>
      <c r="R51" s="31" t="inlineStr">
        <is>
          <t>Volume Spike &amp; Near 52W High Breakout</t>
        </is>
      </c>
      <c r="S51" s="31" t="inlineStr">
        <is>
          <t>Nifty Bank</t>
        </is>
      </c>
      <c r="T51" s="32" t="n">
        <v>1.75</v>
      </c>
      <c r="U51" s="32" t="n">
        <v>-6.84</v>
      </c>
      <c r="V51" s="32" t="n">
        <v>-8.449999999999999</v>
      </c>
      <c r="W51" s="32" t="n">
        <v>7.41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IF(B52=0,"",RANK(B52,$B$2:$B$70,0))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CHOICEIN</t>
        </is>
      </c>
      <c r="D52" s="31" t="inlineStr">
        <is>
          <t>Choice International Ltd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midcap</t>
        </is>
      </c>
      <c r="H52" s="32" t="n">
        <v>17016.78</v>
      </c>
      <c r="I52" s="32" t="n">
        <v>780.2</v>
      </c>
      <c r="J52" s="32" t="n">
        <v>2.14</v>
      </c>
      <c r="K52" s="32" t="n">
        <v>1380671</v>
      </c>
      <c r="L52" s="31" t="n">
        <v>25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59.82</v>
      </c>
      <c r="P52" s="32" t="n">
        <v>20.85</v>
      </c>
      <c r="Q52" s="32" t="n">
        <v>630.2</v>
      </c>
      <c r="R52" s="31" t="inlineStr">
        <is>
          <t>Volume Spike / Accumulation</t>
        </is>
      </c>
      <c r="S52" s="31" t="inlineStr">
        <is>
          <t>Nifty Bank</t>
        </is>
      </c>
      <c r="T52" s="32" t="n">
        <v>1.75</v>
      </c>
      <c r="U52" s="32" t="n">
        <v>6.24</v>
      </c>
      <c r="V52" s="32" t="n">
        <v>4.41</v>
      </c>
      <c r="W52" s="32" t="n">
        <v>7.16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above 5x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20 to 40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IF(B53=0,"",RANK(B53,$B$2:$B$70,0))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TFCILTD</t>
        </is>
      </c>
      <c r="D53" s="31" t="inlineStr">
        <is>
          <t>Tourism Finance Corporation Of India Limited</t>
        </is>
      </c>
      <c r="E53" s="31" t="inlineStr">
        <is>
          <t>financials</t>
        </is>
      </c>
      <c r="F53" s="31" t="inlineStr">
        <is>
          <t>finance - term-lending institutions</t>
        </is>
      </c>
      <c r="G53" s="31" t="inlineStr">
        <is>
          <t>smallcap</t>
        </is>
      </c>
      <c r="H53" s="32" t="n">
        <v>3543.63</v>
      </c>
      <c r="I53" s="32" t="n">
        <v>77.93000000000001</v>
      </c>
      <c r="J53" s="32" t="n">
        <v>1.82</v>
      </c>
      <c r="K53" s="32" t="n">
        <v>2509071</v>
      </c>
      <c r="L53" s="31" t="n">
        <v>57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58.73</v>
      </c>
      <c r="P53" s="32" t="n">
        <v>31.27</v>
      </c>
      <c r="Q53" s="32" t="n">
        <v>63.5</v>
      </c>
      <c r="R53" s="31" t="inlineStr">
        <is>
          <t>Earnings / Momentum Support</t>
        </is>
      </c>
      <c r="S53" s="31" t="inlineStr">
        <is>
          <t>Nifty Bank</t>
        </is>
      </c>
      <c r="T53" s="32" t="n">
        <v>1.75</v>
      </c>
      <c r="U53" s="32" t="n">
        <v>49.85</v>
      </c>
      <c r="V53" s="32" t="n">
        <v>47.27</v>
      </c>
      <c r="W53" s="32" t="n">
        <v>15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between 2.5x to 5x and Growth less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20 to 40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IF(B54=0,"",RANK(B54,$B$2:$B$70,0))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GEOJITFSL</t>
        </is>
      </c>
      <c r="D54" s="33" t="inlineStr">
        <is>
          <t>Geojit Financial Services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smallcap</t>
        </is>
      </c>
      <c r="H54" s="32" t="n">
        <v>2185.81</v>
      </c>
      <c r="I54" s="32" t="n">
        <v>78.97</v>
      </c>
      <c r="J54" s="32" t="n">
        <v>0.84</v>
      </c>
      <c r="K54" s="32" t="n">
        <v>183156</v>
      </c>
      <c r="L54" s="31" t="n">
        <v>28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61.73</v>
      </c>
      <c r="P54" s="32" t="n">
        <v>14.74</v>
      </c>
      <c r="Q54" s="32" t="n">
        <v>62.07</v>
      </c>
      <c r="R54" s="31" t="inlineStr">
        <is>
          <t>Near 52W High Breakout</t>
        </is>
      </c>
      <c r="S54" s="31" t="inlineStr">
        <is>
          <t>Nifty Bank</t>
        </is>
      </c>
      <c r="T54" s="32" t="n">
        <v>1.75</v>
      </c>
      <c r="U54" s="32" t="n">
        <v>-6.48</v>
      </c>
      <c r="V54" s="32" t="n">
        <v>-8.09</v>
      </c>
      <c r="W54" s="32" t="n">
        <v>7.91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less than 2.5x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IF(B55=0,"",RANK(B55,$B$2:$B$70,0))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IDFCFIRSTB</t>
        </is>
      </c>
      <c r="D55" s="31" t="inlineStr">
        <is>
          <t>IDFC First Bank Ltd</t>
        </is>
      </c>
      <c r="E55" s="31" t="inlineStr">
        <is>
          <t>bank</t>
        </is>
      </c>
      <c r="F55" s="31" t="inlineStr">
        <is>
          <t>banks - private sector</t>
        </is>
      </c>
      <c r="G55" s="31" t="inlineStr">
        <is>
          <t>largecap</t>
        </is>
      </c>
      <c r="H55" s="32" t="n">
        <v>67893.21000000001</v>
      </c>
      <c r="I55" s="32" t="n">
        <v>79.52</v>
      </c>
      <c r="J55" s="32" t="n">
        <v>0.75</v>
      </c>
      <c r="K55" s="32" t="n">
        <v>24581667</v>
      </c>
      <c r="L55" s="31" t="n">
        <v>35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60.22</v>
      </c>
      <c r="P55" s="32" t="n">
        <v>22.09</v>
      </c>
      <c r="Q55" s="32" t="n">
        <v>66.89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1.75</v>
      </c>
      <c r="U55" s="32" t="n">
        <v>2.44</v>
      </c>
      <c r="V55" s="32" t="n">
        <v>0.68</v>
      </c>
      <c r="W55" s="32" t="n">
        <v>9.52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less than 2.5x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20 to 40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IF(B56=0,"",RANK(B56,$B$2:$B$70,0))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HDFCAMC</t>
        </is>
      </c>
      <c r="D56" s="31" t="inlineStr">
        <is>
          <t>HDFC Asset Management Company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largecap</t>
        </is>
      </c>
      <c r="H56" s="32" t="n">
        <v>117630.12</v>
      </c>
      <c r="I56" s="32" t="n">
        <v>2759.6</v>
      </c>
      <c r="J56" s="32" t="n">
        <v>0.5</v>
      </c>
      <c r="K56" s="32" t="n">
        <v>395012</v>
      </c>
      <c r="L56" s="31" t="n">
        <v>24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56.42</v>
      </c>
      <c r="P56" s="32" t="n">
        <v>11.72</v>
      </c>
      <c r="Q56" s="32" t="n">
        <v>2265.01</v>
      </c>
      <c r="R56" s="31" t="inlineStr">
        <is>
          <t>Near 52W High Breakout</t>
        </is>
      </c>
      <c r="S56" s="31" t="inlineStr">
        <is>
          <t>Nifty Bank</t>
        </is>
      </c>
      <c r="T56" s="32" t="n">
        <v>1.75</v>
      </c>
      <c r="U56" s="32" t="n">
        <v>12.05</v>
      </c>
      <c r="V56" s="32" t="n">
        <v>10.12</v>
      </c>
      <c r="W56" s="32" t="n">
        <v>6.93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above 5x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Blue sky scenario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IF(B57=0,"",RANK(B57,$B$2:$B$70,0))</f>
        <v/>
      </c>
      <c r="B57" s="32">
        <f>SUM(N57,Y57,AA57,AC57,AE57,AG57,AI57,AK57,AM57,AO57,AQ57,AS57,AU57,AW57,AY57,BA57,BC57,BE57,BG57,BI57,BK57,BM57,BO57,BQ57,BS57,BU57,BW57,BY57,CA57)</f>
        <v/>
      </c>
      <c r="C57" s="33" t="inlineStr">
        <is>
          <t>REPCOHOME</t>
        </is>
      </c>
      <c r="D57" s="33" t="inlineStr">
        <is>
          <t>Repco Home Finance Limited</t>
        </is>
      </c>
      <c r="E57" s="31" t="inlineStr">
        <is>
          <t>financials</t>
        </is>
      </c>
      <c r="F57" s="31" t="inlineStr">
        <is>
          <t>finance - housing</t>
        </is>
      </c>
      <c r="G57" s="31" t="inlineStr">
        <is>
          <t>smallcap</t>
        </is>
      </c>
      <c r="H57" s="32" t="n">
        <v>2658.23</v>
      </c>
      <c r="I57" s="32" t="n">
        <v>425.9</v>
      </c>
      <c r="J57" s="32" t="n">
        <v>0.24</v>
      </c>
      <c r="K57" s="32" t="n">
        <v>154236</v>
      </c>
      <c r="L57" s="31" t="n">
        <v>13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60.51</v>
      </c>
      <c r="P57" s="32" t="n">
        <v>10.6</v>
      </c>
      <c r="Q57" s="32" t="n">
        <v>340.36</v>
      </c>
      <c r="R57" s="31" t="inlineStr">
        <is>
          <t>Near 52W High Breakout</t>
        </is>
      </c>
      <c r="S57" s="31" t="inlineStr">
        <is>
          <t>Nifty Bank</t>
        </is>
      </c>
      <c r="T57" s="32" t="n">
        <v>1.75</v>
      </c>
      <c r="U57" s="32" t="n">
        <v>1.11</v>
      </c>
      <c r="V57" s="32" t="n">
        <v>-0.63</v>
      </c>
      <c r="W57" s="32" t="n">
        <v>4.69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less than 2.5x and Growth less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IF(B58=0,"",RANK(B58,$B$2:$B$70,0))</f>
        <v/>
      </c>
      <c r="B58" s="32">
        <f>SUM(N58,Y58,AA58,AC58,AE58,AG58,AI58,AK58,AM58,AO58,AQ58,AS58,AU58,AW58,AY58,BA58,BC58,BE58,BG58,BI58,BK58,BM58,BO58,BQ58,BS58,BU58,BW58,BY58,CA58)</f>
        <v/>
      </c>
      <c r="C58" s="31" t="inlineStr">
        <is>
          <t>MOTILALOFS</t>
        </is>
      </c>
      <c r="D58" s="31" t="inlineStr">
        <is>
          <t>Motilal Oswal Financial Services Limited</t>
        </is>
      </c>
      <c r="E58" s="31" t="inlineStr">
        <is>
          <t>financials</t>
        </is>
      </c>
      <c r="F58" s="31" t="inlineStr">
        <is>
          <t>finance &amp; investments</t>
        </is>
      </c>
      <c r="G58" s="31" t="inlineStr">
        <is>
          <t>largecap</t>
        </is>
      </c>
      <c r="H58" s="32" t="n">
        <v>57534.81</v>
      </c>
      <c r="I58" s="32" t="n">
        <v>956.9</v>
      </c>
      <c r="J58" s="32" t="n">
        <v>0.1</v>
      </c>
      <c r="K58" s="32" t="n">
        <v>750906</v>
      </c>
      <c r="L58" s="31" t="n">
        <v>39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63.68</v>
      </c>
      <c r="P58" s="32" t="n">
        <v>18.72</v>
      </c>
      <c r="Q58" s="32" t="n">
        <v>773.03</v>
      </c>
      <c r="R58" s="31" t="inlineStr">
        <is>
          <t>Earnings / Momentum Support</t>
        </is>
      </c>
      <c r="S58" s="31" t="inlineStr">
        <is>
          <t>Nifty Bank</t>
        </is>
      </c>
      <c r="T58" s="32" t="n">
        <v>1.75</v>
      </c>
      <c r="U58" s="32" t="n">
        <v>5.07</v>
      </c>
      <c r="V58" s="32" t="n">
        <v>3.26</v>
      </c>
      <c r="W58" s="32" t="n">
        <v>10.69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between 2.5x to 5x and Growth more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2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IF(B59=0,"",RANK(B59,$B$2:$B$70,0))</f>
        <v/>
      </c>
      <c r="B59" s="32">
        <f>SUM(N59,Y59,AA59,AC59,AE59,AG59,AI59,AK59,AM59,AO59,AQ59,AS59,AU59,AW59,AY59,BA59,BC59,BE59,BG59,BI59,BK59,BM59,BO59,BQ59,BS59,BU59,BW59,BY59,CA59)</f>
        <v/>
      </c>
      <c r="C59" s="33" t="inlineStr">
        <is>
          <t>RECLTD</t>
        </is>
      </c>
      <c r="D59" s="33" t="inlineStr">
        <is>
          <t>REC Ltd</t>
        </is>
      </c>
      <c r="E59" s="31" t="inlineStr">
        <is>
          <t>financials</t>
        </is>
      </c>
      <c r="F59" s="31" t="inlineStr">
        <is>
          <t>finance - term-lending institutions</t>
        </is>
      </c>
      <c r="G59" s="31" t="inlineStr">
        <is>
          <t>largecap</t>
        </is>
      </c>
      <c r="H59" s="32" t="n">
        <v>97455.62</v>
      </c>
      <c r="I59" s="32" t="n">
        <v>369.6</v>
      </c>
      <c r="J59" s="32" t="n">
        <v>-0.14</v>
      </c>
      <c r="K59" s="32" t="n">
        <v>4706399</v>
      </c>
      <c r="L59" s="31" t="n">
        <v>6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57.34</v>
      </c>
      <c r="P59" s="32" t="n">
        <v>10.31</v>
      </c>
      <c r="Q59" s="32" t="n">
        <v>312.56</v>
      </c>
      <c r="R59" s="31" t="inlineStr">
        <is>
          <t>Near 52W High Breakout</t>
        </is>
      </c>
      <c r="S59" s="31" t="inlineStr">
        <is>
          <t>Nifty Bank</t>
        </is>
      </c>
      <c r="T59" s="32" t="n">
        <v>1.75</v>
      </c>
      <c r="U59" s="32" t="n">
        <v>-1.04</v>
      </c>
      <c r="V59" s="32" t="n">
        <v>-2.74</v>
      </c>
      <c r="W59" s="32" t="n">
        <v>2.91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less than 2.5x and Growth less than 20%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2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Close to 52 week high or retracement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IF(B60=0,"",RANK(B60,$B$2:$B$70,0))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MONARCH</t>
        </is>
      </c>
      <c r="D60" s="33" t="inlineStr">
        <is>
          <t>Monarch Networth Capital Ltd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smallcap</t>
        </is>
      </c>
      <c r="H60" s="32" t="n">
        <v>2716.53</v>
      </c>
      <c r="I60" s="32" t="n">
        <v>349.6</v>
      </c>
      <c r="J60" s="32" t="n">
        <v>2.01</v>
      </c>
      <c r="K60" s="32" t="n">
        <v>70588</v>
      </c>
      <c r="L60" s="31" t="n">
        <v>19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62.95</v>
      </c>
      <c r="P60" s="32" t="n">
        <v>18.67</v>
      </c>
      <c r="Q60" s="32" t="n">
        <v>280.75</v>
      </c>
      <c r="R60" s="31" t="inlineStr">
        <is>
          <t>Earnings / Momentum Support</t>
        </is>
      </c>
      <c r="S60" s="31" t="inlineStr">
        <is>
          <t>Nifty Bank</t>
        </is>
      </c>
      <c r="T60" s="32" t="n">
        <v>1.75</v>
      </c>
      <c r="U60" s="32" t="n">
        <v>-8.32</v>
      </c>
      <c r="V60" s="32" t="n">
        <v>-9.9</v>
      </c>
      <c r="W60" s="32" t="n">
        <v>5.81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No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between 2.5x to 5x and Growth more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2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IF(B61=0,"",RANK(B61,$B$2:$B$70,0))</f>
        <v/>
      </c>
      <c r="B61" s="32">
        <f>SUM(N61,Y61,AA61,AC61,AE61,AG61,AI61,AK61,AM61,AO61,AQ61,AS61,AU61,AW61,AY61,BA61,BC61,BE61,BG61,BI61,BK61,BM61,BO61,BQ61,BS61,BU61,BW61,BY61,CA61)</f>
        <v/>
      </c>
      <c r="C61" s="31" t="inlineStr">
        <is>
          <t>SBIN</t>
        </is>
      </c>
      <c r="D61" s="31" t="inlineStr">
        <is>
          <t>State Bank Of India Ltd</t>
        </is>
      </c>
      <c r="E61" s="31" t="inlineStr">
        <is>
          <t>bank</t>
        </is>
      </c>
      <c r="F61" s="31" t="inlineStr">
        <is>
          <t>banks - public sector</t>
        </is>
      </c>
      <c r="G61" s="31" t="inlineStr">
        <is>
          <t>largecap</t>
        </is>
      </c>
      <c r="H61" s="32" t="n">
        <v>966814.89</v>
      </c>
      <c r="I61" s="32" t="n">
        <v>1051.6</v>
      </c>
      <c r="J61" s="32" t="n">
        <v>0.4</v>
      </c>
      <c r="K61" s="32" t="n">
        <v>14682790</v>
      </c>
      <c r="L61" s="31" t="n">
        <v>24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56.64</v>
      </c>
      <c r="P61" s="32" t="n">
        <v>8.83</v>
      </c>
      <c r="Q61" s="32" t="n">
        <v>935.98</v>
      </c>
      <c r="R61" s="31" t="inlineStr">
        <is>
          <t>Earnings / Momentum Support</t>
        </is>
      </c>
      <c r="S61" s="31" t="inlineStr">
        <is>
          <t>Nifty Bank</t>
        </is>
      </c>
      <c r="T61" s="32" t="n">
        <v>1.75</v>
      </c>
      <c r="U61" s="32" t="n">
        <v>31.87</v>
      </c>
      <c r="V61" s="32" t="n">
        <v>29.59</v>
      </c>
      <c r="W61" s="32" t="n">
        <v>6.84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Yes</t>
        </is>
      </c>
      <c r="AK61" s="31">
        <f>IF(AJ61="Yes",10,0)</f>
        <v/>
      </c>
      <c r="AL61" s="31" t="n"/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No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less than 2.5x and Growth less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0 to 20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Positive Trend</t>
        </is>
      </c>
      <c r="BS61" s="31">
        <f>IF(BR61="Positive Trend",20,IF(BR61="Negative Trend",-10,0))</f>
        <v/>
      </c>
      <c r="BT61" s="31" t="inlineStr">
        <is>
          <t>Uptrend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IF(B62=0,"",RANK(B62,$B$2:$B$70,0))</f>
        <v/>
      </c>
      <c r="B62" s="32">
        <f>SUM(N62,Y62,AA62,AC62,AE62,AG62,AI62,AK62,AM62,AO62,AQ62,AS62,AU62,AW62,AY62,BA62,BC62,BE62,BG62,BI62,BK62,BM62,BO62,BQ62,BS62,BU62,BW62,BY62,CA62)</f>
        <v/>
      </c>
      <c r="C62" s="31" t="inlineStr">
        <is>
          <t>SOUTHBANK</t>
        </is>
      </c>
      <c r="D62" s="31" t="inlineStr">
        <is>
          <t>The South Indian Bank Limited</t>
        </is>
      </c>
      <c r="E62" s="31" t="inlineStr">
        <is>
          <t>bank</t>
        </is>
      </c>
      <c r="F62" s="31" t="inlineStr">
        <is>
          <t>banks - private sector</t>
        </is>
      </c>
      <c r="G62" s="31" t="inlineStr">
        <is>
          <t>midcap</t>
        </is>
      </c>
      <c r="H62" s="32" t="n">
        <v>11899.46</v>
      </c>
      <c r="I62" s="32" t="n">
        <v>45.54</v>
      </c>
      <c r="J62" s="32" t="n">
        <v>0.18</v>
      </c>
      <c r="K62" s="32" t="n">
        <v>26554406</v>
      </c>
      <c r="L62" s="31" t="n">
        <v>54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61.54</v>
      </c>
      <c r="P62" s="32" t="n">
        <v>17.85</v>
      </c>
      <c r="Q62" s="32" t="n">
        <v>38.61</v>
      </c>
      <c r="R62" s="31" t="inlineStr">
        <is>
          <t>Earnings / Momentum Support</t>
        </is>
      </c>
      <c r="S62" s="31" t="inlineStr">
        <is>
          <t>Nifty Bank</t>
        </is>
      </c>
      <c r="T62" s="32" t="n">
        <v>1.75</v>
      </c>
      <c r="U62" s="32" t="n">
        <v>50.45</v>
      </c>
      <c r="V62" s="32" t="n">
        <v>47.86</v>
      </c>
      <c r="W62" s="32" t="n">
        <v>14.22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No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less than 2.5x and Growth less than 20%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2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IF(B63=0,"",RANK(B63,$B$2:$B$70,0))</f>
        <v/>
      </c>
      <c r="B63" s="32">
        <f>SUM(N63,Y63,AA63,AC63,AE63,AG63,AI63,AK63,AM63,AO63,AQ63,AS63,AU63,AW63,AY63,BA63,BC63,BE63,BG63,BI63,BK63,BM63,BO63,BQ63,BS63,BU63,BW63,BY63,CA63)</f>
        <v/>
      </c>
      <c r="C63" s="31" t="inlineStr">
        <is>
          <t>RELIGARE</t>
        </is>
      </c>
      <c r="D63" s="31" t="inlineStr">
        <is>
          <t>Religare Enterprises Limited</t>
        </is>
      </c>
      <c r="E63" s="31" t="inlineStr">
        <is>
          <t>financials</t>
        </is>
      </c>
      <c r="F63" s="31" t="inlineStr">
        <is>
          <t>finance &amp; investments</t>
        </is>
      </c>
      <c r="G63" s="31" t="inlineStr">
        <is>
          <t>midcap</t>
        </is>
      </c>
      <c r="H63" s="32" t="n">
        <v>9022.219999999999</v>
      </c>
      <c r="I63" s="32" t="n">
        <v>264</v>
      </c>
      <c r="J63" s="32" t="n">
        <v>-0.15</v>
      </c>
      <c r="K63" s="32" t="n">
        <v>429962</v>
      </c>
      <c r="L63" s="31" t="n">
        <v>26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61.35</v>
      </c>
      <c r="P63" s="32" t="n">
        <v>13.15</v>
      </c>
      <c r="Q63" s="32" t="n">
        <v>219.75</v>
      </c>
      <c r="R63" s="31" t="inlineStr">
        <is>
          <t>Near 52W High Breakout</t>
        </is>
      </c>
      <c r="S63" s="31" t="inlineStr">
        <is>
          <t>Nifty Bank</t>
        </is>
      </c>
      <c r="T63" s="32" t="n">
        <v>1.75</v>
      </c>
      <c r="U63" s="32" t="n">
        <v>18.18</v>
      </c>
      <c r="V63" s="32" t="n">
        <v>16.14</v>
      </c>
      <c r="W63" s="32" t="n">
        <v>7.35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between 2.5x to 5x and Growth less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2</t>
        </is>
      </c>
      <c r="BQ63" s="31">
        <f>IF(BP63="Stage 2",20,IF(BP63="Stage 1",0,IF(BP63="Stage 3",5,IF(BP63="Stage 4",-5,0))))</f>
        <v/>
      </c>
      <c r="BR63" s="31" t="inlineStr">
        <is>
          <t>Positive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IF(B64=0,"",RANK(B64,$B$2:$B$70,0))</f>
        <v/>
      </c>
      <c r="B64" s="32">
        <f>SUM(N64,Y64,AA64,AC64,AE64,AG64,AI64,AK64,AM64,AO64,AQ64,AS64,AU64,AW64,AY64,BA64,BC64,BE64,BG64,BI64,BK64,BM64,BO64,BQ64,BS64,BU64,BW64,BY64,CA64)</f>
        <v/>
      </c>
      <c r="C64" s="31" t="inlineStr">
        <is>
          <t>EDELWEISS</t>
        </is>
      </c>
      <c r="D64" s="31" t="inlineStr">
        <is>
          <t>Edelweiss Financial Services Limited</t>
        </is>
      </c>
      <c r="E64" s="31" t="inlineStr">
        <is>
          <t>financials</t>
        </is>
      </c>
      <c r="F64" s="31" t="inlineStr">
        <is>
          <t>finance &amp; investments</t>
        </is>
      </c>
      <c r="G64" s="31" t="inlineStr">
        <is>
          <t>midcap</t>
        </is>
      </c>
      <c r="H64" s="32" t="n">
        <v>11873.29</v>
      </c>
      <c r="I64" s="32" t="n">
        <v>123.88</v>
      </c>
      <c r="J64" s="32" t="n">
        <v>-1.24</v>
      </c>
      <c r="K64" s="32" t="n">
        <v>1719809</v>
      </c>
      <c r="L64" s="31" t="n">
        <v>17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57.58</v>
      </c>
      <c r="P64" s="32" t="n">
        <v>10.04</v>
      </c>
      <c r="Q64" s="32" t="n">
        <v>92.56</v>
      </c>
      <c r="R64" s="31" t="inlineStr">
        <is>
          <t>Near 52W High Breakout</t>
        </is>
      </c>
      <c r="S64" s="31" t="inlineStr">
        <is>
          <t>Nifty Bank</t>
        </is>
      </c>
      <c r="T64" s="32" t="n">
        <v>1.75</v>
      </c>
      <c r="U64" s="32" t="n">
        <v>9.140000000000001</v>
      </c>
      <c r="V64" s="32" t="n">
        <v>7.26</v>
      </c>
      <c r="W64" s="32" t="n">
        <v>5.45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between 2.5x to 5x and Growth less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2</t>
        </is>
      </c>
      <c r="BQ64" s="31">
        <f>IF(BP64="Stage 2",20,IF(BP64="Stage 1",0,IF(BP64="Stage 3",5,IF(BP64="Stage 4",-5,0))))</f>
        <v/>
      </c>
      <c r="BR64" s="31" t="inlineStr">
        <is>
          <t>Positive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IF(B65=0,"",RANK(B65,$B$2:$B$70,0))</f>
        <v/>
      </c>
      <c r="B65" s="32">
        <f>SUM(N65,Y65,AA65,AC65,AE65,AG65,AI65,AK65,AM65,AO65,AQ65,AS65,AU65,AW65,AY65,BA65,BC65,BE65,BG65,BI65,BK65,BM65,BO65,BQ65,BS65,BU65,BW65,BY65,CA65)</f>
        <v/>
      </c>
      <c r="C65" s="31" t="inlineStr">
        <is>
          <t>MASFIN</t>
        </is>
      </c>
      <c r="D65" s="31" t="inlineStr">
        <is>
          <t>MAS Financial Services Ltd</t>
        </is>
      </c>
      <c r="E65" s="31" t="inlineStr">
        <is>
          <t>financials</t>
        </is>
      </c>
      <c r="F65" s="31" t="inlineStr">
        <is>
          <t>finance &amp; investments</t>
        </is>
      </c>
      <c r="G65" s="31" t="inlineStr">
        <is>
          <t>midcap</t>
        </is>
      </c>
      <c r="H65" s="32" t="n">
        <v>5622.33</v>
      </c>
      <c r="I65" s="32" t="n">
        <v>319.5</v>
      </c>
      <c r="J65" s="32" t="n">
        <v>3.11</v>
      </c>
      <c r="K65" s="32" t="n">
        <v>282301</v>
      </c>
      <c r="L65" s="31" t="n">
        <v>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52.35</v>
      </c>
      <c r="P65" s="32" t="n">
        <v>16.7</v>
      </c>
      <c r="Q65" s="32" t="n">
        <v>284.91</v>
      </c>
      <c r="R65" s="31" t="inlineStr">
        <is>
          <t>Earnings / Momentum Support</t>
        </is>
      </c>
      <c r="S65" s="31" t="inlineStr">
        <is>
          <t>Nifty Bank</t>
        </is>
      </c>
      <c r="T65" s="32" t="n">
        <v>1.75</v>
      </c>
      <c r="U65" s="32" t="n">
        <v>3.36</v>
      </c>
      <c r="V65" s="32" t="n">
        <v>1.58</v>
      </c>
      <c r="W65" s="32" t="n">
        <v>2.41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less than 2.5x and Growth more than 20%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0 to 20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1</t>
        </is>
      </c>
      <c r="BQ65" s="31">
        <f>IF(BP65="Stage 2",20,IF(BP65="Stage 1",0,IF(BP65="Stage 3",5,IF(BP65="Stage 4",-5,0))))</f>
        <v/>
      </c>
      <c r="BR65" s="31" t="inlineStr">
        <is>
          <t>Positive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IF(B66=0,"",RANK(B66,$B$2:$B$70,0))</f>
        <v/>
      </c>
      <c r="B66" s="32">
        <f>SUM(N66,Y66,AA66,AC66,AE66,AG66,AI66,AK66,AM66,AO66,AQ66,AS66,AU66,AW66,AY66,BA66,BC66,BE66,BG66,BI66,BK66,BM66,BO66,BQ66,BS66,BU66,BW66,BY66,CA66)</f>
        <v/>
      </c>
      <c r="C66" s="33" t="inlineStr">
        <is>
          <t>ICICIBANK</t>
        </is>
      </c>
      <c r="D66" s="33" t="inlineStr">
        <is>
          <t>Icici Bank Limited</t>
        </is>
      </c>
      <c r="E66" s="31" t="inlineStr">
        <is>
          <t>bank</t>
        </is>
      </c>
      <c r="F66" s="31" t="inlineStr">
        <is>
          <t>banks - private sector</t>
        </is>
      </c>
      <c r="G66" s="31" t="inlineStr">
        <is>
          <t>largecap</t>
        </is>
      </c>
      <c r="H66" s="32" t="n">
        <v>987952.33</v>
      </c>
      <c r="I66" s="32" t="n">
        <v>1400</v>
      </c>
      <c r="J66" s="32" t="n">
        <v>1.46</v>
      </c>
      <c r="K66" s="32" t="n">
        <v>15782675</v>
      </c>
      <c r="L66" s="31" t="n">
        <v>6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60.29</v>
      </c>
      <c r="P66" s="32" t="n">
        <v>12.84</v>
      </c>
      <c r="Q66" s="32" t="n">
        <v>1227.01</v>
      </c>
      <c r="R66" s="31" t="inlineStr">
        <is>
          <t>Near 52W High Breakout</t>
        </is>
      </c>
      <c r="S66" s="31" t="inlineStr">
        <is>
          <t>Nifty Bank</t>
        </is>
      </c>
      <c r="T66" s="32" t="n">
        <v>1.75</v>
      </c>
      <c r="U66" s="32" t="n">
        <v>-2.22</v>
      </c>
      <c r="V66" s="32" t="n">
        <v>-3.9</v>
      </c>
      <c r="W66" s="32" t="n">
        <v>2.93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between 2.5x to 5x and Growth less than 20%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2</t>
        </is>
      </c>
      <c r="BQ66" s="31">
        <f>IF(BP66="Stage 2",20,IF(BP66="Stage 1",0,IF(BP66="Stage 3",5,IF(BP66="Stage 4",-5,0))))</f>
        <v/>
      </c>
      <c r="BR66" s="31" t="inlineStr">
        <is>
          <t>Positive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Blue sky scenario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IF(B67=0,"",RANK(B67,$B$2:$B$70,0))</f>
        <v/>
      </c>
      <c r="B67" s="32">
        <f>SUM(N67,Y67,AA67,AC67,AE67,AG67,AI67,AK67,AM67,AO67,AQ67,AS67,AU67,AW67,AY67,BA67,BC67,BE67,BG67,BI67,BK67,BM67,BO67,BQ67,BS67,BU67,BW67,BY67,CA67)</f>
        <v/>
      </c>
      <c r="C67" s="33" t="inlineStr">
        <is>
          <t>ARMANFIN</t>
        </is>
      </c>
      <c r="D67" s="33" t="inlineStr">
        <is>
          <t>Arman Financial Services Limited</t>
        </is>
      </c>
      <c r="E67" s="31" t="inlineStr">
        <is>
          <t>financials</t>
        </is>
      </c>
      <c r="F67" s="31" t="inlineStr">
        <is>
          <t>finance &amp; investments</t>
        </is>
      </c>
      <c r="G67" s="31" t="inlineStr">
        <is>
          <t>smallcap</t>
        </is>
      </c>
      <c r="H67" s="32" t="n">
        <v>1790.77</v>
      </c>
      <c r="I67" s="32" t="n">
        <v>1711</v>
      </c>
      <c r="J67" s="32" t="n">
        <v>0.45</v>
      </c>
      <c r="K67" s="32" t="n">
        <v>14016</v>
      </c>
      <c r="L67" s="31" t="n">
        <v>6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56.16</v>
      </c>
      <c r="P67" s="32" t="n">
        <v>12.54</v>
      </c>
      <c r="Q67" s="32" t="n">
        <v>1334.05</v>
      </c>
      <c r="R67" s="31" t="inlineStr">
        <is>
          <t>Near 52W High Breakout</t>
        </is>
      </c>
      <c r="S67" s="31" t="inlineStr">
        <is>
          <t>Nifty Bank</t>
        </is>
      </c>
      <c r="T67" s="32" t="n">
        <v>1.75</v>
      </c>
      <c r="U67" s="32" t="n">
        <v>-4.45</v>
      </c>
      <c r="V67" s="32" t="n">
        <v>-6.1</v>
      </c>
      <c r="W67" s="32" t="n">
        <v>2.94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Fragmented with High ROE</t>
        </is>
      </c>
      <c r="AA67" s="31">
        <f>IF(Z67="Fragmented with Low ROE",-5,IF(Z67="Fragmented with High ROE",10,IF(Z67= "highly cyclical",5,0)))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 in an Uptick</t>
        </is>
      </c>
      <c r="AG67" s="31">
        <f>IF(AF67="Structural (10 Years Consistency)",15,IF(AF67="Shallow Cyclical (2 to 3 years growth)",10,IF(AF67 = "Cyclical in an Uptick",5,IF(AF67 = "Cyclical in an Downtick",-10,0))))</f>
        <v/>
      </c>
      <c r="AH67" s="31" t="inlineStr">
        <is>
          <t>Yes</t>
        </is>
      </c>
      <c r="AI67" s="31">
        <f>IF(AH67="Yes",10,0)</f>
        <v/>
      </c>
      <c r="AJ67" s="31" t="inlineStr">
        <is>
          <t>Not Applicable</t>
        </is>
      </c>
      <c r="AK67" s="31">
        <f>IF(AJ67="Yes",10,0)</f>
        <v/>
      </c>
      <c r="AL67" s="31" t="inlineStr">
        <is>
          <t>Yes</t>
        </is>
      </c>
      <c r="AM67" s="31">
        <f>IF(AL67="No",10,0)</f>
        <v/>
      </c>
      <c r="AN67" s="31" t="inlineStr">
        <is>
          <t>Yes</t>
        </is>
      </c>
      <c r="AO67" s="31">
        <f>IF(AN67="Yes",10,0)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Yes</t>
        </is>
      </c>
      <c r="AS67" s="31">
        <f>IF(AR67="Yes",5,0)</f>
        <v/>
      </c>
      <c r="AT67" s="31" t="inlineStr">
        <is>
          <t>Not Applicable</t>
        </is>
      </c>
      <c r="AU67" s="31">
        <f>IF(AT67="No",10,IF(AT67="Yes",-10,0))</f>
        <v/>
      </c>
      <c r="AV67" s="31" t="inlineStr">
        <is>
          <t>No</t>
        </is>
      </c>
      <c r="AW67" s="31">
        <f>IF(AV67="No",10,0)</f>
        <v/>
      </c>
      <c r="AX67" s="31" t="inlineStr">
        <is>
          <t>No</t>
        </is>
      </c>
      <c r="AY67" s="31">
        <f>IF(AX67="No",10,IF(AX67= "Yes CEO Resignation",-5,0))</f>
        <v/>
      </c>
      <c r="AZ67" s="31" t="inlineStr">
        <is>
          <t>No</t>
        </is>
      </c>
      <c r="BA67" s="31">
        <f>IF(AZ67="No",10,IF(AZ67="Yes",-5,0))</f>
        <v/>
      </c>
      <c r="BB67" s="31" t="inlineStr">
        <is>
          <t>No</t>
        </is>
      </c>
      <c r="BC67" s="31">
        <f>IF(BB67="No",5,IF(BB67="Yes",-5,0))</f>
        <v/>
      </c>
      <c r="BD67" s="31" t="inlineStr">
        <is>
          <t>Yes</t>
        </is>
      </c>
      <c r="BE67" s="31">
        <f>IF(BD67="Yes",10,0)</f>
        <v/>
      </c>
      <c r="BF67" s="31" t="inlineStr">
        <is>
          <t>Yes</t>
        </is>
      </c>
      <c r="BG67" s="31">
        <f>IF(BF67="Yes",10,0)</f>
        <v/>
      </c>
      <c r="BH67" s="31" t="inlineStr">
        <is>
          <t>Yes</t>
        </is>
      </c>
      <c r="BI67" s="31">
        <f>IF(BH67="Yes",10,0)</f>
        <v/>
      </c>
      <c r="BJ67" s="31" t="inlineStr">
        <is>
          <t>P/BV between 2.5x to 5x and Growth more than 20%</t>
        </is>
      </c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inlineStr">
        <is>
          <t>20 to 40</t>
        </is>
      </c>
      <c r="BM67" s="31">
        <f>IF(BL67="Above 40",20,IF(BL67="20 to 40",10,IF(BL67="0 to 20",-5,0)))</f>
        <v/>
      </c>
      <c r="BN67" s="31" t="inlineStr">
        <is>
          <t>Between 50 to 75</t>
        </is>
      </c>
      <c r="BO67" s="31">
        <f>IF(BN67="Between 50 to 75",10,IF(BN67="Above 75",0,0))</f>
        <v/>
      </c>
      <c r="BP67" s="31" t="inlineStr">
        <is>
          <t>Stage 2</t>
        </is>
      </c>
      <c r="BQ67" s="31">
        <f>IF(BP67="Stage 2",20,IF(BP67="Stage 1",0,IF(BP67="Stage 3",5,IF(BP67="Stage 4",-5,0))))</f>
        <v/>
      </c>
      <c r="BR67" s="31" t="inlineStr">
        <is>
          <t>Positive Trend</t>
        </is>
      </c>
      <c r="BS67" s="31">
        <f>IF(BR67="Positive Trend",20,IF(BR67="Negative Trend",-10,0))</f>
        <v/>
      </c>
      <c r="BT67" s="31" t="inlineStr">
        <is>
          <t>Sideways</t>
        </is>
      </c>
      <c r="BU67" s="31">
        <f>IF(BT67="Uptrend",10,IF(BT67="Sideways",5,0))</f>
        <v/>
      </c>
      <c r="BV67" s="31" t="inlineStr">
        <is>
          <t>Uptrend</t>
        </is>
      </c>
      <c r="BW67" s="31">
        <f>IF(BV67="Uptrend",10,IF(BV67="Sideways",5,0))</f>
        <v/>
      </c>
      <c r="BX67" s="31" t="inlineStr">
        <is>
          <t>Close to 52 week high or retracement</t>
        </is>
      </c>
      <c r="BY67" s="31">
        <f>IF(BX67="Overhead supply in last 2 years in last 2 years",-5,IF(BX67="Close to 52 week high or retracement",5,IF(BX67="Blue sky scenario",10,IF(BX67="Long term Downtrend",-10,0))))</f>
        <v/>
      </c>
      <c r="BZ67" s="31" t="inlineStr">
        <is>
          <t>Yes</t>
        </is>
      </c>
      <c r="CA67" s="31">
        <f>IF(BZ67="Yes",10,0)</f>
        <v/>
      </c>
    </row>
    <row r="68">
      <c r="A68" s="31">
        <f>IF(B68=0,"",RANK(B68,$B$2:$B$70,0))</f>
        <v/>
      </c>
      <c r="B68" s="32">
        <f>SUM(N68,Y68,AA68,AC68,AE68,AG68,AI68,AK68,AM68,AO68,AQ68,AS68,AU68,AW68,AY68,BA68,BC68,BE68,BG68,BI68,BK68,BM68,BO68,BQ68,BS68,BU68,BW68,BY68,CA68)</f>
        <v/>
      </c>
      <c r="C68" s="31" t="inlineStr">
        <is>
          <t>BAJFINANCE</t>
        </is>
      </c>
      <c r="D68" s="31" t="inlineStr">
        <is>
          <t>Bajaj Finance Limited</t>
        </is>
      </c>
      <c r="E68" s="31" t="inlineStr">
        <is>
          <t>financials</t>
        </is>
      </c>
      <c r="F68" s="31" t="inlineStr">
        <is>
          <t>finance &amp; investments</t>
        </is>
      </c>
      <c r="G68" s="31" t="inlineStr">
        <is>
          <t>largecap</t>
        </is>
      </c>
      <c r="H68" s="32" t="n">
        <v>631519.6800000001</v>
      </c>
      <c r="I68" s="32" t="n">
        <v>1018.4</v>
      </c>
      <c r="J68" s="32" t="n">
        <v>0.34</v>
      </c>
      <c r="K68" s="32" t="n">
        <v>8168339</v>
      </c>
      <c r="L68" s="31" t="n">
        <v>27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61.09</v>
      </c>
      <c r="P68" s="32" t="n">
        <v>10.71</v>
      </c>
      <c r="Q68" s="32" t="n">
        <v>845.4</v>
      </c>
      <c r="R68" s="31" t="inlineStr">
        <is>
          <t>Earnings / Momentum Support</t>
        </is>
      </c>
      <c r="S68" s="31" t="inlineStr">
        <is>
          <t>Nifty Bank</t>
        </is>
      </c>
      <c r="T68" s="32" t="n">
        <v>1.75</v>
      </c>
      <c r="U68" s="32" t="n">
        <v>10.74</v>
      </c>
      <c r="V68" s="32" t="n">
        <v>8.83</v>
      </c>
      <c r="W68" s="32" t="n">
        <v>7.67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Fragmented with High ROE</t>
        </is>
      </c>
      <c r="AA68" s="31">
        <f>IF(Z68="Fragmented with Low ROE",-5,IF(Z68="Fragmented with High ROE",10,IF(Z68= "highly cyclical",5,0)))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Consistency)",15,IF(AF68="Shallow Cyclical (2 to 3 years growth)",10,IF(AF68 = "Cyclical in an Uptick",5,IF(AF68 = "Cyclical in an Downtick",-10,0))))</f>
        <v/>
      </c>
      <c r="AH68" s="31" t="inlineStr">
        <is>
          <t>Yes</t>
        </is>
      </c>
      <c r="AI68" s="31">
        <f>IF(AH68="Yes",10,0)</f>
        <v/>
      </c>
      <c r="AJ68" s="31" t="inlineStr">
        <is>
          <t>Yes</t>
        </is>
      </c>
      <c r="AK68" s="31">
        <f>IF(AJ68="Yes",10,0)</f>
        <v/>
      </c>
      <c r="AL68" s="31" t="n"/>
      <c r="AM68" s="31">
        <f>IF(AL68="No",10,0)</f>
        <v/>
      </c>
      <c r="AN68" s="31" t="inlineStr">
        <is>
          <t>Yes</t>
        </is>
      </c>
      <c r="AO68" s="31">
        <f>IF(AN68="Yes",10,0)</f>
        <v/>
      </c>
      <c r="AP68" s="31" t="inlineStr">
        <is>
          <t>No</t>
        </is>
      </c>
      <c r="AQ68" s="31">
        <f>IF(AP68="Yes",10,0)</f>
        <v/>
      </c>
      <c r="AR68" s="31" t="inlineStr">
        <is>
          <t>Yes</t>
        </is>
      </c>
      <c r="AS68" s="31">
        <f>IF(AR68="Yes",5,0)</f>
        <v/>
      </c>
      <c r="AT68" s="31" t="inlineStr">
        <is>
          <t>No</t>
        </is>
      </c>
      <c r="AU68" s="31">
        <f>IF(AT68="No",10,IF(AT68="Yes",-10,0))</f>
        <v/>
      </c>
      <c r="AV68" s="31" t="inlineStr">
        <is>
          <t>No</t>
        </is>
      </c>
      <c r="AW68" s="31">
        <f>IF(AV68="No",10,0)</f>
        <v/>
      </c>
      <c r="AX68" s="31" t="inlineStr">
        <is>
          <t>No</t>
        </is>
      </c>
      <c r="AY68" s="31">
        <f>IF(AX68="No",10,IF(AX68= "Yes CEO Resignation",-5,0))</f>
        <v/>
      </c>
      <c r="AZ68" s="31" t="inlineStr">
        <is>
          <t>No</t>
        </is>
      </c>
      <c r="BA68" s="31">
        <f>IF(AZ68="No",10,IF(AZ68="Yes",-5,0))</f>
        <v/>
      </c>
      <c r="BB68" s="31" t="inlineStr">
        <is>
          <t>No</t>
        </is>
      </c>
      <c r="BC68" s="31">
        <f>IF(BB68="No",5,IF(BB68="Yes",-5,0))</f>
        <v/>
      </c>
      <c r="BD68" s="31" t="inlineStr">
        <is>
          <t>Yes</t>
        </is>
      </c>
      <c r="BE68" s="31">
        <f>IF(BD68="Yes",10,0)</f>
        <v/>
      </c>
      <c r="BF68" s="31" t="inlineStr">
        <is>
          <t>Yes</t>
        </is>
      </c>
      <c r="BG68" s="31">
        <f>IF(BF68="Yes",10,0)</f>
        <v/>
      </c>
      <c r="BH68" s="31" t="inlineStr">
        <is>
          <t>Yes</t>
        </is>
      </c>
      <c r="BI68" s="31">
        <f>IF(BH68="Yes",10,0)</f>
        <v/>
      </c>
      <c r="BJ68" s="31" t="inlineStr">
        <is>
          <t>P/BV above 5x</t>
        </is>
      </c>
      <c r="BK68" s="31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1" t="inlineStr">
        <is>
          <t>0 to 20</t>
        </is>
      </c>
      <c r="BM68" s="31">
        <f>IF(BL68="Above 40",20,IF(BL68="20 to 40",10,IF(BL68="0 to 20",-5,0)))</f>
        <v/>
      </c>
      <c r="BN68" s="31" t="inlineStr">
        <is>
          <t>Between 50 to 75</t>
        </is>
      </c>
      <c r="BO68" s="31">
        <f>IF(BN68="Between 50 to 75",10,IF(BN68="Above 75",0,0))</f>
        <v/>
      </c>
      <c r="BP68" s="31" t="inlineStr">
        <is>
          <t>Stage 2</t>
        </is>
      </c>
      <c r="BQ68" s="31">
        <f>IF(BP68="Stage 2",20,IF(BP68="Stage 1",0,IF(BP68="Stage 3",5,IF(BP68="Stage 4",-5,0))))</f>
        <v/>
      </c>
      <c r="BR68" s="31" t="inlineStr">
        <is>
          <t>Positive Trend</t>
        </is>
      </c>
      <c r="BS68" s="31">
        <f>IF(BR68="Positive Trend",20,IF(BR68="Negative Trend",-10,0))</f>
        <v/>
      </c>
      <c r="BT68" s="31" t="inlineStr">
        <is>
          <t>Uptrend</t>
        </is>
      </c>
      <c r="BU68" s="31">
        <f>IF(BT68="Uptrend",10,IF(BT68="Sideways",5,0))</f>
        <v/>
      </c>
      <c r="BV68" s="31" t="inlineStr">
        <is>
          <t>Uptrend</t>
        </is>
      </c>
      <c r="BW68" s="31">
        <f>IF(BV68="Uptrend",10,IF(BV68="Sideways",5,0))</f>
        <v/>
      </c>
      <c r="BX68" s="31" t="inlineStr">
        <is>
          <t>Close to 52 week high or retracement</t>
        </is>
      </c>
      <c r="BY68" s="31">
        <f>IF(BX68="Overhead supply in last 2 years in last 2 years",-5,IF(BX68="Close to 52 week high or retracement",5,IF(BX68="Blue sky scenario",10,IF(BX68="Long term Downtrend",-10,0))))</f>
        <v/>
      </c>
      <c r="BZ68" s="31" t="inlineStr">
        <is>
          <t>Yes</t>
        </is>
      </c>
      <c r="CA68" s="31">
        <f>IF(BZ68="Yes",10,0)</f>
        <v/>
      </c>
    </row>
    <row r="69">
      <c r="A69" s="31">
        <f>IF(B69=0,"",RANK(B69,$B$2:$B$70,0))</f>
        <v/>
      </c>
      <c r="B69" s="32">
        <f>SUM(N69,Y69,AA69,AC69,AE69,AG69,AI69,AK69,AM69,AO69,AQ69,AS69,AU69,AW69,AY69,BA69,BC69,BE69,BG69,BI69,BK69,BM69,BO69,BQ69,BS69,BU69,BW69,BY69,CA69)</f>
        <v/>
      </c>
      <c r="C69" s="31" t="inlineStr">
        <is>
          <t>TVSHLTD</t>
        </is>
      </c>
      <c r="D69" s="31" t="inlineStr">
        <is>
          <t>TVS Holdings Ltd</t>
        </is>
      </c>
      <c r="E69" s="31" t="inlineStr">
        <is>
          <t>financials</t>
        </is>
      </c>
      <c r="F69" s="31" t="inlineStr">
        <is>
          <t>finance &amp; investments</t>
        </is>
      </c>
      <c r="G69" s="31" t="inlineStr">
        <is>
          <t>largecap</t>
        </is>
      </c>
      <c r="H69" s="32" t="n">
        <v>27815.1</v>
      </c>
      <c r="I69" s="32" t="n">
        <v>14178</v>
      </c>
      <c r="J69" s="32" t="n">
        <v>3.13</v>
      </c>
      <c r="K69" s="32" t="n">
        <v>6712</v>
      </c>
      <c r="L69" s="31" t="n">
        <v>20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53.75</v>
      </c>
      <c r="P69" s="32" t="n">
        <v>10.68</v>
      </c>
      <c r="Q69" s="32" t="n">
        <v>12137.65</v>
      </c>
      <c r="R69" s="31" t="inlineStr">
        <is>
          <t>Earnings / Momentum Support</t>
        </is>
      </c>
      <c r="S69" s="31" t="inlineStr">
        <is>
          <t>Nifty Bank</t>
        </is>
      </c>
      <c r="T69" s="32" t="n">
        <v>1.75</v>
      </c>
      <c r="U69" s="32" t="n">
        <v>30.07</v>
      </c>
      <c r="V69" s="32" t="n">
        <v>27.82</v>
      </c>
      <c r="W69" s="32" t="n">
        <v>6.03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Fragmented with High ROE</t>
        </is>
      </c>
      <c r="AA69" s="31">
        <f>IF(Z69="Fragmented with Low ROE",-5,IF(Z69="Fragmented with High ROE",10,IF(Z69= "highly cyclical",5,0)))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Consistency)",15,IF(AF69="Shallow Cyclical (2 to 3 years growth)",10,IF(AF69 = "Cyclical in an Uptick",5,IF(AF69 = "Cyclical in an Downtick",-10,0))))</f>
        <v/>
      </c>
      <c r="AH69" s="31" t="inlineStr">
        <is>
          <t>Yes</t>
        </is>
      </c>
      <c r="AI69" s="31">
        <f>IF(AH69="Yes",10,0)</f>
        <v/>
      </c>
      <c r="AJ69" s="31" t="inlineStr">
        <is>
          <t>Yes</t>
        </is>
      </c>
      <c r="AK69" s="31">
        <f>IF(AJ69="Yes",10,0)</f>
        <v/>
      </c>
      <c r="AL69" s="31" t="n"/>
      <c r="AM69" s="31">
        <f>IF(AL69="No",10,0)</f>
        <v/>
      </c>
      <c r="AN69" s="31" t="inlineStr">
        <is>
          <t>Yes</t>
        </is>
      </c>
      <c r="AO69" s="31">
        <f>IF(AN69="Yes",10,0)</f>
        <v/>
      </c>
      <c r="AP69" s="31" t="inlineStr">
        <is>
          <t>No</t>
        </is>
      </c>
      <c r="AQ69" s="31">
        <f>IF(AP69="Yes",10,0)</f>
        <v/>
      </c>
      <c r="AR69" s="31" t="inlineStr">
        <is>
          <t>Yes</t>
        </is>
      </c>
      <c r="AS69" s="31">
        <f>IF(AR69="Yes",5,0)</f>
        <v/>
      </c>
      <c r="AT69" s="31" t="inlineStr">
        <is>
          <t>No</t>
        </is>
      </c>
      <c r="AU69" s="31">
        <f>IF(AT69="No",10,IF(AT69="Yes",-10,0))</f>
        <v/>
      </c>
      <c r="AV69" s="31" t="inlineStr">
        <is>
          <t>No</t>
        </is>
      </c>
      <c r="AW69" s="31">
        <f>IF(AV69="No",10,0)</f>
        <v/>
      </c>
      <c r="AX69" s="31" t="inlineStr">
        <is>
          <t>No</t>
        </is>
      </c>
      <c r="AY69" s="31">
        <f>IF(AX69="No",10,IF(AX69= "Yes CEO Resignation",-5,0))</f>
        <v/>
      </c>
      <c r="AZ69" s="31" t="inlineStr">
        <is>
          <t>No</t>
        </is>
      </c>
      <c r="BA69" s="31">
        <f>IF(AZ69="No",10,IF(AZ69="Yes",-5,0))</f>
        <v/>
      </c>
      <c r="BB69" s="31" t="inlineStr">
        <is>
          <t>No</t>
        </is>
      </c>
      <c r="BC69" s="31">
        <f>IF(BB69="No",5,IF(BB69="Yes",-5,0))</f>
        <v/>
      </c>
      <c r="BD69" s="31" t="inlineStr">
        <is>
          <t>Yes</t>
        </is>
      </c>
      <c r="BE69" s="31">
        <f>IF(BD69="Yes",10,0)</f>
        <v/>
      </c>
      <c r="BF69" s="31" t="inlineStr">
        <is>
          <t>Yes</t>
        </is>
      </c>
      <c r="BG69" s="31">
        <f>IF(BF69="Yes",10,0)</f>
        <v/>
      </c>
      <c r="BH69" s="31" t="inlineStr">
        <is>
          <t>Yes</t>
        </is>
      </c>
      <c r="BI69" s="31">
        <f>IF(BH69="Yes",10,0)</f>
        <v/>
      </c>
      <c r="BJ69" s="31" t="inlineStr">
        <is>
          <t>P/BV between 2.5x to 5x and Growth more than 20%</t>
        </is>
      </c>
      <c r="BK69" s="31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1" t="inlineStr">
        <is>
          <t>0 to 20</t>
        </is>
      </c>
      <c r="BM69" s="31">
        <f>IF(BL69="Above 40",20,IF(BL69="20 to 40",10,IF(BL69="0 to 20",-5,0)))</f>
        <v/>
      </c>
      <c r="BN69" s="31" t="inlineStr">
        <is>
          <t>Between 50 to 75</t>
        </is>
      </c>
      <c r="BO69" s="31">
        <f>IF(BN69="Between 50 to 75",10,IF(BN69="Above 75",0,0))</f>
        <v/>
      </c>
      <c r="BP69" s="31" t="inlineStr">
        <is>
          <t>Stage 1</t>
        </is>
      </c>
      <c r="BQ69" s="31">
        <f>IF(BP69="Stage 2",20,IF(BP69="Stage 1",0,IF(BP69="Stage 3",5,IF(BP69="Stage 4",-5,0))))</f>
        <v/>
      </c>
      <c r="BR69" s="31" t="inlineStr">
        <is>
          <t>Positive Trend</t>
        </is>
      </c>
      <c r="BS69" s="31">
        <f>IF(BR69="Positive Trend",20,IF(BR69="Negative Trend",-10,0))</f>
        <v/>
      </c>
      <c r="BT69" s="31" t="inlineStr">
        <is>
          <t>Uptrend</t>
        </is>
      </c>
      <c r="BU69" s="31">
        <f>IF(BT69="Uptrend",10,IF(BT69="Sideways",5,0))</f>
        <v/>
      </c>
      <c r="BV69" s="31" t="inlineStr">
        <is>
          <t>Uptrend</t>
        </is>
      </c>
      <c r="BW69" s="31">
        <f>IF(BV69="Uptrend",10,IF(BV69="Sideways",5,0))</f>
        <v/>
      </c>
      <c r="BX69" s="31" t="inlineStr">
        <is>
          <t>Close to 52 week high or retracement</t>
        </is>
      </c>
      <c r="BY69" s="31">
        <f>IF(BX69="Overhead supply in last 2 years in last 2 years",-5,IF(BX69="Close to 52 week high or retracement",5,IF(BX69="Blue sky scenario",10,IF(BX69="Long term Downtrend",-10,0))))</f>
        <v/>
      </c>
      <c r="BZ69" s="31" t="inlineStr">
        <is>
          <t>Yes</t>
        </is>
      </c>
      <c r="CA69" s="31">
        <f>IF(BZ69="Yes",10,0)</f>
        <v/>
      </c>
    </row>
    <row r="70">
      <c r="A70" s="31">
        <f>IF(B70=0,"",RANK(B70,$B$2:$B$70,0))</f>
        <v/>
      </c>
      <c r="B70" s="32">
        <f>SUM(N70,Y70,AA70,AC70,AE70,AG70,AI70,AK70,AM70,AO70,AQ70,AS70,AU70,AW70,AY70,BA70,BC70,BE70,BG70,BI70,BK70,BM70,BO70,BQ70,BS70,BU70,BW70,BY70,CA70)</f>
        <v/>
      </c>
      <c r="C70" s="33" t="inlineStr">
        <is>
          <t>POONAWALLA</t>
        </is>
      </c>
      <c r="D70" s="33" t="inlineStr">
        <is>
          <t>Poonawalla Fincorp Ltd</t>
        </is>
      </c>
      <c r="E70" s="31" t="inlineStr">
        <is>
          <t>financials</t>
        </is>
      </c>
      <c r="F70" s="31" t="inlineStr">
        <is>
          <t>finance &amp; investments</t>
        </is>
      </c>
      <c r="G70" s="31" t="inlineStr">
        <is>
          <t>largecap</t>
        </is>
      </c>
      <c r="H70" s="32" t="n">
        <v>38920.19</v>
      </c>
      <c r="I70" s="32" t="n">
        <v>456.9</v>
      </c>
      <c r="J70" s="32" t="n">
        <v>3.34</v>
      </c>
      <c r="K70" s="32" t="n">
        <v>2003328</v>
      </c>
      <c r="L70" s="31" t="n">
        <v>8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57.02</v>
      </c>
      <c r="P70" s="32" t="n">
        <v>8.76</v>
      </c>
      <c r="Q70" s="32" t="n">
        <v>359.35</v>
      </c>
      <c r="R70" s="31" t="inlineStr">
        <is>
          <t>Earnings / Momentum Support</t>
        </is>
      </c>
      <c r="S70" s="31" t="inlineStr">
        <is>
          <t>Nifty Bank</t>
        </is>
      </c>
      <c r="T70" s="32" t="n">
        <v>1.75</v>
      </c>
      <c r="U70" s="32" t="n">
        <v>-3.31</v>
      </c>
      <c r="V70" s="32" t="n">
        <v>-4.98</v>
      </c>
      <c r="W70" s="32" t="n">
        <v>3.36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Fragmented with High ROE</t>
        </is>
      </c>
      <c r="AA70" s="31">
        <f>IF(Z70="Fragmented with Low ROE",-5,IF(Z70="Fragmented with High ROE",10,IF(Z70= "highly cyclical",5,0)))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Consistency)",15,IF(AF70="Shallow Cyclical (2 to 3 years growth)",10,IF(AF70 = "Cyclical in an Uptick",5,IF(AF70 = "Cyclical in an Downtick",-10,0))))</f>
        <v/>
      </c>
      <c r="AH70" s="31" t="inlineStr">
        <is>
          <t>Yes</t>
        </is>
      </c>
      <c r="AI70" s="31">
        <f>IF(AH70="Yes",10,0)</f>
        <v/>
      </c>
      <c r="AJ70" s="31" t="inlineStr">
        <is>
          <t>Yes</t>
        </is>
      </c>
      <c r="AK70" s="31">
        <f>IF(AJ70="Yes",10,0)</f>
        <v/>
      </c>
      <c r="AL70" s="31" t="n"/>
      <c r="AM70" s="31">
        <f>IF(AL70="No",10,0)</f>
        <v/>
      </c>
      <c r="AN70" s="31" t="inlineStr">
        <is>
          <t>Yes</t>
        </is>
      </c>
      <c r="AO70" s="31">
        <f>IF(AN70="Yes",10,0)</f>
        <v/>
      </c>
      <c r="AP70" s="31" t="inlineStr">
        <is>
          <t>No</t>
        </is>
      </c>
      <c r="AQ70" s="31">
        <f>IF(AP70="Yes",10,0)</f>
        <v/>
      </c>
      <c r="AR70" s="31" t="inlineStr">
        <is>
          <t>Yes</t>
        </is>
      </c>
      <c r="AS70" s="31">
        <f>IF(AR70="Yes",5,0)</f>
        <v/>
      </c>
      <c r="AT70" s="31" t="inlineStr">
        <is>
          <t>No</t>
        </is>
      </c>
      <c r="AU70" s="31">
        <f>IF(AT70="No",10,IF(AT70="Yes",-10,0))</f>
        <v/>
      </c>
      <c r="AV70" s="31" t="inlineStr">
        <is>
          <t>No</t>
        </is>
      </c>
      <c r="AW70" s="31">
        <f>IF(AV70="No",10,0)</f>
        <v/>
      </c>
      <c r="AX70" s="31" t="inlineStr">
        <is>
          <t>No</t>
        </is>
      </c>
      <c r="AY70" s="31">
        <f>IF(AX70="No",10,IF(AX70= "Yes CEO Resignation",-5,0))</f>
        <v/>
      </c>
      <c r="AZ70" s="31" t="inlineStr">
        <is>
          <t>No</t>
        </is>
      </c>
      <c r="BA70" s="31">
        <f>IF(AZ70="No",10,IF(AZ70="Yes",-5,0))</f>
        <v/>
      </c>
      <c r="BB70" s="31" t="inlineStr">
        <is>
          <t>No</t>
        </is>
      </c>
      <c r="BC70" s="31">
        <f>IF(BB70="No",5,IF(BB70="Yes",-5,0))</f>
        <v/>
      </c>
      <c r="BD70" s="31" t="inlineStr">
        <is>
          <t>Yes</t>
        </is>
      </c>
      <c r="BE70" s="31">
        <f>IF(BD70="Yes",10,0)</f>
        <v/>
      </c>
      <c r="BF70" s="31" t="inlineStr">
        <is>
          <t>Yes</t>
        </is>
      </c>
      <c r="BG70" s="31">
        <f>IF(BF70="Yes",10,0)</f>
        <v/>
      </c>
      <c r="BH70" s="31" t="inlineStr">
        <is>
          <t>Yes</t>
        </is>
      </c>
      <c r="BI70" s="31">
        <f>IF(BH70="Yes",10,0)</f>
        <v/>
      </c>
      <c r="BJ70" s="31" t="inlineStr">
        <is>
          <t>P/BV between 2.5x to 5x and Growth more than 20%</t>
        </is>
      </c>
      <c r="BK70" s="31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1" t="inlineStr">
        <is>
          <t>0 to 20</t>
        </is>
      </c>
      <c r="BM70" s="31">
        <f>IF(BL70="Above 40",20,IF(BL70="20 to 40",10,IF(BL70="0 to 20",-5,0)))</f>
        <v/>
      </c>
      <c r="BN70" s="31" t="inlineStr">
        <is>
          <t>Between 50 to 75</t>
        </is>
      </c>
      <c r="BO70" s="31">
        <f>IF(BN70="Between 50 to 75",10,IF(BN70="Above 75",0,0))</f>
        <v/>
      </c>
      <c r="BP70" s="31" t="inlineStr">
        <is>
          <t>Stage 1</t>
        </is>
      </c>
      <c r="BQ70" s="31">
        <f>IF(BP70="Stage 2",20,IF(BP70="Stage 1",0,IF(BP70="Stage 3",5,IF(BP70="Stage 4",-5,0))))</f>
        <v/>
      </c>
      <c r="BR70" s="31" t="inlineStr">
        <is>
          <t>Positive Trend</t>
        </is>
      </c>
      <c r="BS70" s="31">
        <f>IF(BR70="Positive Trend",20,IF(BR70="Negative Trend",-10,0))</f>
        <v/>
      </c>
      <c r="BT70" s="31" t="inlineStr">
        <is>
          <t>Uptrend</t>
        </is>
      </c>
      <c r="BU70" s="31">
        <f>IF(BT70="Uptrend",10,IF(BT70="Sideways",5,0))</f>
        <v/>
      </c>
      <c r="BV70" s="31" t="inlineStr">
        <is>
          <t>Uptrend</t>
        </is>
      </c>
      <c r="BW70" s="31">
        <f>IF(BV70="Uptrend",10,IF(BV70="Sideways",5,0))</f>
        <v/>
      </c>
      <c r="BX70" s="31" t="inlineStr">
        <is>
          <t>Close to 52 week high or retracement</t>
        </is>
      </c>
      <c r="BY70" s="31">
        <f>IF(BX70="Overhead supply in last 2 years in last 2 years",-5,IF(BX70="Close to 52 week high or retracement",5,IF(BX70="Blue sky scenario",10,IF(BX70="Long term Downtrend",-10,0))))</f>
        <v/>
      </c>
      <c r="BZ70" s="31" t="inlineStr">
        <is>
          <t>Yes</t>
        </is>
      </c>
      <c r="CA70" s="31">
        <f>IF(BZ70="Yes",10,0)</f>
        <v/>
      </c>
    </row>
  </sheetData>
  <autoFilter ref="A1:CA70"/>
  <conditionalFormatting sqref="B2:B7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0">
    <cfRule type="cellIs" priority="34" operator="equal" dxfId="3" stopIfTrue="1">
      <formula>"Underperforming"</formula>
    </cfRule>
  </conditionalFormatting>
  <conditionalFormatting sqref="N2:N70">
    <cfRule type="cellIs" priority="35" operator="equal" dxfId="3" stopIfTrue="1">
      <formula>-5</formula>
    </cfRule>
  </conditionalFormatting>
  <conditionalFormatting sqref="Q2:Q7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0" showDropDown="0" showInputMessage="0" showErrorMessage="0" allowBlank="1" type="list">
      <formula1>"Growing Industry,Stagnant Industry,Cyclical in an Upturn"</formula1>
    </dataValidation>
    <dataValidation sqref="Z2:Z70" showDropDown="0" showInputMessage="0" showErrorMessage="0" allowBlank="1" type="list">
      <formula1>"Fragmented with Low ROE,Fragmented with High ROE,Highly Cyclical"</formula1>
    </dataValidation>
    <dataValidation sqref="AB2:AB70" showDropDown="0" showInputMessage="0" showErrorMessage="0" allowBlank="1" type="list">
      <formula1>"Yes,No"</formula1>
    </dataValidation>
    <dataValidation sqref="AD2:AD70" showDropDown="0" showInputMessage="0" showErrorMessage="0" allowBlank="1" type="list">
      <formula1>"Tailwind,Headwind"</formula1>
    </dataValidation>
    <dataValidation sqref="AF2:AF7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0" showDropDown="0" showInputMessage="0" showErrorMessage="0" allowBlank="1" type="list">
      <formula1>"Yes,No"</formula1>
    </dataValidation>
    <dataValidation sqref="AJ2:AJ70" showDropDown="0" showInputMessage="0" showErrorMessage="0" allowBlank="1" type="list">
      <formula1>"Yes,No,Not Applicable"</formula1>
    </dataValidation>
    <dataValidation sqref="AL2:AL70" showDropDown="0" showInputMessage="0" showErrorMessage="0" allowBlank="1" type="list">
      <formula1>"Yes,No"</formula1>
    </dataValidation>
    <dataValidation sqref="AN2:AN70" showDropDown="0" showInputMessage="0" showErrorMessage="0" allowBlank="1" type="list">
      <formula1>"Yes,No"</formula1>
    </dataValidation>
    <dataValidation sqref="AP2:AP70" showDropDown="0" showInputMessage="0" showErrorMessage="0" allowBlank="1" type="list">
      <formula1>"Yes,No"</formula1>
    </dataValidation>
    <dataValidation sqref="AR2:AR70" showDropDown="0" showInputMessage="0" showErrorMessage="0" allowBlank="1" type="list">
      <formula1>"Yes,No"</formula1>
    </dataValidation>
    <dataValidation sqref="AT2:AT70" showDropDown="0" showInputMessage="0" showErrorMessage="0" allowBlank="1" type="list">
      <formula1>"No,Yes"</formula1>
    </dataValidation>
    <dataValidation sqref="AV2:AV70" showDropDown="0" showInputMessage="0" showErrorMessage="0" allowBlank="1" type="list">
      <formula1>"No,Yes"</formula1>
    </dataValidation>
    <dataValidation sqref="AX2:AX70" showDropDown="0" showInputMessage="0" showErrorMessage="0" allowBlank="1" type="list">
      <formula1>"No,Yes CEO Resignation,Yes CEO Retirement"</formula1>
    </dataValidation>
    <dataValidation sqref="AZ2:AZ70" showDropDown="0" showInputMessage="0" showErrorMessage="0" allowBlank="1" type="list">
      <formula1>"No,Yes"</formula1>
    </dataValidation>
    <dataValidation sqref="BB2:BB70" showDropDown="0" showInputMessage="0" showErrorMessage="0" allowBlank="1" type="list">
      <formula1>"No,Yes"</formula1>
    </dataValidation>
    <dataValidation sqref="BD2:BD70" showDropDown="0" showInputMessage="0" showErrorMessage="0" allowBlank="1" type="list">
      <formula1>"Yes,No"</formula1>
    </dataValidation>
    <dataValidation sqref="BF2:BF70" showDropDown="0" showInputMessage="0" showErrorMessage="0" allowBlank="1" type="list">
      <formula1>"Yes,No"</formula1>
    </dataValidation>
    <dataValidation sqref="BH2:BH70" showDropDown="0" showInputMessage="0" showErrorMessage="0" allowBlank="1" type="list">
      <formula1>"Yes,No"</formula1>
    </dataValidation>
    <dataValidation sqref="BJ2:BJ7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0" showDropDown="0" showInputMessage="0" showErrorMessage="0" allowBlank="1" type="list">
      <formula1>"Above 40,20 to 40,0 to 20"</formula1>
    </dataValidation>
    <dataValidation sqref="BN2:BN70" showDropDown="0" showInputMessage="0" showErrorMessage="0" allowBlank="1" type="list">
      <formula1>"Between 50 to 75,Above 75,Below 45"</formula1>
    </dataValidation>
    <dataValidation sqref="BP2:BP70" showDropDown="0" showInputMessage="0" showErrorMessage="0" allowBlank="1" type="list">
      <formula1>"Stage 1,Stage 2,Stage 3,Stage 4"</formula1>
    </dataValidation>
    <dataValidation sqref="BR2:BR70" showDropDown="0" showInputMessage="0" showErrorMessage="0" allowBlank="1" type="list">
      <formula1>"Positive Trend,Negative Trend"</formula1>
    </dataValidation>
    <dataValidation sqref="BT2:BT70" showDropDown="0" showInputMessage="0" showErrorMessage="0" allowBlank="1" type="list">
      <formula1>"Uptrend,Sideways,Downtrend"</formula1>
    </dataValidation>
    <dataValidation sqref="BV2:BV70" showDropDown="0" showInputMessage="0" showErrorMessage="0" allowBlank="1" type="list">
      <formula1>"Uptrend,Sideways,Downtrend"</formula1>
    </dataValidation>
    <dataValidation sqref="BX2:BX7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332</v>
      </c>
      <c r="H2" s="31" t="inlineStr">
        <is>
          <t>IOLCP</t>
        </is>
      </c>
      <c r="I2" s="31" t="inlineStr">
        <is>
          <t>Iol Chemicals And Pharmaceuticals Limited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smallcap</t>
        </is>
      </c>
      <c r="M2" s="32" t="n">
        <v>4321.02</v>
      </c>
      <c r="N2" s="32" t="n">
        <v>150.31</v>
      </c>
      <c r="O2" s="32" t="n">
        <v>2.11</v>
      </c>
      <c r="P2" s="32" t="n">
        <v>4077186</v>
      </c>
      <c r="Q2" s="31" t="n">
        <v>90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82.38</v>
      </c>
      <c r="U2" s="32" t="n">
        <v>52.87</v>
      </c>
      <c r="V2" s="32" t="n">
        <v>115.01</v>
      </c>
      <c r="W2" s="31" t="inlineStr">
        <is>
          <t>Near 52W High Breakout</t>
        </is>
      </c>
      <c r="X2" s="31" t="inlineStr">
        <is>
          <t>Nifty Pharma</t>
        </is>
      </c>
      <c r="Y2" s="32" t="n">
        <v>13.06</v>
      </c>
      <c r="Z2" s="32" t="n">
        <v>62.69</v>
      </c>
      <c r="AA2" s="32" t="n">
        <v>43.9</v>
      </c>
      <c r="AB2" s="32" t="n">
        <v>34.91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139.7</v>
      </c>
      <c r="E3" s="32" t="inlineStr">
        <is>
          <t>5%</t>
        </is>
      </c>
      <c r="F3" s="32" t="n">
        <v>50000</v>
      </c>
      <c r="G3" s="32" t="n">
        <v>12</v>
      </c>
      <c r="H3" s="31" t="inlineStr">
        <is>
          <t>RADICO</t>
        </is>
      </c>
      <c r="I3" s="31" t="inlineStr">
        <is>
          <t>Radico Khaitan Limited</t>
        </is>
      </c>
      <c r="J3" s="31" t="inlineStr">
        <is>
          <t>fmcg</t>
        </is>
      </c>
      <c r="K3" s="31" t="inlineStr">
        <is>
          <t>breweries &amp; distilleries</t>
        </is>
      </c>
      <c r="L3" s="31" t="inlineStr">
        <is>
          <t>largecap</t>
        </is>
      </c>
      <c r="M3" s="32" t="n">
        <v>52924.5</v>
      </c>
      <c r="N3" s="32" t="n">
        <v>3972.4</v>
      </c>
      <c r="O3" s="32" t="n">
        <v>0.5</v>
      </c>
      <c r="P3" s="32" t="n">
        <v>310385</v>
      </c>
      <c r="Q3" s="31" t="n">
        <v>73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77.77</v>
      </c>
      <c r="U3" s="32" t="n">
        <v>43.38</v>
      </c>
      <c r="V3" s="32" t="n">
        <v>3330.7</v>
      </c>
      <c r="W3" s="31" t="inlineStr">
        <is>
          <t>Near 52W High Breakout</t>
        </is>
      </c>
      <c r="X3" s="31" t="inlineStr">
        <is>
          <t>Nifty FMCG</t>
        </is>
      </c>
      <c r="Y3" s="32" t="n">
        <v>-8.5</v>
      </c>
      <c r="Z3" s="32" t="n">
        <v>51.21</v>
      </c>
      <c r="AA3" s="32" t="n">
        <v>65.25</v>
      </c>
      <c r="AB3" s="32" t="n">
        <v>20.97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139.6</v>
      </c>
      <c r="E4" s="32" t="inlineStr">
        <is>
          <t>5%</t>
        </is>
      </c>
      <c r="F4" s="32" t="n">
        <v>50000</v>
      </c>
      <c r="G4" s="32" t="n">
        <v>60</v>
      </c>
      <c r="H4" s="31" t="inlineStr">
        <is>
          <t>GRANULES</t>
        </is>
      </c>
      <c r="I4" s="31" t="inlineStr">
        <is>
          <t>Granules India Limited</t>
        </is>
      </c>
      <c r="J4" s="31" t="inlineStr">
        <is>
          <t>healthcare</t>
        </is>
      </c>
      <c r="K4" s="31" t="inlineStr">
        <is>
          <t>pharmaceuticals - indian - bulk drugs &amp; formln</t>
        </is>
      </c>
      <c r="L4" s="31" t="inlineStr">
        <is>
          <t>largecap</t>
        </is>
      </c>
      <c r="M4" s="32" t="n">
        <v>20106.24</v>
      </c>
      <c r="N4" s="32" t="n">
        <v>825.7</v>
      </c>
      <c r="O4" s="32" t="n">
        <v>1.76</v>
      </c>
      <c r="P4" s="32" t="n">
        <v>1310179</v>
      </c>
      <c r="Q4" s="31" t="n">
        <v>68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73.7</v>
      </c>
      <c r="U4" s="32" t="n">
        <v>40.89</v>
      </c>
      <c r="V4" s="32" t="n">
        <v>687.99</v>
      </c>
      <c r="W4" s="31" t="inlineStr">
        <is>
          <t>Near 52W High Breakout</t>
        </is>
      </c>
      <c r="X4" s="31" t="inlineStr">
        <is>
          <t>Nifty Pharma</t>
        </is>
      </c>
      <c r="Y4" s="32" t="n">
        <v>13.06</v>
      </c>
      <c r="Z4" s="32" t="n">
        <v>68.13</v>
      </c>
      <c r="AA4" s="32" t="n">
        <v>48.71</v>
      </c>
      <c r="AB4" s="32" t="n">
        <v>18.55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Between 50% to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34</v>
      </c>
      <c r="H5" s="31" t="inlineStr">
        <is>
          <t>CEMPRO</t>
        </is>
      </c>
      <c r="I5" s="31" t="inlineStr">
        <is>
          <t>Cemindia Projects Ltd</t>
        </is>
      </c>
      <c r="J5" s="31" t="inlineStr">
        <is>
          <t>realty</t>
        </is>
      </c>
      <c r="K5" s="31" t="inlineStr">
        <is>
          <t>construction</t>
        </is>
      </c>
      <c r="L5" s="31" t="inlineStr">
        <is>
          <t>largecap</t>
        </is>
      </c>
      <c r="M5" s="32" t="n">
        <v>23419.8</v>
      </c>
      <c r="N5" s="32" t="n">
        <v>1431.4</v>
      </c>
      <c r="O5" s="32" t="n">
        <v>5</v>
      </c>
      <c r="P5" s="32" t="n">
        <v>1253313</v>
      </c>
      <c r="Q5" s="31" t="n">
        <v>97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81.09999999999999</v>
      </c>
      <c r="U5" s="32" t="n">
        <v>43.58</v>
      </c>
      <c r="V5" s="32" t="n">
        <v>1110.56</v>
      </c>
      <c r="W5" s="31" t="inlineStr">
        <is>
          <t>Near 52W High Breakout</t>
        </is>
      </c>
      <c r="X5" s="31" t="inlineStr">
        <is>
          <t>Nifty Realty</t>
        </is>
      </c>
      <c r="Y5" s="32" t="n">
        <v>-10.31</v>
      </c>
      <c r="Z5" s="32" t="n">
        <v>59.45</v>
      </c>
      <c r="AA5" s="32" t="n">
        <v>77.79000000000001</v>
      </c>
      <c r="AB5" s="32" t="n">
        <v>57.47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139.7</v>
      </c>
      <c r="E6" s="32" t="inlineStr">
        <is>
          <t>5%</t>
        </is>
      </c>
      <c r="F6" s="32" t="n">
        <v>50000</v>
      </c>
      <c r="G6" s="32" t="n">
        <v>58</v>
      </c>
      <c r="H6" s="31" t="inlineStr">
        <is>
          <t>MARICO</t>
        </is>
      </c>
      <c r="I6" s="31" t="inlineStr">
        <is>
          <t>Marico Limited</t>
        </is>
      </c>
      <c r="J6" s="31" t="inlineStr">
        <is>
          <t>fmcg</t>
        </is>
      </c>
      <c r="K6" s="31" t="inlineStr">
        <is>
          <t>solvent extraction</t>
        </is>
      </c>
      <c r="L6" s="31" t="inlineStr">
        <is>
          <t>largecap</t>
        </is>
      </c>
      <c r="M6" s="32" t="n">
        <v>110472.47</v>
      </c>
      <c r="N6" s="32" t="n">
        <v>856</v>
      </c>
      <c r="O6" s="32" t="n">
        <v>0.59</v>
      </c>
      <c r="P6" s="32" t="n">
        <v>1249388</v>
      </c>
      <c r="Q6" s="31" t="n">
        <v>20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68.55</v>
      </c>
      <c r="U6" s="32" t="n">
        <v>20.62</v>
      </c>
      <c r="V6" s="32" t="n">
        <v>758.7</v>
      </c>
      <c r="W6" s="31" t="inlineStr">
        <is>
          <t>Near 52W High Breakout</t>
        </is>
      </c>
      <c r="X6" s="31" t="inlineStr">
        <is>
          <t>Nifty FMCG</t>
        </is>
      </c>
      <c r="Y6" s="32" t="n">
        <v>-8.5</v>
      </c>
      <c r="Z6" s="32" t="n">
        <v>18.66</v>
      </c>
      <c r="AA6" s="32" t="n">
        <v>29.67</v>
      </c>
      <c r="AB6" s="32" t="n">
        <v>6.09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B2C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Between 12 to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139.2</v>
      </c>
      <c r="E7" s="32" t="inlineStr">
        <is>
          <t>5%</t>
        </is>
      </c>
      <c r="F7" s="32" t="n">
        <v>50000</v>
      </c>
      <c r="G7" s="32" t="n">
        <v>57</v>
      </c>
      <c r="H7" s="31" t="inlineStr">
        <is>
          <t>NINSYS</t>
        </is>
      </c>
      <c r="I7" s="31" t="inlineStr">
        <is>
          <t>NINtec Systems Ltd</t>
        </is>
      </c>
      <c r="J7" s="31" t="inlineStr">
        <is>
          <t>i.t</t>
        </is>
      </c>
      <c r="K7" s="31" t="inlineStr">
        <is>
          <t>computers - software - medium / small</t>
        </is>
      </c>
      <c r="L7" s="31" t="inlineStr">
        <is>
          <t>smallcap</t>
        </is>
      </c>
      <c r="M7" s="32" t="n">
        <v>1559.73</v>
      </c>
      <c r="N7" s="32" t="n">
        <v>865</v>
      </c>
      <c r="O7" s="32" t="n">
        <v>3.02</v>
      </c>
      <c r="P7" s="32" t="n">
        <v>7602</v>
      </c>
      <c r="Q7" s="31" t="n">
        <v>94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86.01000000000001</v>
      </c>
      <c r="U7" s="32" t="n">
        <v>59.61</v>
      </c>
      <c r="V7" s="32" t="n">
        <v>666.98</v>
      </c>
      <c r="W7" s="31" t="inlineStr">
        <is>
          <t>Near 52W High Breakout</t>
        </is>
      </c>
      <c r="X7" s="31" t="inlineStr">
        <is>
          <t>Nifty IT</t>
        </is>
      </c>
      <c r="Y7" s="32" t="n">
        <v>-31.15</v>
      </c>
      <c r="Z7" s="32" t="n">
        <v>92.20999999999999</v>
      </c>
      <c r="AA7" s="32" t="n">
        <v>179.18</v>
      </c>
      <c r="AB7" s="32" t="n">
        <v>47.06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Between 12 to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139.9</v>
      </c>
      <c r="E8" s="32" t="inlineStr">
        <is>
          <t>5%</t>
        </is>
      </c>
      <c r="F8" s="32" t="n">
        <v>50000</v>
      </c>
      <c r="G8" s="32" t="n">
        <v>13</v>
      </c>
      <c r="H8" s="31" t="inlineStr">
        <is>
          <t>PRIVISCL</t>
        </is>
      </c>
      <c r="I8" s="31" t="inlineStr">
        <is>
          <t>Privi Speciality Chemicals Ltd</t>
        </is>
      </c>
      <c r="J8" s="31" t="inlineStr">
        <is>
          <t>chemicals</t>
        </is>
      </c>
      <c r="K8" s="31" t="inlineStr">
        <is>
          <t>chemicals</t>
        </is>
      </c>
      <c r="L8" s="31" t="inlineStr">
        <is>
          <t>midcap</t>
        </is>
      </c>
      <c r="M8" s="32" t="n">
        <v>14391.48</v>
      </c>
      <c r="N8" s="32" t="n">
        <v>3750.8</v>
      </c>
      <c r="O8" s="32" t="n">
        <v>1.81</v>
      </c>
      <c r="P8" s="32" t="n">
        <v>115368</v>
      </c>
      <c r="Q8" s="31" t="n">
        <v>56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68.53</v>
      </c>
      <c r="U8" s="32" t="n">
        <v>23.27</v>
      </c>
      <c r="V8" s="32" t="n">
        <v>3073.32</v>
      </c>
      <c r="W8" s="31" t="inlineStr">
        <is>
          <t>Near 52W High Breakout</t>
        </is>
      </c>
      <c r="X8" s="31" t="inlineStr">
        <is>
          <t>Nifty 50</t>
        </is>
      </c>
      <c r="Y8" s="32" t="n">
        <v>-5.05</v>
      </c>
      <c r="Z8" s="32" t="n">
        <v>52.19</v>
      </c>
      <c r="AA8" s="32" t="n">
        <v>60.28</v>
      </c>
      <c r="AB8" s="32" t="n">
        <v>14.79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139.8</v>
      </c>
      <c r="E9" s="32" t="inlineStr">
        <is>
          <t>5%</t>
        </is>
      </c>
      <c r="F9" s="32" t="n">
        <v>50000</v>
      </c>
      <c r="G9" s="32" t="n">
        <v>27</v>
      </c>
      <c r="H9" s="31" t="inlineStr">
        <is>
          <t>ASTRAMICRO</t>
        </is>
      </c>
      <c r="I9" s="31" t="inlineStr">
        <is>
          <t>Astra Microwave Products Limited</t>
        </is>
      </c>
      <c r="J9" s="31" t="inlineStr">
        <is>
          <t>aerospace &amp; defence</t>
        </is>
      </c>
      <c r="K9" s="31" t="inlineStr">
        <is>
          <t>telecommunications - equipment</t>
        </is>
      </c>
      <c r="L9" s="31" t="inlineStr">
        <is>
          <t>midcap</t>
        </is>
      </c>
      <c r="M9" s="32" t="n">
        <v>16639.11</v>
      </c>
      <c r="N9" s="32" t="n">
        <v>1795.7</v>
      </c>
      <c r="O9" s="32" t="n">
        <v>2.47</v>
      </c>
      <c r="P9" s="32" t="n">
        <v>697917</v>
      </c>
      <c r="Q9" s="31" t="n">
        <v>88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84.77</v>
      </c>
      <c r="U9" s="32" t="n">
        <v>43.05</v>
      </c>
      <c r="V9" s="32" t="n">
        <v>1440.26</v>
      </c>
      <c r="W9" s="31" t="inlineStr">
        <is>
          <t>Near 52W High Breakout</t>
        </is>
      </c>
      <c r="X9" s="31" t="inlineStr">
        <is>
          <t>Nifty 50</t>
        </is>
      </c>
      <c r="Y9" s="32" t="n">
        <v>-5.05</v>
      </c>
      <c r="Z9" s="32" t="n">
        <v>67.20999999999999</v>
      </c>
      <c r="AA9" s="32" t="n">
        <v>76.09999999999999</v>
      </c>
      <c r="AB9" s="32" t="n">
        <v>33.21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Oligopoly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139.8</v>
      </c>
      <c r="E10" s="32" t="inlineStr">
        <is>
          <t>5%</t>
        </is>
      </c>
      <c r="F10" s="32" t="n">
        <v>50000</v>
      </c>
      <c r="G10" s="32" t="n">
        <v>32</v>
      </c>
      <c r="H10" s="31" t="inlineStr">
        <is>
          <t>LAURUSLABS</t>
        </is>
      </c>
      <c r="I10" s="31" t="inlineStr">
        <is>
          <t>Laurus Labs Limited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80616.78</v>
      </c>
      <c r="N10" s="32" t="n">
        <v>1528</v>
      </c>
      <c r="O10" s="32" t="n">
        <v>2.32</v>
      </c>
      <c r="P10" s="32" t="n">
        <v>2761759</v>
      </c>
      <c r="Q10" s="31" t="n">
        <v>80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78.62</v>
      </c>
      <c r="U10" s="32" t="n">
        <v>44.51</v>
      </c>
      <c r="V10" s="32" t="n">
        <v>1299.47</v>
      </c>
      <c r="W10" s="31" t="inlineStr">
        <is>
          <t>Volume Spike &amp; Near 52W High Breakout</t>
        </is>
      </c>
      <c r="X10" s="31" t="inlineStr">
        <is>
          <t>Nifty Pharma</t>
        </is>
      </c>
      <c r="Y10" s="32" t="n">
        <v>13.06</v>
      </c>
      <c r="Z10" s="32" t="n">
        <v>97.27</v>
      </c>
      <c r="AA10" s="32" t="n">
        <v>74.47</v>
      </c>
      <c r="AB10" s="32" t="n">
        <v>25.42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Between 12 to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139.5</v>
      </c>
      <c r="E11" s="32" t="inlineStr">
        <is>
          <t>5%</t>
        </is>
      </c>
      <c r="F11" s="32" t="n">
        <v>50000</v>
      </c>
      <c r="G11" s="32" t="n">
        <v>52</v>
      </c>
      <c r="H11" s="31" t="inlineStr">
        <is>
          <t>RATEGAIN</t>
        </is>
      </c>
      <c r="I11" s="31" t="inlineStr">
        <is>
          <t>Rategain Travel Technologies Ltd</t>
        </is>
      </c>
      <c r="J11" s="31" t="inlineStr">
        <is>
          <t>i.t</t>
        </is>
      </c>
      <c r="K11" s="31" t="inlineStr">
        <is>
          <t>computers - software - medium / small</t>
        </is>
      </c>
      <c r="L11" s="31" t="inlineStr">
        <is>
          <t>midcap</t>
        </is>
      </c>
      <c r="M11" s="32" t="n">
        <v>10669.75</v>
      </c>
      <c r="N11" s="32" t="n">
        <v>945.2</v>
      </c>
      <c r="O11" s="32" t="n">
        <v>4.68</v>
      </c>
      <c r="P11" s="32" t="n">
        <v>921131</v>
      </c>
      <c r="Q11" s="31" t="n">
        <v>92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78.51000000000001</v>
      </c>
      <c r="U11" s="32" t="n">
        <v>29.42</v>
      </c>
      <c r="V11" s="32" t="n">
        <v>739.09</v>
      </c>
      <c r="W11" s="31" t="inlineStr">
        <is>
          <t>Near 52W High Breakout</t>
        </is>
      </c>
      <c r="X11" s="31" t="inlineStr">
        <is>
          <t>Nifty IT</t>
        </is>
      </c>
      <c r="Y11" s="32" t="n">
        <v>-31.15</v>
      </c>
      <c r="Z11" s="32" t="n">
        <v>104.52</v>
      </c>
      <c r="AA11" s="32" t="n">
        <v>197.07</v>
      </c>
      <c r="AB11" s="32" t="n">
        <v>41.06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139.3</v>
      </c>
      <c r="E12" s="32" t="inlineStr">
        <is>
          <t>5%</t>
        </is>
      </c>
      <c r="F12" s="32" t="n">
        <v>50000</v>
      </c>
      <c r="G12" s="32" t="n">
        <v>84</v>
      </c>
      <c r="H12" s="31" t="inlineStr">
        <is>
          <t>ZYDUSWELL</t>
        </is>
      </c>
      <c r="I12" s="31" t="inlineStr">
        <is>
          <t>Zydus Wellness Limited</t>
        </is>
      </c>
      <c r="J12" s="31" t="inlineStr">
        <is>
          <t>fmcg</t>
        </is>
      </c>
      <c r="K12" s="31" t="inlineStr">
        <is>
          <t>food - processing - indian</t>
        </is>
      </c>
      <c r="L12" s="31" t="inlineStr">
        <is>
          <t>midcap</t>
        </is>
      </c>
      <c r="M12" s="32" t="n">
        <v>18087.44</v>
      </c>
      <c r="N12" s="32" t="n">
        <v>594.45</v>
      </c>
      <c r="O12" s="32" t="n">
        <v>4.56</v>
      </c>
      <c r="P12" s="32" t="n">
        <v>2140111</v>
      </c>
      <c r="Q12" s="31" t="n">
        <v>61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74.64</v>
      </c>
      <c r="U12" s="32" t="n">
        <v>46.47</v>
      </c>
      <c r="V12" s="32" t="n">
        <v>469.16</v>
      </c>
      <c r="W12" s="31" t="inlineStr">
        <is>
          <t>Volume Spike &amp; Near 52W High Breakout</t>
        </is>
      </c>
      <c r="X12" s="31" t="inlineStr">
        <is>
          <t>Nifty FMCG</t>
        </is>
      </c>
      <c r="Y12" s="32" t="n">
        <v>-8.5</v>
      </c>
      <c r="Z12" s="32" t="n">
        <v>49.42</v>
      </c>
      <c r="AA12" s="32" t="n">
        <v>63.29</v>
      </c>
      <c r="AB12" s="32" t="n">
        <v>16.11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B2C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Less than 50%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139.7</v>
      </c>
      <c r="E13" s="32" t="inlineStr">
        <is>
          <t>5%</t>
        </is>
      </c>
      <c r="F13" s="32" t="n">
        <v>50000</v>
      </c>
      <c r="G13" s="32" t="n">
        <v>26</v>
      </c>
      <c r="H13" s="31" t="inlineStr">
        <is>
          <t>ADANIPORTS</t>
        </is>
      </c>
      <c r="I13" s="31" t="inlineStr">
        <is>
          <t>Adani Ports And Special Economic Zone Limited</t>
        </is>
      </c>
      <c r="J13" s="31" t="inlineStr">
        <is>
          <t>transportation</t>
        </is>
      </c>
      <c r="K13" s="31" t="inlineStr">
        <is>
          <t>miscellaneous</t>
        </is>
      </c>
      <c r="L13" s="31" t="inlineStr">
        <is>
          <t>largecap</t>
        </is>
      </c>
      <c r="M13" s="32" t="n">
        <v>425817.72</v>
      </c>
      <c r="N13" s="32" t="n">
        <v>1883.2</v>
      </c>
      <c r="O13" s="32" t="n">
        <v>1.89</v>
      </c>
      <c r="P13" s="32" t="n">
        <v>3089068</v>
      </c>
      <c r="Q13" s="31" t="n">
        <v>55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72.41</v>
      </c>
      <c r="U13" s="32" t="n">
        <v>29.31</v>
      </c>
      <c r="V13" s="32" t="n">
        <v>1611.54</v>
      </c>
      <c r="W13" s="31" t="inlineStr">
        <is>
          <t>Near 52W High Breakout</t>
        </is>
      </c>
      <c r="X13" s="31" t="inlineStr">
        <is>
          <t>Nifty 50</t>
        </is>
      </c>
      <c r="Y13" s="32" t="n">
        <v>-5.05</v>
      </c>
      <c r="Z13" s="32" t="n">
        <v>32.77</v>
      </c>
      <c r="AA13" s="32" t="n">
        <v>39.83</v>
      </c>
      <c r="AB13" s="32" t="n">
        <v>14.33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139.5</v>
      </c>
      <c r="E14" s="32" t="inlineStr">
        <is>
          <t>5%</t>
        </is>
      </c>
      <c r="F14" s="32" t="n">
        <v>50000</v>
      </c>
      <c r="G14" s="32" t="n">
        <v>20</v>
      </c>
      <c r="H14" s="31" t="inlineStr">
        <is>
          <t>KERNEX</t>
        </is>
      </c>
      <c r="I14" s="31" t="inlineStr">
        <is>
          <t>Kernex Microsystems (india) Limited</t>
        </is>
      </c>
      <c r="J14" s="31" t="inlineStr">
        <is>
          <t>consumer discretionary</t>
        </is>
      </c>
      <c r="K14" s="31" t="inlineStr">
        <is>
          <t>electronics - components</t>
        </is>
      </c>
      <c r="L14" s="31" t="inlineStr">
        <is>
          <t>smallcap</t>
        </is>
      </c>
      <c r="M14" s="32" t="n">
        <v>3853.8</v>
      </c>
      <c r="N14" s="32" t="n">
        <v>2389.1</v>
      </c>
      <c r="O14" s="32" t="n">
        <v>4.16</v>
      </c>
      <c r="P14" s="32" t="n">
        <v>383691</v>
      </c>
      <c r="Q14" s="31" t="n">
        <v>97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79.75</v>
      </c>
      <c r="U14" s="32" t="n">
        <v>40.28</v>
      </c>
      <c r="V14" s="32" t="n">
        <v>1810.63</v>
      </c>
      <c r="W14" s="31" t="inlineStr">
        <is>
          <t>Near 52W High Breakout</t>
        </is>
      </c>
      <c r="X14" s="31" t="inlineStr">
        <is>
          <t>Nifty 50</t>
        </is>
      </c>
      <c r="Y14" s="32" t="n">
        <v>-5.05</v>
      </c>
      <c r="Z14" s="32" t="n">
        <v>104.06</v>
      </c>
      <c r="AA14" s="32" t="n">
        <v>114.91</v>
      </c>
      <c r="AB14" s="32" t="n">
        <v>56.48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Negative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139.2</v>
      </c>
      <c r="E15" s="32" t="inlineStr">
        <is>
          <t>5%</t>
        </is>
      </c>
      <c r="F15" s="32" t="n">
        <v>50000</v>
      </c>
      <c r="G15" s="32" t="n">
        <v>22</v>
      </c>
      <c r="H15" s="31" t="inlineStr">
        <is>
          <t>WABAG</t>
        </is>
      </c>
      <c r="I15" s="31" t="inlineStr">
        <is>
          <t>Va Tech Wabag Limited</t>
        </is>
      </c>
      <c r="J15" s="31" t="inlineStr">
        <is>
          <t>realty</t>
        </is>
      </c>
      <c r="K15" s="31" t="inlineStr">
        <is>
          <t>engineering - turnkey services</t>
        </is>
      </c>
      <c r="L15" s="31" t="inlineStr">
        <is>
          <t>midcap</t>
        </is>
      </c>
      <c r="M15" s="32" t="n">
        <v>12977.84</v>
      </c>
      <c r="N15" s="32" t="n">
        <v>2190.3</v>
      </c>
      <c r="O15" s="32" t="n">
        <v>5.16</v>
      </c>
      <c r="P15" s="32" t="n">
        <v>1497465</v>
      </c>
      <c r="Q15" s="31" t="n">
        <v>83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81.41</v>
      </c>
      <c r="U15" s="32" t="n">
        <v>21.74</v>
      </c>
      <c r="V15" s="32" t="n">
        <v>1747.82</v>
      </c>
      <c r="W15" s="31" t="inlineStr">
        <is>
          <t>Volume Spike &amp; Near 52W High Breakout</t>
        </is>
      </c>
      <c r="X15" s="31" t="inlineStr">
        <is>
          <t>Nifty Realty</t>
        </is>
      </c>
      <c r="Y15" s="32" t="n">
        <v>-10.31</v>
      </c>
      <c r="Z15" s="32" t="n">
        <v>50.01</v>
      </c>
      <c r="AA15" s="32" t="n">
        <v>67.26000000000001</v>
      </c>
      <c r="AB15" s="32" t="n">
        <v>27.5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Between 1.5 to 2</t>
        </is>
      </c>
      <c r="BZ15" s="31">
        <f>IF(BY15="Above 2",0,IF(BY15="Between 1.5 to 2",5,IF(BY15="Less than 1.5",10,0)))</f>
        <v/>
      </c>
      <c r="CA15" s="31" t="inlineStr">
        <is>
          <t>Less than 50%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140</v>
      </c>
      <c r="E16" s="32" t="inlineStr">
        <is>
          <t>5%</t>
        </is>
      </c>
      <c r="F16" s="32" t="n">
        <v>50000</v>
      </c>
      <c r="G16" s="32" t="n">
        <v>168</v>
      </c>
      <c r="H16" s="31" t="inlineStr">
        <is>
          <t>SETL</t>
        </is>
      </c>
      <c r="I16" s="31" t="inlineStr">
        <is>
          <t>Standard Enginnering Technology Ltd</t>
        </is>
      </c>
      <c r="J16" s="31" t="inlineStr">
        <is>
          <t>industrials</t>
        </is>
      </c>
      <c r="K16" s="31" t="inlineStr">
        <is>
          <t>engineering</t>
        </is>
      </c>
      <c r="L16" s="31" t="inlineStr">
        <is>
          <t>midcap</t>
        </is>
      </c>
      <c r="M16" s="32" t="n">
        <v>5634.64</v>
      </c>
      <c r="N16" s="32" t="n">
        <v>296.55</v>
      </c>
      <c r="O16" s="32" t="n">
        <v>4.99</v>
      </c>
      <c r="P16" s="32" t="n">
        <v>2530686</v>
      </c>
      <c r="Q16" s="31" t="n">
        <v>95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87.04000000000001</v>
      </c>
      <c r="U16" s="32" t="n">
        <v>20.05</v>
      </c>
      <c r="V16" s="32" t="n">
        <v>229.74</v>
      </c>
      <c r="W16" s="31" t="inlineStr">
        <is>
          <t>Volume Spike &amp; Near 52W High Breakout</t>
        </is>
      </c>
      <c r="X16" s="31" t="inlineStr">
        <is>
          <t>Nifty Infra</t>
        </is>
      </c>
      <c r="Y16" s="32" t="n">
        <v>0.23</v>
      </c>
      <c r="Z16" s="32" t="n">
        <v>74.79000000000001</v>
      </c>
      <c r="AA16" s="32" t="n">
        <v>74.39</v>
      </c>
      <c r="AB16" s="32" t="n">
        <v>48.49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Less than 50%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139.8</v>
      </c>
      <c r="E17" s="32" t="inlineStr">
        <is>
          <t>5%</t>
        </is>
      </c>
      <c r="F17" s="32" t="n">
        <v>50000</v>
      </c>
      <c r="G17" s="32" t="n">
        <v>38</v>
      </c>
      <c r="H17" s="31" t="inlineStr">
        <is>
          <t>RPEL</t>
        </is>
      </c>
      <c r="I17" s="31" t="inlineStr">
        <is>
          <t>Raghav Productivity Enhancers Ltd</t>
        </is>
      </c>
      <c r="J17" s="31" t="inlineStr">
        <is>
          <t>building materials</t>
        </is>
      </c>
      <c r="K17" s="31" t="inlineStr">
        <is>
          <t>refractories / intermediates</t>
        </is>
      </c>
      <c r="L17" s="31" t="inlineStr">
        <is>
          <t>midcap</t>
        </is>
      </c>
      <c r="M17" s="32" t="n">
        <v>5716.96</v>
      </c>
      <c r="N17" s="32" t="n">
        <v>1294.9</v>
      </c>
      <c r="O17" s="32" t="n">
        <v>3.99</v>
      </c>
      <c r="P17" s="32" t="n">
        <v>143388</v>
      </c>
      <c r="Q17" s="31" t="n">
        <v>93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78.59</v>
      </c>
      <c r="U17" s="32" t="n">
        <v>35.2</v>
      </c>
      <c r="V17" s="32" t="n">
        <v>1006.11</v>
      </c>
      <c r="W17" s="31" t="inlineStr">
        <is>
          <t>Near 52W High Breakout</t>
        </is>
      </c>
      <c r="X17" s="31" t="inlineStr">
        <is>
          <t>Nifty Infra</t>
        </is>
      </c>
      <c r="Y17" s="32" t="n">
        <v>0.23</v>
      </c>
      <c r="Z17" s="32" t="n">
        <v>82.23</v>
      </c>
      <c r="AA17" s="32" t="n">
        <v>81.81</v>
      </c>
      <c r="AB17" s="32" t="n">
        <v>42.82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Less than 50%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139.7</v>
      </c>
      <c r="E18" s="32" t="inlineStr">
        <is>
          <t>5%</t>
        </is>
      </c>
      <c r="F18" s="32" t="n">
        <v>50000</v>
      </c>
      <c r="G18" s="32" t="n">
        <v>159</v>
      </c>
      <c r="H18" s="31" t="inlineStr">
        <is>
          <t>NYKAA</t>
        </is>
      </c>
      <c r="I18" s="31" t="inlineStr">
        <is>
          <t>FSN E-Commerce Ventures Ltd</t>
        </is>
      </c>
      <c r="J18" s="31" t="inlineStr">
        <is>
          <t>i.t</t>
        </is>
      </c>
      <c r="K18" s="31" t="inlineStr">
        <is>
          <t>trading</t>
        </is>
      </c>
      <c r="L18" s="31" t="inlineStr">
        <is>
          <t>largecap</t>
        </is>
      </c>
      <c r="M18" s="32" t="n">
        <v>88373.50999999999</v>
      </c>
      <c r="N18" s="32" t="n">
        <v>314</v>
      </c>
      <c r="O18" s="32" t="n">
        <v>1.73</v>
      </c>
      <c r="P18" s="32" t="n">
        <v>5391222</v>
      </c>
      <c r="Q18" s="31" t="n">
        <v>60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70.29000000000001</v>
      </c>
      <c r="U18" s="32" t="n">
        <v>25.98</v>
      </c>
      <c r="V18" s="32" t="n">
        <v>263.3</v>
      </c>
      <c r="W18" s="31" t="inlineStr">
        <is>
          <t>Near 52W High Breakout</t>
        </is>
      </c>
      <c r="X18" s="31" t="inlineStr">
        <is>
          <t>Nifty IT</t>
        </is>
      </c>
      <c r="Y18" s="32" t="n">
        <v>-31.15</v>
      </c>
      <c r="Z18" s="32" t="n">
        <v>58.4</v>
      </c>
      <c r="AA18" s="32" t="n">
        <v>130.08</v>
      </c>
      <c r="AB18" s="32" t="n">
        <v>15.92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EMA Crossover</t>
        </is>
      </c>
      <c r="D19" s="32" t="n">
        <v>139.4</v>
      </c>
      <c r="E19" s="32" t="inlineStr">
        <is>
          <t>7%</t>
        </is>
      </c>
      <c r="F19" s="32" t="n">
        <v>70000</v>
      </c>
      <c r="G19" s="32" t="n">
        <v>153</v>
      </c>
      <c r="H19" s="33" t="inlineStr">
        <is>
          <t>APOLLOTYRE</t>
        </is>
      </c>
      <c r="I19" s="33" t="inlineStr">
        <is>
          <t>Apollo Tyres Limited</t>
        </is>
      </c>
      <c r="J19" s="31" t="inlineStr">
        <is>
          <t>auto</t>
        </is>
      </c>
      <c r="K19" s="31" t="inlineStr">
        <is>
          <t>tyres</t>
        </is>
      </c>
      <c r="L19" s="31" t="inlineStr">
        <is>
          <t>largecap</t>
        </is>
      </c>
      <c r="M19" s="32" t="n">
        <v>27414.13</v>
      </c>
      <c r="N19" s="32" t="n">
        <v>456.6</v>
      </c>
      <c r="O19" s="32" t="n">
        <v>5.78</v>
      </c>
      <c r="P19" s="32" t="n">
        <v>4300516</v>
      </c>
      <c r="Q19" s="31" t="n">
        <v>7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56.34</v>
      </c>
      <c r="U19" s="32" t="n">
        <v>22.53</v>
      </c>
      <c r="V19" s="32" t="n">
        <v>365.96</v>
      </c>
      <c r="W19" s="31" t="inlineStr">
        <is>
          <t>Earnings / Momentum Support</t>
        </is>
      </c>
      <c r="X19" s="31" t="inlineStr">
        <is>
          <t>Nifty Auto</t>
        </is>
      </c>
      <c r="Y19" s="32" t="n">
        <v>13.04</v>
      </c>
      <c r="Z19" s="32" t="n">
        <v>1.21</v>
      </c>
      <c r="AA19" s="32" t="n">
        <v>-10.47</v>
      </c>
      <c r="AB19" s="32" t="n">
        <v>3.04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B2C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Fully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Yes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Between 1.5 to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139.2</v>
      </c>
      <c r="E20" s="32" t="inlineStr">
        <is>
          <t>5%</t>
        </is>
      </c>
      <c r="F20" s="32" t="n">
        <v>50000</v>
      </c>
      <c r="G20" s="32" t="n">
        <v>127</v>
      </c>
      <c r="H20" s="31" t="inlineStr">
        <is>
          <t>ACMESOLAR</t>
        </is>
      </c>
      <c r="I20" s="31" t="inlineStr">
        <is>
          <t>ACME Solar Holdings Ltd</t>
        </is>
      </c>
      <c r="J20" s="31" t="inlineStr">
        <is>
          <t>realty</t>
        </is>
      </c>
      <c r="K20" s="31" t="inlineStr">
        <is>
          <t>engineering - turnkey services</t>
        </is>
      </c>
      <c r="L20" s="31" t="inlineStr">
        <is>
          <t>largecap</t>
        </is>
      </c>
      <c r="M20" s="32" t="n">
        <v>27596.37</v>
      </c>
      <c r="N20" s="32" t="n">
        <v>393.25</v>
      </c>
      <c r="O20" s="32" t="n">
        <v>0.63</v>
      </c>
      <c r="P20" s="32" t="n">
        <v>1452767</v>
      </c>
      <c r="Q20" s="31" t="n">
        <v>70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73.58</v>
      </c>
      <c r="U20" s="32" t="n">
        <v>27.58</v>
      </c>
      <c r="V20" s="32" t="n">
        <v>308.5</v>
      </c>
      <c r="W20" s="31" t="inlineStr">
        <is>
          <t>Near 52W High Breakout</t>
        </is>
      </c>
      <c r="X20" s="31" t="inlineStr">
        <is>
          <t>Nifty Realty</t>
        </is>
      </c>
      <c r="Y20" s="32" t="n">
        <v>-10.31</v>
      </c>
      <c r="Z20" s="32" t="n">
        <v>57.71</v>
      </c>
      <c r="AA20" s="32" t="n">
        <v>75.84999999999999</v>
      </c>
      <c r="AB20" s="32" t="n">
        <v>19.88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Between 50% to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EMA Crossover</t>
        </is>
      </c>
      <c r="D21" s="32" t="n">
        <v>143.8</v>
      </c>
      <c r="E21" s="32" t="inlineStr">
        <is>
          <t>7%</t>
        </is>
      </c>
      <c r="F21" s="32" t="n">
        <v>70000</v>
      </c>
      <c r="G21" s="32" t="n">
        <v>38</v>
      </c>
      <c r="H21" s="33" t="inlineStr">
        <is>
          <t>AUTOAXLES</t>
        </is>
      </c>
      <c r="I21" s="33" t="inlineStr">
        <is>
          <t>Automotive Axles Limited</t>
        </is>
      </c>
      <c r="J21" s="31" t="inlineStr">
        <is>
          <t>auto</t>
        </is>
      </c>
      <c r="K21" s="31" t="inlineStr">
        <is>
          <t>auto ancillaries</t>
        </is>
      </c>
      <c r="L21" s="31" t="inlineStr">
        <is>
          <t>smallcap</t>
        </is>
      </c>
      <c r="M21" s="32" t="n">
        <v>2685.85</v>
      </c>
      <c r="N21" s="32" t="n">
        <v>1802</v>
      </c>
      <c r="O21" s="32" t="n">
        <v>1.39</v>
      </c>
      <c r="P21" s="32" t="n">
        <v>6224</v>
      </c>
      <c r="Q21" s="31" t="n">
        <v>4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50.73</v>
      </c>
      <c r="U21" s="32" t="n">
        <v>9.4</v>
      </c>
      <c r="V21" s="32" t="n">
        <v>1504.92</v>
      </c>
      <c r="W21" s="31" t="inlineStr">
        <is>
          <t>Earnings / Momentum Support</t>
        </is>
      </c>
      <c r="X21" s="31" t="inlineStr">
        <is>
          <t>Nifty Auto</t>
        </is>
      </c>
      <c r="Y21" s="32" t="n">
        <v>13.04</v>
      </c>
      <c r="Z21" s="32" t="n">
        <v>2.08</v>
      </c>
      <c r="AA21" s="32" t="n">
        <v>-9.699999999999999</v>
      </c>
      <c r="AB21" s="32" t="n">
        <v>2.54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1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Between 12 to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EMA Crossover</t>
        </is>
      </c>
      <c r="D22" s="32" t="n">
        <v>140.9</v>
      </c>
      <c r="E22" s="32" t="inlineStr">
        <is>
          <t>7%</t>
        </is>
      </c>
      <c r="F22" s="32" t="n">
        <v>70000</v>
      </c>
      <c r="G22" s="32" t="n">
        <v>2</v>
      </c>
      <c r="H22" s="33" t="inlineStr">
        <is>
          <t>SHREECEM</t>
        </is>
      </c>
      <c r="I22" s="33" t="inlineStr">
        <is>
          <t>Shree Cements Limited</t>
        </is>
      </c>
      <c r="J22" s="31" t="inlineStr">
        <is>
          <t>building materials</t>
        </is>
      </c>
      <c r="K22" s="31" t="inlineStr">
        <is>
          <t>cement - north india</t>
        </is>
      </c>
      <c r="L22" s="31" t="inlineStr">
        <is>
          <t>largecap</t>
        </is>
      </c>
      <c r="M22" s="32" t="n">
        <v>93521.3</v>
      </c>
      <c r="N22" s="32" t="n">
        <v>26260</v>
      </c>
      <c r="O22" s="32" t="n">
        <v>1.31</v>
      </c>
      <c r="P22" s="32" t="n">
        <v>10263</v>
      </c>
      <c r="Q22" s="31" t="n">
        <v>1</v>
      </c>
      <c r="R22" s="31" t="inlineStr">
        <is>
          <t>Underperforming</t>
        </is>
      </c>
      <c r="S22" s="32">
        <f>IF(R22="Underperforming",-5,IF(Q22&gt;=95,15,IF(Q22&gt;=90,10,IF(Q22&gt;=80,5,0))))</f>
        <v/>
      </c>
      <c r="T22" s="32" t="n">
        <v>54.23</v>
      </c>
      <c r="U22" s="32" t="n">
        <v>19.03</v>
      </c>
      <c r="V22" s="32" t="n">
        <v>22375.64</v>
      </c>
      <c r="W22" s="31" t="inlineStr">
        <is>
          <t>Earnings / Momentum Support</t>
        </is>
      </c>
      <c r="X22" s="31" t="inlineStr">
        <is>
          <t>Nifty Infra</t>
        </is>
      </c>
      <c r="Y22" s="32" t="n">
        <v>0.23</v>
      </c>
      <c r="Z22" s="32" t="n">
        <v>-15.87</v>
      </c>
      <c r="AA22" s="32" t="n">
        <v>-16.06</v>
      </c>
      <c r="AB22" s="32" t="n">
        <v>-0.28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No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1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139.7</v>
      </c>
      <c r="E2" s="32" t="inlineStr">
        <is>
          <t>5%</t>
        </is>
      </c>
      <c r="F2" s="32" t="n">
        <v>50000</v>
      </c>
      <c r="G2" s="32" t="n">
        <v>27</v>
      </c>
      <c r="H2" s="31" t="inlineStr">
        <is>
          <t>NUVAMA</t>
        </is>
      </c>
      <c r="I2" s="31" t="inlineStr">
        <is>
          <t>Nuvama Wealth Management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largecap</t>
        </is>
      </c>
      <c r="M2" s="32" t="n">
        <v>32550.84</v>
      </c>
      <c r="N2" s="32" t="n">
        <v>1819.1</v>
      </c>
      <c r="O2" s="32" t="n">
        <v>1.73</v>
      </c>
      <c r="P2" s="32" t="n">
        <v>226338</v>
      </c>
      <c r="Q2" s="31" t="n">
        <v>72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69.42</v>
      </c>
      <c r="U2" s="32" t="n">
        <v>29.22</v>
      </c>
      <c r="V2" s="32" t="n">
        <v>1467.1</v>
      </c>
      <c r="W2" s="31" t="inlineStr">
        <is>
          <t>Near 52W High Breakout</t>
        </is>
      </c>
      <c r="X2" s="31" t="inlineStr">
        <is>
          <t>Nifty Bank</t>
        </is>
      </c>
      <c r="Y2" s="32" t="n">
        <v>1.75</v>
      </c>
      <c r="Z2" s="32" t="n">
        <v>27.66</v>
      </c>
      <c r="AA2" s="32" t="n">
        <v>25.46</v>
      </c>
      <c r="AB2" s="32" t="n">
        <v>20.4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8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IF(B2=0,"",RANK(B2,$B$2:$B$91,0))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FMCG - Personal Care</t>
        </is>
      </c>
      <c r="G2" s="31" t="inlineStr">
        <is>
          <t>midcap</t>
        </is>
      </c>
      <c r="H2" s="32" t="n">
        <v>7991.23</v>
      </c>
      <c r="I2" s="32" t="n">
        <v>611.8</v>
      </c>
      <c r="J2" s="32" t="n">
        <v>-0.45</v>
      </c>
      <c r="K2" s="32" t="n">
        <v>0</v>
      </c>
      <c r="L2" s="31" t="n">
        <v>92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72.09</v>
      </c>
      <c r="P2" s="32" t="n">
        <v>61.09</v>
      </c>
      <c r="Q2" s="32" t="n">
        <v>485.78</v>
      </c>
      <c r="R2" s="31" t="inlineStr">
        <is>
          <t>Near 52W High Breakout</t>
        </is>
      </c>
      <c r="S2" s="31" t="inlineStr">
        <is>
          <t>Nifty FMCG</t>
        </is>
      </c>
      <c r="T2" s="32" t="n">
        <v>-8.5</v>
      </c>
      <c r="U2" s="32" t="n">
        <v>177.06</v>
      </c>
      <c r="V2" s="32" t="n">
        <v>202.79</v>
      </c>
      <c r="W2" s="32" t="n">
        <v>38.89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IF(B3=0,"",RANK(B3,$B$2:$B$91,0))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IOLCP</t>
        </is>
      </c>
      <c r="D3" s="34" t="inlineStr">
        <is>
          <t>IOL Chemicals &amp; Pharmaceuticals Ltd</t>
        </is>
      </c>
      <c r="E3" s="31" t="inlineStr">
        <is>
          <t>healthcare</t>
        </is>
      </c>
      <c r="F3" s="31" t="inlineStr">
        <is>
          <t>Pharma - API &amp; CRAMS</t>
        </is>
      </c>
      <c r="G3" s="31" t="inlineStr">
        <is>
          <t>smallcap</t>
        </is>
      </c>
      <c r="H3" s="32" t="n">
        <v>4376.79</v>
      </c>
      <c r="I3" s="32" t="n">
        <v>149.11</v>
      </c>
      <c r="J3" s="32" t="n">
        <v>1.29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82.38</v>
      </c>
      <c r="P3" s="32" t="n">
        <v>52.87</v>
      </c>
      <c r="Q3" s="32" t="n">
        <v>115.01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13.06</v>
      </c>
      <c r="U3" s="32" t="n">
        <v>62.69</v>
      </c>
      <c r="V3" s="32" t="n">
        <v>43.9</v>
      </c>
      <c r="W3" s="32" t="n">
        <v>34.91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19</t>
        </is>
      </c>
      <c r="CG3" s="31">
        <f>IF(CF3&gt;20,10,IF(CF3&gt;=10,5,2))</f>
        <v/>
      </c>
    </row>
    <row r="4">
      <c r="A4" s="31">
        <f>IF(B4=0,"",RANK(B4,$B$2:$B$91,0))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MODINSU</t>
        </is>
      </c>
      <c r="D4" s="31" t="inlineStr">
        <is>
          <t>Modern Insulators Ltd</t>
        </is>
      </c>
      <c r="E4" s="31" t="inlineStr">
        <is>
          <t>Technology</t>
        </is>
      </c>
      <c r="F4" s="31" t="inlineStr">
        <is>
          <t>Capital Goods - Electric General</t>
        </is>
      </c>
      <c r="G4" s="31" t="inlineStr">
        <is>
          <t>smallcap</t>
        </is>
      </c>
      <c r="H4" s="32" t="n">
        <v>2508.06</v>
      </c>
      <c r="I4" s="32" t="n">
        <v>532</v>
      </c>
      <c r="J4" s="32" t="n">
        <v>3.54</v>
      </c>
      <c r="K4" s="32" t="n">
        <v>0</v>
      </c>
      <c r="L4" s="31" t="n">
        <v>98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74.54000000000001</v>
      </c>
      <c r="P4" s="32" t="n">
        <v>49.11</v>
      </c>
      <c r="Q4" s="32" t="n">
        <v>395.09</v>
      </c>
      <c r="R4" s="31" t="inlineStr">
        <is>
          <t>Near 52W High Breakout</t>
        </is>
      </c>
      <c r="S4" s="31" t="inlineStr">
        <is>
          <t>Nifty 50</t>
        </is>
      </c>
      <c r="T4" s="32" t="n">
        <v>-5.05</v>
      </c>
      <c r="U4" s="32" t="n">
        <v>375.39</v>
      </c>
      <c r="V4" s="32" t="n">
        <v>400.67</v>
      </c>
      <c r="W4" s="32" t="n">
        <v>66.83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18</t>
        </is>
      </c>
      <c r="CG4" s="31">
        <f>IF(CF4&gt;20,10,IF(CF4&gt;=10,5,2))</f>
        <v/>
      </c>
    </row>
    <row r="5">
      <c r="A5" s="31">
        <f>IF(B5=0,"",RANK(B5,$B$2:$B$91,0))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RPTECH</t>
        </is>
      </c>
      <c r="D5" s="31" t="inlineStr">
        <is>
          <t>Rashi Peripherals Ltd</t>
        </is>
      </c>
      <c r="E5" s="31" t="inlineStr">
        <is>
          <t>services</t>
        </is>
      </c>
      <c r="F5" s="31" t="inlineStr">
        <is>
          <t>Trading</t>
        </is>
      </c>
      <c r="G5" s="31" t="inlineStr">
        <is>
          <t>midcap</t>
        </is>
      </c>
      <c r="H5" s="32" t="n">
        <v>5199.48</v>
      </c>
      <c r="I5" s="32" t="n">
        <v>789</v>
      </c>
      <c r="J5" s="32" t="n">
        <v>0.13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89.70999999999999</v>
      </c>
      <c r="P5" s="32" t="n">
        <v>63.85</v>
      </c>
      <c r="Q5" s="32" t="n">
        <v>620.8200000000001</v>
      </c>
      <c r="R5" s="31" t="inlineStr">
        <is>
          <t>Near 52W High Breakout</t>
        </is>
      </c>
      <c r="S5" s="31" t="inlineStr">
        <is>
          <t>Nifty 50</t>
        </is>
      </c>
      <c r="T5" s="32" t="n">
        <v>-5.05</v>
      </c>
      <c r="U5" s="32" t="n">
        <v>170.8</v>
      </c>
      <c r="V5" s="32" t="n">
        <v>185.2</v>
      </c>
      <c r="W5" s="32" t="n">
        <v>51.96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Less than 50%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IF(B6=0,"",RANK(B6,$B$2:$B$91,0))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INDOBORAX</t>
        </is>
      </c>
      <c r="D6" s="31" t="inlineStr">
        <is>
          <t>Indo Borax &amp; Chemicals Ltd</t>
        </is>
      </c>
      <c r="E6" s="31" t="inlineStr">
        <is>
          <t>chemicals</t>
        </is>
      </c>
      <c r="F6" s="31" t="inlineStr">
        <is>
          <t>Chemicals - Inorganic</t>
        </is>
      </c>
      <c r="G6" s="31" t="inlineStr">
        <is>
          <t>smallcap</t>
        </is>
      </c>
      <c r="H6" s="32" t="n">
        <v>1252.63</v>
      </c>
      <c r="I6" s="32" t="n">
        <v>390.35</v>
      </c>
      <c r="J6" s="32" t="n">
        <v>3.68</v>
      </c>
      <c r="K6" s="32" t="n">
        <v>0</v>
      </c>
      <c r="L6" s="31" t="n">
        <v>82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81.12</v>
      </c>
      <c r="P6" s="32" t="n">
        <v>59.89</v>
      </c>
      <c r="Q6" s="32" t="n">
        <v>303.89</v>
      </c>
      <c r="R6" s="31" t="inlineStr">
        <is>
          <t>Near 52W High Breakout</t>
        </is>
      </c>
      <c r="S6" s="31" t="inlineStr">
        <is>
          <t>Nifty 50</t>
        </is>
      </c>
      <c r="T6" s="32" t="n">
        <v>-5.05</v>
      </c>
      <c r="U6" s="32" t="n">
        <v>78.56</v>
      </c>
      <c r="V6" s="32" t="n">
        <v>88.05</v>
      </c>
      <c r="W6" s="32" t="n">
        <v>26.27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15</t>
        </is>
      </c>
      <c r="CG6" s="31">
        <f>IF(CF6&gt;20,10,IF(CF6&gt;=10,5,2))</f>
        <v/>
      </c>
    </row>
    <row r="7">
      <c r="A7" s="31">
        <f>IF(B7=0,"",RANK(B7,$B$2:$B$91,0))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RADICO</t>
        </is>
      </c>
      <c r="D7" s="34" t="inlineStr">
        <is>
          <t>Radico Khaitan Ltd</t>
        </is>
      </c>
      <c r="E7" s="31" t="inlineStr">
        <is>
          <t>fmcg</t>
        </is>
      </c>
      <c r="F7" s="31" t="inlineStr">
        <is>
          <t>Alcoholic Beverages</t>
        </is>
      </c>
      <c r="G7" s="31" t="inlineStr">
        <is>
          <t>largecap</t>
        </is>
      </c>
      <c r="H7" s="32" t="n">
        <v>52996.64</v>
      </c>
      <c r="I7" s="32" t="n">
        <v>3957</v>
      </c>
      <c r="J7" s="32" t="n">
        <v>0.11</v>
      </c>
      <c r="K7" s="32" t="n">
        <v>0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77.77</v>
      </c>
      <c r="P7" s="32" t="n">
        <v>43.38</v>
      </c>
      <c r="Q7" s="32" t="n">
        <v>3330.7</v>
      </c>
      <c r="R7" s="31" t="inlineStr">
        <is>
          <t>Near 52W High Breakout</t>
        </is>
      </c>
      <c r="S7" s="31" t="inlineStr">
        <is>
          <t>Nifty FMCG</t>
        </is>
      </c>
      <c r="T7" s="32" t="n">
        <v>-8.5</v>
      </c>
      <c r="U7" s="32" t="n">
        <v>51.21</v>
      </c>
      <c r="V7" s="32" t="n">
        <v>65.25</v>
      </c>
      <c r="W7" s="32" t="n">
        <v>20.97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IF(B8=0,"",RANK(B8,$B$2:$B$91,0))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GLAND</t>
        </is>
      </c>
      <c r="D8" s="31" t="inlineStr">
        <is>
          <t>Gland Pharma Ltd</t>
        </is>
      </c>
      <c r="E8" s="31" t="inlineStr">
        <is>
          <t>healthcare</t>
        </is>
      </c>
      <c r="F8" s="31" t="inlineStr">
        <is>
          <t>Pharma - API &amp; CRAMS</t>
        </is>
      </c>
      <c r="G8" s="31" t="inlineStr">
        <is>
          <t>largecap</t>
        </is>
      </c>
      <c r="H8" s="32" t="n">
        <v>40910</v>
      </c>
      <c r="I8" s="32" t="n">
        <v>2480</v>
      </c>
      <c r="J8" s="32" t="n">
        <v>0.6</v>
      </c>
      <c r="K8" s="32" t="n">
        <v>0</v>
      </c>
      <c r="L8" s="31" t="n">
        <v>61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71.72</v>
      </c>
      <c r="P8" s="32" t="n">
        <v>40.62</v>
      </c>
      <c r="Q8" s="32" t="n">
        <v>1963.99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13.06</v>
      </c>
      <c r="U8" s="32" t="n">
        <v>31.84</v>
      </c>
      <c r="V8" s="32" t="n">
        <v>16.61</v>
      </c>
      <c r="W8" s="32" t="n">
        <v>16.25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16</t>
        </is>
      </c>
      <c r="CG8" s="31">
        <f>IF(CF8&gt;20,10,IF(CF8&gt;=10,5,2))</f>
        <v/>
      </c>
    </row>
    <row r="9">
      <c r="A9" s="31">
        <f>IF(B9=0,"",RANK(B9,$B$2:$B$91,0))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WHEELS</t>
        </is>
      </c>
      <c r="D9" s="31" t="inlineStr">
        <is>
          <t>Wheels India Ltd</t>
        </is>
      </c>
      <c r="E9" s="31" t="inlineStr">
        <is>
          <t>Consumer Cyclical</t>
        </is>
      </c>
      <c r="F9" s="31" t="inlineStr">
        <is>
          <t>Auto Ancillaries - Wheels</t>
        </is>
      </c>
      <c r="G9" s="31" t="inlineStr">
        <is>
          <t>smallcap</t>
        </is>
      </c>
      <c r="H9" s="32" t="n">
        <v>3982.34</v>
      </c>
      <c r="I9" s="32" t="n">
        <v>1629.9</v>
      </c>
      <c r="J9" s="32" t="n">
        <v>1.02</v>
      </c>
      <c r="K9" s="32" t="n">
        <v>0</v>
      </c>
      <c r="L9" s="31" t="n">
        <v>87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68.45999999999999</v>
      </c>
      <c r="P9" s="32" t="n">
        <v>57.51</v>
      </c>
      <c r="Q9" s="32" t="n">
        <v>1227.13</v>
      </c>
      <c r="R9" s="31" t="inlineStr">
        <is>
          <t>Near 52W High Breakout</t>
        </is>
      </c>
      <c r="S9" s="31" t="inlineStr">
        <is>
          <t>Nifty Auto</t>
        </is>
      </c>
      <c r="T9" s="32" t="n">
        <v>13.04</v>
      </c>
      <c r="U9" s="32" t="n">
        <v>101.8</v>
      </c>
      <c r="V9" s="32" t="n">
        <v>78.52</v>
      </c>
      <c r="W9" s="32" t="n">
        <v>30.94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Less than 12%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22</t>
        </is>
      </c>
      <c r="CG9" s="31">
        <f>IF(CF9&gt;20,10,IF(CF9&gt;=10,5,2))</f>
        <v/>
      </c>
    </row>
    <row r="10">
      <c r="A10" s="31">
        <f>IF(B10=0,"",RANK(B10,$B$2:$B$91,0))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IBULLSLTD</t>
        </is>
      </c>
      <c r="D10" s="31" t="inlineStr">
        <is>
          <t>Indiabulls Limited</t>
        </is>
      </c>
      <c r="E10" s="31" t="inlineStr">
        <is>
          <t>miscellaneous</t>
        </is>
      </c>
      <c r="F10" s="31" t="inlineStr">
        <is>
          <t>Diversified</t>
        </is>
      </c>
      <c r="G10" s="31" t="inlineStr">
        <is>
          <t>midcap</t>
        </is>
      </c>
      <c r="H10" s="32" t="n">
        <v>6513.4</v>
      </c>
      <c r="I10" s="32" t="n">
        <v>27.96</v>
      </c>
      <c r="J10" s="32" t="n">
        <v>0.83</v>
      </c>
      <c r="K10" s="32" t="n">
        <v>0</v>
      </c>
      <c r="L10" s="31" t="n">
        <v>97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76.44</v>
      </c>
      <c r="P10" s="32" t="n">
        <v>38.76</v>
      </c>
      <c r="Q10" s="32" t="n">
        <v>20.25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-5.05</v>
      </c>
      <c r="U10" s="32" t="n">
        <v>65.66</v>
      </c>
      <c r="V10" s="32" t="n">
        <v>74.47</v>
      </c>
      <c r="W10" s="32" t="n">
        <v>58.51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18</t>
        </is>
      </c>
      <c r="CG10" s="31">
        <f>IF(CF10&gt;20,10,IF(CF10&gt;=10,5,2))</f>
        <v/>
      </c>
    </row>
    <row r="11">
      <c r="A11" s="31">
        <f>IF(B11=0,"",RANK(B11,$B$2:$B$91,0))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ATHERENERG</t>
        </is>
      </c>
      <c r="D11" s="34" t="inlineStr">
        <is>
          <t>Ather Energy Ltd</t>
        </is>
      </c>
      <c r="E11" s="31" t="inlineStr">
        <is>
          <t>auto</t>
        </is>
      </c>
      <c r="F11" s="31" t="inlineStr">
        <is>
          <t>Auto - 2 &amp; 3 Wheelers</t>
        </is>
      </c>
      <c r="G11" s="31" t="inlineStr">
        <is>
          <t>largecap</t>
        </is>
      </c>
      <c r="H11" s="32" t="n">
        <v>43886.51</v>
      </c>
      <c r="I11" s="32" t="n">
        <v>1145.5</v>
      </c>
      <c r="J11" s="32" t="n">
        <v>1.34</v>
      </c>
      <c r="K11" s="32" t="n">
        <v>0</v>
      </c>
      <c r="L11" s="31" t="n">
        <v>92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74.55</v>
      </c>
      <c r="P11" s="32" t="n">
        <v>51.19</v>
      </c>
      <c r="Q11" s="32" t="n">
        <v>872.84</v>
      </c>
      <c r="R11" s="31" t="inlineStr">
        <is>
          <t>Near 52W High Breakout</t>
        </is>
      </c>
      <c r="S11" s="31" t="inlineStr">
        <is>
          <t>Nifty Auto</t>
        </is>
      </c>
      <c r="T11" s="32" t="n">
        <v>13.04</v>
      </c>
      <c r="U11" s="32" t="n">
        <v>248.21</v>
      </c>
      <c r="V11" s="32" t="n">
        <v>208.03</v>
      </c>
      <c r="W11" s="32" t="n">
        <v>41.69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Negative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IF(B12=0,"",RANK(B12,$B$2:$B$91,0))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MAYURUNIQ</t>
        </is>
      </c>
      <c r="D12" s="34" t="inlineStr">
        <is>
          <t>Mayur Uniquoters Ltd</t>
        </is>
      </c>
      <c r="E12" s="31" t="inlineStr">
        <is>
          <t>consumer discretionary</t>
        </is>
      </c>
      <c r="F12" s="31" t="inlineStr">
        <is>
          <t>Plastics - Plastic &amp; Plastic Products</t>
        </is>
      </c>
      <c r="G12" s="31" t="inlineStr">
        <is>
          <t>smallcap</t>
        </is>
      </c>
      <c r="H12" s="32" t="n">
        <v>3845.56</v>
      </c>
      <c r="I12" s="32" t="n">
        <v>885</v>
      </c>
      <c r="J12" s="32" t="n">
        <v>3.93</v>
      </c>
      <c r="K12" s="32" t="n">
        <v>0</v>
      </c>
      <c r="L12" s="31" t="n">
        <v>81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77.78</v>
      </c>
      <c r="P12" s="32" t="n">
        <v>49.82</v>
      </c>
      <c r="Q12" s="32" t="n">
        <v>695.1799999999999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-5.05</v>
      </c>
      <c r="U12" s="32" t="n">
        <v>55.94</v>
      </c>
      <c r="V12" s="32" t="n">
        <v>64.23</v>
      </c>
      <c r="W12" s="32" t="n">
        <v>25.58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17</t>
        </is>
      </c>
      <c r="CG12" s="31">
        <f>IF(CF12&gt;20,10,IF(CF12&gt;=10,5,2))</f>
        <v/>
      </c>
    </row>
    <row r="13">
      <c r="A13" s="31">
        <f>IF(B13=0,"",RANK(B13,$B$2:$B$91,0))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CUPID</t>
        </is>
      </c>
      <c r="D13" s="31" t="inlineStr">
        <is>
          <t>Cupid Ltd</t>
        </is>
      </c>
      <c r="E13" s="31" t="inlineStr">
        <is>
          <t>fmcg</t>
        </is>
      </c>
      <c r="F13" s="31" t="inlineStr">
        <is>
          <t>Contraceptives/Protectives</t>
        </is>
      </c>
      <c r="G13" s="31" t="inlineStr">
        <is>
          <t>largecap</t>
        </is>
      </c>
      <c r="H13" s="32" t="n">
        <v>25683.02</v>
      </c>
      <c r="I13" s="32" t="n">
        <v>191</v>
      </c>
      <c r="J13" s="32" t="n">
        <v>-1.23</v>
      </c>
      <c r="K13" s="32" t="n">
        <v>0</v>
      </c>
      <c r="L13" s="31" t="n">
        <v>99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86.45</v>
      </c>
      <c r="P13" s="32" t="n">
        <v>56.17</v>
      </c>
      <c r="Q13" s="32" t="n">
        <v>154.13</v>
      </c>
      <c r="R13" s="31" t="inlineStr">
        <is>
          <t>Near 52W High Breakout</t>
        </is>
      </c>
      <c r="S13" s="31" t="inlineStr">
        <is>
          <t>Nifty FMCG</t>
        </is>
      </c>
      <c r="T13" s="32" t="n">
        <v>-8.5</v>
      </c>
      <c r="U13" s="32" t="n">
        <v>782.47</v>
      </c>
      <c r="V13" s="32" t="n">
        <v>864.41</v>
      </c>
      <c r="W13" s="32" t="n">
        <v>87.18000000000001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Less than 50%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IF(B14=0,"",RANK(B14,$B$2:$B$91,0))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BLISSGVS</t>
        </is>
      </c>
      <c r="D14" s="31" t="inlineStr">
        <is>
          <t>Bliss GVS Pharma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midcap</t>
        </is>
      </c>
      <c r="H14" s="32" t="n">
        <v>5578.56</v>
      </c>
      <c r="I14" s="32" t="n">
        <v>526</v>
      </c>
      <c r="J14" s="32" t="n">
        <v>0.47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91.69</v>
      </c>
      <c r="P14" s="32" t="n">
        <v>70.73</v>
      </c>
      <c r="Q14" s="32" t="n">
        <v>409.2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13.06</v>
      </c>
      <c r="U14" s="32" t="n">
        <v>239.16</v>
      </c>
      <c r="V14" s="32" t="n">
        <v>199.97</v>
      </c>
      <c r="W14" s="32" t="n">
        <v>59.81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IF(B15=0,"",RANK(B15,$B$2:$B$91,0))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AEGISLOG</t>
        </is>
      </c>
      <c r="D15" s="31" t="inlineStr">
        <is>
          <t>Aegis Logistics Ltd</t>
        </is>
      </c>
      <c r="E15" s="31" t="inlineStr">
        <is>
          <t>services</t>
        </is>
      </c>
      <c r="F15" s="31" t="inlineStr">
        <is>
          <t>Logistics</t>
        </is>
      </c>
      <c r="G15" s="31" t="inlineStr">
        <is>
          <t>largecap</t>
        </is>
      </c>
      <c r="H15" s="32" t="n">
        <v>45981</v>
      </c>
      <c r="I15" s="32" t="n">
        <v>1310</v>
      </c>
      <c r="J15" s="32" t="n">
        <v>4.41</v>
      </c>
      <c r="K15" s="32" t="n">
        <v>0</v>
      </c>
      <c r="L15" s="31" t="n">
        <v>94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84.90000000000001</v>
      </c>
      <c r="P15" s="32" t="n">
        <v>31.13</v>
      </c>
      <c r="Q15" s="32" t="n">
        <v>1046.62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-5.05</v>
      </c>
      <c r="U15" s="32" t="n">
        <v>76.72</v>
      </c>
      <c r="V15" s="32" t="n">
        <v>86.11</v>
      </c>
      <c r="W15" s="32" t="n">
        <v>46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22</t>
        </is>
      </c>
      <c r="CG15" s="31">
        <f>IF(CF15&gt;20,10,IF(CF15&gt;=10,5,2))</f>
        <v/>
      </c>
    </row>
    <row r="16">
      <c r="A16" s="31">
        <f>IF(B16=0,"",RANK(B16,$B$2:$B$91,0))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SANGHVIMOV</t>
        </is>
      </c>
      <c r="D16" s="34" t="inlineStr">
        <is>
          <t>Sanghvi Movers Ltd</t>
        </is>
      </c>
      <c r="E16" s="31" t="inlineStr">
        <is>
          <t>miscellaneous</t>
        </is>
      </c>
      <c r="F16" s="31" t="inlineStr">
        <is>
          <t>Capital Goods - EPC/Cranes</t>
        </is>
      </c>
      <c r="G16" s="31" t="inlineStr">
        <is>
          <t>smallcap</t>
        </is>
      </c>
      <c r="H16" s="32" t="n">
        <v>3913.24</v>
      </c>
      <c r="I16" s="32" t="n">
        <v>452</v>
      </c>
      <c r="J16" s="32" t="n">
        <v>2.25</v>
      </c>
      <c r="K16" s="32" t="n">
        <v>0</v>
      </c>
      <c r="L16" s="31" t="n">
        <v>81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72.12</v>
      </c>
      <c r="P16" s="32" t="n">
        <v>25.91</v>
      </c>
      <c r="Q16" s="32" t="n">
        <v>339.96</v>
      </c>
      <c r="R16" s="31" t="inlineStr">
        <is>
          <t>Near 52W High Breakout</t>
        </is>
      </c>
      <c r="S16" s="31" t="inlineStr">
        <is>
          <t>Nifty 50</t>
        </is>
      </c>
      <c r="T16" s="32" t="n">
        <v>-5.05</v>
      </c>
      <c r="U16" s="32" t="n">
        <v>63.34</v>
      </c>
      <c r="V16" s="32" t="n">
        <v>72.03</v>
      </c>
      <c r="W16" s="32" t="n">
        <v>25.68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17</t>
        </is>
      </c>
      <c r="CG16" s="31">
        <f>IF(CF16&gt;20,10,IF(CF16&gt;=10,5,2))</f>
        <v/>
      </c>
    </row>
    <row r="17">
      <c r="A17" s="31">
        <f>IF(B17=0,"",RANK(B17,$B$2:$B$91,0))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TIMEX</t>
        </is>
      </c>
      <c r="D17" s="31" t="inlineStr">
        <is>
          <t>Timex Group India Ltd</t>
        </is>
      </c>
      <c r="E17" s="31" t="inlineStr">
        <is>
          <t>Consumer Cyclical</t>
        </is>
      </c>
      <c r="F17" s="31" t="inlineStr">
        <is>
          <t>Watches</t>
        </is>
      </c>
      <c r="G17" s="31" t="inlineStr">
        <is>
          <t>midcap</t>
        </is>
      </c>
      <c r="H17" s="32" t="n">
        <v>5380.64</v>
      </c>
      <c r="I17" s="32" t="n">
        <v>533</v>
      </c>
      <c r="J17" s="32" t="n">
        <v>2.74</v>
      </c>
      <c r="K17" s="32" t="n">
        <v>0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75.90000000000001</v>
      </c>
      <c r="P17" s="32" t="n">
        <v>35.13</v>
      </c>
      <c r="Q17" s="32" t="n">
        <v>406.88</v>
      </c>
      <c r="R17" s="31" t="inlineStr">
        <is>
          <t>Near 52W High Breakout</t>
        </is>
      </c>
      <c r="S17" s="31" t="inlineStr">
        <is>
          <t>Nifty 50</t>
        </is>
      </c>
      <c r="T17" s="32" t="n">
        <v>-5.05</v>
      </c>
      <c r="U17" s="32" t="n">
        <v>129.56</v>
      </c>
      <c r="V17" s="32" t="n">
        <v>141.76</v>
      </c>
      <c r="W17" s="32" t="n">
        <v>47.17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17</t>
        </is>
      </c>
      <c r="CG17" s="31">
        <f>IF(CF17&gt;20,10,IF(CF17&gt;=10,5,2))</f>
        <v/>
      </c>
    </row>
    <row r="18">
      <c r="A18" s="31">
        <f>IF(B18=0,"",RANK(B18,$B$2:$B$91,0))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PGIL</t>
        </is>
      </c>
      <c r="D18" s="31" t="inlineStr">
        <is>
          <t>Pearl Global Industries Ltd</t>
        </is>
      </c>
      <c r="E18" s="31" t="inlineStr">
        <is>
          <t>consumer discretionary</t>
        </is>
      </c>
      <c r="F18" s="31" t="inlineStr">
        <is>
          <t>Textiles - Readymade Apparel</t>
        </is>
      </c>
      <c r="G18" s="31" t="inlineStr">
        <is>
          <t>midcap</t>
        </is>
      </c>
      <c r="H18" s="32" t="n">
        <v>9569.35</v>
      </c>
      <c r="I18" s="32" t="n">
        <v>2072</v>
      </c>
      <c r="J18" s="32" t="n">
        <v>-0.77</v>
      </c>
      <c r="K18" s="32" t="n">
        <v>0</v>
      </c>
      <c r="L18" s="31" t="n">
        <v>62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70.40000000000001</v>
      </c>
      <c r="P18" s="32" t="n">
        <v>38.49</v>
      </c>
      <c r="Q18" s="32" t="n">
        <v>1573.7</v>
      </c>
      <c r="R18" s="31" t="inlineStr">
        <is>
          <t>Near 52W High Breakout</t>
        </is>
      </c>
      <c r="S18" s="31" t="inlineStr">
        <is>
          <t>Nifty 50</t>
        </is>
      </c>
      <c r="T18" s="32" t="n">
        <v>-5.05</v>
      </c>
      <c r="U18" s="32" t="n">
        <v>32.09</v>
      </c>
      <c r="V18" s="32" t="n">
        <v>39.11</v>
      </c>
      <c r="W18" s="32" t="n">
        <v>16.47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Between 1.5 to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17</t>
        </is>
      </c>
      <c r="CG18" s="31">
        <f>IF(CF18&gt;20,10,IF(CF18&gt;=10,5,2))</f>
        <v/>
      </c>
    </row>
    <row r="19">
      <c r="A19" s="31">
        <f>IF(B19=0,"",RANK(B19,$B$2:$B$91,0))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SYRMA</t>
        </is>
      </c>
      <c r="D19" s="34" t="inlineStr">
        <is>
          <t>Syrma SGS Technology Ltd</t>
        </is>
      </c>
      <c r="E19" s="31" t="inlineStr">
        <is>
          <t>consumer discretionary</t>
        </is>
      </c>
      <c r="F19" s="31" t="inlineStr">
        <is>
          <t>Consumer Electronics - EMS</t>
        </is>
      </c>
      <c r="G19" s="31" t="inlineStr">
        <is>
          <t>largecap</t>
        </is>
      </c>
      <c r="H19" s="32" t="n">
        <v>26899.85</v>
      </c>
      <c r="I19" s="32" t="n">
        <v>1395</v>
      </c>
      <c r="J19" s="32" t="n">
        <v>-1.87</v>
      </c>
      <c r="K19" s="32" t="n">
        <v>0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75.53</v>
      </c>
      <c r="P19" s="32" t="n">
        <v>47.37</v>
      </c>
      <c r="Q19" s="32" t="n">
        <v>1134.14</v>
      </c>
      <c r="R19" s="31" t="inlineStr">
        <is>
          <t>Near 52W High Breakout</t>
        </is>
      </c>
      <c r="S19" s="31" t="inlineStr">
        <is>
          <t>Nifty 50</t>
        </is>
      </c>
      <c r="T19" s="32" t="n">
        <v>-5.05</v>
      </c>
      <c r="U19" s="32" t="n">
        <v>129.82</v>
      </c>
      <c r="V19" s="32" t="n">
        <v>142.04</v>
      </c>
      <c r="W19" s="32" t="n">
        <v>36.85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16</t>
        </is>
      </c>
      <c r="CG19" s="31">
        <f>IF(CF19&gt;20,10,IF(CF19&gt;=10,5,2))</f>
        <v/>
      </c>
    </row>
    <row r="20">
      <c r="A20" s="31">
        <f>IF(B20=0,"",RANK(B20,$B$2:$B$91,0))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PARAS</t>
        </is>
      </c>
      <c r="D20" s="34" t="inlineStr">
        <is>
          <t>Paras Defence and Space Technologies Ltd</t>
        </is>
      </c>
      <c r="E20" s="31" t="inlineStr">
        <is>
          <t>aerospace &amp; defence</t>
        </is>
      </c>
      <c r="F20" s="31" t="inlineStr">
        <is>
          <t>Aerospace &amp; Defence - Equipments</t>
        </is>
      </c>
      <c r="G20" s="31" t="inlineStr">
        <is>
          <t>midcap</t>
        </is>
      </c>
      <c r="H20" s="32" t="n">
        <v>10743.1</v>
      </c>
      <c r="I20" s="32" t="n">
        <v>1333.1</v>
      </c>
      <c r="J20" s="32" t="n">
        <v>4.32</v>
      </c>
      <c r="K20" s="32" t="n">
        <v>0</v>
      </c>
      <c r="L20" s="31" t="n">
        <v>91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71.54000000000001</v>
      </c>
      <c r="P20" s="32" t="n">
        <v>48.87</v>
      </c>
      <c r="Q20" s="32" t="n">
        <v>1031.75</v>
      </c>
      <c r="R20" s="31" t="inlineStr">
        <is>
          <t>Near 52W High Breakout</t>
        </is>
      </c>
      <c r="S20" s="31" t="inlineStr">
        <is>
          <t>Nifty 50</t>
        </is>
      </c>
      <c r="T20" s="32" t="n">
        <v>-5.05</v>
      </c>
      <c r="U20" s="32" t="n">
        <v>44.05</v>
      </c>
      <c r="V20" s="32" t="n">
        <v>51.71</v>
      </c>
      <c r="W20" s="32" t="n">
        <v>37.57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16</t>
        </is>
      </c>
      <c r="CG20" s="31">
        <f>IF(CF20&gt;20,10,IF(CF20&gt;=10,5,2))</f>
        <v/>
      </c>
    </row>
    <row r="21">
      <c r="A21" s="31">
        <f>IF(B21=0,"",RANK(B21,$B$2:$B$91,0))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2878.36</v>
      </c>
      <c r="I21" s="32" t="n">
        <v>2774</v>
      </c>
      <c r="J21" s="32" t="n">
        <v>2.56</v>
      </c>
      <c r="K21" s="32" t="n">
        <v>0</v>
      </c>
      <c r="L21" s="31" t="n">
        <v>92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80.67</v>
      </c>
      <c r="P21" s="32" t="n">
        <v>55.34</v>
      </c>
      <c r="Q21" s="32" t="n">
        <v>2002.48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13.06</v>
      </c>
      <c r="U21" s="32" t="n">
        <v>131.46</v>
      </c>
      <c r="V21" s="32" t="n">
        <v>104.71</v>
      </c>
      <c r="W21" s="32" t="n">
        <v>42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22</t>
        </is>
      </c>
      <c r="CG21" s="31">
        <f>IF(CF21&gt;20,10,IF(CF21&gt;=10,5,2))</f>
        <v/>
      </c>
    </row>
    <row r="22">
      <c r="A22" s="31">
        <f>IF(B22=0,"",RANK(B22,$B$2:$B$91,0))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ADFFOODS</t>
        </is>
      </c>
      <c r="D22" s="34" t="inlineStr">
        <is>
          <t>ADF Foods Ltd</t>
        </is>
      </c>
      <c r="E22" s="31" t="inlineStr">
        <is>
          <t>fmcg</t>
        </is>
      </c>
      <c r="F22" s="31" t="inlineStr">
        <is>
          <t>FMCG - Contract Mfg</t>
        </is>
      </c>
      <c r="G22" s="31" t="inlineStr">
        <is>
          <t>smallcap</t>
        </is>
      </c>
      <c r="H22" s="32" t="n">
        <v>3487.62</v>
      </c>
      <c r="I22" s="32" t="n">
        <v>317.45</v>
      </c>
      <c r="J22" s="32" t="n">
        <v>3.12</v>
      </c>
      <c r="K22" s="32" t="n">
        <v>0</v>
      </c>
      <c r="L22" s="31" t="n">
        <v>79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69.16</v>
      </c>
      <c r="P22" s="32" t="n">
        <v>35.64</v>
      </c>
      <c r="Q22" s="32" t="n">
        <v>230.5</v>
      </c>
      <c r="R22" s="31" t="inlineStr">
        <is>
          <t>Volume Spike &amp; Near 52W High Breakout</t>
        </is>
      </c>
      <c r="S22" s="31" t="inlineStr">
        <is>
          <t>Nifty FMCG</t>
        </is>
      </c>
      <c r="T22" s="32" t="n">
        <v>-8.5</v>
      </c>
      <c r="U22" s="32" t="n">
        <v>19.13</v>
      </c>
      <c r="V22" s="32" t="n">
        <v>30.19</v>
      </c>
      <c r="W22" s="32" t="n">
        <v>23.83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IF(B23=0,"",RANK(B23,$B$2:$B$91,0))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VIJAYA</t>
        </is>
      </c>
      <c r="D23" s="34" t="inlineStr">
        <is>
          <t>Vijaya Diagnostic Centre Ltd</t>
        </is>
      </c>
      <c r="E23" s="31" t="inlineStr">
        <is>
          <t>healthcare</t>
        </is>
      </c>
      <c r="F23" s="31" t="inlineStr">
        <is>
          <t>Diagnostics</t>
        </is>
      </c>
      <c r="G23" s="31" t="inlineStr">
        <is>
          <t>midcap</t>
        </is>
      </c>
      <c r="H23" s="32" t="n">
        <v>14405.54</v>
      </c>
      <c r="I23" s="32" t="n">
        <v>1400</v>
      </c>
      <c r="J23" s="32" t="n">
        <v>2.2</v>
      </c>
      <c r="K23" s="32" t="n">
        <v>0</v>
      </c>
      <c r="L23" s="31" t="n">
        <v>71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68.40000000000001</v>
      </c>
      <c r="P23" s="32" t="n">
        <v>40.31</v>
      </c>
      <c r="Q23" s="32" t="n">
        <v>1095.5</v>
      </c>
      <c r="R23" s="31" t="inlineStr">
        <is>
          <t>Volume Spike &amp; Near 52W High Breakout</t>
        </is>
      </c>
      <c r="S23" s="31" t="inlineStr">
        <is>
          <t>Nifty Pharma</t>
        </is>
      </c>
      <c r="T23" s="32" t="n">
        <v>13.06</v>
      </c>
      <c r="U23" s="32" t="n">
        <v>37.25</v>
      </c>
      <c r="V23" s="32" t="n">
        <v>21.39</v>
      </c>
      <c r="W23" s="32" t="n">
        <v>20.07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IF(B24=0,"",RANK(B24,$B$2:$B$91,0))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GVPIL</t>
        </is>
      </c>
      <c r="D24" s="31" t="inlineStr">
        <is>
          <t>GE Power India Ltd</t>
        </is>
      </c>
      <c r="E24" s="31" t="inlineStr">
        <is>
          <t>Industrials</t>
        </is>
      </c>
      <c r="F24" s="31" t="inlineStr">
        <is>
          <t>Infra - General</t>
        </is>
      </c>
      <c r="G24" s="31" t="inlineStr">
        <is>
          <t>midcap</t>
        </is>
      </c>
      <c r="H24" s="32" t="n">
        <v>6218.54</v>
      </c>
      <c r="I24" s="32" t="n">
        <v>925</v>
      </c>
      <c r="J24" s="32" t="n">
        <v>1.05</v>
      </c>
      <c r="K24" s="32" t="n">
        <v>0</v>
      </c>
      <c r="L24" s="31" t="n">
        <v>96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72.94</v>
      </c>
      <c r="P24" s="32" t="n">
        <v>64.2</v>
      </c>
      <c r="Q24" s="32" t="n">
        <v>807.4</v>
      </c>
      <c r="R24" s="31" t="inlineStr">
        <is>
          <t>Earnings / Momentum Support</t>
        </is>
      </c>
      <c r="S24" s="31" t="inlineStr">
        <is>
          <t>Nifty Infra</t>
        </is>
      </c>
      <c r="T24" s="32" t="n">
        <v>0.23</v>
      </c>
      <c r="U24" s="32" t="n">
        <v>192.57</v>
      </c>
      <c r="V24" s="32" t="n">
        <v>191.9</v>
      </c>
      <c r="W24" s="32" t="n">
        <v>55.29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Duopoly That Cooperate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Shallow Cyclical (2 to 3 Years Growth)</t>
        </is>
      </c>
      <c r="AG24" s="31">
        <f>IF(AF24="Structural (10 Years Consistency)",10,IF(AF24="Shallow Cyclical (2 to 3 years growth)",5,0))</f>
        <v/>
      </c>
      <c r="AH24" s="31" t="inlineStr">
        <is>
          <t>Yes due to Product Mix change or Operating Leverage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Fully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only for next 1 to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16</t>
        </is>
      </c>
      <c r="CG24" s="31">
        <f>IF(CF24&gt;20,10,IF(CF24&gt;=10,5,2))</f>
        <v/>
      </c>
    </row>
    <row r="25">
      <c r="A25" s="31">
        <f>IF(B25=0,"",RANK(B25,$B$2:$B$91,0))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THANGAMAYL</t>
        </is>
      </c>
      <c r="D25" s="31" t="inlineStr">
        <is>
          <t>Thangamayil Jewellery Ltd</t>
        </is>
      </c>
      <c r="E25" s="31" t="inlineStr">
        <is>
          <t>consumer discretionary</t>
        </is>
      </c>
      <c r="F25" s="31" t="inlineStr">
        <is>
          <t>Diamond, Gems &amp; Jewellery</t>
        </is>
      </c>
      <c r="G25" s="31" t="inlineStr">
        <is>
          <t>midcap</t>
        </is>
      </c>
      <c r="H25" s="32" t="n">
        <v>19581.67</v>
      </c>
      <c r="I25" s="32" t="n">
        <v>6300</v>
      </c>
      <c r="J25" s="32" t="n">
        <v>5.96</v>
      </c>
      <c r="K25" s="32" t="n">
        <v>0</v>
      </c>
      <c r="L25" s="31" t="n">
        <v>94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76.56</v>
      </c>
      <c r="P25" s="32" t="n">
        <v>43.34</v>
      </c>
      <c r="Q25" s="32" t="n">
        <v>4744.95</v>
      </c>
      <c r="R25" s="31" t="inlineStr">
        <is>
          <t>Volume Spike &amp; Near 52W High Breakout</t>
        </is>
      </c>
      <c r="S25" s="31" t="inlineStr">
        <is>
          <t>Nifty 50</t>
        </is>
      </c>
      <c r="T25" s="32" t="n">
        <v>-5.05</v>
      </c>
      <c r="U25" s="32" t="n">
        <v>234.73</v>
      </c>
      <c r="V25" s="32" t="n">
        <v>252.53</v>
      </c>
      <c r="W25" s="32" t="n">
        <v>46.3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25</t>
        </is>
      </c>
      <c r="CG25" s="31">
        <f>IF(CF25&gt;20,10,IF(CF25&gt;=10,5,2))</f>
        <v/>
      </c>
    </row>
    <row r="26">
      <c r="A26" s="31">
        <f>IF(B26=0,"",RANK(B26,$B$2:$B$91,0))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RAMCOSYS</t>
        </is>
      </c>
      <c r="D26" s="31" t="inlineStr">
        <is>
          <t>Ramco Systems Ltd</t>
        </is>
      </c>
      <c r="E26" s="31" t="inlineStr">
        <is>
          <t>i.t</t>
        </is>
      </c>
      <c r="F26" s="31" t="inlineStr">
        <is>
          <t>IT Product Companies</t>
        </is>
      </c>
      <c r="G26" s="31" t="inlineStr">
        <is>
          <t>smallcap</t>
        </is>
      </c>
      <c r="H26" s="32" t="n">
        <v>2991.68</v>
      </c>
      <c r="I26" s="32" t="n">
        <v>796</v>
      </c>
      <c r="J26" s="32" t="n">
        <v>0.09</v>
      </c>
      <c r="K26" s="32" t="n">
        <v>0</v>
      </c>
      <c r="L26" s="31" t="n">
        <v>95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75.65000000000001</v>
      </c>
      <c r="P26" s="32" t="n">
        <v>20.69</v>
      </c>
      <c r="Q26" s="32" t="n">
        <v>568.6</v>
      </c>
      <c r="R26" s="31" t="inlineStr">
        <is>
          <t>Volume Spike &amp; Near 52W High Breakout</t>
        </is>
      </c>
      <c r="S26" s="31" t="inlineStr">
        <is>
          <t>Nifty IT</t>
        </is>
      </c>
      <c r="T26" s="32" t="n">
        <v>-31.15</v>
      </c>
      <c r="U26" s="32" t="n">
        <v>98.75</v>
      </c>
      <c r="V26" s="32" t="n">
        <v>188.69</v>
      </c>
      <c r="W26" s="32" t="n">
        <v>48.01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23</t>
        </is>
      </c>
      <c r="CG26" s="31">
        <f>IF(CF26&gt;20,10,IF(CF26&gt;=10,5,2))</f>
        <v/>
      </c>
    </row>
    <row r="27">
      <c r="A27" s="31">
        <f>IF(B27=0,"",RANK(B27,$B$2:$B$91,0))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AVALON</t>
        </is>
      </c>
      <c r="D27" s="31" t="inlineStr">
        <is>
          <t>Avalon Technologies Ltd</t>
        </is>
      </c>
      <c r="E27" s="31" t="inlineStr">
        <is>
          <t>consumer discretionary</t>
        </is>
      </c>
      <c r="F27" s="31" t="inlineStr">
        <is>
          <t>Consumer Electronics - EMS</t>
        </is>
      </c>
      <c r="G27" s="31" t="inlineStr">
        <is>
          <t>midcap</t>
        </is>
      </c>
      <c r="H27" s="32" t="n">
        <v>11938.59</v>
      </c>
      <c r="I27" s="32" t="n">
        <v>1786.9</v>
      </c>
      <c r="J27" s="32" t="n">
        <v>-0.47</v>
      </c>
      <c r="K27" s="32" t="n">
        <v>0</v>
      </c>
      <c r="L27" s="31" t="n">
        <v>92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78.92</v>
      </c>
      <c r="P27" s="32" t="n">
        <v>47.43</v>
      </c>
      <c r="Q27" s="32" t="n">
        <v>1361.72</v>
      </c>
      <c r="R27" s="31" t="inlineStr">
        <is>
          <t>Near 52W High Breakout</t>
        </is>
      </c>
      <c r="S27" s="31" t="inlineStr">
        <is>
          <t>Nifty 50</t>
        </is>
      </c>
      <c r="T27" s="32" t="n">
        <v>-5.05</v>
      </c>
      <c r="U27" s="32" t="n">
        <v>116.22</v>
      </c>
      <c r="V27" s="32" t="n">
        <v>127.72</v>
      </c>
      <c r="W27" s="32" t="n">
        <v>40.05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IF(B28=0,"",RANK(B28,$B$2:$B$91,0))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ASTRAMICRO</t>
        </is>
      </c>
      <c r="D28" s="31" t="inlineStr">
        <is>
          <t>Astra Microwave Products Ltd</t>
        </is>
      </c>
      <c r="E28" s="31" t="inlineStr">
        <is>
          <t>aerospace &amp; defence</t>
        </is>
      </c>
      <c r="F28" s="31" t="inlineStr">
        <is>
          <t>Aerospace &amp; Defence - Equipments</t>
        </is>
      </c>
      <c r="G28" s="31" t="inlineStr">
        <is>
          <t>midcap</t>
        </is>
      </c>
      <c r="H28" s="32" t="n">
        <v>17033.13</v>
      </c>
      <c r="I28" s="32" t="n">
        <v>1794</v>
      </c>
      <c r="J28" s="32" t="n">
        <v>2.37</v>
      </c>
      <c r="K28" s="32" t="n">
        <v>0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84.77</v>
      </c>
      <c r="P28" s="32" t="n">
        <v>43.05</v>
      </c>
      <c r="Q28" s="32" t="n">
        <v>1440.26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-5.05</v>
      </c>
      <c r="U28" s="32" t="n">
        <v>67.20999999999999</v>
      </c>
      <c r="V28" s="32" t="n">
        <v>76.09999999999999</v>
      </c>
      <c r="W28" s="32" t="n">
        <v>33.21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IF(B29=0,"",RANK(B29,$B$2:$B$91,0))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INDOTECH</t>
        </is>
      </c>
      <c r="D29" s="34" t="inlineStr">
        <is>
          <t>Indo Tech Transformers Ltd</t>
        </is>
      </c>
      <c r="E29" s="31" t="inlineStr">
        <is>
          <t>industrials</t>
        </is>
      </c>
      <c r="F29" s="31" t="inlineStr">
        <is>
          <t>Capital Goods - Transformers</t>
        </is>
      </c>
      <c r="G29" s="31" t="inlineStr">
        <is>
          <t>smallcap</t>
        </is>
      </c>
      <c r="H29" s="32" t="n">
        <v>3410.08</v>
      </c>
      <c r="I29" s="32" t="n">
        <v>3211</v>
      </c>
      <c r="J29" s="32" t="n">
        <v>-0.89</v>
      </c>
      <c r="K29" s="32" t="n">
        <v>0</v>
      </c>
      <c r="L29" s="31" t="n">
        <v>96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73.11</v>
      </c>
      <c r="P29" s="32" t="n">
        <v>42.46</v>
      </c>
      <c r="Q29" s="32" t="n">
        <v>2316.97</v>
      </c>
      <c r="R29" s="31" t="inlineStr">
        <is>
          <t>Near 52W High Breakout</t>
        </is>
      </c>
      <c r="S29" s="31" t="inlineStr">
        <is>
          <t>Nifty Infra</t>
        </is>
      </c>
      <c r="T29" s="32" t="n">
        <v>0.23</v>
      </c>
      <c r="U29" s="32" t="n">
        <v>66.53</v>
      </c>
      <c r="V29" s="32" t="n">
        <v>66.14</v>
      </c>
      <c r="W29" s="32" t="n">
        <v>54.75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18</t>
        </is>
      </c>
      <c r="CG29" s="31">
        <f>IF(CF29&gt;20,10,IF(CF29&gt;=10,5,2))</f>
        <v/>
      </c>
    </row>
    <row r="30">
      <c r="A30" s="31">
        <f>IF(B30=0,"",RANK(B30,$B$2:$B$91,0))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CEMPRO</t>
        </is>
      </c>
      <c r="D30" s="31" t="inlineStr">
        <is>
          <t>Cemindia Projects Ltd</t>
        </is>
      </c>
      <c r="E30" s="31" t="inlineStr">
        <is>
          <t>realty</t>
        </is>
      </c>
      <c r="F30" s="31" t="inlineStr">
        <is>
          <t>Infra - Construction &amp; Contracting</t>
        </is>
      </c>
      <c r="G30" s="31" t="inlineStr">
        <is>
          <t>largecap</t>
        </is>
      </c>
      <c r="H30" s="32" t="n">
        <v>24589.67</v>
      </c>
      <c r="I30" s="32" t="n">
        <v>1431.4</v>
      </c>
      <c r="J30" s="32" t="n">
        <v>5</v>
      </c>
      <c r="K30" s="32" t="n">
        <v>0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81.09999999999999</v>
      </c>
      <c r="P30" s="32" t="n">
        <v>43.58</v>
      </c>
      <c r="Q30" s="32" t="n">
        <v>1110.56</v>
      </c>
      <c r="R30" s="31" t="inlineStr">
        <is>
          <t>Near 52W High Breakout</t>
        </is>
      </c>
      <c r="S30" s="31" t="inlineStr">
        <is>
          <t>Nifty Realty</t>
        </is>
      </c>
      <c r="T30" s="32" t="n">
        <v>-10.31</v>
      </c>
      <c r="U30" s="32" t="n">
        <v>59.45</v>
      </c>
      <c r="V30" s="32" t="n">
        <v>77.79000000000001</v>
      </c>
      <c r="W30" s="32" t="n">
        <v>57.47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IF(B31=0,"",RANK(B31,$B$2:$B$91,0))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BHAGYANGR</t>
        </is>
      </c>
      <c r="D31" s="31" t="inlineStr">
        <is>
          <t>Bhagyanagar India Ltd</t>
        </is>
      </c>
      <c r="E31" s="31" t="inlineStr">
        <is>
          <t>power &amp; utilities</t>
        </is>
      </c>
      <c r="F31" s="31" t="inlineStr">
        <is>
          <t>Recycling</t>
        </is>
      </c>
      <c r="G31" s="31" t="inlineStr">
        <is>
          <t>smallcap</t>
        </is>
      </c>
      <c r="H31" s="32" t="n">
        <v>1247.17</v>
      </c>
      <c r="I31" s="32" t="n">
        <v>389.8</v>
      </c>
      <c r="J31" s="32" t="n">
        <v>-5</v>
      </c>
      <c r="K31" s="32" t="n">
        <v>0</v>
      </c>
      <c r="L31" s="31" t="n">
        <v>98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81.75</v>
      </c>
      <c r="P31" s="32" t="n">
        <v>66.38</v>
      </c>
      <c r="Q31" s="32" t="n">
        <v>277.18</v>
      </c>
      <c r="R31" s="31" t="inlineStr">
        <is>
          <t>Near 52W High Breakout</t>
        </is>
      </c>
      <c r="S31" s="31" t="inlineStr">
        <is>
          <t>Nifty IT</t>
        </is>
      </c>
      <c r="T31" s="32" t="n">
        <v>-31.15</v>
      </c>
      <c r="U31" s="32" t="n">
        <v>391.92</v>
      </c>
      <c r="V31" s="32" t="n">
        <v>614.52</v>
      </c>
      <c r="W31" s="32" t="n">
        <v>79.27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18</t>
        </is>
      </c>
      <c r="CG31" s="31">
        <f>IF(CF31&gt;20,10,IF(CF31&gt;=10,5,2))</f>
        <v/>
      </c>
    </row>
    <row r="32">
      <c r="A32" s="31">
        <f>IF(B32=0,"",RANK(B32,$B$2:$B$91,0))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BHARATSE</t>
        </is>
      </c>
      <c r="D32" s="34" t="inlineStr">
        <is>
          <t>Bharat Seats Ltd</t>
        </is>
      </c>
      <c r="E32" s="31" t="inlineStr">
        <is>
          <t>auto</t>
        </is>
      </c>
      <c r="F32" s="31" t="inlineStr">
        <is>
          <t>Auto Ancillaries - Seats</t>
        </is>
      </c>
      <c r="G32" s="31" t="inlineStr">
        <is>
          <t>smallcap</t>
        </is>
      </c>
      <c r="H32" s="32" t="n">
        <v>1515.36</v>
      </c>
      <c r="I32" s="32" t="n">
        <v>241.3</v>
      </c>
      <c r="J32" s="32" t="n">
        <v>7.51</v>
      </c>
      <c r="K32" s="32" t="n">
        <v>0</v>
      </c>
      <c r="L32" s="31" t="n">
        <v>89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67.84</v>
      </c>
      <c r="P32" s="32" t="n">
        <v>22.19</v>
      </c>
      <c r="Q32" s="32" t="n">
        <v>170.61</v>
      </c>
      <c r="R32" s="31" t="inlineStr">
        <is>
          <t>Volume Spike &amp; Near 52W High Breakout</t>
        </is>
      </c>
      <c r="S32" s="31" t="inlineStr">
        <is>
          <t>Nifty Auto</t>
        </is>
      </c>
      <c r="T32" s="32" t="n">
        <v>13.04</v>
      </c>
      <c r="U32" s="32" t="n">
        <v>123.22</v>
      </c>
      <c r="V32" s="32" t="n">
        <v>97.45999999999999</v>
      </c>
      <c r="W32" s="32" t="n">
        <v>33.64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Between 12 to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IF(B33=0,"",RANK(B33,$B$2:$B$91,0))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CEIGALL</t>
        </is>
      </c>
      <c r="D33" s="31" t="inlineStr">
        <is>
          <t>Ceigall India Ltd</t>
        </is>
      </c>
      <c r="E33" s="31" t="inlineStr">
        <is>
          <t>realty</t>
        </is>
      </c>
      <c r="F33" s="31" t="inlineStr">
        <is>
          <t>Construction - Civil/Turnkey</t>
        </is>
      </c>
      <c r="G33" s="31" t="inlineStr">
        <is>
          <t>midcap</t>
        </is>
      </c>
      <c r="H33" s="32" t="n">
        <v>6710.37</v>
      </c>
      <c r="I33" s="32" t="n">
        <v>385.2</v>
      </c>
      <c r="J33" s="32" t="n">
        <v>-1.76</v>
      </c>
      <c r="K33" s="32" t="n">
        <v>0</v>
      </c>
      <c r="L33" s="31" t="n">
        <v>62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73.91</v>
      </c>
      <c r="P33" s="32" t="n">
        <v>50.96</v>
      </c>
      <c r="Q33" s="32" t="n">
        <v>305.14</v>
      </c>
      <c r="R33" s="31" t="inlineStr">
        <is>
          <t>Near 52W High Breakout</t>
        </is>
      </c>
      <c r="S33" s="31" t="inlineStr">
        <is>
          <t>Nifty Realty</t>
        </is>
      </c>
      <c r="T33" s="32" t="n">
        <v>-10.31</v>
      </c>
      <c r="U33" s="32" t="n">
        <v>42.94</v>
      </c>
      <c r="V33" s="32" t="n">
        <v>59.38</v>
      </c>
      <c r="W33" s="32" t="n">
        <v>16.35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Negative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17</t>
        </is>
      </c>
      <c r="CG33" s="31">
        <f>IF(CF33&gt;20,10,IF(CF33&gt;=10,5,2))</f>
        <v/>
      </c>
    </row>
    <row r="34">
      <c r="A34" s="31">
        <f>IF(B34=0,"",RANK(B34,$B$2:$B$91,0))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RRKABEL</t>
        </is>
      </c>
      <c r="D34" s="31" t="inlineStr">
        <is>
          <t>R R Kabel Ltd</t>
        </is>
      </c>
      <c r="E34" s="31" t="inlineStr">
        <is>
          <t>industrials</t>
        </is>
      </c>
      <c r="F34" s="31" t="inlineStr">
        <is>
          <t>Cables - Power</t>
        </is>
      </c>
      <c r="G34" s="31" t="inlineStr">
        <is>
          <t>largecap</t>
        </is>
      </c>
      <c r="H34" s="32" t="n">
        <v>27115.91</v>
      </c>
      <c r="I34" s="32" t="n">
        <v>2397.4</v>
      </c>
      <c r="J34" s="32" t="n">
        <v>0.66</v>
      </c>
      <c r="K34" s="32" t="n">
        <v>0</v>
      </c>
      <c r="L34" s="31" t="n">
        <v>88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74.97</v>
      </c>
      <c r="P34" s="32" t="n">
        <v>51.29</v>
      </c>
      <c r="Q34" s="32" t="n">
        <v>1990.36</v>
      </c>
      <c r="R34" s="31" t="inlineStr">
        <is>
          <t>Near 52W High Breakout</t>
        </is>
      </c>
      <c r="S34" s="31" t="inlineStr">
        <is>
          <t>Nifty Energy</t>
        </is>
      </c>
      <c r="T34" s="32" t="n">
        <v>8.76</v>
      </c>
      <c r="U34" s="32" t="n">
        <v>75.86</v>
      </c>
      <c r="V34" s="32" t="n">
        <v>61.7</v>
      </c>
      <c r="W34" s="32" t="n">
        <v>32.12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Between 1.5 to 2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16</t>
        </is>
      </c>
      <c r="CG34" s="31">
        <f>IF(CF34&gt;20,10,IF(CF34&gt;=10,5,2))</f>
        <v/>
      </c>
    </row>
    <row r="35">
      <c r="A35" s="31">
        <f>IF(B35=0,"",RANK(B35,$B$2:$B$91,0))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KMCSHIL</t>
        </is>
      </c>
      <c r="D35" s="31" t="inlineStr">
        <is>
          <t>KMC Speciality Hospitals (India) Ltd</t>
        </is>
      </c>
      <c r="E35" s="31" t="inlineStr">
        <is>
          <t>Healthcare</t>
        </is>
      </c>
      <c r="F35" s="31" t="inlineStr">
        <is>
          <t>Hospitals</t>
        </is>
      </c>
      <c r="G35" s="31" t="inlineStr">
        <is>
          <t>smallcap</t>
        </is>
      </c>
      <c r="H35" s="32" t="n">
        <v>2175.55</v>
      </c>
      <c r="I35" s="32" t="n">
        <v>133.4</v>
      </c>
      <c r="J35" s="32" t="n">
        <v>-5.15</v>
      </c>
      <c r="K35" s="32" t="n">
        <v>0</v>
      </c>
      <c r="L35" s="31" t="n">
        <v>85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84.34</v>
      </c>
      <c r="P35" s="32" t="n">
        <v>61.4</v>
      </c>
      <c r="Q35" s="32" t="n">
        <v>105.54</v>
      </c>
      <c r="R35" s="31" t="inlineStr">
        <is>
          <t>Volume Spike &amp; Near 52W High Breakout</t>
        </is>
      </c>
      <c r="S35" s="31" t="inlineStr">
        <is>
          <t>Nifty Pharma</t>
        </is>
      </c>
      <c r="T35" s="32" t="n">
        <v>13.06</v>
      </c>
      <c r="U35" s="32" t="n">
        <v>103.32</v>
      </c>
      <c r="V35" s="32" t="n">
        <v>79.83</v>
      </c>
      <c r="W35" s="32" t="n">
        <v>29.31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24</t>
        </is>
      </c>
      <c r="CG35" s="31">
        <f>IF(CF35&gt;20,10,IF(CF35&gt;=10,5,2))</f>
        <v/>
      </c>
    </row>
    <row r="36">
      <c r="A36" s="31">
        <f>IF(B36=0,"",RANK(B36,$B$2:$B$91,0))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SKMEGGPROD</t>
        </is>
      </c>
      <c r="D36" s="31" t="inlineStr">
        <is>
          <t>SKM Egg Products Export (India) Ltd</t>
        </is>
      </c>
      <c r="E36" s="31" t="inlineStr">
        <is>
          <t>fmcg</t>
        </is>
      </c>
      <c r="F36" s="31" t="inlineStr">
        <is>
          <t>FMCG - Animal/Polutry</t>
        </is>
      </c>
      <c r="G36" s="31" t="inlineStr">
        <is>
          <t>smallcap</t>
        </is>
      </c>
      <c r="H36" s="32" t="n">
        <v>1648.26</v>
      </c>
      <c r="I36" s="32" t="n">
        <v>313</v>
      </c>
      <c r="J36" s="32" t="n">
        <v>-1.36</v>
      </c>
      <c r="K36" s="32" t="n">
        <v>0</v>
      </c>
      <c r="L36" s="31" t="n">
        <v>93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79.31999999999999</v>
      </c>
      <c r="P36" s="32" t="n">
        <v>30.71</v>
      </c>
      <c r="Q36" s="32" t="n">
        <v>228.38</v>
      </c>
      <c r="R36" s="31" t="inlineStr">
        <is>
          <t>Near 52W High Breakout</t>
        </is>
      </c>
      <c r="S36" s="31" t="inlineStr">
        <is>
          <t>Nifty FMCG</t>
        </is>
      </c>
      <c r="T36" s="32" t="n">
        <v>-8.5</v>
      </c>
      <c r="U36" s="32" t="n">
        <v>135.16</v>
      </c>
      <c r="V36" s="32" t="n">
        <v>156.99</v>
      </c>
      <c r="W36" s="32" t="n">
        <v>44.12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23</t>
        </is>
      </c>
      <c r="CG36" s="31">
        <f>IF(CF36&gt;20,10,IF(CF36&gt;=10,5,2))</f>
        <v/>
      </c>
    </row>
    <row r="37">
      <c r="A37" s="31">
        <f>IF(B37=0,"",RANK(B37,$B$2:$B$91,0))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ACUTAAS</t>
        </is>
      </c>
      <c r="D37" s="31" t="inlineStr">
        <is>
          <t>Acutaas Chemicals Ltd</t>
        </is>
      </c>
      <c r="E37" s="31" t="inlineStr">
        <is>
          <t>healthcare</t>
        </is>
      </c>
      <c r="F37" s="31" t="inlineStr">
        <is>
          <t>Pharma - API &amp; CRAMS</t>
        </is>
      </c>
      <c r="G37" s="31" t="inlineStr">
        <is>
          <t>largecap</t>
        </is>
      </c>
      <c r="H37" s="32" t="n">
        <v>30120.39</v>
      </c>
      <c r="I37" s="32" t="n">
        <v>3679</v>
      </c>
      <c r="J37" s="32" t="n">
        <v>3.13</v>
      </c>
      <c r="K37" s="32" t="n">
        <v>0</v>
      </c>
      <c r="L37" s="31" t="n">
        <v>93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79.06</v>
      </c>
      <c r="P37" s="32" t="n">
        <v>64.95</v>
      </c>
      <c r="Q37" s="32" t="n">
        <v>2900.68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13.06</v>
      </c>
      <c r="U37" s="32" t="n">
        <v>229.34</v>
      </c>
      <c r="V37" s="32" t="n">
        <v>191.29</v>
      </c>
      <c r="W37" s="32" t="n">
        <v>44.08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IF(B38=0,"",RANK(B38,$B$2:$B$91,0))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VADILALIND</t>
        </is>
      </c>
      <c r="D38" s="31" t="inlineStr">
        <is>
          <t>Vadilal Industries Ltd</t>
        </is>
      </c>
      <c r="E38" s="31" t="inlineStr">
        <is>
          <t>fmcg</t>
        </is>
      </c>
      <c r="F38" s="31" t="inlineStr">
        <is>
          <t>FMCG - Dairy Products</t>
        </is>
      </c>
      <c r="G38" s="31" t="inlineStr">
        <is>
          <t>smallcap</t>
        </is>
      </c>
      <c r="H38" s="32" t="n">
        <v>4424.11</v>
      </c>
      <c r="I38" s="32" t="n">
        <v>6155</v>
      </c>
      <c r="J38" s="32" t="n">
        <v>1.14</v>
      </c>
      <c r="K38" s="32" t="n">
        <v>0</v>
      </c>
      <c r="L38" s="31" t="n">
        <v>52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66.26000000000001</v>
      </c>
      <c r="P38" s="32" t="n">
        <v>20.67</v>
      </c>
      <c r="Q38" s="32" t="n">
        <v>4998.58</v>
      </c>
      <c r="R38" s="31" t="inlineStr">
        <is>
          <t>Near 52W High Breakout</t>
        </is>
      </c>
      <c r="S38" s="31" t="inlineStr">
        <is>
          <t>Nifty FMCG</t>
        </is>
      </c>
      <c r="T38" s="32" t="n">
        <v>-8.5</v>
      </c>
      <c r="U38" s="32" t="n">
        <v>16.38</v>
      </c>
      <c r="V38" s="32" t="n">
        <v>27.18</v>
      </c>
      <c r="W38" s="32" t="n">
        <v>13.75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IF(B39=0,"",RANK(B39,$B$2:$B$91,0))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3" t="inlineStr">
        <is>
          <t>MARKSANS</t>
        </is>
      </c>
      <c r="D39" s="33" t="inlineStr">
        <is>
          <t>Marksans Pharma Ltd</t>
        </is>
      </c>
      <c r="E39" s="31" t="inlineStr">
        <is>
          <t>healthcare</t>
        </is>
      </c>
      <c r="F39" s="31" t="inlineStr">
        <is>
          <t>Pharma - Formulators</t>
        </is>
      </c>
      <c r="G39" s="31" t="inlineStr">
        <is>
          <t>midcap</t>
        </is>
      </c>
      <c r="H39" s="32" t="n">
        <v>12110.8</v>
      </c>
      <c r="I39" s="32" t="n">
        <v>267.25</v>
      </c>
      <c r="J39" s="32" t="n">
        <v>-0.6</v>
      </c>
      <c r="K39" s="32" t="n">
        <v>0</v>
      </c>
      <c r="L39" s="31" t="n">
        <v>63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73.81</v>
      </c>
      <c r="P39" s="32" t="n">
        <v>39.03</v>
      </c>
      <c r="Q39" s="32" t="n">
        <v>206.94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13.06</v>
      </c>
      <c r="U39" s="32" t="n">
        <v>1.94</v>
      </c>
      <c r="V39" s="32" t="n">
        <v>-9.84</v>
      </c>
      <c r="W39" s="32" t="n">
        <v>16.61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IF(B40=0,"",RANK(B40,$B$2:$B$91,0))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DIFFNKG</t>
        </is>
      </c>
      <c r="D40" s="31" t="inlineStr">
        <is>
          <t>Diffusion Engineers Ltd</t>
        </is>
      </c>
      <c r="E40" s="31" t="inlineStr">
        <is>
          <t>industrials</t>
        </is>
      </c>
      <c r="F40" s="31" t="inlineStr">
        <is>
          <t>Welding Equipments</t>
        </is>
      </c>
      <c r="G40" s="31" t="inlineStr">
        <is>
          <t>smallcap</t>
        </is>
      </c>
      <c r="H40" s="32" t="n">
        <v>1596.23</v>
      </c>
      <c r="I40" s="32" t="n">
        <v>426.5</v>
      </c>
      <c r="J40" s="32" t="n">
        <v>2.4</v>
      </c>
      <c r="K40" s="32" t="n">
        <v>0</v>
      </c>
      <c r="L40" s="31" t="n">
        <v>70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74.54000000000001</v>
      </c>
      <c r="P40" s="32" t="n">
        <v>20.16</v>
      </c>
      <c r="Q40" s="32" t="n">
        <v>323.14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-5.05</v>
      </c>
      <c r="U40" s="32" t="n">
        <v>41.01</v>
      </c>
      <c r="V40" s="32" t="n">
        <v>48.5</v>
      </c>
      <c r="W40" s="32" t="n">
        <v>19.9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IF(B41=0,"",RANK(B41,$B$2:$B$91,0))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PSPPROJECT</t>
        </is>
      </c>
      <c r="D41" s="34" t="inlineStr">
        <is>
          <t>PSP Projects Ltd</t>
        </is>
      </c>
      <c r="E41" s="31" t="inlineStr">
        <is>
          <t>realty</t>
        </is>
      </c>
      <c r="F41" s="31" t="inlineStr">
        <is>
          <t>Construction &amp; Contracting</t>
        </is>
      </c>
      <c r="G41" s="31" t="inlineStr">
        <is>
          <t>smallcap</t>
        </is>
      </c>
      <c r="H41" s="32" t="n">
        <v>4084.29</v>
      </c>
      <c r="I41" s="32" t="n">
        <v>1030.3</v>
      </c>
      <c r="J41" s="32" t="n">
        <v>-0.36</v>
      </c>
      <c r="K41" s="32" t="n">
        <v>0</v>
      </c>
      <c r="L41" s="31" t="n">
        <v>77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70.8</v>
      </c>
      <c r="P41" s="32" t="n">
        <v>25.04</v>
      </c>
      <c r="Q41" s="32" t="n">
        <v>789.8200000000001</v>
      </c>
      <c r="R41" s="31" t="inlineStr">
        <is>
          <t>Near 52W High Breakout</t>
        </is>
      </c>
      <c r="S41" s="31" t="inlineStr">
        <is>
          <t>Nifty Realty</t>
        </is>
      </c>
      <c r="T41" s="32" t="n">
        <v>-10.31</v>
      </c>
      <c r="U41" s="32" t="n">
        <v>32.95</v>
      </c>
      <c r="V41" s="32" t="n">
        <v>48.24</v>
      </c>
      <c r="W41" s="32" t="n">
        <v>22.88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17</t>
        </is>
      </c>
      <c r="CG41" s="31">
        <f>IF(CF41&gt;20,10,IF(CF41&gt;=10,5,2))</f>
        <v/>
      </c>
    </row>
    <row r="42">
      <c r="A42" s="31">
        <f>IF(B42=0,"",RANK(B42,$B$2:$B$91,0))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JAYBARMARU</t>
        </is>
      </c>
      <c r="D42" s="31" t="inlineStr">
        <is>
          <t>Jay Bharat Maruti Ltd</t>
        </is>
      </c>
      <c r="E42" s="31" t="inlineStr">
        <is>
          <t>auto</t>
        </is>
      </c>
      <c r="F42" s="31" t="inlineStr">
        <is>
          <t>Auto Ancillaries - Diversified</t>
        </is>
      </c>
      <c r="G42" s="31" t="inlineStr">
        <is>
          <t>smallcap</t>
        </is>
      </c>
      <c r="H42" s="32" t="n">
        <v>1845.66</v>
      </c>
      <c r="I42" s="32" t="n">
        <v>170.5</v>
      </c>
      <c r="J42" s="32" t="n">
        <v>-0.57</v>
      </c>
      <c r="K42" s="32" t="n">
        <v>0</v>
      </c>
      <c r="L42" s="31" t="n">
        <v>94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74.97</v>
      </c>
      <c r="P42" s="32" t="n">
        <v>29.36</v>
      </c>
      <c r="Q42" s="32" t="n">
        <v>126.55</v>
      </c>
      <c r="R42" s="31" t="inlineStr">
        <is>
          <t>Near 52W High Breakout</t>
        </is>
      </c>
      <c r="S42" s="31" t="inlineStr">
        <is>
          <t>Nifty Auto</t>
        </is>
      </c>
      <c r="T42" s="32" t="n">
        <v>13.04</v>
      </c>
      <c r="U42" s="32" t="n">
        <v>120.95</v>
      </c>
      <c r="V42" s="32" t="n">
        <v>95.45999999999999</v>
      </c>
      <c r="W42" s="32" t="n">
        <v>44.2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IF(B43=0,"",RANK(B43,$B$2:$B$91,0))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MINDACORP</t>
        </is>
      </c>
      <c r="D43" s="31" t="inlineStr">
        <is>
          <t>Minda Corporation Ltd</t>
        </is>
      </c>
      <c r="E43" s="31" t="inlineStr">
        <is>
          <t>auto</t>
        </is>
      </c>
      <c r="F43" s="31" t="inlineStr">
        <is>
          <t>Auto Ancillaries - Diversified</t>
        </is>
      </c>
      <c r="G43" s="31" t="inlineStr">
        <is>
          <t>midcap</t>
        </is>
      </c>
      <c r="H43" s="32" t="n">
        <v>16858.69</v>
      </c>
      <c r="I43" s="32" t="n">
        <v>705.15</v>
      </c>
      <c r="J43" s="32" t="n">
        <v>-0.61</v>
      </c>
      <c r="K43" s="32" t="n">
        <v>0</v>
      </c>
      <c r="L43" s="31" t="n">
        <v>62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72.28</v>
      </c>
      <c r="P43" s="32" t="n">
        <v>21.79</v>
      </c>
      <c r="Q43" s="32" t="n">
        <v>577.62</v>
      </c>
      <c r="R43" s="31" t="inlineStr">
        <is>
          <t>Near 52W High Breakout</t>
        </is>
      </c>
      <c r="S43" s="31" t="inlineStr">
        <is>
          <t>Nifty Auto</t>
        </is>
      </c>
      <c r="T43" s="32" t="n">
        <v>13.04</v>
      </c>
      <c r="U43" s="32" t="n">
        <v>36.57</v>
      </c>
      <c r="V43" s="32" t="n">
        <v>20.82</v>
      </c>
      <c r="W43" s="32" t="n">
        <v>16.35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16</t>
        </is>
      </c>
      <c r="CG43" s="31">
        <f>IF(CF43&gt;20,10,IF(CF43&gt;=10,5,2))</f>
        <v/>
      </c>
    </row>
    <row r="44">
      <c r="A44" s="31">
        <f>IF(B44=0,"",RANK(B44,$B$2:$B$91,0))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SENORES</t>
        </is>
      </c>
      <c r="D44" s="31" t="inlineStr">
        <is>
          <t>Senores Pharmaceuticals Ltd</t>
        </is>
      </c>
      <c r="E44" s="31" t="inlineStr">
        <is>
          <t>healthcare</t>
        </is>
      </c>
      <c r="F44" s="31" t="inlineStr">
        <is>
          <t>Pharma - API</t>
        </is>
      </c>
      <c r="G44" s="31" t="inlineStr">
        <is>
          <t>midcap</t>
        </is>
      </c>
      <c r="H44" s="32" t="n">
        <v>6152.76</v>
      </c>
      <c r="I44" s="32" t="n">
        <v>1336</v>
      </c>
      <c r="J44" s="32" t="n">
        <v>1.74</v>
      </c>
      <c r="K44" s="32" t="n">
        <v>0</v>
      </c>
      <c r="L44" s="31" t="n">
        <v>90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75.7</v>
      </c>
      <c r="P44" s="32" t="n">
        <v>52.78</v>
      </c>
      <c r="Q44" s="32" t="n">
        <v>1044.2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13.06</v>
      </c>
      <c r="U44" s="32" t="n">
        <v>135.78</v>
      </c>
      <c r="V44" s="32" t="n">
        <v>108.54</v>
      </c>
      <c r="W44" s="32" t="n">
        <v>35.75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16</t>
        </is>
      </c>
      <c r="CG44" s="31">
        <f>IF(CF44&gt;20,10,IF(CF44&gt;=10,5,2))</f>
        <v/>
      </c>
    </row>
    <row r="45">
      <c r="A45" s="31">
        <f>IF(B45=0,"",RANK(B45,$B$2:$B$91,0))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SHILPAMED</t>
        </is>
      </c>
      <c r="D45" s="31" t="inlineStr">
        <is>
          <t>Shilpa Medicare Ltd</t>
        </is>
      </c>
      <c r="E45" s="31" t="inlineStr">
        <is>
          <t>healthcare</t>
        </is>
      </c>
      <c r="F45" s="31" t="inlineStr">
        <is>
          <t>Pharma - API &amp; CRAMS</t>
        </is>
      </c>
      <c r="G45" s="31" t="inlineStr">
        <is>
          <t>midcap</t>
        </is>
      </c>
      <c r="H45" s="32" t="n">
        <v>11715.35</v>
      </c>
      <c r="I45" s="32" t="n">
        <v>599</v>
      </c>
      <c r="J45" s="32" t="n">
        <v>4.95</v>
      </c>
      <c r="K45" s="32" t="n">
        <v>0</v>
      </c>
      <c r="L45" s="31" t="n">
        <v>71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83.8</v>
      </c>
      <c r="P45" s="32" t="n">
        <v>59.14</v>
      </c>
      <c r="Q45" s="32" t="n">
        <v>467.02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13.06</v>
      </c>
      <c r="U45" s="32" t="n">
        <v>34.14</v>
      </c>
      <c r="V45" s="32" t="n">
        <v>18.64</v>
      </c>
      <c r="W45" s="32" t="n">
        <v>19.92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16</t>
        </is>
      </c>
      <c r="CG45" s="31">
        <f>IF(CF45&gt;20,10,IF(CF45&gt;=10,5,2))</f>
        <v/>
      </c>
    </row>
    <row r="46">
      <c r="A46" s="31">
        <f>IF(B46=0,"",RANK(B46,$B$2:$B$91,0))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WABAG</t>
        </is>
      </c>
      <c r="D46" s="31" t="inlineStr">
        <is>
          <t>Va Tech Wabag Ltd</t>
        </is>
      </c>
      <c r="E46" s="31" t="inlineStr">
        <is>
          <t>realty</t>
        </is>
      </c>
      <c r="F46" s="31" t="inlineStr">
        <is>
          <t>Water Treatment</t>
        </is>
      </c>
      <c r="G46" s="31" t="inlineStr">
        <is>
          <t>midcap</t>
        </is>
      </c>
      <c r="H46" s="32" t="n">
        <v>13680.64</v>
      </c>
      <c r="I46" s="32" t="n">
        <v>2194</v>
      </c>
      <c r="J46" s="32" t="n">
        <v>5.34</v>
      </c>
      <c r="K46" s="32" t="n">
        <v>0</v>
      </c>
      <c r="L46" s="31" t="n">
        <v>83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81.41</v>
      </c>
      <c r="P46" s="32" t="n">
        <v>21.74</v>
      </c>
      <c r="Q46" s="32" t="n">
        <v>1747.82</v>
      </c>
      <c r="R46" s="31" t="inlineStr">
        <is>
          <t>Volume Spike &amp; Near 52W High Breakout</t>
        </is>
      </c>
      <c r="S46" s="31" t="inlineStr">
        <is>
          <t>Nifty Realty</t>
        </is>
      </c>
      <c r="T46" s="32" t="n">
        <v>-10.31</v>
      </c>
      <c r="U46" s="32" t="n">
        <v>50.01</v>
      </c>
      <c r="V46" s="32" t="n">
        <v>67.26000000000001</v>
      </c>
      <c r="W46" s="32" t="n">
        <v>27.5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IF(B47=0,"",RANK(B47,$B$2:$B$91,0))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DIVGIITTS</t>
        </is>
      </c>
      <c r="D47" s="34" t="inlineStr">
        <is>
          <t>Divgi Torqtransfer Systems Ltd</t>
        </is>
      </c>
      <c r="E47" s="31" t="inlineStr">
        <is>
          <t>auto</t>
        </is>
      </c>
      <c r="F47" s="31" t="inlineStr">
        <is>
          <t>Auto Ancillaries - Transmission</t>
        </is>
      </c>
      <c r="G47" s="31" t="inlineStr">
        <is>
          <t>smallcap</t>
        </is>
      </c>
      <c r="H47" s="32" t="n">
        <v>2994.07</v>
      </c>
      <c r="I47" s="32" t="n">
        <v>979</v>
      </c>
      <c r="J47" s="32" t="n">
        <v>-0.9</v>
      </c>
      <c r="K47" s="32" t="n">
        <v>0</v>
      </c>
      <c r="L47" s="31" t="n">
        <v>76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71.08</v>
      </c>
      <c r="P47" s="32" t="n">
        <v>32.94</v>
      </c>
      <c r="Q47" s="32" t="n">
        <v>723.62</v>
      </c>
      <c r="R47" s="31" t="inlineStr">
        <is>
          <t>Volume Spike &amp; Near 52W High Breakout</t>
        </is>
      </c>
      <c r="S47" s="31" t="inlineStr">
        <is>
          <t>Nifty Auto</t>
        </is>
      </c>
      <c r="T47" s="32" t="n">
        <v>13.04</v>
      </c>
      <c r="U47" s="32" t="n">
        <v>56.88</v>
      </c>
      <c r="V47" s="32" t="n">
        <v>38.78</v>
      </c>
      <c r="W47" s="32" t="n">
        <v>22.33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19</t>
        </is>
      </c>
      <c r="CG47" s="31">
        <f>IF(CF47&gt;20,10,IF(CF47&gt;=10,5,2))</f>
        <v/>
      </c>
    </row>
    <row r="48">
      <c r="A48" s="31">
        <f>IF(B48=0,"",RANK(B48,$B$2:$B$91,0))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KERNEX</t>
        </is>
      </c>
      <c r="D48" s="31" t="inlineStr">
        <is>
          <t>Kernex Microsystems (India) Ltd</t>
        </is>
      </c>
      <c r="E48" s="31" t="inlineStr">
        <is>
          <t>consumer discretionary</t>
        </is>
      </c>
      <c r="F48" s="31" t="inlineStr">
        <is>
          <t>Railways - Kavach/Springs</t>
        </is>
      </c>
      <c r="G48" s="31" t="inlineStr">
        <is>
          <t>smallcap</t>
        </is>
      </c>
      <c r="H48" s="32" t="n">
        <v>4019.26</v>
      </c>
      <c r="I48" s="32" t="n">
        <v>2391.9</v>
      </c>
      <c r="J48" s="32" t="n">
        <v>4.29</v>
      </c>
      <c r="K48" s="32" t="n">
        <v>0</v>
      </c>
      <c r="L48" s="31" t="n">
        <v>97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79.75</v>
      </c>
      <c r="P48" s="32" t="n">
        <v>40.28</v>
      </c>
      <c r="Q48" s="32" t="n">
        <v>1810.63</v>
      </c>
      <c r="R48" s="31" t="inlineStr">
        <is>
          <t>Near 52W High Breakout</t>
        </is>
      </c>
      <c r="S48" s="31" t="inlineStr">
        <is>
          <t>Nifty 50</t>
        </is>
      </c>
      <c r="T48" s="32" t="n">
        <v>-5.05</v>
      </c>
      <c r="U48" s="32" t="n">
        <v>104.06</v>
      </c>
      <c r="V48" s="32" t="n">
        <v>114.91</v>
      </c>
      <c r="W48" s="32" t="n">
        <v>56.48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Negative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IF(B49=0,"",RANK(B49,$B$2:$B$91,0))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ARVIND</t>
        </is>
      </c>
      <c r="D49" s="34" t="inlineStr">
        <is>
          <t>Arvind Ltd</t>
        </is>
      </c>
      <c r="E49" s="31" t="inlineStr">
        <is>
          <t>textiles</t>
        </is>
      </c>
      <c r="F49" s="31" t="inlineStr">
        <is>
          <t>Textiles</t>
        </is>
      </c>
      <c r="G49" s="31" t="inlineStr">
        <is>
          <t>midcap</t>
        </is>
      </c>
      <c r="H49" s="32" t="n">
        <v>14834.54</v>
      </c>
      <c r="I49" s="32" t="n">
        <v>565.9</v>
      </c>
      <c r="J49" s="32" t="n">
        <v>0.99</v>
      </c>
      <c r="K49" s="32" t="n">
        <v>0</v>
      </c>
      <c r="L49" s="31" t="n">
        <v>79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83.41</v>
      </c>
      <c r="P49" s="32" t="n">
        <v>50.06</v>
      </c>
      <c r="Q49" s="32" t="n">
        <v>456.01</v>
      </c>
      <c r="R49" s="31" t="inlineStr">
        <is>
          <t>Near 52W High Breakout</t>
        </is>
      </c>
      <c r="S49" s="31" t="inlineStr">
        <is>
          <t>Nifty 50</t>
        </is>
      </c>
      <c r="T49" s="32" t="n">
        <v>-5.05</v>
      </c>
      <c r="U49" s="32" t="n">
        <v>64.12</v>
      </c>
      <c r="V49" s="32" t="n">
        <v>72.84</v>
      </c>
      <c r="W49" s="32" t="n">
        <v>23.71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17</t>
        </is>
      </c>
      <c r="CG49" s="31">
        <f>IF(CF49&gt;20,10,IF(CF49&gt;=10,5,2))</f>
        <v/>
      </c>
    </row>
    <row r="50">
      <c r="A50" s="31">
        <f>IF(B50=0,"",RANK(B50,$B$2:$B$91,0))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HAPPYFORGE</t>
        </is>
      </c>
      <c r="D50" s="31" t="inlineStr">
        <is>
          <t>Happy Forgings Ltd</t>
        </is>
      </c>
      <c r="E50" s="31" t="inlineStr">
        <is>
          <t>industrials</t>
        </is>
      </c>
      <c r="F50" s="31" t="inlineStr">
        <is>
          <t>Castings, Forgings &amp; Fastners</t>
        </is>
      </c>
      <c r="G50" s="31" t="inlineStr">
        <is>
          <t>midcap</t>
        </is>
      </c>
      <c r="H50" s="32" t="n">
        <v>14506.01</v>
      </c>
      <c r="I50" s="32" t="n">
        <v>1537</v>
      </c>
      <c r="J50" s="32" t="n">
        <v>0.32</v>
      </c>
      <c r="K50" s="32" t="n">
        <v>0</v>
      </c>
      <c r="L50" s="31" t="n">
        <v>63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69.64</v>
      </c>
      <c r="P50" s="32" t="n">
        <v>38.19</v>
      </c>
      <c r="Q50" s="32" t="n">
        <v>1226.73</v>
      </c>
      <c r="R50" s="31" t="inlineStr">
        <is>
          <t>Near 52W High Breakout</t>
        </is>
      </c>
      <c r="S50" s="31" t="inlineStr">
        <is>
          <t>Nifty Infra</t>
        </is>
      </c>
      <c r="T50" s="32" t="n">
        <v>0.23</v>
      </c>
      <c r="U50" s="32" t="n">
        <v>58.85</v>
      </c>
      <c r="V50" s="32" t="n">
        <v>58.48</v>
      </c>
      <c r="W50" s="32" t="n">
        <v>16.63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17</t>
        </is>
      </c>
      <c r="CG50" s="31">
        <f>IF(CF50&gt;20,10,IF(CF50&gt;=10,5,2))</f>
        <v/>
      </c>
    </row>
    <row r="51">
      <c r="A51" s="31">
        <f>IF(B51=0,"",RANK(B51,$B$2:$B$91,0))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NYKAA</t>
        </is>
      </c>
      <c r="D51" s="31" t="inlineStr">
        <is>
          <t>FSN E-Commerce Ventures Ltd</t>
        </is>
      </c>
      <c r="E51" s="31" t="inlineStr">
        <is>
          <t>i.t</t>
        </is>
      </c>
      <c r="F51" s="31" t="inlineStr">
        <is>
          <t>New age - Platform - E-Retail</t>
        </is>
      </c>
      <c r="G51" s="31" t="inlineStr">
        <is>
          <t>largecap</t>
        </is>
      </c>
      <c r="H51" s="32" t="n">
        <v>89924.08</v>
      </c>
      <c r="I51" s="32" t="n">
        <v>314</v>
      </c>
      <c r="J51" s="32" t="n">
        <v>1.73</v>
      </c>
      <c r="K51" s="32" t="n">
        <v>0</v>
      </c>
      <c r="L51" s="31" t="n">
        <v>60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70.29000000000001</v>
      </c>
      <c r="P51" s="32" t="n">
        <v>25.98</v>
      </c>
      <c r="Q51" s="32" t="n">
        <v>263.3</v>
      </c>
      <c r="R51" s="31" t="inlineStr">
        <is>
          <t>Near 52W High Breakout</t>
        </is>
      </c>
      <c r="S51" s="31" t="inlineStr">
        <is>
          <t>Nifty IT</t>
        </is>
      </c>
      <c r="T51" s="32" t="n">
        <v>-31.15</v>
      </c>
      <c r="U51" s="32" t="n">
        <v>58.4</v>
      </c>
      <c r="V51" s="32" t="n">
        <v>130.08</v>
      </c>
      <c r="W51" s="32" t="n">
        <v>15.92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17</t>
        </is>
      </c>
      <c r="CG51" s="31">
        <f>IF(CF51&gt;20,10,IF(CF51&gt;=10,5,2))</f>
        <v/>
      </c>
    </row>
    <row r="52">
      <c r="A52" s="31">
        <f>IF(B52=0,"",RANK(B52,$B$2:$B$91,0))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AFCOM</t>
        </is>
      </c>
      <c r="D52" s="31" t="inlineStr">
        <is>
          <t>Afcom Holdings Ltd</t>
        </is>
      </c>
      <c r="E52" s="31" t="inlineStr">
        <is>
          <t>Industrials</t>
        </is>
      </c>
      <c r="F52" s="31" t="inlineStr">
        <is>
          <t>Air Transport Service</t>
        </is>
      </c>
      <c r="G52" s="31" t="inlineStr">
        <is>
          <t>smallcap</t>
        </is>
      </c>
      <c r="H52" s="32" t="n">
        <v>3673.42</v>
      </c>
      <c r="I52" s="32" t="n">
        <v>1280</v>
      </c>
      <c r="J52" s="32" t="n">
        <v>4.49</v>
      </c>
      <c r="K52" s="32" t="n">
        <v>0</v>
      </c>
      <c r="L52" s="31" t="n">
        <v>81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71.81</v>
      </c>
      <c r="P52" s="32" t="n">
        <v>23.91</v>
      </c>
      <c r="Q52" s="32" t="n">
        <v>932.23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-5.05</v>
      </c>
      <c r="U52" s="32" t="n">
        <v>48.92</v>
      </c>
      <c r="V52" s="32" t="n">
        <v>56.84</v>
      </c>
      <c r="W52" s="32" t="n">
        <v>25.94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16</t>
        </is>
      </c>
      <c r="CG52" s="31">
        <f>IF(CF52&gt;20,10,IF(CF52&gt;=10,5,2))</f>
        <v/>
      </c>
    </row>
    <row r="53">
      <c r="A53" s="31">
        <f>IF(B53=0,"",RANK(B53,$B$2:$B$91,0))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SFL</t>
        </is>
      </c>
      <c r="D53" s="31" t="inlineStr">
        <is>
          <t>Sheela Foam Ltd</t>
        </is>
      </c>
      <c r="E53" s="31" t="inlineStr">
        <is>
          <t>consumer discretionary</t>
        </is>
      </c>
      <c r="F53" s="31" t="inlineStr">
        <is>
          <t>Mattress</t>
        </is>
      </c>
      <c r="G53" s="31" t="inlineStr">
        <is>
          <t>midcap</t>
        </is>
      </c>
      <c r="H53" s="32" t="n">
        <v>8354.049999999999</v>
      </c>
      <c r="I53" s="32" t="n">
        <v>765</v>
      </c>
      <c r="J53" s="32" t="n">
        <v>3.81</v>
      </c>
      <c r="K53" s="32" t="n">
        <v>0</v>
      </c>
      <c r="L53" s="31" t="n">
        <v>57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71.17</v>
      </c>
      <c r="P53" s="32" t="n">
        <v>24.53</v>
      </c>
      <c r="Q53" s="32" t="n">
        <v>602.59</v>
      </c>
      <c r="R53" s="31" t="inlineStr">
        <is>
          <t>Near 52W High Breakout</t>
        </is>
      </c>
      <c r="S53" s="31" t="inlineStr">
        <is>
          <t>Nifty 50</t>
        </is>
      </c>
      <c r="T53" s="32" t="n">
        <v>-5.05</v>
      </c>
      <c r="U53" s="32" t="n">
        <v>9.23</v>
      </c>
      <c r="V53" s="32" t="n">
        <v>15.04</v>
      </c>
      <c r="W53" s="32" t="n">
        <v>14.92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16</t>
        </is>
      </c>
      <c r="CG53" s="31">
        <f>IF(CF53&gt;20,10,IF(CF53&gt;=10,5,2))</f>
        <v/>
      </c>
    </row>
    <row r="54">
      <c r="A54" s="31">
        <f>IF(B54=0,"",RANK(B54,$B$2:$B$91,0))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SKIPPER</t>
        </is>
      </c>
      <c r="D54" s="34" t="inlineStr">
        <is>
          <t>Skipper Ltd</t>
        </is>
      </c>
      <c r="E54" s="31" t="inlineStr">
        <is>
          <t>industrials</t>
        </is>
      </c>
      <c r="F54" s="31" t="inlineStr">
        <is>
          <t>Electrical Equipments/HVDC</t>
        </is>
      </c>
      <c r="G54" s="31" t="inlineStr">
        <is>
          <t>midcap</t>
        </is>
      </c>
      <c r="H54" s="32" t="n">
        <v>6408.06</v>
      </c>
      <c r="I54" s="32" t="n">
        <v>567.4</v>
      </c>
      <c r="J54" s="32" t="n">
        <v>1.79</v>
      </c>
      <c r="K54" s="32" t="n">
        <v>0</v>
      </c>
      <c r="L54" s="31" t="n">
        <v>68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69.14</v>
      </c>
      <c r="P54" s="32" t="n">
        <v>32.95</v>
      </c>
      <c r="Q54" s="32" t="n">
        <v>427.06</v>
      </c>
      <c r="R54" s="31" t="inlineStr">
        <is>
          <t>Near 52W High Breakout</t>
        </is>
      </c>
      <c r="S54" s="31" t="inlineStr">
        <is>
          <t>Nifty 50</t>
        </is>
      </c>
      <c r="T54" s="32" t="n">
        <v>-5.05</v>
      </c>
      <c r="U54" s="32" t="n">
        <v>14.35</v>
      </c>
      <c r="V54" s="32" t="n">
        <v>20.43</v>
      </c>
      <c r="W54" s="32" t="n">
        <v>18.4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16</t>
        </is>
      </c>
      <c r="CG54" s="31">
        <f>IF(CF54&gt;20,10,IF(CF54&gt;=10,5,2))</f>
        <v/>
      </c>
    </row>
    <row r="55">
      <c r="A55" s="31">
        <f>IF(B55=0,"",RANK(B55,$B$2:$B$91,0))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THELEELA</t>
        </is>
      </c>
      <c r="D55" s="31" t="inlineStr">
        <is>
          <t>Leela Palaces Hotels &amp; Resorts Ltd</t>
        </is>
      </c>
      <c r="E55" s="31" t="inlineStr">
        <is>
          <t>services</t>
        </is>
      </c>
      <c r="F55" s="31" t="inlineStr">
        <is>
          <t>Hotels</t>
        </is>
      </c>
      <c r="G55" s="31" t="inlineStr">
        <is>
          <t>midcap</t>
        </is>
      </c>
      <c r="H55" s="32" t="n">
        <v>15926.45</v>
      </c>
      <c r="I55" s="32" t="n">
        <v>476.9</v>
      </c>
      <c r="J55" s="32" t="n">
        <v>-0.63</v>
      </c>
      <c r="K55" s="32" t="n">
        <v>0</v>
      </c>
      <c r="L55" s="31" t="n">
        <v>22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60.15</v>
      </c>
      <c r="P55" s="32" t="n">
        <v>13.52</v>
      </c>
      <c r="Q55" s="32" t="n">
        <v>403.26</v>
      </c>
      <c r="R55" s="31" t="inlineStr">
        <is>
          <t>Near 52W High Breakout</t>
        </is>
      </c>
      <c r="S55" s="31" t="inlineStr">
        <is>
          <t>Nifty 50</t>
        </is>
      </c>
      <c r="T55" s="32" t="n">
        <v>-5.05</v>
      </c>
      <c r="U55" s="32" t="n">
        <v>18.59</v>
      </c>
      <c r="V55" s="32" t="n">
        <v>24.89</v>
      </c>
      <c r="W55" s="32" t="n">
        <v>6.61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IF(B56=0,"",RANK(B56,$B$2:$B$91,0))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HONASA</t>
        </is>
      </c>
      <c r="D56" s="31" t="inlineStr">
        <is>
          <t>Honasa Consumer Ltd</t>
        </is>
      </c>
      <c r="E56" s="31" t="inlineStr">
        <is>
          <t>services</t>
        </is>
      </c>
      <c r="F56" s="31" t="inlineStr">
        <is>
          <t>New age - Platform - E-Retail</t>
        </is>
      </c>
      <c r="G56" s="31" t="inlineStr">
        <is>
          <t>midcap</t>
        </is>
      </c>
      <c r="H56" s="32" t="n">
        <v>15231.85</v>
      </c>
      <c r="I56" s="32" t="n">
        <v>467.2</v>
      </c>
      <c r="J56" s="32" t="n">
        <v>0.15</v>
      </c>
      <c r="K56" s="32" t="n">
        <v>0</v>
      </c>
      <c r="L56" s="31" t="n">
        <v>76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82.45999999999999</v>
      </c>
      <c r="P56" s="32" t="n">
        <v>42.06</v>
      </c>
      <c r="Q56" s="32" t="n">
        <v>380.21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-5.05</v>
      </c>
      <c r="U56" s="32" t="n">
        <v>58.61</v>
      </c>
      <c r="V56" s="32" t="n">
        <v>67.05</v>
      </c>
      <c r="W56" s="32" t="n">
        <v>22.33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15</t>
        </is>
      </c>
      <c r="CG56" s="31">
        <f>IF(CF56&gt;20,10,IF(CF56&gt;=10,5,2))</f>
        <v/>
      </c>
    </row>
    <row r="57">
      <c r="A57" s="31">
        <f>IF(B57=0,"",RANK(B57,$B$2:$B$91,0))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APOLLO</t>
        </is>
      </c>
      <c r="D57" s="31" t="inlineStr">
        <is>
          <t>Apollo Micro Systems Ltd</t>
        </is>
      </c>
      <c r="E57" s="31" t="inlineStr">
        <is>
          <t>aerospace &amp; defence</t>
        </is>
      </c>
      <c r="F57" s="31" t="inlineStr">
        <is>
          <t>Aerospace &amp; Defence - Equipments</t>
        </is>
      </c>
      <c r="G57" s="31" t="inlineStr">
        <is>
          <t>midcap</t>
        </is>
      </c>
      <c r="H57" s="32" t="n">
        <v>16342.95</v>
      </c>
      <c r="I57" s="32" t="n">
        <v>439.8</v>
      </c>
      <c r="J57" s="32" t="n">
        <v>5</v>
      </c>
      <c r="K57" s="32" t="n">
        <v>0</v>
      </c>
      <c r="L57" s="31" t="n">
        <v>96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68.67</v>
      </c>
      <c r="P57" s="32" t="n">
        <v>41.15</v>
      </c>
      <c r="Q57" s="32" t="n">
        <v>309.92</v>
      </c>
      <c r="R57" s="31" t="inlineStr">
        <is>
          <t>Near 52W High Breakout</t>
        </is>
      </c>
      <c r="S57" s="31" t="inlineStr">
        <is>
          <t>Nifty 50</t>
        </is>
      </c>
      <c r="T57" s="32" t="n">
        <v>-5.05</v>
      </c>
      <c r="U57" s="32" t="n">
        <v>129.26</v>
      </c>
      <c r="V57" s="32" t="n">
        <v>141.45</v>
      </c>
      <c r="W57" s="32" t="n">
        <v>55.31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Oligopoly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Cyclical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Fully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Yes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IF(B58=0,"",RANK(B58,$B$2:$B$91,0))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BLSE</t>
        </is>
      </c>
      <c r="D58" s="34" t="inlineStr">
        <is>
          <t>BLS E-Services Ltd</t>
        </is>
      </c>
      <c r="E58" s="31" t="inlineStr">
        <is>
          <t>i.t</t>
        </is>
      </c>
      <c r="F58" s="31" t="inlineStr">
        <is>
          <t>IT - Software</t>
        </is>
      </c>
      <c r="G58" s="31" t="inlineStr">
        <is>
          <t>smallcap</t>
        </is>
      </c>
      <c r="H58" s="32" t="n">
        <v>2271.41</v>
      </c>
      <c r="I58" s="32" t="n">
        <v>250</v>
      </c>
      <c r="J58" s="32" t="n">
        <v>-2.12</v>
      </c>
      <c r="K58" s="32" t="n">
        <v>0</v>
      </c>
      <c r="L58" s="31" t="n">
        <v>70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73.83</v>
      </c>
      <c r="P58" s="32" t="n">
        <v>23.33</v>
      </c>
      <c r="Q58" s="32" t="n">
        <v>197.5</v>
      </c>
      <c r="R58" s="31" t="inlineStr">
        <is>
          <t>Volume Spike &amp; Near 52W High Breakout</t>
        </is>
      </c>
      <c r="S58" s="31" t="inlineStr">
        <is>
          <t>Nifty IT</t>
        </is>
      </c>
      <c r="T58" s="32" t="n">
        <v>-31.15</v>
      </c>
      <c r="U58" s="32" t="n">
        <v>31.06</v>
      </c>
      <c r="V58" s="32" t="n">
        <v>90.36</v>
      </c>
      <c r="W58" s="32" t="n">
        <v>19.78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IF(B59=0,"",RANK(B59,$B$2:$B$91,0))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KMEW</t>
        </is>
      </c>
      <c r="D59" s="31" t="inlineStr">
        <is>
          <t>Knowledge Marine &amp; Engineering Works Ltd</t>
        </is>
      </c>
      <c r="E59" s="31" t="inlineStr">
        <is>
          <t>transportation</t>
        </is>
      </c>
      <c r="F59" s="31" t="inlineStr">
        <is>
          <t>Shipping</t>
        </is>
      </c>
      <c r="G59" s="31" t="inlineStr">
        <is>
          <t>midcap</t>
        </is>
      </c>
      <c r="H59" s="32" t="n">
        <v>5724.67</v>
      </c>
      <c r="I59" s="32" t="n">
        <v>2327.1</v>
      </c>
      <c r="J59" s="32" t="n">
        <v>6.57</v>
      </c>
      <c r="K59" s="32" t="n">
        <v>0</v>
      </c>
      <c r="L59" s="31" t="n">
        <v>90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67.84</v>
      </c>
      <c r="P59" s="32" t="n">
        <v>38.75</v>
      </c>
      <c r="Q59" s="32" t="n">
        <v>1581.9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-5.05</v>
      </c>
      <c r="U59" s="32" t="n">
        <v>177.36</v>
      </c>
      <c r="V59" s="32" t="n">
        <v>192.1</v>
      </c>
      <c r="W59" s="32" t="n">
        <v>35.07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23</t>
        </is>
      </c>
      <c r="CG59" s="31">
        <f>IF(CF59&gt;20,10,IF(CF59&gt;=10,5,2))</f>
        <v/>
      </c>
    </row>
    <row r="60">
      <c r="A60" s="31">
        <f>IF(B60=0,"",RANK(B60,$B$2:$B$91,0))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SKYGOLD</t>
        </is>
      </c>
      <c r="D60" s="31" t="inlineStr">
        <is>
          <t>Sky Gold &amp; Diamonds Ltd</t>
        </is>
      </c>
      <c r="E60" s="31" t="inlineStr">
        <is>
          <t>consumer discretionary</t>
        </is>
      </c>
      <c r="F60" s="31" t="inlineStr">
        <is>
          <t>Diamond, Gems &amp; Jewellery</t>
        </is>
      </c>
      <c r="G60" s="31" t="inlineStr">
        <is>
          <t>midcap</t>
        </is>
      </c>
      <c r="H60" s="32" t="n">
        <v>8827.809999999999</v>
      </c>
      <c r="I60" s="32" t="n">
        <v>570</v>
      </c>
      <c r="J60" s="32" t="n">
        <v>7.77</v>
      </c>
      <c r="K60" s="32" t="n">
        <v>0</v>
      </c>
      <c r="L60" s="31" t="n">
        <v>84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68.64</v>
      </c>
      <c r="P60" s="32" t="n">
        <v>45.92</v>
      </c>
      <c r="Q60" s="32" t="n">
        <v>413.14</v>
      </c>
      <c r="R60" s="31" t="inlineStr">
        <is>
          <t>Near 52W High Breakout</t>
        </is>
      </c>
      <c r="S60" s="31" t="inlineStr">
        <is>
          <t>Nifty 50</t>
        </is>
      </c>
      <c r="T60" s="32" t="n">
        <v>-5.05</v>
      </c>
      <c r="U60" s="32" t="n">
        <v>79.28</v>
      </c>
      <c r="V60" s="32" t="n">
        <v>88.81</v>
      </c>
      <c r="W60" s="32" t="n">
        <v>28.68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IF(B61=0,"",RANK(B61,$B$2:$B$91,0))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AEROENTER</t>
        </is>
      </c>
      <c r="D61" s="31" t="inlineStr">
        <is>
          <t>Aeroflex Enterprises Ltd</t>
        </is>
      </c>
      <c r="E61" s="31" t="inlineStr">
        <is>
          <t>metals &amp; mining</t>
        </is>
      </c>
      <c r="F61" s="31" t="inlineStr">
        <is>
          <t>Miscellaneous</t>
        </is>
      </c>
      <c r="G61" s="31" t="inlineStr">
        <is>
          <t>smallcap</t>
        </is>
      </c>
      <c r="H61" s="32" t="n">
        <v>1548.65</v>
      </c>
      <c r="I61" s="32" t="n">
        <v>136.85</v>
      </c>
      <c r="J61" s="32" t="n">
        <v>-2.17</v>
      </c>
      <c r="K61" s="32" t="n">
        <v>0</v>
      </c>
      <c r="L61" s="31" t="n">
        <v>86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74.73999999999999</v>
      </c>
      <c r="P61" s="32" t="n">
        <v>45.18</v>
      </c>
      <c r="Q61" s="32" t="n">
        <v>101.8</v>
      </c>
      <c r="R61" s="31" t="inlineStr">
        <is>
          <t>Near 52W High Breakout</t>
        </is>
      </c>
      <c r="S61" s="31" t="inlineStr">
        <is>
          <t>Nifty Metal</t>
        </is>
      </c>
      <c r="T61" s="32" t="n">
        <v>30.52</v>
      </c>
      <c r="U61" s="32" t="n">
        <v>37.7</v>
      </c>
      <c r="V61" s="32" t="n">
        <v>5.5</v>
      </c>
      <c r="W61" s="32" t="n">
        <v>30.43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IF(B62=0,"",RANK(B62,$B$2:$B$91,0))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AURUM</t>
        </is>
      </c>
      <c r="D62" s="31" t="inlineStr">
        <is>
          <t>Aurum Proptech Ltd</t>
        </is>
      </c>
      <c r="E62" s="31" t="inlineStr">
        <is>
          <t>i.t</t>
        </is>
      </c>
      <c r="F62" s="31" t="inlineStr">
        <is>
          <t>IT Enabled Services</t>
        </is>
      </c>
      <c r="G62" s="31" t="inlineStr">
        <is>
          <t>smallcap</t>
        </is>
      </c>
      <c r="H62" s="32" t="n">
        <v>1628.19</v>
      </c>
      <c r="I62" s="32" t="n">
        <v>226</v>
      </c>
      <c r="J62" s="32" t="n">
        <v>-0.75</v>
      </c>
      <c r="K62" s="32" t="n">
        <v>0</v>
      </c>
      <c r="L62" s="31" t="n">
        <v>40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72.23999999999999</v>
      </c>
      <c r="P62" s="32" t="n">
        <v>28.16</v>
      </c>
      <c r="Q62" s="32" t="n">
        <v>180.76</v>
      </c>
      <c r="R62" s="31" t="inlineStr">
        <is>
          <t>Volume Spike &amp; Near 52W High Breakout</t>
        </is>
      </c>
      <c r="S62" s="31" t="inlineStr">
        <is>
          <t>Nifty IT</t>
        </is>
      </c>
      <c r="T62" s="32" t="n">
        <v>-31.15</v>
      </c>
      <c r="U62" s="32" t="n">
        <v>17.31</v>
      </c>
      <c r="V62" s="32" t="n">
        <v>70.38</v>
      </c>
      <c r="W62" s="32" t="n">
        <v>10.8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IF(B63=0,"",RANK(B63,$B$2:$B$91,0))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SETL</t>
        </is>
      </c>
      <c r="D63" s="31" t="inlineStr">
        <is>
          <t>Standard Engineering Technology Ltd</t>
        </is>
      </c>
      <c r="E63" s="31" t="inlineStr">
        <is>
          <t>industrials</t>
        </is>
      </c>
      <c r="F63" s="31" t="inlineStr">
        <is>
          <t>Engineering - Heavy - Glass - lined Equipment</t>
        </is>
      </c>
      <c r="G63" s="31" t="inlineStr">
        <is>
          <t>midcap</t>
        </is>
      </c>
      <c r="H63" s="32" t="n">
        <v>5915.93</v>
      </c>
      <c r="I63" s="32" t="n">
        <v>296.55</v>
      </c>
      <c r="J63" s="32" t="n">
        <v>4.99</v>
      </c>
      <c r="K63" s="32" t="n">
        <v>0</v>
      </c>
      <c r="L63" s="31" t="n">
        <v>95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87.04000000000001</v>
      </c>
      <c r="P63" s="32" t="n">
        <v>20.05</v>
      </c>
      <c r="Q63" s="32" t="n">
        <v>229.74</v>
      </c>
      <c r="R63" s="31" t="inlineStr">
        <is>
          <t>Volume Spike &amp; Near 52W High Breakout</t>
        </is>
      </c>
      <c r="S63" s="31" t="inlineStr">
        <is>
          <t>Nifty Infra</t>
        </is>
      </c>
      <c r="T63" s="32" t="n">
        <v>0.23</v>
      </c>
      <c r="U63" s="32" t="n">
        <v>74.79000000000001</v>
      </c>
      <c r="V63" s="32" t="n">
        <v>74.39</v>
      </c>
      <c r="W63" s="32" t="n">
        <v>48.49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18</t>
        </is>
      </c>
      <c r="CG63" s="31">
        <f>IF(CF63&gt;20,10,IF(CF63&gt;=10,5,2))</f>
        <v/>
      </c>
    </row>
    <row r="64">
      <c r="A64" s="31">
        <f>IF(B64=0,"",RANK(B64,$B$2:$B$91,0))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GREAVESCOT</t>
        </is>
      </c>
      <c r="D64" s="31" t="inlineStr">
        <is>
          <t>Greaves Cotton Ltd</t>
        </is>
      </c>
      <c r="E64" s="31" t="inlineStr">
        <is>
          <t>industrials</t>
        </is>
      </c>
      <c r="F64" s="31" t="inlineStr">
        <is>
          <t>Engines</t>
        </is>
      </c>
      <c r="G64" s="31" t="inlineStr">
        <is>
          <t>midcap</t>
        </is>
      </c>
      <c r="H64" s="32" t="n">
        <v>5409.13</v>
      </c>
      <c r="I64" s="32" t="n">
        <v>232.2</v>
      </c>
      <c r="J64" s="32" t="n">
        <v>5.07</v>
      </c>
      <c r="K64" s="32" t="n">
        <v>0</v>
      </c>
      <c r="L64" s="31" t="n">
        <v>77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70.64</v>
      </c>
      <c r="P64" s="32" t="n">
        <v>20.5</v>
      </c>
      <c r="Q64" s="32" t="n">
        <v>179.18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-5.05</v>
      </c>
      <c r="U64" s="32" t="n">
        <v>14.01</v>
      </c>
      <c r="V64" s="32" t="n">
        <v>20.07</v>
      </c>
      <c r="W64" s="32" t="n">
        <v>22.88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18</t>
        </is>
      </c>
      <c r="CG64" s="31">
        <f>IF(CF64&gt;20,10,IF(CF64&gt;=10,5,2))</f>
        <v/>
      </c>
    </row>
    <row r="65">
      <c r="A65" s="31">
        <f>IF(B65=0,"",RANK(B65,$B$2:$B$91,0))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HFCL</t>
        </is>
      </c>
      <c r="D65" s="31" t="inlineStr">
        <is>
          <t>HFCL Ltd</t>
        </is>
      </c>
      <c r="E65" s="31" t="inlineStr">
        <is>
          <t>telecom</t>
        </is>
      </c>
      <c r="F65" s="31" t="inlineStr">
        <is>
          <t>Telecom Services</t>
        </is>
      </c>
      <c r="G65" s="31" t="inlineStr">
        <is>
          <t>largecap</t>
        </is>
      </c>
      <c r="H65" s="32" t="n">
        <v>31530.41</v>
      </c>
      <c r="I65" s="32" t="n">
        <v>206</v>
      </c>
      <c r="J65" s="32" t="n">
        <v>-2.87</v>
      </c>
      <c r="K65" s="32" t="n">
        <v>0</v>
      </c>
      <c r="L65" s="31" t="n">
        <v>98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78.95999999999999</v>
      </c>
      <c r="P65" s="32" t="n">
        <v>61.32</v>
      </c>
      <c r="Q65" s="32" t="n">
        <v>161.95</v>
      </c>
      <c r="R65" s="31" t="inlineStr">
        <is>
          <t>Near 52W High Breakout</t>
        </is>
      </c>
      <c r="S65" s="31" t="inlineStr">
        <is>
          <t>Nifty Infra</t>
        </is>
      </c>
      <c r="T65" s="32" t="n">
        <v>0.23</v>
      </c>
      <c r="U65" s="32" t="n">
        <v>142.18</v>
      </c>
      <c r="V65" s="32" t="n">
        <v>141.62</v>
      </c>
      <c r="W65" s="32" t="n">
        <v>71.09999999999999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IF(B66=0,"",RANK(B66,$B$2:$B$91,0))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AETHER</t>
        </is>
      </c>
      <c r="D66" s="34" t="inlineStr">
        <is>
          <t>Aether Industries Ltd</t>
        </is>
      </c>
      <c r="E66" s="31" t="inlineStr">
        <is>
          <t>chemicals</t>
        </is>
      </c>
      <c r="F66" s="31" t="inlineStr">
        <is>
          <t>Speciality Chemicals</t>
        </is>
      </c>
      <c r="G66" s="31" t="inlineStr">
        <is>
          <t>midcap</t>
        </is>
      </c>
      <c r="H66" s="32" t="n">
        <v>18221.5</v>
      </c>
      <c r="I66" s="32" t="n">
        <v>1373</v>
      </c>
      <c r="J66" s="32" t="n">
        <v>3.47</v>
      </c>
      <c r="K66" s="32" t="n">
        <v>0</v>
      </c>
      <c r="L66" s="31" t="n">
        <v>66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71.2</v>
      </c>
      <c r="P66" s="32" t="n">
        <v>47.05</v>
      </c>
      <c r="Q66" s="32" t="n">
        <v>1073.87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-5.05</v>
      </c>
      <c r="U66" s="32" t="n">
        <v>76.22</v>
      </c>
      <c r="V66" s="32" t="n">
        <v>85.59</v>
      </c>
      <c r="W66" s="32" t="n">
        <v>17.51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16</t>
        </is>
      </c>
      <c r="CG66" s="31">
        <f>IF(CF66&gt;20,10,IF(CF66&gt;=10,5,2))</f>
        <v/>
      </c>
    </row>
    <row r="67">
      <c r="A67" s="31">
        <f>IF(B67=0,"",RANK(B67,$B$2:$B$91,0))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RPEL</t>
        </is>
      </c>
      <c r="D67" s="34" t="inlineStr">
        <is>
          <t>Raghav Productivity Enhancers Ltd</t>
        </is>
      </c>
      <c r="E67" s="31" t="inlineStr">
        <is>
          <t>building materials</t>
        </is>
      </c>
      <c r="F67" s="31" t="inlineStr">
        <is>
          <t>Steel Products</t>
        </is>
      </c>
      <c r="G67" s="31" t="inlineStr">
        <is>
          <t>midcap</t>
        </is>
      </c>
      <c r="H67" s="32" t="n">
        <v>5960.67</v>
      </c>
      <c r="I67" s="32" t="n">
        <v>1298</v>
      </c>
      <c r="J67" s="32" t="n">
        <v>4.4</v>
      </c>
      <c r="K67" s="32" t="n">
        <v>0</v>
      </c>
      <c r="L67" s="31" t="n">
        <v>93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78.59</v>
      </c>
      <c r="P67" s="32" t="n">
        <v>35.2</v>
      </c>
      <c r="Q67" s="32" t="n">
        <v>1006.11</v>
      </c>
      <c r="R67" s="31" t="inlineStr">
        <is>
          <t>Near 52W High Breakout</t>
        </is>
      </c>
      <c r="S67" s="31" t="inlineStr">
        <is>
          <t>Nifty Infra</t>
        </is>
      </c>
      <c r="T67" s="32" t="n">
        <v>0.23</v>
      </c>
      <c r="U67" s="32" t="n">
        <v>82.23</v>
      </c>
      <c r="V67" s="32" t="n">
        <v>81.81</v>
      </c>
      <c r="W67" s="32" t="n">
        <v>42.82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IF(B68=0,"",RANK(B68,$B$2:$B$91,0))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IKS</t>
        </is>
      </c>
      <c r="D68" s="34" t="inlineStr">
        <is>
          <t>Inventurus Knowledge Solutions Ltd</t>
        </is>
      </c>
      <c r="E68" s="31" t="inlineStr">
        <is>
          <t>i.t</t>
        </is>
      </c>
      <c r="F68" s="31" t="inlineStr">
        <is>
          <t>IT Enabled Services/Business Process Outsourcing</t>
        </is>
      </c>
      <c r="G68" s="31" t="inlineStr">
        <is>
          <t>largecap</t>
        </is>
      </c>
      <c r="H68" s="32" t="n">
        <v>31500.19</v>
      </c>
      <c r="I68" s="32" t="n">
        <v>1835</v>
      </c>
      <c r="J68" s="32" t="n">
        <v>1.93</v>
      </c>
      <c r="K68" s="32" t="n">
        <v>0</v>
      </c>
      <c r="L68" s="31" t="n">
        <v>46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65.12</v>
      </c>
      <c r="P68" s="32" t="n">
        <v>9.34</v>
      </c>
      <c r="Q68" s="32" t="n">
        <v>1455.41</v>
      </c>
      <c r="R68" s="31" t="inlineStr">
        <is>
          <t>Volume Spike &amp; Near 52W High Breakout</t>
        </is>
      </c>
      <c r="S68" s="31" t="inlineStr">
        <is>
          <t>Nifty IT</t>
        </is>
      </c>
      <c r="T68" s="32" t="n">
        <v>-31.15</v>
      </c>
      <c r="U68" s="32" t="n">
        <v>15.05</v>
      </c>
      <c r="V68" s="32" t="n">
        <v>67.11</v>
      </c>
      <c r="W68" s="32" t="n">
        <v>11.89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IF(B69=0,"",RANK(B69,$B$2:$B$91,0))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SIGMAADV</t>
        </is>
      </c>
      <c r="D69" s="31" t="inlineStr">
        <is>
          <t>Sigma Advanced System Ltd</t>
        </is>
      </c>
      <c r="E69" s="31" t="inlineStr">
        <is>
          <t>aerospace &amp; defence</t>
        </is>
      </c>
      <c r="F69" s="31" t="inlineStr">
        <is>
          <t>Aerospace &amp; Defence - Equipments</t>
        </is>
      </c>
      <c r="G69" s="31" t="inlineStr">
        <is>
          <t>midcap</t>
        </is>
      </c>
      <c r="H69" s="32" t="n">
        <v>9887.049999999999</v>
      </c>
      <c r="I69" s="32" t="n">
        <v>561</v>
      </c>
      <c r="J69" s="32" t="n">
        <v>-3.5</v>
      </c>
      <c r="K69" s="32" t="n">
        <v>0</v>
      </c>
      <c r="L69" s="31" t="n">
        <v>99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79.42</v>
      </c>
      <c r="P69" s="32" t="n">
        <v>54.69</v>
      </c>
      <c r="Q69" s="32" t="n">
        <v>464.17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-5.05</v>
      </c>
      <c r="U69" s="32" t="n">
        <v>443.92</v>
      </c>
      <c r="V69" s="32" t="n">
        <v>472.83</v>
      </c>
      <c r="W69" s="32" t="n">
        <v>114.37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IF(B70=0,"",RANK(B70,$B$2:$B$91,0))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UNIABEXAL</t>
        </is>
      </c>
      <c r="D70" s="34" t="inlineStr">
        <is>
          <t>Uni Abex Alloy Products Ltd</t>
        </is>
      </c>
      <c r="E70" s="31" t="inlineStr">
        <is>
          <t>Basic Materials</t>
        </is>
      </c>
      <c r="F70" s="31" t="inlineStr">
        <is>
          <t>Castings, Forgings &amp; Fastners</t>
        </is>
      </c>
      <c r="G70" s="31" t="inlineStr">
        <is>
          <t>smallcap</t>
        </is>
      </c>
      <c r="H70" s="32" t="n">
        <v>1036.68</v>
      </c>
      <c r="I70" s="32" t="n">
        <v>5249</v>
      </c>
      <c r="J70" s="32" t="n">
        <v>2.1</v>
      </c>
      <c r="K70" s="32" t="n">
        <v>0</v>
      </c>
      <c r="L70" s="31" t="n">
        <v>86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77.7</v>
      </c>
      <c r="P70" s="32" t="n">
        <v>40.2</v>
      </c>
      <c r="Q70" s="32" t="n">
        <v>3787.65</v>
      </c>
      <c r="R70" s="31" t="inlineStr">
        <is>
          <t>Near 52W High Breakout</t>
        </is>
      </c>
      <c r="S70" s="31" t="inlineStr">
        <is>
          <t>Nifty Metal</t>
        </is>
      </c>
      <c r="T70" s="32" t="n">
        <v>30.52</v>
      </c>
      <c r="U70" s="32" t="n">
        <v>57.2</v>
      </c>
      <c r="V70" s="32" t="n">
        <v>20.45</v>
      </c>
      <c r="W70" s="32" t="n">
        <v>29.85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IF(B71=0,"",RANK(B71,$B$2:$B$91,0))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CRAFTSMAN</t>
        </is>
      </c>
      <c r="D71" s="31" t="inlineStr">
        <is>
          <t>Craftsman Automation Ltd</t>
        </is>
      </c>
      <c r="E71" s="31" t="inlineStr">
        <is>
          <t>Consumer Cyclical</t>
        </is>
      </c>
      <c r="F71" s="31" t="inlineStr">
        <is>
          <t>Auto &amp; Auto Ancl - CV</t>
        </is>
      </c>
      <c r="G71" s="31" t="inlineStr">
        <is>
          <t>largecap</t>
        </is>
      </c>
      <c r="H71" s="32" t="n">
        <v>24220.31</v>
      </c>
      <c r="I71" s="32" t="n">
        <v>9260.5</v>
      </c>
      <c r="J71" s="32" t="n">
        <v>-0.48</v>
      </c>
      <c r="K71" s="32" t="n">
        <v>0</v>
      </c>
      <c r="L71" s="31" t="n">
        <v>67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63.14</v>
      </c>
      <c r="P71" s="32" t="n">
        <v>45.8</v>
      </c>
      <c r="Q71" s="32" t="n">
        <v>7818.11</v>
      </c>
      <c r="R71" s="31" t="inlineStr">
        <is>
          <t>Earnings / Momentum Support</t>
        </is>
      </c>
      <c r="S71" s="31" t="inlineStr">
        <is>
          <t>Nifty Auto</t>
        </is>
      </c>
      <c r="T71" s="32" t="n">
        <v>13.04</v>
      </c>
      <c r="U71" s="32" t="n">
        <v>57.26</v>
      </c>
      <c r="V71" s="32" t="n">
        <v>39.12</v>
      </c>
      <c r="W71" s="32" t="n">
        <v>18.22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Less than 50% and Borrowings are increasing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16</t>
        </is>
      </c>
      <c r="CG71" s="31">
        <f>IF(CF71&gt;20,10,IF(CF71&gt;=10,5,2))</f>
        <v/>
      </c>
    </row>
    <row r="72">
      <c r="A72" s="31">
        <f>IF(B72=0,"",RANK(B72,$B$2:$B$91,0))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SCHNEIDER</t>
        </is>
      </c>
      <c r="D72" s="34" t="inlineStr">
        <is>
          <t>Schneider Electric Infrastructure Ltd</t>
        </is>
      </c>
      <c r="E72" s="31" t="inlineStr">
        <is>
          <t>industrials</t>
        </is>
      </c>
      <c r="F72" s="31" t="inlineStr">
        <is>
          <t>Capital Goods - Transformers</t>
        </is>
      </c>
      <c r="G72" s="31" t="inlineStr">
        <is>
          <t>largecap</t>
        </is>
      </c>
      <c r="H72" s="32" t="n">
        <v>34741.82</v>
      </c>
      <c r="I72" s="32" t="n">
        <v>1453</v>
      </c>
      <c r="J72" s="32" t="n">
        <v>4.76</v>
      </c>
      <c r="K72" s="32" t="n">
        <v>0</v>
      </c>
      <c r="L72" s="31" t="n">
        <v>83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71.03</v>
      </c>
      <c r="P72" s="32" t="n">
        <v>41.83</v>
      </c>
      <c r="Q72" s="32" t="n">
        <v>1081.82</v>
      </c>
      <c r="R72" s="31" t="inlineStr">
        <is>
          <t>Near 52W High Breakout</t>
        </is>
      </c>
      <c r="S72" s="31" t="inlineStr">
        <is>
          <t>Nifty 50</t>
        </is>
      </c>
      <c r="T72" s="32" t="n">
        <v>-5.05</v>
      </c>
      <c r="U72" s="32" t="n">
        <v>77.52</v>
      </c>
      <c r="V72" s="32" t="n">
        <v>86.95999999999999</v>
      </c>
      <c r="W72" s="32" t="n">
        <v>27.11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16</t>
        </is>
      </c>
      <c r="CG72" s="31">
        <f>IF(CF72&gt;20,10,IF(CF72&gt;=10,5,2))</f>
        <v/>
      </c>
    </row>
    <row r="73">
      <c r="A73" s="31">
        <f>IF(B73=0,"",RANK(B73,$B$2:$B$91,0))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GMRAIRPORT</t>
        </is>
      </c>
      <c r="D73" s="31" t="inlineStr">
        <is>
          <t>GMR Airports Ltd</t>
        </is>
      </c>
      <c r="E73" s="31" t="inlineStr">
        <is>
          <t>miscellaneous</t>
        </is>
      </c>
      <c r="F73" s="31" t="inlineStr">
        <is>
          <t>Miscellaneous</t>
        </is>
      </c>
      <c r="G73" s="31" t="inlineStr">
        <is>
          <t>largecap</t>
        </is>
      </c>
      <c r="H73" s="32" t="n">
        <v>118292.21</v>
      </c>
      <c r="I73" s="32" t="n">
        <v>112.03</v>
      </c>
      <c r="J73" s="32" t="n">
        <v>-1.32</v>
      </c>
      <c r="K73" s="32" t="n">
        <v>0</v>
      </c>
      <c r="L73" s="31" t="n">
        <v>39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66.18000000000001</v>
      </c>
      <c r="P73" s="32" t="n">
        <v>16.6</v>
      </c>
      <c r="Q73" s="32" t="n">
        <v>92.58</v>
      </c>
      <c r="R73" s="31" t="inlineStr">
        <is>
          <t>Near 52W High Breakout</t>
        </is>
      </c>
      <c r="S73" s="31" t="inlineStr">
        <is>
          <t>Nifty 500</t>
        </is>
      </c>
      <c r="T73" s="32" t="n">
        <v>-1.26</v>
      </c>
      <c r="U73" s="32" t="n">
        <v>24.34</v>
      </c>
      <c r="V73" s="32" t="n">
        <v>25.93</v>
      </c>
      <c r="W73" s="32" t="n">
        <v>10.67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IF(B74=0,"",RANK(B74,$B$2:$B$91,0))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EBGNG</t>
        </is>
      </c>
      <c r="D74" s="31" t="inlineStr">
        <is>
          <t>GNG Electronics Ltd</t>
        </is>
      </c>
      <c r="E74" s="31" t="inlineStr">
        <is>
          <t>Technology</t>
        </is>
      </c>
      <c r="F74" s="31" t="inlineStr">
        <is>
          <t>New age - Platform - E-Retail</t>
        </is>
      </c>
      <c r="G74" s="31" t="inlineStr">
        <is>
          <t>midcap</t>
        </is>
      </c>
      <c r="H74" s="32" t="n">
        <v>7667.27</v>
      </c>
      <c r="I74" s="32" t="n">
        <v>672.5</v>
      </c>
      <c r="J74" s="32" t="n">
        <v>2.41</v>
      </c>
      <c r="K74" s="32" t="n">
        <v>0</v>
      </c>
      <c r="L74" s="31" t="n">
        <v>88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81.22</v>
      </c>
      <c r="P74" s="32" t="n">
        <v>27.62</v>
      </c>
      <c r="Q74" s="32" t="n">
        <v>510.6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-1.59</v>
      </c>
      <c r="U74" s="32" t="n">
        <v>115.95</v>
      </c>
      <c r="V74" s="32" t="n">
        <v>119.43</v>
      </c>
      <c r="W74" s="32" t="n">
        <v>33.12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IF(B75=0,"",RANK(B75,$B$2:$B$91,0))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RML</t>
        </is>
      </c>
      <c r="D75" s="31" t="inlineStr">
        <is>
          <t>Rane (Madras) Ltd</t>
        </is>
      </c>
      <c r="E75" s="31" t="inlineStr">
        <is>
          <t>auto</t>
        </is>
      </c>
      <c r="F75" s="31" t="inlineStr">
        <is>
          <t>Auto Ancillaries - Gears</t>
        </is>
      </c>
      <c r="G75" s="31" t="inlineStr">
        <is>
          <t>smallcap</t>
        </is>
      </c>
      <c r="H75" s="32" t="n">
        <v>3286.06</v>
      </c>
      <c r="I75" s="32" t="n">
        <v>1189</v>
      </c>
      <c r="J75" s="32" t="n">
        <v>-0.83</v>
      </c>
      <c r="K75" s="32" t="n">
        <v>0</v>
      </c>
      <c r="L75" s="31" t="n">
        <v>82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71.77</v>
      </c>
      <c r="P75" s="32" t="n">
        <v>29.38</v>
      </c>
      <c r="Q75" s="32" t="n">
        <v>920.14</v>
      </c>
      <c r="R75" s="31" t="inlineStr">
        <is>
          <t>Near 52W High Breakout</t>
        </is>
      </c>
      <c r="S75" s="31" t="inlineStr">
        <is>
          <t>Nifty Auto</t>
        </is>
      </c>
      <c r="T75" s="32" t="n">
        <v>13.04</v>
      </c>
      <c r="U75" s="32" t="n">
        <v>32.59</v>
      </c>
      <c r="V75" s="32" t="n">
        <v>17.29</v>
      </c>
      <c r="W75" s="32" t="n">
        <v>25.99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21</t>
        </is>
      </c>
      <c r="CG75" s="31">
        <f>IF(CF75&gt;20,10,IF(CF75&gt;=10,5,2))</f>
        <v/>
      </c>
    </row>
    <row r="76">
      <c r="A76" s="31">
        <f>IF(B76=0,"",RANK(B76,$B$2:$B$91,0))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SEKURITIND</t>
        </is>
      </c>
      <c r="D76" s="31" t="inlineStr">
        <is>
          <t>Saint-Gobain Sekurit India Ltd</t>
        </is>
      </c>
      <c r="E76" s="31" t="inlineStr">
        <is>
          <t>Consumer Cyclical</t>
        </is>
      </c>
      <c r="F76" s="31" t="inlineStr">
        <is>
          <t>Glass &amp; Glass Products</t>
        </is>
      </c>
      <c r="G76" s="31" t="inlineStr">
        <is>
          <t>smallcap</t>
        </is>
      </c>
      <c r="H76" s="32" t="n">
        <v>1199.41</v>
      </c>
      <c r="I76" s="32" t="n">
        <v>131.65</v>
      </c>
      <c r="J76" s="32" t="n">
        <v>-0.9</v>
      </c>
      <c r="K76" s="32" t="n">
        <v>0</v>
      </c>
      <c r="L76" s="31" t="n">
        <v>54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66.86</v>
      </c>
      <c r="P76" s="32" t="n">
        <v>32.33</v>
      </c>
      <c r="Q76" s="32" t="n">
        <v>107.5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13.04</v>
      </c>
      <c r="U76" s="32" t="n">
        <v>17.56</v>
      </c>
      <c r="V76" s="32" t="n">
        <v>4</v>
      </c>
      <c r="W76" s="32" t="n">
        <v>14.2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B2C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IF(B77=0,"",RANK(B77,$B$2:$B$91,0))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AEROFLEX</t>
        </is>
      </c>
      <c r="D77" s="34" t="inlineStr">
        <is>
          <t>Aeroflex Industries Ltd</t>
        </is>
      </c>
      <c r="E77" s="31" t="inlineStr">
        <is>
          <t>metals &amp; mining</t>
        </is>
      </c>
      <c r="F77" s="31" t="inlineStr">
        <is>
          <t>Stainless Steel</t>
        </is>
      </c>
      <c r="G77" s="31" t="inlineStr">
        <is>
          <t>midcap</t>
        </is>
      </c>
      <c r="H77" s="32" t="n">
        <v>6330.7</v>
      </c>
      <c r="I77" s="32" t="n">
        <v>478.4</v>
      </c>
      <c r="J77" s="32" t="n">
        <v>-2.07</v>
      </c>
      <c r="K77" s="32" t="n">
        <v>0</v>
      </c>
      <c r="L77" s="31" t="n">
        <v>92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70.45999999999999</v>
      </c>
      <c r="P77" s="32" t="n">
        <v>67.75</v>
      </c>
      <c r="Q77" s="32" t="n">
        <v>360.04</v>
      </c>
      <c r="R77" s="31" t="inlineStr">
        <is>
          <t>Earnings / Momentum Support</t>
        </is>
      </c>
      <c r="S77" s="31" t="inlineStr">
        <is>
          <t>Nifty Metal</t>
        </is>
      </c>
      <c r="T77" s="32" t="n">
        <v>30.52</v>
      </c>
      <c r="U77" s="32" t="n">
        <v>137.9</v>
      </c>
      <c r="V77" s="32" t="n">
        <v>82.27</v>
      </c>
      <c r="W77" s="32" t="n">
        <v>41.15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IF(B78=0,"",RANK(B78,$B$2:$B$91,0))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VIYASH</t>
        </is>
      </c>
      <c r="D78" s="31" t="inlineStr">
        <is>
          <t>Viyash Scientific Ltd</t>
        </is>
      </c>
      <c r="E78" s="31" t="inlineStr">
        <is>
          <t>healthcare</t>
        </is>
      </c>
      <c r="F78" s="31" t="inlineStr">
        <is>
          <t>Pharma - Animal</t>
        </is>
      </c>
      <c r="G78" s="31" t="inlineStr">
        <is>
          <t>midcap</t>
        </is>
      </c>
      <c r="H78" s="32" t="n">
        <v>12800.45</v>
      </c>
      <c r="I78" s="32" t="n">
        <v>293</v>
      </c>
      <c r="J78" s="32" t="n">
        <v>1.67</v>
      </c>
      <c r="K78" s="32" t="n">
        <v>0</v>
      </c>
      <c r="L78" s="31" t="n">
        <v>75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75.81</v>
      </c>
      <c r="P78" s="32" t="n">
        <v>38.32</v>
      </c>
      <c r="Q78" s="32" t="n">
        <v>226.39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13.06</v>
      </c>
      <c r="U78" s="32" t="n">
        <v>55.24</v>
      </c>
      <c r="V78" s="32" t="n">
        <v>37.31</v>
      </c>
      <c r="W78" s="32" t="n">
        <v>21.51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IF(B79=0,"",RANK(B79,$B$2:$B$91,0))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KRISHANA</t>
        </is>
      </c>
      <c r="D79" s="31" t="inlineStr">
        <is>
          <t>Krishana Phoschem Ltd</t>
        </is>
      </c>
      <c r="E79" s="31" t="inlineStr">
        <is>
          <t>chemicals</t>
        </is>
      </c>
      <c r="F79" s="31" t="inlineStr">
        <is>
          <t>Fertilisers</t>
        </is>
      </c>
      <c r="G79" s="31" t="inlineStr">
        <is>
          <t>smallcap</t>
        </is>
      </c>
      <c r="H79" s="32" t="n">
        <v>4317.1</v>
      </c>
      <c r="I79" s="32" t="n">
        <v>712.95</v>
      </c>
      <c r="J79" s="32" t="n">
        <v>2.19</v>
      </c>
      <c r="K79" s="32" t="n">
        <v>0</v>
      </c>
      <c r="L79" s="31" t="n">
        <v>65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69.44</v>
      </c>
      <c r="P79" s="32" t="n">
        <v>44.82</v>
      </c>
      <c r="Q79" s="32" t="n">
        <v>559.2</v>
      </c>
      <c r="R79" s="31" t="inlineStr">
        <is>
          <t>Near 52W High Breakout</t>
        </is>
      </c>
      <c r="S79" s="31" t="inlineStr">
        <is>
          <t>Nifty 50</t>
        </is>
      </c>
      <c r="T79" s="32" t="n">
        <v>-5.05</v>
      </c>
      <c r="U79" s="32" t="n">
        <v>59.91</v>
      </c>
      <c r="V79" s="32" t="n">
        <v>68.41</v>
      </c>
      <c r="W79" s="32" t="n">
        <v>16.94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More than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IF(B80=0,"",RANK(B80,$B$2:$B$91,0))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MACPOWER</t>
        </is>
      </c>
      <c r="D80" s="34" t="inlineStr">
        <is>
          <t>Macpower CNC Machines Ltd</t>
        </is>
      </c>
      <c r="E80" s="31" t="inlineStr">
        <is>
          <t>industrials</t>
        </is>
      </c>
      <c r="F80" s="31" t="inlineStr">
        <is>
          <t>CNC - Machines</t>
        </is>
      </c>
      <c r="G80" s="31" t="inlineStr">
        <is>
          <t>smallcap</t>
        </is>
      </c>
      <c r="H80" s="32" t="n">
        <v>1399.58</v>
      </c>
      <c r="I80" s="32" t="n">
        <v>1399</v>
      </c>
      <c r="J80" s="32" t="n">
        <v>4.1</v>
      </c>
      <c r="K80" s="32" t="n">
        <v>0</v>
      </c>
      <c r="L80" s="31" t="n">
        <v>78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67.8</v>
      </c>
      <c r="P80" s="32" t="n">
        <v>24.49</v>
      </c>
      <c r="Q80" s="32" t="n">
        <v>970.33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-5.05</v>
      </c>
      <c r="U80" s="32" t="n">
        <v>43.53</v>
      </c>
      <c r="V80" s="32" t="n">
        <v>51.16</v>
      </c>
      <c r="W80" s="32" t="n">
        <v>23.44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17</t>
        </is>
      </c>
      <c r="CG80" s="31">
        <f>IF(CF80&gt;20,10,IF(CF80&gt;=10,5,2))</f>
        <v/>
      </c>
    </row>
    <row r="81">
      <c r="A81" s="31">
        <f>IF(B81=0,"",RANK(B81,$B$2:$B$91,0))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CFF</t>
        </is>
      </c>
      <c r="D81" s="31" t="inlineStr">
        <is>
          <t>CFF Fluid Control Ltd</t>
        </is>
      </c>
      <c r="E81" s="31" t="inlineStr">
        <is>
          <t>Industrials</t>
        </is>
      </c>
      <c r="F81" s="31" t="inlineStr">
        <is>
          <t>Shipping - Proxy</t>
        </is>
      </c>
      <c r="G81" s="31" t="inlineStr">
        <is>
          <t>smallcap</t>
        </is>
      </c>
      <c r="H81" s="32" t="n">
        <v>1833.66</v>
      </c>
      <c r="I81" s="32" t="n">
        <v>874.25</v>
      </c>
      <c r="J81" s="32" t="n">
        <v>0.22</v>
      </c>
      <c r="K81" s="32" t="n">
        <v>0</v>
      </c>
      <c r="L81" s="31" t="n">
        <v>63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70.59</v>
      </c>
      <c r="P81" s="32" t="n">
        <v>30.4</v>
      </c>
      <c r="Q81" s="32" t="n">
        <v>661.79</v>
      </c>
      <c r="R81" s="31" t="inlineStr">
        <is>
          <t>Near 52W High Breakout</t>
        </is>
      </c>
      <c r="S81" s="31" t="inlineStr">
        <is>
          <t>Nifty 50</t>
        </is>
      </c>
      <c r="T81" s="32" t="n">
        <v>-5.05</v>
      </c>
      <c r="U81" s="32" t="n">
        <v>32.87</v>
      </c>
      <c r="V81" s="32" t="n">
        <v>39.93</v>
      </c>
      <c r="W81" s="32" t="n">
        <v>16.64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17</t>
        </is>
      </c>
      <c r="CG81" s="31">
        <f>IF(CF81&gt;20,10,IF(CF81&gt;=10,5,2))</f>
        <v/>
      </c>
    </row>
    <row r="82">
      <c r="A82" s="31">
        <f>IF(B82=0,"",RANK(B82,$B$2:$B$91,0))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TRIVENI</t>
        </is>
      </c>
      <c r="D82" s="34" t="inlineStr">
        <is>
          <t>Triveni Engineering and Industries Ltd</t>
        </is>
      </c>
      <c r="E82" s="31" t="inlineStr">
        <is>
          <t>fmcg</t>
        </is>
      </c>
      <c r="F82" s="31" t="inlineStr">
        <is>
          <t>Sugar</t>
        </is>
      </c>
      <c r="G82" s="31" t="inlineStr">
        <is>
          <t>midcap</t>
        </is>
      </c>
      <c r="H82" s="32" t="n">
        <v>10257.9</v>
      </c>
      <c r="I82" s="32" t="n">
        <v>465.5</v>
      </c>
      <c r="J82" s="32" t="n">
        <v>3.04</v>
      </c>
      <c r="K82" s="32" t="n">
        <v>0</v>
      </c>
      <c r="L82" s="31" t="n">
        <v>34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69.54000000000001</v>
      </c>
      <c r="P82" s="32" t="n">
        <v>19.97</v>
      </c>
      <c r="Q82" s="32" t="n">
        <v>373.54</v>
      </c>
      <c r="R82" s="31" t="inlineStr">
        <is>
          <t>Volume Spike &amp; Near 52W High Breakout</t>
        </is>
      </c>
      <c r="S82" s="31" t="inlineStr">
        <is>
          <t>Nifty FMCG</t>
        </is>
      </c>
      <c r="T82" s="32" t="n">
        <v>-8.5</v>
      </c>
      <c r="U82" s="32" t="n">
        <v>26.25</v>
      </c>
      <c r="V82" s="32" t="n">
        <v>37.97</v>
      </c>
      <c r="W82" s="32" t="n">
        <v>9.289999999999999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16</t>
        </is>
      </c>
      <c r="CG82" s="31">
        <f>IF(CF82&gt;20,10,IF(CF82&gt;=10,5,2))</f>
        <v/>
      </c>
    </row>
    <row r="83">
      <c r="A83" s="31">
        <f>IF(B83=0,"",RANK(B83,$B$2:$B$91,0))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JNKINDIA</t>
        </is>
      </c>
      <c r="D83" s="31" t="inlineStr">
        <is>
          <t>JNK India Ltd</t>
        </is>
      </c>
      <c r="E83" s="31" t="inlineStr">
        <is>
          <t>realty</t>
        </is>
      </c>
      <c r="F83" s="31" t="inlineStr">
        <is>
          <t>Capital Goods - Engineering Heavy</t>
        </is>
      </c>
      <c r="G83" s="31" t="inlineStr">
        <is>
          <t>smallcap</t>
        </is>
      </c>
      <c r="H83" s="32" t="n">
        <v>2669</v>
      </c>
      <c r="I83" s="32" t="n">
        <v>477</v>
      </c>
      <c r="J83" s="32" t="n">
        <v>-3.19</v>
      </c>
      <c r="K83" s="32" t="n">
        <v>0</v>
      </c>
      <c r="L83" s="31" t="n">
        <v>87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71.09999999999999</v>
      </c>
      <c r="P83" s="32" t="n">
        <v>39.41</v>
      </c>
      <c r="Q83" s="32" t="n">
        <v>356.73</v>
      </c>
      <c r="R83" s="31" t="inlineStr">
        <is>
          <t>Earnings / Momentum Support</t>
        </is>
      </c>
      <c r="S83" s="31" t="inlineStr">
        <is>
          <t>Nifty Realty</t>
        </is>
      </c>
      <c r="T83" s="32" t="n">
        <v>-10.31</v>
      </c>
      <c r="U83" s="32" t="n">
        <v>42.52</v>
      </c>
      <c r="V83" s="32" t="n">
        <v>58.91</v>
      </c>
      <c r="W83" s="32" t="n">
        <v>31.51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IF(B84=0,"",RANK(B84,$B$2:$B$91,0))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KOVAI</t>
        </is>
      </c>
      <c r="D84" s="34" t="inlineStr">
        <is>
          <t>Kovai Medical Center &amp; Hospital Ltd</t>
        </is>
      </c>
      <c r="E84" s="31" t="inlineStr">
        <is>
          <t>healthcare</t>
        </is>
      </c>
      <c r="F84" s="31" t="inlineStr">
        <is>
          <t>Hospitals</t>
        </is>
      </c>
      <c r="G84" s="31" t="inlineStr">
        <is>
          <t>midcap</t>
        </is>
      </c>
      <c r="H84" s="32" t="n">
        <v>6609.13</v>
      </c>
      <c r="I84" s="32" t="n">
        <v>6040</v>
      </c>
      <c r="J84" s="32" t="n">
        <v>-0.17</v>
      </c>
      <c r="K84" s="32" t="n">
        <v>0</v>
      </c>
      <c r="L84" s="31" t="n">
        <v>9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63.63</v>
      </c>
      <c r="P84" s="32" t="n">
        <v>18.49</v>
      </c>
      <c r="Q84" s="32" t="n">
        <v>5036.44</v>
      </c>
      <c r="R84" s="31" t="inlineStr">
        <is>
          <t>Earnings / Momentum Support</t>
        </is>
      </c>
      <c r="S84" s="31" t="inlineStr">
        <is>
          <t>Nifty Pharma</t>
        </is>
      </c>
      <c r="T84" s="32" t="n">
        <v>13.06</v>
      </c>
      <c r="U84" s="32" t="n">
        <v>-1.84</v>
      </c>
      <c r="V84" s="32" t="n">
        <v>-13.19</v>
      </c>
      <c r="W84" s="32" t="n">
        <v>3.73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Between 12 to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Between 1.5 to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17</t>
        </is>
      </c>
      <c r="CG84" s="31">
        <f>IF(CF84&gt;20,10,IF(CF84&gt;=10,5,2))</f>
        <v/>
      </c>
    </row>
    <row r="85">
      <c r="A85" s="31">
        <f>IF(B85=0,"",RANK(B85,$B$2:$B$91,0))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GALAPREC</t>
        </is>
      </c>
      <c r="D85" s="31" t="inlineStr">
        <is>
          <t>Gala Precision Engineering Ltd</t>
        </is>
      </c>
      <c r="E85" s="31" t="inlineStr">
        <is>
          <t>industrials</t>
        </is>
      </c>
      <c r="F85" s="31" t="inlineStr">
        <is>
          <t>Castings, Forgings &amp; Fastners</t>
        </is>
      </c>
      <c r="G85" s="31" t="inlineStr">
        <is>
          <t>smallcap</t>
        </is>
      </c>
      <c r="H85" s="32" t="n">
        <v>1518.72</v>
      </c>
      <c r="I85" s="32" t="n">
        <v>1185</v>
      </c>
      <c r="J85" s="32" t="n">
        <v>6.52</v>
      </c>
      <c r="K85" s="32" t="n">
        <v>0</v>
      </c>
      <c r="L85" s="31" t="n">
        <v>74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79.65000000000001</v>
      </c>
      <c r="P85" s="32" t="n">
        <v>32.05</v>
      </c>
      <c r="Q85" s="32" t="n">
        <v>912.38</v>
      </c>
      <c r="R85" s="31" t="inlineStr">
        <is>
          <t>Near 52W High Breakout</t>
        </is>
      </c>
      <c r="S85" s="31" t="inlineStr">
        <is>
          <t>Nifty 50</t>
        </is>
      </c>
      <c r="T85" s="32" t="n">
        <v>-5.05</v>
      </c>
      <c r="U85" s="32" t="n">
        <v>38.45</v>
      </c>
      <c r="V85" s="32" t="n">
        <v>45.81</v>
      </c>
      <c r="W85" s="32" t="n">
        <v>21.44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Less than 50%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IF(B86=0,"",RANK(B86,$B$2:$B$91,0))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SIKA</t>
        </is>
      </c>
      <c r="D86" s="34" t="inlineStr">
        <is>
          <t>Sika Interplant Systems Ltd</t>
        </is>
      </c>
      <c r="E86" s="31" t="inlineStr">
        <is>
          <t>Industrials</t>
        </is>
      </c>
      <c r="F86" s="31" t="inlineStr">
        <is>
          <t>Aerospace &amp; Defence - Equipments</t>
        </is>
      </c>
      <c r="G86" s="31" t="inlineStr">
        <is>
          <t>smallcap</t>
        </is>
      </c>
      <c r="H86" s="32" t="n">
        <v>2713.71</v>
      </c>
      <c r="I86" s="32" t="n">
        <v>1280</v>
      </c>
      <c r="J86" s="32" t="n">
        <v>14.97</v>
      </c>
      <c r="K86" s="32" t="n">
        <v>0</v>
      </c>
      <c r="L86" s="31" t="n">
        <v>37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64.02</v>
      </c>
      <c r="P86" s="32" t="n">
        <v>15.44</v>
      </c>
      <c r="Q86" s="32" t="n">
        <v>864.39</v>
      </c>
      <c r="R86" s="31" t="inlineStr">
        <is>
          <t>Volume Spike &amp; Near 52W High Breakout</t>
        </is>
      </c>
      <c r="S86" s="31" t="inlineStr">
        <is>
          <t>Nifty Infra</t>
        </is>
      </c>
      <c r="T86" s="32" t="n">
        <v>0.23</v>
      </c>
      <c r="U86" s="32" t="n">
        <v>-9.59</v>
      </c>
      <c r="V86" s="32" t="n">
        <v>-9.800000000000001</v>
      </c>
      <c r="W86" s="32" t="n">
        <v>10.14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17</t>
        </is>
      </c>
      <c r="CG86" s="31">
        <f>IF(CF86&gt;20,10,IF(CF86&gt;=10,5,2))</f>
        <v/>
      </c>
    </row>
    <row r="87">
      <c r="A87" s="31">
        <f>IF(B87=0,"",RANK(B87,$B$2:$B$91,0))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TVSSCS</t>
        </is>
      </c>
      <c r="D87" s="34" t="inlineStr">
        <is>
          <t>TVS Supply Chain Solutions Ltd</t>
        </is>
      </c>
      <c r="E87" s="31" t="inlineStr">
        <is>
          <t>transportation</t>
        </is>
      </c>
      <c r="F87" s="31" t="inlineStr">
        <is>
          <t>Logistics - Warehousing/Supply Chain</t>
        </is>
      </c>
      <c r="G87" s="31" t="inlineStr">
        <is>
          <t>midcap</t>
        </is>
      </c>
      <c r="H87" s="32" t="n">
        <v>6059.61</v>
      </c>
      <c r="I87" s="32" t="n">
        <v>137.35</v>
      </c>
      <c r="J87" s="32" t="n">
        <v>-0.41</v>
      </c>
      <c r="K87" s="32" t="n">
        <v>0</v>
      </c>
      <c r="L87" s="31" t="n">
        <v>36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59.64</v>
      </c>
      <c r="P87" s="32" t="n">
        <v>13.05</v>
      </c>
      <c r="Q87" s="32" t="n">
        <v>105.58</v>
      </c>
      <c r="R87" s="31" t="inlineStr">
        <is>
          <t>Near 52W High Breakout</t>
        </is>
      </c>
      <c r="S87" s="31" t="inlineStr">
        <is>
          <t>Nifty 50</t>
        </is>
      </c>
      <c r="T87" s="32" t="n">
        <v>-5.05</v>
      </c>
      <c r="U87" s="32" t="n">
        <v>3.99</v>
      </c>
      <c r="V87" s="32" t="n">
        <v>9.52</v>
      </c>
      <c r="W87" s="32" t="n">
        <v>9.77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16</t>
        </is>
      </c>
      <c r="CG87" s="31">
        <f>IF(CF87&gt;20,10,IF(CF87&gt;=10,5,2))</f>
        <v/>
      </c>
    </row>
    <row r="88">
      <c r="A88" s="31">
        <f>IF(B88=0,"",RANK(B88,$B$2:$B$91,0))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CANTABIL</t>
        </is>
      </c>
      <c r="D88" s="34" t="inlineStr">
        <is>
          <t>Cantabil Retail India Ltd</t>
        </is>
      </c>
      <c r="E88" s="31" t="inlineStr">
        <is>
          <t>textiles</t>
        </is>
      </c>
      <c r="F88" s="31" t="inlineStr">
        <is>
          <t>Textiles - Readymade Apparel</t>
        </is>
      </c>
      <c r="G88" s="31" t="inlineStr">
        <is>
          <t>smallcap</t>
        </is>
      </c>
      <c r="H88" s="32" t="n">
        <v>2297.96</v>
      </c>
      <c r="I88" s="32" t="n">
        <v>274.75</v>
      </c>
      <c r="J88" s="32" t="n">
        <v>13.56</v>
      </c>
      <c r="K88" s="32" t="n">
        <v>0</v>
      </c>
      <c r="L88" s="31" t="n">
        <v>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59.65</v>
      </c>
      <c r="P88" s="32" t="n">
        <v>11.29</v>
      </c>
      <c r="Q88" s="32" t="n">
        <v>206.06</v>
      </c>
      <c r="R88" s="31" t="inlineStr">
        <is>
          <t>Volume Spike / Accumulation</t>
        </is>
      </c>
      <c r="S88" s="31" t="inlineStr">
        <is>
          <t>Nifty 50</t>
        </is>
      </c>
      <c r="T88" s="32" t="n">
        <v>-5.05</v>
      </c>
      <c r="U88" s="32" t="n">
        <v>-0.67</v>
      </c>
      <c r="V88" s="32" t="n">
        <v>4.61</v>
      </c>
      <c r="W88" s="32" t="n">
        <v>3.3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1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16</t>
        </is>
      </c>
      <c r="CG88" s="31">
        <f>IF(CF88&gt;20,10,IF(CF88&gt;=10,5,2))</f>
        <v/>
      </c>
    </row>
    <row r="89">
      <c r="A89" s="31">
        <f>IF(B89=0,"",RANK(B89,$B$2:$B$91,0))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KAPSTON</t>
        </is>
      </c>
      <c r="D89" s="34" t="inlineStr">
        <is>
          <t>Kapston Services Ltd</t>
        </is>
      </c>
      <c r="E89" s="31" t="inlineStr">
        <is>
          <t>miscellaneous</t>
        </is>
      </c>
      <c r="F89" s="31" t="inlineStr">
        <is>
          <t>Services - Others</t>
        </is>
      </c>
      <c r="G89" s="31" t="inlineStr">
        <is>
          <t>smallcap</t>
        </is>
      </c>
      <c r="H89" s="32" t="n">
        <v>1156.42</v>
      </c>
      <c r="I89" s="32" t="n">
        <v>380</v>
      </c>
      <c r="J89" s="32" t="n">
        <v>1.08</v>
      </c>
      <c r="K89" s="32" t="n">
        <v>0</v>
      </c>
      <c r="L89" s="31" t="n">
        <v>63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62.67</v>
      </c>
      <c r="P89" s="32" t="n">
        <v>14.05</v>
      </c>
      <c r="Q89" s="32" t="n">
        <v>278.58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-5.05</v>
      </c>
      <c r="U89" s="32" t="n">
        <v>50.97</v>
      </c>
      <c r="V89" s="32" t="n">
        <v>59</v>
      </c>
      <c r="W89" s="32" t="n">
        <v>16.6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Between 1.5 to 2</t>
        </is>
      </c>
      <c r="BU89" s="31">
        <f>IF(BT89="Above 2",0,IF(BT89="Between 1.5 to 2",5,IF(BT89="Less than 1.5",10,0)))</f>
        <v/>
      </c>
      <c r="BV89" s="31" t="inlineStr">
        <is>
          <t>Less than 50% and Borrowings are increasing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17</t>
        </is>
      </c>
      <c r="CG89" s="31">
        <f>IF(CF89&gt;20,10,IF(CF89&gt;=10,5,2))</f>
        <v/>
      </c>
    </row>
    <row r="90">
      <c r="A90" s="31">
        <f>IF(B90=0,"",RANK(B90,$B$2:$B$91,0))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UTSSAV</t>
        </is>
      </c>
      <c r="D90" s="31" t="inlineStr">
        <is>
          <t>Utssav CZ Gold Jewels Ltd</t>
        </is>
      </c>
      <c r="E90" s="31" t="inlineStr">
        <is>
          <t>unknown</t>
        </is>
      </c>
      <c r="F90" s="31" t="inlineStr">
        <is>
          <t>Diamond, Gems &amp; Jewellery</t>
        </is>
      </c>
      <c r="G90" s="31" t="inlineStr">
        <is>
          <t>smallcap</t>
        </is>
      </c>
      <c r="H90" s="32" t="n">
        <v>1171.42</v>
      </c>
      <c r="I90" s="32" t="n">
        <v>485.1</v>
      </c>
      <c r="J90" s="32" t="n">
        <v>5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inlineStr"/>
      <c r="P90" s="32" t="inlineStr"/>
      <c r="Q90" s="32" t="inlineStr"/>
      <c r="R90" s="31" t="inlineStr"/>
      <c r="S90" s="31" t="inlineStr"/>
      <c r="T90" s="32" t="inlineStr"/>
      <c r="U90" s="32" t="inlineStr"/>
      <c r="V90" s="32" t="inlineStr"/>
      <c r="W90" s="32" t="inlineStr"/>
      <c r="X90" s="31" t="n"/>
      <c r="Y90" s="31">
        <f>IF(X90="Growing Industry",10,IF(X90="Cyclical in an Upturn",5,0))</f>
        <v/>
      </c>
      <c r="Z90" s="31" t="n"/>
      <c r="AA90" s="31">
        <f>IF(Z90="Monopoly",10,IF(Z90="Oligopoly",5,IF(Z90="Duopoly that cooperate",10,IF(Z90="Duopoly that compete",5,IF(Z90="Too many players with High ROCE",5,0)))))</f>
        <v/>
      </c>
      <c r="AB90" s="31" t="n"/>
      <c r="AC90" s="31">
        <f>IF(AB90="No",5,0)</f>
        <v/>
      </c>
      <c r="AD90" s="31" t="n"/>
      <c r="AE90" s="31">
        <f>IF(AD90="Tailwind",10,0)</f>
        <v/>
      </c>
      <c r="AF90" s="31" t="n"/>
      <c r="AG90" s="31">
        <f>IF(AF90="Structural (10 Years Consistency)",10,IF(AF90="Shallow Cyclical (2 to 3 years growth)",5,0))</f>
        <v/>
      </c>
      <c r="AH90" s="31" t="n"/>
      <c r="AI90" s="31">
        <f>IF(AH90="Yes due to Product Mix change or Operating Leverage",10,IF(AH90="Yes, these are peak margins",-5,IF(AH90="No",5,0)))</f>
        <v/>
      </c>
      <c r="AJ90" s="31" t="n"/>
      <c r="AK90" s="31">
        <f>IF(AJ90="Stable",10,0)</f>
        <v/>
      </c>
      <c r="AL90" s="31" t="n"/>
      <c r="AM90" s="31">
        <f>IF(AL90="Yes",10,0)</f>
        <v/>
      </c>
      <c r="AN90" s="31" t="n"/>
      <c r="AO90" s="31">
        <f>IF(AN90="B2C",10,IF(AN90="B2B",5,0))</f>
        <v/>
      </c>
      <c r="AP90" s="31" t="n"/>
      <c r="AQ90" s="31">
        <f>IF(AP90="Yes",10,0)</f>
        <v/>
      </c>
      <c r="AR90" s="31" t="n"/>
      <c r="AS90" s="31">
        <f>IF(AR90="Fully Annuity",10,IF(AR90="Higher Annuity, Lower One Time",5,IF(AR90="Higher One Time, Lower Annuity",3,0)))</f>
        <v/>
      </c>
      <c r="AT90" s="31" t="n"/>
      <c r="AU90" s="31">
        <f>IF(AT90="Good",10,0)</f>
        <v/>
      </c>
      <c r="AV90" s="31" t="n"/>
      <c r="AW90" s="31">
        <f>IF(AV90="Yes for more than 2 years",10,IF(AV90="Yes only for next 1 to 2 years",5,0))</f>
        <v/>
      </c>
      <c r="AX90" s="31" t="n"/>
      <c r="AY90" s="31">
        <f>IF(AX90="Above 40",20,IF(AX90="20 to 40",10,IF(AX90="0 to 20",-5,0)))</f>
        <v/>
      </c>
      <c r="AZ90" s="31" t="n"/>
      <c r="BA90" s="31">
        <f>IF(AZ90="Between 50 to 75",10,IF(AZ90="Above 75",0,0))</f>
        <v/>
      </c>
      <c r="BB90" s="31" t="n"/>
      <c r="BC90" s="31">
        <f>IF(BB90="Stage 2",20,IF(BB90="Stage 1",0,IF(BB90="Stage 3",5,IF(BB90="Stage 4",-5,0))))</f>
        <v/>
      </c>
      <c r="BD90" s="31" t="n"/>
      <c r="BE90" s="31">
        <f>IF(BD90="Positive Trend",20,IF(BD90="Negative Trend",-10,0))</f>
        <v/>
      </c>
      <c r="BF90" s="31" t="n"/>
      <c r="BG90" s="31">
        <f>IF(BF90="Uptrend",10,IF(BF90="Sideways",5,0))</f>
        <v/>
      </c>
      <c r="BH90" s="31" t="n"/>
      <c r="BI90" s="31">
        <f>IF(BH90="Uptrend",10,IF(BH90="Sideways",5,0))</f>
        <v/>
      </c>
      <c r="BJ90" s="31" t="n"/>
      <c r="BK90" s="31">
        <f>IF(BJ90="Overhead supply in last 2 years in last 2 years",-5,IF(BJ90="Close to 52 week high or retracement",5,IF(BJ90="Blue sky scenario",10,IF(BJ90="Long term Downtrend",-10,0))))</f>
        <v/>
      </c>
      <c r="BL90" s="31" t="n"/>
      <c r="BM90" s="31">
        <f>IF(BL90="Yes",10,0)</f>
        <v/>
      </c>
      <c r="BN90" s="31" t="n"/>
      <c r="BO90" s="31">
        <f>IF(BN90="More than 20%",10,IF(BN90="Between 12 to 20%",5,IF(BN90="Less than 12%",0,0)))</f>
        <v/>
      </c>
      <c r="BP90" s="31" t="n"/>
      <c r="BQ90" s="31">
        <f>IF(BP90="No",10,0)</f>
        <v/>
      </c>
      <c r="BR90" s="31" t="n"/>
      <c r="BS90" s="31">
        <f>IF(BR90="NO",5,0)</f>
        <v/>
      </c>
      <c r="BT90" s="31" t="n"/>
      <c r="BU90" s="31">
        <f>IF(BT90="Above 2",0,IF(BT90="Between 1.5 to 2",5,IF(BT90="Less than 1.5",10,0)))</f>
        <v/>
      </c>
      <c r="BV90" s="31" t="n"/>
      <c r="BW90" s="31">
        <f>IF(BV90="Above 70%",10,IF(BV90="Between 50% to 70%",5,IF(BV90="Less than 50%",0,IF(BV90="Negative",-10,IF(BV90="Less than 50% and Borrowings are increasing",-5,0)))))</f>
        <v/>
      </c>
      <c r="BX90" s="31" t="n"/>
      <c r="BY90" s="31">
        <f>IF(BX90="More than 1.2",-10,IF(BX90="Between 0.7 to 1.2",0,IF(BX90="Less than 0.7",10,0)))</f>
        <v/>
      </c>
      <c r="BZ90" s="31" t="n"/>
      <c r="CA90" s="31">
        <f>IF(BZ90="Yes",-10,0)</f>
        <v/>
      </c>
      <c r="CB90" s="31" t="n"/>
      <c r="CC90" s="31">
        <f>IF(CB90="More than 15%",-10,IF(CB90="Less than 15%",10,0))</f>
        <v/>
      </c>
      <c r="CD90" s="31" t="n"/>
      <c r="CE90" s="31">
        <f>IF(CD90="Yes, more than 10%",-10,IF(CD90="No",10,0))</f>
        <v/>
      </c>
      <c r="CF90" s="31" t="n"/>
      <c r="CG90" s="31">
        <f>IF(CF90&gt;20,10,IF(CF90&gt;=10,5,2))</f>
        <v/>
      </c>
    </row>
    <row r="91">
      <c r="A91" s="31">
        <f>IF(B91=0,"",RANK(B91,$B$2:$B$91,0))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ACGL</t>
        </is>
      </c>
      <c r="D91" s="31" t="inlineStr">
        <is>
          <t>Automobile Corporation Of Goa Ltd</t>
        </is>
      </c>
      <c r="E91" s="31" t="inlineStr">
        <is>
          <t>unknown</t>
        </is>
      </c>
      <c r="F91" s="31" t="inlineStr">
        <is>
          <t>Auto Ancillaries - Diversified</t>
        </is>
      </c>
      <c r="G91" s="31" t="inlineStr">
        <is>
          <t>smallcap</t>
        </is>
      </c>
      <c r="H91" s="32" t="n">
        <v>1396.12</v>
      </c>
      <c r="I91" s="32" t="n">
        <v>2293</v>
      </c>
      <c r="J91" s="32" t="n">
        <v>0.39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inlineStr"/>
      <c r="P91" s="32" t="inlineStr"/>
      <c r="Q91" s="32" t="inlineStr"/>
      <c r="R91" s="31" t="inlineStr"/>
      <c r="S91" s="31" t="inlineStr"/>
      <c r="T91" s="32" t="inlineStr"/>
      <c r="U91" s="32" t="inlineStr"/>
      <c r="V91" s="32" t="inlineStr"/>
      <c r="W91" s="32" t="inlineStr"/>
      <c r="X91" s="31" t="n"/>
      <c r="Y91" s="31">
        <f>IF(X91="Growing Industry",10,IF(X91="Cyclical in an Upturn",5,0))</f>
        <v/>
      </c>
      <c r="Z91" s="31" t="n"/>
      <c r="AA91" s="31">
        <f>IF(Z91="Monopoly",10,IF(Z91="Oligopoly",5,IF(Z91="Duopoly that cooperate",10,IF(Z91="Duopoly that compete",5,IF(Z91="Too many players with High ROCE",5,0)))))</f>
        <v/>
      </c>
      <c r="AB91" s="31" t="n"/>
      <c r="AC91" s="31">
        <f>IF(AB91="No",5,0)</f>
        <v/>
      </c>
      <c r="AD91" s="31" t="n"/>
      <c r="AE91" s="31">
        <f>IF(AD91="Tailwind",10,0)</f>
        <v/>
      </c>
      <c r="AF91" s="31" t="n"/>
      <c r="AG91" s="31">
        <f>IF(AF91="Structural (10 Years Consistency)",10,IF(AF91="Shallow Cyclical (2 to 3 years growth)",5,0))</f>
        <v/>
      </c>
      <c r="AH91" s="31" t="n"/>
      <c r="AI91" s="31">
        <f>IF(AH91="Yes due to Product Mix change or Operating Leverage",10,IF(AH91="Yes, these are peak margins",-5,IF(AH91="No",5,0)))</f>
        <v/>
      </c>
      <c r="AJ91" s="31" t="n"/>
      <c r="AK91" s="31">
        <f>IF(AJ91="Stable",10,0)</f>
        <v/>
      </c>
      <c r="AL91" s="31" t="n"/>
      <c r="AM91" s="31">
        <f>IF(AL91="Yes",10,0)</f>
        <v/>
      </c>
      <c r="AN91" s="31" t="n"/>
      <c r="AO91" s="31">
        <f>IF(AN91="B2C",10,IF(AN91="B2B",5,0))</f>
        <v/>
      </c>
      <c r="AP91" s="31" t="n"/>
      <c r="AQ91" s="31">
        <f>IF(AP91="Yes",10,0)</f>
        <v/>
      </c>
      <c r="AR91" s="31" t="n"/>
      <c r="AS91" s="31">
        <f>IF(AR91="Fully Annuity",10,IF(AR91="Higher Annuity, Lower One Time",5,IF(AR91="Higher One Time, Lower Annuity",3,0)))</f>
        <v/>
      </c>
      <c r="AT91" s="31" t="n"/>
      <c r="AU91" s="31">
        <f>IF(AT91="Good",10,0)</f>
        <v/>
      </c>
      <c r="AV91" s="31" t="n"/>
      <c r="AW91" s="31">
        <f>IF(AV91="Yes for more than 2 years",10,IF(AV91="Yes only for next 1 to 2 years",5,0))</f>
        <v/>
      </c>
      <c r="AX91" s="31" t="n"/>
      <c r="AY91" s="31">
        <f>IF(AX91="Above 40",20,IF(AX91="20 to 40",10,IF(AX91="0 to 20",-5,0)))</f>
        <v/>
      </c>
      <c r="AZ91" s="31" t="n"/>
      <c r="BA91" s="31">
        <f>IF(AZ91="Between 50 to 75",10,IF(AZ91="Above 75",0,0))</f>
        <v/>
      </c>
      <c r="BB91" s="31" t="n"/>
      <c r="BC91" s="31">
        <f>IF(BB91="Stage 2",20,IF(BB91="Stage 1",0,IF(BB91="Stage 3",5,IF(BB91="Stage 4",-5,0))))</f>
        <v/>
      </c>
      <c r="BD91" s="31" t="n"/>
      <c r="BE91" s="31">
        <f>IF(BD91="Positive Trend",20,IF(BD91="Negative Trend",-10,0))</f>
        <v/>
      </c>
      <c r="BF91" s="31" t="n"/>
      <c r="BG91" s="31">
        <f>IF(BF91="Uptrend",10,IF(BF91="Sideways",5,0))</f>
        <v/>
      </c>
      <c r="BH91" s="31" t="n"/>
      <c r="BI91" s="31">
        <f>IF(BH91="Uptrend",10,IF(BH91="Sideways",5,0))</f>
        <v/>
      </c>
      <c r="BJ91" s="31" t="n"/>
      <c r="BK91" s="31">
        <f>IF(BJ91="Overhead supply in last 2 years in last 2 years",-5,IF(BJ91="Close to 52 week high or retracement",5,IF(BJ91="Blue sky scenario",10,IF(BJ91="Long term Downtrend",-10,0))))</f>
        <v/>
      </c>
      <c r="BL91" s="31" t="n"/>
      <c r="BM91" s="31">
        <f>IF(BL91="Yes",10,0)</f>
        <v/>
      </c>
      <c r="BN91" s="31" t="n"/>
      <c r="BO91" s="31">
        <f>IF(BN91="More than 20%",10,IF(BN91="Between 12 to 20%",5,IF(BN91="Less than 12%",0,0)))</f>
        <v/>
      </c>
      <c r="BP91" s="31" t="n"/>
      <c r="BQ91" s="31">
        <f>IF(BP91="No",10,0)</f>
        <v/>
      </c>
      <c r="BR91" s="31" t="n"/>
      <c r="BS91" s="31">
        <f>IF(BR91="NO",5,0)</f>
        <v/>
      </c>
      <c r="BT91" s="31" t="n"/>
      <c r="BU91" s="31">
        <f>IF(BT91="Above 2",0,IF(BT91="Between 1.5 to 2",5,IF(BT91="Less than 1.5",10,0)))</f>
        <v/>
      </c>
      <c r="BV91" s="31" t="n"/>
      <c r="BW91" s="31">
        <f>IF(BV91="Above 70%",10,IF(BV91="Between 50% to 70%",5,IF(BV91="Less than 50%",0,IF(BV91="Negative",-10,IF(BV91="Less than 50% and Borrowings are increasing",-5,0)))))</f>
        <v/>
      </c>
      <c r="BX91" s="31" t="n"/>
      <c r="BY91" s="31">
        <f>IF(BX91="More than 1.2",-10,IF(BX91="Between 0.7 to 1.2",0,IF(BX91="Less than 0.7",10,0)))</f>
        <v/>
      </c>
      <c r="BZ91" s="31" t="n"/>
      <c r="CA91" s="31">
        <f>IF(BZ91="Yes",-10,0)</f>
        <v/>
      </c>
      <c r="CB91" s="31" t="n"/>
      <c r="CC91" s="31">
        <f>IF(CB91="More than 15%",-10,IF(CB91="Less than 15%",10,0))</f>
        <v/>
      </c>
      <c r="CD91" s="31" t="n"/>
      <c r="CE91" s="31">
        <f>IF(CD91="Yes, more than 10%",-10,IF(CD91="No",10,0))</f>
        <v/>
      </c>
      <c r="CF91" s="31" t="n"/>
      <c r="CG91" s="31">
        <f>IF(CF91&gt;20,10,IF(CF91&gt;=10,5,2))</f>
        <v/>
      </c>
    </row>
    <row r="95">
      <c r="A95" s="25" t="inlineStr">
        <is>
          <t>❌ REMOVED SCAN MATCH STOCKS (THIS WEEK)</t>
        </is>
      </c>
    </row>
    <row r="96">
      <c r="A96" s="35" t="inlineStr">
        <is>
          <t>Symbol</t>
        </is>
      </c>
      <c r="B96" s="35" t="inlineStr">
        <is>
          <t>Company Name</t>
        </is>
      </c>
      <c r="C96" s="35" t="inlineStr">
        <is>
          <t>Sector</t>
        </is>
      </c>
      <c r="D96" s="35" t="inlineStr">
        <is>
          <t>Date of Removal</t>
        </is>
      </c>
    </row>
    <row r="97">
      <c r="A97" s="36" t="inlineStr">
        <is>
          <t>ACCENTMIC</t>
        </is>
      </c>
      <c r="B97" s="37" t="inlineStr">
        <is>
          <t>ACCENTMIC</t>
        </is>
      </c>
      <c r="C97" s="37" t="inlineStr">
        <is>
          <t>unknown</t>
        </is>
      </c>
      <c r="D97" s="38" t="inlineStr">
        <is>
          <t>2026-07-01</t>
        </is>
      </c>
    </row>
    <row r="98">
      <c r="A98" s="36" t="inlineStr">
        <is>
          <t>ACGL</t>
        </is>
      </c>
      <c r="B98" s="37" t="inlineStr">
        <is>
          <t>ACGL</t>
        </is>
      </c>
      <c r="C98" s="37" t="inlineStr">
        <is>
          <t>unknown</t>
        </is>
      </c>
      <c r="D98" s="38" t="inlineStr">
        <is>
          <t>2026-07-02</t>
        </is>
      </c>
    </row>
    <row r="99">
      <c r="A99" s="36" t="inlineStr">
        <is>
          <t>ANTELOPUS</t>
        </is>
      </c>
      <c r="B99" s="37" t="inlineStr">
        <is>
          <t>ANTELOPUS</t>
        </is>
      </c>
      <c r="C99" s="37" t="inlineStr">
        <is>
          <t>unknown</t>
        </is>
      </c>
      <c r="D99" s="38" t="inlineStr">
        <is>
          <t>2026-07-01</t>
        </is>
      </c>
    </row>
    <row r="100">
      <c r="A100" s="36" t="inlineStr">
        <is>
          <t>ASHAPURMIN</t>
        </is>
      </c>
      <c r="B100" s="37" t="inlineStr">
        <is>
          <t>ASHAPURMIN</t>
        </is>
      </c>
      <c r="C100" s="37" t="inlineStr">
        <is>
          <t>unknown</t>
        </is>
      </c>
      <c r="D100" s="38" t="inlineStr">
        <is>
          <t>2026-07-01</t>
        </is>
      </c>
    </row>
    <row r="101">
      <c r="A101" s="36" t="inlineStr">
        <is>
          <t>BETA</t>
        </is>
      </c>
      <c r="B101" s="37" t="inlineStr">
        <is>
          <t>BETA</t>
        </is>
      </c>
      <c r="C101" s="37" t="inlineStr">
        <is>
          <t>unknown</t>
        </is>
      </c>
      <c r="D101" s="38" t="inlineStr">
        <is>
          <t>2026-06-30</t>
        </is>
      </c>
    </row>
    <row r="102">
      <c r="A102" s="36" t="inlineStr">
        <is>
          <t>CARTRADE</t>
        </is>
      </c>
      <c r="B102" s="37" t="inlineStr">
        <is>
          <t>CarTrade Tech Limited</t>
        </is>
      </c>
      <c r="C102" s="37" t="inlineStr">
        <is>
          <t>Consumer Cyclical</t>
        </is>
      </c>
      <c r="D102" s="38" t="inlineStr">
        <is>
          <t>2026-07-02</t>
        </is>
      </c>
    </row>
    <row r="103">
      <c r="A103" s="36" t="inlineStr">
        <is>
          <t>CIANAGRO</t>
        </is>
      </c>
      <c r="B103" s="37" t="inlineStr">
        <is>
          <t>CIANAGRO</t>
        </is>
      </c>
      <c r="C103" s="37" t="inlineStr">
        <is>
          <t>unknown</t>
        </is>
      </c>
      <c r="D103" s="38" t="inlineStr">
        <is>
          <t>2026-07-01</t>
        </is>
      </c>
    </row>
    <row r="104">
      <c r="A104" s="36" t="inlineStr">
        <is>
          <t>CNL</t>
        </is>
      </c>
      <c r="B104" s="37" t="inlineStr">
        <is>
          <t>CNL</t>
        </is>
      </c>
      <c r="C104" s="37" t="inlineStr">
        <is>
          <t>unknown</t>
        </is>
      </c>
      <c r="D104" s="38" t="inlineStr">
        <is>
          <t>2026-07-02</t>
        </is>
      </c>
    </row>
    <row r="105">
      <c r="A105" s="36" t="inlineStr">
        <is>
          <t>COCKERILL</t>
        </is>
      </c>
      <c r="B105" s="37" t="inlineStr">
        <is>
          <t>COCKERILL</t>
        </is>
      </c>
      <c r="C105" s="37" t="inlineStr">
        <is>
          <t>unknown</t>
        </is>
      </c>
      <c r="D105" s="38" t="inlineStr">
        <is>
          <t>2026-07-01</t>
        </is>
      </c>
    </row>
    <row r="106">
      <c r="A106" s="36" t="inlineStr">
        <is>
          <t>CPPLUS</t>
        </is>
      </c>
      <c r="B106" s="37" t="inlineStr">
        <is>
          <t>CPPLUS</t>
        </is>
      </c>
      <c r="C106" s="37" t="inlineStr">
        <is>
          <t>unknown</t>
        </is>
      </c>
      <c r="D106" s="38" t="inlineStr">
        <is>
          <t>2026-07-01</t>
        </is>
      </c>
    </row>
    <row r="107">
      <c r="A107" s="36" t="inlineStr">
        <is>
          <t>DIACABS</t>
        </is>
      </c>
      <c r="B107" s="37" t="inlineStr">
        <is>
          <t>Diamond Power Infrastructure Limited</t>
        </is>
      </c>
      <c r="C107" s="37" t="inlineStr">
        <is>
          <t>Industrials</t>
        </is>
      </c>
      <c r="D107" s="38" t="inlineStr">
        <is>
          <t>2026-07-01</t>
        </is>
      </c>
    </row>
    <row r="108">
      <c r="A108" s="36" t="inlineStr">
        <is>
          <t>FCL</t>
        </is>
      </c>
      <c r="B108" s="37" t="inlineStr">
        <is>
          <t>FCL</t>
        </is>
      </c>
      <c r="C108" s="37" t="inlineStr">
        <is>
          <t>unknown</t>
        </is>
      </c>
      <c r="D108" s="38" t="inlineStr">
        <is>
          <t>2026-07-01</t>
        </is>
      </c>
    </row>
    <row r="109">
      <c r="A109" s="36" t="inlineStr">
        <is>
          <t>FIEMIND</t>
        </is>
      </c>
      <c r="B109" s="37" t="inlineStr">
        <is>
          <t>FIEMIND</t>
        </is>
      </c>
      <c r="C109" s="37" t="inlineStr">
        <is>
          <t>unknown</t>
        </is>
      </c>
      <c r="D109" s="38" t="inlineStr">
        <is>
          <t>2026-07-01</t>
        </is>
      </c>
    </row>
    <row r="110">
      <c r="A110" s="36" t="inlineStr">
        <is>
          <t>GOCLCORP</t>
        </is>
      </c>
      <c r="B110" s="37" t="inlineStr">
        <is>
          <t>GOCLCORP</t>
        </is>
      </c>
      <c r="C110" s="37" t="inlineStr">
        <is>
          <t>unknown</t>
        </is>
      </c>
      <c r="D110" s="38" t="inlineStr">
        <is>
          <t>2026-07-01</t>
        </is>
      </c>
    </row>
    <row r="111">
      <c r="A111" s="36" t="inlineStr">
        <is>
          <t>GUFICBIO</t>
        </is>
      </c>
      <c r="B111" s="37" t="inlineStr">
        <is>
          <t>Gufic Biosciences Limited</t>
        </is>
      </c>
      <c r="C111" s="37" t="inlineStr">
        <is>
          <t>Healthcare</t>
        </is>
      </c>
      <c r="D111" s="38" t="inlineStr">
        <is>
          <t>2026-07-01</t>
        </is>
      </c>
    </row>
    <row r="112">
      <c r="A112" s="36" t="inlineStr">
        <is>
          <t>GVT&amp;D</t>
        </is>
      </c>
      <c r="B112" s="37" t="inlineStr">
        <is>
          <t>GVT&amp;D</t>
        </is>
      </c>
      <c r="C112" s="37" t="inlineStr">
        <is>
          <t>unknown</t>
        </is>
      </c>
      <c r="D112" s="38" t="inlineStr">
        <is>
          <t>2026-07-01</t>
        </is>
      </c>
    </row>
    <row r="113">
      <c r="A113" s="36" t="inlineStr">
        <is>
          <t>HESTERBIO</t>
        </is>
      </c>
      <c r="B113" s="37" t="inlineStr">
        <is>
          <t>Hester Biosciences Limited</t>
        </is>
      </c>
      <c r="C113" s="37" t="inlineStr">
        <is>
          <t>Healthcare</t>
        </is>
      </c>
      <c r="D113" s="38" t="inlineStr">
        <is>
          <t>2026-07-01</t>
        </is>
      </c>
    </row>
    <row r="114">
      <c r="A114" s="36" t="inlineStr">
        <is>
          <t>HONASA</t>
        </is>
      </c>
      <c r="B114" s="37" t="inlineStr">
        <is>
          <t>Honasa Consumer Limited</t>
        </is>
      </c>
      <c r="C114" s="37" t="inlineStr">
        <is>
          <t>Consumer Defensive</t>
        </is>
      </c>
      <c r="D114" s="38" t="inlineStr">
        <is>
          <t>2026-07-01</t>
        </is>
      </c>
    </row>
    <row r="115">
      <c r="A115" s="36" t="inlineStr">
        <is>
          <t>INDNIPPON</t>
        </is>
      </c>
      <c r="B115" s="37" t="inlineStr">
        <is>
          <t>India Nippon Electricals Limited</t>
        </is>
      </c>
      <c r="C115" s="37" t="inlineStr">
        <is>
          <t>Consumer Cyclical</t>
        </is>
      </c>
      <c r="D115" s="38" t="inlineStr">
        <is>
          <t>2026-07-01</t>
        </is>
      </c>
    </row>
    <row r="116">
      <c r="A116" s="36" t="inlineStr">
        <is>
          <t>INDOBORAX</t>
        </is>
      </c>
      <c r="B116" s="37" t="inlineStr">
        <is>
          <t>Indo Borax &amp; Chemicals Limited</t>
        </is>
      </c>
      <c r="C116" s="37" t="inlineStr">
        <is>
          <t>Basic Materials</t>
        </is>
      </c>
      <c r="D116" s="38" t="inlineStr">
        <is>
          <t>2026-07-01</t>
        </is>
      </c>
    </row>
    <row r="117">
      <c r="A117" s="36" t="inlineStr">
        <is>
          <t>KDDL</t>
        </is>
      </c>
      <c r="B117" s="37" t="inlineStr">
        <is>
          <t>KDDL Limited</t>
        </is>
      </c>
      <c r="C117" s="37" t="inlineStr">
        <is>
          <t>Consumer Cyclical</t>
        </is>
      </c>
      <c r="D117" s="38" t="inlineStr">
        <is>
          <t>2026-07-02</t>
        </is>
      </c>
    </row>
    <row r="118">
      <c r="A118" s="36" t="inlineStr">
        <is>
          <t>KINGFA</t>
        </is>
      </c>
      <c r="B118" s="37" t="inlineStr">
        <is>
          <t>KINGFA</t>
        </is>
      </c>
      <c r="C118" s="37" t="inlineStr">
        <is>
          <t>unknown</t>
        </is>
      </c>
      <c r="D118" s="38" t="inlineStr">
        <is>
          <t>2026-07-01</t>
        </is>
      </c>
    </row>
    <row r="119">
      <c r="A119" s="36" t="inlineStr">
        <is>
          <t>KIRLPNU</t>
        </is>
      </c>
      <c r="B119" s="37" t="inlineStr">
        <is>
          <t>Kirloskar Pneumatic Company Limited</t>
        </is>
      </c>
      <c r="C119" s="37" t="inlineStr">
        <is>
          <t>Industrials</t>
        </is>
      </c>
      <c r="D119" s="38" t="inlineStr">
        <is>
          <t>2026-07-02</t>
        </is>
      </c>
    </row>
    <row r="120">
      <c r="A120" s="36" t="inlineStr">
        <is>
          <t>KRISHNADEF</t>
        </is>
      </c>
      <c r="B120" s="37" t="inlineStr">
        <is>
          <t>KRISHNADEF</t>
        </is>
      </c>
      <c r="C120" s="37" t="inlineStr">
        <is>
          <t>unknown</t>
        </is>
      </c>
      <c r="D120" s="38" t="inlineStr">
        <is>
          <t>2026-07-01</t>
        </is>
      </c>
    </row>
    <row r="121">
      <c r="A121" s="36" t="inlineStr">
        <is>
          <t>KSHINTL</t>
        </is>
      </c>
      <c r="B121" s="37" t="inlineStr">
        <is>
          <t>KSHINTL</t>
        </is>
      </c>
      <c r="C121" s="37" t="inlineStr">
        <is>
          <t>unknown</t>
        </is>
      </c>
      <c r="D121" s="38" t="inlineStr">
        <is>
          <t>2026-07-01</t>
        </is>
      </c>
    </row>
    <row r="122">
      <c r="A122" s="36" t="inlineStr">
        <is>
          <t>LAURUSLABS</t>
        </is>
      </c>
      <c r="B122" s="37" t="inlineStr">
        <is>
          <t>Laurus Labs Limited</t>
        </is>
      </c>
      <c r="C122" s="37" t="inlineStr">
        <is>
          <t>Healthcare</t>
        </is>
      </c>
      <c r="D122" s="38" t="inlineStr">
        <is>
          <t>2026-07-01</t>
        </is>
      </c>
    </row>
    <row r="123">
      <c r="A123" s="36" t="inlineStr">
        <is>
          <t>LLOYDSENGG</t>
        </is>
      </c>
      <c r="B123" s="37" t="inlineStr">
        <is>
          <t>Lloyds Engineering Works Limited</t>
        </is>
      </c>
      <c r="C123" s="37" t="inlineStr">
        <is>
          <t>Industrials</t>
        </is>
      </c>
      <c r="D123" s="38" t="inlineStr">
        <is>
          <t>2026-07-02</t>
        </is>
      </c>
    </row>
    <row r="124">
      <c r="A124" s="36" t="inlineStr">
        <is>
          <t>LLOYDSENT</t>
        </is>
      </c>
      <c r="B124" s="37" t="inlineStr">
        <is>
          <t>Lloyds Enterprises Limited</t>
        </is>
      </c>
      <c r="C124" s="37" t="inlineStr">
        <is>
          <t>Basic Materials</t>
        </is>
      </c>
      <c r="D124" s="38" t="inlineStr">
        <is>
          <t>2026-06-30</t>
        </is>
      </c>
    </row>
    <row r="125">
      <c r="A125" s="36" t="inlineStr">
        <is>
          <t>LLOYDSME</t>
        </is>
      </c>
      <c r="B125" s="37" t="inlineStr">
        <is>
          <t>Lloyds Metals and Energy Limited</t>
        </is>
      </c>
      <c r="C125" s="37" t="inlineStr">
        <is>
          <t>Basic Materials</t>
        </is>
      </c>
      <c r="D125" s="38" t="inlineStr">
        <is>
          <t>2026-07-02</t>
        </is>
      </c>
    </row>
    <row r="126">
      <c r="A126" s="36" t="inlineStr">
        <is>
          <t>MODISONLTD</t>
        </is>
      </c>
      <c r="B126" s="37" t="inlineStr">
        <is>
          <t>Modison Limited</t>
        </is>
      </c>
      <c r="C126" s="37" t="inlineStr">
        <is>
          <t>Industrials</t>
        </is>
      </c>
      <c r="D126" s="38" t="inlineStr">
        <is>
          <t>2026-07-01</t>
        </is>
      </c>
    </row>
    <row r="127">
      <c r="A127" s="36" t="inlineStr">
        <is>
          <t>MONOLITH</t>
        </is>
      </c>
      <c r="B127" s="37" t="inlineStr">
        <is>
          <t>MONOLITH</t>
        </is>
      </c>
      <c r="C127" s="37" t="inlineStr">
        <is>
          <t>unknown</t>
        </is>
      </c>
      <c r="D127" s="38" t="inlineStr">
        <is>
          <t>2026-06-30</t>
        </is>
      </c>
    </row>
    <row r="128">
      <c r="A128" s="36" t="inlineStr">
        <is>
          <t>MOTHERSON</t>
        </is>
      </c>
      <c r="B128" s="37" t="inlineStr">
        <is>
          <t>Samvardhana Motherson International Limited</t>
        </is>
      </c>
      <c r="C128" s="37" t="inlineStr">
        <is>
          <t>Consumer Cyclical</t>
        </is>
      </c>
      <c r="D128" s="38" t="inlineStr">
        <is>
          <t>2026-07-01</t>
        </is>
      </c>
    </row>
    <row r="129">
      <c r="A129" s="36" t="inlineStr">
        <is>
          <t>MSTCLTD</t>
        </is>
      </c>
      <c r="B129" s="37" t="inlineStr">
        <is>
          <t>MSTC Limited</t>
        </is>
      </c>
      <c r="C129" s="37" t="inlineStr">
        <is>
          <t>Industrials</t>
        </is>
      </c>
      <c r="D129" s="38" t="inlineStr">
        <is>
          <t>2026-07-02</t>
        </is>
      </c>
    </row>
    <row r="130">
      <c r="A130" s="36" t="inlineStr">
        <is>
          <t>MTARTECH</t>
        </is>
      </c>
      <c r="B130" s="37" t="inlineStr">
        <is>
          <t>MTARTECH</t>
        </is>
      </c>
      <c r="C130" s="37" t="inlineStr">
        <is>
          <t>unknown</t>
        </is>
      </c>
      <c r="D130" s="38" t="inlineStr">
        <is>
          <t>2026-07-01</t>
        </is>
      </c>
    </row>
    <row r="131">
      <c r="A131" s="36" t="inlineStr">
        <is>
          <t>NACLIND</t>
        </is>
      </c>
      <c r="B131" s="37" t="inlineStr">
        <is>
          <t>NACLIND</t>
        </is>
      </c>
      <c r="C131" s="37" t="inlineStr">
        <is>
          <t>unknown</t>
        </is>
      </c>
      <c r="D131" s="38" t="inlineStr">
        <is>
          <t>2026-07-02</t>
        </is>
      </c>
    </row>
    <row r="132">
      <c r="A132" s="36" t="inlineStr">
        <is>
          <t>NAVINFLUOR</t>
        </is>
      </c>
      <c r="B132" s="37" t="inlineStr">
        <is>
          <t>Navin Fluorine International Limited</t>
        </is>
      </c>
      <c r="C132" s="37" t="inlineStr">
        <is>
          <t>Basic Materials</t>
        </is>
      </c>
      <c r="D132" s="38" t="inlineStr">
        <is>
          <t>2026-06-30</t>
        </is>
      </c>
    </row>
    <row r="133">
      <c r="A133" s="36" t="inlineStr">
        <is>
          <t>NELCO</t>
        </is>
      </c>
      <c r="B133" s="37" t="inlineStr">
        <is>
          <t>Nelco Limited</t>
        </is>
      </c>
      <c r="C133" s="37" t="inlineStr">
        <is>
          <t>Technology</t>
        </is>
      </c>
      <c r="D133" s="38" t="inlineStr">
        <is>
          <t>2026-07-01</t>
        </is>
      </c>
    </row>
    <row r="134">
      <c r="A134" s="36" t="inlineStr">
        <is>
          <t>NETWEB</t>
        </is>
      </c>
      <c r="B134" s="37" t="inlineStr">
        <is>
          <t>NETWEB</t>
        </is>
      </c>
      <c r="C134" s="37" t="inlineStr">
        <is>
          <t>unknown</t>
        </is>
      </c>
      <c r="D134" s="38" t="inlineStr">
        <is>
          <t>2026-07-01</t>
        </is>
      </c>
    </row>
    <row r="135">
      <c r="A135" s="36" t="inlineStr">
        <is>
          <t>NGLFINE</t>
        </is>
      </c>
      <c r="B135" s="37" t="inlineStr">
        <is>
          <t>NGLFINE</t>
        </is>
      </c>
      <c r="C135" s="37" t="inlineStr">
        <is>
          <t>unknown</t>
        </is>
      </c>
      <c r="D135" s="38" t="inlineStr">
        <is>
          <t>2026-07-01</t>
        </is>
      </c>
    </row>
    <row r="136">
      <c r="A136" s="36" t="inlineStr">
        <is>
          <t>NIBE</t>
        </is>
      </c>
      <c r="B136" s="37" t="inlineStr">
        <is>
          <t>Nibe Limited</t>
        </is>
      </c>
      <c r="C136" s="37" t="inlineStr">
        <is>
          <t>Industrials</t>
        </is>
      </c>
      <c r="D136" s="38" t="inlineStr">
        <is>
          <t>2026-07-01</t>
        </is>
      </c>
    </row>
    <row r="137">
      <c r="A137" s="36" t="inlineStr">
        <is>
          <t>NITTAGELA</t>
        </is>
      </c>
      <c r="B137" s="37" t="inlineStr">
        <is>
          <t>NITTAGELA</t>
        </is>
      </c>
      <c r="C137" s="37" t="inlineStr">
        <is>
          <t>unknown</t>
        </is>
      </c>
      <c r="D137" s="38" t="inlineStr">
        <is>
          <t>2026-07-01</t>
        </is>
      </c>
    </row>
    <row r="138">
      <c r="A138" s="36" t="inlineStr">
        <is>
          <t>NSLNISP</t>
        </is>
      </c>
      <c r="B138" s="37" t="inlineStr">
        <is>
          <t>NSLNISP</t>
        </is>
      </c>
      <c r="C138" s="37" t="inlineStr">
        <is>
          <t>unknown</t>
        </is>
      </c>
      <c r="D138" s="38" t="inlineStr">
        <is>
          <t>2026-07-01</t>
        </is>
      </c>
    </row>
    <row r="139">
      <c r="A139" s="36" t="inlineStr">
        <is>
          <t>OBSCP</t>
        </is>
      </c>
      <c r="B139" s="37" t="inlineStr">
        <is>
          <t>OBSCP</t>
        </is>
      </c>
      <c r="C139" s="37" t="inlineStr">
        <is>
          <t>unknown</t>
        </is>
      </c>
      <c r="D139" s="38" t="inlineStr">
        <is>
          <t>2026-07-01</t>
        </is>
      </c>
    </row>
    <row r="140">
      <c r="A140" s="36" t="inlineStr">
        <is>
          <t>OLECTRA</t>
        </is>
      </c>
      <c r="B140" s="37" t="inlineStr">
        <is>
          <t>Olectra Greentech Limited</t>
        </is>
      </c>
      <c r="C140" s="37" t="inlineStr">
        <is>
          <t>Industrials</t>
        </is>
      </c>
      <c r="D140" s="38" t="inlineStr">
        <is>
          <t>2026-07-02</t>
        </is>
      </c>
    </row>
    <row r="141">
      <c r="A141" s="36" t="inlineStr">
        <is>
          <t>ONEGLOBAL</t>
        </is>
      </c>
      <c r="B141" s="37" t="inlineStr">
        <is>
          <t>ONEGLOBAL</t>
        </is>
      </c>
      <c r="C141" s="37" t="inlineStr">
        <is>
          <t>unknown</t>
        </is>
      </c>
      <c r="D141" s="38" t="inlineStr">
        <is>
          <t>2026-07-01</t>
        </is>
      </c>
    </row>
    <row r="142">
      <c r="A142" s="36" t="inlineStr">
        <is>
          <t>ONIXSOLAR</t>
        </is>
      </c>
      <c r="B142" s="37" t="inlineStr">
        <is>
          <t>ONIXSOLAR</t>
        </is>
      </c>
      <c r="C142" s="37" t="inlineStr">
        <is>
          <t>unknown</t>
        </is>
      </c>
      <c r="D142" s="38" t="inlineStr">
        <is>
          <t>2026-07-01</t>
        </is>
      </c>
    </row>
    <row r="143">
      <c r="A143" s="36" t="inlineStr">
        <is>
          <t>PGHL</t>
        </is>
      </c>
      <c r="B143" s="37" t="inlineStr">
        <is>
          <t>Procter &amp; Gamble Health Limited</t>
        </is>
      </c>
      <c r="C143" s="37" t="inlineStr">
        <is>
          <t>Healthcare</t>
        </is>
      </c>
      <c r="D143" s="38" t="inlineStr">
        <is>
          <t>2026-07-01</t>
        </is>
      </c>
    </row>
    <row r="144">
      <c r="A144" s="36" t="inlineStr">
        <is>
          <t>POWERINDIA</t>
        </is>
      </c>
      <c r="B144" s="37" t="inlineStr">
        <is>
          <t>POWERINDIA</t>
        </is>
      </c>
      <c r="C144" s="37" t="inlineStr">
        <is>
          <t>unknown</t>
        </is>
      </c>
      <c r="D144" s="38" t="inlineStr">
        <is>
          <t>2026-07-01</t>
        </is>
      </c>
    </row>
    <row r="145">
      <c r="A145" s="36" t="inlineStr">
        <is>
          <t>PRECWIRE</t>
        </is>
      </c>
      <c r="B145" s="37" t="inlineStr">
        <is>
          <t>PRECWIRE</t>
        </is>
      </c>
      <c r="C145" s="37" t="inlineStr">
        <is>
          <t>unknown</t>
        </is>
      </c>
      <c r="D145" s="38" t="inlineStr">
        <is>
          <t>2026-07-01</t>
        </is>
      </c>
    </row>
    <row r="146">
      <c r="A146" s="36" t="inlineStr">
        <is>
          <t>PREMEXPLN</t>
        </is>
      </c>
      <c r="B146" s="37" t="inlineStr">
        <is>
          <t>Premier Explosives Limited</t>
        </is>
      </c>
      <c r="C146" s="37" t="inlineStr">
        <is>
          <t>Basic Materials</t>
        </is>
      </c>
      <c r="D146" s="38" t="inlineStr">
        <is>
          <t>2026-07-02</t>
        </is>
      </c>
    </row>
    <row r="147">
      <c r="A147" s="36" t="inlineStr">
        <is>
          <t>PREMIERENE</t>
        </is>
      </c>
      <c r="B147" s="37" t="inlineStr">
        <is>
          <t>PREMIERENE</t>
        </is>
      </c>
      <c r="C147" s="37" t="inlineStr">
        <is>
          <t>unknown</t>
        </is>
      </c>
      <c r="D147" s="38" t="inlineStr">
        <is>
          <t>2026-07-01</t>
        </is>
      </c>
    </row>
    <row r="148">
      <c r="A148" s="36" t="inlineStr">
        <is>
          <t>PTCIL</t>
        </is>
      </c>
      <c r="B148" s="37" t="inlineStr">
        <is>
          <t>PTCIL</t>
        </is>
      </c>
      <c r="C148" s="37" t="inlineStr">
        <is>
          <t>unknown</t>
        </is>
      </c>
      <c r="D148" s="38" t="inlineStr">
        <is>
          <t>2026-07-01</t>
        </is>
      </c>
    </row>
    <row r="149">
      <c r="A149" s="36" t="inlineStr">
        <is>
          <t>RAIN</t>
        </is>
      </c>
      <c r="B149" s="37" t="inlineStr">
        <is>
          <t>RAIN</t>
        </is>
      </c>
      <c r="C149" s="37" t="inlineStr">
        <is>
          <t>unknown</t>
        </is>
      </c>
      <c r="D149" s="38" t="inlineStr">
        <is>
          <t>2026-07-01</t>
        </is>
      </c>
    </row>
    <row r="150">
      <c r="A150" s="36" t="inlineStr">
        <is>
          <t>RAMCOIND</t>
        </is>
      </c>
      <c r="B150" s="37" t="inlineStr">
        <is>
          <t>Ramco Industries Limited</t>
        </is>
      </c>
      <c r="C150" s="37" t="inlineStr">
        <is>
          <t>Industrials</t>
        </is>
      </c>
      <c r="D150" s="38" t="inlineStr">
        <is>
          <t>2026-07-02</t>
        </is>
      </c>
    </row>
    <row r="151">
      <c r="A151" s="36" t="inlineStr">
        <is>
          <t>RATEGAIN</t>
        </is>
      </c>
      <c r="B151" s="37" t="inlineStr">
        <is>
          <t>RateGain Travel Technologies Limited</t>
        </is>
      </c>
      <c r="C151" s="37" t="inlineStr">
        <is>
          <t>Technology</t>
        </is>
      </c>
      <c r="D151" s="38" t="inlineStr">
        <is>
          <t>2026-07-02</t>
        </is>
      </c>
    </row>
    <row r="152">
      <c r="A152" s="36" t="inlineStr">
        <is>
          <t>REFEX</t>
        </is>
      </c>
      <c r="B152" s="37" t="inlineStr">
        <is>
          <t>REFEX</t>
        </is>
      </c>
      <c r="C152" s="37" t="inlineStr">
        <is>
          <t>unknown</t>
        </is>
      </c>
      <c r="D152" s="38" t="inlineStr">
        <is>
          <t>2026-07-01</t>
        </is>
      </c>
    </row>
    <row r="153">
      <c r="A153" s="36" t="inlineStr">
        <is>
          <t>RISHABH</t>
        </is>
      </c>
      <c r="B153" s="37" t="inlineStr">
        <is>
          <t>Rishabh Instruments Limited</t>
        </is>
      </c>
      <c r="C153" s="37" t="inlineStr">
        <is>
          <t>Technology</t>
        </is>
      </c>
      <c r="D153" s="38" t="inlineStr">
        <is>
          <t>2026-07-02</t>
        </is>
      </c>
    </row>
    <row r="154">
      <c r="A154" s="36" t="inlineStr">
        <is>
          <t>ROBU</t>
        </is>
      </c>
      <c r="B154" s="37" t="inlineStr">
        <is>
          <t>ROBU</t>
        </is>
      </c>
      <c r="C154" s="37" t="inlineStr">
        <is>
          <t>unknown</t>
        </is>
      </c>
      <c r="D154" s="38" t="inlineStr">
        <is>
          <t>2026-07-02</t>
        </is>
      </c>
    </row>
    <row r="155">
      <c r="A155" s="36" t="inlineStr">
        <is>
          <t>SAKAR</t>
        </is>
      </c>
      <c r="B155" s="37" t="inlineStr">
        <is>
          <t>Sakar Healthcare Limited</t>
        </is>
      </c>
      <c r="C155" s="37" t="inlineStr">
        <is>
          <t>Healthcare</t>
        </is>
      </c>
      <c r="D155" s="38" t="inlineStr">
        <is>
          <t>2026-07-01</t>
        </is>
      </c>
    </row>
    <row r="156">
      <c r="A156" s="36" t="inlineStr">
        <is>
          <t>SANDHAR</t>
        </is>
      </c>
      <c r="B156" s="37" t="inlineStr">
        <is>
          <t>Sandhar Technologies Limited</t>
        </is>
      </c>
      <c r="C156" s="37" t="inlineStr">
        <is>
          <t>Consumer Cyclical</t>
        </is>
      </c>
      <c r="D156" s="38" t="inlineStr">
        <is>
          <t>2026-07-01</t>
        </is>
      </c>
    </row>
    <row r="157">
      <c r="A157" s="36" t="inlineStr">
        <is>
          <t>SAREGAMA</t>
        </is>
      </c>
      <c r="B157" s="37" t="inlineStr">
        <is>
          <t>Saregama India Limited</t>
        </is>
      </c>
      <c r="C157" s="37" t="inlineStr">
        <is>
          <t>Communication Services</t>
        </is>
      </c>
      <c r="D157" s="38" t="inlineStr">
        <is>
          <t>2026-06-30</t>
        </is>
      </c>
    </row>
    <row r="158">
      <c r="A158" s="36" t="inlineStr">
        <is>
          <t>SASKEN</t>
        </is>
      </c>
      <c r="B158" s="37" t="inlineStr">
        <is>
          <t>SASKEN</t>
        </is>
      </c>
      <c r="C158" s="37" t="inlineStr">
        <is>
          <t>unknown</t>
        </is>
      </c>
      <c r="D158" s="38" t="inlineStr">
        <is>
          <t>2026-07-01</t>
        </is>
      </c>
    </row>
    <row r="159">
      <c r="A159" s="36" t="inlineStr">
        <is>
          <t>SEAMECLTD</t>
        </is>
      </c>
      <c r="B159" s="37" t="inlineStr">
        <is>
          <t>SEAMECLTD</t>
        </is>
      </c>
      <c r="C159" s="37" t="inlineStr">
        <is>
          <t>unknown</t>
        </is>
      </c>
      <c r="D159" s="38" t="inlineStr">
        <is>
          <t>2026-07-01</t>
        </is>
      </c>
    </row>
    <row r="160">
      <c r="A160" s="36" t="inlineStr">
        <is>
          <t>SIGNPOST</t>
        </is>
      </c>
      <c r="B160" s="37" t="inlineStr">
        <is>
          <t>Signpost India Limited</t>
        </is>
      </c>
      <c r="C160" s="37" t="inlineStr">
        <is>
          <t>Communication Services</t>
        </is>
      </c>
      <c r="D160" s="38" t="inlineStr">
        <is>
          <t>2026-07-01</t>
        </is>
      </c>
    </row>
    <row r="161">
      <c r="A161" s="36" t="inlineStr">
        <is>
          <t>SIS</t>
        </is>
      </c>
      <c r="B161" s="37" t="inlineStr">
        <is>
          <t>SIS</t>
        </is>
      </c>
      <c r="C161" s="37" t="inlineStr">
        <is>
          <t>unknown</t>
        </is>
      </c>
      <c r="D161" s="38" t="inlineStr">
        <is>
          <t>2026-07-01</t>
        </is>
      </c>
    </row>
    <row r="162">
      <c r="A162" s="36" t="inlineStr">
        <is>
          <t>SJS</t>
        </is>
      </c>
      <c r="B162" s="37" t="inlineStr">
        <is>
          <t>S.J.S. Enterprises Limited</t>
        </is>
      </c>
      <c r="C162" s="37" t="inlineStr">
        <is>
          <t>Consumer Cyclical</t>
        </is>
      </c>
      <c r="D162" s="38" t="inlineStr">
        <is>
          <t>2026-06-30</t>
        </is>
      </c>
    </row>
    <row r="163">
      <c r="A163" s="36" t="inlineStr">
        <is>
          <t>SPAL</t>
        </is>
      </c>
      <c r="B163" s="37" t="inlineStr">
        <is>
          <t>S.P. Apparels Limited</t>
        </is>
      </c>
      <c r="C163" s="37" t="inlineStr">
        <is>
          <t>Consumer Cyclical</t>
        </is>
      </c>
      <c r="D163" s="38" t="inlineStr">
        <is>
          <t>2026-06-30</t>
        </is>
      </c>
    </row>
    <row r="164">
      <c r="A164" s="36" t="inlineStr">
        <is>
          <t>SPARC</t>
        </is>
      </c>
      <c r="B164" s="37" t="inlineStr">
        <is>
          <t>Sun Pharma Advanced Research Company Limited</t>
        </is>
      </c>
      <c r="C164" s="37" t="inlineStr">
        <is>
          <t>Healthcare</t>
        </is>
      </c>
      <c r="D164" s="38" t="inlineStr">
        <is>
          <t>2026-07-01</t>
        </is>
      </c>
    </row>
    <row r="165">
      <c r="A165" s="36" t="inlineStr">
        <is>
          <t>STLTECH</t>
        </is>
      </c>
      <c r="B165" s="37" t="inlineStr">
        <is>
          <t>STLTECH</t>
        </is>
      </c>
      <c r="C165" s="37" t="inlineStr">
        <is>
          <t>unknown</t>
        </is>
      </c>
      <c r="D165" s="38" t="inlineStr">
        <is>
          <t>2026-07-01</t>
        </is>
      </c>
    </row>
    <row r="166">
      <c r="A166" s="36" t="inlineStr">
        <is>
          <t>STOVEKRAFT</t>
        </is>
      </c>
      <c r="B166" s="37" t="inlineStr">
        <is>
          <t>Stove Kraft Limited</t>
        </is>
      </c>
      <c r="C166" s="37" t="inlineStr">
        <is>
          <t>Consumer Cyclical</t>
        </is>
      </c>
      <c r="D166" s="38" t="inlineStr">
        <is>
          <t>2026-07-01</t>
        </is>
      </c>
    </row>
    <row r="167">
      <c r="A167" s="36" t="inlineStr">
        <is>
          <t>SUNRAKSHAK</t>
        </is>
      </c>
      <c r="B167" s="37" t="inlineStr">
        <is>
          <t>SUNRAKSHAK</t>
        </is>
      </c>
      <c r="C167" s="37" t="inlineStr">
        <is>
          <t>unknown</t>
        </is>
      </c>
      <c r="D167" s="38" t="inlineStr">
        <is>
          <t>2026-07-01</t>
        </is>
      </c>
    </row>
    <row r="168">
      <c r="A168" s="36" t="inlineStr">
        <is>
          <t>SUPRIYA</t>
        </is>
      </c>
      <c r="B168" s="37" t="inlineStr">
        <is>
          <t>Supriya Lifescience Limited</t>
        </is>
      </c>
      <c r="C168" s="37" t="inlineStr">
        <is>
          <t>Healthcare</t>
        </is>
      </c>
      <c r="D168" s="38" t="inlineStr">
        <is>
          <t>2026-07-01</t>
        </is>
      </c>
    </row>
    <row r="169">
      <c r="A169" s="36" t="inlineStr">
        <is>
          <t>TBZ</t>
        </is>
      </c>
      <c r="B169" s="37" t="inlineStr">
        <is>
          <t>Tribhovandas Bhimji Zaveri Limited</t>
        </is>
      </c>
      <c r="C169" s="37" t="inlineStr">
        <is>
          <t>Consumer Cyclical</t>
        </is>
      </c>
      <c r="D169" s="38" t="inlineStr">
        <is>
          <t>2026-07-01</t>
        </is>
      </c>
    </row>
    <row r="170">
      <c r="A170" s="36" t="inlineStr">
        <is>
          <t>UNIPARTS</t>
        </is>
      </c>
      <c r="B170" s="37" t="inlineStr">
        <is>
          <t>Uniparts India Limited</t>
        </is>
      </c>
      <c r="C170" s="37" t="inlineStr">
        <is>
          <t>Industrials</t>
        </is>
      </c>
      <c r="D170" s="38" t="inlineStr">
        <is>
          <t>2026-07-01</t>
        </is>
      </c>
    </row>
    <row r="171">
      <c r="A171" s="36" t="inlineStr">
        <is>
          <t>UNIVCABLES</t>
        </is>
      </c>
      <c r="B171" s="37" t="inlineStr">
        <is>
          <t>UNIVCABLES</t>
        </is>
      </c>
      <c r="C171" s="37" t="inlineStr">
        <is>
          <t>unknown</t>
        </is>
      </c>
      <c r="D171" s="38" t="inlineStr">
        <is>
          <t>2026-07-01</t>
        </is>
      </c>
    </row>
    <row r="172">
      <c r="A172" s="36" t="inlineStr">
        <is>
          <t>V2RETAIL</t>
        </is>
      </c>
      <c r="B172" s="37" t="inlineStr">
        <is>
          <t>V2RETAIL</t>
        </is>
      </c>
      <c r="C172" s="37" t="inlineStr">
        <is>
          <t>unknown</t>
        </is>
      </c>
      <c r="D172" s="38" t="inlineStr">
        <is>
          <t>2026-07-01</t>
        </is>
      </c>
    </row>
    <row r="173">
      <c r="A173" s="36" t="inlineStr">
        <is>
          <t>VALIANT</t>
        </is>
      </c>
      <c r="B173" s="37" t="inlineStr">
        <is>
          <t>VALIANT</t>
        </is>
      </c>
      <c r="C173" s="37" t="inlineStr">
        <is>
          <t>unknown</t>
        </is>
      </c>
      <c r="D173" s="38" t="inlineStr">
        <is>
          <t>2026-07-01</t>
        </is>
      </c>
    </row>
    <row r="174">
      <c r="A174" s="36" t="inlineStr">
        <is>
          <t>VEDL</t>
        </is>
      </c>
      <c r="B174" s="37" t="inlineStr">
        <is>
          <t>VEDL</t>
        </is>
      </c>
      <c r="C174" s="37" t="inlineStr">
        <is>
          <t>unknown</t>
        </is>
      </c>
      <c r="D174" s="38" t="inlineStr">
        <is>
          <t>2026-07-01</t>
        </is>
      </c>
    </row>
    <row r="175">
      <c r="A175" s="36" t="inlineStr">
        <is>
          <t>VENUSPIPES</t>
        </is>
      </c>
      <c r="B175" s="37" t="inlineStr">
        <is>
          <t>Venus Pipes and Tubes Limited</t>
        </is>
      </c>
      <c r="C175" s="37" t="inlineStr">
        <is>
          <t>Basic Materials</t>
        </is>
      </c>
      <c r="D175" s="38" t="inlineStr">
        <is>
          <t>2026-07-01</t>
        </is>
      </c>
    </row>
    <row r="176">
      <c r="A176" s="36" t="inlineStr">
        <is>
          <t>VENUSREM</t>
        </is>
      </c>
      <c r="B176" s="37" t="inlineStr">
        <is>
          <t>Venus Remedies Limited</t>
        </is>
      </c>
      <c r="C176" s="37" t="inlineStr">
        <is>
          <t>Healthcare</t>
        </is>
      </c>
      <c r="D176" s="38" t="inlineStr">
        <is>
          <t>2026-07-01</t>
        </is>
      </c>
    </row>
    <row r="177">
      <c r="A177" s="36" t="inlineStr">
        <is>
          <t>VERANDA</t>
        </is>
      </c>
      <c r="B177" s="37" t="inlineStr">
        <is>
          <t>Veranda Learning Solutions Limited</t>
        </is>
      </c>
      <c r="C177" s="37" t="inlineStr">
        <is>
          <t>Consumer Defensive</t>
        </is>
      </c>
      <c r="D177" s="38" t="inlineStr">
        <is>
          <t>2026-07-01</t>
        </is>
      </c>
    </row>
    <row r="178">
      <c r="A178" s="36" t="inlineStr">
        <is>
          <t>VMARCIND</t>
        </is>
      </c>
      <c r="B178" s="37" t="inlineStr">
        <is>
          <t>VMARCIND</t>
        </is>
      </c>
      <c r="C178" s="37" t="inlineStr">
        <is>
          <t>unknown</t>
        </is>
      </c>
      <c r="D178" s="38" t="inlineStr">
        <is>
          <t>2026-07-02</t>
        </is>
      </c>
    </row>
    <row r="179">
      <c r="A179" s="36" t="inlineStr">
        <is>
          <t>WELCORP</t>
        </is>
      </c>
      <c r="B179" s="37" t="inlineStr">
        <is>
          <t>Welspun Corp Limited</t>
        </is>
      </c>
      <c r="C179" s="37" t="inlineStr">
        <is>
          <t>Basic Materials</t>
        </is>
      </c>
      <c r="D179" s="38" t="inlineStr">
        <is>
          <t>2026-07-01</t>
        </is>
      </c>
    </row>
    <row r="180">
      <c r="A180" s="36" t="inlineStr">
        <is>
          <t>YASHHV</t>
        </is>
      </c>
      <c r="B180" s="37" t="inlineStr">
        <is>
          <t>YASHHV</t>
        </is>
      </c>
      <c r="C180" s="37" t="inlineStr">
        <is>
          <t>unknown</t>
        </is>
      </c>
      <c r="D180" s="38" t="inlineStr">
        <is>
          <t>2026-07-01</t>
        </is>
      </c>
    </row>
    <row r="181">
      <c r="A181" s="36" t="inlineStr">
        <is>
          <t>YASHO</t>
        </is>
      </c>
      <c r="B181" s="37" t="inlineStr">
        <is>
          <t>Yasho Industries Limited</t>
        </is>
      </c>
      <c r="C181" s="37" t="inlineStr">
        <is>
          <t>Basic Materials</t>
        </is>
      </c>
      <c r="D181" s="38" t="inlineStr">
        <is>
          <t>2026-07-01</t>
        </is>
      </c>
    </row>
  </sheetData>
  <autoFilter ref="A1:CG91"/>
  <conditionalFormatting sqref="B2:B9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1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1">
    <cfRule type="cellIs" priority="37" operator="equal" dxfId="3" stopIfTrue="1">
      <formula>"Underperforming"</formula>
    </cfRule>
  </conditionalFormatting>
  <conditionalFormatting sqref="N2:N91">
    <cfRule type="cellIs" priority="38" operator="equal" dxfId="3" stopIfTrue="1">
      <formula>-5</formula>
    </cfRule>
  </conditionalFormatting>
  <conditionalFormatting sqref="Q2:Q91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1" showDropDown="0" showInputMessage="0" showErrorMessage="0" allowBlank="1" type="list">
      <formula1>"Growing Industry,Stagnant Industry,Cyclical in an Upturn"</formula1>
    </dataValidation>
    <dataValidation sqref="Z2:Z9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1" showDropDown="0" showInputMessage="0" showErrorMessage="0" allowBlank="1" type="list">
      <formula1>"Yes,No"</formula1>
    </dataValidation>
    <dataValidation sqref="AD2:AD91" showDropDown="0" showInputMessage="0" showErrorMessage="0" allowBlank="1" type="list">
      <formula1>"Tailwind,Headwind"</formula1>
    </dataValidation>
    <dataValidation sqref="AF2:AF91" showDropDown="0" showInputMessage="0" showErrorMessage="0" allowBlank="1" type="list">
      <formula1>"Structural (10 Years Consistency),Shallow Cyclical (2 to 3 Years Growth),Cyclical"</formula1>
    </dataValidation>
    <dataValidation sqref="AH2:AH91" showDropDown="0" showInputMessage="0" showErrorMessage="0" allowBlank="1" type="list">
      <formula1>"Yes due to Product Mix change or Operating Leverage,Yes, these are peak margins,No"</formula1>
    </dataValidation>
    <dataValidation sqref="AJ2:AJ91" showDropDown="0" showInputMessage="0" showErrorMessage="0" allowBlank="1" type="list">
      <formula1>"Stable,Volatile"</formula1>
    </dataValidation>
    <dataValidation sqref="AL2:AL91" showDropDown="0" showInputMessage="0" showErrorMessage="0" allowBlank="1" type="list">
      <formula1>"Yes,No"</formula1>
    </dataValidation>
    <dataValidation sqref="AN2:AN91" showDropDown="0" showInputMessage="0" showErrorMessage="0" allowBlank="1" type="list">
      <formula1>"B2C,B2B,B2G"</formula1>
    </dataValidation>
    <dataValidation sqref="AP2:AP91" showDropDown="0" showInputMessage="0" showErrorMessage="0" allowBlank="1" type="list">
      <formula1>"Yes,No"</formula1>
    </dataValidation>
    <dataValidation sqref="AR2:AR91" showDropDown="0" showInputMessage="0" showErrorMessage="0" allowBlank="1" type="list">
      <formula1>"Fully Annuity,Higher Annuity, Lower One time,Higher One Time, Lower Annuity,Fully One Time"</formula1>
    </dataValidation>
    <dataValidation sqref="AT2:AT91" showDropDown="0" showInputMessage="0" showErrorMessage="0" allowBlank="1" type="list">
      <formula1>"Good,Allocated capital in Non-core Areas"</formula1>
    </dataValidation>
    <dataValidation sqref="AV2:AV91" showDropDown="0" showInputMessage="0" showErrorMessage="0" allowBlank="1" type="list">
      <formula1>"Yes for more than 2 years,Yes only for next 1 to 2 years,No"</formula1>
    </dataValidation>
    <dataValidation sqref="AX2:AX91" showDropDown="0" showInputMessage="0" showErrorMessage="0" allowBlank="1" type="list">
      <formula1>"Above 40,20 to 40,0 to 20"</formula1>
    </dataValidation>
    <dataValidation sqref="AZ2:AZ91" showDropDown="0" showInputMessage="0" showErrorMessage="0" allowBlank="1" type="list">
      <formula1>"Between 50 to 75,Above 75,Below 45"</formula1>
    </dataValidation>
    <dataValidation sqref="BB2:BB91" showDropDown="0" showInputMessage="0" showErrorMessage="0" allowBlank="1" type="list">
      <formula1>"Stage 1,Stage 2,Stage 3,Stage 4"</formula1>
    </dataValidation>
    <dataValidation sqref="BD2:BD91" showDropDown="0" showInputMessage="0" showErrorMessage="0" allowBlank="1" type="list">
      <formula1>"Positive Trend,Negative Trend"</formula1>
    </dataValidation>
    <dataValidation sqref="BF2:BF91" showDropDown="0" showInputMessage="0" showErrorMessage="0" allowBlank="1" type="list">
      <formula1>"Uptrend,Sideways,Downtrend"</formula1>
    </dataValidation>
    <dataValidation sqref="BH2:BH91" showDropDown="0" showInputMessage="0" showErrorMessage="0" allowBlank="1" type="list">
      <formula1>"Uptrend,Sideways,Downtrend"</formula1>
    </dataValidation>
    <dataValidation sqref="BJ2:BJ9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1" showDropDown="0" showInputMessage="0" showErrorMessage="0" allowBlank="1" type="list">
      <formula1>"Yes,No"</formula1>
    </dataValidation>
    <dataValidation sqref="BN2:BN91" showDropDown="0" showInputMessage="0" showErrorMessage="0" allowBlank="1" type="list">
      <formula1>"More than 20%,Between 12 to 20%,Less than 12%"</formula1>
    </dataValidation>
    <dataValidation sqref="BP2:BP91" showDropDown="0" showInputMessage="0" showErrorMessage="0" allowBlank="1" type="list">
      <formula1>"Yes,No"</formula1>
    </dataValidation>
    <dataValidation sqref="BR2:BR91" showDropDown="0" showInputMessage="0" showErrorMessage="0" allowBlank="1" type="list">
      <formula1>"Yes,No"</formula1>
    </dataValidation>
    <dataValidation sqref="BT2:BT91" showDropDown="0" showInputMessage="0" showErrorMessage="0" allowBlank="1" type="list">
      <formula1>"Above 2,Between 1.5 to 2,Less than 1.5"</formula1>
    </dataValidation>
    <dataValidation sqref="BV2:BV91" showDropDown="0" showInputMessage="0" showErrorMessage="0" allowBlank="1" type="list">
      <formula1>"Above 70%,Between 50% to 70%,Less than 50%,Less than 50% and Borrowings are increasing,Negative"</formula1>
    </dataValidation>
    <dataValidation sqref="BX2:BX91" showDropDown="0" showInputMessage="0" showErrorMessage="0" allowBlank="1" type="list">
      <formula1>"More than 1.2,Between 0.7 to 1.2,Less than 0.7"</formula1>
    </dataValidation>
    <dataValidation sqref="BZ2:BZ91" showDropDown="0" showInputMessage="0" showErrorMessage="0" allowBlank="1" type="list">
      <formula1>"Yes,No"</formula1>
    </dataValidation>
    <dataValidation sqref="CB2:CB91" showDropDown="0" showInputMessage="0" showErrorMessage="0" allowBlank="1" type="list">
      <formula1>"More than 15%,Less than 15%"</formula1>
    </dataValidation>
    <dataValidation sqref="CD2:CD9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IF(B2=0,"",RANK(B2,$B$2:$B$11,0))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2872.13</v>
      </c>
      <c r="I2" s="32" t="n">
        <v>259.99</v>
      </c>
      <c r="J2" s="32" t="n">
        <v>3.32</v>
      </c>
      <c r="K2" s="32" t="n">
        <v>0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74.38</v>
      </c>
      <c r="P2" s="32" t="n">
        <v>55.75</v>
      </c>
      <c r="Q2" s="32" t="n">
        <v>203.17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1.75</v>
      </c>
      <c r="U2" s="32" t="n">
        <v>50.39</v>
      </c>
      <c r="V2" s="32" t="n">
        <v>47.8</v>
      </c>
      <c r="W2" s="32" t="n">
        <v>28.11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IF(B3=0,"",RANK(B3,$B$2:$B$11,0))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MAHABANK</t>
        </is>
      </c>
      <c r="D3" s="31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69970.08</v>
      </c>
      <c r="I3" s="32" t="n">
        <v>90.97</v>
      </c>
      <c r="J3" s="32" t="n">
        <v>-0.25</v>
      </c>
      <c r="K3" s="32" t="n">
        <v>0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72.33</v>
      </c>
      <c r="P3" s="32" t="n">
        <v>51.02</v>
      </c>
      <c r="Q3" s="32" t="n">
        <v>74.89</v>
      </c>
      <c r="R3" s="31" t="inlineStr">
        <is>
          <t>Near 52W High Breakout</t>
        </is>
      </c>
      <c r="S3" s="31" t="inlineStr">
        <is>
          <t>Nifty Bank</t>
        </is>
      </c>
      <c r="T3" s="32" t="n">
        <v>1.75</v>
      </c>
      <c r="U3" s="32" t="n">
        <v>63.22</v>
      </c>
      <c r="V3" s="32" t="n">
        <v>60.41</v>
      </c>
      <c r="W3" s="32" t="n">
        <v>20.44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IF(B4=0,"",RANK(B4,$B$2:$B$11,0))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4352.04</v>
      </c>
      <c r="I4" s="32" t="n">
        <v>660.45</v>
      </c>
      <c r="J4" s="32" t="n">
        <v>-0.08</v>
      </c>
      <c r="K4" s="32" t="n">
        <v>0</v>
      </c>
      <c r="L4" s="31" t="n">
        <v>67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74.95999999999999</v>
      </c>
      <c r="P4" s="32" t="n">
        <v>56.81</v>
      </c>
      <c r="Q4" s="32" t="n">
        <v>508.86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5.5</v>
      </c>
      <c r="U4" s="32" t="n">
        <v>68.78</v>
      </c>
      <c r="V4" s="32" t="n">
        <v>59.97</v>
      </c>
      <c r="W4" s="32" t="n">
        <v>18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IF(B5=0,"",RANK(B5,$B$2:$B$11,0))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6503.08</v>
      </c>
      <c r="I5" s="32" t="n">
        <v>71.5</v>
      </c>
      <c r="J5" s="32" t="n">
        <v>0.93</v>
      </c>
      <c r="K5" s="32" t="n">
        <v>0</v>
      </c>
      <c r="L5" s="31" t="n">
        <v>93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84.13</v>
      </c>
      <c r="P5" s="32" t="n">
        <v>44.09</v>
      </c>
      <c r="Q5" s="32" t="n">
        <v>57.23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1.75</v>
      </c>
      <c r="U5" s="32" t="n">
        <v>136.33</v>
      </c>
      <c r="V5" s="32" t="n">
        <v>132.26</v>
      </c>
      <c r="W5" s="32" t="n">
        <v>44.17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IF(B6=0,"",RANK(B6,$B$2:$B$11,0))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RANEHOLDIN</t>
        </is>
      </c>
      <c r="D6" s="31" t="inlineStr">
        <is>
          <t>Rane Holdings Ltd</t>
        </is>
      </c>
      <c r="E6" s="31" t="inlineStr">
        <is>
          <t>financials</t>
        </is>
      </c>
      <c r="F6" s="31" t="inlineStr">
        <is>
          <t>Finance - Holding Company</t>
        </is>
      </c>
      <c r="G6" s="31" t="inlineStr">
        <is>
          <t>smallcap</t>
        </is>
      </c>
      <c r="H6" s="32" t="n">
        <v>2486.48</v>
      </c>
      <c r="I6" s="32" t="n">
        <v>1741.5</v>
      </c>
      <c r="J6" s="32" t="n">
        <v>1.23</v>
      </c>
      <c r="K6" s="32" t="n">
        <v>0</v>
      </c>
      <c r="L6" s="31" t="n">
        <v>74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70.87</v>
      </c>
      <c r="P6" s="32" t="n">
        <v>30.27</v>
      </c>
      <c r="Q6" s="32" t="n">
        <v>1298.7</v>
      </c>
      <c r="R6" s="31" t="inlineStr">
        <is>
          <t>Near 52W High Breakout</t>
        </is>
      </c>
      <c r="S6" s="31" t="inlineStr">
        <is>
          <t>Nifty Bank</t>
        </is>
      </c>
      <c r="T6" s="32" t="n">
        <v>1.75</v>
      </c>
      <c r="U6" s="32" t="n">
        <v>12.79</v>
      </c>
      <c r="V6" s="32" t="n">
        <v>10.84</v>
      </c>
      <c r="W6" s="32" t="n">
        <v>21.28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18</t>
        </is>
      </c>
      <c r="CC6" s="31">
        <f>IF(CB6&gt;20,10,IF(CB6&gt;=10,5,2))</f>
        <v/>
      </c>
    </row>
    <row r="7">
      <c r="A7" s="31">
        <f>IF(B7=0,"",RANK(B7,$B$2:$B$11,0))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SURYODAY</t>
        </is>
      </c>
      <c r="D7" s="34" t="inlineStr">
        <is>
          <t>Suryoday Small Finance Bank Ltd</t>
        </is>
      </c>
      <c r="E7" s="31" t="inlineStr">
        <is>
          <t>bank</t>
        </is>
      </c>
      <c r="F7" s="31" t="inlineStr">
        <is>
          <t>Banks - Small Finance</t>
        </is>
      </c>
      <c r="G7" s="31" t="inlineStr">
        <is>
          <t>smallcap</t>
        </is>
      </c>
      <c r="H7" s="32" t="n">
        <v>1964.24</v>
      </c>
      <c r="I7" s="32" t="n">
        <v>184.8</v>
      </c>
      <c r="J7" s="32" t="n">
        <v>3.52</v>
      </c>
      <c r="K7" s="32" t="n">
        <v>0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66.95</v>
      </c>
      <c r="P7" s="32" t="n">
        <v>33.91</v>
      </c>
      <c r="Q7" s="32" t="n">
        <v>142.83</v>
      </c>
      <c r="R7" s="31" t="inlineStr">
        <is>
          <t>Near 52W High Breakout</t>
        </is>
      </c>
      <c r="S7" s="31" t="inlineStr">
        <is>
          <t>Nifty Bank</t>
        </is>
      </c>
      <c r="T7" s="32" t="n">
        <v>1.75</v>
      </c>
      <c r="U7" s="32" t="n">
        <v>30.13</v>
      </c>
      <c r="V7" s="32" t="n">
        <v>27.89</v>
      </c>
      <c r="W7" s="32" t="n">
        <v>16.33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IF(B8=0,"",RANK(B8,$B$2:$B$11,0))</f>
        <v/>
      </c>
      <c r="B8" s="32">
        <f>SUM(N8,Y8,AA8,AC8,AE8,AG8,AI8,AK8,AM8,AO8,AQ8,AS8,AU8,AW8,AY8,BA8,BC8,BE8,BG8,BI8,BK8,BM8,BO8,BQ8,BS8,BU8,BW8,BY8,CA8,CC8)</f>
        <v/>
      </c>
      <c r="C8" s="34" t="inlineStr">
        <is>
          <t>FUSION</t>
        </is>
      </c>
      <c r="D8" s="34" t="inlineStr">
        <is>
          <t>Fusion Finance Ltd</t>
        </is>
      </c>
      <c r="E8" s="31" t="inlineStr">
        <is>
          <t>financials</t>
        </is>
      </c>
      <c r="F8" s="31" t="inlineStr">
        <is>
          <t>Finance &amp; Investments - Microfinance</t>
        </is>
      </c>
      <c r="G8" s="31" t="inlineStr">
        <is>
          <t>smallcap</t>
        </is>
      </c>
      <c r="H8" s="32" t="n">
        <v>3493.99</v>
      </c>
      <c r="I8" s="32" t="n">
        <v>216.1</v>
      </c>
      <c r="J8" s="32" t="n">
        <v>5.98</v>
      </c>
      <c r="K8" s="32" t="n">
        <v>0</v>
      </c>
      <c r="L8" s="31" t="n">
        <v>51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63.41</v>
      </c>
      <c r="P8" s="32" t="n">
        <v>21</v>
      </c>
      <c r="Q8" s="32" t="n">
        <v>158.98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1.75</v>
      </c>
      <c r="U8" s="32" t="n">
        <v>11.06</v>
      </c>
      <c r="V8" s="32" t="n">
        <v>9.15</v>
      </c>
      <c r="W8" s="32" t="n">
        <v>13.44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16</t>
        </is>
      </c>
      <c r="CC8" s="31">
        <f>IF(CB8&gt;20,10,IF(CB8&gt;=10,5,2))</f>
        <v/>
      </c>
    </row>
    <row r="9">
      <c r="A9" s="31">
        <f>IF(B9=0,"",RANK(B9,$B$2:$B$11,0))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CGCL</t>
        </is>
      </c>
      <c r="D9" s="31" t="inlineStr">
        <is>
          <t>Capri Global Capital Ltd</t>
        </is>
      </c>
      <c r="E9" s="31" t="inlineStr">
        <is>
          <t>financials</t>
        </is>
      </c>
      <c r="F9" s="31" t="inlineStr">
        <is>
          <t>Finance &amp; Investments - Gold Loan</t>
        </is>
      </c>
      <c r="G9" s="31" t="inlineStr">
        <is>
          <t>largecap</t>
        </is>
      </c>
      <c r="H9" s="32" t="n">
        <v>21985.22</v>
      </c>
      <c r="I9" s="32" t="n">
        <v>228.5</v>
      </c>
      <c r="J9" s="32" t="n">
        <v>0.74</v>
      </c>
      <c r="K9" s="32" t="n">
        <v>0</v>
      </c>
      <c r="L9" s="31" t="n">
        <v>58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71.33</v>
      </c>
      <c r="P9" s="32" t="n">
        <v>23.57</v>
      </c>
      <c r="Q9" s="32" t="n">
        <v>187.34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1.75</v>
      </c>
      <c r="U9" s="32" t="n">
        <v>37.31</v>
      </c>
      <c r="V9" s="32" t="n">
        <v>34.94</v>
      </c>
      <c r="W9" s="32" t="n">
        <v>15.13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  <row r="10">
      <c r="A10" s="31">
        <f>IF(B10=0,"",RANK(B10,$B$2:$B$11,0))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AADHARHFC</t>
        </is>
      </c>
      <c r="D10" s="31" t="inlineStr">
        <is>
          <t>Aadhar Housing Finance Ltd</t>
        </is>
      </c>
      <c r="E10" s="31" t="inlineStr">
        <is>
          <t>financials</t>
        </is>
      </c>
      <c r="F10" s="31" t="inlineStr">
        <is>
          <t>Finance - Housing</t>
        </is>
      </c>
      <c r="G10" s="31" t="inlineStr">
        <is>
          <t>largecap</t>
        </is>
      </c>
      <c r="H10" s="32" t="n">
        <v>23417.22</v>
      </c>
      <c r="I10" s="32" t="n">
        <v>535.45</v>
      </c>
      <c r="J10" s="32" t="n">
        <v>3.42</v>
      </c>
      <c r="K10" s="32" t="n">
        <v>0</v>
      </c>
      <c r="L10" s="31" t="n">
        <v>29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64.34</v>
      </c>
      <c r="P10" s="32" t="n">
        <v>23.38</v>
      </c>
      <c r="Q10" s="32" t="n">
        <v>434.89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1.75</v>
      </c>
      <c r="U10" s="32" t="n">
        <v>16.39</v>
      </c>
      <c r="V10" s="32" t="n">
        <v>14.39</v>
      </c>
      <c r="W10" s="32" t="n">
        <v>8.140000000000001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18</t>
        </is>
      </c>
      <c r="CC10" s="31">
        <f>IF(CB10&gt;20,10,IF(CB10&gt;=10,5,2))</f>
        <v/>
      </c>
    </row>
    <row r="11">
      <c r="A11" s="31">
        <f>IF(B11=0,"",RANK(B11,$B$2:$B$11,0))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ANANDRATHI</t>
        </is>
      </c>
      <c r="D11" s="31" t="inlineStr">
        <is>
          <t>Anand Rathi Wealth Ltd</t>
        </is>
      </c>
      <c r="E11" s="31" t="inlineStr">
        <is>
          <t>financials</t>
        </is>
      </c>
      <c r="F11" s="31" t="inlineStr">
        <is>
          <t>Finance - Capital Markets - Wealth Management</t>
        </is>
      </c>
      <c r="G11" s="31" t="inlineStr">
        <is>
          <t>largecap</t>
        </is>
      </c>
      <c r="H11" s="32" t="n">
        <v>32975.8</v>
      </c>
      <c r="I11" s="32" t="n">
        <v>1986</v>
      </c>
      <c r="J11" s="32" t="n">
        <v>1.07</v>
      </c>
      <c r="K11" s="32" t="n">
        <v>0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75.63</v>
      </c>
      <c r="P11" s="32" t="n">
        <v>43</v>
      </c>
      <c r="Q11" s="32" t="n">
        <v>1696.66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1.75</v>
      </c>
      <c r="U11" s="32" t="n">
        <v>89.48999999999999</v>
      </c>
      <c r="V11" s="32" t="n">
        <v>86.22</v>
      </c>
      <c r="W11" s="32" t="n">
        <v>19.28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18</t>
        </is>
      </c>
      <c r="CC11" s="31">
        <f>IF(CB11&gt;20,10,IF(CB11&gt;=10,5,2))</f>
        <v/>
      </c>
    </row>
    <row r="15">
      <c r="A15" s="25" t="inlineStr">
        <is>
          <t>❌ REMOVED SCAN MATCH STOCKS (THIS WEEK)</t>
        </is>
      </c>
    </row>
    <row r="16">
      <c r="A16" s="35" t="inlineStr">
        <is>
          <t>Symbol</t>
        </is>
      </c>
      <c r="B16" s="35" t="inlineStr">
        <is>
          <t>Company Name</t>
        </is>
      </c>
      <c r="C16" s="35" t="inlineStr">
        <is>
          <t>Sector</t>
        </is>
      </c>
      <c r="D16" s="35" t="inlineStr">
        <is>
          <t>Date of Removal</t>
        </is>
      </c>
    </row>
    <row r="17">
      <c r="A17" s="36" t="inlineStr">
        <is>
          <t>ANGELONE</t>
        </is>
      </c>
      <c r="B17" s="37" t="inlineStr">
        <is>
          <t>Angel One Limited</t>
        </is>
      </c>
      <c r="C17" s="37" t="inlineStr">
        <is>
          <t>Financial Services</t>
        </is>
      </c>
      <c r="D17" s="38" t="inlineStr">
        <is>
          <t>2026-07-01</t>
        </is>
      </c>
    </row>
    <row r="18">
      <c r="A18" s="36" t="inlineStr">
        <is>
          <t>CHOLAFIN</t>
        </is>
      </c>
      <c r="B18" s="37" t="inlineStr">
        <is>
          <t>Cholamandalam Investment and Finance Company Limited</t>
        </is>
      </c>
      <c r="C18" s="37" t="inlineStr">
        <is>
          <t>Financial Services</t>
        </is>
      </c>
      <c r="D18" s="38" t="inlineStr">
        <is>
          <t>2026-07-02</t>
        </is>
      </c>
    </row>
    <row r="19">
      <c r="A19" s="36" t="inlineStr">
        <is>
          <t>DHANBANK</t>
        </is>
      </c>
      <c r="B19" s="37" t="inlineStr">
        <is>
          <t>DHANBANK</t>
        </is>
      </c>
      <c r="C19" s="37" t="inlineStr">
        <is>
          <t>unknown</t>
        </is>
      </c>
      <c r="D19" s="38" t="inlineStr">
        <is>
          <t>2026-07-01</t>
        </is>
      </c>
    </row>
    <row r="20">
      <c r="A20" s="36" t="inlineStr">
        <is>
          <t>NAM-INDIA</t>
        </is>
      </c>
      <c r="B20" s="37" t="inlineStr">
        <is>
          <t>Nippon Life India Asset Management Limited</t>
        </is>
      </c>
      <c r="C20" s="37" t="inlineStr">
        <is>
          <t>Financial Services</t>
        </is>
      </c>
      <c r="D20" s="38" t="inlineStr">
        <is>
          <t>2026-07-02</t>
        </is>
      </c>
    </row>
    <row r="21">
      <c r="A21" s="36" t="inlineStr">
        <is>
          <t>OFSS</t>
        </is>
      </c>
      <c r="B21" s="37" t="inlineStr">
        <is>
          <t>Oracle Financial Services Software Limited</t>
        </is>
      </c>
      <c r="C21" s="37" t="inlineStr">
        <is>
          <t>Technology</t>
        </is>
      </c>
      <c r="D21" s="38" t="inlineStr">
        <is>
          <t>2026-07-01</t>
        </is>
      </c>
    </row>
  </sheetData>
  <autoFilter ref="A1:CC11"/>
  <conditionalFormatting sqref="B2:B1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1">
    <cfRule type="cellIs" priority="35" operator="equal" dxfId="3" stopIfTrue="1">
      <formula>"Underperforming"</formula>
    </cfRule>
  </conditionalFormatting>
  <conditionalFormatting sqref="N2:N11">
    <cfRule type="cellIs" priority="36" operator="equal" dxfId="3" stopIfTrue="1">
      <formula>-5</formula>
    </cfRule>
  </conditionalFormatting>
  <conditionalFormatting sqref="Q2:Q11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1" showDropDown="0" showInputMessage="0" showErrorMessage="0" allowBlank="1" type="list">
      <formula1>"Growing Industry,Stagnant Industry,Cyclical in an Upturn"</formula1>
    </dataValidation>
    <dataValidation sqref="Z2:Z11" showDropDown="0" showInputMessage="0" showErrorMessage="0" allowBlank="1" type="list">
      <formula1>"Fragmented with Low ROE,Fragmented with High ROE,Highly Cyclical"</formula1>
    </dataValidation>
    <dataValidation sqref="AB2:AB11" showDropDown="0" showInputMessage="0" showErrorMessage="0" allowBlank="1" type="list">
      <formula1>"Yes,No"</formula1>
    </dataValidation>
    <dataValidation sqref="AD2:AD11" showDropDown="0" showInputMessage="0" showErrorMessage="0" allowBlank="1" type="list">
      <formula1>"Tailwind,Headwind"</formula1>
    </dataValidation>
    <dataValidation sqref="AF2:AF1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1" showDropDown="0" showInputMessage="0" showErrorMessage="0" allowBlank="1" type="list">
      <formula1>"Yes,No"</formula1>
    </dataValidation>
    <dataValidation sqref="AJ2:AJ11" showDropDown="0" showInputMessage="0" showErrorMessage="0" allowBlank="1" type="list">
      <formula1>"Yes,No,Not Applicable"</formula1>
    </dataValidation>
    <dataValidation sqref="AL2:AL11" showDropDown="0" showInputMessage="0" showErrorMessage="0" allowBlank="1" type="list">
      <formula1>"Yes,No"</formula1>
    </dataValidation>
    <dataValidation sqref="AN2:AN11" showDropDown="0" showInputMessage="0" showErrorMessage="0" allowBlank="1" type="list">
      <formula1>"Yes,No"</formula1>
    </dataValidation>
    <dataValidation sqref="AP2:AP11" showDropDown="0" showInputMessage="0" showErrorMessage="0" allowBlank="1" type="list">
      <formula1>"Yes,No"</formula1>
    </dataValidation>
    <dataValidation sqref="AR2:AR11" showDropDown="0" showInputMessage="0" showErrorMessage="0" allowBlank="1" type="list">
      <formula1>"Yes,No"</formula1>
    </dataValidation>
    <dataValidation sqref="AT2:AT11" showDropDown="0" showInputMessage="0" showErrorMessage="0" allowBlank="1" type="list">
      <formula1>"No,Yes"</formula1>
    </dataValidation>
    <dataValidation sqref="AV2:AV11" showDropDown="0" showInputMessage="0" showErrorMessage="0" allowBlank="1" type="list">
      <formula1>"No,Yes"</formula1>
    </dataValidation>
    <dataValidation sqref="AX2:AX11" showDropDown="0" showInputMessage="0" showErrorMessage="0" allowBlank="1" type="list">
      <formula1>"No,Yes CEO Resignation,Yes CEO Retirement"</formula1>
    </dataValidation>
    <dataValidation sqref="AZ2:AZ11" showDropDown="0" showInputMessage="0" showErrorMessage="0" allowBlank="1" type="list">
      <formula1>"No,Yes"</formula1>
    </dataValidation>
    <dataValidation sqref="BB2:BB11" showDropDown="0" showInputMessage="0" showErrorMessage="0" allowBlank="1" type="list">
      <formula1>"No,Yes"</formula1>
    </dataValidation>
    <dataValidation sqref="BD2:BD11" showDropDown="0" showInputMessage="0" showErrorMessage="0" allowBlank="1" type="list">
      <formula1>"Yes,No"</formula1>
    </dataValidation>
    <dataValidation sqref="BF2:BF11" showDropDown="0" showInputMessage="0" showErrorMessage="0" allowBlank="1" type="list">
      <formula1>"Yes,No"</formula1>
    </dataValidation>
    <dataValidation sqref="BH2:BH11" showDropDown="0" showInputMessage="0" showErrorMessage="0" allowBlank="1" type="list">
      <formula1>"Yes,No"</formula1>
    </dataValidation>
    <dataValidation sqref="BJ2:BJ1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1" showDropDown="0" showInputMessage="0" showErrorMessage="0" allowBlank="1" type="list">
      <formula1>"Above 40,20 to 40,0 to 20"</formula1>
    </dataValidation>
    <dataValidation sqref="BN2:BN11" showDropDown="0" showInputMessage="0" showErrorMessage="0" allowBlank="1" type="list">
      <formula1>"Between 50 to 75,Above 75,Below 45"</formula1>
    </dataValidation>
    <dataValidation sqref="BP2:BP11" showDropDown="0" showInputMessage="0" showErrorMessage="0" allowBlank="1" type="list">
      <formula1>"Stage 1,Stage 2,Stage 3,Stage 4"</formula1>
    </dataValidation>
    <dataValidation sqref="BR2:BR11" showDropDown="0" showInputMessage="0" showErrorMessage="0" allowBlank="1" type="list">
      <formula1>"Positive Trend,Negative Trend"</formula1>
    </dataValidation>
    <dataValidation sqref="BT2:BT11" showDropDown="0" showInputMessage="0" showErrorMessage="0" allowBlank="1" type="list">
      <formula1>"Uptrend,Sideways,Downtrend"</formula1>
    </dataValidation>
    <dataValidation sqref="BV2:BV11" showDropDown="0" showInputMessage="0" showErrorMessage="0" allowBlank="1" type="list">
      <formula1>"Uptrend,Sideways,Downtrend"</formula1>
    </dataValidation>
    <dataValidation sqref="BX2:BX1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2026-07-02T12:25:03Z</dcterms:created>
  <dcterms:modified xmlns:dcterms="http://purl.org/dc/terms/" xmlns:xsi="http://www.w3.org/2001/XMLSchema-instance" xsi:type="dcterms:W3CDTF">2026-07-02T12:27:06Z</dcterms:modified>
</cp:coreProperties>
</file>