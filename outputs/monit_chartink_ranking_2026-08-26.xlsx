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Universe'!$A$1:$J$418</definedName>
    <definedName name="_xlnm._FilterDatabase" localSheetId="3" hidden="1">'Confluence Overlap'!$A$1:$K$99</definedName>
    <definedName name="_xlnm._FilterDatabase" localSheetId="4" hidden="1">'Monit Non Financial'!$A$1:$CE$372</definedName>
    <definedName name="_xlnm._FilterDatabase" localSheetId="5" hidden="1">'Monit Banks NBFC'!$A$1:$CA$47</definedName>
    <definedName name="_xlnm._FilterDatabase" localSheetId="6" hidden="1">'Scanner Non Financial'!$A$1:$CJ$20</definedName>
    <definedName name="_xlnm._FilterDatabase" localSheetId="7" hidden="1">'Scanner Banks NBFC'!$A$1:$CF$4</definedName>
    <definedName name="_xlnm._FilterDatabase" localSheetId="8" hidden="1">'Scan Match Non Financial'!$A$1:$CG$97</definedName>
    <definedName name="_xlnm._FilterDatabase" localSheetId="9" hidden="1">'Scan Match Banks NBFC'!$A$1:$CC$5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Wednesday, 26 August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25" customWidth="1" min="3" max="3"/>
    <col width="38" customWidth="1" min="4" max="4"/>
    <col width="25" customWidth="1" min="5" max="5"/>
    <col width="47" customWidth="1" min="6" max="6"/>
    <col width="25" customWidth="1" min="7" max="7"/>
    <col width="19" customWidth="1" min="8" max="8"/>
    <col width="11" customWidth="1" min="9" max="9"/>
    <col width="49" customWidth="1" min="10" max="10"/>
    <col width="22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648</v>
      </c>
      <c r="C6" s="17" t="inlineStr">
        <is>
          <t>WELCORP</t>
        </is>
      </c>
      <c r="D6" s="18" t="inlineStr">
        <is>
          <t>Welspun Corp Limited</t>
        </is>
      </c>
      <c r="E6" s="18" t="inlineStr">
        <is>
          <t>industrials</t>
        </is>
      </c>
      <c r="F6" s="16" t="n">
        <v>93</v>
      </c>
      <c r="G6" s="19" t="n">
        <v>61872.1</v>
      </c>
      <c r="H6" s="18" t="inlineStr">
        <is>
          <t>Potential Leader</t>
        </is>
      </c>
      <c r="J6" s="18" t="inlineStr">
        <is>
          <t>co-working</t>
        </is>
      </c>
      <c r="K6" s="16" t="n">
        <v>5</v>
      </c>
      <c r="L6" s="16" t="n">
        <v>3</v>
      </c>
      <c r="M6" s="20" t="inlineStr">
        <is>
          <t>66.7%</t>
        </is>
      </c>
    </row>
    <row r="7">
      <c r="A7" s="16" t="n">
        <v>2</v>
      </c>
      <c r="B7" s="17" t="n">
        <v>540</v>
      </c>
      <c r="C7" s="17" t="inlineStr">
        <is>
          <t>BLSE</t>
        </is>
      </c>
      <c r="D7" s="18" t="inlineStr">
        <is>
          <t>BLS E-Services Ltd</t>
        </is>
      </c>
      <c r="E7" s="18" t="inlineStr">
        <is>
          <t>i.t</t>
        </is>
      </c>
      <c r="F7" s="16" t="n">
        <v>75</v>
      </c>
      <c r="G7" s="19" t="n">
        <v>2835.63</v>
      </c>
      <c r="H7" s="18" t="inlineStr">
        <is>
          <t>Potential Leader</t>
        </is>
      </c>
      <c r="J7" s="18" t="inlineStr">
        <is>
          <t>textiles</t>
        </is>
      </c>
      <c r="K7" s="16" t="n">
        <v>53</v>
      </c>
      <c r="L7" s="16" t="n">
        <v>38</v>
      </c>
      <c r="M7" s="20" t="inlineStr">
        <is>
          <t>39.5%</t>
        </is>
      </c>
    </row>
    <row r="8">
      <c r="A8" s="16" t="n">
        <v>3</v>
      </c>
      <c r="B8" s="17" t="n">
        <v>534</v>
      </c>
      <c r="C8" s="17" t="inlineStr">
        <is>
          <t>LAURUSLABS</t>
        </is>
      </c>
      <c r="D8" s="18" t="inlineStr">
        <is>
          <t>Laurus Labs Limited</t>
        </is>
      </c>
      <c r="E8" s="18" t="inlineStr">
        <is>
          <t>healthcare</t>
        </is>
      </c>
      <c r="F8" s="16" t="n">
        <v>74</v>
      </c>
      <c r="G8" s="19" t="n">
        <v>100821.38</v>
      </c>
      <c r="H8" s="18" t="inlineStr">
        <is>
          <t>Potential Leader</t>
        </is>
      </c>
      <c r="J8" s="18" t="inlineStr">
        <is>
          <t>services</t>
        </is>
      </c>
      <c r="K8" s="16" t="n">
        <v>47</v>
      </c>
      <c r="L8" s="16" t="n">
        <v>34</v>
      </c>
      <c r="M8" s="20" t="inlineStr">
        <is>
          <t>38.2%</t>
        </is>
      </c>
    </row>
    <row r="9">
      <c r="A9" s="16" t="n">
        <v>4</v>
      </c>
      <c r="B9" s="17" t="n">
        <v>468</v>
      </c>
      <c r="C9" s="17" t="inlineStr">
        <is>
          <t>YASHO</t>
        </is>
      </c>
      <c r="D9" s="18" t="inlineStr">
        <is>
          <t>Yasho Industries Ltd</t>
        </is>
      </c>
      <c r="E9" s="18" t="inlineStr">
        <is>
          <t>chemicals</t>
        </is>
      </c>
      <c r="F9" s="16" t="n">
        <v>63</v>
      </c>
      <c r="G9" s="19" t="n">
        <v>5066.03</v>
      </c>
      <c r="H9" s="18" t="inlineStr">
        <is>
          <t>Potential Leader</t>
        </is>
      </c>
      <c r="J9" s="18" t="inlineStr">
        <is>
          <t>metals &amp; mining</t>
        </is>
      </c>
      <c r="K9" s="16" t="n">
        <v>121</v>
      </c>
      <c r="L9" s="16" t="n">
        <v>90</v>
      </c>
      <c r="M9" s="20" t="inlineStr">
        <is>
          <t>34.4%</t>
        </is>
      </c>
    </row>
    <row r="10">
      <c r="A10" s="16" t="n">
        <v>5</v>
      </c>
      <c r="B10" s="17" t="n">
        <v>462</v>
      </c>
      <c r="C10" s="17" t="inlineStr">
        <is>
          <t>CUPID</t>
        </is>
      </c>
      <c r="D10" s="18" t="inlineStr">
        <is>
          <t>Cupid Limited</t>
        </is>
      </c>
      <c r="E10" s="18" t="inlineStr">
        <is>
          <t>fmcg</t>
        </is>
      </c>
      <c r="F10" s="16" t="n">
        <v>62</v>
      </c>
      <c r="G10" s="19" t="n">
        <v>37887.16</v>
      </c>
      <c r="H10" s="18" t="inlineStr">
        <is>
          <t>Potential Leader</t>
        </is>
      </c>
      <c r="J10" s="18" t="inlineStr">
        <is>
          <t>media</t>
        </is>
      </c>
      <c r="K10" s="16" t="n">
        <v>12</v>
      </c>
      <c r="L10" s="16" t="n">
        <v>9</v>
      </c>
      <c r="M10" s="20" t="inlineStr">
        <is>
          <t>33.3%</t>
        </is>
      </c>
    </row>
    <row r="11">
      <c r="A11" s="16" t="n">
        <v>6</v>
      </c>
      <c r="B11" s="17" t="n">
        <v>402</v>
      </c>
      <c r="C11" s="17" t="inlineStr">
        <is>
          <t>VADILALIND</t>
        </is>
      </c>
      <c r="D11" s="18" t="inlineStr">
        <is>
          <t>Vadilal Industries Limited</t>
        </is>
      </c>
      <c r="E11" s="18" t="inlineStr">
        <is>
          <t>fmcg</t>
        </is>
      </c>
      <c r="F11" s="16" t="n">
        <v>52</v>
      </c>
      <c r="G11" s="19" t="n">
        <v>5345.95</v>
      </c>
      <c r="H11" s="18" t="inlineStr">
        <is>
          <t>Potential Leader</t>
        </is>
      </c>
      <c r="J11" s="18" t="inlineStr">
        <is>
          <t>realty</t>
        </is>
      </c>
      <c r="K11" s="16" t="n">
        <v>105</v>
      </c>
      <c r="L11" s="16" t="n">
        <v>79</v>
      </c>
      <c r="M11" s="20" t="inlineStr">
        <is>
          <t>32.9%</t>
        </is>
      </c>
    </row>
    <row r="12">
      <c r="A12" s="16" t="n">
        <v>7</v>
      </c>
      <c r="B12" s="17" t="n">
        <v>384</v>
      </c>
      <c r="C12" s="17" t="inlineStr">
        <is>
          <t>HITECHCORP</t>
        </is>
      </c>
      <c r="D12" s="18" t="inlineStr">
        <is>
          <t>Hitech Corporation</t>
        </is>
      </c>
      <c r="E12" s="18" t="inlineStr">
        <is>
          <t>industrials</t>
        </is>
      </c>
      <c r="F12" s="16" t="n">
        <v>49</v>
      </c>
      <c r="G12" s="19" t="n">
        <v>576.16</v>
      </c>
      <c r="H12" s="18" t="inlineStr">
        <is>
          <t>Potential Leader</t>
        </is>
      </c>
      <c r="J12" s="18" t="inlineStr">
        <is>
          <t>financials</t>
        </is>
      </c>
      <c r="K12" s="16" t="n">
        <v>145</v>
      </c>
      <c r="L12" s="16" t="n">
        <v>123</v>
      </c>
      <c r="M12" s="20" t="inlineStr">
        <is>
          <t>17.9%</t>
        </is>
      </c>
    </row>
    <row r="13">
      <c r="A13" s="16" t="n">
        <v>8</v>
      </c>
      <c r="B13" s="17" t="n">
        <v>336</v>
      </c>
      <c r="C13" s="17" t="inlineStr">
        <is>
          <t>CYIENTDLM</t>
        </is>
      </c>
      <c r="D13" s="18" t="inlineStr">
        <is>
          <t>Cyient DLM Ltd</t>
        </is>
      </c>
      <c r="E13" s="18" t="inlineStr">
        <is>
          <t>aerospace &amp; defence</t>
        </is>
      </c>
      <c r="F13" s="16" t="n">
        <v>41</v>
      </c>
      <c r="G13" s="19" t="n">
        <v>6107.36</v>
      </c>
      <c r="H13" s="18" t="inlineStr">
        <is>
          <t>Potential Leader</t>
        </is>
      </c>
      <c r="J13" s="18" t="inlineStr">
        <is>
          <t>fmcg</t>
        </is>
      </c>
      <c r="K13" s="16" t="n">
        <v>161</v>
      </c>
      <c r="L13" s="16" t="n">
        <v>137</v>
      </c>
      <c r="M13" s="20" t="inlineStr">
        <is>
          <t>17.5%</t>
        </is>
      </c>
    </row>
    <row r="14">
      <c r="A14" s="16" t="n">
        <v>9</v>
      </c>
      <c r="B14" s="17" t="n">
        <v>336</v>
      </c>
      <c r="C14" s="17" t="inlineStr">
        <is>
          <t>IRISDOREME</t>
        </is>
      </c>
      <c r="D14" s="18" t="inlineStr">
        <is>
          <t>Iris Clothings Ltd</t>
        </is>
      </c>
      <c r="E14" s="18" t="inlineStr">
        <is>
          <t>consumer discretionary</t>
        </is>
      </c>
      <c r="F14" s="16" t="n">
        <v>41</v>
      </c>
      <c r="G14" s="19" t="n">
        <v>1082.8</v>
      </c>
      <c r="H14" s="18" t="inlineStr">
        <is>
          <t>Potential Leader</t>
        </is>
      </c>
      <c r="J14" s="18" t="inlineStr">
        <is>
          <t>bank</t>
        </is>
      </c>
      <c r="K14" s="16" t="n">
        <v>67</v>
      </c>
      <c r="L14" s="16" t="n">
        <v>57</v>
      </c>
      <c r="M14" s="20" t="inlineStr">
        <is>
          <t>17.5%</t>
        </is>
      </c>
    </row>
    <row r="15">
      <c r="A15" s="16" t="n">
        <v>10</v>
      </c>
      <c r="B15" s="17" t="n">
        <v>336</v>
      </c>
      <c r="C15" s="17" t="inlineStr">
        <is>
          <t>RADICO</t>
        </is>
      </c>
      <c r="D15" s="18" t="inlineStr">
        <is>
          <t>Radico Khaitan Limited</t>
        </is>
      </c>
      <c r="E15" s="18" t="inlineStr">
        <is>
          <t>fmcg</t>
        </is>
      </c>
      <c r="F15" s="16" t="n">
        <v>41</v>
      </c>
      <c r="G15" s="19" t="n">
        <v>62010.22</v>
      </c>
      <c r="H15" s="18" t="inlineStr">
        <is>
          <t>Potential Leader</t>
        </is>
      </c>
      <c r="J15" s="18" t="inlineStr">
        <is>
          <t>consumer discretionary</t>
        </is>
      </c>
      <c r="K15" s="16" t="n">
        <v>130</v>
      </c>
      <c r="L15" s="16" t="n">
        <v>115</v>
      </c>
      <c r="M15" s="20" t="inlineStr">
        <is>
          <t>13.0%</t>
        </is>
      </c>
    </row>
    <row r="16">
      <c r="A16" s="16" t="n">
        <v>11</v>
      </c>
      <c r="B16" s="17" t="n">
        <v>330</v>
      </c>
      <c r="C16" s="17" t="inlineStr">
        <is>
          <t>SETL</t>
        </is>
      </c>
      <c r="D16" s="18" t="inlineStr">
        <is>
          <t>Standard Enginnering Technology Ltd</t>
        </is>
      </c>
      <c r="E16" s="18" t="inlineStr">
        <is>
          <t>industrials</t>
        </is>
      </c>
      <c r="F16" s="16" t="n">
        <v>40</v>
      </c>
      <c r="G16" s="19" t="n">
        <v>6279</v>
      </c>
      <c r="H16" s="18" t="inlineStr">
        <is>
          <t>Potential Leader</t>
        </is>
      </c>
      <c r="J16" s="18" t="inlineStr">
        <is>
          <t>transportation</t>
        </is>
      </c>
      <c r="K16" s="16" t="n">
        <v>38</v>
      </c>
      <c r="L16" s="16" t="n">
        <v>36</v>
      </c>
      <c r="M16" s="20" t="inlineStr">
        <is>
          <t>5.6%</t>
        </is>
      </c>
    </row>
    <row r="17">
      <c r="A17" s="16" t="n">
        <v>12</v>
      </c>
      <c r="B17" s="17" t="n">
        <v>318</v>
      </c>
      <c r="C17" s="17" t="inlineStr">
        <is>
          <t>HAPPYFORGE</t>
        </is>
      </c>
      <c r="D17" s="18" t="inlineStr">
        <is>
          <t>Happy Forgings Ltd</t>
        </is>
      </c>
      <c r="E17" s="18" t="inlineStr">
        <is>
          <t>industrials</t>
        </is>
      </c>
      <c r="F17" s="16" t="n">
        <v>38</v>
      </c>
      <c r="G17" s="19" t="n">
        <v>20301.81</v>
      </c>
      <c r="H17" s="18" t="inlineStr">
        <is>
          <t>Potential Leader</t>
        </is>
      </c>
      <c r="J17" s="18" t="inlineStr">
        <is>
          <t>chemicals</t>
        </is>
      </c>
      <c r="K17" s="16" t="n">
        <v>161</v>
      </c>
      <c r="L17" s="16" t="n">
        <v>162</v>
      </c>
      <c r="M17" s="21" t="inlineStr">
        <is>
          <t>-0.6%</t>
        </is>
      </c>
    </row>
    <row r="18">
      <c r="A18" s="16" t="n">
        <v>13</v>
      </c>
      <c r="B18" s="17" t="n">
        <v>312</v>
      </c>
      <c r="C18" s="17" t="inlineStr">
        <is>
          <t>SONACOMS</t>
        </is>
      </c>
      <c r="D18" s="18" t="inlineStr">
        <is>
          <t>Sona BLW Precision Forgings Ltd</t>
        </is>
      </c>
      <c r="E18" s="18" t="inlineStr">
        <is>
          <t>auto</t>
        </is>
      </c>
      <c r="F18" s="16" t="n">
        <v>37</v>
      </c>
      <c r="G18" s="19" t="n">
        <v>50310.18</v>
      </c>
      <c r="H18" s="18" t="inlineStr">
        <is>
          <t>Potential Leader</t>
        </is>
      </c>
      <c r="J18" s="18" t="inlineStr">
        <is>
          <t>i.t</t>
        </is>
      </c>
      <c r="K18" s="16" t="n">
        <v>97</v>
      </c>
      <c r="L18" s="16" t="n">
        <v>98</v>
      </c>
      <c r="M18" s="21" t="inlineStr">
        <is>
          <t>-1.0%</t>
        </is>
      </c>
    </row>
    <row r="19">
      <c r="A19" s="16" t="n">
        <v>14</v>
      </c>
      <c r="B19" s="17" t="n">
        <v>306</v>
      </c>
      <c r="C19" s="17" t="inlineStr">
        <is>
          <t>AETHER</t>
        </is>
      </c>
      <c r="D19" s="18" t="inlineStr">
        <is>
          <t>Aether Industries Ltd</t>
        </is>
      </c>
      <c r="E19" s="18" t="inlineStr">
        <is>
          <t>chemicals</t>
        </is>
      </c>
      <c r="F19" s="16" t="n">
        <v>36</v>
      </c>
      <c r="G19" s="19" t="n">
        <v>21683.91</v>
      </c>
      <c r="H19" s="18" t="inlineStr">
        <is>
          <t>Potential Leader</t>
        </is>
      </c>
      <c r="J19" s="18" t="inlineStr">
        <is>
          <t>industrials</t>
        </is>
      </c>
      <c r="K19" s="16" t="n">
        <v>298</v>
      </c>
      <c r="L19" s="16" t="n">
        <v>303</v>
      </c>
      <c r="M19" s="21" t="inlineStr">
        <is>
          <t>-1.7%</t>
        </is>
      </c>
    </row>
    <row r="20">
      <c r="A20" s="16" t="n">
        <v>15</v>
      </c>
      <c r="B20" s="17" t="n">
        <v>288</v>
      </c>
      <c r="C20" s="17" t="inlineStr">
        <is>
          <t>DIACABS</t>
        </is>
      </c>
      <c r="D20" s="18" t="inlineStr">
        <is>
          <t>Diamond Power Infrastructure Ltd</t>
        </is>
      </c>
      <c r="E20" s="18" t="inlineStr">
        <is>
          <t>industrials</t>
        </is>
      </c>
      <c r="F20" s="16" t="n">
        <v>33</v>
      </c>
      <c r="G20" s="19" t="n">
        <v>17880.13</v>
      </c>
      <c r="H20" s="18" t="inlineStr">
        <is>
          <t>Potential Leader</t>
        </is>
      </c>
      <c r="J20" s="18" t="inlineStr">
        <is>
          <t>healthcare</t>
        </is>
      </c>
      <c r="K20" s="16" t="n">
        <v>218</v>
      </c>
      <c r="L20" s="16" t="n">
        <v>223</v>
      </c>
      <c r="M20" s="21" t="inlineStr">
        <is>
          <t>-2.2%</t>
        </is>
      </c>
    </row>
    <row r="21">
      <c r="A21" s="16" t="n">
        <v>16</v>
      </c>
      <c r="B21" s="17" t="n">
        <v>288</v>
      </c>
      <c r="C21" s="17" t="inlineStr">
        <is>
          <t>SUNDRMFAST</t>
        </is>
      </c>
      <c r="D21" s="18" t="inlineStr">
        <is>
          <t>Sundram Fasteners Limited</t>
        </is>
      </c>
      <c r="E21" s="18" t="inlineStr">
        <is>
          <t>auto</t>
        </is>
      </c>
      <c r="F21" s="16" t="n">
        <v>33</v>
      </c>
      <c r="G21" s="19" t="n">
        <v>25362.49</v>
      </c>
      <c r="H21" s="18" t="inlineStr">
        <is>
          <t>Potential Leader</t>
        </is>
      </c>
    </row>
    <row r="22">
      <c r="A22" s="16" t="n">
        <v>17</v>
      </c>
      <c r="B22" s="17" t="n">
        <v>261</v>
      </c>
      <c r="C22" s="17" t="inlineStr">
        <is>
          <t>KABRAEXTRU</t>
        </is>
      </c>
      <c r="D22" s="18" t="inlineStr">
        <is>
          <t>Kabra Extrusion Technik Limited</t>
        </is>
      </c>
      <c r="E22" s="18" t="inlineStr">
        <is>
          <t>industrials</t>
        </is>
      </c>
      <c r="F22" s="16" t="n">
        <v>29</v>
      </c>
      <c r="G22" s="19" t="n">
        <v>2130.37</v>
      </c>
      <c r="H22" s="18" t="inlineStr">
        <is>
          <t>Potential Leader</t>
        </is>
      </c>
    </row>
    <row r="23">
      <c r="A23" s="16" t="n">
        <v>18</v>
      </c>
      <c r="B23" s="17" t="n">
        <v>261</v>
      </c>
      <c r="C23" s="17" t="inlineStr">
        <is>
          <t>QUESS</t>
        </is>
      </c>
      <c r="D23" s="18" t="inlineStr">
        <is>
          <t>Quess Corp Limited</t>
        </is>
      </c>
      <c r="E23" s="18" t="inlineStr">
        <is>
          <t>miscellaneous</t>
        </is>
      </c>
      <c r="F23" s="16" t="n">
        <v>29</v>
      </c>
      <c r="G23" s="19" t="n">
        <v>5182.79</v>
      </c>
      <c r="H23" s="18" t="inlineStr">
        <is>
          <t>Potential Leader</t>
        </is>
      </c>
    </row>
    <row r="24">
      <c r="A24" s="16" t="n">
        <v>19</v>
      </c>
      <c r="B24" s="17" t="n">
        <v>261</v>
      </c>
      <c r="C24" s="17" t="inlineStr">
        <is>
          <t>SKYGOLD</t>
        </is>
      </c>
      <c r="D24" s="18" t="inlineStr">
        <is>
          <t>Sky Gold Ltd</t>
        </is>
      </c>
      <c r="E24" s="18" t="inlineStr">
        <is>
          <t>consumer discretionary</t>
        </is>
      </c>
      <c r="F24" s="16" t="n">
        <v>29</v>
      </c>
      <c r="G24" s="19" t="n">
        <v>13045.03</v>
      </c>
      <c r="H24" s="18" t="inlineStr">
        <is>
          <t>Potential Leader</t>
        </is>
      </c>
    </row>
    <row r="25">
      <c r="A25" s="16" t="n">
        <v>20</v>
      </c>
      <c r="B25" s="17" t="n">
        <v>261</v>
      </c>
      <c r="C25" s="17" t="inlineStr">
        <is>
          <t>TITAN</t>
        </is>
      </c>
      <c r="D25" s="18" t="inlineStr">
        <is>
          <t>Titan Company Limited</t>
        </is>
      </c>
      <c r="E25" s="18" t="inlineStr">
        <is>
          <t>consumer discretionary</t>
        </is>
      </c>
      <c r="F25" s="16" t="n">
        <v>29</v>
      </c>
      <c r="G25" s="19" t="n">
        <v>454972.65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VGUARD</t>
        </is>
      </c>
      <c r="B30" s="18" t="inlineStr">
        <is>
          <t>V-guard Industries Limited</t>
        </is>
      </c>
      <c r="C30" s="18" t="inlineStr">
        <is>
          <t>industrials</t>
        </is>
      </c>
      <c r="D30" s="16" t="n">
        <v>10</v>
      </c>
      <c r="E30" s="16" t="n">
        <v>1</v>
      </c>
      <c r="F30" s="19" t="n">
        <v>14535.37</v>
      </c>
      <c r="J30" s="17" t="inlineStr">
        <is>
          <t>TMB</t>
        </is>
      </c>
      <c r="K30" s="18" t="inlineStr">
        <is>
          <t>bank</t>
        </is>
      </c>
      <c r="L30" s="19" t="n">
        <v>300</v>
      </c>
      <c r="M30" s="19" t="n">
        <v>13799.54</v>
      </c>
      <c r="N30" s="16" t="n">
        <v>22</v>
      </c>
    </row>
    <row r="31">
      <c r="A31" s="17" t="inlineStr">
        <is>
          <t>CONCORDBIO</t>
        </is>
      </c>
      <c r="B31" s="18" t="inlineStr">
        <is>
          <t>Concord Biotech Ltd</t>
        </is>
      </c>
      <c r="C31" s="18" t="inlineStr">
        <is>
          <t>healthcare</t>
        </is>
      </c>
      <c r="D31" s="16" t="n">
        <v>10</v>
      </c>
      <c r="E31" s="16" t="n">
        <v>1</v>
      </c>
      <c r="F31" s="19" t="n">
        <v>16194.59</v>
      </c>
      <c r="J31" s="17" t="inlineStr">
        <is>
          <t>PREMIERPOL</t>
        </is>
      </c>
      <c r="K31" s="18" t="inlineStr">
        <is>
          <t>plastic products</t>
        </is>
      </c>
      <c r="L31" s="19" t="n">
        <v>298</v>
      </c>
      <c r="M31" s="19" t="n">
        <v>945.8200000000001</v>
      </c>
      <c r="N31" s="16" t="n">
        <v>21</v>
      </c>
    </row>
    <row r="32">
      <c r="A32" s="17" t="inlineStr">
        <is>
          <t>SURAKSHA</t>
        </is>
      </c>
      <c r="B32" s="18" t="inlineStr">
        <is>
          <t>Suraksha Diagnostic Ltd</t>
        </is>
      </c>
      <c r="C32" s="18" t="inlineStr">
        <is>
          <t>healthcare</t>
        </is>
      </c>
      <c r="D32" s="16" t="n">
        <v>10</v>
      </c>
      <c r="E32" s="16" t="n">
        <v>1</v>
      </c>
      <c r="F32" s="19" t="n">
        <v>1655.39</v>
      </c>
      <c r="J32" s="17" t="inlineStr">
        <is>
          <t>VADILALIND</t>
        </is>
      </c>
      <c r="K32" s="18" t="inlineStr">
        <is>
          <t>fmcg</t>
        </is>
      </c>
      <c r="L32" s="19" t="n">
        <v>297</v>
      </c>
      <c r="M32" s="19" t="n">
        <v>5345.95</v>
      </c>
      <c r="N32" s="16" t="n">
        <v>30</v>
      </c>
    </row>
    <row r="33">
      <c r="A33" s="17" t="inlineStr">
        <is>
          <t>ASTRAL</t>
        </is>
      </c>
      <c r="B33" s="18" t="inlineStr">
        <is>
          <t>Astral Ltd</t>
        </is>
      </c>
      <c r="C33" s="18" t="inlineStr">
        <is>
          <t>plastic products</t>
        </is>
      </c>
      <c r="D33" s="16" t="n">
        <v>10</v>
      </c>
      <c r="E33" s="16" t="n">
        <v>2</v>
      </c>
      <c r="F33" s="19" t="n">
        <v>41372.13</v>
      </c>
      <c r="J33" s="17" t="inlineStr">
        <is>
          <t>SCPL</t>
        </is>
      </c>
      <c r="K33" s="18" t="inlineStr">
        <is>
          <t>fmcg</t>
        </is>
      </c>
      <c r="L33" s="19" t="n">
        <v>295</v>
      </c>
      <c r="M33" s="19" t="n">
        <v>691.11</v>
      </c>
      <c r="N33" s="16" t="n">
        <v>28</v>
      </c>
    </row>
    <row r="34">
      <c r="A34" s="17" t="inlineStr">
        <is>
          <t>MUKKA</t>
        </is>
      </c>
      <c r="B34" s="18" t="inlineStr">
        <is>
          <t>Mukka Proteins Ltd</t>
        </is>
      </c>
      <c r="C34" s="18" t="inlineStr">
        <is>
          <t>fmcg</t>
        </is>
      </c>
      <c r="D34" s="16" t="n">
        <v>10</v>
      </c>
      <c r="E34" s="16" t="n">
        <v>1</v>
      </c>
      <c r="F34" s="19" t="n">
        <v>773.4</v>
      </c>
      <c r="J34" s="17" t="inlineStr">
        <is>
          <t>BLUSPRING</t>
        </is>
      </c>
      <c r="K34" s="18" t="inlineStr">
        <is>
          <t>miscellaneous</t>
        </is>
      </c>
      <c r="L34" s="19" t="n">
        <v>293</v>
      </c>
      <c r="M34" s="19" t="n">
        <v>1895.36</v>
      </c>
      <c r="N34" s="16" t="n">
        <v>16</v>
      </c>
    </row>
    <row r="35">
      <c r="A35" s="17" t="inlineStr">
        <is>
          <t>STYLEBAAZA</t>
        </is>
      </c>
      <c r="B35" s="18" t="inlineStr">
        <is>
          <t>Baazar Style Retail Ltd</t>
        </is>
      </c>
      <c r="C35" s="18" t="inlineStr">
        <is>
          <t>consumer discretionary</t>
        </is>
      </c>
      <c r="D35" s="16" t="n">
        <v>10</v>
      </c>
      <c r="E35" s="16" t="n">
        <v>2</v>
      </c>
      <c r="F35" s="19" t="n">
        <v>3002.83</v>
      </c>
      <c r="J35" s="17" t="inlineStr">
        <is>
          <t>MSTCLTD</t>
        </is>
      </c>
      <c r="K35" s="18" t="inlineStr">
        <is>
          <t>i.t</t>
        </is>
      </c>
      <c r="L35" s="19" t="n">
        <v>293</v>
      </c>
      <c r="M35" s="19" t="n">
        <v>5124.77</v>
      </c>
      <c r="N35" s="16" t="n">
        <v>11</v>
      </c>
    </row>
    <row r="36">
      <c r="A36" s="17" t="inlineStr">
        <is>
          <t>TNPETRO</t>
        </is>
      </c>
      <c r="B36" s="18" t="inlineStr">
        <is>
          <t>Tamilnadu Petroproducts Limited</t>
        </is>
      </c>
      <c r="C36" s="18" t="inlineStr">
        <is>
          <t>energy</t>
        </is>
      </c>
      <c r="D36" s="16" t="n">
        <v>10</v>
      </c>
      <c r="E36" s="16" t="n">
        <v>1</v>
      </c>
      <c r="F36" s="19" t="n">
        <v>1027.56</v>
      </c>
      <c r="J36" s="17" t="inlineStr">
        <is>
          <t>TFCILTD</t>
        </is>
      </c>
      <c r="K36" s="18" t="inlineStr">
        <is>
          <t>financials</t>
        </is>
      </c>
      <c r="L36" s="19" t="n">
        <v>292</v>
      </c>
      <c r="M36" s="19" t="n">
        <v>6343.71</v>
      </c>
      <c r="N36" s="16" t="n">
        <v>28</v>
      </c>
    </row>
    <row r="37">
      <c r="A37" s="17" t="inlineStr">
        <is>
          <t>GALAXYSURF</t>
        </is>
      </c>
      <c r="B37" s="18" t="inlineStr">
        <is>
          <t>Galaxy Surfactants Ltd</t>
        </is>
      </c>
      <c r="C37" s="18" t="inlineStr">
        <is>
          <t>chemicals</t>
        </is>
      </c>
      <c r="D37" s="16" t="n">
        <v>10</v>
      </c>
      <c r="E37" s="16" t="n">
        <v>0</v>
      </c>
      <c r="F37" s="19" t="n">
        <v>8098.57</v>
      </c>
      <c r="J37" s="17" t="inlineStr">
        <is>
          <t>PARAS</t>
        </is>
      </c>
      <c r="K37" s="18" t="inlineStr">
        <is>
          <t>aerospace &amp; defence</t>
        </is>
      </c>
      <c r="L37" s="19" t="n">
        <v>290</v>
      </c>
      <c r="M37" s="19" t="n">
        <v>11646.48</v>
      </c>
      <c r="N37" s="16" t="n">
        <v>21</v>
      </c>
    </row>
    <row r="38">
      <c r="A38" s="17" t="inlineStr">
        <is>
          <t>SYNCOMF</t>
        </is>
      </c>
      <c r="B38" s="18" t="inlineStr">
        <is>
          <t>Syncom Formulations (India) Ltd</t>
        </is>
      </c>
      <c r="C38" s="18" t="inlineStr">
        <is>
          <t>healthcare</t>
        </is>
      </c>
      <c r="D38" s="16" t="n">
        <v>9</v>
      </c>
      <c r="E38" s="16" t="n">
        <v>1</v>
      </c>
      <c r="F38" s="19" t="n">
        <v>1650.64</v>
      </c>
      <c r="J38" s="17" t="inlineStr">
        <is>
          <t>SUVEN</t>
        </is>
      </c>
      <c r="K38" s="18" t="inlineStr">
        <is>
          <t>healthcare</t>
        </is>
      </c>
      <c r="L38" s="19" t="n">
        <v>290</v>
      </c>
      <c r="M38" s="19" t="n">
        <v>695.5700000000001</v>
      </c>
      <c r="N38" s="16" t="n">
        <v>17</v>
      </c>
    </row>
    <row r="39">
      <c r="A39" s="17" t="inlineStr">
        <is>
          <t>TASTYBITE</t>
        </is>
      </c>
      <c r="B39" s="18" t="inlineStr">
        <is>
          <t>Tasty Bite Eatables Ltd</t>
        </is>
      </c>
      <c r="C39" s="18" t="inlineStr">
        <is>
          <t>fmcg</t>
        </is>
      </c>
      <c r="D39" s="16" t="n">
        <v>9</v>
      </c>
      <c r="E39" s="16" t="n">
        <v>0</v>
      </c>
      <c r="F39" s="19" t="n">
        <v>2587.3</v>
      </c>
      <c r="J39" s="17" t="inlineStr">
        <is>
          <t>WELINV</t>
        </is>
      </c>
      <c r="K39" s="18" t="inlineStr">
        <is>
          <t>financials</t>
        </is>
      </c>
      <c r="L39" s="19" t="n">
        <v>290</v>
      </c>
      <c r="M39" s="19" t="n">
        <v>814.66</v>
      </c>
      <c r="N39" s="16" t="n">
        <v>13</v>
      </c>
    </row>
    <row r="40">
      <c r="A40" s="17" t="inlineStr">
        <is>
          <t>EIMCOELECO</t>
        </is>
      </c>
      <c r="B40" s="18" t="inlineStr">
        <is>
          <t>Eimco Elecon (india) Limited</t>
        </is>
      </c>
      <c r="C40" s="18" t="inlineStr">
        <is>
          <t>industrials</t>
        </is>
      </c>
      <c r="D40" s="16" t="n">
        <v>9</v>
      </c>
      <c r="E40" s="16" t="n">
        <v>0</v>
      </c>
      <c r="F40" s="19" t="n">
        <v>1290.73</v>
      </c>
      <c r="J40" s="17" t="inlineStr">
        <is>
          <t>INDOBORAX</t>
        </is>
      </c>
      <c r="K40" s="18" t="inlineStr">
        <is>
          <t>chemicals</t>
        </is>
      </c>
      <c r="L40" s="19" t="n">
        <v>290</v>
      </c>
      <c r="M40" s="19" t="n">
        <v>1564.07</v>
      </c>
      <c r="N40" s="16" t="n">
        <v>13</v>
      </c>
    </row>
    <row r="41">
      <c r="A41" s="17" t="inlineStr">
        <is>
          <t>ARIES</t>
        </is>
      </c>
      <c r="B41" s="18" t="inlineStr">
        <is>
          <t>Aries Agro Limited</t>
        </is>
      </c>
      <c r="C41" s="18" t="inlineStr">
        <is>
          <t>chemicals</t>
        </is>
      </c>
      <c r="D41" s="16" t="n">
        <v>9</v>
      </c>
      <c r="E41" s="16" t="n">
        <v>0</v>
      </c>
      <c r="F41" s="19" t="n">
        <v>580.97</v>
      </c>
      <c r="J41" s="17" t="inlineStr">
        <is>
          <t>VINDHYATEL</t>
        </is>
      </c>
      <c r="K41" s="18" t="inlineStr">
        <is>
          <t>realty</t>
        </is>
      </c>
      <c r="L41" s="19" t="n">
        <v>288</v>
      </c>
      <c r="M41" s="19" t="n">
        <v>2822.4</v>
      </c>
      <c r="N41" s="16" t="n">
        <v>18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68.17</v>
      </c>
      <c r="D47" s="28" t="n">
        <v>258</v>
      </c>
      <c r="E47" s="17" t="inlineStr">
        <is>
          <t>SIGMAADV</t>
        </is>
      </c>
      <c r="F47" s="18" t="inlineStr">
        <is>
          <t>Sigma Advanced System Ltd</t>
        </is>
      </c>
      <c r="G47" s="18" t="inlineStr">
        <is>
          <t>aerospace &amp; defence</t>
        </is>
      </c>
      <c r="H47" s="19" t="n">
        <v>13126.4</v>
      </c>
    </row>
    <row r="48">
      <c r="A48" s="16" t="n">
        <v>2</v>
      </c>
      <c r="B48" s="27" t="n">
        <v>99</v>
      </c>
      <c r="C48" s="28" t="n">
        <v>67.68000000000001</v>
      </c>
      <c r="D48" s="28" t="n">
        <v>277</v>
      </c>
      <c r="E48" s="17" t="inlineStr">
        <is>
          <t>INDSWFTLAB</t>
        </is>
      </c>
      <c r="F48" s="18" t="inlineStr">
        <is>
          <t>Ind-swift Laboratories Limited</t>
        </is>
      </c>
      <c r="G48" s="18" t="inlineStr">
        <is>
          <t>healthcare</t>
        </is>
      </c>
      <c r="H48" s="19" t="n">
        <v>2820.86</v>
      </c>
    </row>
    <row r="49">
      <c r="A49" s="16" t="n">
        <v>3</v>
      </c>
      <c r="B49" s="27" t="n">
        <v>98</v>
      </c>
      <c r="C49" s="28" t="n">
        <v>53.97</v>
      </c>
      <c r="D49" s="28" t="n">
        <v>273</v>
      </c>
      <c r="E49" s="17" t="inlineStr">
        <is>
          <t>SETL</t>
        </is>
      </c>
      <c r="F49" s="18" t="inlineStr">
        <is>
          <t>Standard Enginnering Technology Ltd</t>
        </is>
      </c>
      <c r="G49" s="18" t="inlineStr">
        <is>
          <t>industrials</t>
        </is>
      </c>
      <c r="H49" s="19" t="n">
        <v>6279</v>
      </c>
    </row>
    <row r="50">
      <c r="A50" s="16" t="n">
        <v>4</v>
      </c>
      <c r="B50" s="27" t="n">
        <v>98</v>
      </c>
      <c r="C50" s="28" t="n">
        <v>53.11</v>
      </c>
      <c r="D50" s="28" t="n">
        <v>275</v>
      </c>
      <c r="E50" s="17" t="inlineStr">
        <is>
          <t>BAFNAPH</t>
        </is>
      </c>
      <c r="F50" s="18" t="inlineStr">
        <is>
          <t>Bafna Pharmaceuticals Ltd</t>
        </is>
      </c>
      <c r="G50" s="18" t="inlineStr">
        <is>
          <t>healthcare</t>
        </is>
      </c>
      <c r="H50" s="19" t="n">
        <v>632.22</v>
      </c>
    </row>
    <row r="51">
      <c r="A51" s="16" t="n">
        <v>5</v>
      </c>
      <c r="B51" s="27" t="n">
        <v>98</v>
      </c>
      <c r="C51" s="28" t="n">
        <v>48.26</v>
      </c>
      <c r="D51" s="28" t="n">
        <v>282</v>
      </c>
      <c r="E51" s="17" t="inlineStr">
        <is>
          <t>MOREPENLAB</t>
        </is>
      </c>
      <c r="F51" s="18" t="inlineStr">
        <is>
          <t>Morepen Laboratories Limited</t>
        </is>
      </c>
      <c r="G51" s="18" t="inlineStr">
        <is>
          <t>healthcare</t>
        </is>
      </c>
      <c r="H51" s="19" t="n">
        <v>5145.29</v>
      </c>
    </row>
    <row r="52">
      <c r="A52" s="16" t="n">
        <v>6</v>
      </c>
      <c r="B52" s="27" t="n">
        <v>97</v>
      </c>
      <c r="C52" s="28" t="n">
        <v>48.02</v>
      </c>
      <c r="D52" s="28" t="n">
        <v>260</v>
      </c>
      <c r="E52" s="17" t="inlineStr">
        <is>
          <t>YASHO</t>
        </is>
      </c>
      <c r="F52" s="18" t="inlineStr">
        <is>
          <t>Yasho Industries Ltd</t>
        </is>
      </c>
      <c r="G52" s="18" t="inlineStr">
        <is>
          <t>chemicals</t>
        </is>
      </c>
      <c r="H52" s="19" t="n">
        <v>5066.03</v>
      </c>
    </row>
    <row r="53">
      <c r="A53" s="16" t="n">
        <v>7</v>
      </c>
      <c r="B53" s="27" t="n">
        <v>97</v>
      </c>
      <c r="C53" s="28" t="n">
        <v>43.69</v>
      </c>
      <c r="D53" s="28" t="n">
        <v>263</v>
      </c>
      <c r="E53" s="17" t="inlineStr">
        <is>
          <t>MTARTECH</t>
        </is>
      </c>
      <c r="F53" s="18" t="inlineStr">
        <is>
          <t>MTAR Technologies Ltd</t>
        </is>
      </c>
      <c r="G53" s="18" t="inlineStr">
        <is>
          <t>aerospace &amp; defence</t>
        </is>
      </c>
      <c r="H53" s="19" t="n">
        <v>21311.78</v>
      </c>
    </row>
    <row r="54">
      <c r="A54" s="16" t="n">
        <v>8</v>
      </c>
      <c r="B54" s="27" t="n">
        <v>96</v>
      </c>
      <c r="C54" s="28" t="n">
        <v>41.89</v>
      </c>
      <c r="D54" s="28" t="n">
        <v>292</v>
      </c>
      <c r="E54" s="17" t="inlineStr">
        <is>
          <t>TFCILTD</t>
        </is>
      </c>
      <c r="F54" s="18" t="inlineStr">
        <is>
          <t>Tourism Finance Corporation Of India Limited</t>
        </is>
      </c>
      <c r="G54" s="18" t="inlineStr">
        <is>
          <t>financials</t>
        </is>
      </c>
      <c r="H54" s="19" t="n">
        <v>6343.71</v>
      </c>
    </row>
    <row r="55">
      <c r="A55" s="16" t="n">
        <v>9</v>
      </c>
      <c r="B55" s="27" t="n">
        <v>96</v>
      </c>
      <c r="C55" s="28" t="n">
        <v>40.8</v>
      </c>
      <c r="D55" s="28" t="n">
        <v>270</v>
      </c>
      <c r="E55" s="17" t="inlineStr">
        <is>
          <t>BLISSGVS</t>
        </is>
      </c>
      <c r="F55" s="18" t="inlineStr">
        <is>
          <t>Bliss Gvs Pharma Limited</t>
        </is>
      </c>
      <c r="G55" s="18" t="inlineStr">
        <is>
          <t>healthcare</t>
        </is>
      </c>
      <c r="H55" s="19" t="n">
        <v>5955.06</v>
      </c>
    </row>
    <row r="56">
      <c r="A56" s="16" t="n">
        <v>10</v>
      </c>
      <c r="B56" s="27" t="n">
        <v>96</v>
      </c>
      <c r="C56" s="28" t="n">
        <v>40.37</v>
      </c>
      <c r="D56" s="28" t="n">
        <v>265</v>
      </c>
      <c r="E56" s="17" t="inlineStr">
        <is>
          <t>MACPOWER</t>
        </is>
      </c>
      <c r="F56" s="18" t="inlineStr">
        <is>
          <t>Macpower CNC Machines Ltd</t>
        </is>
      </c>
      <c r="G56" s="18" t="inlineStr">
        <is>
          <t>industrials</t>
        </is>
      </c>
      <c r="H56" s="19" t="n">
        <v>1903.79</v>
      </c>
    </row>
    <row r="57">
      <c r="A57" s="16" t="n">
        <v>11</v>
      </c>
      <c r="B57" s="27" t="n">
        <v>95</v>
      </c>
      <c r="C57" s="28" t="n">
        <v>39.46</v>
      </c>
      <c r="D57" s="28" t="n">
        <v>277</v>
      </c>
      <c r="E57" s="17" t="inlineStr">
        <is>
          <t>KPL</t>
        </is>
      </c>
      <c r="F57" s="18" t="inlineStr">
        <is>
          <t>Kwality Pharmaceuticals Limited</t>
        </is>
      </c>
      <c r="G57" s="18" t="inlineStr">
        <is>
          <t>Healthcare</t>
        </is>
      </c>
      <c r="H57" s="19" t="n">
        <v>3448.94</v>
      </c>
    </row>
    <row r="58">
      <c r="A58" s="16" t="n">
        <v>12</v>
      </c>
      <c r="B58" s="27" t="n">
        <v>95</v>
      </c>
      <c r="C58" s="28" t="n">
        <v>38.78</v>
      </c>
      <c r="D58" s="28" t="n">
        <v>275</v>
      </c>
      <c r="E58" s="17" t="inlineStr">
        <is>
          <t>SKYGOLD</t>
        </is>
      </c>
      <c r="F58" s="18" t="inlineStr">
        <is>
          <t>Sky Gold Ltd</t>
        </is>
      </c>
      <c r="G58" s="18" t="inlineStr">
        <is>
          <t>consumer discretionary</t>
        </is>
      </c>
      <c r="H58" s="19" t="n">
        <v>13045.03</v>
      </c>
    </row>
    <row r="59">
      <c r="A59" s="16" t="n">
        <v>13</v>
      </c>
      <c r="B59" s="27" t="n">
        <v>95</v>
      </c>
      <c r="C59" s="28" t="n">
        <v>38.47</v>
      </c>
      <c r="D59" s="28" t="n">
        <v>290</v>
      </c>
      <c r="E59" s="17" t="inlineStr">
        <is>
          <t>PARAS</t>
        </is>
      </c>
      <c r="F59" s="18" t="inlineStr">
        <is>
          <t>Paras Defence and Space Technologies Ltd</t>
        </is>
      </c>
      <c r="G59" s="18" t="inlineStr">
        <is>
          <t>aerospace &amp; defence</t>
        </is>
      </c>
      <c r="H59" s="19" t="n">
        <v>11646.48</v>
      </c>
    </row>
    <row r="60">
      <c r="A60" s="16" t="n">
        <v>14</v>
      </c>
      <c r="B60" s="29" t="n">
        <v>94</v>
      </c>
      <c r="C60" s="28" t="n">
        <v>38.04</v>
      </c>
      <c r="D60" s="28" t="n">
        <v>275</v>
      </c>
      <c r="E60" s="17" t="inlineStr">
        <is>
          <t>MODISONLTD</t>
        </is>
      </c>
      <c r="F60" s="18" t="inlineStr">
        <is>
          <t>Modison Ltd</t>
        </is>
      </c>
      <c r="G60" s="18" t="inlineStr">
        <is>
          <t>industrials</t>
        </is>
      </c>
      <c r="H60" s="19" t="n">
        <v>1346.19</v>
      </c>
    </row>
    <row r="61">
      <c r="A61" s="16" t="n">
        <v>15</v>
      </c>
      <c r="B61" s="29" t="n">
        <v>94</v>
      </c>
      <c r="C61" s="28" t="n">
        <v>37.65</v>
      </c>
      <c r="D61" s="28" t="n">
        <v>273</v>
      </c>
      <c r="E61" s="17" t="inlineStr">
        <is>
          <t>CYIENTDLM</t>
        </is>
      </c>
      <c r="F61" s="18" t="inlineStr">
        <is>
          <t>Cyient DLM Ltd</t>
        </is>
      </c>
      <c r="G61" s="18" t="inlineStr">
        <is>
          <t>aerospace &amp; defence</t>
        </is>
      </c>
      <c r="H61" s="19" t="n">
        <v>6107.36</v>
      </c>
    </row>
    <row r="62">
      <c r="A62" s="16" t="n">
        <v>16</v>
      </c>
      <c r="B62" s="29" t="n">
        <v>94</v>
      </c>
      <c r="C62" s="28" t="n">
        <v>36.65</v>
      </c>
      <c r="D62" s="28" t="n">
        <v>268</v>
      </c>
      <c r="E62" s="17" t="inlineStr">
        <is>
          <t>COMSYN</t>
        </is>
      </c>
      <c r="F62" s="18" t="inlineStr">
        <is>
          <t>Commercial Syn Bags Ltd</t>
        </is>
      </c>
      <c r="G62" s="18" t="inlineStr">
        <is>
          <t>industrials</t>
        </is>
      </c>
      <c r="H62" s="19" t="n">
        <v>1160.48</v>
      </c>
    </row>
    <row r="63">
      <c r="A63" s="16" t="n">
        <v>17</v>
      </c>
      <c r="B63" s="29" t="n">
        <v>93</v>
      </c>
      <c r="C63" s="28" t="n">
        <v>35.47</v>
      </c>
      <c r="D63" s="28" t="n">
        <v>270</v>
      </c>
      <c r="E63" s="17" t="inlineStr">
        <is>
          <t>E2E</t>
        </is>
      </c>
      <c r="F63" s="18" t="inlineStr">
        <is>
          <t>E2E Networks Ltd</t>
        </is>
      </c>
      <c r="G63" s="18" t="inlineStr">
        <is>
          <t>i.t</t>
        </is>
      </c>
      <c r="H63" s="19" t="n">
        <v>12258.86</v>
      </c>
    </row>
    <row r="64">
      <c r="A64" s="16" t="n">
        <v>18</v>
      </c>
      <c r="B64" s="29" t="n">
        <v>93</v>
      </c>
      <c r="C64" s="28" t="n">
        <v>34.52</v>
      </c>
      <c r="D64" s="28" t="n">
        <v>272</v>
      </c>
      <c r="E64" s="17" t="inlineStr">
        <is>
          <t>SHILPAMED</t>
        </is>
      </c>
      <c r="F64" s="18" t="inlineStr">
        <is>
          <t>Shilpa Medicare Limited</t>
        </is>
      </c>
      <c r="G64" s="18" t="inlineStr">
        <is>
          <t>healthcare</t>
        </is>
      </c>
      <c r="H64" s="19" t="n">
        <v>16850.35</v>
      </c>
    </row>
    <row r="65">
      <c r="A65" s="16" t="n">
        <v>19</v>
      </c>
      <c r="B65" s="29" t="n">
        <v>92</v>
      </c>
      <c r="C65" s="28" t="n">
        <v>34.51</v>
      </c>
      <c r="D65" s="28" t="n">
        <v>275</v>
      </c>
      <c r="E65" s="17" t="inlineStr">
        <is>
          <t>KMEW</t>
        </is>
      </c>
      <c r="F65" s="18" t="inlineStr">
        <is>
          <t>Knowledge Marine &amp; Engineering Works Ltd</t>
        </is>
      </c>
      <c r="G65" s="18" t="inlineStr">
        <is>
          <t>transportation</t>
        </is>
      </c>
      <c r="H65" s="19" t="n">
        <v>6563.49</v>
      </c>
    </row>
    <row r="66">
      <c r="A66" s="16" t="n">
        <v>20</v>
      </c>
      <c r="B66" s="29" t="n">
        <v>92</v>
      </c>
      <c r="C66" s="28" t="n">
        <v>33.48</v>
      </c>
      <c r="D66" s="28" t="n">
        <v>273</v>
      </c>
      <c r="E66" s="17" t="inlineStr">
        <is>
          <t>HAPPYFORGE</t>
        </is>
      </c>
      <c r="F66" s="18" t="inlineStr">
        <is>
          <t>Happy Forgings Ltd</t>
        </is>
      </c>
      <c r="G66" s="18" t="inlineStr">
        <is>
          <t>industrials</t>
        </is>
      </c>
      <c r="H66" s="19" t="n">
        <v>20301.81</v>
      </c>
    </row>
    <row r="67">
      <c r="A67" s="16" t="n">
        <v>21</v>
      </c>
      <c r="B67" s="29" t="n">
        <v>92</v>
      </c>
      <c r="C67" s="28" t="n">
        <v>32.78</v>
      </c>
      <c r="D67" s="28" t="n">
        <v>290</v>
      </c>
      <c r="E67" s="17" t="inlineStr">
        <is>
          <t>INDOBORAX</t>
        </is>
      </c>
      <c r="F67" s="18" t="inlineStr">
        <is>
          <t>Indo Borax &amp; Chemicals Ltd</t>
        </is>
      </c>
      <c r="G67" s="18" t="inlineStr">
        <is>
          <t>chemicals</t>
        </is>
      </c>
      <c r="H67" s="19" t="n">
        <v>1564.07</v>
      </c>
    </row>
    <row r="68">
      <c r="A68" s="16" t="n">
        <v>22</v>
      </c>
      <c r="B68" s="29" t="n">
        <v>91</v>
      </c>
      <c r="C68" s="28" t="n">
        <v>32.77</v>
      </c>
      <c r="D68" s="28" t="n">
        <v>275</v>
      </c>
      <c r="E68" s="17" t="inlineStr">
        <is>
          <t>AVALON</t>
        </is>
      </c>
      <c r="F68" s="18" t="inlineStr">
        <is>
          <t>Avalon Technologies Ltd</t>
        </is>
      </c>
      <c r="G68" s="18" t="inlineStr">
        <is>
          <t>consumer discretionary</t>
        </is>
      </c>
      <c r="H68" s="19" t="n">
        <v>14107.3</v>
      </c>
    </row>
    <row r="69">
      <c r="A69" s="16" t="n">
        <v>23</v>
      </c>
      <c r="B69" s="29" t="n">
        <v>91</v>
      </c>
      <c r="C69" s="28" t="n">
        <v>32.35</v>
      </c>
      <c r="D69" s="28" t="n">
        <v>275</v>
      </c>
      <c r="E69" s="17" t="inlineStr">
        <is>
          <t>TBZ</t>
        </is>
      </c>
      <c r="F69" s="18" t="inlineStr">
        <is>
          <t>Tribhovandas Bhimji Zaveri Limited</t>
        </is>
      </c>
      <c r="G69" s="18" t="inlineStr">
        <is>
          <t>consumer discretionary</t>
        </is>
      </c>
      <c r="H69" s="19" t="n">
        <v>1870.79</v>
      </c>
    </row>
    <row r="70">
      <c r="A70" s="16" t="n">
        <v>24</v>
      </c>
      <c r="B70" s="29" t="n">
        <v>91</v>
      </c>
      <c r="C70" s="28" t="n">
        <v>29.35</v>
      </c>
      <c r="D70" s="28" t="n">
        <v>298</v>
      </c>
      <c r="E70" s="17" t="inlineStr">
        <is>
          <t>PREMIERPOL</t>
        </is>
      </c>
      <c r="F70" s="18" t="inlineStr">
        <is>
          <t>Premier Polyfilm Limited</t>
        </is>
      </c>
      <c r="G70" s="18" t="inlineStr">
        <is>
          <t>plastic products</t>
        </is>
      </c>
      <c r="H70" s="19" t="n">
        <v>945.8200000000001</v>
      </c>
    </row>
    <row r="71">
      <c r="A71" s="16" t="n">
        <v>25</v>
      </c>
      <c r="B71" s="29" t="n">
        <v>90</v>
      </c>
      <c r="C71" s="28" t="n">
        <v>29.29</v>
      </c>
      <c r="D71" s="28" t="n">
        <v>287</v>
      </c>
      <c r="E71" s="17" t="inlineStr">
        <is>
          <t>IOLCP</t>
        </is>
      </c>
      <c r="F71" s="18" t="inlineStr">
        <is>
          <t>Iol Chemicals And Pharmaceuticals Limited</t>
        </is>
      </c>
      <c r="G71" s="18" t="inlineStr">
        <is>
          <t>healthcare</t>
        </is>
      </c>
      <c r="H71" s="19" t="n">
        <v>5059.53</v>
      </c>
    </row>
    <row r="72">
      <c r="A72" s="16" t="n">
        <v>26</v>
      </c>
      <c r="B72" s="29" t="n">
        <v>90</v>
      </c>
      <c r="C72" s="28" t="n">
        <v>29.13</v>
      </c>
      <c r="D72" s="28" t="n">
        <v>285</v>
      </c>
      <c r="E72" s="17" t="inlineStr">
        <is>
          <t>AFCOM</t>
        </is>
      </c>
      <c r="F72" s="18" t="inlineStr">
        <is>
          <t>Afcom Holdings Limited</t>
        </is>
      </c>
      <c r="G72" s="18" t="inlineStr">
        <is>
          <t>Industrials</t>
        </is>
      </c>
      <c r="H72" s="19" t="n">
        <v>4661.94</v>
      </c>
    </row>
    <row r="73">
      <c r="A73" s="16" t="n">
        <v>27</v>
      </c>
      <c r="B73" s="29" t="n">
        <v>90</v>
      </c>
      <c r="C73" s="28" t="n">
        <v>29.12</v>
      </c>
      <c r="D73" s="28" t="n">
        <v>283</v>
      </c>
      <c r="E73" s="17" t="inlineStr">
        <is>
          <t>CARTRADE</t>
        </is>
      </c>
      <c r="F73" s="18" t="inlineStr">
        <is>
          <t>Cartrade Tech Ltd</t>
        </is>
      </c>
      <c r="G73" s="18" t="inlineStr">
        <is>
          <t>consumer discretionary</t>
        </is>
      </c>
      <c r="H73" s="19" t="n">
        <v>15102.28</v>
      </c>
    </row>
    <row r="74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WEL</t>
        </is>
      </c>
      <c r="B2" s="31" t="inlineStr">
        <is>
          <t>Wonder Electricals Ltd</t>
        </is>
      </c>
      <c r="C2" s="31" t="inlineStr">
        <is>
          <t>consumer discretionary</t>
        </is>
      </c>
      <c r="D2" s="31" t="inlineStr">
        <is>
          <t>electric equipment</t>
        </is>
      </c>
      <c r="E2" s="31" t="inlineStr">
        <is>
          <t>smallcap</t>
        </is>
      </c>
      <c r="F2" s="31" t="n">
        <v>1795.98</v>
      </c>
      <c r="G2" s="31" t="n">
        <v>155.92</v>
      </c>
      <c r="H2" s="31" t="n">
        <v>16.34</v>
      </c>
      <c r="I2" s="31" t="n">
        <v>18476539</v>
      </c>
      <c r="J2" s="31" t="inlineStr">
        <is>
          <t>535344</t>
        </is>
      </c>
    </row>
    <row r="3">
      <c r="A3" s="31" t="inlineStr">
        <is>
          <t>OAL</t>
        </is>
      </c>
      <c r="B3" s="31" t="inlineStr">
        <is>
          <t>Oriental Aromatics Ltd</t>
        </is>
      </c>
      <c r="C3" s="31" t="inlineStr">
        <is>
          <t>chemicals</t>
        </is>
      </c>
      <c r="D3" s="31" t="inlineStr">
        <is>
          <t>chemicals</t>
        </is>
      </c>
      <c r="E3" s="31" t="inlineStr">
        <is>
          <t>smallcap</t>
        </is>
      </c>
      <c r="F3" s="31" t="n">
        <v>1175.69</v>
      </c>
      <c r="G3" s="31" t="n">
        <v>401.25</v>
      </c>
      <c r="H3" s="31" t="n">
        <v>14.86</v>
      </c>
      <c r="I3" s="31" t="n">
        <v>935419</v>
      </c>
      <c r="J3" s="31" t="inlineStr">
        <is>
          <t>500078</t>
        </is>
      </c>
    </row>
    <row r="4">
      <c r="A4" s="31" t="inlineStr">
        <is>
          <t>RGL</t>
        </is>
      </c>
      <c r="B4" s="31" t="inlineStr">
        <is>
          <t>Renaissance Global Ltd</t>
        </is>
      </c>
      <c r="C4" s="31" t="inlineStr">
        <is>
          <t>consumer discretionary</t>
        </is>
      </c>
      <c r="D4" s="31" t="inlineStr">
        <is>
          <t>diamond cutting / jewellery</t>
        </is>
      </c>
      <c r="E4" s="31" t="inlineStr">
        <is>
          <t>smallcap</t>
        </is>
      </c>
      <c r="F4" s="31" t="n">
        <v>1426.6</v>
      </c>
      <c r="G4" s="31" t="n">
        <v>152.58</v>
      </c>
      <c r="H4" s="31" t="n">
        <v>14.83</v>
      </c>
      <c r="I4" s="31" t="n">
        <v>43389006</v>
      </c>
      <c r="J4" s="31" t="inlineStr">
        <is>
          <t>532923</t>
        </is>
      </c>
    </row>
    <row r="5">
      <c r="A5" s="31" t="inlineStr">
        <is>
          <t>INDSWFTLAB</t>
        </is>
      </c>
      <c r="B5" s="31" t="inlineStr">
        <is>
          <t>Ind-swift Laboratories Limited</t>
        </is>
      </c>
      <c r="C5" s="31" t="inlineStr">
        <is>
          <t>healthcare</t>
        </is>
      </c>
      <c r="D5" s="31" t="inlineStr">
        <is>
          <t>pharmaceuticals - indian - bulk drugs &amp; formln</t>
        </is>
      </c>
      <c r="E5" s="31" t="inlineStr">
        <is>
          <t>smallcap</t>
        </is>
      </c>
      <c r="F5" s="31" t="n">
        <v>2820.86</v>
      </c>
      <c r="G5" s="31" t="n">
        <v>367.48</v>
      </c>
      <c r="H5" s="31" t="n">
        <v>13.29</v>
      </c>
      <c r="I5" s="31" t="n">
        <v>8519823</v>
      </c>
      <c r="J5" s="31" t="inlineStr">
        <is>
          <t>532305</t>
        </is>
      </c>
    </row>
    <row r="6">
      <c r="A6" s="31" t="inlineStr">
        <is>
          <t>ARIES</t>
        </is>
      </c>
      <c r="B6" s="31" t="inlineStr">
        <is>
          <t>Aries Agro Limited</t>
        </is>
      </c>
      <c r="C6" s="31" t="inlineStr">
        <is>
          <t>chemicals</t>
        </is>
      </c>
      <c r="D6" s="31" t="inlineStr">
        <is>
          <t>fertilizers</t>
        </is>
      </c>
      <c r="E6" s="31" t="inlineStr">
        <is>
          <t>smallcap</t>
        </is>
      </c>
      <c r="F6" s="31" t="n">
        <v>580.97</v>
      </c>
      <c r="G6" s="31" t="n">
        <v>493.95</v>
      </c>
      <c r="H6" s="31" t="n">
        <v>10.57</v>
      </c>
      <c r="I6" s="31" t="n">
        <v>1433154</v>
      </c>
      <c r="J6" s="31" t="inlineStr">
        <is>
          <t>532935</t>
        </is>
      </c>
    </row>
    <row r="7">
      <c r="A7" s="31" t="inlineStr">
        <is>
          <t>TVSSRICHAK</t>
        </is>
      </c>
      <c r="B7" s="31" t="inlineStr">
        <is>
          <t>Tvs Srichakra Limited</t>
        </is>
      </c>
      <c r="C7" s="31" t="inlineStr">
        <is>
          <t>auto</t>
        </is>
      </c>
      <c r="D7" s="31" t="inlineStr">
        <is>
          <t>tyres</t>
        </is>
      </c>
      <c r="E7" s="31" t="inlineStr">
        <is>
          <t>smallcap</t>
        </is>
      </c>
      <c r="F7" s="31" t="n">
        <v>3684.57</v>
      </c>
      <c r="G7" s="31" t="n">
        <v>5311.8</v>
      </c>
      <c r="H7" s="31" t="n">
        <v>10.39</v>
      </c>
      <c r="I7" s="31" t="n">
        <v>307139</v>
      </c>
      <c r="J7" s="31" t="inlineStr">
        <is>
          <t>509243</t>
        </is>
      </c>
    </row>
    <row r="8">
      <c r="A8" s="31" t="inlineStr">
        <is>
          <t>PVP</t>
        </is>
      </c>
      <c r="B8" s="31" t="inlineStr">
        <is>
          <t>Pvp Ventures Limited</t>
        </is>
      </c>
      <c r="C8" s="31" t="inlineStr">
        <is>
          <t>realty</t>
        </is>
      </c>
      <c r="D8" s="31" t="inlineStr">
        <is>
          <t>construction</t>
        </is>
      </c>
      <c r="E8" s="31" t="inlineStr">
        <is>
          <t>smallcap</t>
        </is>
      </c>
      <c r="F8" s="31" t="n">
        <v>1337.17</v>
      </c>
      <c r="G8" s="31" t="n">
        <v>56.48</v>
      </c>
      <c r="H8" s="31" t="n">
        <v>9.99</v>
      </c>
      <c r="I8" s="31" t="n">
        <v>6202419</v>
      </c>
      <c r="J8" s="31" t="inlineStr">
        <is>
          <t>517556</t>
        </is>
      </c>
    </row>
    <row r="9">
      <c r="A9" s="31" t="inlineStr">
        <is>
          <t>OMAXE</t>
        </is>
      </c>
      <c r="B9" s="31" t="inlineStr">
        <is>
          <t>Omaxe Limited</t>
        </is>
      </c>
      <c r="C9" s="31" t="inlineStr">
        <is>
          <t>realty</t>
        </is>
      </c>
      <c r="D9" s="31" t="inlineStr">
        <is>
          <t>construction</t>
        </is>
      </c>
      <c r="E9" s="31" t="inlineStr">
        <is>
          <t>smallcap</t>
        </is>
      </c>
      <c r="F9" s="31" t="n">
        <v>1822.24</v>
      </c>
      <c r="G9" s="31" t="n">
        <v>109.37</v>
      </c>
      <c r="H9" s="31" t="n">
        <v>9.779999999999999</v>
      </c>
      <c r="I9" s="31" t="n">
        <v>15077969</v>
      </c>
      <c r="J9" s="31" t="inlineStr">
        <is>
          <t>532880</t>
        </is>
      </c>
    </row>
    <row r="10">
      <c r="A10" s="31" t="inlineStr">
        <is>
          <t>TBZ</t>
        </is>
      </c>
      <c r="B10" s="31" t="inlineStr">
        <is>
          <t>Tribhovandas Bhimji Zaveri Limited</t>
        </is>
      </c>
      <c r="C10" s="31" t="inlineStr">
        <is>
          <t>consumer discretionary</t>
        </is>
      </c>
      <c r="D10" s="31" t="inlineStr">
        <is>
          <t>diamond cutting / jewellery</t>
        </is>
      </c>
      <c r="E10" s="31" t="inlineStr">
        <is>
          <t>smallcap</t>
        </is>
      </c>
      <c r="F10" s="31" t="n">
        <v>1870.79</v>
      </c>
      <c r="G10" s="31" t="n">
        <v>305.8</v>
      </c>
      <c r="H10" s="31" t="n">
        <v>9.08</v>
      </c>
      <c r="I10" s="31" t="n">
        <v>4895355</v>
      </c>
      <c r="J10" s="31" t="inlineStr">
        <is>
          <t>534369</t>
        </is>
      </c>
    </row>
    <row r="11">
      <c r="A11" s="31" t="inlineStr">
        <is>
          <t>SBFC</t>
        </is>
      </c>
      <c r="B11" s="31" t="inlineStr">
        <is>
          <t>SBFC Finance Ltd</t>
        </is>
      </c>
      <c r="C11" s="31" t="inlineStr">
        <is>
          <t>financials</t>
        </is>
      </c>
      <c r="D11" s="31" t="inlineStr">
        <is>
          <t>finance &amp; investments</t>
        </is>
      </c>
      <c r="E11" s="31" t="inlineStr">
        <is>
          <t>midcap</t>
        </is>
      </c>
      <c r="F11" s="31" t="n">
        <v>10272.48</v>
      </c>
      <c r="G11" s="31" t="n">
        <v>101.14</v>
      </c>
      <c r="H11" s="31" t="n">
        <v>9.02</v>
      </c>
      <c r="I11" s="31" t="n">
        <v>19087017</v>
      </c>
      <c r="J11" s="31" t="inlineStr">
        <is>
          <t>543959</t>
        </is>
      </c>
    </row>
    <row r="12">
      <c r="A12" s="31" t="inlineStr">
        <is>
          <t>ALLCARGO</t>
        </is>
      </c>
      <c r="B12" s="31" t="inlineStr">
        <is>
          <t>Allcargo Logistics Limited</t>
        </is>
      </c>
      <c r="C12" s="31" t="inlineStr">
        <is>
          <t>transportation</t>
        </is>
      </c>
      <c r="D12" s="31" t="inlineStr">
        <is>
          <t>miscellaneous</t>
        </is>
      </c>
      <c r="E12" s="31" t="inlineStr">
        <is>
          <t>smallcap</t>
        </is>
      </c>
      <c r="F12" s="31" t="n">
        <v>1836.28</v>
      </c>
      <c r="G12" s="31" t="n">
        <v>13.32</v>
      </c>
      <c r="H12" s="31" t="n">
        <v>8.65</v>
      </c>
      <c r="I12" s="31" t="n">
        <v>76793112</v>
      </c>
      <c r="J12" s="31" t="inlineStr">
        <is>
          <t>532749</t>
        </is>
      </c>
    </row>
    <row r="13">
      <c r="A13" s="31" t="inlineStr">
        <is>
          <t>DCI</t>
        </is>
      </c>
      <c r="B13" s="31" t="inlineStr">
        <is>
          <t>DC Infotech &amp; Communication Ltd</t>
        </is>
      </c>
      <c r="C13" s="31" t="inlineStr">
        <is>
          <t>i.t</t>
        </is>
      </c>
      <c r="D13" s="31" t="inlineStr">
        <is>
          <t>trading</t>
        </is>
      </c>
      <c r="E13" s="31" t="inlineStr">
        <is>
          <t>smallcap</t>
        </is>
      </c>
      <c r="F13" s="31" t="n">
        <v>607.05</v>
      </c>
      <c r="G13" s="31" t="n">
        <v>401</v>
      </c>
      <c r="H13" s="31" t="n">
        <v>8.33</v>
      </c>
      <c r="I13" s="31" t="n">
        <v>184149</v>
      </c>
      <c r="J13" s="31" t="inlineStr">
        <is>
          <t>535351</t>
        </is>
      </c>
    </row>
    <row r="14">
      <c r="A14" s="31" t="inlineStr">
        <is>
          <t>RPEL</t>
        </is>
      </c>
      <c r="B14" s="31" t="inlineStr">
        <is>
          <t>Raghav Productivity Enhancers Ltd</t>
        </is>
      </c>
      <c r="C14" s="31" t="inlineStr">
        <is>
          <t>building materials</t>
        </is>
      </c>
      <c r="D14" s="31" t="inlineStr">
        <is>
          <t>refractories / intermediates</t>
        </is>
      </c>
      <c r="E14" s="31" t="inlineStr">
        <is>
          <t>midcap</t>
        </is>
      </c>
      <c r="F14" s="31" t="n">
        <v>7361.75</v>
      </c>
      <c r="G14" s="31" t="n">
        <v>1736.7</v>
      </c>
      <c r="H14" s="31" t="n">
        <v>8.33</v>
      </c>
      <c r="I14" s="31" t="n">
        <v>163910</v>
      </c>
      <c r="J14" s="31" t="inlineStr">
        <is>
          <t>539837</t>
        </is>
      </c>
    </row>
    <row r="15">
      <c r="A15" s="31" t="inlineStr">
        <is>
          <t>AEROFLEX</t>
        </is>
      </c>
      <c r="B15" s="31" t="inlineStr">
        <is>
          <t>Aeroflex Industries Ltd</t>
        </is>
      </c>
      <c r="C15" s="31" t="inlineStr">
        <is>
          <t>metals &amp; mining</t>
        </is>
      </c>
      <c r="D15" s="31" t="inlineStr">
        <is>
          <t>steel - medium / small</t>
        </is>
      </c>
      <c r="E15" s="31" t="inlineStr">
        <is>
          <t>midcap</t>
        </is>
      </c>
      <c r="F15" s="31" t="n">
        <v>6560.3</v>
      </c>
      <c r="G15" s="31" t="n">
        <v>536.35</v>
      </c>
      <c r="H15" s="31" t="n">
        <v>8.19</v>
      </c>
      <c r="I15" s="31" t="n">
        <v>4177634</v>
      </c>
      <c r="J15" s="31" t="inlineStr">
        <is>
          <t>543972</t>
        </is>
      </c>
    </row>
    <row r="16">
      <c r="A16" s="31" t="inlineStr">
        <is>
          <t>IOLCP</t>
        </is>
      </c>
      <c r="B16" s="31" t="inlineStr">
        <is>
          <t>Iol Chemicals And Pharmaceuticals Limited</t>
        </is>
      </c>
      <c r="C16" s="31" t="inlineStr">
        <is>
          <t>healthcare</t>
        </is>
      </c>
      <c r="D16" s="31" t="inlineStr">
        <is>
          <t>pharmaceuticals - indian - bulk drugs &amp; formln</t>
        </is>
      </c>
      <c r="E16" s="31" t="inlineStr">
        <is>
          <t>midcap</t>
        </is>
      </c>
      <c r="F16" s="31" t="n">
        <v>5059.53</v>
      </c>
      <c r="G16" s="31" t="n">
        <v>186.01</v>
      </c>
      <c r="H16" s="31" t="n">
        <v>7.91</v>
      </c>
      <c r="I16" s="31" t="n">
        <v>18086861</v>
      </c>
      <c r="J16" s="31" t="inlineStr">
        <is>
          <t>524164</t>
        </is>
      </c>
    </row>
    <row r="17">
      <c r="A17" s="31" t="inlineStr">
        <is>
          <t>FOSECOIND</t>
        </is>
      </c>
      <c r="B17" s="31" t="inlineStr">
        <is>
          <t>Foseco India Limited</t>
        </is>
      </c>
      <c r="C17" s="31" t="inlineStr">
        <is>
          <t>chemicals</t>
        </is>
      </c>
      <c r="D17" s="31" t="inlineStr">
        <is>
          <t>chemicals</t>
        </is>
      </c>
      <c r="E17" s="31" t="inlineStr">
        <is>
          <t>smallcap</t>
        </is>
      </c>
      <c r="F17" s="31" t="n">
        <v>4232.55</v>
      </c>
      <c r="G17" s="31" t="n">
        <v>6047</v>
      </c>
      <c r="H17" s="31" t="n">
        <v>7.68</v>
      </c>
      <c r="I17" s="31" t="n">
        <v>35642</v>
      </c>
      <c r="J17" s="31" t="inlineStr">
        <is>
          <t>500150</t>
        </is>
      </c>
    </row>
    <row r="18">
      <c r="A18" s="31" t="inlineStr">
        <is>
          <t>JINDALSAW</t>
        </is>
      </c>
      <c r="B18" s="31" t="inlineStr">
        <is>
          <t>Jindal Saw Limited</t>
        </is>
      </c>
      <c r="C18" s="31" t="inlineStr">
        <is>
          <t>industrials</t>
        </is>
      </c>
      <c r="D18" s="31" t="inlineStr">
        <is>
          <t>steel - large</t>
        </is>
      </c>
      <c r="E18" s="31" t="inlineStr">
        <is>
          <t>midcap</t>
        </is>
      </c>
      <c r="F18" s="31" t="n">
        <v>18018.14</v>
      </c>
      <c r="G18" s="31" t="n">
        <v>302.45</v>
      </c>
      <c r="H18" s="31" t="n">
        <v>7.35</v>
      </c>
      <c r="I18" s="31" t="n">
        <v>13451645</v>
      </c>
      <c r="J18" s="31" t="inlineStr">
        <is>
          <t>500378</t>
        </is>
      </c>
    </row>
    <row r="19">
      <c r="A19" s="31" t="inlineStr">
        <is>
          <t>IGPL</t>
        </is>
      </c>
      <c r="B19" s="31" t="inlineStr">
        <is>
          <t>Ig Petrochemicals Limited</t>
        </is>
      </c>
      <c r="C19" s="31" t="inlineStr">
        <is>
          <t>chemicals</t>
        </is>
      </c>
      <c r="D19" s="31" t="inlineStr">
        <is>
          <t>chemicals</t>
        </is>
      </c>
      <c r="E19" s="31" t="inlineStr">
        <is>
          <t>smallcap</t>
        </is>
      </c>
      <c r="F19" s="31" t="n">
        <v>1502.94</v>
      </c>
      <c r="G19" s="31" t="n">
        <v>523.85</v>
      </c>
      <c r="H19" s="31" t="n">
        <v>7.34</v>
      </c>
      <c r="I19" s="31" t="n">
        <v>349243</v>
      </c>
      <c r="J19" s="31" t="inlineStr">
        <is>
          <t>500199</t>
        </is>
      </c>
    </row>
    <row r="20">
      <c r="A20" s="31" t="inlineStr">
        <is>
          <t>IDBI</t>
        </is>
      </c>
      <c r="B20" s="31" t="inlineStr">
        <is>
          <t>Idbi Bank Limited</t>
        </is>
      </c>
      <c r="C20" s="31" t="inlineStr">
        <is>
          <t>bank</t>
        </is>
      </c>
      <c r="D20" s="31" t="inlineStr">
        <is>
          <t>banks - private sector</t>
        </is>
      </c>
      <c r="E20" s="31" t="inlineStr">
        <is>
          <t>largecap</t>
        </is>
      </c>
      <c r="F20" s="31" t="n">
        <v>94954.46000000001</v>
      </c>
      <c r="G20" s="31" t="n">
        <v>94.75</v>
      </c>
      <c r="H20" s="31" t="n">
        <v>7.29</v>
      </c>
      <c r="I20" s="31" t="n">
        <v>65166925</v>
      </c>
      <c r="J20" s="31" t="inlineStr">
        <is>
          <t>500116</t>
        </is>
      </c>
    </row>
    <row r="21">
      <c r="A21" s="31" t="inlineStr">
        <is>
          <t>UFLEX</t>
        </is>
      </c>
      <c r="B21" s="31" t="inlineStr">
        <is>
          <t>Uflex Limited</t>
        </is>
      </c>
      <c r="C21" s="31" t="inlineStr">
        <is>
          <t>industrials</t>
        </is>
      </c>
      <c r="D21" s="31" t="inlineStr">
        <is>
          <t>packaging</t>
        </is>
      </c>
      <c r="E21" s="31" t="inlineStr">
        <is>
          <t>smallcap</t>
        </is>
      </c>
      <c r="F21" s="31" t="n">
        <v>4378.54</v>
      </c>
      <c r="G21" s="31" t="n">
        <v>650.45</v>
      </c>
      <c r="H21" s="31" t="n">
        <v>7.27</v>
      </c>
      <c r="I21" s="31" t="n">
        <v>1512339</v>
      </c>
      <c r="J21" s="31" t="inlineStr">
        <is>
          <t>500148</t>
        </is>
      </c>
    </row>
    <row r="22">
      <c r="A22" s="31" t="inlineStr">
        <is>
          <t>DYCL</t>
        </is>
      </c>
      <c r="B22" s="31" t="inlineStr">
        <is>
          <t>Dynamic Cables Ltd</t>
        </is>
      </c>
      <c r="C22" s="31" t="inlineStr">
        <is>
          <t>industrials</t>
        </is>
      </c>
      <c r="D22" s="31" t="inlineStr">
        <is>
          <t>cables - power</t>
        </is>
      </c>
      <c r="E22" s="31" t="inlineStr">
        <is>
          <t>smallcap</t>
        </is>
      </c>
      <c r="F22" s="31" t="n">
        <v>2075.24</v>
      </c>
      <c r="G22" s="31" t="n">
        <v>458.9</v>
      </c>
      <c r="H22" s="31" t="n">
        <v>7.16</v>
      </c>
      <c r="I22" s="31" t="n">
        <v>762644</v>
      </c>
      <c r="J22" s="31" t="inlineStr">
        <is>
          <t>540795</t>
        </is>
      </c>
    </row>
    <row r="23">
      <c r="A23" s="31" t="inlineStr">
        <is>
          <t>RAMRAT</t>
        </is>
      </c>
      <c r="B23" s="31" t="inlineStr">
        <is>
          <t>Ram Ratna Wires Ltd</t>
        </is>
      </c>
      <c r="C23" s="31" t="inlineStr">
        <is>
          <t>metals &amp; mining</t>
        </is>
      </c>
      <c r="D23" s="31" t="inlineStr">
        <is>
          <t>mining / minerals / metals</t>
        </is>
      </c>
      <c r="E23" s="31" t="inlineStr">
        <is>
          <t>smallcap</t>
        </is>
      </c>
      <c r="F23" s="31" t="n">
        <v>4569.9</v>
      </c>
      <c r="G23" s="31" t="n">
        <v>524</v>
      </c>
      <c r="H23" s="31" t="n">
        <v>7.04</v>
      </c>
      <c r="I23" s="31" t="n">
        <v>925564</v>
      </c>
      <c r="J23" s="31" t="inlineStr">
        <is>
          <t>522281</t>
        </is>
      </c>
    </row>
    <row r="24">
      <c r="A24" s="31" t="inlineStr">
        <is>
          <t>CYIENT</t>
        </is>
      </c>
      <c r="B24" s="31" t="inlineStr">
        <is>
          <t>Cyient Limited</t>
        </is>
      </c>
      <c r="C24" s="31" t="inlineStr">
        <is>
          <t>i.t</t>
        </is>
      </c>
      <c r="D24" s="31" t="inlineStr">
        <is>
          <t>computers - software - medium / small</t>
        </is>
      </c>
      <c r="E24" s="31" t="inlineStr">
        <is>
          <t>midcap</t>
        </is>
      </c>
      <c r="F24" s="31" t="n">
        <v>10254.75</v>
      </c>
      <c r="G24" s="31" t="n">
        <v>1047.7</v>
      </c>
      <c r="H24" s="31" t="n">
        <v>7.01</v>
      </c>
      <c r="I24" s="31" t="n">
        <v>12441384</v>
      </c>
      <c r="J24" s="31" t="inlineStr">
        <is>
          <t>532175</t>
        </is>
      </c>
    </row>
    <row r="25">
      <c r="A25" s="31" t="inlineStr">
        <is>
          <t>CGCL</t>
        </is>
      </c>
      <c r="B25" s="31" t="inlineStr">
        <is>
          <t>Capri Global Capital Limited</t>
        </is>
      </c>
      <c r="C25" s="31" t="inlineStr">
        <is>
          <t>financials</t>
        </is>
      </c>
      <c r="D25" s="31" t="inlineStr">
        <is>
          <t>finance &amp; investments</t>
        </is>
      </c>
      <c r="E25" s="31" t="inlineStr">
        <is>
          <t>largecap</t>
        </is>
      </c>
      <c r="F25" s="31" t="n">
        <v>23059.94</v>
      </c>
      <c r="G25" s="31" t="n">
        <v>256.35</v>
      </c>
      <c r="H25" s="31" t="n">
        <v>6.96</v>
      </c>
      <c r="I25" s="31" t="n">
        <v>32877661</v>
      </c>
      <c r="J25" s="31" t="inlineStr">
        <is>
          <t>531595</t>
        </is>
      </c>
    </row>
    <row r="26">
      <c r="A26" s="31" t="inlineStr">
        <is>
          <t>QUESS</t>
        </is>
      </c>
      <c r="B26" s="31" t="inlineStr">
        <is>
          <t>Quess Corp Limited</t>
        </is>
      </c>
      <c r="C26" s="31" t="inlineStr">
        <is>
          <t>miscellaneous</t>
        </is>
      </c>
      <c r="D26" s="31" t="inlineStr">
        <is>
          <t>diversified - large</t>
        </is>
      </c>
      <c r="E26" s="31" t="inlineStr">
        <is>
          <t>midcap</t>
        </is>
      </c>
      <c r="F26" s="31" t="n">
        <v>5182.79</v>
      </c>
      <c r="G26" s="31" t="n">
        <v>370.7</v>
      </c>
      <c r="H26" s="31" t="n">
        <v>6.83</v>
      </c>
      <c r="I26" s="31" t="n">
        <v>6941081</v>
      </c>
      <c r="J26" s="31" t="inlineStr">
        <is>
          <t>539978</t>
        </is>
      </c>
    </row>
    <row r="27">
      <c r="A27" s="31" t="inlineStr">
        <is>
          <t>VSSL</t>
        </is>
      </c>
      <c r="B27" s="31" t="inlineStr">
        <is>
          <t>Vardhman Special Steels Limited</t>
        </is>
      </c>
      <c r="C27" s="31" t="inlineStr">
        <is>
          <t>metals &amp; mining</t>
        </is>
      </c>
      <c r="D27" s="31" t="inlineStr">
        <is>
          <t>steel - medium / small</t>
        </is>
      </c>
      <c r="E27" s="31" t="inlineStr">
        <is>
          <t>smallcap</t>
        </is>
      </c>
      <c r="F27" s="31" t="n">
        <v>3331.31</v>
      </c>
      <c r="G27" s="31" t="n">
        <v>367.75</v>
      </c>
      <c r="H27" s="31" t="n">
        <v>6.73</v>
      </c>
      <c r="I27" s="31" t="n">
        <v>402654</v>
      </c>
      <c r="J27" s="31" t="inlineStr">
        <is>
          <t>534392</t>
        </is>
      </c>
    </row>
    <row r="28">
      <c r="A28" s="31" t="inlineStr">
        <is>
          <t>WABAG</t>
        </is>
      </c>
      <c r="B28" s="31" t="inlineStr">
        <is>
          <t>Va Tech Wabag Limited</t>
        </is>
      </c>
      <c r="C28" s="31" t="inlineStr">
        <is>
          <t>realty</t>
        </is>
      </c>
      <c r="D28" s="31" t="inlineStr">
        <is>
          <t>engineering - turnkey services</t>
        </is>
      </c>
      <c r="E28" s="31" t="inlineStr">
        <is>
          <t>midcap</t>
        </is>
      </c>
      <c r="F28" s="31" t="n">
        <v>12605.02</v>
      </c>
      <c r="G28" s="31" t="n">
        <v>2155.3</v>
      </c>
      <c r="H28" s="31" t="n">
        <v>6.62</v>
      </c>
      <c r="I28" s="31" t="n">
        <v>2347890</v>
      </c>
      <c r="J28" s="31" t="inlineStr">
        <is>
          <t>533269</t>
        </is>
      </c>
    </row>
    <row r="29">
      <c r="A29" s="31" t="inlineStr">
        <is>
          <t>SURAKSHA</t>
        </is>
      </c>
      <c r="B29" s="31" t="inlineStr">
        <is>
          <t>Suraksha Diagnostic Ltd</t>
        </is>
      </c>
      <c r="C29" s="31" t="inlineStr">
        <is>
          <t>healthcare</t>
        </is>
      </c>
      <c r="D29" s="31" t="inlineStr">
        <is>
          <t>healthcare</t>
        </is>
      </c>
      <c r="E29" s="31" t="inlineStr">
        <is>
          <t>smallcap</t>
        </is>
      </c>
      <c r="F29" s="31" t="n">
        <v>1655.39</v>
      </c>
      <c r="G29" s="31" t="n">
        <v>338.75</v>
      </c>
      <c r="H29" s="31" t="n">
        <v>6.58</v>
      </c>
      <c r="I29" s="31" t="n">
        <v>364671</v>
      </c>
      <c r="J29" s="31" t="inlineStr">
        <is>
          <t>544293</t>
        </is>
      </c>
    </row>
    <row r="30">
      <c r="A30" s="31" t="inlineStr">
        <is>
          <t>20MICRONS</t>
        </is>
      </c>
      <c r="B30" s="31" t="inlineStr">
        <is>
          <t>20 Microns Limited</t>
        </is>
      </c>
      <c r="C30" s="31" t="inlineStr">
        <is>
          <t>metals &amp; mining</t>
        </is>
      </c>
      <c r="D30" s="31" t="inlineStr">
        <is>
          <t>mining / minerals / metals</t>
        </is>
      </c>
      <c r="E30" s="31" t="inlineStr">
        <is>
          <t>smallcap</t>
        </is>
      </c>
      <c r="F30" s="31" t="n">
        <v>743.3099999999999</v>
      </c>
      <c r="G30" s="31" t="n">
        <v>223.63</v>
      </c>
      <c r="H30" s="31" t="n">
        <v>6.16</v>
      </c>
      <c r="I30" s="31" t="n">
        <v>1672293</v>
      </c>
      <c r="J30" s="31" t="inlineStr">
        <is>
          <t>533022</t>
        </is>
      </c>
    </row>
    <row r="31">
      <c r="A31" s="31" t="inlineStr">
        <is>
          <t>RATNAVEER</t>
        </is>
      </c>
      <c r="B31" s="31" t="inlineStr">
        <is>
          <t>Ratnaveer Precision Engineering Ltd</t>
        </is>
      </c>
      <c r="C31" s="31" t="inlineStr">
        <is>
          <t>metals &amp; mining</t>
        </is>
      </c>
      <c r="D31" s="31" t="inlineStr">
        <is>
          <t>steel - medium / small</t>
        </is>
      </c>
      <c r="E31" s="31" t="inlineStr">
        <is>
          <t>smallcap</t>
        </is>
      </c>
      <c r="F31" s="31" t="n">
        <v>1881.59</v>
      </c>
      <c r="G31" s="31" t="n">
        <v>279.27</v>
      </c>
      <c r="H31" s="31" t="n">
        <v>6.01</v>
      </c>
      <c r="I31" s="31" t="n">
        <v>8840681</v>
      </c>
      <c r="J31" s="31" t="inlineStr">
        <is>
          <t>543978</t>
        </is>
      </c>
    </row>
    <row r="32">
      <c r="A32" s="31" t="inlineStr">
        <is>
          <t>ASIANENE</t>
        </is>
      </c>
      <c r="B32" s="31" t="inlineStr">
        <is>
          <t>Asian Energy Services Ltd</t>
        </is>
      </c>
      <c r="C32" s="31" t="inlineStr">
        <is>
          <t>energy</t>
        </is>
      </c>
      <c r="D32" s="31" t="inlineStr">
        <is>
          <t>oil drilling / allied services</t>
        </is>
      </c>
      <c r="E32" s="31" t="inlineStr">
        <is>
          <t>smallcap</t>
        </is>
      </c>
      <c r="F32" s="31" t="n">
        <v>2195.14</v>
      </c>
      <c r="G32" s="31" t="n">
        <v>478.55</v>
      </c>
      <c r="H32" s="31" t="n">
        <v>6.01</v>
      </c>
      <c r="I32" s="31" t="n">
        <v>811523</v>
      </c>
      <c r="J32" s="31" t="inlineStr">
        <is>
          <t>530355</t>
        </is>
      </c>
    </row>
    <row r="33">
      <c r="A33" s="31" t="inlineStr">
        <is>
          <t>THEMISMED</t>
        </is>
      </c>
      <c r="B33" s="31" t="inlineStr">
        <is>
          <t>Themis Medicare Limited</t>
        </is>
      </c>
      <c r="C33" s="31" t="inlineStr">
        <is>
          <t>healthcare</t>
        </is>
      </c>
      <c r="D33" s="31" t="inlineStr">
        <is>
          <t>pharmaceuticals - indian - bulk drugs &amp; formln</t>
        </is>
      </c>
      <c r="E33" s="31" t="inlineStr">
        <is>
          <t>smallcap</t>
        </is>
      </c>
      <c r="F33" s="31" t="n">
        <v>1098.2</v>
      </c>
      <c r="G33" s="31" t="n">
        <v>126.26</v>
      </c>
      <c r="H33" s="31" t="n">
        <v>5.89</v>
      </c>
      <c r="I33" s="31" t="n">
        <v>1801406</v>
      </c>
      <c r="J33" s="31" t="inlineStr">
        <is>
          <t>530199</t>
        </is>
      </c>
    </row>
    <row r="34">
      <c r="A34" s="31" t="inlineStr">
        <is>
          <t>KRBL</t>
        </is>
      </c>
      <c r="B34" s="31" t="inlineStr">
        <is>
          <t>Krbl Limited</t>
        </is>
      </c>
      <c r="C34" s="31" t="inlineStr">
        <is>
          <t>fmcg</t>
        </is>
      </c>
      <c r="D34" s="31" t="inlineStr">
        <is>
          <t>food - processing - indian</t>
        </is>
      </c>
      <c r="E34" s="31" t="inlineStr">
        <is>
          <t>midcap</t>
        </is>
      </c>
      <c r="F34" s="31" t="n">
        <v>9682.040000000001</v>
      </c>
      <c r="G34" s="31" t="n">
        <v>447.4</v>
      </c>
      <c r="H34" s="31" t="n">
        <v>5.77</v>
      </c>
      <c r="I34" s="31" t="n">
        <v>3189968</v>
      </c>
      <c r="J34" s="31" t="inlineStr">
        <is>
          <t>530813</t>
        </is>
      </c>
    </row>
    <row r="35">
      <c r="A35" s="31" t="inlineStr">
        <is>
          <t>HINDZINC</t>
        </is>
      </c>
      <c r="B35" s="31" t="inlineStr">
        <is>
          <t>Hindustan Zinc Limited</t>
        </is>
      </c>
      <c r="C35" s="31" t="inlineStr">
        <is>
          <t>metals &amp; mining</t>
        </is>
      </c>
      <c r="D35" s="31" t="inlineStr">
        <is>
          <t>mining / minerals / metals</t>
        </is>
      </c>
      <c r="E35" s="31" t="inlineStr">
        <is>
          <t>largecap</t>
        </is>
      </c>
      <c r="F35" s="31" t="n">
        <v>250392.4</v>
      </c>
      <c r="G35" s="31" t="n">
        <v>626.5</v>
      </c>
      <c r="H35" s="31" t="n">
        <v>5.72</v>
      </c>
      <c r="I35" s="31" t="n">
        <v>20142495</v>
      </c>
      <c r="J35" s="31" t="inlineStr">
        <is>
          <t>500188</t>
        </is>
      </c>
    </row>
    <row r="36">
      <c r="A36" s="31" t="inlineStr">
        <is>
          <t>GIPCL</t>
        </is>
      </c>
      <c r="B36" s="31" t="inlineStr">
        <is>
          <t>Gujarat Industries Power Company Limited</t>
        </is>
      </c>
      <c r="C36" s="31" t="inlineStr">
        <is>
          <t>power &amp; utilities</t>
        </is>
      </c>
      <c r="D36" s="31" t="inlineStr">
        <is>
          <t>power generation and supply</t>
        </is>
      </c>
      <c r="E36" s="31" t="inlineStr">
        <is>
          <t>smallcap</t>
        </is>
      </c>
      <c r="F36" s="31" t="n">
        <v>2960.28</v>
      </c>
      <c r="G36" s="31" t="n">
        <v>201.47</v>
      </c>
      <c r="H36" s="31" t="n">
        <v>5.64</v>
      </c>
      <c r="I36" s="31" t="n">
        <v>3796524</v>
      </c>
      <c r="J36" s="31" t="inlineStr">
        <is>
          <t>517300</t>
        </is>
      </c>
    </row>
    <row r="37">
      <c r="A37" s="31" t="inlineStr">
        <is>
          <t>SAIL</t>
        </is>
      </c>
      <c r="B37" s="31" t="inlineStr">
        <is>
          <t>Steel Authority Of India Limited</t>
        </is>
      </c>
      <c r="C37" s="31" t="inlineStr">
        <is>
          <t>metals &amp; mining</t>
        </is>
      </c>
      <c r="D37" s="31" t="inlineStr">
        <is>
          <t>steel - large</t>
        </is>
      </c>
      <c r="E37" s="31" t="inlineStr">
        <is>
          <t>largecap</t>
        </is>
      </c>
      <c r="F37" s="31" t="n">
        <v>76245.37</v>
      </c>
      <c r="G37" s="31" t="n">
        <v>194.9</v>
      </c>
      <c r="H37" s="31" t="n">
        <v>5.59</v>
      </c>
      <c r="I37" s="31" t="n">
        <v>44557885</v>
      </c>
      <c r="J37" s="31" t="inlineStr">
        <is>
          <t>500113</t>
        </is>
      </c>
    </row>
    <row r="38">
      <c r="A38" s="31" t="inlineStr">
        <is>
          <t>ANTHEM</t>
        </is>
      </c>
      <c r="B38" s="31" t="inlineStr">
        <is>
          <t>Anthem Biosciences Ltd</t>
        </is>
      </c>
      <c r="C38" s="31" t="inlineStr">
        <is>
          <t>healthcare</t>
        </is>
      </c>
      <c r="D38" s="31" t="inlineStr">
        <is>
          <t>pharmaceuticals - indian - bulk drugs &amp; formln</t>
        </is>
      </c>
      <c r="E38" s="31" t="inlineStr">
        <is>
          <t>largecap</t>
        </is>
      </c>
      <c r="F38" s="31" t="n">
        <v>49279.27</v>
      </c>
      <c r="G38" s="31" t="n">
        <v>923.05</v>
      </c>
      <c r="H38" s="31" t="n">
        <v>5.53</v>
      </c>
      <c r="I38" s="31" t="n">
        <v>2269975</v>
      </c>
      <c r="J38" s="31" t="inlineStr">
        <is>
          <t>544449</t>
        </is>
      </c>
    </row>
    <row r="39">
      <c r="A39" s="31" t="inlineStr">
        <is>
          <t>AVALON</t>
        </is>
      </c>
      <c r="B39" s="31" t="inlineStr">
        <is>
          <t>Avalon Technologies Ltd</t>
        </is>
      </c>
      <c r="C39" s="31" t="inlineStr">
        <is>
          <t>consumer discretionary</t>
        </is>
      </c>
      <c r="D39" s="31" t="inlineStr">
        <is>
          <t>electronics - components</t>
        </is>
      </c>
      <c r="E39" s="31" t="inlineStr">
        <is>
          <t>midcap</t>
        </is>
      </c>
      <c r="F39" s="31" t="n">
        <v>14107.3</v>
      </c>
      <c r="G39" s="31" t="n">
        <v>2226.4</v>
      </c>
      <c r="H39" s="31" t="n">
        <v>5.44</v>
      </c>
      <c r="I39" s="31" t="n">
        <v>901989</v>
      </c>
      <c r="J39" s="31" t="inlineStr">
        <is>
          <t>543896</t>
        </is>
      </c>
    </row>
    <row r="40">
      <c r="A40" s="31" t="inlineStr">
        <is>
          <t>HATSUN</t>
        </is>
      </c>
      <c r="B40" s="31" t="inlineStr">
        <is>
          <t>Hatsun Agro Product Limited</t>
        </is>
      </c>
      <c r="C40" s="31" t="inlineStr">
        <is>
          <t>fmcg</t>
        </is>
      </c>
      <c r="D40" s="31" t="inlineStr">
        <is>
          <t>food - processing - indian</t>
        </is>
      </c>
      <c r="E40" s="31" t="inlineStr">
        <is>
          <t>largecap</t>
        </is>
      </c>
      <c r="F40" s="31" t="n">
        <v>22954.21</v>
      </c>
      <c r="G40" s="31" t="n">
        <v>1086.55</v>
      </c>
      <c r="H40" s="31" t="n">
        <v>5.44</v>
      </c>
      <c r="I40" s="31" t="n">
        <v>167529</v>
      </c>
      <c r="J40" s="31" t="inlineStr">
        <is>
          <t>531531</t>
        </is>
      </c>
    </row>
    <row r="41">
      <c r="A41" s="31" t="inlineStr">
        <is>
          <t>KENNAMET</t>
        </is>
      </c>
      <c r="B41" s="31" t="inlineStr">
        <is>
          <t>Kennametal India Ltd</t>
        </is>
      </c>
      <c r="C41" s="31" t="inlineStr">
        <is>
          <t>industrials</t>
        </is>
      </c>
      <c r="D41" s="31" t="inlineStr">
        <is>
          <t>castings &amp; forgings</t>
        </is>
      </c>
      <c r="E41" s="31" t="inlineStr">
        <is>
          <t>midcap</t>
        </is>
      </c>
      <c r="F41" s="31" t="n">
        <v>9081.629999999999</v>
      </c>
      <c r="G41" s="31" t="n">
        <v>4352</v>
      </c>
      <c r="H41" s="31" t="n">
        <v>5.32</v>
      </c>
      <c r="I41" s="31" t="n">
        <v>91211</v>
      </c>
      <c r="J41" s="31" t="inlineStr">
        <is>
          <t>505890</t>
        </is>
      </c>
    </row>
    <row r="42">
      <c r="A42" s="31" t="inlineStr">
        <is>
          <t>DATAPATTNS</t>
        </is>
      </c>
      <c r="B42" s="31" t="inlineStr">
        <is>
          <t>Data Patterns (India) Ltd</t>
        </is>
      </c>
      <c r="C42" s="31" t="inlineStr">
        <is>
          <t>aerospace &amp; defence</t>
        </is>
      </c>
      <c r="D42" s="31" t="inlineStr">
        <is>
          <t>electronics - components</t>
        </is>
      </c>
      <c r="E42" s="31" t="inlineStr">
        <is>
          <t>largecap</t>
        </is>
      </c>
      <c r="F42" s="31" t="n">
        <v>25429.6</v>
      </c>
      <c r="G42" s="31" t="n">
        <v>4779.4</v>
      </c>
      <c r="H42" s="31" t="n">
        <v>5.22</v>
      </c>
      <c r="I42" s="31" t="n">
        <v>1758486</v>
      </c>
      <c r="J42" s="31" t="inlineStr">
        <is>
          <t>543428</t>
        </is>
      </c>
    </row>
    <row r="43">
      <c r="A43" s="31" t="inlineStr">
        <is>
          <t>KSL</t>
        </is>
      </c>
      <c r="B43" s="31" t="inlineStr">
        <is>
          <t>Kalyani Steels Limited</t>
        </is>
      </c>
      <c r="C43" s="31" t="inlineStr">
        <is>
          <t>metals &amp; mining</t>
        </is>
      </c>
      <c r="D43" s="31" t="inlineStr">
        <is>
          <t>steel - medium / small</t>
        </is>
      </c>
      <c r="E43" s="31" t="inlineStr">
        <is>
          <t>smallcap</t>
        </is>
      </c>
      <c r="F43" s="31" t="n">
        <v>3816.15</v>
      </c>
      <c r="G43" s="31" t="n">
        <v>919.3</v>
      </c>
      <c r="H43" s="31" t="n">
        <v>5.16</v>
      </c>
      <c r="I43" s="31" t="n">
        <v>240636</v>
      </c>
      <c r="J43" s="31" t="inlineStr">
        <is>
          <t>500235</t>
        </is>
      </c>
    </row>
    <row r="44">
      <c r="A44" s="31" t="inlineStr">
        <is>
          <t>RBZJEWEL</t>
        </is>
      </c>
      <c r="B44" s="31" t="inlineStr">
        <is>
          <t>RBZ Jewellers Ltd</t>
        </is>
      </c>
      <c r="C44" s="31" t="inlineStr">
        <is>
          <t>consumer discretionary</t>
        </is>
      </c>
      <c r="D44" s="31" t="inlineStr">
        <is>
          <t>diamond cutting / jewellery</t>
        </is>
      </c>
      <c r="E44" s="31" t="inlineStr">
        <is>
          <t>smallcap</t>
        </is>
      </c>
      <c r="F44" s="31" t="n">
        <v>568.08</v>
      </c>
      <c r="G44" s="31" t="n">
        <v>149.33</v>
      </c>
      <c r="H44" s="31" t="n">
        <v>5.15</v>
      </c>
      <c r="I44" s="31" t="n">
        <v>476109</v>
      </c>
      <c r="J44" s="31" t="inlineStr">
        <is>
          <t>544060</t>
        </is>
      </c>
    </row>
    <row r="45">
      <c r="A45" s="31" t="inlineStr">
        <is>
          <t>KRYSTAL</t>
        </is>
      </c>
      <c r="B45" s="31" t="inlineStr">
        <is>
          <t>Krystal Integrated Services Ltd</t>
        </is>
      </c>
      <c r="C45" s="31" t="inlineStr">
        <is>
          <t>miscellaneous</t>
        </is>
      </c>
      <c r="D45" s="31" t="inlineStr">
        <is>
          <t>miscellaneous</t>
        </is>
      </c>
      <c r="E45" s="31" t="inlineStr">
        <is>
          <t>smallcap</t>
        </is>
      </c>
      <c r="F45" s="31" t="n">
        <v>867.73</v>
      </c>
      <c r="G45" s="31" t="n">
        <v>652.45</v>
      </c>
      <c r="H45" s="31" t="n">
        <v>5.06</v>
      </c>
      <c r="I45" s="31" t="n">
        <v>104162</v>
      </c>
      <c r="J45" s="31" t="inlineStr">
        <is>
          <t>544149</t>
        </is>
      </c>
    </row>
    <row r="46">
      <c r="A46" s="31" t="inlineStr">
        <is>
          <t>KRONOX</t>
        </is>
      </c>
      <c r="B46" s="31" t="inlineStr">
        <is>
          <t>Kronox Lab Sciences Ltd</t>
        </is>
      </c>
      <c r="C46" s="31" t="inlineStr">
        <is>
          <t>chemicals</t>
        </is>
      </c>
      <c r="D46" s="31" t="inlineStr">
        <is>
          <t>chemicals</t>
        </is>
      </c>
      <c r="E46" s="31" t="inlineStr">
        <is>
          <t>smallcap</t>
        </is>
      </c>
      <c r="F46" s="31" t="n">
        <v>690.65</v>
      </c>
      <c r="G46" s="31" t="n">
        <v>195.44</v>
      </c>
      <c r="H46" s="31" t="n">
        <v>5</v>
      </c>
      <c r="I46" s="31" t="n">
        <v>83060</v>
      </c>
      <c r="J46" s="31" t="inlineStr">
        <is>
          <t>544187</t>
        </is>
      </c>
    </row>
    <row r="47">
      <c r="A47" s="31" t="inlineStr">
        <is>
          <t>MENONBE</t>
        </is>
      </c>
      <c r="B47" s="31" t="inlineStr">
        <is>
          <t>Menon Bearings Limited</t>
        </is>
      </c>
      <c r="C47" s="31" t="inlineStr">
        <is>
          <t>auto</t>
        </is>
      </c>
      <c r="D47" s="31" t="inlineStr">
        <is>
          <t>auto ancillaries</t>
        </is>
      </c>
      <c r="E47" s="31" t="inlineStr">
        <is>
          <t>smallcap</t>
        </is>
      </c>
      <c r="F47" s="31" t="n">
        <v>1482.26</v>
      </c>
      <c r="G47" s="31" t="n">
        <v>277.72</v>
      </c>
      <c r="H47" s="31" t="n">
        <v>5</v>
      </c>
      <c r="I47" s="31" t="n">
        <v>112248</v>
      </c>
      <c r="J47" s="31" t="inlineStr">
        <is>
          <t>523828</t>
        </is>
      </c>
    </row>
    <row r="48">
      <c r="A48" s="31" t="inlineStr">
        <is>
          <t>BAFNAPH</t>
        </is>
      </c>
      <c r="B48" s="31" t="inlineStr">
        <is>
          <t>Bafna Pharmaceuticals Ltd</t>
        </is>
      </c>
      <c r="C48" s="31" t="inlineStr">
        <is>
          <t>healthcare</t>
        </is>
      </c>
      <c r="D48" s="31" t="inlineStr">
        <is>
          <t>pharmaceuticals - indian - formulations</t>
        </is>
      </c>
      <c r="E48" s="31" t="inlineStr">
        <is>
          <t>smallcap</t>
        </is>
      </c>
      <c r="F48" s="31" t="n">
        <v>632.22</v>
      </c>
      <c r="G48" s="31" t="n">
        <v>280.6</v>
      </c>
      <c r="H48" s="31" t="n">
        <v>5</v>
      </c>
      <c r="I48" s="31" t="n">
        <v>8667</v>
      </c>
      <c r="J48" s="31" t="inlineStr">
        <is>
          <t>532989</t>
        </is>
      </c>
    </row>
    <row r="49">
      <c r="A49" s="31" t="inlineStr">
        <is>
          <t>WELINV</t>
        </is>
      </c>
      <c r="B49" s="31" t="inlineStr">
        <is>
          <t>Welspun Investments And Commercials Limited</t>
        </is>
      </c>
      <c r="C49" s="31" t="inlineStr">
        <is>
          <t>financials</t>
        </is>
      </c>
      <c r="D49" s="31" t="inlineStr">
        <is>
          <t>finance &amp; investments</t>
        </is>
      </c>
      <c r="E49" s="31" t="inlineStr">
        <is>
          <t>smallcap</t>
        </is>
      </c>
      <c r="F49" s="31" t="n">
        <v>814.66</v>
      </c>
      <c r="G49" s="31" t="n">
        <v>2340.6</v>
      </c>
      <c r="H49" s="31" t="n">
        <v>5</v>
      </c>
      <c r="I49" s="31" t="n">
        <v>2626</v>
      </c>
      <c r="J49" s="31" t="inlineStr">
        <is>
          <t>533252</t>
        </is>
      </c>
    </row>
    <row r="50">
      <c r="A50" s="31" t="inlineStr">
        <is>
          <t>HMT</t>
        </is>
      </c>
      <c r="B50" s="31" t="inlineStr">
        <is>
          <t>Hmt Limited</t>
        </is>
      </c>
      <c r="C50" s="31" t="inlineStr">
        <is>
          <t>consumer discretionary</t>
        </is>
      </c>
      <c r="D50" s="31" t="inlineStr">
        <is>
          <t>miscellaneous</t>
        </is>
      </c>
      <c r="E50" s="31" t="inlineStr">
        <is>
          <t>midcap</t>
        </is>
      </c>
      <c r="F50" s="31" t="n">
        <v>7707.39</v>
      </c>
      <c r="G50" s="31" t="n">
        <v>67.20999999999999</v>
      </c>
      <c r="H50" s="31" t="n">
        <v>5</v>
      </c>
      <c r="I50" s="31" t="n">
        <v>26899</v>
      </c>
      <c r="J50" s="31" t="inlineStr">
        <is>
          <t>500191</t>
        </is>
      </c>
    </row>
    <row r="51">
      <c r="A51" s="31" t="inlineStr">
        <is>
          <t>SIGMAADV</t>
        </is>
      </c>
      <c r="B51" s="31" t="inlineStr">
        <is>
          <t>Sigma Advanced System Ltd</t>
        </is>
      </c>
      <c r="C51" s="31" t="inlineStr">
        <is>
          <t>aerospace &amp; defence</t>
        </is>
      </c>
      <c r="D51" s="31" t="inlineStr">
        <is>
          <t>electronics - components</t>
        </is>
      </c>
      <c r="E51" s="31" t="inlineStr">
        <is>
          <t>midcap</t>
        </is>
      </c>
      <c r="F51" s="31" t="n">
        <v>13126.4</v>
      </c>
      <c r="G51" s="31" t="n">
        <v>727.3</v>
      </c>
      <c r="H51" s="31" t="n">
        <v>4.99</v>
      </c>
      <c r="I51" s="31" t="n">
        <v>813237</v>
      </c>
      <c r="J51" s="31" t="inlineStr">
        <is>
          <t>532408</t>
        </is>
      </c>
    </row>
    <row r="52">
      <c r="A52" s="31" t="inlineStr">
        <is>
          <t>SETL</t>
        </is>
      </c>
      <c r="B52" s="31" t="inlineStr">
        <is>
          <t>Standard Enginnering Technology Ltd</t>
        </is>
      </c>
      <c r="C52" s="31" t="inlineStr">
        <is>
          <t>industrials</t>
        </is>
      </c>
      <c r="D52" s="31" t="inlineStr">
        <is>
          <t>engineering</t>
        </is>
      </c>
      <c r="E52" s="31" t="inlineStr">
        <is>
          <t>midcap</t>
        </is>
      </c>
      <c r="F52" s="31" t="n">
        <v>6279</v>
      </c>
      <c r="G52" s="31" t="n">
        <v>330.4</v>
      </c>
      <c r="H52" s="31" t="n">
        <v>4.97</v>
      </c>
      <c r="I52" s="31" t="n">
        <v>2719497</v>
      </c>
      <c r="J52" s="31" t="inlineStr">
        <is>
          <t>544333</t>
        </is>
      </c>
    </row>
    <row r="53">
      <c r="A53" s="31" t="inlineStr">
        <is>
          <t>WELENT</t>
        </is>
      </c>
      <c r="B53" s="31" t="inlineStr">
        <is>
          <t>Welspun Enterprises Limited</t>
        </is>
      </c>
      <c r="C53" s="31" t="inlineStr">
        <is>
          <t>realty</t>
        </is>
      </c>
      <c r="D53" s="31" t="inlineStr">
        <is>
          <t>construction</t>
        </is>
      </c>
      <c r="E53" s="31" t="inlineStr">
        <is>
          <t>midcap</t>
        </is>
      </c>
      <c r="F53" s="31" t="n">
        <v>9149.15</v>
      </c>
      <c r="G53" s="31" t="n">
        <v>692.85</v>
      </c>
      <c r="H53" s="31" t="n">
        <v>4.82</v>
      </c>
      <c r="I53" s="31" t="n">
        <v>1379989</v>
      </c>
      <c r="J53" s="31" t="inlineStr">
        <is>
          <t>532553</t>
        </is>
      </c>
    </row>
    <row r="54">
      <c r="A54" s="31" t="inlineStr">
        <is>
          <t>BALUFORGE</t>
        </is>
      </c>
      <c r="B54" s="31" t="inlineStr">
        <is>
          <t>Balu Forge Industries Ltd</t>
        </is>
      </c>
      <c r="C54" s="31" t="inlineStr">
        <is>
          <t>industrials</t>
        </is>
      </c>
      <c r="D54" s="31" t="inlineStr">
        <is>
          <t>castings &amp; forgings</t>
        </is>
      </c>
      <c r="E54" s="31" t="inlineStr">
        <is>
          <t>midcap</t>
        </is>
      </c>
      <c r="F54" s="31" t="n">
        <v>7295.81</v>
      </c>
      <c r="G54" s="31" t="n">
        <v>638.9</v>
      </c>
      <c r="H54" s="31" t="n">
        <v>4.81</v>
      </c>
      <c r="I54" s="31" t="n">
        <v>6144183</v>
      </c>
      <c r="J54" s="31" t="inlineStr">
        <is>
          <t>531112</t>
        </is>
      </c>
    </row>
    <row r="55">
      <c r="A55" s="31" t="inlineStr">
        <is>
          <t>LGBBROSLTD</t>
        </is>
      </c>
      <c r="B55" s="31" t="inlineStr">
        <is>
          <t>Lg Balakrishnan &amp; Bros Limited</t>
        </is>
      </c>
      <c r="C55" s="31" t="inlineStr">
        <is>
          <t>auto</t>
        </is>
      </c>
      <c r="D55" s="31" t="inlineStr">
        <is>
          <t>bearings</t>
        </is>
      </c>
      <c r="E55" s="31" t="inlineStr">
        <is>
          <t>midcap</t>
        </is>
      </c>
      <c r="F55" s="31" t="n">
        <v>5139.46</v>
      </c>
      <c r="G55" s="31" t="n">
        <v>1688.9</v>
      </c>
      <c r="H55" s="31" t="n">
        <v>4.8</v>
      </c>
      <c r="I55" s="31" t="n">
        <v>114138</v>
      </c>
      <c r="J55" s="31" t="inlineStr">
        <is>
          <t>500250</t>
        </is>
      </c>
    </row>
    <row r="56">
      <c r="A56" s="31" t="inlineStr">
        <is>
          <t>SPECIALITY</t>
        </is>
      </c>
      <c r="B56" s="31" t="inlineStr">
        <is>
          <t>Speciality Restaurants Limited</t>
        </is>
      </c>
      <c r="C56" s="31" t="inlineStr">
        <is>
          <t>services</t>
        </is>
      </c>
      <c r="D56" s="31" t="inlineStr">
        <is>
          <t>hotels</t>
        </is>
      </c>
      <c r="E56" s="31" t="inlineStr">
        <is>
          <t>smallcap</t>
        </is>
      </c>
      <c r="F56" s="31" t="n">
        <v>686.0599999999999</v>
      </c>
      <c r="G56" s="31" t="n">
        <v>149.04</v>
      </c>
      <c r="H56" s="31" t="n">
        <v>4.79</v>
      </c>
      <c r="I56" s="31" t="n">
        <v>82403</v>
      </c>
      <c r="J56" s="31" t="inlineStr">
        <is>
          <t>534425</t>
        </is>
      </c>
    </row>
    <row r="57">
      <c r="A57" s="31" t="inlineStr">
        <is>
          <t>MAHABANK</t>
        </is>
      </c>
      <c r="B57" s="31" t="inlineStr">
        <is>
          <t>Bank Of Maharashtra Ltd</t>
        </is>
      </c>
      <c r="C57" s="31" t="inlineStr">
        <is>
          <t>bank</t>
        </is>
      </c>
      <c r="D57" s="31" t="inlineStr">
        <is>
          <t>banks - public sector</t>
        </is>
      </c>
      <c r="E57" s="31" t="inlineStr">
        <is>
          <t>largecap</t>
        </is>
      </c>
      <c r="F57" s="31" t="n">
        <v>62840</v>
      </c>
      <c r="G57" s="31" t="n">
        <v>85.59999999999999</v>
      </c>
      <c r="H57" s="31" t="n">
        <v>4.77</v>
      </c>
      <c r="I57" s="31" t="n">
        <v>116724721</v>
      </c>
      <c r="J57" s="31" t="inlineStr">
        <is>
          <t>532525</t>
        </is>
      </c>
    </row>
    <row r="58">
      <c r="A58" s="31" t="inlineStr">
        <is>
          <t>ROSSTECH</t>
        </is>
      </c>
      <c r="B58" s="31" t="inlineStr">
        <is>
          <t>Rossell Techsys Ltd</t>
        </is>
      </c>
      <c r="C58" s="31" t="inlineStr">
        <is>
          <t>aerospace &amp; defence</t>
        </is>
      </c>
      <c r="D58" s="31" t="inlineStr">
        <is>
          <t>engineering</t>
        </is>
      </c>
      <c r="E58" s="31" t="inlineStr">
        <is>
          <t>smallcap</t>
        </is>
      </c>
      <c r="F58" s="31" t="n">
        <v>3959.45</v>
      </c>
      <c r="G58" s="31" t="n">
        <v>1099.95</v>
      </c>
      <c r="H58" s="31" t="n">
        <v>4.72</v>
      </c>
      <c r="I58" s="31" t="n">
        <v>385588</v>
      </c>
      <c r="J58" s="31" t="inlineStr">
        <is>
          <t>544294</t>
        </is>
      </c>
    </row>
    <row r="59">
      <c r="A59" s="31" t="inlineStr">
        <is>
          <t>YATHARTH</t>
        </is>
      </c>
      <c r="B59" s="31" t="inlineStr">
        <is>
          <t>Yatharth Hospital &amp; Trauma Care Services Ltd</t>
        </is>
      </c>
      <c r="C59" s="31" t="inlineStr">
        <is>
          <t>healthcare</t>
        </is>
      </c>
      <c r="D59" s="31" t="inlineStr">
        <is>
          <t>healthcare</t>
        </is>
      </c>
      <c r="E59" s="31" t="inlineStr">
        <is>
          <t>midcap</t>
        </is>
      </c>
      <c r="F59" s="31" t="n">
        <v>8893.99</v>
      </c>
      <c r="G59" s="31" t="n">
        <v>965.3</v>
      </c>
      <c r="H59" s="31" t="n">
        <v>4.58</v>
      </c>
      <c r="I59" s="31" t="n">
        <v>768000</v>
      </c>
      <c r="J59" s="31" t="inlineStr">
        <is>
          <t>543950</t>
        </is>
      </c>
    </row>
    <row r="60">
      <c r="A60" s="31" t="inlineStr">
        <is>
          <t>INDIGOPNTS</t>
        </is>
      </c>
      <c r="B60" s="31" t="inlineStr">
        <is>
          <t>Indigo Paints Ltd</t>
        </is>
      </c>
      <c r="C60" s="31" t="inlineStr">
        <is>
          <t>building materials</t>
        </is>
      </c>
      <c r="D60" s="31" t="inlineStr">
        <is>
          <t>paints / varnishes</t>
        </is>
      </c>
      <c r="E60" s="31" t="inlineStr">
        <is>
          <t>midcap</t>
        </is>
      </c>
      <c r="F60" s="31" t="n">
        <v>5415.48</v>
      </c>
      <c r="G60" s="31" t="n">
        <v>1186.1</v>
      </c>
      <c r="H60" s="31" t="n">
        <v>4.42</v>
      </c>
      <c r="I60" s="31" t="n">
        <v>175486</v>
      </c>
      <c r="J60" s="31" t="inlineStr">
        <is>
          <t>543258</t>
        </is>
      </c>
    </row>
    <row r="61">
      <c r="A61" s="31" t="inlineStr">
        <is>
          <t>ALEMBICLTD</t>
        </is>
      </c>
      <c r="B61" s="31" t="inlineStr">
        <is>
          <t>Alembic Limited</t>
        </is>
      </c>
      <c r="C61" s="31" t="inlineStr">
        <is>
          <t>realty</t>
        </is>
      </c>
      <c r="D61" s="31" t="inlineStr">
        <is>
          <t>construction</t>
        </is>
      </c>
      <c r="E61" s="31" t="inlineStr">
        <is>
          <t>smallcap</t>
        </is>
      </c>
      <c r="F61" s="31" t="n">
        <v>2430.7</v>
      </c>
      <c r="G61" s="31" t="n">
        <v>98.7</v>
      </c>
      <c r="H61" s="31" t="n">
        <v>4.27</v>
      </c>
      <c r="I61" s="31" t="n">
        <v>1630738</v>
      </c>
      <c r="J61" s="31" t="inlineStr">
        <is>
          <t>506235</t>
        </is>
      </c>
    </row>
    <row r="62">
      <c r="A62" s="31" t="inlineStr">
        <is>
          <t>LUMAXIND</t>
        </is>
      </c>
      <c r="B62" s="31" t="inlineStr">
        <is>
          <t>Lumax Industries Limited</t>
        </is>
      </c>
      <c r="C62" s="31" t="inlineStr">
        <is>
          <t>auto</t>
        </is>
      </c>
      <c r="D62" s="31" t="inlineStr">
        <is>
          <t>auto ancillaries</t>
        </is>
      </c>
      <c r="E62" s="31" t="inlineStr">
        <is>
          <t>midcap</t>
        </is>
      </c>
      <c r="F62" s="31" t="n">
        <v>5523.57</v>
      </c>
      <c r="G62" s="31" t="n">
        <v>6160.5</v>
      </c>
      <c r="H62" s="31" t="n">
        <v>4.26</v>
      </c>
      <c r="I62" s="31" t="n">
        <v>38907</v>
      </c>
      <c r="J62" s="31" t="inlineStr">
        <is>
          <t>517206</t>
        </is>
      </c>
    </row>
    <row r="63">
      <c r="A63" s="31" t="inlineStr">
        <is>
          <t>NAVINFLUOR</t>
        </is>
      </c>
      <c r="B63" s="31" t="inlineStr">
        <is>
          <t>Navin Fluorine International Limited</t>
        </is>
      </c>
      <c r="C63" s="31" t="inlineStr">
        <is>
          <t>chemicals</t>
        </is>
      </c>
      <c r="D63" s="31" t="inlineStr">
        <is>
          <t>chemicals</t>
        </is>
      </c>
      <c r="E63" s="31" t="inlineStr">
        <is>
          <t>largecap</t>
        </is>
      </c>
      <c r="F63" s="31" t="n">
        <v>42104.91</v>
      </c>
      <c r="G63" s="31" t="n">
        <v>8553</v>
      </c>
      <c r="H63" s="31" t="n">
        <v>4.19</v>
      </c>
      <c r="I63" s="31" t="n">
        <v>217874</v>
      </c>
      <c r="J63" s="31" t="inlineStr">
        <is>
          <t>532504</t>
        </is>
      </c>
    </row>
    <row r="64">
      <c r="A64" s="31" t="inlineStr">
        <is>
          <t>CEIGALL</t>
        </is>
      </c>
      <c r="B64" s="31" t="inlineStr">
        <is>
          <t>Ceigall India Ltd</t>
        </is>
      </c>
      <c r="C64" s="31" t="inlineStr">
        <is>
          <t>realty</t>
        </is>
      </c>
      <c r="D64" s="31" t="inlineStr">
        <is>
          <t>construction</t>
        </is>
      </c>
      <c r="E64" s="31" t="inlineStr">
        <is>
          <t>midcap</t>
        </is>
      </c>
      <c r="F64" s="31" t="n">
        <v>5650.33</v>
      </c>
      <c r="G64" s="31" t="n">
        <v>337.85</v>
      </c>
      <c r="H64" s="31" t="n">
        <v>4.16</v>
      </c>
      <c r="I64" s="31" t="n">
        <v>1442003</v>
      </c>
      <c r="J64" s="31" t="inlineStr">
        <is>
          <t>544223</t>
        </is>
      </c>
    </row>
    <row r="65">
      <c r="A65" s="31" t="inlineStr">
        <is>
          <t>KROSS</t>
        </is>
      </c>
      <c r="B65" s="31" t="inlineStr">
        <is>
          <t>Kross Ltd</t>
        </is>
      </c>
      <c r="C65" s="31" t="inlineStr">
        <is>
          <t>auto</t>
        </is>
      </c>
      <c r="D65" s="31" t="inlineStr">
        <is>
          <t>auto ancillaries</t>
        </is>
      </c>
      <c r="E65" s="31" t="inlineStr">
        <is>
          <t>smallcap</t>
        </is>
      </c>
      <c r="F65" s="31" t="n">
        <v>1348.96</v>
      </c>
      <c r="G65" s="31" t="n">
        <v>217.72</v>
      </c>
      <c r="H65" s="31" t="n">
        <v>4.12</v>
      </c>
      <c r="I65" s="31" t="n">
        <v>1040725</v>
      </c>
      <c r="J65" s="31" t="inlineStr">
        <is>
          <t>544253</t>
        </is>
      </c>
    </row>
    <row r="66">
      <c r="A66" s="31" t="inlineStr">
        <is>
          <t>NILKAMAL</t>
        </is>
      </c>
      <c r="B66" s="31" t="inlineStr">
        <is>
          <t>Nilkamal Limited</t>
        </is>
      </c>
      <c r="C66" s="31" t="inlineStr">
        <is>
          <t>plastic products</t>
        </is>
      </c>
      <c r="D66" s="31" t="inlineStr">
        <is>
          <t>plastics products</t>
        </is>
      </c>
      <c r="E66" s="31" t="inlineStr">
        <is>
          <t>smallcap</t>
        </is>
      </c>
      <c r="F66" s="31" t="n">
        <v>3008.23</v>
      </c>
      <c r="G66" s="31" t="n">
        <v>2096.8</v>
      </c>
      <c r="H66" s="31" t="n">
        <v>4.01</v>
      </c>
      <c r="I66" s="31" t="n">
        <v>69877</v>
      </c>
      <c r="J66" s="31" t="inlineStr">
        <is>
          <t>523385</t>
        </is>
      </c>
    </row>
    <row r="67">
      <c r="A67" s="31" t="inlineStr">
        <is>
          <t>YASHO</t>
        </is>
      </c>
      <c r="B67" s="31" t="inlineStr">
        <is>
          <t>Yasho Industries Ltd</t>
        </is>
      </c>
      <c r="C67" s="31" t="inlineStr">
        <is>
          <t>chemicals</t>
        </is>
      </c>
      <c r="D67" s="31" t="inlineStr">
        <is>
          <t>chemicals</t>
        </is>
      </c>
      <c r="E67" s="31" t="inlineStr">
        <is>
          <t>midcap</t>
        </is>
      </c>
      <c r="F67" s="31" t="n">
        <v>5066.03</v>
      </c>
      <c r="G67" s="31" t="n">
        <v>4369.6</v>
      </c>
      <c r="H67" s="31" t="n">
        <v>4</v>
      </c>
      <c r="I67" s="31" t="n">
        <v>45882</v>
      </c>
      <c r="J67" s="31" t="inlineStr">
        <is>
          <t>541167</t>
        </is>
      </c>
    </row>
    <row r="68">
      <c r="A68" s="31" t="inlineStr">
        <is>
          <t>BALAMINES</t>
        </is>
      </c>
      <c r="B68" s="31" t="inlineStr">
        <is>
          <t>Balaji Amines Limited</t>
        </is>
      </c>
      <c r="C68" s="31" t="inlineStr">
        <is>
          <t>chemicals</t>
        </is>
      </c>
      <c r="D68" s="31" t="inlineStr">
        <is>
          <t>chemicals</t>
        </is>
      </c>
      <c r="E68" s="31" t="inlineStr">
        <is>
          <t>midcap</t>
        </is>
      </c>
      <c r="F68" s="31" t="n">
        <v>7593.5</v>
      </c>
      <c r="G68" s="31" t="n">
        <v>2437.2</v>
      </c>
      <c r="H68" s="31" t="n">
        <v>3.99</v>
      </c>
      <c r="I68" s="31" t="n">
        <v>519491</v>
      </c>
      <c r="J68" s="31" t="inlineStr">
        <is>
          <t>530999</t>
        </is>
      </c>
    </row>
    <row r="69">
      <c r="A69" s="31" t="inlineStr">
        <is>
          <t>GUJTHEM</t>
        </is>
      </c>
      <c r="B69" s="31" t="inlineStr">
        <is>
          <t>Gujarat Themis Biosyn Ltd</t>
        </is>
      </c>
      <c r="C69" s="31" t="inlineStr">
        <is>
          <t>healthcare</t>
        </is>
      </c>
      <c r="D69" s="31" t="inlineStr">
        <is>
          <t>pharmaceuticals - indian - bulk drugs</t>
        </is>
      </c>
      <c r="E69" s="31" t="inlineStr">
        <is>
          <t>smallcap</t>
        </is>
      </c>
      <c r="F69" s="31" t="n">
        <v>4409.82</v>
      </c>
      <c r="G69" s="31" t="n">
        <v>420.75</v>
      </c>
      <c r="H69" s="31" t="n">
        <v>3.97</v>
      </c>
      <c r="I69" s="31" t="n">
        <v>1078635</v>
      </c>
      <c r="J69" s="31" t="inlineStr">
        <is>
          <t>506879</t>
        </is>
      </c>
    </row>
    <row r="70">
      <c r="A70" s="31" t="inlineStr">
        <is>
          <t>MARKSANS</t>
        </is>
      </c>
      <c r="B70" s="31" t="inlineStr">
        <is>
          <t>Marksans Pharma Limited</t>
        </is>
      </c>
      <c r="C70" s="31" t="inlineStr">
        <is>
          <t>healthcare</t>
        </is>
      </c>
      <c r="D70" s="31" t="inlineStr">
        <is>
          <t>pharmaceuticals - indian - formulations</t>
        </is>
      </c>
      <c r="E70" s="31" t="inlineStr">
        <is>
          <t>midcap</t>
        </is>
      </c>
      <c r="F70" s="31" t="n">
        <v>14433.27</v>
      </c>
      <c r="G70" s="31" t="n">
        <v>331.05</v>
      </c>
      <c r="H70" s="31" t="n">
        <v>3.94</v>
      </c>
      <c r="I70" s="31" t="n">
        <v>2712240</v>
      </c>
      <c r="J70" s="31" t="inlineStr">
        <is>
          <t>524404</t>
        </is>
      </c>
    </row>
    <row r="71">
      <c r="A71" s="31" t="inlineStr">
        <is>
          <t>PRINCEPIPE</t>
        </is>
      </c>
      <c r="B71" s="31" t="inlineStr">
        <is>
          <t>Prince Pipes &amp; Fittings Ltd</t>
        </is>
      </c>
      <c r="C71" s="31" t="inlineStr">
        <is>
          <t>plastic products</t>
        </is>
      </c>
      <c r="D71" s="31" t="inlineStr">
        <is>
          <t>plastics products</t>
        </is>
      </c>
      <c r="E71" s="31" t="inlineStr">
        <is>
          <t>smallcap</t>
        </is>
      </c>
      <c r="F71" s="31" t="n">
        <v>3174.21</v>
      </c>
      <c r="G71" s="31" t="n">
        <v>298.4</v>
      </c>
      <c r="H71" s="31" t="n">
        <v>3.94</v>
      </c>
      <c r="I71" s="31" t="n">
        <v>1035372</v>
      </c>
      <c r="J71" s="31" t="inlineStr">
        <is>
          <t>542907</t>
        </is>
      </c>
    </row>
    <row r="72">
      <c r="A72" s="31" t="inlineStr">
        <is>
          <t>EMAMIPAP</t>
        </is>
      </c>
      <c r="B72" s="31" t="inlineStr">
        <is>
          <t>Emami Paper Mills Ltd</t>
        </is>
      </c>
      <c r="C72" s="31" t="inlineStr">
        <is>
          <t>building materials</t>
        </is>
      </c>
      <c r="D72" s="31" t="inlineStr">
        <is>
          <t>paper</t>
        </is>
      </c>
      <c r="E72" s="31" t="inlineStr">
        <is>
          <t>smallcap</t>
        </is>
      </c>
      <c r="F72" s="31" t="n">
        <v>708.63</v>
      </c>
      <c r="G72" s="31" t="n">
        <v>121.7</v>
      </c>
      <c r="H72" s="31" t="n">
        <v>3.9</v>
      </c>
      <c r="I72" s="31" t="n">
        <v>124582</v>
      </c>
      <c r="J72" s="31" t="inlineStr">
        <is>
          <t>533208</t>
        </is>
      </c>
    </row>
    <row r="73">
      <c r="A73" s="31" t="inlineStr">
        <is>
          <t>MEDANTA</t>
        </is>
      </c>
      <c r="B73" s="31" t="inlineStr">
        <is>
          <t>Global Health Ltd</t>
        </is>
      </c>
      <c r="C73" s="31" t="inlineStr">
        <is>
          <t>healthcare</t>
        </is>
      </c>
      <c r="D73" s="31" t="inlineStr">
        <is>
          <t>healthcare</t>
        </is>
      </c>
      <c r="E73" s="31" t="inlineStr">
        <is>
          <t>largecap</t>
        </is>
      </c>
      <c r="F73" s="31" t="n">
        <v>37760.35</v>
      </c>
      <c r="G73" s="31" t="n">
        <v>1458.9</v>
      </c>
      <c r="H73" s="31" t="n">
        <v>3.88</v>
      </c>
      <c r="I73" s="31" t="n">
        <v>653800</v>
      </c>
      <c r="J73" s="31" t="inlineStr">
        <is>
          <t>543654</t>
        </is>
      </c>
    </row>
    <row r="74">
      <c r="A74" s="31" t="inlineStr">
        <is>
          <t>ATHERENERG</t>
        </is>
      </c>
      <c r="B74" s="31" t="inlineStr">
        <is>
          <t>Ather Energy Ltd</t>
        </is>
      </c>
      <c r="C74" s="31" t="inlineStr">
        <is>
          <t>auto</t>
        </is>
      </c>
      <c r="D74" s="31" t="inlineStr">
        <is>
          <t>automobiles - scooters and 3 - wheelers</t>
        </is>
      </c>
      <c r="E74" s="31" t="inlineStr">
        <is>
          <t>largecap</t>
        </is>
      </c>
      <c r="F74" s="31" t="n">
        <v>56730.4</v>
      </c>
      <c r="G74" s="31" t="n">
        <v>1494.6</v>
      </c>
      <c r="H74" s="31" t="n">
        <v>3.83</v>
      </c>
      <c r="I74" s="31" t="n">
        <v>8791740</v>
      </c>
      <c r="J74" s="31" t="inlineStr">
        <is>
          <t>544397</t>
        </is>
      </c>
    </row>
    <row r="75">
      <c r="A75" s="31" t="inlineStr">
        <is>
          <t>KOTAKBANK</t>
        </is>
      </c>
      <c r="B75" s="31" t="inlineStr">
        <is>
          <t>Kotak Mahindra Bank Limited</t>
        </is>
      </c>
      <c r="C75" s="31" t="inlineStr">
        <is>
          <t>bank</t>
        </is>
      </c>
      <c r="D75" s="31" t="inlineStr">
        <is>
          <t>banks - private sector</t>
        </is>
      </c>
      <c r="E75" s="31" t="inlineStr">
        <is>
          <t>largecap</t>
        </is>
      </c>
      <c r="F75" s="31" t="n">
        <v>399459.84</v>
      </c>
      <c r="G75" s="31" t="n">
        <v>416.7</v>
      </c>
      <c r="H75" s="31" t="n">
        <v>3.76</v>
      </c>
      <c r="I75" s="31" t="n">
        <v>19852974</v>
      </c>
      <c r="J75" s="31" t="inlineStr">
        <is>
          <t>500247</t>
        </is>
      </c>
    </row>
    <row r="76">
      <c r="A76" s="31" t="inlineStr">
        <is>
          <t>INDOBORAX</t>
        </is>
      </c>
      <c r="B76" s="31" t="inlineStr">
        <is>
          <t>Indo Borax &amp; Chemicals Ltd</t>
        </is>
      </c>
      <c r="C76" s="31" t="inlineStr">
        <is>
          <t>chemicals</t>
        </is>
      </c>
      <c r="D76" s="31" t="inlineStr">
        <is>
          <t>chemicals</t>
        </is>
      </c>
      <c r="E76" s="31" t="inlineStr">
        <is>
          <t>smallcap</t>
        </is>
      </c>
      <c r="F76" s="31" t="n">
        <v>1564.07</v>
      </c>
      <c r="G76" s="31" t="n">
        <v>505.7</v>
      </c>
      <c r="H76" s="31" t="n">
        <v>3.75</v>
      </c>
      <c r="I76" s="31" t="n">
        <v>665277</v>
      </c>
      <c r="J76" s="31" t="inlineStr">
        <is>
          <t>524342</t>
        </is>
      </c>
    </row>
    <row r="77">
      <c r="A77" s="31" t="inlineStr">
        <is>
          <t>MMP</t>
        </is>
      </c>
      <c r="B77" s="31" t="inlineStr">
        <is>
          <t>MMP Industries Ltd</t>
        </is>
      </c>
      <c r="C77" s="31" t="inlineStr">
        <is>
          <t>metals &amp; mining</t>
        </is>
      </c>
      <c r="D77" s="31" t="inlineStr">
        <is>
          <t>aluminium and aluminium products</t>
        </is>
      </c>
      <c r="E77" s="31" t="inlineStr">
        <is>
          <t>smallcap</t>
        </is>
      </c>
      <c r="F77" s="31" t="n">
        <v>737.34</v>
      </c>
      <c r="G77" s="31" t="n">
        <v>404.25</v>
      </c>
      <c r="H77" s="31" t="n">
        <v>3.73</v>
      </c>
      <c r="I77" s="31" t="n">
        <v>43384</v>
      </c>
      <c r="J77" s="31" t="inlineStr">
        <is>
          <t>535071</t>
        </is>
      </c>
    </row>
    <row r="78">
      <c r="A78" s="31" t="inlineStr">
        <is>
          <t>CYIENTDLM</t>
        </is>
      </c>
      <c r="B78" s="31" t="inlineStr">
        <is>
          <t>Cyient DLM Ltd</t>
        </is>
      </c>
      <c r="C78" s="31" t="inlineStr">
        <is>
          <t>aerospace &amp; defence</t>
        </is>
      </c>
      <c r="D78" s="31" t="inlineStr">
        <is>
          <t>electronics - components</t>
        </is>
      </c>
      <c r="E78" s="31" t="inlineStr">
        <is>
          <t>midcap</t>
        </is>
      </c>
      <c r="F78" s="31" t="n">
        <v>6107.36</v>
      </c>
      <c r="G78" s="31" t="n">
        <v>797.9</v>
      </c>
      <c r="H78" s="31" t="n">
        <v>3.71</v>
      </c>
      <c r="I78" s="31" t="n">
        <v>1251264</v>
      </c>
      <c r="J78" s="31" t="inlineStr">
        <is>
          <t>543933</t>
        </is>
      </c>
    </row>
    <row r="79">
      <c r="A79" s="31" t="inlineStr">
        <is>
          <t>FCL</t>
        </is>
      </c>
      <c r="B79" s="31" t="inlineStr">
        <is>
          <t>Fineotex Chemical Limited</t>
        </is>
      </c>
      <c r="C79" s="31" t="inlineStr">
        <is>
          <t>chemicals</t>
        </is>
      </c>
      <c r="D79" s="31" t="inlineStr">
        <is>
          <t>chemicals</t>
        </is>
      </c>
      <c r="E79" s="31" t="inlineStr">
        <is>
          <t>midcap</t>
        </is>
      </c>
      <c r="F79" s="31" t="n">
        <v>5680.44</v>
      </c>
      <c r="G79" s="31" t="n">
        <v>50.58</v>
      </c>
      <c r="H79" s="31" t="n">
        <v>3.69</v>
      </c>
      <c r="I79" s="31" t="n">
        <v>22491958</v>
      </c>
      <c r="J79" s="31" t="inlineStr">
        <is>
          <t>533333</t>
        </is>
      </c>
    </row>
    <row r="80">
      <c r="A80" s="31" t="inlineStr">
        <is>
          <t>STYLEBAAZA</t>
        </is>
      </c>
      <c r="B80" s="31" t="inlineStr">
        <is>
          <t>Baazar Style Retail Ltd</t>
        </is>
      </c>
      <c r="C80" s="31" t="inlineStr">
        <is>
          <t>consumer discretionary</t>
        </is>
      </c>
      <c r="D80" s="31" t="inlineStr">
        <is>
          <t>trading</t>
        </is>
      </c>
      <c r="E80" s="31" t="inlineStr">
        <is>
          <t>smallcap</t>
        </is>
      </c>
      <c r="F80" s="31" t="n">
        <v>3002.83</v>
      </c>
      <c r="G80" s="31" t="n">
        <v>408.9</v>
      </c>
      <c r="H80" s="31" t="n">
        <v>3.65</v>
      </c>
      <c r="I80" s="31" t="n">
        <v>3323689</v>
      </c>
      <c r="J80" s="31" t="inlineStr">
        <is>
          <t>544243</t>
        </is>
      </c>
    </row>
    <row r="81">
      <c r="A81" s="31" t="inlineStr">
        <is>
          <t>SOMANYCERA</t>
        </is>
      </c>
      <c r="B81" s="31" t="inlineStr">
        <is>
          <t>Somany Ceramics Limited</t>
        </is>
      </c>
      <c r="C81" s="31" t="inlineStr">
        <is>
          <t>building materials</t>
        </is>
      </c>
      <c r="D81" s="31" t="inlineStr">
        <is>
          <t>ceramics - tiles / sanitaryware</t>
        </is>
      </c>
      <c r="E81" s="31" t="inlineStr">
        <is>
          <t>smallcap</t>
        </is>
      </c>
      <c r="F81" s="31" t="n">
        <v>2212.03</v>
      </c>
      <c r="G81" s="31" t="n">
        <v>558.45</v>
      </c>
      <c r="H81" s="31" t="n">
        <v>3.54</v>
      </c>
      <c r="I81" s="31" t="n">
        <v>456009</v>
      </c>
      <c r="J81" s="31" t="inlineStr">
        <is>
          <t>531548</t>
        </is>
      </c>
    </row>
    <row r="82">
      <c r="A82" s="31" t="inlineStr">
        <is>
          <t>SOTL</t>
        </is>
      </c>
      <c r="B82" s="31" t="inlineStr">
        <is>
          <t>Savita Oil Technologies Limited</t>
        </is>
      </c>
      <c r="C82" s="31" t="inlineStr">
        <is>
          <t>energy</t>
        </is>
      </c>
      <c r="D82" s="31" t="inlineStr">
        <is>
          <t>petrochemicals</t>
        </is>
      </c>
      <c r="E82" s="31" t="inlineStr">
        <is>
          <t>smallcap</t>
        </is>
      </c>
      <c r="F82" s="31" t="n">
        <v>4618.57</v>
      </c>
      <c r="G82" s="31" t="n">
        <v>697.1</v>
      </c>
      <c r="H82" s="31" t="n">
        <v>3.48</v>
      </c>
      <c r="I82" s="31" t="n">
        <v>230464</v>
      </c>
      <c r="J82" s="31" t="inlineStr">
        <is>
          <t>524667</t>
        </is>
      </c>
    </row>
    <row r="83">
      <c r="A83" s="31" t="inlineStr">
        <is>
          <t>E2E</t>
        </is>
      </c>
      <c r="B83" s="31" t="inlineStr">
        <is>
          <t>E2E Networks Ltd</t>
        </is>
      </c>
      <c r="C83" s="31" t="inlineStr">
        <is>
          <t>i.t</t>
        </is>
      </c>
      <c r="D83" s="31" t="inlineStr">
        <is>
          <t>computers - software - medium / small</t>
        </is>
      </c>
      <c r="E83" s="31" t="inlineStr">
        <is>
          <t>midcap</t>
        </is>
      </c>
      <c r="F83" s="31" t="n">
        <v>12258.86</v>
      </c>
      <c r="G83" s="31" t="n">
        <v>617</v>
      </c>
      <c r="H83" s="31" t="n">
        <v>3.46</v>
      </c>
      <c r="I83" s="31" t="n">
        <v>755777</v>
      </c>
      <c r="J83" s="31" t="inlineStr">
        <is>
          <t>535080</t>
        </is>
      </c>
    </row>
    <row r="84">
      <c r="A84" s="31" t="inlineStr">
        <is>
          <t>KMEW</t>
        </is>
      </c>
      <c r="B84" s="31" t="inlineStr">
        <is>
          <t>Knowledge Marine &amp; Engineering Works Ltd</t>
        </is>
      </c>
      <c r="C84" s="31" t="inlineStr">
        <is>
          <t>transportation</t>
        </is>
      </c>
      <c r="D84" s="31" t="inlineStr">
        <is>
          <t>miscellaneous</t>
        </is>
      </c>
      <c r="E84" s="31" t="inlineStr">
        <is>
          <t>midcap</t>
        </is>
      </c>
      <c r="F84" s="31" t="n">
        <v>6563.49</v>
      </c>
      <c r="G84" s="31" t="n">
        <v>2777.8</v>
      </c>
      <c r="H84" s="31" t="n">
        <v>3.45</v>
      </c>
      <c r="I84" s="31" t="n">
        <v>107867</v>
      </c>
      <c r="J84" s="31" t="inlineStr">
        <is>
          <t>543273</t>
        </is>
      </c>
    </row>
    <row r="85">
      <c r="A85" s="31" t="inlineStr">
        <is>
          <t>SHYAMMETL</t>
        </is>
      </c>
      <c r="B85" s="31" t="inlineStr">
        <is>
          <t>Shyam Metalics &amp; Energy Ltd</t>
        </is>
      </c>
      <c r="C85" s="31" t="inlineStr">
        <is>
          <t>metals &amp; mining</t>
        </is>
      </c>
      <c r="D85" s="31" t="inlineStr">
        <is>
          <t>steel - large</t>
        </is>
      </c>
      <c r="E85" s="31" t="inlineStr">
        <is>
          <t>largecap</t>
        </is>
      </c>
      <c r="F85" s="31" t="n">
        <v>28086.25</v>
      </c>
      <c r="G85" s="31" t="n">
        <v>1040.5</v>
      </c>
      <c r="H85" s="31" t="n">
        <v>3.41</v>
      </c>
      <c r="I85" s="31" t="n">
        <v>508331</v>
      </c>
      <c r="J85" s="31" t="inlineStr">
        <is>
          <t>543299</t>
        </is>
      </c>
    </row>
    <row r="86">
      <c r="A86" s="31" t="inlineStr">
        <is>
          <t>SBCL</t>
        </is>
      </c>
      <c r="B86" s="31" t="inlineStr">
        <is>
          <t>Shivalik Bimetal Controls Ltd</t>
        </is>
      </c>
      <c r="C86" s="31" t="inlineStr">
        <is>
          <t>metals &amp; mining</t>
        </is>
      </c>
      <c r="D86" s="31" t="inlineStr">
        <is>
          <t>mining / minerals / metals</t>
        </is>
      </c>
      <c r="E86" s="31" t="inlineStr">
        <is>
          <t>midcap</t>
        </is>
      </c>
      <c r="F86" s="31" t="n">
        <v>5866.12</v>
      </c>
      <c r="G86" s="31" t="n">
        <v>1053.1</v>
      </c>
      <c r="H86" s="31" t="n">
        <v>3.41</v>
      </c>
      <c r="I86" s="31" t="n">
        <v>537988</v>
      </c>
      <c r="J86" s="31" t="inlineStr">
        <is>
          <t>513097</t>
        </is>
      </c>
    </row>
    <row r="87">
      <c r="A87" s="31" t="inlineStr">
        <is>
          <t>MOLDTECH</t>
        </is>
      </c>
      <c r="B87" s="31" t="inlineStr">
        <is>
          <t>Mold-tek Technologies Limited</t>
        </is>
      </c>
      <c r="C87" s="31" t="inlineStr">
        <is>
          <t>realty</t>
        </is>
      </c>
      <c r="D87" s="31" t="inlineStr">
        <is>
          <t>engineering - turnkey services</t>
        </is>
      </c>
      <c r="E87" s="31" t="inlineStr">
        <is>
          <t>smallcap</t>
        </is>
      </c>
      <c r="F87" s="31" t="n">
        <v>551.73</v>
      </c>
      <c r="G87" s="31" t="n">
        <v>198</v>
      </c>
      <c r="H87" s="31" t="n">
        <v>3.37</v>
      </c>
      <c r="I87" s="31" t="n">
        <v>119368</v>
      </c>
      <c r="J87" s="31" t="inlineStr">
        <is>
          <t>526263</t>
        </is>
      </c>
    </row>
    <row r="88">
      <c r="A88" s="31" t="inlineStr">
        <is>
          <t>BODALCHEM</t>
        </is>
      </c>
      <c r="B88" s="31" t="inlineStr">
        <is>
          <t>Bodal Chemicals Limited</t>
        </is>
      </c>
      <c r="C88" s="31" t="inlineStr">
        <is>
          <t>chemicals</t>
        </is>
      </c>
      <c r="D88" s="31" t="inlineStr">
        <is>
          <t>dyes and pigments</t>
        </is>
      </c>
      <c r="E88" s="31" t="inlineStr">
        <is>
          <t>smallcap</t>
        </is>
      </c>
      <c r="F88" s="31" t="n">
        <v>1096.34</v>
      </c>
      <c r="G88" s="31" t="n">
        <v>89.98</v>
      </c>
      <c r="H88" s="31" t="n">
        <v>3.37</v>
      </c>
      <c r="I88" s="31" t="n">
        <v>1405020</v>
      </c>
      <c r="J88" s="31" t="inlineStr">
        <is>
          <t>524370</t>
        </is>
      </c>
    </row>
    <row r="89">
      <c r="A89" s="31" t="inlineStr">
        <is>
          <t>SUVEN</t>
        </is>
      </c>
      <c r="B89" s="31" t="inlineStr">
        <is>
          <t>Suven Life Sciences Limited</t>
        </is>
      </c>
      <c r="C89" s="31" t="inlineStr">
        <is>
          <t>healthcare</t>
        </is>
      </c>
      <c r="D89" s="31" t="inlineStr">
        <is>
          <t>miscellaneous</t>
        </is>
      </c>
      <c r="E89" s="31" t="inlineStr">
        <is>
          <t>smallcap</t>
        </is>
      </c>
      <c r="F89" s="31" t="n">
        <v>695.5700000000001</v>
      </c>
      <c r="G89" s="31" t="n">
        <v>372.2</v>
      </c>
      <c r="H89" s="31" t="n">
        <v>3.37</v>
      </c>
      <c r="I89" s="31" t="n">
        <v>719139</v>
      </c>
      <c r="J89" s="31" t="inlineStr">
        <is>
          <t>530239</t>
        </is>
      </c>
    </row>
    <row r="90">
      <c r="A90" s="31" t="inlineStr">
        <is>
          <t>PARAS</t>
        </is>
      </c>
      <c r="B90" s="31" t="inlineStr">
        <is>
          <t>Paras Defence and Space Technologies Ltd</t>
        </is>
      </c>
      <c r="C90" s="31" t="inlineStr">
        <is>
          <t>aerospace &amp; defence</t>
        </is>
      </c>
      <c r="D90" s="31" t="inlineStr">
        <is>
          <t>engineering</t>
        </is>
      </c>
      <c r="E90" s="31" t="inlineStr">
        <is>
          <t>midcap</t>
        </is>
      </c>
      <c r="F90" s="31" t="n">
        <v>11646.48</v>
      </c>
      <c r="G90" s="31" t="n">
        <v>1492.7</v>
      </c>
      <c r="H90" s="31" t="n">
        <v>3.29</v>
      </c>
      <c r="I90" s="31" t="n">
        <v>2399468</v>
      </c>
      <c r="J90" s="31" t="inlineStr">
        <is>
          <t>543367</t>
        </is>
      </c>
    </row>
    <row r="91">
      <c r="A91" s="31" t="inlineStr">
        <is>
          <t>MOREPENLAB</t>
        </is>
      </c>
      <c r="B91" s="31" t="inlineStr">
        <is>
          <t>Morepen Laboratories Limited</t>
        </is>
      </c>
      <c r="C91" s="31" t="inlineStr">
        <is>
          <t>healthcare</t>
        </is>
      </c>
      <c r="D91" s="31" t="inlineStr">
        <is>
          <t>pharmaceuticals - indian - bulk drugs &amp; formln</t>
        </is>
      </c>
      <c r="E91" s="31" t="inlineStr">
        <is>
          <t>midcap</t>
        </is>
      </c>
      <c r="F91" s="31" t="n">
        <v>5145.29</v>
      </c>
      <c r="G91" s="31" t="n">
        <v>96.98</v>
      </c>
      <c r="H91" s="31" t="n">
        <v>3.28</v>
      </c>
      <c r="I91" s="31" t="n">
        <v>21286187</v>
      </c>
      <c r="J91" s="31" t="inlineStr">
        <is>
          <t>500288</t>
        </is>
      </c>
    </row>
    <row r="92">
      <c r="A92" s="31" t="inlineStr">
        <is>
          <t>JGCHEM</t>
        </is>
      </c>
      <c r="B92" s="31" t="inlineStr">
        <is>
          <t>J.G.Chemicals Ltd</t>
        </is>
      </c>
      <c r="C92" s="31" t="inlineStr">
        <is>
          <t>chemicals</t>
        </is>
      </c>
      <c r="D92" s="31" t="inlineStr">
        <is>
          <t>chemicals</t>
        </is>
      </c>
      <c r="E92" s="31" t="inlineStr">
        <is>
          <t>smallcap</t>
        </is>
      </c>
      <c r="F92" s="31" t="n">
        <v>2269.07</v>
      </c>
      <c r="G92" s="31" t="n">
        <v>597.95</v>
      </c>
      <c r="H92" s="31" t="n">
        <v>3.26</v>
      </c>
      <c r="I92" s="31" t="n">
        <v>283619</v>
      </c>
      <c r="J92" s="31" t="n"/>
    </row>
    <row r="93">
      <c r="A93" s="31" t="inlineStr">
        <is>
          <t>DIVISLAB</t>
        </is>
      </c>
      <c r="B93" s="31" t="inlineStr">
        <is>
          <t>Divi's Laboratories Limited</t>
        </is>
      </c>
      <c r="C93" s="31" t="inlineStr">
        <is>
          <t>healthcare</t>
        </is>
      </c>
      <c r="D93" s="31" t="inlineStr">
        <is>
          <t>pharmaceuticals - indian - bulk drugs</t>
        </is>
      </c>
      <c r="E93" s="31" t="inlineStr">
        <is>
          <t>largecap</t>
        </is>
      </c>
      <c r="F93" s="31" t="n">
        <v>232139</v>
      </c>
      <c r="G93" s="31" t="n">
        <v>9025</v>
      </c>
      <c r="H93" s="31" t="n">
        <v>3.21</v>
      </c>
      <c r="I93" s="31" t="n">
        <v>700482</v>
      </c>
      <c r="J93" s="31" t="inlineStr">
        <is>
          <t>532488</t>
        </is>
      </c>
    </row>
    <row r="94">
      <c r="A94" s="31" t="inlineStr">
        <is>
          <t>DPABHUSHAN</t>
        </is>
      </c>
      <c r="B94" s="31" t="inlineStr">
        <is>
          <t>D.P. Abhushan Ltd</t>
        </is>
      </c>
      <c r="C94" s="31" t="inlineStr">
        <is>
          <t>consumer discretionary</t>
        </is>
      </c>
      <c r="D94" s="31" t="inlineStr">
        <is>
          <t>diamond cutting / jewellery</t>
        </is>
      </c>
      <c r="E94" s="31" t="inlineStr">
        <is>
          <t>smallcap</t>
        </is>
      </c>
      <c r="F94" s="31" t="n">
        <v>3331.73</v>
      </c>
      <c r="G94" s="31" t="n">
        <v>1506.1</v>
      </c>
      <c r="H94" s="31" t="n">
        <v>3.19</v>
      </c>
      <c r="I94" s="31" t="n">
        <v>39327</v>
      </c>
      <c r="J94" s="31" t="inlineStr">
        <is>
          <t>535026</t>
        </is>
      </c>
    </row>
    <row r="95">
      <c r="A95" s="31" t="inlineStr">
        <is>
          <t>DCBBANK</t>
        </is>
      </c>
      <c r="B95" s="31" t="inlineStr">
        <is>
          <t>Dcb Bank Limited</t>
        </is>
      </c>
      <c r="C95" s="31" t="inlineStr">
        <is>
          <t>bank</t>
        </is>
      </c>
      <c r="D95" s="31" t="inlineStr">
        <is>
          <t>banks - private sector</t>
        </is>
      </c>
      <c r="E95" s="31" t="inlineStr">
        <is>
          <t>midcap</t>
        </is>
      </c>
      <c r="F95" s="31" t="n">
        <v>6678.92</v>
      </c>
      <c r="G95" s="31" t="n">
        <v>213.83</v>
      </c>
      <c r="H95" s="31" t="n">
        <v>3.12</v>
      </c>
      <c r="I95" s="31" t="n">
        <v>11998101</v>
      </c>
      <c r="J95" s="31" t="inlineStr">
        <is>
          <t>532772</t>
        </is>
      </c>
    </row>
    <row r="96">
      <c r="A96" s="31" t="inlineStr">
        <is>
          <t>MAHASTEEL</t>
        </is>
      </c>
      <c r="B96" s="31" t="inlineStr">
        <is>
          <t>Mahamaya Steel Industries Limited</t>
        </is>
      </c>
      <c r="C96" s="31" t="inlineStr">
        <is>
          <t>metals &amp; mining</t>
        </is>
      </c>
      <c r="D96" s="31" t="inlineStr">
        <is>
          <t>steel - medium / small</t>
        </is>
      </c>
      <c r="E96" s="31" t="inlineStr">
        <is>
          <t>smallcap</t>
        </is>
      </c>
      <c r="F96" s="31" t="n">
        <v>1975.58</v>
      </c>
      <c r="G96" s="31" t="n">
        <v>1239</v>
      </c>
      <c r="H96" s="31" t="n">
        <v>3.07</v>
      </c>
      <c r="I96" s="31" t="n">
        <v>37632</v>
      </c>
      <c r="J96" s="31" t="inlineStr">
        <is>
          <t>513554</t>
        </is>
      </c>
    </row>
    <row r="97">
      <c r="A97" s="31" t="inlineStr">
        <is>
          <t>GPPL</t>
        </is>
      </c>
      <c r="B97" s="31" t="inlineStr">
        <is>
          <t>Gujarat Pipavav Port Limited</t>
        </is>
      </c>
      <c r="C97" s="31" t="inlineStr">
        <is>
          <t>transportation</t>
        </is>
      </c>
      <c r="D97" s="31" t="inlineStr">
        <is>
          <t>miscellaneous</t>
        </is>
      </c>
      <c r="E97" s="31" t="inlineStr">
        <is>
          <t>midcap</t>
        </is>
      </c>
      <c r="F97" s="31" t="n">
        <v>7953.07</v>
      </c>
      <c r="G97" s="31" t="n">
        <v>169.46</v>
      </c>
      <c r="H97" s="31" t="n">
        <v>3.01</v>
      </c>
      <c r="I97" s="31" t="n">
        <v>9434825</v>
      </c>
      <c r="J97" s="31" t="inlineStr">
        <is>
          <t>533248</t>
        </is>
      </c>
    </row>
    <row r="98">
      <c r="A98" s="31" t="inlineStr">
        <is>
          <t>TMB</t>
        </is>
      </c>
      <c r="B98" s="31" t="inlineStr">
        <is>
          <t>Tamilnad Mercantile Bank Ltd</t>
        </is>
      </c>
      <c r="C98" s="31" t="inlineStr">
        <is>
          <t>bank</t>
        </is>
      </c>
      <c r="D98" s="31" t="inlineStr">
        <is>
          <t>banks - private sector</t>
        </is>
      </c>
      <c r="E98" s="31" t="inlineStr">
        <is>
          <t>midcap</t>
        </is>
      </c>
      <c r="F98" s="31" t="n">
        <v>13799.54</v>
      </c>
      <c r="G98" s="31" t="n">
        <v>897.6</v>
      </c>
      <c r="H98" s="31" t="n">
        <v>3</v>
      </c>
      <c r="I98" s="31" t="n">
        <v>242451</v>
      </c>
      <c r="J98" s="31" t="inlineStr">
        <is>
          <t>543596</t>
        </is>
      </c>
    </row>
    <row r="99">
      <c r="A99" s="31" t="inlineStr">
        <is>
          <t>TFCILTD</t>
        </is>
      </c>
      <c r="B99" s="31" t="inlineStr">
        <is>
          <t>Tourism Finance Corporation Of India Limited</t>
        </is>
      </c>
      <c r="C99" s="31" t="inlineStr">
        <is>
          <t>financials</t>
        </is>
      </c>
      <c r="D99" s="31" t="inlineStr">
        <is>
          <t>finance - term-lending institutions</t>
        </is>
      </c>
      <c r="E99" s="31" t="inlineStr">
        <is>
          <t>midcap</t>
        </is>
      </c>
      <c r="F99" s="31" t="n">
        <v>6343.71</v>
      </c>
      <c r="G99" s="31" t="n">
        <v>140.99</v>
      </c>
      <c r="H99" s="31" t="n">
        <v>2.9</v>
      </c>
      <c r="I99" s="31" t="n">
        <v>18972111</v>
      </c>
      <c r="J99" s="31" t="inlineStr">
        <is>
          <t>526650</t>
        </is>
      </c>
    </row>
    <row r="100">
      <c r="A100" s="31" t="inlineStr">
        <is>
          <t>RUBYMILLS</t>
        </is>
      </c>
      <c r="B100" s="31" t="inlineStr">
        <is>
          <t>The Ruby Mills Limited</t>
        </is>
      </c>
      <c r="C100" s="31" t="inlineStr">
        <is>
          <t>textiles</t>
        </is>
      </c>
      <c r="D100" s="31" t="inlineStr">
        <is>
          <t>textiles - composite</t>
        </is>
      </c>
      <c r="E100" s="31" t="inlineStr">
        <is>
          <t>smallcap</t>
        </is>
      </c>
      <c r="F100" s="31" t="n">
        <v>1280.92</v>
      </c>
      <c r="G100" s="31" t="n">
        <v>393.95</v>
      </c>
      <c r="H100" s="31" t="n">
        <v>2.85</v>
      </c>
      <c r="I100" s="31" t="n">
        <v>16989</v>
      </c>
      <c r="J100" s="31" t="inlineStr">
        <is>
          <t>503169</t>
        </is>
      </c>
    </row>
    <row r="101">
      <c r="A101" s="31" t="inlineStr">
        <is>
          <t>AKUMS</t>
        </is>
      </c>
      <c r="B101" s="31" t="inlineStr">
        <is>
          <t>Akums Drugs &amp; Pharmaceuticals Ltd</t>
        </is>
      </c>
      <c r="C101" s="31" t="inlineStr">
        <is>
          <t>healthcare</t>
        </is>
      </c>
      <c r="D101" s="31" t="inlineStr">
        <is>
          <t>pharmaceuticals - indian - bulk drugs &amp; formln</t>
        </is>
      </c>
      <c r="E101" s="31" t="inlineStr">
        <is>
          <t>midcap</t>
        </is>
      </c>
      <c r="F101" s="31" t="n">
        <v>11726.64</v>
      </c>
      <c r="G101" s="31" t="n">
        <v>766.1</v>
      </c>
      <c r="H101" s="31" t="n">
        <v>2.83</v>
      </c>
      <c r="I101" s="31" t="n">
        <v>477886</v>
      </c>
      <c r="J101" s="31" t="inlineStr">
        <is>
          <t>544222</t>
        </is>
      </c>
    </row>
    <row r="102">
      <c r="A102" s="31" t="inlineStr">
        <is>
          <t>MOTILALOFS</t>
        </is>
      </c>
      <c r="B102" s="31" t="inlineStr">
        <is>
          <t>Motilal Oswal Financial Services Limited</t>
        </is>
      </c>
      <c r="C102" s="31" t="inlineStr">
        <is>
          <t>financials</t>
        </is>
      </c>
      <c r="D102" s="31" t="inlineStr">
        <is>
          <t>finance &amp; investments</t>
        </is>
      </c>
      <c r="E102" s="31" t="inlineStr">
        <is>
          <t>largecap</t>
        </is>
      </c>
      <c r="F102" s="31" t="n">
        <v>60907.14</v>
      </c>
      <c r="G102" s="31" t="n">
        <v>1040</v>
      </c>
      <c r="H102" s="31" t="n">
        <v>2.82</v>
      </c>
      <c r="I102" s="31" t="n">
        <v>1934495</v>
      </c>
      <c r="J102" s="31" t="inlineStr">
        <is>
          <t>532892</t>
        </is>
      </c>
    </row>
    <row r="103">
      <c r="A103" s="31" t="inlineStr">
        <is>
          <t>CDSL</t>
        </is>
      </c>
      <c r="B103" s="31" t="inlineStr">
        <is>
          <t>Central Depository Services Ltd</t>
        </is>
      </c>
      <c r="C103" s="31" t="inlineStr">
        <is>
          <t>financials</t>
        </is>
      </c>
      <c r="D103" s="31" t="inlineStr">
        <is>
          <t>miscellaneous</t>
        </is>
      </c>
      <c r="E103" s="31" t="inlineStr">
        <is>
          <t>largecap</t>
        </is>
      </c>
      <c r="F103" s="31" t="n">
        <v>29151.32</v>
      </c>
      <c r="G103" s="31" t="n">
        <v>1434</v>
      </c>
      <c r="H103" s="31" t="n">
        <v>2.81</v>
      </c>
      <c r="I103" s="31" t="n">
        <v>3845569</v>
      </c>
      <c r="J103" s="31" t="n"/>
    </row>
    <row r="104">
      <c r="A104" s="31" t="inlineStr">
        <is>
          <t>JTLIND</t>
        </is>
      </c>
      <c r="B104" s="31" t="inlineStr">
        <is>
          <t>JTL Industries Ltd</t>
        </is>
      </c>
      <c r="C104" s="31" t="inlineStr">
        <is>
          <t>metals &amp; mining</t>
        </is>
      </c>
      <c r="D104" s="31" t="inlineStr">
        <is>
          <t>steel - medium / small</t>
        </is>
      </c>
      <c r="E104" s="31" t="inlineStr">
        <is>
          <t>smallcap</t>
        </is>
      </c>
      <c r="F104" s="31" t="n">
        <v>3098.27</v>
      </c>
      <c r="G104" s="31" t="n">
        <v>81.01000000000001</v>
      </c>
      <c r="H104" s="31" t="n">
        <v>2.78</v>
      </c>
      <c r="I104" s="31" t="n">
        <v>4315707</v>
      </c>
      <c r="J104" s="31" t="inlineStr">
        <is>
          <t>534600</t>
        </is>
      </c>
    </row>
    <row r="105">
      <c r="A105" s="31" t="inlineStr">
        <is>
          <t>GLAND</t>
        </is>
      </c>
      <c r="B105" s="31" t="inlineStr">
        <is>
          <t>Gland Pharma Ltd</t>
        </is>
      </c>
      <c r="C105" s="31" t="inlineStr">
        <is>
          <t>healthcare</t>
        </is>
      </c>
      <c r="D105" s="31" t="inlineStr">
        <is>
          <t>pharmaceuticals - indian - formulations</t>
        </is>
      </c>
      <c r="E105" s="31" t="inlineStr">
        <is>
          <t>largecap</t>
        </is>
      </c>
      <c r="F105" s="31" t="n">
        <v>46594.51</v>
      </c>
      <c r="G105" s="31" t="n">
        <v>2903.2</v>
      </c>
      <c r="H105" s="31" t="n">
        <v>2.78</v>
      </c>
      <c r="I105" s="31" t="n">
        <v>397671</v>
      </c>
      <c r="J105" s="31" t="inlineStr">
        <is>
          <t>543245</t>
        </is>
      </c>
    </row>
    <row r="106">
      <c r="A106" s="31" t="inlineStr">
        <is>
          <t>CHEMBONDCH</t>
        </is>
      </c>
      <c r="B106" s="31" t="inlineStr">
        <is>
          <t>Chembond Chemicals Ltd</t>
        </is>
      </c>
      <c r="C106" s="31" t="inlineStr">
        <is>
          <t>chemicals</t>
        </is>
      </c>
      <c r="D106" s="31" t="inlineStr">
        <is>
          <t>chemicals</t>
        </is>
      </c>
      <c r="E106" s="31" t="inlineStr">
        <is>
          <t>smallcap</t>
        </is>
      </c>
      <c r="F106" s="31" t="n">
        <v>719.24</v>
      </c>
      <c r="G106" s="31" t="n">
        <v>274.75</v>
      </c>
      <c r="H106" s="31" t="n">
        <v>2.74</v>
      </c>
      <c r="I106" s="31" t="n">
        <v>18602</v>
      </c>
      <c r="J106" s="31" t="inlineStr">
        <is>
          <t>544450</t>
        </is>
      </c>
    </row>
    <row r="107">
      <c r="A107" s="31" t="inlineStr">
        <is>
          <t>FMGOETZE</t>
        </is>
      </c>
      <c r="B107" s="31" t="inlineStr">
        <is>
          <t>Federal-mogul Goetze (india) Limited.</t>
        </is>
      </c>
      <c r="C107" s="31" t="inlineStr">
        <is>
          <t>auto</t>
        </is>
      </c>
      <c r="D107" s="31" t="inlineStr">
        <is>
          <t>auto ancillaries</t>
        </is>
      </c>
      <c r="E107" s="31" t="inlineStr">
        <is>
          <t>smallcap</t>
        </is>
      </c>
      <c r="F107" s="31" t="n">
        <v>2971.31</v>
      </c>
      <c r="G107" s="31" t="n">
        <v>548.7</v>
      </c>
      <c r="H107" s="31" t="n">
        <v>2.73</v>
      </c>
      <c r="I107" s="31" t="n">
        <v>20715021</v>
      </c>
      <c r="J107" s="31" t="inlineStr">
        <is>
          <t>505744</t>
        </is>
      </c>
    </row>
    <row r="108">
      <c r="A108" s="31" t="inlineStr">
        <is>
          <t>FLUOROCHEM</t>
        </is>
      </c>
      <c r="B108" s="31" t="inlineStr">
        <is>
          <t>Gujarat Fluorochemicals Ltd</t>
        </is>
      </c>
      <c r="C108" s="31" t="inlineStr">
        <is>
          <t>chemicals</t>
        </is>
      </c>
      <c r="D108" s="31" t="inlineStr">
        <is>
          <t>chemicals</t>
        </is>
      </c>
      <c r="E108" s="31" t="inlineStr">
        <is>
          <t>largecap</t>
        </is>
      </c>
      <c r="F108" s="31" t="n">
        <v>50599.11</v>
      </c>
      <c r="G108" s="31" t="n">
        <v>4732.1</v>
      </c>
      <c r="H108" s="31" t="n">
        <v>2.73</v>
      </c>
      <c r="I108" s="31" t="n">
        <v>156236</v>
      </c>
      <c r="J108" s="31" t="inlineStr">
        <is>
          <t>542812</t>
        </is>
      </c>
    </row>
    <row r="109">
      <c r="A109" s="31" t="inlineStr">
        <is>
          <t>JINDRILL</t>
        </is>
      </c>
      <c r="B109" s="31" t="inlineStr">
        <is>
          <t>Jindal Drilling And Industries Limited</t>
        </is>
      </c>
      <c r="C109" s="31" t="inlineStr">
        <is>
          <t>energy</t>
        </is>
      </c>
      <c r="D109" s="31" t="inlineStr">
        <is>
          <t>oil drilling / allied services</t>
        </is>
      </c>
      <c r="E109" s="31" t="inlineStr">
        <is>
          <t>smallcap</t>
        </is>
      </c>
      <c r="F109" s="31" t="n">
        <v>1784.95</v>
      </c>
      <c r="G109" s="31" t="n">
        <v>632.45</v>
      </c>
      <c r="H109" s="31" t="n">
        <v>2.69</v>
      </c>
      <c r="I109" s="31" t="n">
        <v>189191</v>
      </c>
      <c r="J109" s="31" t="inlineStr">
        <is>
          <t>511034</t>
        </is>
      </c>
    </row>
    <row r="110">
      <c r="A110" s="31" t="inlineStr">
        <is>
          <t>NMDC</t>
        </is>
      </c>
      <c r="B110" s="31" t="inlineStr">
        <is>
          <t>Nmdc Limited</t>
        </is>
      </c>
      <c r="C110" s="31" t="inlineStr">
        <is>
          <t>metals &amp; mining</t>
        </is>
      </c>
      <c r="D110" s="31" t="inlineStr">
        <is>
          <t>mining / minerals / metals</t>
        </is>
      </c>
      <c r="E110" s="31" t="inlineStr">
        <is>
          <t>largecap</t>
        </is>
      </c>
      <c r="F110" s="31" t="n">
        <v>75556.88</v>
      </c>
      <c r="G110" s="31" t="n">
        <v>88.20999999999999</v>
      </c>
      <c r="H110" s="31" t="n">
        <v>2.64</v>
      </c>
      <c r="I110" s="31" t="n">
        <v>26104821</v>
      </c>
      <c r="J110" s="31" t="inlineStr">
        <is>
          <t>526371</t>
        </is>
      </c>
    </row>
    <row r="111">
      <c r="A111" s="31" t="inlineStr">
        <is>
          <t>IFCI</t>
        </is>
      </c>
      <c r="B111" s="31" t="inlineStr">
        <is>
          <t>Ifci Limited</t>
        </is>
      </c>
      <c r="C111" s="31" t="inlineStr">
        <is>
          <t>financials</t>
        </is>
      </c>
      <c r="D111" s="31" t="inlineStr">
        <is>
          <t>finance - term-lending institutions</t>
        </is>
      </c>
      <c r="E111" s="31" t="inlineStr">
        <is>
          <t>largecap</t>
        </is>
      </c>
      <c r="F111" s="31" t="n">
        <v>22430.17</v>
      </c>
      <c r="G111" s="31" t="n">
        <v>85.44</v>
      </c>
      <c r="H111" s="31" t="n">
        <v>2.63</v>
      </c>
      <c r="I111" s="31" t="n">
        <v>61000099</v>
      </c>
      <c r="J111" s="31" t="inlineStr">
        <is>
          <t>500106</t>
        </is>
      </c>
    </row>
    <row r="112">
      <c r="A112" s="31" t="inlineStr">
        <is>
          <t>NEULANDLAB</t>
        </is>
      </c>
      <c r="B112" s="31" t="inlineStr">
        <is>
          <t>Neuland Laboratories Limited</t>
        </is>
      </c>
      <c r="C112" s="31" t="inlineStr">
        <is>
          <t>healthcare</t>
        </is>
      </c>
      <c r="D112" s="31" t="inlineStr">
        <is>
          <t>pharmaceuticals - indian - bulk drugs</t>
        </is>
      </c>
      <c r="E112" s="31" t="inlineStr">
        <is>
          <t>largecap</t>
        </is>
      </c>
      <c r="F112" s="31" t="n">
        <v>29442.03</v>
      </c>
      <c r="G112" s="31" t="n">
        <v>23545</v>
      </c>
      <c r="H112" s="31" t="n">
        <v>2.6</v>
      </c>
      <c r="I112" s="31" t="n">
        <v>51134</v>
      </c>
      <c r="J112" s="31" t="inlineStr">
        <is>
          <t>524558</t>
        </is>
      </c>
    </row>
    <row r="113">
      <c r="A113" s="31" t="inlineStr">
        <is>
          <t>SUTLEJTEX</t>
        </is>
      </c>
      <c r="B113" s="31" t="inlineStr">
        <is>
          <t>Sutlej Textiles And Industries Limited</t>
        </is>
      </c>
      <c r="C113" s="31" t="inlineStr">
        <is>
          <t>textiles</t>
        </is>
      </c>
      <c r="D113" s="31" t="inlineStr">
        <is>
          <t>textiles - cotton/blended</t>
        </is>
      </c>
      <c r="E113" s="31" t="inlineStr">
        <is>
          <t>smallcap</t>
        </is>
      </c>
      <c r="F113" s="31" t="n">
        <v>622.88</v>
      </c>
      <c r="G113" s="31" t="n">
        <v>39</v>
      </c>
      <c r="H113" s="31" t="n">
        <v>2.58</v>
      </c>
      <c r="I113" s="31" t="n">
        <v>21268</v>
      </c>
      <c r="J113" s="31" t="inlineStr">
        <is>
          <t>532782</t>
        </is>
      </c>
    </row>
    <row r="114">
      <c r="A114" s="31" t="inlineStr">
        <is>
          <t>GODREJAGRO</t>
        </is>
      </c>
      <c r="B114" s="31" t="inlineStr">
        <is>
          <t>Godrej Agrovet Ltd</t>
        </is>
      </c>
      <c r="C114" s="31" t="inlineStr">
        <is>
          <t>fmcg</t>
        </is>
      </c>
      <c r="D114" s="31" t="inlineStr">
        <is>
          <t>food - processing - indian</t>
        </is>
      </c>
      <c r="E114" s="31" t="inlineStr">
        <is>
          <t>midcap</t>
        </is>
      </c>
      <c r="F114" s="31" t="n">
        <v>11735.88</v>
      </c>
      <c r="G114" s="31" t="n">
        <v>625.75</v>
      </c>
      <c r="H114" s="31" t="n">
        <v>2.57</v>
      </c>
      <c r="I114" s="31" t="n">
        <v>589734</v>
      </c>
      <c r="J114" s="31" t="inlineStr">
        <is>
          <t>540743</t>
        </is>
      </c>
    </row>
    <row r="115">
      <c r="A115" s="31" t="inlineStr">
        <is>
          <t>ARIS</t>
        </is>
      </c>
      <c r="B115" s="31" t="inlineStr">
        <is>
          <t>Arisinfra Solutions Ltd</t>
        </is>
      </c>
      <c r="C115" s="31" t="inlineStr">
        <is>
          <t>services</t>
        </is>
      </c>
      <c r="D115" s="31" t="inlineStr">
        <is>
          <t>trading</t>
        </is>
      </c>
      <c r="E115" s="31" t="inlineStr">
        <is>
          <t>smallcap</t>
        </is>
      </c>
      <c r="F115" s="31" t="n">
        <v>1179.96</v>
      </c>
      <c r="G115" s="31" t="n">
        <v>147.96</v>
      </c>
      <c r="H115" s="31" t="n">
        <v>2.56</v>
      </c>
      <c r="I115" s="31" t="n">
        <v>3058989</v>
      </c>
      <c r="J115" s="31" t="inlineStr">
        <is>
          <t>544419</t>
        </is>
      </c>
    </row>
    <row r="116">
      <c r="A116" s="31" t="inlineStr">
        <is>
          <t>SUNDRMFAST</t>
        </is>
      </c>
      <c r="B116" s="31" t="inlineStr">
        <is>
          <t>Sundram Fasteners Limited</t>
        </is>
      </c>
      <c r="C116" s="31" t="inlineStr">
        <is>
          <t>auto</t>
        </is>
      </c>
      <c r="D116" s="31" t="inlineStr">
        <is>
          <t>auto ancillaries</t>
        </is>
      </c>
      <c r="E116" s="31" t="inlineStr">
        <is>
          <t>largecap</t>
        </is>
      </c>
      <c r="F116" s="31" t="n">
        <v>25362.49</v>
      </c>
      <c r="G116" s="31" t="n">
        <v>1237.95</v>
      </c>
      <c r="H116" s="31" t="n">
        <v>2.56</v>
      </c>
      <c r="I116" s="31" t="n">
        <v>208899</v>
      </c>
      <c r="J116" s="31" t="inlineStr">
        <is>
          <t>500403</t>
        </is>
      </c>
    </row>
    <row r="117">
      <c r="A117" s="31" t="inlineStr">
        <is>
          <t>DEEPINDS</t>
        </is>
      </c>
      <c r="B117" s="31" t="inlineStr">
        <is>
          <t>Deep Industries Ltd</t>
        </is>
      </c>
      <c r="C117" s="31" t="inlineStr">
        <is>
          <t>energy</t>
        </is>
      </c>
      <c r="D117" s="31" t="inlineStr">
        <is>
          <t>oil drilling / allied services</t>
        </is>
      </c>
      <c r="E117" s="31" t="inlineStr">
        <is>
          <t>smallcap</t>
        </is>
      </c>
      <c r="F117" s="31" t="n">
        <v>4157.76</v>
      </c>
      <c r="G117" s="31" t="n">
        <v>665.9</v>
      </c>
      <c r="H117" s="31" t="n">
        <v>2.5</v>
      </c>
      <c r="I117" s="31" t="n">
        <v>434483</v>
      </c>
      <c r="J117" s="31" t="inlineStr">
        <is>
          <t>543288</t>
        </is>
      </c>
    </row>
    <row r="118">
      <c r="A118" s="31" t="inlineStr">
        <is>
          <t>ASHOKLEY</t>
        </is>
      </c>
      <c r="B118" s="31" t="inlineStr">
        <is>
          <t>Ashok Leyland Limited</t>
        </is>
      </c>
      <c r="C118" s="31" t="inlineStr">
        <is>
          <t>auto</t>
        </is>
      </c>
      <c r="D118" s="31" t="inlineStr">
        <is>
          <t>automobiles - lcvs / hcvs</t>
        </is>
      </c>
      <c r="E118" s="31" t="inlineStr">
        <is>
          <t>largecap</t>
        </is>
      </c>
      <c r="F118" s="31" t="n">
        <v>102610.37</v>
      </c>
      <c r="G118" s="31" t="n">
        <v>179.05</v>
      </c>
      <c r="H118" s="31" t="n">
        <v>2.5</v>
      </c>
      <c r="I118" s="31" t="n">
        <v>17797516</v>
      </c>
      <c r="J118" s="31" t="inlineStr">
        <is>
          <t>500477</t>
        </is>
      </c>
    </row>
    <row r="119">
      <c r="A119" s="31" t="inlineStr">
        <is>
          <t>STOVEKRAFT</t>
        </is>
      </c>
      <c r="B119" s="31" t="inlineStr">
        <is>
          <t>Stove Kraft Ltd</t>
        </is>
      </c>
      <c r="C119" s="31" t="inlineStr">
        <is>
          <t>consumer discretionary</t>
        </is>
      </c>
      <c r="D119" s="31" t="inlineStr">
        <is>
          <t>domestic appliances</t>
        </is>
      </c>
      <c r="E119" s="31" t="inlineStr">
        <is>
          <t>smallcap</t>
        </is>
      </c>
      <c r="F119" s="31" t="n">
        <v>2633.36</v>
      </c>
      <c r="G119" s="31" t="n">
        <v>815</v>
      </c>
      <c r="H119" s="31" t="n">
        <v>2.46</v>
      </c>
      <c r="I119" s="31" t="n">
        <v>123744</v>
      </c>
      <c r="J119" s="31" t="inlineStr">
        <is>
          <t>543260</t>
        </is>
      </c>
    </row>
    <row r="120">
      <c r="A120" s="31" t="inlineStr">
        <is>
          <t>KARURVYSYA</t>
        </is>
      </c>
      <c r="B120" s="31" t="inlineStr">
        <is>
          <t>Karur Vysya Bank Limited</t>
        </is>
      </c>
      <c r="C120" s="31" t="inlineStr">
        <is>
          <t>bank</t>
        </is>
      </c>
      <c r="D120" s="31" t="inlineStr">
        <is>
          <t>banks - private sector</t>
        </is>
      </c>
      <c r="E120" s="31" t="inlineStr">
        <is>
          <t>largecap</t>
        </is>
      </c>
      <c r="F120" s="31" t="n">
        <v>33446.74</v>
      </c>
      <c r="G120" s="31" t="n">
        <v>354.35</v>
      </c>
      <c r="H120" s="31" t="n">
        <v>2.41</v>
      </c>
      <c r="I120" s="31" t="n">
        <v>4434922</v>
      </c>
      <c r="J120" s="31" t="inlineStr">
        <is>
          <t>590003</t>
        </is>
      </c>
    </row>
    <row r="121">
      <c r="A121" s="31" t="inlineStr">
        <is>
          <t>GLAXO</t>
        </is>
      </c>
      <c r="B121" s="31" t="inlineStr">
        <is>
          <t>Glaxosmithkline Pharmaceuticals Limited</t>
        </is>
      </c>
      <c r="C121" s="31" t="inlineStr">
        <is>
          <t>healthcare</t>
        </is>
      </c>
      <c r="D121" s="31" t="inlineStr">
        <is>
          <t>pharmaceuticals - multinational</t>
        </is>
      </c>
      <c r="E121" s="31" t="inlineStr">
        <is>
          <t>largecap</t>
        </is>
      </c>
      <c r="F121" s="31" t="n">
        <v>50201.78</v>
      </c>
      <c r="G121" s="31" t="n">
        <v>3034.4</v>
      </c>
      <c r="H121" s="31" t="n">
        <v>2.4</v>
      </c>
      <c r="I121" s="31" t="n">
        <v>152381</v>
      </c>
      <c r="J121" s="31" t="inlineStr">
        <is>
          <t>500660</t>
        </is>
      </c>
    </row>
    <row r="122">
      <c r="A122" s="31" t="inlineStr">
        <is>
          <t>GALAXYSURF</t>
        </is>
      </c>
      <c r="B122" s="31" t="inlineStr">
        <is>
          <t>Galaxy Surfactants Ltd</t>
        </is>
      </c>
      <c r="C122" s="31" t="inlineStr">
        <is>
          <t>chemicals</t>
        </is>
      </c>
      <c r="D122" s="31" t="inlineStr">
        <is>
          <t>chemicals</t>
        </is>
      </c>
      <c r="E122" s="31" t="inlineStr">
        <is>
          <t>midcap</t>
        </is>
      </c>
      <c r="F122" s="31" t="n">
        <v>8098.57</v>
      </c>
      <c r="G122" s="31" t="n">
        <v>2338.8</v>
      </c>
      <c r="H122" s="31" t="n">
        <v>2.39</v>
      </c>
      <c r="I122" s="31" t="n">
        <v>28705</v>
      </c>
      <c r="J122" s="31" t="inlineStr">
        <is>
          <t>540935</t>
        </is>
      </c>
    </row>
    <row r="123">
      <c r="A123" s="31" t="inlineStr">
        <is>
          <t>CONFIPET</t>
        </is>
      </c>
      <c r="B123" s="31" t="inlineStr">
        <is>
          <t>Confidence Petroleum India Ltd</t>
        </is>
      </c>
      <c r="C123" s="31" t="inlineStr">
        <is>
          <t>miscellaneous</t>
        </is>
      </c>
      <c r="D123" s="31" t="inlineStr">
        <is>
          <t>miscellaneous</t>
        </is>
      </c>
      <c r="E123" s="31" t="inlineStr">
        <is>
          <t>smallcap</t>
        </is>
      </c>
      <c r="F123" s="31" t="n">
        <v>2586.5</v>
      </c>
      <c r="G123" s="31" t="n">
        <v>79.69</v>
      </c>
      <c r="H123" s="31" t="n">
        <v>2.36</v>
      </c>
      <c r="I123" s="31" t="n">
        <v>9122476</v>
      </c>
      <c r="J123" s="31" t="inlineStr">
        <is>
          <t>526829</t>
        </is>
      </c>
    </row>
    <row r="124">
      <c r="A124" s="31" t="inlineStr">
        <is>
          <t>CUB</t>
        </is>
      </c>
      <c r="B124" s="31" t="inlineStr">
        <is>
          <t>City Union Bank Limited</t>
        </is>
      </c>
      <c r="C124" s="31" t="inlineStr">
        <is>
          <t>bank</t>
        </is>
      </c>
      <c r="D124" s="31" t="inlineStr">
        <is>
          <t>banks - private sector</t>
        </is>
      </c>
      <c r="E124" s="31" t="inlineStr">
        <is>
          <t>largecap</t>
        </is>
      </c>
      <c r="F124" s="31" t="n">
        <v>21955.85</v>
      </c>
      <c r="G124" s="31" t="n">
        <v>226.8</v>
      </c>
      <c r="H124" s="31" t="n">
        <v>2.35</v>
      </c>
      <c r="I124" s="31" t="n">
        <v>2696192</v>
      </c>
      <c r="J124" s="31" t="inlineStr">
        <is>
          <t>532210</t>
        </is>
      </c>
    </row>
    <row r="125">
      <c r="A125" s="31" t="inlineStr">
        <is>
          <t>EMIL</t>
        </is>
      </c>
      <c r="B125" s="31" t="inlineStr">
        <is>
          <t>Electronics Mart India Ltd</t>
        </is>
      </c>
      <c r="C125" s="31" t="inlineStr">
        <is>
          <t>consumer discretionary</t>
        </is>
      </c>
      <c r="D125" s="31" t="inlineStr">
        <is>
          <t>trading</t>
        </is>
      </c>
      <c r="E125" s="31" t="inlineStr">
        <is>
          <t>midcap</t>
        </is>
      </c>
      <c r="F125" s="31" t="n">
        <v>6938.56</v>
      </c>
      <c r="G125" s="31" t="n">
        <v>184.54</v>
      </c>
      <c r="H125" s="31" t="n">
        <v>2.33</v>
      </c>
      <c r="I125" s="31" t="n">
        <v>1280819</v>
      </c>
      <c r="J125" s="31" t="inlineStr">
        <is>
          <t>543626</t>
        </is>
      </c>
    </row>
    <row r="126">
      <c r="A126" s="31" t="inlineStr">
        <is>
          <t>POLICYBZR</t>
        </is>
      </c>
      <c r="B126" s="31" t="inlineStr">
        <is>
          <t>PB Fintech Ltd</t>
        </is>
      </c>
      <c r="C126" s="31" t="inlineStr">
        <is>
          <t>i.t</t>
        </is>
      </c>
      <c r="D126" s="31" t="inlineStr">
        <is>
          <t>miscellaneous</t>
        </is>
      </c>
      <c r="E126" s="31" t="inlineStr">
        <is>
          <t>largecap</t>
        </is>
      </c>
      <c r="F126" s="31" t="n">
        <v>83206.42</v>
      </c>
      <c r="G126" s="31" t="n">
        <v>1840</v>
      </c>
      <c r="H126" s="31" t="n">
        <v>2.32</v>
      </c>
      <c r="I126" s="31" t="n">
        <v>2206492</v>
      </c>
      <c r="J126" s="31" t="inlineStr">
        <is>
          <t>543390</t>
        </is>
      </c>
    </row>
    <row r="127">
      <c r="A127" s="31" t="inlineStr">
        <is>
          <t>DALMIASUG</t>
        </is>
      </c>
      <c r="B127" s="31" t="inlineStr">
        <is>
          <t>Dalmia Bharat Sugar And Industries Limited</t>
        </is>
      </c>
      <c r="C127" s="31" t="inlineStr">
        <is>
          <t>fmcg</t>
        </is>
      </c>
      <c r="D127" s="31" t="inlineStr">
        <is>
          <t>sugar</t>
        </is>
      </c>
      <c r="E127" s="31" t="inlineStr">
        <is>
          <t>smallcap</t>
        </is>
      </c>
      <c r="F127" s="31" t="n">
        <v>3806.17</v>
      </c>
      <c r="G127" s="31" t="n">
        <v>481.1</v>
      </c>
      <c r="H127" s="31" t="n">
        <v>2.31</v>
      </c>
      <c r="I127" s="31" t="n">
        <v>435108</v>
      </c>
      <c r="J127" s="31" t="inlineStr">
        <is>
          <t>500097</t>
        </is>
      </c>
    </row>
    <row r="128">
      <c r="A128" s="31" t="inlineStr">
        <is>
          <t>JYOTICNC</t>
        </is>
      </c>
      <c r="B128" s="31" t="inlineStr">
        <is>
          <t>Jyoti CNC Automation Ltd</t>
        </is>
      </c>
      <c r="C128" s="31" t="inlineStr">
        <is>
          <t>industrials</t>
        </is>
      </c>
      <c r="D128" s="31" t="inlineStr">
        <is>
          <t>engineering</t>
        </is>
      </c>
      <c r="E128" s="31" t="inlineStr">
        <is>
          <t>largecap</t>
        </is>
      </c>
      <c r="F128" s="31" t="n">
        <v>22513.75</v>
      </c>
      <c r="G128" s="31" t="n">
        <v>1012.7</v>
      </c>
      <c r="H128" s="31" t="n">
        <v>2.3</v>
      </c>
      <c r="I128" s="31" t="n">
        <v>1457691</v>
      </c>
      <c r="J128" s="31" t="inlineStr">
        <is>
          <t>544081</t>
        </is>
      </c>
    </row>
    <row r="129">
      <c r="A129" s="31" t="inlineStr">
        <is>
          <t>ZYDUSLIFE</t>
        </is>
      </c>
      <c r="B129" s="31" t="inlineStr">
        <is>
          <t>Zydus Lifesciences Ltd</t>
        </is>
      </c>
      <c r="C129" s="31" t="inlineStr">
        <is>
          <t>healthcare</t>
        </is>
      </c>
      <c r="D129" s="31" t="inlineStr">
        <is>
          <t>pharmaceuticals - indian - bulk drugs &amp; formln</t>
        </is>
      </c>
      <c r="E129" s="31" t="inlineStr">
        <is>
          <t>largecap</t>
        </is>
      </c>
      <c r="F129" s="31" t="n">
        <v>112169.31</v>
      </c>
      <c r="G129" s="31" t="n">
        <v>1150</v>
      </c>
      <c r="H129" s="31" t="n">
        <v>2.27</v>
      </c>
      <c r="I129" s="31" t="n">
        <v>1393308</v>
      </c>
      <c r="J129" s="31" t="inlineStr">
        <is>
          <t>532321</t>
        </is>
      </c>
    </row>
    <row r="130">
      <c r="A130" s="31" t="inlineStr">
        <is>
          <t>VALIANTLAB</t>
        </is>
      </c>
      <c r="B130" s="31" t="inlineStr">
        <is>
          <t>Valiant Laboratories Ltd</t>
        </is>
      </c>
      <c r="C130" s="31" t="inlineStr">
        <is>
          <t>healthcare</t>
        </is>
      </c>
      <c r="D130" s="31" t="inlineStr">
        <is>
          <t>pharmaceuticals - indian - bulk drugs &amp; formln</t>
        </is>
      </c>
      <c r="E130" s="31" t="inlineStr">
        <is>
          <t>smallcap</t>
        </is>
      </c>
      <c r="F130" s="31" t="n">
        <v>572.89</v>
      </c>
      <c r="G130" s="31" t="n">
        <v>107.87</v>
      </c>
      <c r="H130" s="31" t="n">
        <v>2.27</v>
      </c>
      <c r="I130" s="31" t="n">
        <v>509288</v>
      </c>
      <c r="J130" s="31" t="n"/>
    </row>
    <row r="131">
      <c r="A131" s="31" t="inlineStr">
        <is>
          <t>MANGLMCEM</t>
        </is>
      </c>
      <c r="B131" s="31" t="inlineStr">
        <is>
          <t>Mangalam Cement Limited</t>
        </is>
      </c>
      <c r="C131" s="31" t="inlineStr">
        <is>
          <t>building materials</t>
        </is>
      </c>
      <c r="D131" s="31" t="inlineStr">
        <is>
          <t>cement - north india</t>
        </is>
      </c>
      <c r="E131" s="31" t="inlineStr">
        <is>
          <t>smallcap</t>
        </is>
      </c>
      <c r="F131" s="31" t="n">
        <v>2844.6</v>
      </c>
      <c r="G131" s="31" t="n">
        <v>1057.7</v>
      </c>
      <c r="H131" s="31" t="n">
        <v>2.24</v>
      </c>
      <c r="I131" s="31" t="n">
        <v>231900</v>
      </c>
      <c r="J131" s="31" t="inlineStr">
        <is>
          <t>502157</t>
        </is>
      </c>
    </row>
    <row r="132">
      <c r="A132" s="31" t="inlineStr">
        <is>
          <t>GRAVITA</t>
        </is>
      </c>
      <c r="B132" s="31" t="inlineStr">
        <is>
          <t>Gravita India Limited</t>
        </is>
      </c>
      <c r="C132" s="31" t="inlineStr">
        <is>
          <t>metals &amp; mining</t>
        </is>
      </c>
      <c r="D132" s="31" t="inlineStr">
        <is>
          <t>mining / minerals / metals</t>
        </is>
      </c>
      <c r="E132" s="31" t="inlineStr">
        <is>
          <t>midcap</t>
        </is>
      </c>
      <c r="F132" s="31" t="n">
        <v>13288.47</v>
      </c>
      <c r="G132" s="31" t="n">
        <v>1840.3</v>
      </c>
      <c r="H132" s="31" t="n">
        <v>2.22</v>
      </c>
      <c r="I132" s="31" t="n">
        <v>327209</v>
      </c>
      <c r="J132" s="31" t="inlineStr">
        <is>
          <t>533282</t>
        </is>
      </c>
    </row>
    <row r="133">
      <c r="A133" s="31" t="inlineStr">
        <is>
          <t>MTARTECH</t>
        </is>
      </c>
      <c r="B133" s="31" t="inlineStr">
        <is>
          <t>MTAR Technologies Ltd</t>
        </is>
      </c>
      <c r="C133" s="31" t="inlineStr">
        <is>
          <t>aerospace &amp; defence</t>
        </is>
      </c>
      <c r="D133" s="31" t="inlineStr">
        <is>
          <t>engineering</t>
        </is>
      </c>
      <c r="E133" s="31" t="inlineStr">
        <is>
          <t>largecap</t>
        </is>
      </c>
      <c r="F133" s="31" t="n">
        <v>21311.78</v>
      </c>
      <c r="G133" s="31" t="n">
        <v>7082</v>
      </c>
      <c r="H133" s="31" t="n">
        <v>2.22</v>
      </c>
      <c r="I133" s="31" t="n">
        <v>137100</v>
      </c>
      <c r="J133" s="31" t="inlineStr">
        <is>
          <t>543270</t>
        </is>
      </c>
    </row>
    <row r="134">
      <c r="A134" s="31" t="inlineStr">
        <is>
          <t>BAJAJHLDNG</t>
        </is>
      </c>
      <c r="B134" s="31" t="inlineStr">
        <is>
          <t>Bajaj Holdings &amp; Investment Limited</t>
        </is>
      </c>
      <c r="C134" s="31" t="inlineStr">
        <is>
          <t>financials</t>
        </is>
      </c>
      <c r="D134" s="31" t="inlineStr">
        <is>
          <t>finance &amp; investments</t>
        </is>
      </c>
      <c r="E134" s="31" t="inlineStr">
        <is>
          <t>largecap</t>
        </is>
      </c>
      <c r="F134" s="31" t="n">
        <v>125650.37</v>
      </c>
      <c r="G134" s="31" t="n">
        <v>11540</v>
      </c>
      <c r="H134" s="31" t="n">
        <v>2.21</v>
      </c>
      <c r="I134" s="31" t="n">
        <v>32638</v>
      </c>
      <c r="J134" s="31" t="inlineStr">
        <is>
          <t>500490</t>
        </is>
      </c>
    </row>
    <row r="135">
      <c r="A135" s="31" t="inlineStr">
        <is>
          <t>DHAMPURSUG</t>
        </is>
      </c>
      <c r="B135" s="31" t="inlineStr">
        <is>
          <t>Dhampur Sugar Mills Limited</t>
        </is>
      </c>
      <c r="C135" s="31" t="inlineStr">
        <is>
          <t>fmcg</t>
        </is>
      </c>
      <c r="D135" s="31" t="inlineStr">
        <is>
          <t>sugar</t>
        </is>
      </c>
      <c r="E135" s="31" t="inlineStr">
        <is>
          <t>smallcap</t>
        </is>
      </c>
      <c r="F135" s="31" t="n">
        <v>1155.72</v>
      </c>
      <c r="G135" s="31" t="n">
        <v>183.67</v>
      </c>
      <c r="H135" s="31" t="n">
        <v>2.2</v>
      </c>
      <c r="I135" s="31" t="n">
        <v>1239629</v>
      </c>
      <c r="J135" s="31" t="inlineStr">
        <is>
          <t>500119</t>
        </is>
      </c>
    </row>
    <row r="136">
      <c r="A136" s="31" t="inlineStr">
        <is>
          <t>MCX</t>
        </is>
      </c>
      <c r="B136" s="31" t="inlineStr">
        <is>
          <t>Multi Commodity Exchange Of India Limited</t>
        </is>
      </c>
      <c r="C136" s="31" t="inlineStr">
        <is>
          <t>financials</t>
        </is>
      </c>
      <c r="D136" s="31" t="inlineStr">
        <is>
          <t>miscellaneous</t>
        </is>
      </c>
      <c r="E136" s="31" t="inlineStr">
        <is>
          <t>largecap</t>
        </is>
      </c>
      <c r="F136" s="31" t="n">
        <v>83637.33</v>
      </c>
      <c r="G136" s="31" t="n">
        <v>3350</v>
      </c>
      <c r="H136" s="31" t="n">
        <v>2.13</v>
      </c>
      <c r="I136" s="31" t="n">
        <v>2302290</v>
      </c>
      <c r="J136" s="31" t="inlineStr">
        <is>
          <t>534091</t>
        </is>
      </c>
    </row>
    <row r="137">
      <c r="A137" s="31" t="inlineStr">
        <is>
          <t>FINCABLES</t>
        </is>
      </c>
      <c r="B137" s="31" t="inlineStr">
        <is>
          <t>Finolex Cables Limited</t>
        </is>
      </c>
      <c r="C137" s="31" t="inlineStr">
        <is>
          <t>industrials</t>
        </is>
      </c>
      <c r="D137" s="31" t="inlineStr">
        <is>
          <t>cables - power</t>
        </is>
      </c>
      <c r="E137" s="31" t="inlineStr">
        <is>
          <t>midcap</t>
        </is>
      </c>
      <c r="F137" s="31" t="n">
        <v>19268.06</v>
      </c>
      <c r="G137" s="31" t="n">
        <v>1286.35</v>
      </c>
      <c r="H137" s="31" t="n">
        <v>2.1</v>
      </c>
      <c r="I137" s="31" t="n">
        <v>530477</v>
      </c>
      <c r="J137" s="31" t="inlineStr">
        <is>
          <t>500144</t>
        </is>
      </c>
    </row>
    <row r="138">
      <c r="A138" s="31" t="inlineStr">
        <is>
          <t>AEROENTER</t>
        </is>
      </c>
      <c r="B138" s="31" t="inlineStr">
        <is>
          <t>Aeroflex Enterprises Ltd</t>
        </is>
      </c>
      <c r="C138" s="31" t="inlineStr">
        <is>
          <t>metals &amp; mining</t>
        </is>
      </c>
      <c r="D138" s="31" t="inlineStr">
        <is>
          <t>steel - medium / small</t>
        </is>
      </c>
      <c r="E138" s="31" t="inlineStr">
        <is>
          <t>smallcap</t>
        </is>
      </c>
      <c r="F138" s="31" t="n">
        <v>1592.67</v>
      </c>
      <c r="G138" s="31" t="n">
        <v>143.64</v>
      </c>
      <c r="H138" s="31" t="n">
        <v>2.06</v>
      </c>
      <c r="I138" s="31" t="n">
        <v>5371518</v>
      </c>
      <c r="J138" s="31" t="inlineStr">
        <is>
          <t>511076</t>
        </is>
      </c>
    </row>
    <row r="139">
      <c r="A139" s="31" t="inlineStr">
        <is>
          <t>KINGFA</t>
        </is>
      </c>
      <c r="B139" s="31" t="inlineStr">
        <is>
          <t>Kingfa Science &amp; Technology (india) Limited</t>
        </is>
      </c>
      <c r="C139" s="31" t="inlineStr">
        <is>
          <t>plastic products</t>
        </is>
      </c>
      <c r="D139" s="31" t="inlineStr">
        <is>
          <t>plastics products</t>
        </is>
      </c>
      <c r="E139" s="31" t="inlineStr">
        <is>
          <t>midcap</t>
        </is>
      </c>
      <c r="F139" s="31" t="n">
        <v>8008.19</v>
      </c>
      <c r="G139" s="31" t="n">
        <v>6031</v>
      </c>
      <c r="H139" s="31" t="n">
        <v>2.06</v>
      </c>
      <c r="I139" s="31" t="n">
        <v>18681</v>
      </c>
      <c r="J139" s="31" t="inlineStr">
        <is>
          <t>524019</t>
        </is>
      </c>
    </row>
    <row r="140">
      <c r="A140" s="31" t="inlineStr">
        <is>
          <t>CHALET</t>
        </is>
      </c>
      <c r="B140" s="31" t="inlineStr">
        <is>
          <t>Chalet Hotels Ltd</t>
        </is>
      </c>
      <c r="C140" s="31" t="inlineStr">
        <is>
          <t>services</t>
        </is>
      </c>
      <c r="D140" s="31" t="inlineStr">
        <is>
          <t>hotels</t>
        </is>
      </c>
      <c r="E140" s="31" t="inlineStr">
        <is>
          <t>midcap</t>
        </is>
      </c>
      <c r="F140" s="31" t="n">
        <v>19579.17</v>
      </c>
      <c r="G140" s="31" t="n">
        <v>912.45</v>
      </c>
      <c r="H140" s="31" t="n">
        <v>2.06</v>
      </c>
      <c r="I140" s="31" t="n">
        <v>585806</v>
      </c>
      <c r="J140" s="31" t="inlineStr">
        <is>
          <t>542399</t>
        </is>
      </c>
    </row>
    <row r="141">
      <c r="A141" s="31" t="inlineStr">
        <is>
          <t>ESAFSFB</t>
        </is>
      </c>
      <c r="B141" s="31" t="inlineStr">
        <is>
          <t>ESAF Small Finance Bank Ltd</t>
        </is>
      </c>
      <c r="C141" s="31" t="inlineStr">
        <is>
          <t>bank</t>
        </is>
      </c>
      <c r="D141" s="31" t="inlineStr">
        <is>
          <t>banks - private sector</t>
        </is>
      </c>
      <c r="E141" s="31" t="inlineStr">
        <is>
          <t>smallcap</t>
        </is>
      </c>
      <c r="F141" s="31" t="n">
        <v>2234.07</v>
      </c>
      <c r="G141" s="31" t="n">
        <v>44.16</v>
      </c>
      <c r="H141" s="31" t="n">
        <v>1.99</v>
      </c>
      <c r="I141" s="31" t="n">
        <v>973281</v>
      </c>
      <c r="J141" s="31" t="inlineStr">
        <is>
          <t>544020</t>
        </is>
      </c>
    </row>
    <row r="142">
      <c r="A142" s="31" t="inlineStr">
        <is>
          <t>VINCOFE</t>
        </is>
      </c>
      <c r="B142" s="31" t="inlineStr">
        <is>
          <t>Vintage Coffee &amp; Beverages Ltd</t>
        </is>
      </c>
      <c r="C142" s="31" t="inlineStr">
        <is>
          <t>consumer discretionary</t>
        </is>
      </c>
      <c r="D142" s="31" t="inlineStr">
        <is>
          <t>trading</t>
        </is>
      </c>
      <c r="E142" s="31" t="inlineStr">
        <is>
          <t>smallcap</t>
        </is>
      </c>
      <c r="F142" s="31" t="n">
        <v>2344.13</v>
      </c>
      <c r="G142" s="31" t="n">
        <v>164.09</v>
      </c>
      <c r="H142" s="31" t="n">
        <v>1.98</v>
      </c>
      <c r="I142" s="31" t="n">
        <v>2641997</v>
      </c>
      <c r="J142" s="31" t="inlineStr">
        <is>
          <t>538920</t>
        </is>
      </c>
    </row>
    <row r="143">
      <c r="A143" s="31" t="inlineStr">
        <is>
          <t>PVRINOX</t>
        </is>
      </c>
      <c r="B143" s="31" t="inlineStr">
        <is>
          <t>PVR Inox Ltd</t>
        </is>
      </c>
      <c r="C143" s="31" t="inlineStr">
        <is>
          <t>media</t>
        </is>
      </c>
      <c r="D143" s="31" t="inlineStr">
        <is>
          <t>entertainment / electronic media software</t>
        </is>
      </c>
      <c r="E143" s="31" t="inlineStr">
        <is>
          <t>midcap</t>
        </is>
      </c>
      <c r="F143" s="31" t="n">
        <v>12088.42</v>
      </c>
      <c r="G143" s="31" t="n">
        <v>1255.3</v>
      </c>
      <c r="H143" s="31" t="n">
        <v>1.97</v>
      </c>
      <c r="I143" s="31" t="n">
        <v>579557</v>
      </c>
      <c r="J143" s="31" t="inlineStr">
        <is>
          <t>532689</t>
        </is>
      </c>
    </row>
    <row r="144">
      <c r="A144" s="31" t="inlineStr">
        <is>
          <t>JKPAPER</t>
        </is>
      </c>
      <c r="B144" s="31" t="inlineStr">
        <is>
          <t>Jk Paper Limited</t>
        </is>
      </c>
      <c r="C144" s="31" t="inlineStr">
        <is>
          <t>building materials</t>
        </is>
      </c>
      <c r="D144" s="31" t="inlineStr">
        <is>
          <t>paper</t>
        </is>
      </c>
      <c r="E144" s="31" t="inlineStr">
        <is>
          <t>midcap</t>
        </is>
      </c>
      <c r="F144" s="31" t="n">
        <v>7051.49</v>
      </c>
      <c r="G144" s="31" t="n">
        <v>396.55</v>
      </c>
      <c r="H144" s="31" t="n">
        <v>1.97</v>
      </c>
      <c r="I144" s="31" t="n">
        <v>477205</v>
      </c>
      <c r="J144" s="31" t="inlineStr">
        <is>
          <t>532162</t>
        </is>
      </c>
    </row>
    <row r="145">
      <c r="A145" s="31" t="inlineStr">
        <is>
          <t>ASKAUTOLTD</t>
        </is>
      </c>
      <c r="B145" s="31" t="inlineStr">
        <is>
          <t>ASK Automotive Ltd</t>
        </is>
      </c>
      <c r="C145" s="31" t="inlineStr">
        <is>
          <t>auto</t>
        </is>
      </c>
      <c r="D145" s="31" t="inlineStr">
        <is>
          <t>auto ancillaries</t>
        </is>
      </c>
      <c r="E145" s="31" t="inlineStr">
        <is>
          <t>midcap</t>
        </is>
      </c>
      <c r="F145" s="31" t="n">
        <v>11931.07</v>
      </c>
      <c r="G145" s="31" t="n">
        <v>617</v>
      </c>
      <c r="H145" s="31" t="n">
        <v>1.95</v>
      </c>
      <c r="I145" s="31" t="n">
        <v>212792</v>
      </c>
      <c r="J145" s="31" t="inlineStr">
        <is>
          <t>544022</t>
        </is>
      </c>
    </row>
    <row r="146">
      <c r="A146" s="31" t="inlineStr">
        <is>
          <t>BLSE</t>
        </is>
      </c>
      <c r="B146" s="31" t="inlineStr">
        <is>
          <t>BLS E-Services Ltd</t>
        </is>
      </c>
      <c r="C146" s="31" t="inlineStr">
        <is>
          <t>i.t</t>
        </is>
      </c>
      <c r="D146" s="31" t="inlineStr">
        <is>
          <t>computers - software - medium / small</t>
        </is>
      </c>
      <c r="E146" s="31" t="inlineStr">
        <is>
          <t>smallcap</t>
        </is>
      </c>
      <c r="F146" s="31" t="n">
        <v>2835.63</v>
      </c>
      <c r="G146" s="31" t="n">
        <v>318.2</v>
      </c>
      <c r="H146" s="31" t="n">
        <v>1.95</v>
      </c>
      <c r="I146" s="31" t="n">
        <v>335682</v>
      </c>
      <c r="J146" s="31" t="inlineStr">
        <is>
          <t>544107</t>
        </is>
      </c>
    </row>
    <row r="147">
      <c r="A147" s="31" t="inlineStr">
        <is>
          <t>MUNJALAU</t>
        </is>
      </c>
      <c r="B147" s="31" t="inlineStr">
        <is>
          <t>Munjal Auto Industries Limited</t>
        </is>
      </c>
      <c r="C147" s="31" t="inlineStr">
        <is>
          <t>auto</t>
        </is>
      </c>
      <c r="D147" s="31" t="inlineStr">
        <is>
          <t>auto ancillaries</t>
        </is>
      </c>
      <c r="E147" s="31" t="inlineStr">
        <is>
          <t>smallcap</t>
        </is>
      </c>
      <c r="F147" s="31" t="n">
        <v>1126.8</v>
      </c>
      <c r="G147" s="31" t="n">
        <v>114.87</v>
      </c>
      <c r="H147" s="31" t="n">
        <v>1.94</v>
      </c>
      <c r="I147" s="31" t="n">
        <v>1895699</v>
      </c>
      <c r="J147" s="31" t="inlineStr">
        <is>
          <t>520059</t>
        </is>
      </c>
    </row>
    <row r="148">
      <c r="A148" s="31" t="inlineStr">
        <is>
          <t>LOTUSDEV</t>
        </is>
      </c>
      <c r="B148" s="31" t="inlineStr">
        <is>
          <t>Sri Lotus Developers &amp; Realty Ltd</t>
        </is>
      </c>
      <c r="C148" s="31" t="inlineStr">
        <is>
          <t>realty</t>
        </is>
      </c>
      <c r="D148" s="31" t="inlineStr">
        <is>
          <t>construction</t>
        </is>
      </c>
      <c r="E148" s="31" t="inlineStr">
        <is>
          <t>midcap</t>
        </is>
      </c>
      <c r="F148" s="31" t="n">
        <v>8873.27</v>
      </c>
      <c r="G148" s="31" t="n">
        <v>184.99</v>
      </c>
      <c r="H148" s="31" t="n">
        <v>1.89</v>
      </c>
      <c r="I148" s="31" t="n">
        <v>843036</v>
      </c>
      <c r="J148" s="31" t="inlineStr">
        <is>
          <t>544469</t>
        </is>
      </c>
    </row>
    <row r="149">
      <c r="A149" s="31" t="inlineStr">
        <is>
          <t>GLOBAL</t>
        </is>
      </c>
      <c r="B149" s="31" t="inlineStr">
        <is>
          <t>Global Education Ltd</t>
        </is>
      </c>
      <c r="C149" s="31" t="inlineStr">
        <is>
          <t>services</t>
        </is>
      </c>
      <c r="D149" s="31" t="inlineStr">
        <is>
          <t>miscellaneous</t>
        </is>
      </c>
      <c r="E149" s="31" t="inlineStr">
        <is>
          <t>smallcap</t>
        </is>
      </c>
      <c r="F149" s="31" t="n">
        <v>543.17</v>
      </c>
      <c r="G149" s="31" t="n">
        <v>108.7</v>
      </c>
      <c r="H149" s="31" t="n">
        <v>1.86</v>
      </c>
      <c r="I149" s="31" t="n">
        <v>179188</v>
      </c>
      <c r="J149" s="31" t="inlineStr">
        <is>
          <t>538406</t>
        </is>
      </c>
    </row>
    <row r="150">
      <c r="A150" s="31" t="inlineStr">
        <is>
          <t>JINDALSTEL</t>
        </is>
      </c>
      <c r="B150" s="31" t="inlineStr">
        <is>
          <t>Jindal Steel Ltd</t>
        </is>
      </c>
      <c r="C150" s="31" t="inlineStr">
        <is>
          <t>metals &amp; mining</t>
        </is>
      </c>
      <c r="D150" s="31" t="inlineStr">
        <is>
          <t>steel - large</t>
        </is>
      </c>
      <c r="E150" s="31" t="inlineStr">
        <is>
          <t>largecap</t>
        </is>
      </c>
      <c r="F150" s="31" t="n">
        <v>117728.37</v>
      </c>
      <c r="G150" s="31" t="n">
        <v>1175.4</v>
      </c>
      <c r="H150" s="31" t="n">
        <v>1.85</v>
      </c>
      <c r="I150" s="31" t="n">
        <v>882287</v>
      </c>
      <c r="J150" s="31" t="inlineStr">
        <is>
          <t>532286</t>
        </is>
      </c>
    </row>
    <row r="151">
      <c r="A151" s="31" t="inlineStr">
        <is>
          <t>UNIMECH</t>
        </is>
      </c>
      <c r="B151" s="31" t="inlineStr">
        <is>
          <t>Unimech Aerospace and Manufacturing Ltd</t>
        </is>
      </c>
      <c r="C151" s="31" t="inlineStr">
        <is>
          <t>aerospace &amp; defence</t>
        </is>
      </c>
      <c r="D151" s="31" t="inlineStr">
        <is>
          <t>engineering</t>
        </is>
      </c>
      <c r="E151" s="31" t="inlineStr">
        <is>
          <t>midcap</t>
        </is>
      </c>
      <c r="F151" s="31" t="n">
        <v>7493.76</v>
      </c>
      <c r="G151" s="31" t="n">
        <v>1500.2</v>
      </c>
      <c r="H151" s="31" t="n">
        <v>1.81</v>
      </c>
      <c r="I151" s="31" t="n">
        <v>322567</v>
      </c>
      <c r="J151" s="31" t="inlineStr">
        <is>
          <t>544322</t>
        </is>
      </c>
    </row>
    <row r="152">
      <c r="A152" s="31" t="inlineStr">
        <is>
          <t>GENUSPOWER</t>
        </is>
      </c>
      <c r="B152" s="31" t="inlineStr">
        <is>
          <t>Genus Power Infrastructures Limited</t>
        </is>
      </c>
      <c r="C152" s="31" t="inlineStr">
        <is>
          <t>consumer discretionary</t>
        </is>
      </c>
      <c r="D152" s="31" t="inlineStr">
        <is>
          <t>electronics - components</t>
        </is>
      </c>
      <c r="E152" s="31" t="inlineStr">
        <is>
          <t>midcap</t>
        </is>
      </c>
      <c r="F152" s="31" t="n">
        <v>10193.65</v>
      </c>
      <c r="G152" s="31" t="n">
        <v>341.1</v>
      </c>
      <c r="H152" s="31" t="n">
        <v>1.81</v>
      </c>
      <c r="I152" s="31" t="n">
        <v>3351541</v>
      </c>
      <c r="J152" s="31" t="inlineStr">
        <is>
          <t>530343</t>
        </is>
      </c>
    </row>
    <row r="153">
      <c r="A153" s="31" t="inlineStr">
        <is>
          <t>NYKAA</t>
        </is>
      </c>
      <c r="B153" s="31" t="inlineStr">
        <is>
          <t>FSN E-Commerce Ventures Ltd</t>
        </is>
      </c>
      <c r="C153" s="31" t="inlineStr">
        <is>
          <t>i.t</t>
        </is>
      </c>
      <c r="D153" s="31" t="inlineStr">
        <is>
          <t>trading</t>
        </is>
      </c>
      <c r="E153" s="31" t="inlineStr">
        <is>
          <t>largecap</t>
        </is>
      </c>
      <c r="F153" s="31" t="n">
        <v>95651.73</v>
      </c>
      <c r="G153" s="31" t="n">
        <v>340</v>
      </c>
      <c r="H153" s="31" t="n">
        <v>1.8</v>
      </c>
      <c r="I153" s="31" t="n">
        <v>7436809</v>
      </c>
      <c r="J153" s="31" t="inlineStr">
        <is>
          <t>543384</t>
        </is>
      </c>
    </row>
    <row r="154">
      <c r="A154" s="31" t="inlineStr">
        <is>
          <t>ANDHRSUGAR</t>
        </is>
      </c>
      <c r="B154" s="31" t="inlineStr">
        <is>
          <t>The Andhra Sugars Limited</t>
        </is>
      </c>
      <c r="C154" s="31" t="inlineStr">
        <is>
          <t>chemicals</t>
        </is>
      </c>
      <c r="D154" s="31" t="inlineStr">
        <is>
          <t>chlor alkali / soda ash</t>
        </is>
      </c>
      <c r="E154" s="31" t="inlineStr">
        <is>
          <t>smallcap</t>
        </is>
      </c>
      <c r="F154" s="31" t="n">
        <v>1324.72</v>
      </c>
      <c r="G154" s="31" t="n">
        <v>99.47</v>
      </c>
      <c r="H154" s="31" t="n">
        <v>1.77</v>
      </c>
      <c r="I154" s="31" t="n">
        <v>734580</v>
      </c>
      <c r="J154" s="31" t="inlineStr">
        <is>
          <t>590062</t>
        </is>
      </c>
    </row>
    <row r="155">
      <c r="A155" s="31" t="inlineStr">
        <is>
          <t>ZIMLAB</t>
        </is>
      </c>
      <c r="B155" s="31" t="inlineStr">
        <is>
          <t>Zim Laboratories Ltd</t>
        </is>
      </c>
      <c r="C155" s="31" t="inlineStr">
        <is>
          <t>healthcare</t>
        </is>
      </c>
      <c r="D155" s="31" t="inlineStr">
        <is>
          <t>pharmaceuticals - indian - bulk drugs &amp; formln</t>
        </is>
      </c>
      <c r="E155" s="31" t="inlineStr">
        <is>
          <t>smallcap</t>
        </is>
      </c>
      <c r="F155" s="31" t="n">
        <v>668.29</v>
      </c>
      <c r="G155" s="31" t="n">
        <v>127</v>
      </c>
      <c r="H155" s="31" t="n">
        <v>1.76</v>
      </c>
      <c r="I155" s="31" t="n">
        <v>150331</v>
      </c>
      <c r="J155" s="31" t="inlineStr">
        <is>
          <t>541400</t>
        </is>
      </c>
    </row>
    <row r="156">
      <c r="A156" s="31" t="inlineStr">
        <is>
          <t>STLTECH</t>
        </is>
      </c>
      <c r="B156" s="31" t="inlineStr">
        <is>
          <t>Sterlite Technologies Limited</t>
        </is>
      </c>
      <c r="C156" s="31" t="inlineStr">
        <is>
          <t>industrials</t>
        </is>
      </c>
      <c r="D156" s="31" t="inlineStr">
        <is>
          <t>cables - telephone</t>
        </is>
      </c>
      <c r="E156" s="31" t="inlineStr">
        <is>
          <t>largecap</t>
        </is>
      </c>
      <c r="F156" s="31" t="n">
        <v>33472.62</v>
      </c>
      <c r="G156" s="31" t="n">
        <v>662.75</v>
      </c>
      <c r="H156" s="31" t="n">
        <v>1.75</v>
      </c>
      <c r="I156" s="31" t="n">
        <v>1278257</v>
      </c>
      <c r="J156" s="31" t="inlineStr">
        <is>
          <t>532374</t>
        </is>
      </c>
    </row>
    <row r="157">
      <c r="A157" s="31" t="inlineStr">
        <is>
          <t>KOVAI</t>
        </is>
      </c>
      <c r="B157" s="31" t="inlineStr">
        <is>
          <t>Kovai Medical Center &amp; Hospital Ltd</t>
        </is>
      </c>
      <c r="C157" s="31" t="inlineStr">
        <is>
          <t>healthcare</t>
        </is>
      </c>
      <c r="D157" s="31" t="inlineStr">
        <is>
          <t>healthcare</t>
        </is>
      </c>
      <c r="E157" s="31" t="inlineStr">
        <is>
          <t>midcap</t>
        </is>
      </c>
      <c r="F157" s="31" t="n">
        <v>6549.49</v>
      </c>
      <c r="G157" s="31" t="n">
        <v>6089</v>
      </c>
      <c r="H157" s="31" t="n">
        <v>1.73</v>
      </c>
      <c r="I157" s="31" t="n">
        <v>7028</v>
      </c>
      <c r="J157" s="31" t="inlineStr">
        <is>
          <t>523323</t>
        </is>
      </c>
    </row>
    <row r="158">
      <c r="A158" s="31" t="inlineStr">
        <is>
          <t>HAPPYFORGE</t>
        </is>
      </c>
      <c r="B158" s="31" t="inlineStr">
        <is>
          <t>Happy Forgings Ltd</t>
        </is>
      </c>
      <c r="C158" s="31" t="inlineStr">
        <is>
          <t>industrials</t>
        </is>
      </c>
      <c r="D158" s="31" t="inlineStr">
        <is>
          <t>castings &amp; forgings</t>
        </is>
      </c>
      <c r="E158" s="31" t="inlineStr">
        <is>
          <t>largecap</t>
        </is>
      </c>
      <c r="F158" s="31" t="n">
        <v>20301.81</v>
      </c>
      <c r="G158" s="31" t="n">
        <v>2188</v>
      </c>
      <c r="H158" s="31" t="n">
        <v>1.72</v>
      </c>
      <c r="I158" s="31" t="n">
        <v>149045</v>
      </c>
      <c r="J158" s="31" t="inlineStr">
        <is>
          <t>544057</t>
        </is>
      </c>
    </row>
    <row r="159">
      <c r="A159" s="31" t="inlineStr">
        <is>
          <t>PPLPHARMA</t>
        </is>
      </c>
      <c r="B159" s="31" t="inlineStr">
        <is>
          <t>Piramal Pharma Ltd</t>
        </is>
      </c>
      <c r="C159" s="31" t="inlineStr">
        <is>
          <t>healthcare</t>
        </is>
      </c>
      <c r="D159" s="31" t="inlineStr">
        <is>
          <t>pharmaceuticals - indian - bulk drugs &amp; formln</t>
        </is>
      </c>
      <c r="E159" s="31" t="inlineStr">
        <is>
          <t>largecap</t>
        </is>
      </c>
      <c r="F159" s="31" t="n">
        <v>27653.43</v>
      </c>
      <c r="G159" s="31" t="n">
        <v>211.29</v>
      </c>
      <c r="H159" s="31" t="n">
        <v>1.72</v>
      </c>
      <c r="I159" s="31" t="n">
        <v>3103547</v>
      </c>
      <c r="J159" s="31" t="inlineStr">
        <is>
          <t>543635</t>
        </is>
      </c>
    </row>
    <row r="160">
      <c r="A160" s="31" t="inlineStr">
        <is>
          <t>INDIAGLYCO</t>
        </is>
      </c>
      <c r="B160" s="31" t="inlineStr">
        <is>
          <t>India Glycols Limited</t>
        </is>
      </c>
      <c r="C160" s="31" t="inlineStr">
        <is>
          <t>fmcg</t>
        </is>
      </c>
      <c r="D160" s="31" t="inlineStr">
        <is>
          <t>breweries &amp; distilleries</t>
        </is>
      </c>
      <c r="E160" s="31" t="inlineStr">
        <is>
          <t>midcap</t>
        </is>
      </c>
      <c r="F160" s="31" t="n">
        <v>7845.48</v>
      </c>
      <c r="G160" s="31" t="n">
        <v>1190.5</v>
      </c>
      <c r="H160" s="31" t="n">
        <v>1.71</v>
      </c>
      <c r="I160" s="31" t="n">
        <v>330221</v>
      </c>
      <c r="J160" s="31" t="inlineStr">
        <is>
          <t>500201</t>
        </is>
      </c>
    </row>
    <row r="161">
      <c r="A161" s="31" t="inlineStr">
        <is>
          <t>GLENMARK</t>
        </is>
      </c>
      <c r="B161" s="31" t="inlineStr">
        <is>
          <t>Glenmark Pharmaceuticals Limited</t>
        </is>
      </c>
      <c r="C161" s="31" t="inlineStr">
        <is>
          <t>healthcare</t>
        </is>
      </c>
      <c r="D161" s="31" t="inlineStr">
        <is>
          <t>pharmaceuticals - indian - bulk drugs &amp; formln</t>
        </is>
      </c>
      <c r="E161" s="31" t="inlineStr">
        <is>
          <t>largecap</t>
        </is>
      </c>
      <c r="F161" s="31" t="n">
        <v>67728.19</v>
      </c>
      <c r="G161" s="31" t="n">
        <v>2438.3</v>
      </c>
      <c r="H161" s="31" t="n">
        <v>1.6</v>
      </c>
      <c r="I161" s="31" t="n">
        <v>473934</v>
      </c>
      <c r="J161" s="31" t="inlineStr">
        <is>
          <t>532296</t>
        </is>
      </c>
    </row>
    <row r="162">
      <c r="A162" s="31" t="inlineStr">
        <is>
          <t>BLISSGVS</t>
        </is>
      </c>
      <c r="B162" s="31" t="inlineStr">
        <is>
          <t>Bliss Gvs Pharma Limited</t>
        </is>
      </c>
      <c r="C162" s="31" t="inlineStr">
        <is>
          <t>healthcare</t>
        </is>
      </c>
      <c r="D162" s="31" t="inlineStr">
        <is>
          <t>pharmaceuticals - indian - formulations</t>
        </is>
      </c>
      <c r="E162" s="31" t="inlineStr">
        <is>
          <t>midcap</t>
        </is>
      </c>
      <c r="F162" s="31" t="n">
        <v>5955.06</v>
      </c>
      <c r="G162" s="31" t="n">
        <v>570.5</v>
      </c>
      <c r="H162" s="31" t="n">
        <v>1.6</v>
      </c>
      <c r="I162" s="31" t="n">
        <v>277958</v>
      </c>
      <c r="J162" s="31" t="inlineStr">
        <is>
          <t>506197</t>
        </is>
      </c>
    </row>
    <row r="163">
      <c r="A163" s="31" t="inlineStr">
        <is>
          <t>GANESHBE</t>
        </is>
      </c>
      <c r="B163" s="31" t="inlineStr">
        <is>
          <t>Ganesh Benzoplast Ltd</t>
        </is>
      </c>
      <c r="C163" s="31" t="inlineStr">
        <is>
          <t>miscellaneous</t>
        </is>
      </c>
      <c r="D163" s="31" t="inlineStr">
        <is>
          <t>miscellaneous</t>
        </is>
      </c>
      <c r="E163" s="31" t="inlineStr">
        <is>
          <t>smallcap</t>
        </is>
      </c>
      <c r="F163" s="31" t="n">
        <v>865.24</v>
      </c>
      <c r="G163" s="31" t="n">
        <v>122.1</v>
      </c>
      <c r="H163" s="31" t="n">
        <v>1.59</v>
      </c>
      <c r="I163" s="31" t="n">
        <v>67389</v>
      </c>
      <c r="J163" s="31" t="inlineStr">
        <is>
          <t>500153</t>
        </is>
      </c>
    </row>
    <row r="164">
      <c r="A164" s="31" t="inlineStr">
        <is>
          <t>JSWSTEEL</t>
        </is>
      </c>
      <c r="B164" s="31" t="inlineStr">
        <is>
          <t>Jsw Steel Limited</t>
        </is>
      </c>
      <c r="C164" s="31" t="inlineStr">
        <is>
          <t>metals &amp; mining</t>
        </is>
      </c>
      <c r="D164" s="31" t="inlineStr">
        <is>
          <t>steel - large</t>
        </is>
      </c>
      <c r="E164" s="31" t="inlineStr">
        <is>
          <t>largecap</t>
        </is>
      </c>
      <c r="F164" s="31" t="n">
        <v>322873.29</v>
      </c>
      <c r="G164" s="31" t="n">
        <v>1341</v>
      </c>
      <c r="H164" s="31" t="n">
        <v>1.57</v>
      </c>
      <c r="I164" s="31" t="n">
        <v>1853866</v>
      </c>
      <c r="J164" s="31" t="inlineStr">
        <is>
          <t>500228</t>
        </is>
      </c>
    </row>
    <row r="165">
      <c r="A165" s="31" t="inlineStr">
        <is>
          <t>THYROCARE</t>
        </is>
      </c>
      <c r="B165" s="31" t="inlineStr">
        <is>
          <t>Thyrocare Technologies Limited</t>
        </is>
      </c>
      <c r="C165" s="31" t="inlineStr">
        <is>
          <t>healthcare</t>
        </is>
      </c>
      <c r="D165" s="31" t="inlineStr">
        <is>
          <t>healthcare</t>
        </is>
      </c>
      <c r="E165" s="31" t="inlineStr">
        <is>
          <t>midcap</t>
        </is>
      </c>
      <c r="F165" s="31" t="n">
        <v>9487.049999999999</v>
      </c>
      <c r="G165" s="31" t="n">
        <v>605.2</v>
      </c>
      <c r="H165" s="31" t="n">
        <v>1.54</v>
      </c>
      <c r="I165" s="31" t="n">
        <v>249184</v>
      </c>
      <c r="J165" s="31" t="inlineStr">
        <is>
          <t>539871</t>
        </is>
      </c>
    </row>
    <row r="166">
      <c r="A166" s="31" t="inlineStr">
        <is>
          <t>RKFORGE</t>
        </is>
      </c>
      <c r="B166" s="31" t="inlineStr">
        <is>
          <t>Ramkrishna Forgings Limited</t>
        </is>
      </c>
      <c r="C166" s="31" t="inlineStr">
        <is>
          <t>industrials</t>
        </is>
      </c>
      <c r="D166" s="31" t="inlineStr">
        <is>
          <t>castings &amp; forgings</t>
        </is>
      </c>
      <c r="E166" s="31" t="inlineStr">
        <is>
          <t>midcap</t>
        </is>
      </c>
      <c r="F166" s="31" t="n">
        <v>13136.28</v>
      </c>
      <c r="G166" s="31" t="n">
        <v>732</v>
      </c>
      <c r="H166" s="31" t="n">
        <v>1.51</v>
      </c>
      <c r="I166" s="31" t="n">
        <v>980866</v>
      </c>
      <c r="J166" s="31" t="inlineStr">
        <is>
          <t>532527</t>
        </is>
      </c>
    </row>
    <row r="167">
      <c r="A167" s="31" t="inlineStr">
        <is>
          <t>SOLARINDS</t>
        </is>
      </c>
      <c r="B167" s="31" t="inlineStr">
        <is>
          <t>Solar Industries India Limited</t>
        </is>
      </c>
      <c r="C167" s="31" t="inlineStr">
        <is>
          <t>aerospace &amp; defence</t>
        </is>
      </c>
      <c r="D167" s="31" t="inlineStr">
        <is>
          <t>chemicals</t>
        </is>
      </c>
      <c r="E167" s="31" t="inlineStr">
        <is>
          <t>largecap</t>
        </is>
      </c>
      <c r="F167" s="31" t="n">
        <v>179170.31</v>
      </c>
      <c r="G167" s="31" t="n">
        <v>20097</v>
      </c>
      <c r="H167" s="31" t="n">
        <v>1.5</v>
      </c>
      <c r="I167" s="31" t="n">
        <v>98533</v>
      </c>
      <c r="J167" s="31" t="inlineStr">
        <is>
          <t>532725</t>
        </is>
      </c>
    </row>
    <row r="168">
      <c r="A168" s="31" t="inlineStr">
        <is>
          <t>LALPATHLAB</t>
        </is>
      </c>
      <c r="B168" s="31" t="inlineStr">
        <is>
          <t>Dr. Lal Path Labs Ltd.</t>
        </is>
      </c>
      <c r="C168" s="31" t="inlineStr">
        <is>
          <t>healthcare</t>
        </is>
      </c>
      <c r="D168" s="31" t="inlineStr">
        <is>
          <t>healthcare</t>
        </is>
      </c>
      <c r="E168" s="31" t="inlineStr">
        <is>
          <t>largecap</t>
        </is>
      </c>
      <c r="F168" s="31" t="n">
        <v>32080.84</v>
      </c>
      <c r="G168" s="31" t="n">
        <v>1942</v>
      </c>
      <c r="H168" s="31" t="n">
        <v>1.48</v>
      </c>
      <c r="I168" s="31" t="n">
        <v>156057</v>
      </c>
      <c r="J168" s="31" t="inlineStr">
        <is>
          <t>539524</t>
        </is>
      </c>
    </row>
    <row r="169">
      <c r="A169" s="31" t="inlineStr">
        <is>
          <t>DEEPAKNTR</t>
        </is>
      </c>
      <c r="B169" s="31" t="inlineStr">
        <is>
          <t>Deepak Nitrite Limited</t>
        </is>
      </c>
      <c r="C169" s="31" t="inlineStr">
        <is>
          <t>chemicals</t>
        </is>
      </c>
      <c r="D169" s="31" t="inlineStr">
        <is>
          <t>chemicals</t>
        </is>
      </c>
      <c r="E169" s="31" t="inlineStr">
        <is>
          <t>largecap</t>
        </is>
      </c>
      <c r="F169" s="31" t="n">
        <v>23882.42</v>
      </c>
      <c r="G169" s="31" t="n">
        <v>1776.7</v>
      </c>
      <c r="H169" s="31" t="n">
        <v>1.47</v>
      </c>
      <c r="I169" s="31" t="n">
        <v>473527</v>
      </c>
      <c r="J169" s="31" t="inlineStr">
        <is>
          <t>506401</t>
        </is>
      </c>
    </row>
    <row r="170">
      <c r="A170" s="31" t="inlineStr">
        <is>
          <t>KPRMILL</t>
        </is>
      </c>
      <c r="B170" s="31" t="inlineStr">
        <is>
          <t>K.p.r. Mill Limited</t>
        </is>
      </c>
      <c r="C170" s="31" t="inlineStr">
        <is>
          <t>consumer discretionary</t>
        </is>
      </c>
      <c r="D170" s="31" t="inlineStr">
        <is>
          <t>textiles - products</t>
        </is>
      </c>
      <c r="E170" s="31" t="inlineStr">
        <is>
          <t>largecap</t>
        </is>
      </c>
      <c r="F170" s="31" t="n">
        <v>38283.17</v>
      </c>
      <c r="G170" s="31" t="n">
        <v>1136</v>
      </c>
      <c r="H170" s="31" t="n">
        <v>1.43</v>
      </c>
      <c r="I170" s="31" t="n">
        <v>116117</v>
      </c>
      <c r="J170" s="31" t="inlineStr">
        <is>
          <t>532889</t>
        </is>
      </c>
    </row>
    <row r="171">
      <c r="A171" s="31" t="inlineStr">
        <is>
          <t>DICIND</t>
        </is>
      </c>
      <c r="B171" s="31" t="inlineStr">
        <is>
          <t>Dic India Limited</t>
        </is>
      </c>
      <c r="C171" s="31" t="inlineStr">
        <is>
          <t>chemicals</t>
        </is>
      </c>
      <c r="D171" s="31" t="inlineStr">
        <is>
          <t>chemicals</t>
        </is>
      </c>
      <c r="E171" s="31" t="inlineStr">
        <is>
          <t>smallcap</t>
        </is>
      </c>
      <c r="F171" s="31" t="n">
        <v>545.78</v>
      </c>
      <c r="G171" s="31" t="n">
        <v>603</v>
      </c>
      <c r="H171" s="31" t="n">
        <v>1.41</v>
      </c>
      <c r="I171" s="31" t="n">
        <v>1946</v>
      </c>
      <c r="J171" s="31" t="inlineStr">
        <is>
          <t>500089</t>
        </is>
      </c>
    </row>
    <row r="172">
      <c r="A172" s="31" t="inlineStr">
        <is>
          <t>ALKYLAMINE</t>
        </is>
      </c>
      <c r="B172" s="31" t="inlineStr">
        <is>
          <t>Alkyl Amines Chemicals Limited</t>
        </is>
      </c>
      <c r="C172" s="31" t="inlineStr">
        <is>
          <t>chemicals</t>
        </is>
      </c>
      <c r="D172" s="31" t="inlineStr">
        <is>
          <t>chemicals</t>
        </is>
      </c>
      <c r="E172" s="31" t="inlineStr">
        <is>
          <t>midcap</t>
        </is>
      </c>
      <c r="F172" s="31" t="n">
        <v>10543.78</v>
      </c>
      <c r="G172" s="31" t="n">
        <v>2089.6</v>
      </c>
      <c r="H172" s="31" t="n">
        <v>1.36</v>
      </c>
      <c r="I172" s="31" t="n">
        <v>96834</v>
      </c>
      <c r="J172" s="31" t="inlineStr">
        <is>
          <t>506767</t>
        </is>
      </c>
    </row>
    <row r="173">
      <c r="A173" s="31" t="inlineStr">
        <is>
          <t>BANKINDIA</t>
        </is>
      </c>
      <c r="B173" s="31" t="inlineStr">
        <is>
          <t>Bank Of India Ltd</t>
        </is>
      </c>
      <c r="C173" s="31" t="inlineStr">
        <is>
          <t>bank</t>
        </is>
      </c>
      <c r="D173" s="31" t="inlineStr">
        <is>
          <t>banks - public sector</t>
        </is>
      </c>
      <c r="E173" s="31" t="inlineStr">
        <is>
          <t>largecap</t>
        </is>
      </c>
      <c r="F173" s="31" t="n">
        <v>65553.86</v>
      </c>
      <c r="G173" s="31" t="n">
        <v>145.95</v>
      </c>
      <c r="H173" s="31" t="n">
        <v>1.36</v>
      </c>
      <c r="I173" s="31" t="n">
        <v>10182362</v>
      </c>
      <c r="J173" s="31" t="inlineStr">
        <is>
          <t>532149</t>
        </is>
      </c>
    </row>
    <row r="174">
      <c r="A174" s="31" t="inlineStr">
        <is>
          <t>JAYNECOIND</t>
        </is>
      </c>
      <c r="B174" s="31" t="inlineStr">
        <is>
          <t>Jayaswal Neco Industries Limited</t>
        </is>
      </c>
      <c r="C174" s="31" t="inlineStr">
        <is>
          <t>metals &amp; mining</t>
        </is>
      </c>
      <c r="D174" s="31" t="inlineStr">
        <is>
          <t>steel - large</t>
        </is>
      </c>
      <c r="E174" s="31" t="inlineStr">
        <is>
          <t>midcap</t>
        </is>
      </c>
      <c r="F174" s="31" t="n">
        <v>9795.43</v>
      </c>
      <c r="G174" s="31" t="n">
        <v>102.23</v>
      </c>
      <c r="H174" s="31" t="n">
        <v>1.34</v>
      </c>
      <c r="I174" s="31" t="n">
        <v>6423368</v>
      </c>
      <c r="J174" s="31" t="inlineStr">
        <is>
          <t>522285</t>
        </is>
      </c>
    </row>
    <row r="175">
      <c r="A175" s="31" t="inlineStr">
        <is>
          <t>MSTCLTD</t>
        </is>
      </c>
      <c r="B175" s="31" t="inlineStr">
        <is>
          <t>MSTC Ltd</t>
        </is>
      </c>
      <c r="C175" s="31" t="inlineStr">
        <is>
          <t>i.t</t>
        </is>
      </c>
      <c r="D175" s="31" t="inlineStr">
        <is>
          <t>trading</t>
        </is>
      </c>
      <c r="E175" s="31" t="inlineStr">
        <is>
          <t>midcap</t>
        </is>
      </c>
      <c r="F175" s="31" t="n">
        <v>5124.77</v>
      </c>
      <c r="G175" s="31" t="n">
        <v>737.5</v>
      </c>
      <c r="H175" s="31" t="n">
        <v>1.31</v>
      </c>
      <c r="I175" s="31" t="n">
        <v>495029</v>
      </c>
      <c r="J175" s="31" t="inlineStr">
        <is>
          <t>542597</t>
        </is>
      </c>
    </row>
    <row r="176">
      <c r="A176" s="31" t="inlineStr">
        <is>
          <t>CRAFTSMAN</t>
        </is>
      </c>
      <c r="B176" s="31" t="inlineStr">
        <is>
          <t>Craftsman Automation Ltd</t>
        </is>
      </c>
      <c r="C176" s="31" t="inlineStr">
        <is>
          <t>auto</t>
        </is>
      </c>
      <c r="D176" s="31" t="inlineStr">
        <is>
          <t>auto ancillaries</t>
        </is>
      </c>
      <c r="E176" s="31" t="inlineStr">
        <is>
          <t>largecap</t>
        </is>
      </c>
      <c r="F176" s="31" t="n">
        <v>27135.22</v>
      </c>
      <c r="G176" s="31" t="n">
        <v>10509.5</v>
      </c>
      <c r="H176" s="31" t="n">
        <v>1.3</v>
      </c>
      <c r="I176" s="31" t="n">
        <v>23199</v>
      </c>
      <c r="J176" s="31" t="inlineStr">
        <is>
          <t>543276</t>
        </is>
      </c>
    </row>
    <row r="177">
      <c r="A177" s="31" t="inlineStr">
        <is>
          <t>KAMDHENU</t>
        </is>
      </c>
      <c r="B177" s="31" t="inlineStr">
        <is>
          <t>Kamdhenu Limited</t>
        </is>
      </c>
      <c r="C177" s="31" t="inlineStr">
        <is>
          <t>metals &amp; mining</t>
        </is>
      </c>
      <c r="D177" s="31" t="inlineStr">
        <is>
          <t>steel - medium / small</t>
        </is>
      </c>
      <c r="E177" s="31" t="inlineStr">
        <is>
          <t>smallcap</t>
        </is>
      </c>
      <c r="F177" s="31" t="n">
        <v>998.99</v>
      </c>
      <c r="G177" s="31" t="n">
        <v>35.9</v>
      </c>
      <c r="H177" s="31" t="n">
        <v>1.3</v>
      </c>
      <c r="I177" s="31" t="n">
        <v>439473</v>
      </c>
      <c r="J177" s="31" t="inlineStr">
        <is>
          <t>532741</t>
        </is>
      </c>
    </row>
    <row r="178">
      <c r="A178" s="31" t="inlineStr">
        <is>
          <t>AETHER</t>
        </is>
      </c>
      <c r="B178" s="31" t="inlineStr">
        <is>
          <t>Aether Industries Ltd</t>
        </is>
      </c>
      <c r="C178" s="31" t="inlineStr">
        <is>
          <t>chemicals</t>
        </is>
      </c>
      <c r="D178" s="31" t="inlineStr">
        <is>
          <t>chemicals</t>
        </is>
      </c>
      <c r="E178" s="31" t="inlineStr">
        <is>
          <t>largecap</t>
        </is>
      </c>
      <c r="F178" s="31" t="n">
        <v>21683.91</v>
      </c>
      <c r="G178" s="31" t="n">
        <v>1655</v>
      </c>
      <c r="H178" s="31" t="n">
        <v>1.29</v>
      </c>
      <c r="I178" s="31" t="n">
        <v>172282</v>
      </c>
      <c r="J178" s="31" t="inlineStr">
        <is>
          <t>543534</t>
        </is>
      </c>
    </row>
    <row r="179">
      <c r="A179" s="31" t="inlineStr">
        <is>
          <t>IRISDOREME</t>
        </is>
      </c>
      <c r="B179" s="31" t="inlineStr">
        <is>
          <t>Iris Clothings Ltd</t>
        </is>
      </c>
      <c r="C179" s="31" t="inlineStr">
        <is>
          <t>consumer discretionary</t>
        </is>
      </c>
      <c r="D179" s="31" t="inlineStr">
        <is>
          <t>textiles - products</t>
        </is>
      </c>
      <c r="E179" s="31" t="inlineStr">
        <is>
          <t>smallcap</t>
        </is>
      </c>
      <c r="F179" s="31" t="n">
        <v>1082.8</v>
      </c>
      <c r="G179" s="31" t="n">
        <v>57.61</v>
      </c>
      <c r="H179" s="31" t="n">
        <v>1.27</v>
      </c>
      <c r="I179" s="31" t="n">
        <v>1239876</v>
      </c>
      <c r="J179" s="31" t="inlineStr">
        <is>
          <t>535123</t>
        </is>
      </c>
    </row>
    <row r="180">
      <c r="A180" s="31" t="inlineStr">
        <is>
          <t>INDIANB</t>
        </is>
      </c>
      <c r="B180" s="31" t="inlineStr">
        <is>
          <t>Indian Bank Ltd</t>
        </is>
      </c>
      <c r="C180" s="31" t="inlineStr">
        <is>
          <t>bank</t>
        </is>
      </c>
      <c r="D180" s="31" t="inlineStr">
        <is>
          <t>banks - public sector</t>
        </is>
      </c>
      <c r="E180" s="31" t="inlineStr">
        <is>
          <t>largecap</t>
        </is>
      </c>
      <c r="F180" s="31" t="n">
        <v>118263.44</v>
      </c>
      <c r="G180" s="31" t="n">
        <v>889</v>
      </c>
      <c r="H180" s="31" t="n">
        <v>1.25</v>
      </c>
      <c r="I180" s="31" t="n">
        <v>959313</v>
      </c>
      <c r="J180" s="31" t="inlineStr">
        <is>
          <t>532814</t>
        </is>
      </c>
    </row>
    <row r="181">
      <c r="A181" s="31" t="inlineStr">
        <is>
          <t>BOSCH-HCIL</t>
        </is>
      </c>
      <c r="B181" s="31" t="inlineStr">
        <is>
          <t>Bosch Home Comfort India Ltd</t>
        </is>
      </c>
      <c r="C181" s="31" t="inlineStr">
        <is>
          <t>consumer discretionary</t>
        </is>
      </c>
      <c r="D181" s="31" t="inlineStr">
        <is>
          <t>air-conditioners</t>
        </is>
      </c>
      <c r="E181" s="31" t="inlineStr">
        <is>
          <t>smallcap</t>
        </is>
      </c>
      <c r="F181" s="31" t="n">
        <v>4526.74</v>
      </c>
      <c r="G181" s="31" t="n">
        <v>1685.5</v>
      </c>
      <c r="H181" s="31" t="n">
        <v>1.24</v>
      </c>
      <c r="I181" s="31" t="n">
        <v>46128</v>
      </c>
      <c r="J181" s="31" t="inlineStr">
        <is>
          <t>523398</t>
        </is>
      </c>
    </row>
    <row r="182">
      <c r="A182" s="31" t="inlineStr">
        <is>
          <t>VENKEYS</t>
        </is>
      </c>
      <c r="B182" s="31" t="inlineStr">
        <is>
          <t>Venky's (india) Limited</t>
        </is>
      </c>
      <c r="C182" s="31" t="inlineStr">
        <is>
          <t>fmcg</t>
        </is>
      </c>
      <c r="D182" s="31" t="inlineStr">
        <is>
          <t>miscellaneous</t>
        </is>
      </c>
      <c r="E182" s="31" t="inlineStr">
        <is>
          <t>smallcap</t>
        </is>
      </c>
      <c r="F182" s="31" t="n">
        <v>2222.14</v>
      </c>
      <c r="G182" s="31" t="n">
        <v>1597</v>
      </c>
      <c r="H182" s="31" t="n">
        <v>1.24</v>
      </c>
      <c r="I182" s="31" t="n">
        <v>80177</v>
      </c>
      <c r="J182" s="31" t="inlineStr">
        <is>
          <t>523261</t>
        </is>
      </c>
    </row>
    <row r="183">
      <c r="A183" s="31" t="inlineStr">
        <is>
          <t>IPCALAB</t>
        </is>
      </c>
      <c r="B183" s="31" t="inlineStr">
        <is>
          <t>Ipca Laboratories Limited</t>
        </is>
      </c>
      <c r="C183" s="31" t="inlineStr">
        <is>
          <t>healthcare</t>
        </is>
      </c>
      <c r="D183" s="31" t="inlineStr">
        <is>
          <t>pharmaceuticals - indian - bulk drugs &amp; formln</t>
        </is>
      </c>
      <c r="E183" s="31" t="inlineStr">
        <is>
          <t>largecap</t>
        </is>
      </c>
      <c r="F183" s="31" t="n">
        <v>48926.86</v>
      </c>
      <c r="G183" s="31" t="n">
        <v>1952.4</v>
      </c>
      <c r="H183" s="31" t="n">
        <v>1.24</v>
      </c>
      <c r="I183" s="31" t="n">
        <v>500052</v>
      </c>
      <c r="J183" s="31" t="inlineStr">
        <is>
          <t>524494</t>
        </is>
      </c>
    </row>
    <row r="184">
      <c r="A184" s="31" t="inlineStr">
        <is>
          <t>ALIVUS</t>
        </is>
      </c>
      <c r="B184" s="31" t="inlineStr">
        <is>
          <t>Alivus Life Sciences Ltd</t>
        </is>
      </c>
      <c r="C184" s="31" t="inlineStr">
        <is>
          <t>healthcare</t>
        </is>
      </c>
      <c r="D184" s="31" t="inlineStr">
        <is>
          <t>pharmaceuticals - indian - bulk drugs &amp; formln</t>
        </is>
      </c>
      <c r="E184" s="31" t="inlineStr">
        <is>
          <t>midcap</t>
        </is>
      </c>
      <c r="F184" s="31" t="n">
        <v>16549.77</v>
      </c>
      <c r="G184" s="31" t="n">
        <v>1365</v>
      </c>
      <c r="H184" s="31" t="n">
        <v>1.23</v>
      </c>
      <c r="I184" s="31" t="n">
        <v>32624</v>
      </c>
      <c r="J184" s="31" t="inlineStr">
        <is>
          <t>543322</t>
        </is>
      </c>
    </row>
    <row r="185">
      <c r="A185" s="31" t="inlineStr">
        <is>
          <t>LTFOODS</t>
        </is>
      </c>
      <c r="B185" s="31" t="inlineStr">
        <is>
          <t>L T Foods Ltd</t>
        </is>
      </c>
      <c r="C185" s="31" t="inlineStr">
        <is>
          <t>fmcg</t>
        </is>
      </c>
      <c r="D185" s="31" t="inlineStr">
        <is>
          <t>food - processing - indian</t>
        </is>
      </c>
      <c r="E185" s="31" t="inlineStr">
        <is>
          <t>midcap</t>
        </is>
      </c>
      <c r="F185" s="31" t="n">
        <v>15480.54</v>
      </c>
      <c r="G185" s="31" t="n">
        <v>451.3</v>
      </c>
      <c r="H185" s="31" t="n">
        <v>1.23</v>
      </c>
      <c r="I185" s="31" t="n">
        <v>1558425</v>
      </c>
      <c r="J185" s="31" t="inlineStr">
        <is>
          <t>532783</t>
        </is>
      </c>
    </row>
    <row r="186">
      <c r="A186" s="31" t="inlineStr">
        <is>
          <t>SANSERA</t>
        </is>
      </c>
      <c r="B186" s="31" t="inlineStr">
        <is>
          <t>Sansera Engineering Ltd</t>
        </is>
      </c>
      <c r="C186" s="31" t="inlineStr">
        <is>
          <t>auto</t>
        </is>
      </c>
      <c r="D186" s="31" t="inlineStr">
        <is>
          <t>auto ancillaries</t>
        </is>
      </c>
      <c r="E186" s="31" t="inlineStr">
        <is>
          <t>largecap</t>
        </is>
      </c>
      <c r="F186" s="31" t="n">
        <v>23654.07</v>
      </c>
      <c r="G186" s="31" t="n">
        <v>3836.6</v>
      </c>
      <c r="H186" s="31" t="n">
        <v>1.22</v>
      </c>
      <c r="I186" s="31" t="n">
        <v>171190</v>
      </c>
      <c r="J186" s="31" t="inlineStr">
        <is>
          <t>543358</t>
        </is>
      </c>
    </row>
    <row r="187">
      <c r="A187" s="31" t="inlineStr">
        <is>
          <t>ELGIEQUIP</t>
        </is>
      </c>
      <c r="B187" s="31" t="inlineStr">
        <is>
          <t>Elgi Equipments Limited</t>
        </is>
      </c>
      <c r="C187" s="31" t="inlineStr">
        <is>
          <t>industrials</t>
        </is>
      </c>
      <c r="D187" s="31" t="inlineStr">
        <is>
          <t>compressors / drilling equipment</t>
        </is>
      </c>
      <c r="E187" s="31" t="inlineStr">
        <is>
          <t>midcap</t>
        </is>
      </c>
      <c r="F187" s="31" t="n">
        <v>19339.37</v>
      </c>
      <c r="G187" s="31" t="n">
        <v>617.55</v>
      </c>
      <c r="H187" s="31" t="n">
        <v>1.2</v>
      </c>
      <c r="I187" s="31" t="n">
        <v>363066</v>
      </c>
      <c r="J187" s="31" t="inlineStr">
        <is>
          <t>522074</t>
        </is>
      </c>
    </row>
    <row r="188">
      <c r="A188" s="31" t="inlineStr">
        <is>
          <t>STEELCAS</t>
        </is>
      </c>
      <c r="B188" s="31" t="inlineStr">
        <is>
          <t>Steelcast Ltd</t>
        </is>
      </c>
      <c r="C188" s="31" t="inlineStr">
        <is>
          <t>industrials</t>
        </is>
      </c>
      <c r="D188" s="31" t="inlineStr">
        <is>
          <t>castings &amp; forgings</t>
        </is>
      </c>
      <c r="E188" s="31" t="inlineStr">
        <is>
          <t>smallcap</t>
        </is>
      </c>
      <c r="F188" s="31" t="n">
        <v>3430.17</v>
      </c>
      <c r="G188" s="31" t="n">
        <v>343</v>
      </c>
      <c r="H188" s="31" t="n">
        <v>1.19</v>
      </c>
      <c r="I188" s="31" t="n">
        <v>82313</v>
      </c>
      <c r="J188" s="31" t="inlineStr">
        <is>
          <t>513517</t>
        </is>
      </c>
    </row>
    <row r="189">
      <c r="A189" s="31" t="inlineStr">
        <is>
          <t>GHCLTEXTIL</t>
        </is>
      </c>
      <c r="B189" s="31" t="inlineStr">
        <is>
          <t>GHCL Textiles Ltd</t>
        </is>
      </c>
      <c r="C189" s="31" t="inlineStr">
        <is>
          <t>textiles</t>
        </is>
      </c>
      <c r="D189" s="31" t="inlineStr">
        <is>
          <t>textiles - spinning - synthetic / blended</t>
        </is>
      </c>
      <c r="E189" s="31" t="inlineStr">
        <is>
          <t>smallcap</t>
        </is>
      </c>
      <c r="F189" s="31" t="n">
        <v>1200.56</v>
      </c>
      <c r="G189" s="31" t="n">
        <v>127.1</v>
      </c>
      <c r="H189" s="31" t="n">
        <v>1.19</v>
      </c>
      <c r="I189" s="31" t="n">
        <v>499156</v>
      </c>
      <c r="J189" s="31" t="inlineStr">
        <is>
          <t>543918</t>
        </is>
      </c>
    </row>
    <row r="190">
      <c r="A190" s="31" t="inlineStr">
        <is>
          <t>INDORAMA</t>
        </is>
      </c>
      <c r="B190" s="31" t="inlineStr">
        <is>
          <t>Indo Rama Synthetics (india) Limited</t>
        </is>
      </c>
      <c r="C190" s="31" t="inlineStr">
        <is>
          <t>textiles</t>
        </is>
      </c>
      <c r="D190" s="31" t="inlineStr">
        <is>
          <t>textiles - manmade</t>
        </is>
      </c>
      <c r="E190" s="31" t="inlineStr">
        <is>
          <t>smallcap</t>
        </is>
      </c>
      <c r="F190" s="31" t="n">
        <v>1580.52</v>
      </c>
      <c r="G190" s="31" t="n">
        <v>61.22</v>
      </c>
      <c r="H190" s="31" t="n">
        <v>1.14</v>
      </c>
      <c r="I190" s="31" t="n">
        <v>195893</v>
      </c>
      <c r="J190" s="31" t="inlineStr">
        <is>
          <t>500207</t>
        </is>
      </c>
    </row>
    <row r="191">
      <c r="A191" s="31" t="inlineStr">
        <is>
          <t>KRISHANA</t>
        </is>
      </c>
      <c r="B191" s="31" t="inlineStr">
        <is>
          <t>Krishana Phoschem Ltd</t>
        </is>
      </c>
      <c r="C191" s="31" t="inlineStr">
        <is>
          <t>chemicals</t>
        </is>
      </c>
      <c r="D191" s="31" t="inlineStr">
        <is>
          <t>fertilizers</t>
        </is>
      </c>
      <c r="E191" s="31" t="inlineStr">
        <is>
          <t>smallcap</t>
        </is>
      </c>
      <c r="F191" s="31" t="n">
        <v>1247.19</v>
      </c>
      <c r="G191" s="31" t="n">
        <v>204</v>
      </c>
      <c r="H191" s="31" t="n">
        <v>1.13</v>
      </c>
      <c r="I191" s="31" t="n">
        <v>1823822</v>
      </c>
      <c r="J191" s="31" t="inlineStr">
        <is>
          <t>538405</t>
        </is>
      </c>
    </row>
    <row r="192">
      <c r="A192" s="31" t="inlineStr">
        <is>
          <t>ROLEXRINGS</t>
        </is>
      </c>
      <c r="B192" s="31" t="inlineStr">
        <is>
          <t>Rolex Rings Ltd</t>
        </is>
      </c>
      <c r="C192" s="31" t="inlineStr">
        <is>
          <t>auto</t>
        </is>
      </c>
      <c r="D192" s="31" t="inlineStr">
        <is>
          <t>auto ancillaries</t>
        </is>
      </c>
      <c r="E192" s="31" t="inlineStr">
        <is>
          <t>smallcap</t>
        </is>
      </c>
      <c r="F192" s="31" t="n">
        <v>4967.9</v>
      </c>
      <c r="G192" s="31" t="n">
        <v>184.45</v>
      </c>
      <c r="H192" s="31" t="n">
        <v>1.11</v>
      </c>
      <c r="I192" s="31" t="n">
        <v>2384143</v>
      </c>
      <c r="J192" s="31" t="inlineStr">
        <is>
          <t>543325</t>
        </is>
      </c>
    </row>
    <row r="193">
      <c r="A193" s="31" t="inlineStr">
        <is>
          <t>LAURUSLABS</t>
        </is>
      </c>
      <c r="B193" s="31" t="inlineStr">
        <is>
          <t>Laurus Labs Limited</t>
        </is>
      </c>
      <c r="C193" s="31" t="inlineStr">
        <is>
          <t>healthcare</t>
        </is>
      </c>
      <c r="D193" s="31" t="inlineStr">
        <is>
          <t>pharmaceuticals - indian - bulk drugs &amp; formln</t>
        </is>
      </c>
      <c r="E193" s="31" t="inlineStr">
        <is>
          <t>largecap</t>
        </is>
      </c>
      <c r="F193" s="31" t="n">
        <v>100821.38</v>
      </c>
      <c r="G193" s="31" t="n">
        <v>1887</v>
      </c>
      <c r="H193" s="31" t="n">
        <v>1.11</v>
      </c>
      <c r="I193" s="31" t="n">
        <v>3314356</v>
      </c>
      <c r="J193" s="31" t="inlineStr">
        <is>
          <t>540222</t>
        </is>
      </c>
    </row>
    <row r="194">
      <c r="A194" s="31" t="inlineStr">
        <is>
          <t>SYRMA</t>
        </is>
      </c>
      <c r="B194" s="31" t="inlineStr">
        <is>
          <t>Syrma SGS Technology Ltd</t>
        </is>
      </c>
      <c r="C194" s="31" t="inlineStr">
        <is>
          <t>consumer discretionary</t>
        </is>
      </c>
      <c r="D194" s="31" t="inlineStr">
        <is>
          <t>electronics - components</t>
        </is>
      </c>
      <c r="E194" s="31" t="inlineStr">
        <is>
          <t>largecap</t>
        </is>
      </c>
      <c r="F194" s="31" t="n">
        <v>28116.61</v>
      </c>
      <c r="G194" s="31" t="n">
        <v>1474.1</v>
      </c>
      <c r="H194" s="31" t="n">
        <v>1.1</v>
      </c>
      <c r="I194" s="31" t="n">
        <v>818114</v>
      </c>
      <c r="J194" s="31" t="inlineStr">
        <is>
          <t>543573</t>
        </is>
      </c>
    </row>
    <row r="195">
      <c r="A195" s="31" t="inlineStr">
        <is>
          <t>INDGN</t>
        </is>
      </c>
      <c r="B195" s="31" t="inlineStr">
        <is>
          <t>Indegene Ltd</t>
        </is>
      </c>
      <c r="C195" s="31" t="inlineStr">
        <is>
          <t>healthcare</t>
        </is>
      </c>
      <c r="D195" s="31" t="inlineStr">
        <is>
          <t>miscellaneous</t>
        </is>
      </c>
      <c r="E195" s="31" t="inlineStr">
        <is>
          <t>midcap</t>
        </is>
      </c>
      <c r="F195" s="31" t="n">
        <v>13578.98</v>
      </c>
      <c r="G195" s="31" t="n">
        <v>569.7</v>
      </c>
      <c r="H195" s="31" t="n">
        <v>1.09</v>
      </c>
      <c r="I195" s="31" t="n">
        <v>431178</v>
      </c>
      <c r="J195" s="31" t="inlineStr">
        <is>
          <t>544172</t>
        </is>
      </c>
    </row>
    <row r="196">
      <c r="A196" s="31" t="inlineStr">
        <is>
          <t>BIRLACABLE</t>
        </is>
      </c>
      <c r="B196" s="31" t="inlineStr">
        <is>
          <t>Birla Cable Limited</t>
        </is>
      </c>
      <c r="C196" s="31" t="inlineStr">
        <is>
          <t>industrials</t>
        </is>
      </c>
      <c r="D196" s="31" t="inlineStr">
        <is>
          <t>cables - telephone</t>
        </is>
      </c>
      <c r="E196" s="31" t="inlineStr">
        <is>
          <t>smallcap</t>
        </is>
      </c>
      <c r="F196" s="31" t="n">
        <v>798.33</v>
      </c>
      <c r="G196" s="31" t="n">
        <v>269</v>
      </c>
      <c r="H196" s="31" t="n">
        <v>1.09</v>
      </c>
      <c r="I196" s="31" t="n">
        <v>70876</v>
      </c>
      <c r="J196" s="31" t="inlineStr">
        <is>
          <t>500060</t>
        </is>
      </c>
    </row>
    <row r="197">
      <c r="A197" s="31" t="inlineStr">
        <is>
          <t>KFINTECH</t>
        </is>
      </c>
      <c r="B197" s="31" t="inlineStr">
        <is>
          <t>KFin Technologies Ltd</t>
        </is>
      </c>
      <c r="C197" s="31" t="inlineStr">
        <is>
          <t>financials</t>
        </is>
      </c>
      <c r="D197" s="31" t="inlineStr">
        <is>
          <t>miscellaneous</t>
        </is>
      </c>
      <c r="E197" s="31" t="inlineStr">
        <is>
          <t>midcap</t>
        </is>
      </c>
      <c r="F197" s="31" t="n">
        <v>16695.15</v>
      </c>
      <c r="G197" s="31" t="n">
        <v>976.5</v>
      </c>
      <c r="H197" s="31" t="n">
        <v>1.09</v>
      </c>
      <c r="I197" s="31" t="n">
        <v>1117449</v>
      </c>
      <c r="J197" s="31" t="inlineStr">
        <is>
          <t>543720</t>
        </is>
      </c>
    </row>
    <row r="198">
      <c r="A198" s="31" t="inlineStr">
        <is>
          <t>TVSMOTOR</t>
        </is>
      </c>
      <c r="B198" s="31" t="inlineStr">
        <is>
          <t>Tvs Motor Company Limited</t>
        </is>
      </c>
      <c r="C198" s="31" t="inlineStr">
        <is>
          <t>auto</t>
        </is>
      </c>
      <c r="D198" s="31" t="inlineStr">
        <is>
          <t>automobiles - motorcycles / mopeds</t>
        </is>
      </c>
      <c r="E198" s="31" t="inlineStr">
        <is>
          <t>largecap</t>
        </is>
      </c>
      <c r="F198" s="31" t="n">
        <v>209988.5</v>
      </c>
      <c r="G198" s="31" t="n">
        <v>4464</v>
      </c>
      <c r="H198" s="31" t="n">
        <v>1</v>
      </c>
      <c r="I198" s="31" t="n">
        <v>891274</v>
      </c>
      <c r="J198" s="31" t="inlineStr">
        <is>
          <t>532343</t>
        </is>
      </c>
    </row>
    <row r="199">
      <c r="A199" s="31" t="inlineStr">
        <is>
          <t>HNDFDS</t>
        </is>
      </c>
      <c r="B199" s="31" t="inlineStr">
        <is>
          <t>Hindustan Foods Ltd</t>
        </is>
      </c>
      <c r="C199" s="31" t="inlineStr">
        <is>
          <t>fmcg</t>
        </is>
      </c>
      <c r="D199" s="31" t="inlineStr">
        <is>
          <t>diversified - large</t>
        </is>
      </c>
      <c r="E199" s="31" t="inlineStr">
        <is>
          <t>midcap</t>
        </is>
      </c>
      <c r="F199" s="31" t="n">
        <v>7618.1</v>
      </c>
      <c r="G199" s="31" t="n">
        <v>635</v>
      </c>
      <c r="H199" s="31" t="n">
        <v>0.99</v>
      </c>
      <c r="I199" s="31" t="n">
        <v>94770</v>
      </c>
      <c r="J199" s="31" t="inlineStr">
        <is>
          <t>519126</t>
        </is>
      </c>
    </row>
    <row r="200">
      <c r="A200" s="31" t="inlineStr">
        <is>
          <t>SENORES</t>
        </is>
      </c>
      <c r="B200" s="31" t="inlineStr">
        <is>
          <t>Senores Pharmaceuticals Ltd</t>
        </is>
      </c>
      <c r="C200" s="31" t="inlineStr">
        <is>
          <t>healthcare</t>
        </is>
      </c>
      <c r="D200" s="31" t="inlineStr">
        <is>
          <t>pharmaceuticals - indian - formulations</t>
        </is>
      </c>
      <c r="E200" s="31" t="inlineStr">
        <is>
          <t>midcap</t>
        </is>
      </c>
      <c r="F200" s="31" t="n">
        <v>6817.77</v>
      </c>
      <c r="G200" s="31" t="n">
        <v>1494.7</v>
      </c>
      <c r="H200" s="31" t="n">
        <v>0.97</v>
      </c>
      <c r="I200" s="31" t="n">
        <v>159867</v>
      </c>
      <c r="J200" s="31" t="inlineStr">
        <is>
          <t>544319</t>
        </is>
      </c>
    </row>
    <row r="201">
      <c r="A201" s="31" t="inlineStr">
        <is>
          <t>AVADHSUGAR</t>
        </is>
      </c>
      <c r="B201" s="31" t="inlineStr">
        <is>
          <t>Avadh Sugar &amp; Energy</t>
        </is>
      </c>
      <c r="C201" s="31" t="inlineStr">
        <is>
          <t>fmcg</t>
        </is>
      </c>
      <c r="D201" s="31" t="inlineStr">
        <is>
          <t>sugar</t>
        </is>
      </c>
      <c r="E201" s="31" t="inlineStr">
        <is>
          <t>smallcap</t>
        </is>
      </c>
      <c r="F201" s="31" t="n">
        <v>1613.78</v>
      </c>
      <c r="G201" s="31" t="n">
        <v>813.7</v>
      </c>
      <c r="H201" s="31" t="n">
        <v>0.9399999999999999</v>
      </c>
      <c r="I201" s="31" t="n">
        <v>260774</v>
      </c>
      <c r="J201" s="31" t="inlineStr">
        <is>
          <t>540649</t>
        </is>
      </c>
    </row>
    <row r="202">
      <c r="A202" s="31" t="inlineStr">
        <is>
          <t>BALRAMCHIN</t>
        </is>
      </c>
      <c r="B202" s="31" t="inlineStr">
        <is>
          <t>Balrampur Chini Mills Limited</t>
        </is>
      </c>
      <c r="C202" s="31" t="inlineStr">
        <is>
          <t>fmcg</t>
        </is>
      </c>
      <c r="D202" s="31" t="inlineStr">
        <is>
          <t>sugar</t>
        </is>
      </c>
      <c r="E202" s="31" t="inlineStr">
        <is>
          <t>midcap</t>
        </is>
      </c>
      <c r="F202" s="31" t="n">
        <v>14114.76</v>
      </c>
      <c r="G202" s="31" t="n">
        <v>674.35</v>
      </c>
      <c r="H202" s="31" t="n">
        <v>0.9399999999999999</v>
      </c>
      <c r="I202" s="31" t="n">
        <v>4688513</v>
      </c>
      <c r="J202" s="31" t="inlineStr">
        <is>
          <t>500038</t>
        </is>
      </c>
    </row>
    <row r="203">
      <c r="A203" s="31" t="inlineStr">
        <is>
          <t>GEOJITFSL</t>
        </is>
      </c>
      <c r="B203" s="31" t="inlineStr">
        <is>
          <t>Geojit Financial Services Ltd</t>
        </is>
      </c>
      <c r="C203" s="31" t="inlineStr">
        <is>
          <t>financials</t>
        </is>
      </c>
      <c r="D203" s="31" t="inlineStr">
        <is>
          <t>finance &amp; investments</t>
        </is>
      </c>
      <c r="E203" s="31" t="inlineStr">
        <is>
          <t>smallcap</t>
        </is>
      </c>
      <c r="F203" s="31" t="n">
        <v>2250.56</v>
      </c>
      <c r="G203" s="31" t="n">
        <v>81.39</v>
      </c>
      <c r="H203" s="31" t="n">
        <v>0.9399999999999999</v>
      </c>
      <c r="I203" s="31" t="n">
        <v>211740</v>
      </c>
      <c r="J203" s="31" t="inlineStr">
        <is>
          <t>532285</t>
        </is>
      </c>
    </row>
    <row r="204">
      <c r="A204" s="31" t="inlineStr">
        <is>
          <t>KTKBANK</t>
        </is>
      </c>
      <c r="B204" s="31" t="inlineStr">
        <is>
          <t>The Karnataka Bank Limited</t>
        </is>
      </c>
      <c r="C204" s="31" t="inlineStr">
        <is>
          <t>bank</t>
        </is>
      </c>
      <c r="D204" s="31" t="inlineStr">
        <is>
          <t>banks - private sector</t>
        </is>
      </c>
      <c r="E204" s="31" t="inlineStr">
        <is>
          <t>midcap</t>
        </is>
      </c>
      <c r="F204" s="31" t="n">
        <v>12654.68</v>
      </c>
      <c r="G204" s="31" t="n">
        <v>337.7</v>
      </c>
      <c r="H204" s="31" t="n">
        <v>0.93</v>
      </c>
      <c r="I204" s="31" t="n">
        <v>4342407</v>
      </c>
      <c r="J204" s="31" t="inlineStr">
        <is>
          <t>532652</t>
        </is>
      </c>
    </row>
    <row r="205">
      <c r="A205" s="31" t="inlineStr">
        <is>
          <t>SREEL</t>
        </is>
      </c>
      <c r="B205" s="31" t="inlineStr">
        <is>
          <t>Sreeleathers Limited</t>
        </is>
      </c>
      <c r="C205" s="31" t="inlineStr">
        <is>
          <t>consumer discretionary</t>
        </is>
      </c>
      <c r="D205" s="31" t="inlineStr">
        <is>
          <t>trading</t>
        </is>
      </c>
      <c r="E205" s="31" t="inlineStr">
        <is>
          <t>smallcap</t>
        </is>
      </c>
      <c r="F205" s="31" t="n">
        <v>596.5</v>
      </c>
      <c r="G205" s="31" t="n">
        <v>260</v>
      </c>
      <c r="H205" s="31" t="n">
        <v>0.93</v>
      </c>
      <c r="I205" s="31" t="n">
        <v>22333</v>
      </c>
      <c r="J205" s="31" t="inlineStr">
        <is>
          <t>535601</t>
        </is>
      </c>
    </row>
    <row r="206">
      <c r="A206" s="31" t="inlineStr">
        <is>
          <t>ENTERO</t>
        </is>
      </c>
      <c r="B206" s="31" t="inlineStr">
        <is>
          <t>Entero Healthcare Solutions Ltd</t>
        </is>
      </c>
      <c r="C206" s="31" t="inlineStr">
        <is>
          <t>healthcare</t>
        </is>
      </c>
      <c r="D206" s="31" t="inlineStr">
        <is>
          <t>trading</t>
        </is>
      </c>
      <c r="E206" s="31" t="inlineStr">
        <is>
          <t>midcap</t>
        </is>
      </c>
      <c r="F206" s="31" t="n">
        <v>7107.32</v>
      </c>
      <c r="G206" s="31" t="n">
        <v>1648</v>
      </c>
      <c r="H206" s="31" t="n">
        <v>0.92</v>
      </c>
      <c r="I206" s="31" t="n">
        <v>412213</v>
      </c>
      <c r="J206" s="31" t="inlineStr">
        <is>
          <t>544122</t>
        </is>
      </c>
    </row>
    <row r="207">
      <c r="A207" s="31" t="inlineStr">
        <is>
          <t>APLAPOLLO</t>
        </is>
      </c>
      <c r="B207" s="31" t="inlineStr">
        <is>
          <t>Apl Apollo Tubes Limited</t>
        </is>
      </c>
      <c r="C207" s="31" t="inlineStr">
        <is>
          <t>industrials</t>
        </is>
      </c>
      <c r="D207" s="31" t="inlineStr">
        <is>
          <t>steel - large</t>
        </is>
      </c>
      <c r="E207" s="31" t="inlineStr">
        <is>
          <t>largecap</t>
        </is>
      </c>
      <c r="F207" s="31" t="n">
        <v>59399.46</v>
      </c>
      <c r="G207" s="31" t="n">
        <v>2159</v>
      </c>
      <c r="H207" s="31" t="n">
        <v>0.92</v>
      </c>
      <c r="I207" s="31" t="n">
        <v>588957</v>
      </c>
      <c r="J207" s="31" t="inlineStr">
        <is>
          <t>533758</t>
        </is>
      </c>
    </row>
    <row r="208">
      <c r="A208" s="31" t="inlineStr">
        <is>
          <t>CRISIL</t>
        </is>
      </c>
      <c r="B208" s="31" t="inlineStr">
        <is>
          <t>Crisil Limited</t>
        </is>
      </c>
      <c r="C208" s="31" t="inlineStr">
        <is>
          <t>financials</t>
        </is>
      </c>
      <c r="D208" s="31" t="inlineStr">
        <is>
          <t>miscellaneous</t>
        </is>
      </c>
      <c r="E208" s="31" t="inlineStr">
        <is>
          <t>largecap</t>
        </is>
      </c>
      <c r="F208" s="31" t="n">
        <v>32762.25</v>
      </c>
      <c r="G208" s="31" t="n">
        <v>4519</v>
      </c>
      <c r="H208" s="31" t="n">
        <v>0.87</v>
      </c>
      <c r="I208" s="31" t="n">
        <v>24096</v>
      </c>
      <c r="J208" s="31" t="inlineStr">
        <is>
          <t>500092</t>
        </is>
      </c>
    </row>
    <row r="209">
      <c r="A209" s="31" t="inlineStr">
        <is>
          <t>MUKKA</t>
        </is>
      </c>
      <c r="B209" s="31" t="inlineStr">
        <is>
          <t>Mukka Proteins Ltd</t>
        </is>
      </c>
      <c r="C209" s="31" t="inlineStr">
        <is>
          <t>fmcg</t>
        </is>
      </c>
      <c r="D209" s="31" t="inlineStr">
        <is>
          <t>food - processing - indian</t>
        </is>
      </c>
      <c r="E209" s="31" t="inlineStr">
        <is>
          <t>smallcap</t>
        </is>
      </c>
      <c r="F209" s="31" t="n">
        <v>773.4</v>
      </c>
      <c r="G209" s="31" t="n">
        <v>26</v>
      </c>
      <c r="H209" s="31" t="n">
        <v>0.85</v>
      </c>
      <c r="I209" s="31" t="n">
        <v>396325</v>
      </c>
      <c r="J209" s="31" t="inlineStr">
        <is>
          <t>544135</t>
        </is>
      </c>
    </row>
    <row r="210">
      <c r="A210" s="31" t="inlineStr">
        <is>
          <t>LTF</t>
        </is>
      </c>
      <c r="B210" s="31" t="inlineStr">
        <is>
          <t>L&amp;T Finance Ltd</t>
        </is>
      </c>
      <c r="C210" s="31" t="inlineStr">
        <is>
          <t>financials</t>
        </is>
      </c>
      <c r="D210" s="31" t="inlineStr">
        <is>
          <t>finance &amp; investments</t>
        </is>
      </c>
      <c r="E210" s="31" t="inlineStr">
        <is>
          <t>largecap</t>
        </is>
      </c>
      <c r="F210" s="31" t="n">
        <v>80050.92</v>
      </c>
      <c r="G210" s="31" t="n">
        <v>322.2</v>
      </c>
      <c r="H210" s="31" t="n">
        <v>0.85</v>
      </c>
      <c r="I210" s="31" t="n">
        <v>3586070</v>
      </c>
      <c r="J210" s="31" t="inlineStr">
        <is>
          <t>533519</t>
        </is>
      </c>
    </row>
    <row r="211">
      <c r="A211" s="31" t="inlineStr">
        <is>
          <t>SHANTIGOLD</t>
        </is>
      </c>
      <c r="B211" s="31" t="inlineStr">
        <is>
          <t>Shanti Gold International Ltd</t>
        </is>
      </c>
      <c r="C211" s="31" t="inlineStr">
        <is>
          <t>consumer discretionary</t>
        </is>
      </c>
      <c r="D211" s="31" t="inlineStr">
        <is>
          <t>diamond cutting / jewellery</t>
        </is>
      </c>
      <c r="E211" s="31" t="inlineStr">
        <is>
          <t>smallcap</t>
        </is>
      </c>
      <c r="F211" s="31" t="n">
        <v>1903.05</v>
      </c>
      <c r="G211" s="31" t="n">
        <v>266.07</v>
      </c>
      <c r="H211" s="31" t="n">
        <v>0.8</v>
      </c>
      <c r="I211" s="31" t="n">
        <v>2213123</v>
      </c>
      <c r="J211" s="31" t="inlineStr">
        <is>
          <t>544459</t>
        </is>
      </c>
    </row>
    <row r="212">
      <c r="A212" s="31" t="inlineStr">
        <is>
          <t>CUPID</t>
        </is>
      </c>
      <c r="B212" s="31" t="inlineStr">
        <is>
          <t>Cupid Limited</t>
        </is>
      </c>
      <c r="C212" s="31" t="inlineStr">
        <is>
          <t>fmcg</t>
        </is>
      </c>
      <c r="D212" s="31" t="inlineStr">
        <is>
          <t>personal care - indian</t>
        </is>
      </c>
      <c r="E212" s="31" t="inlineStr">
        <is>
          <t>largecap</t>
        </is>
      </c>
      <c r="F212" s="31" t="n">
        <v>37887.16</v>
      </c>
      <c r="G212" s="31" t="n">
        <v>283.99</v>
      </c>
      <c r="H212" s="31" t="n">
        <v>0.79</v>
      </c>
      <c r="I212" s="31" t="n">
        <v>23578104</v>
      </c>
      <c r="J212" s="31" t="inlineStr">
        <is>
          <t>530843</t>
        </is>
      </c>
    </row>
    <row r="213">
      <c r="A213" s="31" t="inlineStr">
        <is>
          <t>IMAGICAA</t>
        </is>
      </c>
      <c r="B213" s="31" t="inlineStr">
        <is>
          <t>Imagicaaworld Entertainment Ltd</t>
        </is>
      </c>
      <c r="C213" s="31" t="inlineStr">
        <is>
          <t>media</t>
        </is>
      </c>
      <c r="D213" s="31" t="inlineStr">
        <is>
          <t>recreation / amusement parks</t>
        </is>
      </c>
      <c r="E213" s="31" t="inlineStr">
        <is>
          <t>smallcap</t>
        </is>
      </c>
      <c r="F213" s="31" t="n">
        <v>2817.42</v>
      </c>
      <c r="G213" s="31" t="n">
        <v>50.18</v>
      </c>
      <c r="H213" s="31" t="n">
        <v>0.78</v>
      </c>
      <c r="I213" s="31" t="n">
        <v>1351977</v>
      </c>
      <c r="J213" s="31" t="inlineStr">
        <is>
          <t>539056</t>
        </is>
      </c>
    </row>
    <row r="214">
      <c r="A214" s="31" t="inlineStr">
        <is>
          <t>ORIENTBELL</t>
        </is>
      </c>
      <c r="B214" s="31" t="inlineStr">
        <is>
          <t>Orient Bell Limited</t>
        </is>
      </c>
      <c r="C214" s="31" t="inlineStr">
        <is>
          <t>building materials</t>
        </is>
      </c>
      <c r="D214" s="31" t="inlineStr">
        <is>
          <t>ceramics - tiles / sanitaryware</t>
        </is>
      </c>
      <c r="E214" s="31" t="inlineStr">
        <is>
          <t>smallcap</t>
        </is>
      </c>
      <c r="F214" s="31" t="n">
        <v>553.48</v>
      </c>
      <c r="G214" s="31" t="n">
        <v>379.1</v>
      </c>
      <c r="H214" s="31" t="n">
        <v>0.76</v>
      </c>
      <c r="I214" s="31" t="n">
        <v>43206</v>
      </c>
      <c r="J214" s="31" t="inlineStr">
        <is>
          <t>530365</t>
        </is>
      </c>
    </row>
    <row r="215">
      <c r="A215" s="31" t="inlineStr">
        <is>
          <t>BEML</t>
        </is>
      </c>
      <c r="B215" s="31" t="inlineStr">
        <is>
          <t>Beml Limited</t>
        </is>
      </c>
      <c r="C215" s="31" t="inlineStr">
        <is>
          <t>aerospace &amp; defence</t>
        </is>
      </c>
      <c r="D215" s="31" t="inlineStr">
        <is>
          <t>engineering</t>
        </is>
      </c>
      <c r="E215" s="31" t="inlineStr">
        <is>
          <t>midcap</t>
        </is>
      </c>
      <c r="F215" s="31" t="n">
        <v>16016.47</v>
      </c>
      <c r="G215" s="31" t="n">
        <v>1937.7</v>
      </c>
      <c r="H215" s="31" t="n">
        <v>0.76</v>
      </c>
      <c r="I215" s="31" t="n">
        <v>252178</v>
      </c>
      <c r="J215" s="31" t="inlineStr">
        <is>
          <t>500048</t>
        </is>
      </c>
    </row>
    <row r="216">
      <c r="A216" s="31" t="inlineStr">
        <is>
          <t>INDOSTAR</t>
        </is>
      </c>
      <c r="B216" s="31" t="inlineStr">
        <is>
          <t>Indostar Capital Finance Ltd</t>
        </is>
      </c>
      <c r="C216" s="31" t="inlineStr">
        <is>
          <t>financials</t>
        </is>
      </c>
      <c r="D216" s="31" t="inlineStr">
        <is>
          <t>finance &amp; investments</t>
        </is>
      </c>
      <c r="E216" s="31" t="inlineStr">
        <is>
          <t>smallcap</t>
        </is>
      </c>
      <c r="F216" s="31" t="n">
        <v>4161.62</v>
      </c>
      <c r="G216" s="31" t="n">
        <v>259.5</v>
      </c>
      <c r="H216" s="31" t="n">
        <v>0.76</v>
      </c>
      <c r="I216" s="31" t="n">
        <v>88759</v>
      </c>
      <c r="J216" s="31" t="inlineStr">
        <is>
          <t>541336</t>
        </is>
      </c>
    </row>
    <row r="217">
      <c r="A217" s="31" t="inlineStr">
        <is>
          <t>NRBBEARING</t>
        </is>
      </c>
      <c r="B217" s="31" t="inlineStr">
        <is>
          <t>Nrb Bearing Limited</t>
        </is>
      </c>
      <c r="C217" s="31" t="inlineStr">
        <is>
          <t>industrials</t>
        </is>
      </c>
      <c r="D217" s="31" t="inlineStr">
        <is>
          <t>bearings</t>
        </is>
      </c>
      <c r="E217" s="31" t="inlineStr">
        <is>
          <t>smallcap</t>
        </is>
      </c>
      <c r="F217" s="31" t="n">
        <v>4556.33</v>
      </c>
      <c r="G217" s="31" t="n">
        <v>473.65</v>
      </c>
      <c r="H217" s="31" t="n">
        <v>0.76</v>
      </c>
      <c r="I217" s="31" t="n">
        <v>174365</v>
      </c>
      <c r="J217" s="31" t="inlineStr">
        <is>
          <t>530367</t>
        </is>
      </c>
    </row>
    <row r="218">
      <c r="A218" s="31" t="inlineStr">
        <is>
          <t>AZAD</t>
        </is>
      </c>
      <c r="B218" s="31" t="inlineStr">
        <is>
          <t>Azad Engineering Ltd</t>
        </is>
      </c>
      <c r="C218" s="31" t="inlineStr">
        <is>
          <t>aerospace &amp; defence</t>
        </is>
      </c>
      <c r="D218" s="31" t="inlineStr">
        <is>
          <t>engineering</t>
        </is>
      </c>
      <c r="E218" s="31" t="inlineStr">
        <is>
          <t>midcap</t>
        </is>
      </c>
      <c r="F218" s="31" t="n">
        <v>18111.95</v>
      </c>
      <c r="G218" s="31" t="n">
        <v>2825.5</v>
      </c>
      <c r="H218" s="31" t="n">
        <v>0.75</v>
      </c>
      <c r="I218" s="31" t="n">
        <v>362414</v>
      </c>
      <c r="J218" s="31" t="inlineStr">
        <is>
          <t>544061</t>
        </is>
      </c>
    </row>
    <row r="219">
      <c r="A219" s="31" t="inlineStr">
        <is>
          <t>AARTIIND</t>
        </is>
      </c>
      <c r="B219" s="31" t="inlineStr">
        <is>
          <t>Aarti Industries Limited</t>
        </is>
      </c>
      <c r="C219" s="31" t="inlineStr">
        <is>
          <t>chemicals</t>
        </is>
      </c>
      <c r="D219" s="31" t="inlineStr">
        <is>
          <t>chemicals</t>
        </is>
      </c>
      <c r="E219" s="31" t="inlineStr">
        <is>
          <t>midcap</t>
        </is>
      </c>
      <c r="F219" s="31" t="n">
        <v>19547.34</v>
      </c>
      <c r="G219" s="31" t="n">
        <v>542.95</v>
      </c>
      <c r="H219" s="31" t="n">
        <v>0.75</v>
      </c>
      <c r="I219" s="31" t="n">
        <v>971221</v>
      </c>
      <c r="J219" s="31" t="inlineStr">
        <is>
          <t>524208</t>
        </is>
      </c>
    </row>
    <row r="220">
      <c r="A220" s="31" t="inlineStr">
        <is>
          <t>GULFOILLUB</t>
        </is>
      </c>
      <c r="B220" s="31" t="inlineStr">
        <is>
          <t>Gulf Oil Lubricants India Limited</t>
        </is>
      </c>
      <c r="C220" s="31" t="inlineStr">
        <is>
          <t>chemicals</t>
        </is>
      </c>
      <c r="D220" s="31" t="inlineStr">
        <is>
          <t>chemicals</t>
        </is>
      </c>
      <c r="E220" s="31" t="inlineStr">
        <is>
          <t>midcap</t>
        </is>
      </c>
      <c r="F220" s="31" t="n">
        <v>5716.22</v>
      </c>
      <c r="G220" s="31" t="n">
        <v>1162.8</v>
      </c>
      <c r="H220" s="31" t="n">
        <v>0.73</v>
      </c>
      <c r="I220" s="31" t="n">
        <v>50391</v>
      </c>
      <c r="J220" s="31" t="inlineStr">
        <is>
          <t>538567</t>
        </is>
      </c>
    </row>
    <row r="221">
      <c r="A221" s="31" t="inlineStr">
        <is>
          <t>FEDFINA</t>
        </is>
      </c>
      <c r="B221" s="31" t="inlineStr">
        <is>
          <t>Fedbank Financial Services Ltd</t>
        </is>
      </c>
      <c r="C221" s="31" t="inlineStr">
        <is>
          <t>financials</t>
        </is>
      </c>
      <c r="D221" s="31" t="inlineStr">
        <is>
          <t>finance &amp; investments</t>
        </is>
      </c>
      <c r="E221" s="31" t="inlineStr">
        <is>
          <t>midcap</t>
        </is>
      </c>
      <c r="F221" s="31" t="n">
        <v>5961.76</v>
      </c>
      <c r="G221" s="31" t="n">
        <v>160.15</v>
      </c>
      <c r="H221" s="31" t="n">
        <v>0.71</v>
      </c>
      <c r="I221" s="31" t="n">
        <v>1041834</v>
      </c>
      <c r="J221" s="31" t="inlineStr">
        <is>
          <t>544027</t>
        </is>
      </c>
    </row>
    <row r="222">
      <c r="A222" s="31" t="inlineStr">
        <is>
          <t>ARTEMISMED</t>
        </is>
      </c>
      <c r="B222" s="31" t="inlineStr">
        <is>
          <t>Artemis Medicare Services Ltd</t>
        </is>
      </c>
      <c r="C222" s="31" t="inlineStr">
        <is>
          <t>healthcare</t>
        </is>
      </c>
      <c r="D222" s="31" t="inlineStr">
        <is>
          <t>healthcare</t>
        </is>
      </c>
      <c r="E222" s="31" t="inlineStr">
        <is>
          <t>midcap</t>
        </is>
      </c>
      <c r="F222" s="31" t="n">
        <v>5124.37</v>
      </c>
      <c r="G222" s="31" t="n">
        <v>325.95</v>
      </c>
      <c r="H222" s="31" t="n">
        <v>0.7</v>
      </c>
      <c r="I222" s="31" t="n">
        <v>211449</v>
      </c>
      <c r="J222" s="31" t="inlineStr">
        <is>
          <t>542919</t>
        </is>
      </c>
    </row>
    <row r="223">
      <c r="A223" s="31" t="inlineStr">
        <is>
          <t>ANANDRATHI</t>
        </is>
      </c>
      <c r="B223" s="31" t="inlineStr">
        <is>
          <t>Anand Rathi Wealth Ltd</t>
        </is>
      </c>
      <c r="C223" s="31" t="inlineStr">
        <is>
          <t>financials</t>
        </is>
      </c>
      <c r="D223" s="31" t="inlineStr">
        <is>
          <t>finance &amp; investments</t>
        </is>
      </c>
      <c r="E223" s="31" t="inlineStr">
        <is>
          <t>largecap</t>
        </is>
      </c>
      <c r="F223" s="31" t="n">
        <v>35937.97</v>
      </c>
      <c r="G223" s="31" t="n">
        <v>2179.3</v>
      </c>
      <c r="H223" s="31" t="n">
        <v>0.6899999999999999</v>
      </c>
      <c r="I223" s="31" t="n">
        <v>97204</v>
      </c>
      <c r="J223" s="31" t="inlineStr">
        <is>
          <t>543415</t>
        </is>
      </c>
    </row>
    <row r="224">
      <c r="A224" s="31" t="inlineStr">
        <is>
          <t>SKYGOLD</t>
        </is>
      </c>
      <c r="B224" s="31" t="inlineStr">
        <is>
          <t>Sky Gold Ltd</t>
        </is>
      </c>
      <c r="C224" s="31" t="inlineStr">
        <is>
          <t>consumer discretionary</t>
        </is>
      </c>
      <c r="D224" s="31" t="inlineStr">
        <is>
          <t>diamond cutting / jewellery</t>
        </is>
      </c>
      <c r="E224" s="31" t="inlineStr">
        <is>
          <t>midcap</t>
        </is>
      </c>
      <c r="F224" s="31" t="n">
        <v>13045.03</v>
      </c>
      <c r="G224" s="31" t="n">
        <v>848.1</v>
      </c>
      <c r="H224" s="31" t="n">
        <v>0.6899999999999999</v>
      </c>
      <c r="I224" s="31" t="n">
        <v>1027185</v>
      </c>
      <c r="J224" s="31" t="inlineStr">
        <is>
          <t>541967</t>
        </is>
      </c>
    </row>
    <row r="225">
      <c r="A225" s="31" t="inlineStr">
        <is>
          <t>INDIANHUME</t>
        </is>
      </c>
      <c r="B225" s="31" t="inlineStr">
        <is>
          <t>Indian Hume Pipe Company Limited</t>
        </is>
      </c>
      <c r="C225" s="31" t="inlineStr">
        <is>
          <t>realty</t>
        </is>
      </c>
      <c r="D225" s="31" t="inlineStr">
        <is>
          <t>construction</t>
        </is>
      </c>
      <c r="E225" s="31" t="inlineStr">
        <is>
          <t>smallcap</t>
        </is>
      </c>
      <c r="F225" s="31" t="n">
        <v>2052.48</v>
      </c>
      <c r="G225" s="31" t="n">
        <v>392.2</v>
      </c>
      <c r="H225" s="31" t="n">
        <v>0.67</v>
      </c>
      <c r="I225" s="31" t="n">
        <v>68321</v>
      </c>
      <c r="J225" s="31" t="inlineStr">
        <is>
          <t>504741</t>
        </is>
      </c>
    </row>
    <row r="226">
      <c r="A226" s="31" t="inlineStr">
        <is>
          <t>BLACKBUCK</t>
        </is>
      </c>
      <c r="B226" s="31" t="inlineStr">
        <is>
          <t>BlackBuck Ltd</t>
        </is>
      </c>
      <c r="C226" s="31" t="inlineStr">
        <is>
          <t>transportation</t>
        </is>
      </c>
      <c r="D226" s="31" t="inlineStr">
        <is>
          <t>miscellaneous</t>
        </is>
      </c>
      <c r="E226" s="31" t="inlineStr">
        <is>
          <t>midcap</t>
        </is>
      </c>
      <c r="F226" s="31" t="n">
        <v>10951.08</v>
      </c>
      <c r="G226" s="31" t="n">
        <v>605.3</v>
      </c>
      <c r="H226" s="31" t="n">
        <v>0.67</v>
      </c>
      <c r="I226" s="31" t="n">
        <v>846183</v>
      </c>
      <c r="J226" s="31" t="inlineStr">
        <is>
          <t>544288</t>
        </is>
      </c>
    </row>
    <row r="227">
      <c r="A227" s="31" t="inlineStr">
        <is>
          <t>PNB</t>
        </is>
      </c>
      <c r="B227" s="31" t="inlineStr">
        <is>
          <t>Punjab National Bank Ltd</t>
        </is>
      </c>
      <c r="C227" s="31" t="inlineStr">
        <is>
          <t>bank</t>
        </is>
      </c>
      <c r="D227" s="31" t="inlineStr">
        <is>
          <t>banks - public sector</t>
        </is>
      </c>
      <c r="E227" s="31" t="inlineStr">
        <is>
          <t>largecap</t>
        </is>
      </c>
      <c r="F227" s="31" t="n">
        <v>133237.69</v>
      </c>
      <c r="G227" s="31" t="n">
        <v>116.7</v>
      </c>
      <c r="H227" s="31" t="n">
        <v>0.66</v>
      </c>
      <c r="I227" s="31" t="n">
        <v>7613332</v>
      </c>
      <c r="J227" s="31" t="inlineStr">
        <is>
          <t>532461</t>
        </is>
      </c>
    </row>
    <row r="228">
      <c r="A228" s="31" t="inlineStr">
        <is>
          <t>VINDHYATEL</t>
        </is>
      </c>
      <c r="B228" s="31" t="inlineStr">
        <is>
          <t>Vindhya Telelinks Limited</t>
        </is>
      </c>
      <c r="C228" s="31" t="inlineStr">
        <is>
          <t>realty</t>
        </is>
      </c>
      <c r="D228" s="31" t="inlineStr">
        <is>
          <t>construction</t>
        </is>
      </c>
      <c r="E228" s="31" t="inlineStr">
        <is>
          <t>smallcap</t>
        </is>
      </c>
      <c r="F228" s="31" t="n">
        <v>2822.4</v>
      </c>
      <c r="G228" s="31" t="n">
        <v>2397</v>
      </c>
      <c r="H228" s="31" t="n">
        <v>0.65</v>
      </c>
      <c r="I228" s="31" t="n">
        <v>47054</v>
      </c>
      <c r="J228" s="31" t="inlineStr">
        <is>
          <t>517015</t>
        </is>
      </c>
    </row>
    <row r="229">
      <c r="A229" s="31" t="inlineStr">
        <is>
          <t>OFSS</t>
        </is>
      </c>
      <c r="B229" s="31" t="inlineStr">
        <is>
          <t>Oracle Financial Services Software Limited</t>
        </is>
      </c>
      <c r="C229" s="31" t="inlineStr">
        <is>
          <t>i.t</t>
        </is>
      </c>
      <c r="D229" s="31" t="inlineStr">
        <is>
          <t>computers - software - large</t>
        </is>
      </c>
      <c r="E229" s="31" t="inlineStr">
        <is>
          <t>largecap</t>
        </is>
      </c>
      <c r="F229" s="31" t="n">
        <v>102126.91</v>
      </c>
      <c r="G229" s="31" t="n">
        <v>11800</v>
      </c>
      <c r="H229" s="31" t="n">
        <v>0.61</v>
      </c>
      <c r="I229" s="31" t="n">
        <v>290056</v>
      </c>
      <c r="J229" s="31" t="inlineStr">
        <is>
          <t>532466</t>
        </is>
      </c>
    </row>
    <row r="230">
      <c r="A230" s="31" t="inlineStr">
        <is>
          <t>MAZDOCK</t>
        </is>
      </c>
      <c r="B230" s="31" t="inlineStr">
        <is>
          <t>Mazagon Dock Shipbuilders Ltd</t>
        </is>
      </c>
      <c r="C230" s="31" t="inlineStr">
        <is>
          <t>aerospace &amp; defence</t>
        </is>
      </c>
      <c r="D230" s="31" t="inlineStr">
        <is>
          <t>miscellaneous</t>
        </is>
      </c>
      <c r="E230" s="31" t="inlineStr">
        <is>
          <t>largecap</t>
        </is>
      </c>
      <c r="F230" s="31" t="n">
        <v>105282.18</v>
      </c>
      <c r="G230" s="31" t="n">
        <v>2625</v>
      </c>
      <c r="H230" s="31" t="n">
        <v>0.57</v>
      </c>
      <c r="I230" s="31" t="n">
        <v>1698259</v>
      </c>
      <c r="J230" s="31" t="inlineStr">
        <is>
          <t>543237</t>
        </is>
      </c>
    </row>
    <row r="231">
      <c r="A231" s="31" t="inlineStr">
        <is>
          <t>MARINE</t>
        </is>
      </c>
      <c r="B231" s="31" t="inlineStr">
        <is>
          <t>Marine Electricals (India) Ltd</t>
        </is>
      </c>
      <c r="C231" s="31" t="inlineStr">
        <is>
          <t>industrials</t>
        </is>
      </c>
      <c r="D231" s="31" t="inlineStr">
        <is>
          <t>electric equipment</t>
        </is>
      </c>
      <c r="E231" s="31" t="inlineStr">
        <is>
          <t>midcap</t>
        </is>
      </c>
      <c r="F231" s="31" t="n">
        <v>5226.92</v>
      </c>
      <c r="G231" s="31" t="n">
        <v>375.55</v>
      </c>
      <c r="H231" s="31" t="n">
        <v>0.55</v>
      </c>
      <c r="I231" s="31" t="n">
        <v>630981</v>
      </c>
      <c r="J231" s="31" t="inlineStr">
        <is>
          <t>535119</t>
        </is>
      </c>
    </row>
    <row r="232">
      <c r="A232" s="31" t="inlineStr">
        <is>
          <t>UNOMINDA</t>
        </is>
      </c>
      <c r="B232" s="31" t="inlineStr">
        <is>
          <t>Uno Minda Ltd</t>
        </is>
      </c>
      <c r="C232" s="31" t="inlineStr">
        <is>
          <t>auto</t>
        </is>
      </c>
      <c r="D232" s="31" t="inlineStr">
        <is>
          <t>auto ancillaries</t>
        </is>
      </c>
      <c r="E232" s="31" t="inlineStr">
        <is>
          <t>largecap</t>
        </is>
      </c>
      <c r="F232" s="31" t="n">
        <v>72379.74000000001</v>
      </c>
      <c r="G232" s="31" t="n">
        <v>1260</v>
      </c>
      <c r="H232" s="31" t="n">
        <v>0.53</v>
      </c>
      <c r="I232" s="31" t="n">
        <v>788235</v>
      </c>
      <c r="J232" s="31" t="inlineStr">
        <is>
          <t>532539</t>
        </is>
      </c>
    </row>
    <row r="233">
      <c r="A233" s="31" t="inlineStr">
        <is>
          <t>MMFL</t>
        </is>
      </c>
      <c r="B233" s="31" t="inlineStr">
        <is>
          <t>Mm Forgings Limited</t>
        </is>
      </c>
      <c r="C233" s="31" t="inlineStr">
        <is>
          <t>industrials</t>
        </is>
      </c>
      <c r="D233" s="31" t="inlineStr">
        <is>
          <t>castings &amp; forgings</t>
        </is>
      </c>
      <c r="E233" s="31" t="inlineStr">
        <is>
          <t>smallcap</t>
        </is>
      </c>
      <c r="F233" s="31" t="n">
        <v>3041.5</v>
      </c>
      <c r="G233" s="31" t="n">
        <v>633.3</v>
      </c>
      <c r="H233" s="31" t="n">
        <v>0.53</v>
      </c>
      <c r="I233" s="31" t="n">
        <v>109945</v>
      </c>
      <c r="J233" s="31" t="inlineStr">
        <is>
          <t>522241</t>
        </is>
      </c>
    </row>
    <row r="234">
      <c r="A234" s="31" t="inlineStr">
        <is>
          <t>BLUSPRING</t>
        </is>
      </c>
      <c r="B234" s="31" t="inlineStr">
        <is>
          <t>Bluspring Enterprises Ltd</t>
        </is>
      </c>
      <c r="C234" s="31" t="inlineStr">
        <is>
          <t>miscellaneous</t>
        </is>
      </c>
      <c r="D234" s="31" t="inlineStr">
        <is>
          <t>diversified - large</t>
        </is>
      </c>
      <c r="E234" s="31" t="inlineStr">
        <is>
          <t>smallcap</t>
        </is>
      </c>
      <c r="F234" s="31" t="n">
        <v>1895.36</v>
      </c>
      <c r="G234" s="31" t="n">
        <v>127.5</v>
      </c>
      <c r="H234" s="31" t="n">
        <v>0.53</v>
      </c>
      <c r="I234" s="31" t="n">
        <v>451929</v>
      </c>
      <c r="J234" s="31" t="inlineStr">
        <is>
          <t>544414</t>
        </is>
      </c>
    </row>
    <row r="235">
      <c r="A235" s="31" t="inlineStr">
        <is>
          <t>SMARTWORKS</t>
        </is>
      </c>
      <c r="B235" s="31" t="inlineStr">
        <is>
          <t>Smartworks Coworking Spaces Ltd</t>
        </is>
      </c>
      <c r="C235" s="31" t="inlineStr">
        <is>
          <t>co-working</t>
        </is>
      </c>
      <c r="D235" s="31" t="inlineStr">
        <is>
          <t>miscellaneous</t>
        </is>
      </c>
      <c r="E235" s="31" t="inlineStr">
        <is>
          <t>midcap</t>
        </is>
      </c>
      <c r="F235" s="31" t="n">
        <v>6173.01</v>
      </c>
      <c r="G235" s="31" t="n">
        <v>542.85</v>
      </c>
      <c r="H235" s="31" t="n">
        <v>0.48</v>
      </c>
      <c r="I235" s="31" t="n">
        <v>105326</v>
      </c>
      <c r="J235" s="31" t="inlineStr">
        <is>
          <t>544447</t>
        </is>
      </c>
    </row>
    <row r="236">
      <c r="A236" s="31" t="inlineStr">
        <is>
          <t>BIL</t>
        </is>
      </c>
      <c r="B236" s="31" t="inlineStr">
        <is>
          <t>Bhartiya International Limited</t>
        </is>
      </c>
      <c r="C236" s="31" t="inlineStr">
        <is>
          <t>consumer discretionary</t>
        </is>
      </c>
      <c r="D236" s="31" t="inlineStr">
        <is>
          <t>leather / leather products</t>
        </is>
      </c>
      <c r="E236" s="31" t="inlineStr">
        <is>
          <t>smallcap</t>
        </is>
      </c>
      <c r="F236" s="31" t="n">
        <v>1134.19</v>
      </c>
      <c r="G236" s="31" t="n">
        <v>849.85</v>
      </c>
      <c r="H236" s="31" t="n">
        <v>0.48</v>
      </c>
      <c r="I236" s="31" t="n">
        <v>8497</v>
      </c>
      <c r="J236" s="31" t="inlineStr">
        <is>
          <t>526666</t>
        </is>
      </c>
    </row>
    <row r="237">
      <c r="A237" s="31" t="inlineStr">
        <is>
          <t>MFSL</t>
        </is>
      </c>
      <c r="B237" s="31" t="inlineStr">
        <is>
          <t>Max Financial Services Limited</t>
        </is>
      </c>
      <c r="C237" s="31" t="inlineStr">
        <is>
          <t>financials</t>
        </is>
      </c>
      <c r="D237" s="31" t="inlineStr">
        <is>
          <t>finance &amp; investments</t>
        </is>
      </c>
      <c r="E237" s="31" t="inlineStr">
        <is>
          <t>largecap</t>
        </is>
      </c>
      <c r="F237" s="31" t="n">
        <v>54959.53</v>
      </c>
      <c r="G237" s="31" t="n">
        <v>1600</v>
      </c>
      <c r="H237" s="31" t="n">
        <v>0.47</v>
      </c>
      <c r="I237" s="31" t="n">
        <v>150582</v>
      </c>
      <c r="J237" s="31" t="inlineStr">
        <is>
          <t>500271</t>
        </is>
      </c>
    </row>
    <row r="238">
      <c r="A238" s="31" t="inlineStr">
        <is>
          <t>COMSYN</t>
        </is>
      </c>
      <c r="B238" s="31" t="inlineStr">
        <is>
          <t>Commercial Syn Bags Ltd</t>
        </is>
      </c>
      <c r="C238" s="31" t="inlineStr">
        <is>
          <t>industrials</t>
        </is>
      </c>
      <c r="D238" s="31" t="inlineStr">
        <is>
          <t>packaging</t>
        </is>
      </c>
      <c r="E238" s="31" t="inlineStr">
        <is>
          <t>smallcap</t>
        </is>
      </c>
      <c r="F238" s="31" t="n">
        <v>1160.48</v>
      </c>
      <c r="G238" s="31" t="n">
        <v>289</v>
      </c>
      <c r="H238" s="31" t="n">
        <v>0.46</v>
      </c>
      <c r="I238" s="31" t="n">
        <v>137901</v>
      </c>
      <c r="J238" s="31" t="inlineStr">
        <is>
          <t>539986</t>
        </is>
      </c>
    </row>
    <row r="239">
      <c r="A239" s="31" t="inlineStr">
        <is>
          <t>HITECHCORP</t>
        </is>
      </c>
      <c r="B239" s="31" t="inlineStr">
        <is>
          <t>Hitech Corporation</t>
        </is>
      </c>
      <c r="C239" s="31" t="inlineStr">
        <is>
          <t>industrials</t>
        </is>
      </c>
      <c r="D239" s="31" t="inlineStr">
        <is>
          <t>packaging</t>
        </is>
      </c>
      <c r="E239" s="31" t="inlineStr">
        <is>
          <t>smallcap</t>
        </is>
      </c>
      <c r="F239" s="31" t="n">
        <v>576.16</v>
      </c>
      <c r="G239" s="31" t="n">
        <v>337</v>
      </c>
      <c r="H239" s="31" t="n">
        <v>0.46</v>
      </c>
      <c r="I239" s="31" t="n">
        <v>6323</v>
      </c>
      <c r="J239" s="31" t="inlineStr">
        <is>
          <t>526217</t>
        </is>
      </c>
    </row>
    <row r="240">
      <c r="A240" s="31" t="inlineStr">
        <is>
          <t>NRAIL</t>
        </is>
      </c>
      <c r="B240" s="31" t="inlineStr">
        <is>
          <t>N R Agarwal Industries Ltd</t>
        </is>
      </c>
      <c r="C240" s="31" t="inlineStr">
        <is>
          <t>building materials</t>
        </is>
      </c>
      <c r="D240" s="31" t="inlineStr">
        <is>
          <t>paper</t>
        </is>
      </c>
      <c r="E240" s="31" t="inlineStr">
        <is>
          <t>smallcap</t>
        </is>
      </c>
      <c r="F240" s="31" t="n">
        <v>867.38</v>
      </c>
      <c r="G240" s="31" t="n">
        <v>512</v>
      </c>
      <c r="H240" s="31" t="n">
        <v>0.46</v>
      </c>
      <c r="I240" s="31" t="n">
        <v>5643</v>
      </c>
      <c r="J240" s="31" t="inlineStr">
        <is>
          <t>516082</t>
        </is>
      </c>
    </row>
    <row r="241">
      <c r="A241" s="31" t="inlineStr">
        <is>
          <t>ACE</t>
        </is>
      </c>
      <c r="B241" s="31" t="inlineStr">
        <is>
          <t>Action Construction Equipment Limited</t>
        </is>
      </c>
      <c r="C241" s="31" t="inlineStr">
        <is>
          <t>industrials</t>
        </is>
      </c>
      <c r="D241" s="31" t="inlineStr">
        <is>
          <t>engineering</t>
        </is>
      </c>
      <c r="E241" s="31" t="inlineStr">
        <is>
          <t>midcap</t>
        </is>
      </c>
      <c r="F241" s="31" t="n">
        <v>13751.73</v>
      </c>
      <c r="G241" s="31" t="n">
        <v>1160</v>
      </c>
      <c r="H241" s="31" t="n">
        <v>0.45</v>
      </c>
      <c r="I241" s="31" t="n">
        <v>149053</v>
      </c>
      <c r="J241" s="31" t="inlineStr">
        <is>
          <t>532762</t>
        </is>
      </c>
    </row>
    <row r="242">
      <c r="A242" s="31" t="inlineStr">
        <is>
          <t>PREMIERPOL</t>
        </is>
      </c>
      <c r="B242" s="31" t="inlineStr">
        <is>
          <t>Premier Polyfilm Limited</t>
        </is>
      </c>
      <c r="C242" s="31" t="inlineStr">
        <is>
          <t>plastic products</t>
        </is>
      </c>
      <c r="D242" s="31" t="inlineStr">
        <is>
          <t>plastics products</t>
        </is>
      </c>
      <c r="E242" s="31" t="inlineStr">
        <is>
          <t>smallcap</t>
        </is>
      </c>
      <c r="F242" s="31" t="n">
        <v>945.8200000000001</v>
      </c>
      <c r="G242" s="31" t="n">
        <v>90.7</v>
      </c>
      <c r="H242" s="31" t="n">
        <v>0.44</v>
      </c>
      <c r="I242" s="31" t="n">
        <v>289290</v>
      </c>
      <c r="J242" s="31" t="inlineStr">
        <is>
          <t>514354</t>
        </is>
      </c>
    </row>
    <row r="243">
      <c r="A243" s="31" t="inlineStr">
        <is>
          <t>REDINGTON</t>
        </is>
      </c>
      <c r="B243" s="31" t="inlineStr">
        <is>
          <t>Redington (india) Limited</t>
        </is>
      </c>
      <c r="C243" s="31" t="inlineStr">
        <is>
          <t>services</t>
        </is>
      </c>
      <c r="D243" s="31" t="inlineStr">
        <is>
          <t>trading</t>
        </is>
      </c>
      <c r="E243" s="31" t="inlineStr">
        <is>
          <t>largecap</t>
        </is>
      </c>
      <c r="F243" s="31" t="n">
        <v>27569.28</v>
      </c>
      <c r="G243" s="31" t="n">
        <v>354.2</v>
      </c>
      <c r="H243" s="31" t="n">
        <v>0.44</v>
      </c>
      <c r="I243" s="31" t="n">
        <v>1850710</v>
      </c>
      <c r="J243" s="31" t="inlineStr">
        <is>
          <t>532805</t>
        </is>
      </c>
    </row>
    <row r="244">
      <c r="A244" s="31" t="inlineStr">
        <is>
          <t>BOSCHLTD</t>
        </is>
      </c>
      <c r="B244" s="31" t="inlineStr">
        <is>
          <t>Bosch Limited</t>
        </is>
      </c>
      <c r="C244" s="31" t="inlineStr">
        <is>
          <t>auto</t>
        </is>
      </c>
      <c r="D244" s="31" t="inlineStr">
        <is>
          <t>auto ancillaries</t>
        </is>
      </c>
      <c r="E244" s="31" t="inlineStr">
        <is>
          <t>largecap</t>
        </is>
      </c>
      <c r="F244" s="31" t="n">
        <v>143587.01</v>
      </c>
      <c r="G244" s="31" t="n">
        <v>48895</v>
      </c>
      <c r="H244" s="31" t="n">
        <v>0.44</v>
      </c>
      <c r="I244" s="31" t="n">
        <v>28440</v>
      </c>
      <c r="J244" s="31" t="inlineStr">
        <is>
          <t>500530</t>
        </is>
      </c>
    </row>
    <row r="245">
      <c r="A245" s="31" t="inlineStr">
        <is>
          <t>SAILIFE</t>
        </is>
      </c>
      <c r="B245" s="31" t="inlineStr">
        <is>
          <t>Sai Life Sciences Ltd</t>
        </is>
      </c>
      <c r="C245" s="31" t="inlineStr">
        <is>
          <t>healthcare</t>
        </is>
      </c>
      <c r="D245" s="31" t="inlineStr">
        <is>
          <t>pharmaceuticals - indian - bulk drugs &amp; formln</t>
        </is>
      </c>
      <c r="E245" s="31" t="inlineStr">
        <is>
          <t>largecap</t>
        </is>
      </c>
      <c r="F245" s="31" t="n">
        <v>30898.23</v>
      </c>
      <c r="G245" s="31" t="n">
        <v>1461.8</v>
      </c>
      <c r="H245" s="31" t="n">
        <v>0.43</v>
      </c>
      <c r="I245" s="31" t="n">
        <v>252646</v>
      </c>
      <c r="J245" s="31" t="inlineStr">
        <is>
          <t>544306</t>
        </is>
      </c>
    </row>
    <row r="246">
      <c r="A246" s="31" t="inlineStr">
        <is>
          <t>KDDL</t>
        </is>
      </c>
      <c r="B246" s="31" t="inlineStr">
        <is>
          <t>Kddl Limited</t>
        </is>
      </c>
      <c r="C246" s="31" t="inlineStr">
        <is>
          <t>consumer discretionary</t>
        </is>
      </c>
      <c r="D246" s="31" t="inlineStr">
        <is>
          <t>miscellaneous</t>
        </is>
      </c>
      <c r="E246" s="31" t="inlineStr">
        <is>
          <t>smallcap</t>
        </is>
      </c>
      <c r="F246" s="31" t="n">
        <v>4826.98</v>
      </c>
      <c r="G246" s="31" t="n">
        <v>3941.1</v>
      </c>
      <c r="H246" s="31" t="n">
        <v>0.42</v>
      </c>
      <c r="I246" s="31" t="n">
        <v>41469</v>
      </c>
      <c r="J246" s="31" t="inlineStr">
        <is>
          <t>532054</t>
        </is>
      </c>
    </row>
    <row r="247">
      <c r="A247" s="31" t="inlineStr">
        <is>
          <t>KPIL</t>
        </is>
      </c>
      <c r="B247" s="31" t="inlineStr">
        <is>
          <t>Kalpataru Projects International Ltd</t>
        </is>
      </c>
      <c r="C247" s="31" t="inlineStr">
        <is>
          <t>realty</t>
        </is>
      </c>
      <c r="D247" s="31" t="inlineStr">
        <is>
          <t>transmisson line towers / equipment</t>
        </is>
      </c>
      <c r="E247" s="31" t="inlineStr">
        <is>
          <t>largecap</t>
        </is>
      </c>
      <c r="F247" s="31" t="n">
        <v>23641.75</v>
      </c>
      <c r="G247" s="31" t="n">
        <v>1389.8</v>
      </c>
      <c r="H247" s="31" t="n">
        <v>0.39</v>
      </c>
      <c r="I247" s="31" t="n">
        <v>81659</v>
      </c>
      <c r="J247" s="31" t="inlineStr">
        <is>
          <t>522287</t>
        </is>
      </c>
    </row>
    <row r="248">
      <c r="A248" s="31" t="inlineStr">
        <is>
          <t>NATIONALUM</t>
        </is>
      </c>
      <c r="B248" s="31" t="inlineStr">
        <is>
          <t>National Aluminium Company Limited</t>
        </is>
      </c>
      <c r="C248" s="31" t="inlineStr">
        <is>
          <t>metals &amp; mining</t>
        </is>
      </c>
      <c r="D248" s="31" t="inlineStr">
        <is>
          <t>aluminium and aluminium products</t>
        </is>
      </c>
      <c r="E248" s="31" t="inlineStr">
        <is>
          <t>largecap</t>
        </is>
      </c>
      <c r="F248" s="31" t="n">
        <v>73061.21000000001</v>
      </c>
      <c r="G248" s="31" t="n">
        <v>399.3</v>
      </c>
      <c r="H248" s="31" t="n">
        <v>0.38</v>
      </c>
      <c r="I248" s="31" t="n">
        <v>3062370</v>
      </c>
      <c r="J248" s="31" t="inlineStr">
        <is>
          <t>532234</t>
        </is>
      </c>
    </row>
    <row r="249">
      <c r="A249" s="31" t="inlineStr">
        <is>
          <t>APOLLOTYRE</t>
        </is>
      </c>
      <c r="B249" s="31" t="inlineStr">
        <is>
          <t>Apollo Tyres Limited</t>
        </is>
      </c>
      <c r="C249" s="31" t="inlineStr">
        <is>
          <t>auto</t>
        </is>
      </c>
      <c r="D249" s="31" t="inlineStr">
        <is>
          <t>tyres</t>
        </is>
      </c>
      <c r="E249" s="31" t="inlineStr">
        <is>
          <t>largecap</t>
        </is>
      </c>
      <c r="F249" s="31" t="n">
        <v>28033.36</v>
      </c>
      <c r="G249" s="31" t="n">
        <v>443.05</v>
      </c>
      <c r="H249" s="31" t="n">
        <v>0.37</v>
      </c>
      <c r="I249" s="31" t="n">
        <v>558237</v>
      </c>
      <c r="J249" s="31" t="inlineStr">
        <is>
          <t>500877</t>
        </is>
      </c>
    </row>
    <row r="250">
      <c r="A250" s="31" t="inlineStr">
        <is>
          <t>APARINDS</t>
        </is>
      </c>
      <c r="B250" s="31" t="inlineStr">
        <is>
          <t>Apar Industries Limited</t>
        </is>
      </c>
      <c r="C250" s="31" t="inlineStr">
        <is>
          <t>industrials</t>
        </is>
      </c>
      <c r="D250" s="31" t="inlineStr">
        <is>
          <t>electric equipment</t>
        </is>
      </c>
      <c r="E250" s="31" t="inlineStr">
        <is>
          <t>largecap</t>
        </is>
      </c>
      <c r="F250" s="31" t="n">
        <v>71187.16</v>
      </c>
      <c r="G250" s="31" t="n">
        <v>17063</v>
      </c>
      <c r="H250" s="31" t="n">
        <v>0.36</v>
      </c>
      <c r="I250" s="31" t="n">
        <v>112728</v>
      </c>
      <c r="J250" s="31" t="inlineStr">
        <is>
          <t>532259</t>
        </is>
      </c>
    </row>
    <row r="251">
      <c r="A251" s="31" t="inlineStr">
        <is>
          <t>MAXESTATES</t>
        </is>
      </c>
      <c r="B251" s="31" t="inlineStr">
        <is>
          <t>Max Estates Ltd</t>
        </is>
      </c>
      <c r="C251" s="31" t="inlineStr">
        <is>
          <t>realty</t>
        </is>
      </c>
      <c r="D251" s="31" t="inlineStr">
        <is>
          <t>construction</t>
        </is>
      </c>
      <c r="E251" s="31" t="inlineStr">
        <is>
          <t>midcap</t>
        </is>
      </c>
      <c r="F251" s="31" t="n">
        <v>9091.27</v>
      </c>
      <c r="G251" s="31" t="n">
        <v>558.05</v>
      </c>
      <c r="H251" s="31" t="n">
        <v>0.36</v>
      </c>
      <c r="I251" s="31" t="n">
        <v>707966</v>
      </c>
      <c r="J251" s="31" t="inlineStr">
        <is>
          <t>544008</t>
        </is>
      </c>
    </row>
    <row r="252">
      <c r="A252" s="31" t="inlineStr">
        <is>
          <t>SEAMECLTD</t>
        </is>
      </c>
      <c r="B252" s="31" t="inlineStr">
        <is>
          <t>Seamec Limited</t>
        </is>
      </c>
      <c r="C252" s="31" t="inlineStr">
        <is>
          <t>miscellaneous</t>
        </is>
      </c>
      <c r="D252" s="31" t="inlineStr">
        <is>
          <t>miscellaneous</t>
        </is>
      </c>
      <c r="E252" s="31" t="inlineStr">
        <is>
          <t>smallcap</t>
        </is>
      </c>
      <c r="F252" s="31" t="n">
        <v>4194.11</v>
      </c>
      <c r="G252" s="31" t="n">
        <v>1655</v>
      </c>
      <c r="H252" s="31" t="n">
        <v>0.33</v>
      </c>
      <c r="I252" s="31" t="n">
        <v>40401</v>
      </c>
      <c r="J252" s="31" t="inlineStr">
        <is>
          <t>526807</t>
        </is>
      </c>
    </row>
    <row r="253">
      <c r="A253" s="31" t="inlineStr">
        <is>
          <t>RRKABEL</t>
        </is>
      </c>
      <c r="B253" s="31" t="inlineStr">
        <is>
          <t>R R Kabel Ltd</t>
        </is>
      </c>
      <c r="C253" s="31" t="inlineStr">
        <is>
          <t>industrials</t>
        </is>
      </c>
      <c r="D253" s="31" t="inlineStr">
        <is>
          <t>cables - power</t>
        </is>
      </c>
      <c r="E253" s="31" t="inlineStr">
        <is>
          <t>largecap</t>
        </is>
      </c>
      <c r="F253" s="31" t="n">
        <v>31683.11</v>
      </c>
      <c r="G253" s="31" t="n">
        <v>2810.4</v>
      </c>
      <c r="H253" s="31" t="n">
        <v>0.33</v>
      </c>
      <c r="I253" s="31" t="n">
        <v>245266</v>
      </c>
      <c r="J253" s="31" t="inlineStr">
        <is>
          <t>543981</t>
        </is>
      </c>
    </row>
    <row r="254">
      <c r="A254" s="31" t="inlineStr">
        <is>
          <t>JAGSNPHARM</t>
        </is>
      </c>
      <c r="B254" s="31" t="inlineStr">
        <is>
          <t>Jagsonpal Pharmaceuticals Limited</t>
        </is>
      </c>
      <c r="C254" s="31" t="inlineStr">
        <is>
          <t>healthcare</t>
        </is>
      </c>
      <c r="D254" s="31" t="inlineStr">
        <is>
          <t>pharmaceuticals - indian - bulk drugs &amp; formln</t>
        </is>
      </c>
      <c r="E254" s="31" t="inlineStr">
        <is>
          <t>smallcap</t>
        </is>
      </c>
      <c r="F254" s="31" t="n">
        <v>1589.47</v>
      </c>
      <c r="G254" s="31" t="n">
        <v>242.2</v>
      </c>
      <c r="H254" s="31" t="n">
        <v>0.32</v>
      </c>
      <c r="I254" s="31" t="n">
        <v>83923</v>
      </c>
      <c r="J254" s="31" t="inlineStr">
        <is>
          <t>507789</t>
        </is>
      </c>
    </row>
    <row r="255">
      <c r="A255" s="31" t="inlineStr">
        <is>
          <t>NITINSPIN</t>
        </is>
      </c>
      <c r="B255" s="31" t="inlineStr">
        <is>
          <t>Nitin Spinners Limited</t>
        </is>
      </c>
      <c r="C255" s="31" t="inlineStr">
        <is>
          <t>textiles</t>
        </is>
      </c>
      <c r="D255" s="31" t="inlineStr">
        <is>
          <t>textiles - cotton/blended</t>
        </is>
      </c>
      <c r="E255" s="31" t="inlineStr">
        <is>
          <t>smallcap</t>
        </is>
      </c>
      <c r="F255" s="31" t="n">
        <v>3506.16</v>
      </c>
      <c r="G255" s="31" t="n">
        <v>625.65</v>
      </c>
      <c r="H255" s="31" t="n">
        <v>0.32</v>
      </c>
      <c r="I255" s="31" t="n">
        <v>379887</v>
      </c>
      <c r="J255" s="31" t="inlineStr">
        <is>
          <t>532698</t>
        </is>
      </c>
    </row>
    <row r="256">
      <c r="A256" s="31" t="inlineStr">
        <is>
          <t>WSTCSTPAPR</t>
        </is>
      </c>
      <c r="B256" s="31" t="inlineStr">
        <is>
          <t>West Coast Paper Mills Limited</t>
        </is>
      </c>
      <c r="C256" s="31" t="inlineStr">
        <is>
          <t>building materials</t>
        </is>
      </c>
      <c r="D256" s="31" t="inlineStr">
        <is>
          <t>paper</t>
        </is>
      </c>
      <c r="E256" s="31" t="inlineStr">
        <is>
          <t>smallcap</t>
        </is>
      </c>
      <c r="F256" s="31" t="n">
        <v>4003.55</v>
      </c>
      <c r="G256" s="31" t="n">
        <v>608</v>
      </c>
      <c r="H256" s="31" t="n">
        <v>0.31</v>
      </c>
      <c r="I256" s="31" t="n">
        <v>100238</v>
      </c>
      <c r="J256" s="31" t="inlineStr">
        <is>
          <t>500444</t>
        </is>
      </c>
    </row>
    <row r="257">
      <c r="A257" s="31" t="inlineStr">
        <is>
          <t>GRASIM</t>
        </is>
      </c>
      <c r="B257" s="31" t="inlineStr">
        <is>
          <t>Grasim Industries Limited</t>
        </is>
      </c>
      <c r="C257" s="31" t="inlineStr">
        <is>
          <t>textiles</t>
        </is>
      </c>
      <c r="D257" s="31" t="inlineStr">
        <is>
          <t>textiles - manmade</t>
        </is>
      </c>
      <c r="E257" s="31" t="inlineStr">
        <is>
          <t>largecap</t>
        </is>
      </c>
      <c r="F257" s="31" t="n">
        <v>223883.79</v>
      </c>
      <c r="G257" s="31" t="n">
        <v>3299.9</v>
      </c>
      <c r="H257" s="31" t="n">
        <v>0.31</v>
      </c>
      <c r="I257" s="31" t="n">
        <v>1102887</v>
      </c>
      <c r="J257" s="31" t="inlineStr">
        <is>
          <t>500300</t>
        </is>
      </c>
    </row>
    <row r="258">
      <c r="A258" s="31" t="inlineStr">
        <is>
          <t>BAJAJFINSV</t>
        </is>
      </c>
      <c r="B258" s="31" t="inlineStr">
        <is>
          <t>Bajaj Finserv Limited</t>
        </is>
      </c>
      <c r="C258" s="31" t="inlineStr">
        <is>
          <t>financials</t>
        </is>
      </c>
      <c r="D258" s="31" t="inlineStr">
        <is>
          <t>finance &amp; investments</t>
        </is>
      </c>
      <c r="E258" s="31" t="inlineStr">
        <is>
          <t>largecap</t>
        </is>
      </c>
      <c r="F258" s="31" t="n">
        <v>320750.22</v>
      </c>
      <c r="G258" s="31" t="n">
        <v>2010</v>
      </c>
      <c r="H258" s="31" t="n">
        <v>0.3</v>
      </c>
      <c r="I258" s="31" t="n">
        <v>542797</v>
      </c>
      <c r="J258" s="31" t="inlineStr">
        <is>
          <t>532978</t>
        </is>
      </c>
    </row>
    <row r="259">
      <c r="A259" s="31" t="inlineStr">
        <is>
          <t>MANAKSTEEL</t>
        </is>
      </c>
      <c r="B259" s="31" t="inlineStr">
        <is>
          <t>Manaksia Steels Limited</t>
        </is>
      </c>
      <c r="C259" s="31" t="inlineStr">
        <is>
          <t>metals &amp; mining</t>
        </is>
      </c>
      <c r="D259" s="31" t="inlineStr">
        <is>
          <t>steel - medium / small</t>
        </is>
      </c>
      <c r="E259" s="31" t="inlineStr">
        <is>
          <t>smallcap</t>
        </is>
      </c>
      <c r="F259" s="31" t="n">
        <v>568.4400000000001</v>
      </c>
      <c r="G259" s="31" t="n">
        <v>87</v>
      </c>
      <c r="H259" s="31" t="n">
        <v>0.3</v>
      </c>
      <c r="I259" s="31" t="n">
        <v>13192</v>
      </c>
      <c r="J259" s="31" t="inlineStr">
        <is>
          <t>539044</t>
        </is>
      </c>
    </row>
    <row r="260">
      <c r="A260" s="31" t="inlineStr">
        <is>
          <t>UNIONBANK</t>
        </is>
      </c>
      <c r="B260" s="31" t="inlineStr">
        <is>
          <t>Union Bank Of India Ltd</t>
        </is>
      </c>
      <c r="C260" s="31" t="inlineStr">
        <is>
          <t>bank</t>
        </is>
      </c>
      <c r="D260" s="31" t="inlineStr">
        <is>
          <t>banks - public sector</t>
        </is>
      </c>
      <c r="E260" s="31" t="inlineStr">
        <is>
          <t>largecap</t>
        </is>
      </c>
      <c r="F260" s="31" t="n">
        <v>142733.16</v>
      </c>
      <c r="G260" s="31" t="n">
        <v>187.52</v>
      </c>
      <c r="H260" s="31" t="n">
        <v>0.29</v>
      </c>
      <c r="I260" s="31" t="n">
        <v>13851903</v>
      </c>
      <c r="J260" s="31" t="inlineStr">
        <is>
          <t>532477</t>
        </is>
      </c>
    </row>
    <row r="261">
      <c r="A261" s="31" t="inlineStr">
        <is>
          <t>JSWINFRA</t>
        </is>
      </c>
      <c r="B261" s="31" t="inlineStr">
        <is>
          <t>JSW Infrastructure Ltd</t>
        </is>
      </c>
      <c r="C261" s="31" t="inlineStr">
        <is>
          <t>transportation</t>
        </is>
      </c>
      <c r="D261" s="31" t="inlineStr">
        <is>
          <t>miscellaneous</t>
        </is>
      </c>
      <c r="E261" s="31" t="inlineStr">
        <is>
          <t>largecap</t>
        </is>
      </c>
      <c r="F261" s="31" t="n">
        <v>80140.39999999999</v>
      </c>
      <c r="G261" s="31" t="n">
        <v>344.95</v>
      </c>
      <c r="H261" s="31" t="n">
        <v>0.29</v>
      </c>
      <c r="I261" s="31" t="n">
        <v>2732227</v>
      </c>
      <c r="J261" s="31" t="inlineStr">
        <is>
          <t>543994</t>
        </is>
      </c>
    </row>
    <row r="262">
      <c r="A262" s="31" t="inlineStr">
        <is>
          <t>NIITLTD</t>
        </is>
      </c>
      <c r="B262" s="31" t="inlineStr">
        <is>
          <t>Niit Limited</t>
        </is>
      </c>
      <c r="C262" s="31" t="inlineStr">
        <is>
          <t>i.t</t>
        </is>
      </c>
      <c r="D262" s="31" t="inlineStr">
        <is>
          <t>computers - education</t>
        </is>
      </c>
      <c r="E262" s="31" t="inlineStr">
        <is>
          <t>smallcap</t>
        </is>
      </c>
      <c r="F262" s="31" t="n">
        <v>1403.16</v>
      </c>
      <c r="G262" s="31" t="n">
        <v>102.97</v>
      </c>
      <c r="H262" s="31" t="n">
        <v>0.28</v>
      </c>
      <c r="I262" s="31" t="n">
        <v>614873</v>
      </c>
      <c r="J262" s="31" t="inlineStr">
        <is>
          <t>500304</t>
        </is>
      </c>
    </row>
    <row r="263">
      <c r="A263" s="31" t="inlineStr">
        <is>
          <t>MOLDTKPAC</t>
        </is>
      </c>
      <c r="B263" s="31" t="inlineStr">
        <is>
          <t>Mold-tek Packaging Limited</t>
        </is>
      </c>
      <c r="C263" s="31" t="inlineStr">
        <is>
          <t>industrials</t>
        </is>
      </c>
      <c r="D263" s="31" t="inlineStr">
        <is>
          <t>packaging</t>
        </is>
      </c>
      <c r="E263" s="31" t="inlineStr">
        <is>
          <t>smallcap</t>
        </is>
      </c>
      <c r="F263" s="31" t="n">
        <v>2348.62</v>
      </c>
      <c r="G263" s="31" t="n">
        <v>708.65</v>
      </c>
      <c r="H263" s="31" t="n">
        <v>0.26</v>
      </c>
      <c r="I263" s="31" t="n">
        <v>371996</v>
      </c>
      <c r="J263" s="31" t="inlineStr">
        <is>
          <t>533080</t>
        </is>
      </c>
    </row>
    <row r="264">
      <c r="A264" s="31" t="inlineStr">
        <is>
          <t>STEL</t>
        </is>
      </c>
      <c r="B264" s="31" t="inlineStr">
        <is>
          <t>Stel Holdings Limited</t>
        </is>
      </c>
      <c r="C264" s="31" t="inlineStr">
        <is>
          <t>financials</t>
        </is>
      </c>
      <c r="D264" s="31" t="inlineStr">
        <is>
          <t>finance &amp; investments</t>
        </is>
      </c>
      <c r="E264" s="31" t="inlineStr">
        <is>
          <t>smallcap</t>
        </is>
      </c>
      <c r="F264" s="31" t="n">
        <v>1132.05</v>
      </c>
      <c r="G264" s="31" t="n">
        <v>615</v>
      </c>
      <c r="H264" s="31" t="n">
        <v>0.26</v>
      </c>
      <c r="I264" s="31" t="n">
        <v>7002</v>
      </c>
      <c r="J264" s="31" t="n"/>
    </row>
    <row r="265">
      <c r="A265" s="31" t="inlineStr">
        <is>
          <t>PNBHOUSING</t>
        </is>
      </c>
      <c r="B265" s="31" t="inlineStr">
        <is>
          <t>Pnb Housing Finance Limited</t>
        </is>
      </c>
      <c r="C265" s="31" t="inlineStr">
        <is>
          <t>financials</t>
        </is>
      </c>
      <c r="D265" s="31" t="inlineStr">
        <is>
          <t>finance - housing</t>
        </is>
      </c>
      <c r="E265" s="31" t="inlineStr">
        <is>
          <t>largecap</t>
        </is>
      </c>
      <c r="F265" s="31" t="n">
        <v>30801.73</v>
      </c>
      <c r="G265" s="31" t="n">
        <v>1185</v>
      </c>
      <c r="H265" s="31" t="n">
        <v>0.25</v>
      </c>
      <c r="I265" s="31" t="n">
        <v>898000</v>
      </c>
      <c r="J265" s="31" t="inlineStr">
        <is>
          <t>540173</t>
        </is>
      </c>
    </row>
    <row r="266">
      <c r="A266" s="31" t="inlineStr">
        <is>
          <t>ANURAS</t>
        </is>
      </c>
      <c r="B266" s="31" t="inlineStr">
        <is>
          <t>Anupam Rasayan India Ltd</t>
        </is>
      </c>
      <c r="C266" s="31" t="inlineStr">
        <is>
          <t>chemicals</t>
        </is>
      </c>
      <c r="D266" s="31" t="inlineStr">
        <is>
          <t>chemicals</t>
        </is>
      </c>
      <c r="E266" s="31" t="inlineStr">
        <is>
          <t>midcap</t>
        </is>
      </c>
      <c r="F266" s="31" t="n">
        <v>14397.26</v>
      </c>
      <c r="G266" s="31" t="n">
        <v>1267.6</v>
      </c>
      <c r="H266" s="31" t="n">
        <v>0.24</v>
      </c>
      <c r="I266" s="31" t="n">
        <v>751443</v>
      </c>
      <c r="J266" s="31" t="inlineStr">
        <is>
          <t>543275</t>
        </is>
      </c>
    </row>
    <row r="267">
      <c r="A267" s="31" t="inlineStr">
        <is>
          <t>VARROC</t>
        </is>
      </c>
      <c r="B267" s="31" t="inlineStr">
        <is>
          <t>Varroc Engineering Ltd</t>
        </is>
      </c>
      <c r="C267" s="31" t="inlineStr">
        <is>
          <t>auto</t>
        </is>
      </c>
      <c r="D267" s="31" t="inlineStr">
        <is>
          <t>auto ancillaries</t>
        </is>
      </c>
      <c r="E267" s="31" t="inlineStr">
        <is>
          <t>midcap</t>
        </is>
      </c>
      <c r="F267" s="31" t="n">
        <v>12380.28</v>
      </c>
      <c r="G267" s="31" t="n">
        <v>812.15</v>
      </c>
      <c r="H267" s="31" t="n">
        <v>0.23</v>
      </c>
      <c r="I267" s="31" t="n">
        <v>170317</v>
      </c>
      <c r="J267" s="31" t="inlineStr">
        <is>
          <t>541578</t>
        </is>
      </c>
    </row>
    <row r="268">
      <c r="A268" s="31" t="inlineStr">
        <is>
          <t>BDL</t>
        </is>
      </c>
      <c r="B268" s="31" t="inlineStr">
        <is>
          <t>Bharat Dynamics Ltd</t>
        </is>
      </c>
      <c r="C268" s="31" t="inlineStr">
        <is>
          <t>aerospace &amp; defence</t>
        </is>
      </c>
      <c r="D268" s="31" t="inlineStr">
        <is>
          <t>engineering</t>
        </is>
      </c>
      <c r="E268" s="31" t="inlineStr">
        <is>
          <t>largecap</t>
        </is>
      </c>
      <c r="F268" s="31" t="n">
        <v>49848.83</v>
      </c>
      <c r="G268" s="31" t="n">
        <v>1363</v>
      </c>
      <c r="H268" s="31" t="n">
        <v>0.23</v>
      </c>
      <c r="I268" s="31" t="n">
        <v>1507611</v>
      </c>
      <c r="J268" s="31" t="inlineStr">
        <is>
          <t>541143</t>
        </is>
      </c>
    </row>
    <row r="269">
      <c r="A269" s="31" t="inlineStr">
        <is>
          <t>PRUDENT</t>
        </is>
      </c>
      <c r="B269" s="31" t="inlineStr">
        <is>
          <t>Prudent Corporate Advisory Services Ltd</t>
        </is>
      </c>
      <c r="C269" s="31" t="inlineStr">
        <is>
          <t>financials</t>
        </is>
      </c>
      <c r="D269" s="31" t="inlineStr">
        <is>
          <t>finance &amp; investments</t>
        </is>
      </c>
      <c r="E269" s="31" t="inlineStr">
        <is>
          <t>midcap</t>
        </is>
      </c>
      <c r="F269" s="31" t="n">
        <v>13813.27</v>
      </c>
      <c r="G269" s="31" t="n">
        <v>3343</v>
      </c>
      <c r="H269" s="31" t="n">
        <v>0.21</v>
      </c>
      <c r="I269" s="31" t="n">
        <v>17193</v>
      </c>
      <c r="J269" s="31" t="inlineStr">
        <is>
          <t>543527</t>
        </is>
      </c>
    </row>
    <row r="270">
      <c r="A270" s="31" t="inlineStr">
        <is>
          <t>OCCLLTD</t>
        </is>
      </c>
      <c r="B270" s="31" t="inlineStr">
        <is>
          <t>OCCL Ltd</t>
        </is>
      </c>
      <c r="C270" s="31" t="inlineStr">
        <is>
          <t>chemicals</t>
        </is>
      </c>
      <c r="D270" s="31" t="inlineStr">
        <is>
          <t>chemicals</t>
        </is>
      </c>
      <c r="E270" s="31" t="inlineStr">
        <is>
          <t>smallcap</t>
        </is>
      </c>
      <c r="F270" s="31" t="n">
        <v>802.5</v>
      </c>
      <c r="G270" s="31" t="n">
        <v>161</v>
      </c>
      <c r="H270" s="31" t="n">
        <v>0.21</v>
      </c>
      <c r="I270" s="31" t="n">
        <v>24574</v>
      </c>
      <c r="J270" s="31" t="inlineStr">
        <is>
          <t>544278</t>
        </is>
      </c>
    </row>
    <row r="271">
      <c r="A271" s="31" t="inlineStr">
        <is>
          <t>AARTIPHARM</t>
        </is>
      </c>
      <c r="B271" s="31" t="inlineStr">
        <is>
          <t>Aarti Pharmalabs Ltd</t>
        </is>
      </c>
      <c r="C271" s="31" t="inlineStr">
        <is>
          <t>healthcare</t>
        </is>
      </c>
      <c r="D271" s="31" t="inlineStr">
        <is>
          <t>pharmaceuticals - indian - bulk drugs &amp; formln</t>
        </is>
      </c>
      <c r="E271" s="31" t="inlineStr">
        <is>
          <t>midcap</t>
        </is>
      </c>
      <c r="F271" s="31" t="n">
        <v>7571.31</v>
      </c>
      <c r="G271" s="31" t="n">
        <v>836.65</v>
      </c>
      <c r="H271" s="31" t="n">
        <v>0.2</v>
      </c>
      <c r="I271" s="31" t="n">
        <v>535350</v>
      </c>
      <c r="J271" s="31" t="inlineStr">
        <is>
          <t>543748</t>
        </is>
      </c>
    </row>
    <row r="272">
      <c r="A272" s="31" t="inlineStr">
        <is>
          <t>HINDALCO</t>
        </is>
      </c>
      <c r="B272" s="31" t="inlineStr">
        <is>
          <t>Hindalco Industries Limited</t>
        </is>
      </c>
      <c r="C272" s="31" t="inlineStr">
        <is>
          <t>metals &amp; mining</t>
        </is>
      </c>
      <c r="D272" s="31" t="inlineStr">
        <is>
          <t>aluminium and aluminium products</t>
        </is>
      </c>
      <c r="E272" s="31" t="inlineStr">
        <is>
          <t>largecap</t>
        </is>
      </c>
      <c r="F272" s="31" t="n">
        <v>236194.74</v>
      </c>
      <c r="G272" s="31" t="n">
        <v>1053</v>
      </c>
      <c r="H272" s="31" t="n">
        <v>0.19</v>
      </c>
      <c r="I272" s="31" t="n">
        <v>2156881</v>
      </c>
      <c r="J272" s="31" t="inlineStr">
        <is>
          <t>500440</t>
        </is>
      </c>
    </row>
    <row r="273">
      <c r="A273" s="31" t="inlineStr">
        <is>
          <t>SAMBHV</t>
        </is>
      </c>
      <c r="B273" s="31" t="inlineStr">
        <is>
          <t>Sambhv Steel Tubes Ltd</t>
        </is>
      </c>
      <c r="C273" s="31" t="inlineStr">
        <is>
          <t>metals &amp; mining</t>
        </is>
      </c>
      <c r="D273" s="31" t="inlineStr">
        <is>
          <t>steel - medium / small</t>
        </is>
      </c>
      <c r="E273" s="31" t="inlineStr">
        <is>
          <t>smallcap</t>
        </is>
      </c>
      <c r="F273" s="31" t="n">
        <v>3791.24</v>
      </c>
      <c r="G273" s="31" t="n">
        <v>128.9</v>
      </c>
      <c r="H273" s="31" t="n">
        <v>0.19</v>
      </c>
      <c r="I273" s="31" t="n">
        <v>835438</v>
      </c>
      <c r="J273" s="31" t="inlineStr">
        <is>
          <t>544430</t>
        </is>
      </c>
    </row>
    <row r="274">
      <c r="A274" s="31" t="inlineStr">
        <is>
          <t>WELSPUNLIV</t>
        </is>
      </c>
      <c r="B274" s="31" t="inlineStr">
        <is>
          <t>Welspun Living Ltd</t>
        </is>
      </c>
      <c r="C274" s="31" t="inlineStr">
        <is>
          <t>textiles</t>
        </is>
      </c>
      <c r="D274" s="31" t="inlineStr">
        <is>
          <t>textiles - products</t>
        </is>
      </c>
      <c r="E274" s="31" t="inlineStr">
        <is>
          <t>midcap</t>
        </is>
      </c>
      <c r="F274" s="31" t="n">
        <v>17978.64</v>
      </c>
      <c r="G274" s="31" t="n">
        <v>190.63</v>
      </c>
      <c r="H274" s="31" t="n">
        <v>0.17</v>
      </c>
      <c r="I274" s="31" t="n">
        <v>2880382</v>
      </c>
      <c r="J274" s="31" t="inlineStr">
        <is>
          <t>514162</t>
        </is>
      </c>
    </row>
    <row r="275">
      <c r="A275" s="31" t="inlineStr">
        <is>
          <t>SCPL</t>
        </is>
      </c>
      <c r="B275" s="31" t="inlineStr">
        <is>
          <t>Sheetal Cool Products Ltd</t>
        </is>
      </c>
      <c r="C275" s="31" t="inlineStr">
        <is>
          <t>fmcg</t>
        </is>
      </c>
      <c r="D275" s="31" t="inlineStr">
        <is>
          <t>food - processing - indian</t>
        </is>
      </c>
      <c r="E275" s="31" t="inlineStr">
        <is>
          <t>smallcap</t>
        </is>
      </c>
      <c r="F275" s="31" t="n">
        <v>691.11</v>
      </c>
      <c r="G275" s="31" t="n">
        <v>659</v>
      </c>
      <c r="H275" s="31" t="n">
        <v>0.12</v>
      </c>
      <c r="I275" s="31" t="n">
        <v>4660</v>
      </c>
      <c r="J275" s="31" t="inlineStr">
        <is>
          <t>540757</t>
        </is>
      </c>
    </row>
    <row r="276">
      <c r="A276" s="31" t="inlineStr">
        <is>
          <t>INDOTECH</t>
        </is>
      </c>
      <c r="B276" s="31" t="inlineStr">
        <is>
          <t>Indo Tech Transformers Limited</t>
        </is>
      </c>
      <c r="C276" s="31" t="inlineStr">
        <is>
          <t>industrials</t>
        </is>
      </c>
      <c r="D276" s="31" t="inlineStr">
        <is>
          <t>electric equipment</t>
        </is>
      </c>
      <c r="E276" s="31" t="inlineStr">
        <is>
          <t>smallcap</t>
        </is>
      </c>
      <c r="F276" s="31" t="n">
        <v>3974.22</v>
      </c>
      <c r="G276" s="31" t="n">
        <v>3745.9</v>
      </c>
      <c r="H276" s="31" t="n">
        <v>0.1</v>
      </c>
      <c r="I276" s="31" t="n">
        <v>17350</v>
      </c>
      <c r="J276" s="31" t="inlineStr">
        <is>
          <t>532717</t>
        </is>
      </c>
    </row>
    <row r="277">
      <c r="A277" s="31" t="inlineStr">
        <is>
          <t>ADANIENT</t>
        </is>
      </c>
      <c r="B277" s="31" t="inlineStr">
        <is>
          <t>Adani Enterprises Limited</t>
        </is>
      </c>
      <c r="C277" s="31" t="inlineStr">
        <is>
          <t>services</t>
        </is>
      </c>
      <c r="D277" s="31" t="inlineStr">
        <is>
          <t>trading</t>
        </is>
      </c>
      <c r="E277" s="31" t="inlineStr">
        <is>
          <t>largecap</t>
        </is>
      </c>
      <c r="F277" s="31" t="n">
        <v>421007.73</v>
      </c>
      <c r="G277" s="31" t="n">
        <v>3112</v>
      </c>
      <c r="H277" s="31" t="n">
        <v>0.06</v>
      </c>
      <c r="I277" s="31" t="n">
        <v>2042055</v>
      </c>
      <c r="J277" s="31" t="inlineStr">
        <is>
          <t>512599</t>
        </is>
      </c>
    </row>
    <row r="278">
      <c r="A278" s="31" t="inlineStr">
        <is>
          <t>VOLTAMP</t>
        </is>
      </c>
      <c r="B278" s="31" t="inlineStr">
        <is>
          <t>Voltamp Transformers Limited</t>
        </is>
      </c>
      <c r="C278" s="31" t="inlineStr">
        <is>
          <t>industrials</t>
        </is>
      </c>
      <c r="D278" s="31" t="inlineStr">
        <is>
          <t>electric equipment</t>
        </is>
      </c>
      <c r="E278" s="31" t="inlineStr">
        <is>
          <t>midcap</t>
        </is>
      </c>
      <c r="F278" s="31" t="n">
        <v>11102.53</v>
      </c>
      <c r="G278" s="31" t="n">
        <v>10978.5</v>
      </c>
      <c r="H278" s="31" t="n">
        <v>0.04</v>
      </c>
      <c r="I278" s="31" t="n">
        <v>31294</v>
      </c>
      <c r="J278" s="31" t="inlineStr">
        <is>
          <t>532757</t>
        </is>
      </c>
    </row>
    <row r="279">
      <c r="A279" s="31" t="inlineStr">
        <is>
          <t>PITTIENG</t>
        </is>
      </c>
      <c r="B279" s="31" t="inlineStr">
        <is>
          <t>Pitti Engineering Ltd</t>
        </is>
      </c>
      <c r="C279" s="31" t="inlineStr">
        <is>
          <t>industrials</t>
        </is>
      </c>
      <c r="D279" s="31" t="inlineStr">
        <is>
          <t>engineering</t>
        </is>
      </c>
      <c r="E279" s="31" t="inlineStr">
        <is>
          <t>smallcap</t>
        </is>
      </c>
      <c r="F279" s="31" t="n">
        <v>4229.63</v>
      </c>
      <c r="G279" s="31" t="n">
        <v>1123.45</v>
      </c>
      <c r="H279" s="31" t="n">
        <v>0.01</v>
      </c>
      <c r="I279" s="31" t="n">
        <v>430626</v>
      </c>
      <c r="J279" s="31" t="inlineStr">
        <is>
          <t>513519</t>
        </is>
      </c>
    </row>
    <row r="280">
      <c r="A280" s="31" t="inlineStr">
        <is>
          <t>MAHSEAMLES</t>
        </is>
      </c>
      <c r="B280" s="31" t="inlineStr">
        <is>
          <t>Maharashtra Seamless Limited</t>
        </is>
      </c>
      <c r="C280" s="31" t="inlineStr">
        <is>
          <t>industrials</t>
        </is>
      </c>
      <c r="D280" s="31" t="inlineStr">
        <is>
          <t>steel - large</t>
        </is>
      </c>
      <c r="E280" s="31" t="inlineStr">
        <is>
          <t>midcap</t>
        </is>
      </c>
      <c r="F280" s="31" t="n">
        <v>8529.719999999999</v>
      </c>
      <c r="G280" s="31" t="n">
        <v>636.55</v>
      </c>
      <c r="H280" s="31" t="n">
        <v>0</v>
      </c>
      <c r="I280" s="31" t="n">
        <v>300576</v>
      </c>
      <c r="J280" s="31" t="inlineStr">
        <is>
          <t>500265</t>
        </is>
      </c>
    </row>
    <row r="281">
      <c r="A281" s="31" t="inlineStr">
        <is>
          <t>ENGINERSIN</t>
        </is>
      </c>
      <c r="B281" s="31" t="inlineStr">
        <is>
          <t>Engineers India Limited</t>
        </is>
      </c>
      <c r="C281" s="31" t="inlineStr">
        <is>
          <t>realty</t>
        </is>
      </c>
      <c r="D281" s="31" t="inlineStr">
        <is>
          <t>engineering - turnkey services</t>
        </is>
      </c>
      <c r="E281" s="31" t="inlineStr">
        <is>
          <t>midcap</t>
        </is>
      </c>
      <c r="F281" s="31" t="n">
        <v>14072.42</v>
      </c>
      <c r="G281" s="31" t="n">
        <v>250.36</v>
      </c>
      <c r="H281" s="31" t="n">
        <v>-0.01</v>
      </c>
      <c r="I281" s="31" t="n">
        <v>2450847</v>
      </c>
      <c r="J281" s="31" t="inlineStr">
        <is>
          <t>532178</t>
        </is>
      </c>
    </row>
    <row r="282">
      <c r="A282" s="31" t="inlineStr">
        <is>
          <t>GANDHAR</t>
        </is>
      </c>
      <c r="B282" s="31" t="inlineStr">
        <is>
          <t>Gandhar Oil Refinery (India) Ltd</t>
        </is>
      </c>
      <c r="C282" s="31" t="inlineStr">
        <is>
          <t>energy</t>
        </is>
      </c>
      <c r="D282" s="31" t="inlineStr">
        <is>
          <t>refineries</t>
        </is>
      </c>
      <c r="E282" s="31" t="inlineStr">
        <is>
          <t>smallcap</t>
        </is>
      </c>
      <c r="F282" s="31" t="n">
        <v>2500.04</v>
      </c>
      <c r="G282" s="31" t="n">
        <v>255.39</v>
      </c>
      <c r="H282" s="31" t="n">
        <v>-0.01</v>
      </c>
      <c r="I282" s="31" t="n">
        <v>717551</v>
      </c>
      <c r="J282" s="31" t="inlineStr">
        <is>
          <t>544029</t>
        </is>
      </c>
    </row>
    <row r="283">
      <c r="A283" s="31" t="inlineStr">
        <is>
          <t>DYNAMATECH</t>
        </is>
      </c>
      <c r="B283" s="31" t="inlineStr">
        <is>
          <t>Dynamatic Technologies Limited</t>
        </is>
      </c>
      <c r="C283" s="31" t="inlineStr">
        <is>
          <t>aerospace &amp; defence</t>
        </is>
      </c>
      <c r="D283" s="31" t="inlineStr">
        <is>
          <t>engineering</t>
        </is>
      </c>
      <c r="E283" s="31" t="inlineStr">
        <is>
          <t>midcap</t>
        </is>
      </c>
      <c r="F283" s="31" t="n">
        <v>7819.67</v>
      </c>
      <c r="G283" s="31" t="n">
        <v>11510</v>
      </c>
      <c r="H283" s="31" t="n">
        <v>-0.03</v>
      </c>
      <c r="I283" s="31" t="n">
        <v>13280</v>
      </c>
      <c r="J283" s="31" t="inlineStr">
        <is>
          <t>505242</t>
        </is>
      </c>
    </row>
    <row r="284">
      <c r="A284" s="31" t="inlineStr">
        <is>
          <t>NETWEB</t>
        </is>
      </c>
      <c r="B284" s="31" t="inlineStr">
        <is>
          <t>Netweb Technologies India Ltd</t>
        </is>
      </c>
      <c r="C284" s="31" t="inlineStr">
        <is>
          <t>i.t</t>
        </is>
      </c>
      <c r="D284" s="31" t="inlineStr">
        <is>
          <t>computers - hardware</t>
        </is>
      </c>
      <c r="E284" s="31" t="inlineStr">
        <is>
          <t>largecap</t>
        </is>
      </c>
      <c r="F284" s="31" t="n">
        <v>30027.67</v>
      </c>
      <c r="G284" s="31" t="n">
        <v>5271.9</v>
      </c>
      <c r="H284" s="31" t="n">
        <v>-0.03</v>
      </c>
      <c r="I284" s="31" t="n">
        <v>3036962</v>
      </c>
      <c r="J284" s="31" t="inlineStr">
        <is>
          <t>543945</t>
        </is>
      </c>
    </row>
    <row r="285">
      <c r="A285" s="31" t="inlineStr">
        <is>
          <t>SMLMAH</t>
        </is>
      </c>
      <c r="B285" s="31" t="inlineStr">
        <is>
          <t>SML Mahindra Ltd</t>
        </is>
      </c>
      <c r="C285" s="31" t="inlineStr">
        <is>
          <t>auto</t>
        </is>
      </c>
      <c r="D285" s="31" t="inlineStr">
        <is>
          <t>automobiles - lcvs / hcvs</t>
        </is>
      </c>
      <c r="E285" s="31" t="inlineStr">
        <is>
          <t>midcap</t>
        </is>
      </c>
      <c r="F285" s="31" t="n">
        <v>7513.68</v>
      </c>
      <c r="G285" s="31" t="n">
        <v>5190.5</v>
      </c>
      <c r="H285" s="31" t="n">
        <v>-0.03</v>
      </c>
      <c r="I285" s="31" t="n">
        <v>55861</v>
      </c>
      <c r="J285" s="31" t="inlineStr">
        <is>
          <t>505192</t>
        </is>
      </c>
    </row>
    <row r="286">
      <c r="A286" s="31" t="inlineStr">
        <is>
          <t>UDS</t>
        </is>
      </c>
      <c r="B286" s="31" t="inlineStr">
        <is>
          <t>Updater Services Ltd</t>
        </is>
      </c>
      <c r="C286" s="31" t="inlineStr">
        <is>
          <t>miscellaneous</t>
        </is>
      </c>
      <c r="D286" s="31" t="inlineStr">
        <is>
          <t>miscellaneous</t>
        </is>
      </c>
      <c r="E286" s="31" t="inlineStr">
        <is>
          <t>smallcap</t>
        </is>
      </c>
      <c r="F286" s="31" t="n">
        <v>1486.36</v>
      </c>
      <c r="G286" s="31" t="n">
        <v>221.92</v>
      </c>
      <c r="H286" s="31" t="n">
        <v>-0.04</v>
      </c>
      <c r="I286" s="31" t="n">
        <v>623398</v>
      </c>
      <c r="J286" s="31" t="inlineStr">
        <is>
          <t>543996</t>
        </is>
      </c>
    </row>
    <row r="287">
      <c r="A287" s="31" t="inlineStr">
        <is>
          <t>NIACL</t>
        </is>
      </c>
      <c r="B287" s="31" t="inlineStr">
        <is>
          <t>New India Assurance Company Ltd</t>
        </is>
      </c>
      <c r="C287" s="31" t="inlineStr">
        <is>
          <t>financials</t>
        </is>
      </c>
      <c r="D287" s="31" t="inlineStr">
        <is>
          <t>finance &amp; investments</t>
        </is>
      </c>
      <c r="E287" s="31" t="inlineStr">
        <is>
          <t>largecap</t>
        </is>
      </c>
      <c r="F287" s="31" t="n">
        <v>30865.39</v>
      </c>
      <c r="G287" s="31" t="n">
        <v>187.2</v>
      </c>
      <c r="H287" s="31" t="n">
        <v>-0.05</v>
      </c>
      <c r="I287" s="31" t="n">
        <v>1599083</v>
      </c>
      <c r="J287" s="31" t="inlineStr">
        <is>
          <t>540769</t>
        </is>
      </c>
    </row>
    <row r="288">
      <c r="A288" s="31" t="inlineStr">
        <is>
          <t>ENDURANCE</t>
        </is>
      </c>
      <c r="B288" s="31" t="inlineStr">
        <is>
          <t>Endurance Technologies Limited</t>
        </is>
      </c>
      <c r="C288" s="31" t="inlineStr">
        <is>
          <t>auto</t>
        </is>
      </c>
      <c r="D288" s="31" t="inlineStr">
        <is>
          <t>auto ancillaries</t>
        </is>
      </c>
      <c r="E288" s="31" t="inlineStr">
        <is>
          <t>largecap</t>
        </is>
      </c>
      <c r="F288" s="31" t="n">
        <v>42023.03</v>
      </c>
      <c r="G288" s="31" t="n">
        <v>2986</v>
      </c>
      <c r="H288" s="31" t="n">
        <v>-0.05</v>
      </c>
      <c r="I288" s="31" t="n">
        <v>72821</v>
      </c>
      <c r="J288" s="31" t="inlineStr">
        <is>
          <t>540153</t>
        </is>
      </c>
    </row>
    <row r="289">
      <c r="A289" s="31" t="inlineStr">
        <is>
          <t>PFOCUS</t>
        </is>
      </c>
      <c r="B289" s="31" t="inlineStr">
        <is>
          <t>Prime Focus Limited</t>
        </is>
      </c>
      <c r="C289" s="31" t="inlineStr">
        <is>
          <t>realty</t>
        </is>
      </c>
      <c r="D289" s="31" t="inlineStr">
        <is>
          <t>miscellaneous</t>
        </is>
      </c>
      <c r="E289" s="31" t="inlineStr">
        <is>
          <t>largecap</t>
        </is>
      </c>
      <c r="F289" s="31" t="n">
        <v>23508.25</v>
      </c>
      <c r="G289" s="31" t="n">
        <v>302.55</v>
      </c>
      <c r="H289" s="31" t="n">
        <v>-0.07000000000000001</v>
      </c>
      <c r="I289" s="31" t="n">
        <v>439347</v>
      </c>
      <c r="J289" s="31" t="inlineStr">
        <is>
          <t>532748</t>
        </is>
      </c>
    </row>
    <row r="290">
      <c r="A290" s="31" t="inlineStr">
        <is>
          <t>CARTRADE</t>
        </is>
      </c>
      <c r="B290" s="31" t="inlineStr">
        <is>
          <t>Cartrade Tech Ltd</t>
        </is>
      </c>
      <c r="C290" s="31" t="inlineStr">
        <is>
          <t>consumer discretionary</t>
        </is>
      </c>
      <c r="D290" s="31" t="inlineStr">
        <is>
          <t>miscellaneous</t>
        </is>
      </c>
      <c r="E290" s="31" t="inlineStr">
        <is>
          <t>midcap</t>
        </is>
      </c>
      <c r="F290" s="31" t="n">
        <v>15102.28</v>
      </c>
      <c r="G290" s="31" t="n">
        <v>3142.2</v>
      </c>
      <c r="H290" s="31" t="n">
        <v>-0.08</v>
      </c>
      <c r="I290" s="31" t="n">
        <v>280062</v>
      </c>
      <c r="J290" s="31" t="inlineStr">
        <is>
          <t>543333</t>
        </is>
      </c>
    </row>
    <row r="291">
      <c r="A291" s="31" t="inlineStr">
        <is>
          <t>SHILPAMED</t>
        </is>
      </c>
      <c r="B291" s="31" t="inlineStr">
        <is>
          <t>Shilpa Medicare Limited</t>
        </is>
      </c>
      <c r="C291" s="31" t="inlineStr">
        <is>
          <t>healthcare</t>
        </is>
      </c>
      <c r="D291" s="31" t="inlineStr">
        <is>
          <t>pharmaceuticals - indian - formulations</t>
        </is>
      </c>
      <c r="E291" s="31" t="inlineStr">
        <is>
          <t>midcap</t>
        </is>
      </c>
      <c r="F291" s="31" t="n">
        <v>16850.35</v>
      </c>
      <c r="G291" s="31" t="n">
        <v>860.75</v>
      </c>
      <c r="H291" s="31" t="n">
        <v>-0.09</v>
      </c>
      <c r="I291" s="31" t="n">
        <v>869228</v>
      </c>
      <c r="J291" s="31" t="inlineStr">
        <is>
          <t>530549</t>
        </is>
      </c>
    </row>
    <row r="292">
      <c r="A292" s="31" t="inlineStr">
        <is>
          <t>BHAGERIA</t>
        </is>
      </c>
      <c r="B292" s="31" t="inlineStr">
        <is>
          <t>Bhageria Industries Limited</t>
        </is>
      </c>
      <c r="C292" s="31" t="inlineStr">
        <is>
          <t>chemicals</t>
        </is>
      </c>
      <c r="D292" s="31" t="inlineStr">
        <is>
          <t>dyes and pigments</t>
        </is>
      </c>
      <c r="E292" s="31" t="inlineStr">
        <is>
          <t>smallcap</t>
        </is>
      </c>
      <c r="F292" s="31" t="n">
        <v>969.73</v>
      </c>
      <c r="G292" s="31" t="n">
        <v>222</v>
      </c>
      <c r="H292" s="31" t="n">
        <v>-0.09</v>
      </c>
      <c r="I292" s="31" t="n">
        <v>92137</v>
      </c>
      <c r="J292" s="31" t="inlineStr">
        <is>
          <t>530803</t>
        </is>
      </c>
    </row>
    <row r="293">
      <c r="A293" s="31" t="inlineStr">
        <is>
          <t>NAM-INDIA</t>
        </is>
      </c>
      <c r="B293" s="31" t="inlineStr">
        <is>
          <t>Nippon Life India Asset Management Ltd</t>
        </is>
      </c>
      <c r="C293" s="31" t="inlineStr">
        <is>
          <t>financials</t>
        </is>
      </c>
      <c r="D293" s="31" t="inlineStr">
        <is>
          <t>finance &amp; investments</t>
        </is>
      </c>
      <c r="E293" s="31" t="inlineStr">
        <is>
          <t>largecap</t>
        </is>
      </c>
      <c r="F293" s="31" t="n">
        <v>78275.39</v>
      </c>
      <c r="G293" s="31" t="n">
        <v>1223</v>
      </c>
      <c r="H293" s="31" t="n">
        <v>-0.11</v>
      </c>
      <c r="I293" s="31" t="n">
        <v>449394</v>
      </c>
      <c r="J293" s="31" t="inlineStr">
        <is>
          <t>540767</t>
        </is>
      </c>
    </row>
    <row r="294">
      <c r="A294" s="31" t="inlineStr">
        <is>
          <t>CONCORDBIO</t>
        </is>
      </c>
      <c r="B294" s="31" t="inlineStr">
        <is>
          <t>Concord Biotech Ltd</t>
        </is>
      </c>
      <c r="C294" s="31" t="inlineStr">
        <is>
          <t>healthcare</t>
        </is>
      </c>
      <c r="D294" s="31" t="inlineStr">
        <is>
          <t>pharmaceuticals - indian - bulk drugs &amp; formln</t>
        </is>
      </c>
      <c r="E294" s="31" t="inlineStr">
        <is>
          <t>midcap</t>
        </is>
      </c>
      <c r="F294" s="31" t="n">
        <v>16194.59</v>
      </c>
      <c r="G294" s="31" t="n">
        <v>1546.1</v>
      </c>
      <c r="H294" s="31" t="n">
        <v>-0.12</v>
      </c>
      <c r="I294" s="31" t="n">
        <v>74282</v>
      </c>
      <c r="J294" s="31" t="inlineStr">
        <is>
          <t>543960</t>
        </is>
      </c>
    </row>
    <row r="295">
      <c r="A295" s="31" t="inlineStr">
        <is>
          <t>PAYTM</t>
        </is>
      </c>
      <c r="B295" s="31" t="inlineStr">
        <is>
          <t>One 97 Communications Ltd</t>
        </is>
      </c>
      <c r="C295" s="31" t="inlineStr">
        <is>
          <t>i.t</t>
        </is>
      </c>
      <c r="D295" s="31" t="inlineStr">
        <is>
          <t>miscellaneous</t>
        </is>
      </c>
      <c r="E295" s="31" t="inlineStr">
        <is>
          <t>largecap</t>
        </is>
      </c>
      <c r="F295" s="31" t="n">
        <v>110009.9</v>
      </c>
      <c r="G295" s="31" t="n">
        <v>1716</v>
      </c>
      <c r="H295" s="31" t="n">
        <v>-0.12</v>
      </c>
      <c r="I295" s="31" t="n">
        <v>4882708</v>
      </c>
      <c r="J295" s="31" t="inlineStr">
        <is>
          <t>543396</t>
        </is>
      </c>
    </row>
    <row r="296">
      <c r="A296" s="31" t="inlineStr">
        <is>
          <t>RISHABH</t>
        </is>
      </c>
      <c r="B296" s="31" t="inlineStr">
        <is>
          <t>Rishabh Instruments Ltd</t>
        </is>
      </c>
      <c r="C296" s="31" t="inlineStr">
        <is>
          <t>industrials</t>
        </is>
      </c>
      <c r="D296" s="31" t="inlineStr">
        <is>
          <t>electric equipment</t>
        </is>
      </c>
      <c r="E296" s="31" t="inlineStr">
        <is>
          <t>smallcap</t>
        </is>
      </c>
      <c r="F296" s="31" t="n">
        <v>2654.09</v>
      </c>
      <c r="G296" s="31" t="n">
        <v>687.7</v>
      </c>
      <c r="H296" s="31" t="n">
        <v>-0.12</v>
      </c>
      <c r="I296" s="31" t="n">
        <v>178366</v>
      </c>
      <c r="J296" s="31" t="inlineStr">
        <is>
          <t>543977</t>
        </is>
      </c>
    </row>
    <row r="297">
      <c r="A297" s="31" t="inlineStr">
        <is>
          <t>TARSONS</t>
        </is>
      </c>
      <c r="B297" s="31" t="inlineStr">
        <is>
          <t>Tarsons Products Ltd</t>
        </is>
      </c>
      <c r="C297" s="31" t="inlineStr">
        <is>
          <t>healthcare</t>
        </is>
      </c>
      <c r="D297" s="31" t="inlineStr">
        <is>
          <t>miscellaneous</t>
        </is>
      </c>
      <c r="E297" s="31" t="inlineStr">
        <is>
          <t>smallcap</t>
        </is>
      </c>
      <c r="F297" s="31" t="n">
        <v>1838.28</v>
      </c>
      <c r="G297" s="31" t="n">
        <v>345</v>
      </c>
      <c r="H297" s="31" t="n">
        <v>-0.14</v>
      </c>
      <c r="I297" s="31" t="n">
        <v>145584</v>
      </c>
      <c r="J297" s="31" t="inlineStr">
        <is>
          <t>543399</t>
        </is>
      </c>
    </row>
    <row r="298">
      <c r="A298" s="31" t="inlineStr">
        <is>
          <t>BRIGADE</t>
        </is>
      </c>
      <c r="B298" s="31" t="inlineStr">
        <is>
          <t>Brigade Enterprises Limited</t>
        </is>
      </c>
      <c r="C298" s="31" t="inlineStr">
        <is>
          <t>realty</t>
        </is>
      </c>
      <c r="D298" s="31" t="inlineStr">
        <is>
          <t>construction</t>
        </is>
      </c>
      <c r="E298" s="31" t="inlineStr">
        <is>
          <t>largecap</t>
        </is>
      </c>
      <c r="F298" s="31" t="n">
        <v>21556.07</v>
      </c>
      <c r="G298" s="31" t="n">
        <v>659.65</v>
      </c>
      <c r="H298" s="31" t="n">
        <v>-0.19</v>
      </c>
      <c r="I298" s="31" t="n">
        <v>480935</v>
      </c>
      <c r="J298" s="31" t="inlineStr">
        <is>
          <t>532929</t>
        </is>
      </c>
    </row>
    <row r="299">
      <c r="A299" s="31" t="inlineStr">
        <is>
          <t>LUMAXTECH</t>
        </is>
      </c>
      <c r="B299" s="31" t="inlineStr">
        <is>
          <t>Lumax Auto Technologies Limited</t>
        </is>
      </c>
      <c r="C299" s="31" t="inlineStr">
        <is>
          <t>auto</t>
        </is>
      </c>
      <c r="D299" s="31" t="inlineStr">
        <is>
          <t>auto ancillaries</t>
        </is>
      </c>
      <c r="E299" s="31" t="inlineStr">
        <is>
          <t>midcap</t>
        </is>
      </c>
      <c r="F299" s="31" t="n">
        <v>13168.75</v>
      </c>
      <c r="G299" s="31" t="n">
        <v>1927.8</v>
      </c>
      <c r="H299" s="31" t="n">
        <v>-0.22</v>
      </c>
      <c r="I299" s="31" t="n">
        <v>79093</v>
      </c>
      <c r="J299" s="31" t="inlineStr">
        <is>
          <t>532796</t>
        </is>
      </c>
    </row>
    <row r="300">
      <c r="A300" s="31" t="inlineStr">
        <is>
          <t>ZENTEC</t>
        </is>
      </c>
      <c r="B300" s="31" t="inlineStr">
        <is>
          <t>Zen Technologies Limited</t>
        </is>
      </c>
      <c r="C300" s="31" t="inlineStr">
        <is>
          <t>aerospace &amp; defence</t>
        </is>
      </c>
      <c r="D300" s="31" t="inlineStr">
        <is>
          <t>miscellaneous</t>
        </is>
      </c>
      <c r="E300" s="31" t="inlineStr">
        <is>
          <t>midcap</t>
        </is>
      </c>
      <c r="F300" s="31" t="n">
        <v>16953.82</v>
      </c>
      <c r="G300" s="31" t="n">
        <v>1873.4</v>
      </c>
      <c r="H300" s="31" t="n">
        <v>-0.23</v>
      </c>
      <c r="I300" s="31" t="n">
        <v>309103</v>
      </c>
      <c r="J300" s="31" t="inlineStr">
        <is>
          <t>533339</t>
        </is>
      </c>
    </row>
    <row r="301">
      <c r="A301" s="31" t="inlineStr">
        <is>
          <t>ABB</t>
        </is>
      </c>
      <c r="B301" s="31" t="inlineStr">
        <is>
          <t>Abb India Limited</t>
        </is>
      </c>
      <c r="C301" s="31" t="inlineStr">
        <is>
          <t>industrials</t>
        </is>
      </c>
      <c r="D301" s="31" t="inlineStr">
        <is>
          <t>electric equipment</t>
        </is>
      </c>
      <c r="E301" s="31" t="inlineStr">
        <is>
          <t>largecap</t>
        </is>
      </c>
      <c r="F301" s="31" t="n">
        <v>161622.52</v>
      </c>
      <c r="G301" s="31" t="n">
        <v>7609</v>
      </c>
      <c r="H301" s="31" t="n">
        <v>-0.24</v>
      </c>
      <c r="I301" s="31" t="n">
        <v>198105</v>
      </c>
      <c r="J301" s="31" t="inlineStr">
        <is>
          <t>500002</t>
        </is>
      </c>
    </row>
    <row r="302">
      <c r="A302" s="31" t="inlineStr">
        <is>
          <t>EICHERMOT</t>
        </is>
      </c>
      <c r="B302" s="31" t="inlineStr">
        <is>
          <t>Eicher Motors Limited</t>
        </is>
      </c>
      <c r="C302" s="31" t="inlineStr">
        <is>
          <t>auto</t>
        </is>
      </c>
      <c r="D302" s="31" t="inlineStr">
        <is>
          <t>automobiles - motorcycles / mopeds</t>
        </is>
      </c>
      <c r="E302" s="31" t="inlineStr">
        <is>
          <t>largecap</t>
        </is>
      </c>
      <c r="F302" s="31" t="n">
        <v>221107.76</v>
      </c>
      <c r="G302" s="31" t="n">
        <v>8035</v>
      </c>
      <c r="H302" s="31" t="n">
        <v>-0.25</v>
      </c>
      <c r="I302" s="31" t="n">
        <v>184083</v>
      </c>
      <c r="J302" s="31" t="inlineStr">
        <is>
          <t>505200</t>
        </is>
      </c>
    </row>
    <row r="303">
      <c r="A303" s="31" t="inlineStr">
        <is>
          <t>VADILALIND</t>
        </is>
      </c>
      <c r="B303" s="31" t="inlineStr">
        <is>
          <t>Vadilal Industries Limited</t>
        </is>
      </c>
      <c r="C303" s="31" t="inlineStr">
        <is>
          <t>fmcg</t>
        </is>
      </c>
      <c r="D303" s="31" t="inlineStr">
        <is>
          <t>food - processing - indian</t>
        </is>
      </c>
      <c r="E303" s="31" t="inlineStr">
        <is>
          <t>midcap</t>
        </is>
      </c>
      <c r="F303" s="31" t="n">
        <v>5345.95</v>
      </c>
      <c r="G303" s="31" t="n">
        <v>7419</v>
      </c>
      <c r="H303" s="31" t="n">
        <v>-0.25</v>
      </c>
      <c r="I303" s="31" t="n">
        <v>21259</v>
      </c>
      <c r="J303" s="31" t="inlineStr">
        <is>
          <t>519156</t>
        </is>
      </c>
    </row>
    <row r="304">
      <c r="A304" s="31" t="inlineStr">
        <is>
          <t>AVTNPL</t>
        </is>
      </c>
      <c r="B304" s="31" t="inlineStr">
        <is>
          <t>Avt Natural Products Limited</t>
        </is>
      </c>
      <c r="C304" s="31" t="inlineStr">
        <is>
          <t>fmcg</t>
        </is>
      </c>
      <c r="D304" s="31" t="inlineStr">
        <is>
          <t>solvent extraction</t>
        </is>
      </c>
      <c r="E304" s="31" t="inlineStr">
        <is>
          <t>smallcap</t>
        </is>
      </c>
      <c r="F304" s="31" t="n">
        <v>1327.46</v>
      </c>
      <c r="G304" s="31" t="n">
        <v>86.95</v>
      </c>
      <c r="H304" s="31" t="n">
        <v>-0.25</v>
      </c>
      <c r="I304" s="31" t="n">
        <v>174601</v>
      </c>
      <c r="J304" s="31" t="inlineStr">
        <is>
          <t>519105</t>
        </is>
      </c>
    </row>
    <row r="305">
      <c r="A305" s="31" t="inlineStr">
        <is>
          <t>BCLIND</t>
        </is>
      </c>
      <c r="B305" s="31" t="inlineStr">
        <is>
          <t>BCL Industries Ltd</t>
        </is>
      </c>
      <c r="C305" s="31" t="inlineStr">
        <is>
          <t>fmcg</t>
        </is>
      </c>
      <c r="D305" s="31" t="inlineStr">
        <is>
          <t>breweries &amp; distilleries</t>
        </is>
      </c>
      <c r="E305" s="31" t="inlineStr">
        <is>
          <t>smallcap</t>
        </is>
      </c>
      <c r="F305" s="31" t="n">
        <v>1113.06</v>
      </c>
      <c r="G305" s="31" t="n">
        <v>37.61</v>
      </c>
      <c r="H305" s="31" t="n">
        <v>-0.27</v>
      </c>
      <c r="I305" s="31" t="n">
        <v>1684428</v>
      </c>
      <c r="J305" s="31" t="inlineStr">
        <is>
          <t>524332</t>
        </is>
      </c>
    </row>
    <row r="306">
      <c r="A306" s="31" t="inlineStr">
        <is>
          <t>ETHOSLTD</t>
        </is>
      </c>
      <c r="B306" s="31" t="inlineStr">
        <is>
          <t>Ethos Ltd</t>
        </is>
      </c>
      <c r="C306" s="31" t="inlineStr">
        <is>
          <t>consumer discretionary</t>
        </is>
      </c>
      <c r="D306" s="31" t="inlineStr">
        <is>
          <t>trading</t>
        </is>
      </c>
      <c r="E306" s="31" t="inlineStr">
        <is>
          <t>midcap</t>
        </is>
      </c>
      <c r="F306" s="31" t="n">
        <v>7745.55</v>
      </c>
      <c r="G306" s="31" t="n">
        <v>2887</v>
      </c>
      <c r="H306" s="31" t="n">
        <v>-0.27</v>
      </c>
      <c r="I306" s="31" t="n">
        <v>25742</v>
      </c>
      <c r="J306" s="31" t="inlineStr">
        <is>
          <t>543532</t>
        </is>
      </c>
    </row>
    <row r="307">
      <c r="A307" s="31" t="inlineStr">
        <is>
          <t>DIACABS</t>
        </is>
      </c>
      <c r="B307" s="31" t="inlineStr">
        <is>
          <t>Diamond Power Infrastructure Ltd</t>
        </is>
      </c>
      <c r="C307" s="31" t="inlineStr">
        <is>
          <t>industrials</t>
        </is>
      </c>
      <c r="D307" s="31" t="inlineStr">
        <is>
          <t>cables - power</t>
        </is>
      </c>
      <c r="E307" s="31" t="inlineStr">
        <is>
          <t>midcap</t>
        </is>
      </c>
      <c r="F307" s="31" t="n">
        <v>17880.13</v>
      </c>
      <c r="G307" s="31" t="n">
        <v>338.3</v>
      </c>
      <c r="H307" s="31" t="n">
        <v>-0.29</v>
      </c>
      <c r="I307" s="31" t="n">
        <v>1635772</v>
      </c>
      <c r="J307" s="31" t="inlineStr">
        <is>
          <t>522163</t>
        </is>
      </c>
    </row>
    <row r="308">
      <c r="A308" s="31" t="inlineStr">
        <is>
          <t>KOLTEPATIL</t>
        </is>
      </c>
      <c r="B308" s="31" t="inlineStr">
        <is>
          <t>Kolte - Patil Developers Limited</t>
        </is>
      </c>
      <c r="C308" s="31" t="inlineStr">
        <is>
          <t>realty</t>
        </is>
      </c>
      <c r="D308" s="31" t="inlineStr">
        <is>
          <t>construction</t>
        </is>
      </c>
      <c r="E308" s="31" t="inlineStr">
        <is>
          <t>smallcap</t>
        </is>
      </c>
      <c r="F308" s="31" t="n">
        <v>4074.41</v>
      </c>
      <c r="G308" s="31" t="n">
        <v>458</v>
      </c>
      <c r="H308" s="31" t="n">
        <v>-0.32</v>
      </c>
      <c r="I308" s="31" t="n">
        <v>105310</v>
      </c>
      <c r="J308" s="31" t="inlineStr">
        <is>
          <t>532924</t>
        </is>
      </c>
    </row>
    <row r="309">
      <c r="A309" s="31" t="inlineStr">
        <is>
          <t>VISHNU</t>
        </is>
      </c>
      <c r="B309" s="31" t="inlineStr">
        <is>
          <t>Vishnu Chemicals Limited</t>
        </is>
      </c>
      <c r="C309" s="31" t="inlineStr">
        <is>
          <t>chemicals</t>
        </is>
      </c>
      <c r="D309" s="31" t="inlineStr">
        <is>
          <t>chemicals</t>
        </is>
      </c>
      <c r="E309" s="31" t="inlineStr">
        <is>
          <t>smallcap</t>
        </is>
      </c>
      <c r="F309" s="31" t="n">
        <v>4327.7</v>
      </c>
      <c r="G309" s="31" t="n">
        <v>640.8</v>
      </c>
      <c r="H309" s="31" t="n">
        <v>-0.33</v>
      </c>
      <c r="I309" s="31" t="n">
        <v>124280</v>
      </c>
      <c r="J309" s="31" t="inlineStr">
        <is>
          <t>516072</t>
        </is>
      </c>
    </row>
    <row r="310">
      <c r="A310" s="31" t="inlineStr">
        <is>
          <t>KALYANKJIL</t>
        </is>
      </c>
      <c r="B310" s="31" t="inlineStr">
        <is>
          <t>Kalyan Jewellers India Ltd</t>
        </is>
      </c>
      <c r="C310" s="31" t="inlineStr">
        <is>
          <t>consumer discretionary</t>
        </is>
      </c>
      <c r="D310" s="31" t="inlineStr">
        <is>
          <t>diamond cutting / jewellery</t>
        </is>
      </c>
      <c r="E310" s="31" t="inlineStr">
        <is>
          <t>largecap</t>
        </is>
      </c>
      <c r="F310" s="31" t="n">
        <v>63265.67</v>
      </c>
      <c r="G310" s="31" t="n">
        <v>610.6</v>
      </c>
      <c r="H310" s="31" t="n">
        <v>-0.33</v>
      </c>
      <c r="I310" s="31" t="n">
        <v>4173127</v>
      </c>
      <c r="J310" s="31" t="inlineStr">
        <is>
          <t>543278</t>
        </is>
      </c>
    </row>
    <row r="311">
      <c r="A311" s="31" t="inlineStr">
        <is>
          <t>DOLPHIN</t>
        </is>
      </c>
      <c r="B311" s="31" t="inlineStr">
        <is>
          <t>Dolphin Offshore Enterprises (India) Ltd</t>
        </is>
      </c>
      <c r="C311" s="31" t="inlineStr">
        <is>
          <t>energy</t>
        </is>
      </c>
      <c r="D311" s="31" t="inlineStr">
        <is>
          <t>oil drilling / allied services</t>
        </is>
      </c>
      <c r="E311" s="31" t="inlineStr">
        <is>
          <t>smallcap</t>
        </is>
      </c>
      <c r="F311" s="31" t="n">
        <v>2441.28</v>
      </c>
      <c r="G311" s="31" t="n">
        <v>608.1</v>
      </c>
      <c r="H311" s="31" t="n">
        <v>-0.35</v>
      </c>
      <c r="I311" s="31" t="n">
        <v>73635</v>
      </c>
      <c r="J311" s="31" t="inlineStr">
        <is>
          <t>522261</t>
        </is>
      </c>
    </row>
    <row r="312">
      <c r="A312" s="31" t="inlineStr">
        <is>
          <t>RADICO</t>
        </is>
      </c>
      <c r="B312" s="31" t="inlineStr">
        <is>
          <t>Radico Khaitan Limited</t>
        </is>
      </c>
      <c r="C312" s="31" t="inlineStr">
        <is>
          <t>fmcg</t>
        </is>
      </c>
      <c r="D312" s="31" t="inlineStr">
        <is>
          <t>breweries &amp; distilleries</t>
        </is>
      </c>
      <c r="E312" s="31" t="inlineStr">
        <is>
          <t>largecap</t>
        </is>
      </c>
      <c r="F312" s="31" t="n">
        <v>62010.22</v>
      </c>
      <c r="G312" s="31" t="n">
        <v>4614</v>
      </c>
      <c r="H312" s="31" t="n">
        <v>-0.35</v>
      </c>
      <c r="I312" s="31" t="n">
        <v>225927</v>
      </c>
      <c r="J312" s="31" t="inlineStr">
        <is>
          <t>532497</t>
        </is>
      </c>
    </row>
    <row r="313">
      <c r="A313" s="31" t="inlineStr">
        <is>
          <t>DWARKESH</t>
        </is>
      </c>
      <c r="B313" s="31" t="inlineStr">
        <is>
          <t>Dwarikesh Sugar Industries Limited</t>
        </is>
      </c>
      <c r="C313" s="31" t="inlineStr">
        <is>
          <t>fmcg</t>
        </is>
      </c>
      <c r="D313" s="31" t="inlineStr">
        <is>
          <t>sugar</t>
        </is>
      </c>
      <c r="E313" s="31" t="inlineStr">
        <is>
          <t>smallcap</t>
        </is>
      </c>
      <c r="F313" s="31" t="n">
        <v>999.52</v>
      </c>
      <c r="G313" s="31" t="n">
        <v>53.75</v>
      </c>
      <c r="H313" s="31" t="n">
        <v>-0.35</v>
      </c>
      <c r="I313" s="31" t="n">
        <v>7024516</v>
      </c>
      <c r="J313" s="31" t="inlineStr">
        <is>
          <t>532610</t>
        </is>
      </c>
    </row>
    <row r="314">
      <c r="A314" s="31" t="inlineStr">
        <is>
          <t>SHALPAINTS</t>
        </is>
      </c>
      <c r="B314" s="31" t="inlineStr">
        <is>
          <t>Shalimar Paints Limited</t>
        </is>
      </c>
      <c r="C314" s="31" t="inlineStr">
        <is>
          <t>building materials</t>
        </is>
      </c>
      <c r="D314" s="31" t="inlineStr">
        <is>
          <t>paints / varnishes</t>
        </is>
      </c>
      <c r="E314" s="31" t="inlineStr">
        <is>
          <t>smallcap</t>
        </is>
      </c>
      <c r="F314" s="31" t="n">
        <v>685.34</v>
      </c>
      <c r="G314" s="31" t="n">
        <v>81.53</v>
      </c>
      <c r="H314" s="31" t="n">
        <v>-0.42</v>
      </c>
      <c r="I314" s="31" t="n">
        <v>96769</v>
      </c>
      <c r="J314" s="31" t="inlineStr">
        <is>
          <t>509874</t>
        </is>
      </c>
    </row>
    <row r="315">
      <c r="A315" s="31" t="inlineStr">
        <is>
          <t>SHREEPUSHK</t>
        </is>
      </c>
      <c r="B315" s="31" t="inlineStr">
        <is>
          <t>Shree Pushkar Chemicals &amp; Fertilisers Limited</t>
        </is>
      </c>
      <c r="C315" s="31" t="inlineStr">
        <is>
          <t>chemicals</t>
        </is>
      </c>
      <c r="D315" s="31" t="inlineStr">
        <is>
          <t>dyes and pigments</t>
        </is>
      </c>
      <c r="E315" s="31" t="inlineStr">
        <is>
          <t>smallcap</t>
        </is>
      </c>
      <c r="F315" s="31" t="n">
        <v>1468.45</v>
      </c>
      <c r="G315" s="31" t="n">
        <v>452.15</v>
      </c>
      <c r="H315" s="31" t="n">
        <v>-0.43</v>
      </c>
      <c r="I315" s="31" t="n">
        <v>177901</v>
      </c>
      <c r="J315" s="31" t="inlineStr">
        <is>
          <t>539334</t>
        </is>
      </c>
    </row>
    <row r="316">
      <c r="A316" s="31" t="inlineStr">
        <is>
          <t>MATRIMONY</t>
        </is>
      </c>
      <c r="B316" s="31" t="inlineStr">
        <is>
          <t>Matrimony.com Ltd</t>
        </is>
      </c>
      <c r="C316" s="31" t="inlineStr">
        <is>
          <t>miscellaneous</t>
        </is>
      </c>
      <c r="D316" s="31" t="inlineStr">
        <is>
          <t>miscellaneous</t>
        </is>
      </c>
      <c r="E316" s="31" t="inlineStr">
        <is>
          <t>smallcap</t>
        </is>
      </c>
      <c r="F316" s="31" t="n">
        <v>1073.47</v>
      </c>
      <c r="G316" s="31" t="n">
        <v>517</v>
      </c>
      <c r="H316" s="31" t="n">
        <v>-0.43</v>
      </c>
      <c r="I316" s="31" t="n">
        <v>11622</v>
      </c>
      <c r="J316" s="31" t="inlineStr">
        <is>
          <t>540704</t>
        </is>
      </c>
    </row>
    <row r="317">
      <c r="A317" s="31" t="inlineStr">
        <is>
          <t>SHRIPISTON</t>
        </is>
      </c>
      <c r="B317" s="31" t="inlineStr">
        <is>
          <t>Shriram Pistons &amp; Rings Limited</t>
        </is>
      </c>
      <c r="C317" s="31" t="inlineStr">
        <is>
          <t>auto</t>
        </is>
      </c>
      <c r="D317" s="31" t="inlineStr">
        <is>
          <t>auto ancillaries</t>
        </is>
      </c>
      <c r="E317" s="31" t="inlineStr">
        <is>
          <t>largecap</t>
        </is>
      </c>
      <c r="F317" s="31" t="n">
        <v>20394.63</v>
      </c>
      <c r="G317" s="31" t="n">
        <v>4610</v>
      </c>
      <c r="H317" s="31" t="n">
        <v>-0.43</v>
      </c>
      <c r="I317" s="31" t="n">
        <v>105953</v>
      </c>
      <c r="J317" s="31" t="n"/>
    </row>
    <row r="318">
      <c r="A318" s="31" t="inlineStr">
        <is>
          <t>SHANTIGEAR</t>
        </is>
      </c>
      <c r="B318" s="31" t="inlineStr">
        <is>
          <t>Shanthi Gears Limited</t>
        </is>
      </c>
      <c r="C318" s="31" t="inlineStr">
        <is>
          <t>industrials</t>
        </is>
      </c>
      <c r="D318" s="31" t="inlineStr">
        <is>
          <t>engineering</t>
        </is>
      </c>
      <c r="E318" s="31" t="inlineStr">
        <is>
          <t>smallcap</t>
        </is>
      </c>
      <c r="F318" s="31" t="n">
        <v>4279.98</v>
      </c>
      <c r="G318" s="31" t="n">
        <v>555.45</v>
      </c>
      <c r="H318" s="31" t="n">
        <v>-0.44</v>
      </c>
      <c r="I318" s="31" t="n">
        <v>1853384</v>
      </c>
      <c r="J318" s="31" t="inlineStr">
        <is>
          <t>522034</t>
        </is>
      </c>
    </row>
    <row r="319">
      <c r="A319" s="31" t="inlineStr">
        <is>
          <t>NAZARA</t>
        </is>
      </c>
      <c r="B319" s="31" t="inlineStr">
        <is>
          <t>Nazara Technologies Ltd</t>
        </is>
      </c>
      <c r="C319" s="31" t="inlineStr">
        <is>
          <t>i.t</t>
        </is>
      </c>
      <c r="D319" s="31" t="inlineStr">
        <is>
          <t>telecommunications - service provider</t>
        </is>
      </c>
      <c r="E319" s="31" t="inlineStr">
        <is>
          <t>midcap</t>
        </is>
      </c>
      <c r="F319" s="31" t="n">
        <v>13772.12</v>
      </c>
      <c r="G319" s="31" t="n">
        <v>356.35</v>
      </c>
      <c r="H319" s="31" t="n">
        <v>-0.46</v>
      </c>
      <c r="I319" s="31" t="n">
        <v>537958</v>
      </c>
      <c r="J319" s="31" t="inlineStr">
        <is>
          <t>543280</t>
        </is>
      </c>
    </row>
    <row r="320">
      <c r="A320" s="31" t="inlineStr">
        <is>
          <t>TITAN</t>
        </is>
      </c>
      <c r="B320" s="31" t="inlineStr">
        <is>
          <t>Titan Company Limited</t>
        </is>
      </c>
      <c r="C320" s="31" t="inlineStr">
        <is>
          <t>consumer discretionary</t>
        </is>
      </c>
      <c r="D320" s="31" t="inlineStr">
        <is>
          <t>diamond cutting / jewellery</t>
        </is>
      </c>
      <c r="E320" s="31" t="inlineStr">
        <is>
          <t>largecap</t>
        </is>
      </c>
      <c r="F320" s="31" t="n">
        <v>454972.65</v>
      </c>
      <c r="G320" s="31" t="n">
        <v>5100</v>
      </c>
      <c r="H320" s="31" t="n">
        <v>-0.48</v>
      </c>
      <c r="I320" s="31" t="n">
        <v>365523</v>
      </c>
      <c r="J320" s="31" t="inlineStr">
        <is>
          <t>500114</t>
        </is>
      </c>
    </row>
    <row r="321">
      <c r="A321" s="31" t="inlineStr">
        <is>
          <t>YUKEN</t>
        </is>
      </c>
      <c r="B321" s="31" t="inlineStr">
        <is>
          <t>Yuken India Ltd</t>
        </is>
      </c>
      <c r="C321" s="31" t="inlineStr">
        <is>
          <t>industrials</t>
        </is>
      </c>
      <c r="D321" s="31" t="inlineStr">
        <is>
          <t>engineering</t>
        </is>
      </c>
      <c r="E321" s="31" t="inlineStr">
        <is>
          <t>smallcap</t>
        </is>
      </c>
      <c r="F321" s="31" t="n">
        <v>1281.58</v>
      </c>
      <c r="G321" s="31" t="n">
        <v>938.75</v>
      </c>
      <c r="H321" s="31" t="n">
        <v>-0.5</v>
      </c>
      <c r="I321" s="31" t="n">
        <v>7859</v>
      </c>
      <c r="J321" s="31" t="inlineStr">
        <is>
          <t>522108</t>
        </is>
      </c>
    </row>
    <row r="322">
      <c r="A322" s="31" t="inlineStr">
        <is>
          <t>ASAHIINDIA</t>
        </is>
      </c>
      <c r="B322" s="31" t="inlineStr">
        <is>
          <t>Asahi India Glass Limited</t>
        </is>
      </c>
      <c r="C322" s="31" t="inlineStr">
        <is>
          <t>building materials</t>
        </is>
      </c>
      <c r="D322" s="31" t="inlineStr">
        <is>
          <t>glass &amp; glass products</t>
        </is>
      </c>
      <c r="E322" s="31" t="inlineStr">
        <is>
          <t>largecap</t>
        </is>
      </c>
      <c r="F322" s="31" t="n">
        <v>24368.49</v>
      </c>
      <c r="G322" s="31" t="n">
        <v>951.15</v>
      </c>
      <c r="H322" s="31" t="n">
        <v>-0.5</v>
      </c>
      <c r="I322" s="31" t="n">
        <v>63807</v>
      </c>
      <c r="J322" s="31" t="inlineStr">
        <is>
          <t>515030</t>
        </is>
      </c>
    </row>
    <row r="323">
      <c r="A323" s="31" t="inlineStr">
        <is>
          <t>VIJAYA</t>
        </is>
      </c>
      <c r="B323" s="31" t="inlineStr">
        <is>
          <t>Vijaya Diagnostic Centre Ltd</t>
        </is>
      </c>
      <c r="C323" s="31" t="inlineStr">
        <is>
          <t>healthcare</t>
        </is>
      </c>
      <c r="D323" s="31" t="inlineStr">
        <is>
          <t>healthcare</t>
        </is>
      </c>
      <c r="E323" s="31" t="inlineStr">
        <is>
          <t>midcap</t>
        </is>
      </c>
      <c r="F323" s="31" t="n">
        <v>15263.7</v>
      </c>
      <c r="G323" s="31" t="n">
        <v>1475.9</v>
      </c>
      <c r="H323" s="31" t="n">
        <v>-0.51</v>
      </c>
      <c r="I323" s="31" t="n">
        <v>101370</v>
      </c>
      <c r="J323" s="31" t="inlineStr">
        <is>
          <t>543350</t>
        </is>
      </c>
    </row>
    <row r="324">
      <c r="A324" s="31" t="inlineStr">
        <is>
          <t>AURUM</t>
        </is>
      </c>
      <c r="B324" s="31" t="inlineStr">
        <is>
          <t>Aurum Proptech Ltd</t>
        </is>
      </c>
      <c r="C324" s="31" t="inlineStr">
        <is>
          <t>i.t</t>
        </is>
      </c>
      <c r="D324" s="31" t="inlineStr">
        <is>
          <t>computers - software - medium / small</t>
        </is>
      </c>
      <c r="E324" s="31" t="inlineStr">
        <is>
          <t>smallcap</t>
        </is>
      </c>
      <c r="F324" s="31" t="n">
        <v>1814.5</v>
      </c>
      <c r="G324" s="31" t="n">
        <v>235.24</v>
      </c>
      <c r="H324" s="31" t="n">
        <v>-0.52</v>
      </c>
      <c r="I324" s="31" t="n">
        <v>240670</v>
      </c>
      <c r="J324" s="31" t="inlineStr">
        <is>
          <t>539289</t>
        </is>
      </c>
    </row>
    <row r="325">
      <c r="A325" s="31" t="inlineStr">
        <is>
          <t>EDELWEISS</t>
        </is>
      </c>
      <c r="B325" s="31" t="inlineStr">
        <is>
          <t>Edelweiss Financial Services Limited</t>
        </is>
      </c>
      <c r="C325" s="31" t="inlineStr">
        <is>
          <t>financials</t>
        </is>
      </c>
      <c r="D325" s="31" t="inlineStr">
        <is>
          <t>finance &amp; investments</t>
        </is>
      </c>
      <c r="E325" s="31" t="inlineStr">
        <is>
          <t>midcap</t>
        </is>
      </c>
      <c r="F325" s="31" t="n">
        <v>12129.8</v>
      </c>
      <c r="G325" s="31" t="n">
        <v>127.47</v>
      </c>
      <c r="H325" s="31" t="n">
        <v>-0.53</v>
      </c>
      <c r="I325" s="31" t="n">
        <v>2310477</v>
      </c>
      <c r="J325" s="31" t="inlineStr">
        <is>
          <t>532922</t>
        </is>
      </c>
    </row>
    <row r="326">
      <c r="A326" s="31" t="inlineStr">
        <is>
          <t>TCPLPACK</t>
        </is>
      </c>
      <c r="B326" s="31" t="inlineStr">
        <is>
          <t>TCPL Packaging Ltd</t>
        </is>
      </c>
      <c r="C326" s="31" t="inlineStr">
        <is>
          <t>industrials</t>
        </is>
      </c>
      <c r="D326" s="31" t="inlineStr">
        <is>
          <t>packaging</t>
        </is>
      </c>
      <c r="E326" s="31" t="inlineStr">
        <is>
          <t>smallcap</t>
        </is>
      </c>
      <c r="F326" s="31" t="n">
        <v>3564.65</v>
      </c>
      <c r="G326" s="31" t="n">
        <v>3895.4</v>
      </c>
      <c r="H326" s="31" t="n">
        <v>-0.5600000000000001</v>
      </c>
      <c r="I326" s="31" t="n">
        <v>5525</v>
      </c>
      <c r="J326" s="31" t="inlineStr">
        <is>
          <t>523301</t>
        </is>
      </c>
    </row>
    <row r="327">
      <c r="A327" s="31" t="inlineStr">
        <is>
          <t>MANAPPURAM</t>
        </is>
      </c>
      <c r="B327" s="31" t="inlineStr">
        <is>
          <t>Manappuram Finance Limited</t>
        </is>
      </c>
      <c r="C327" s="31" t="inlineStr">
        <is>
          <t>financials</t>
        </is>
      </c>
      <c r="D327" s="31" t="inlineStr">
        <is>
          <t>finance &amp; investments</t>
        </is>
      </c>
      <c r="E327" s="31" t="inlineStr">
        <is>
          <t>largecap</t>
        </is>
      </c>
      <c r="F327" s="31" t="n">
        <v>34515.91</v>
      </c>
      <c r="G327" s="31" t="n">
        <v>365.4</v>
      </c>
      <c r="H327" s="31" t="n">
        <v>-0.5600000000000001</v>
      </c>
      <c r="I327" s="31" t="n">
        <v>3974025</v>
      </c>
      <c r="J327" s="31" t="inlineStr">
        <is>
          <t>531213</t>
        </is>
      </c>
    </row>
    <row r="328">
      <c r="A328" s="31" t="inlineStr">
        <is>
          <t>ESABINDIA</t>
        </is>
      </c>
      <c r="B328" s="31" t="inlineStr">
        <is>
          <t>Esab India Limited</t>
        </is>
      </c>
      <c r="C328" s="31" t="inlineStr">
        <is>
          <t>industrials</t>
        </is>
      </c>
      <c r="D328" s="31" t="inlineStr">
        <is>
          <t>electrodes - welding equipment</t>
        </is>
      </c>
      <c r="E328" s="31" t="inlineStr">
        <is>
          <t>midcap</t>
        </is>
      </c>
      <c r="F328" s="31" t="n">
        <v>9495.18</v>
      </c>
      <c r="G328" s="31" t="n">
        <v>6134</v>
      </c>
      <c r="H328" s="31" t="n">
        <v>-0.5600000000000001</v>
      </c>
      <c r="I328" s="31" t="n">
        <v>6529</v>
      </c>
      <c r="J328" s="31" t="inlineStr">
        <is>
          <t>500133</t>
        </is>
      </c>
    </row>
    <row r="329">
      <c r="A329" s="31" t="inlineStr">
        <is>
          <t>RACLGEAR</t>
        </is>
      </c>
      <c r="B329" s="31" t="inlineStr">
        <is>
          <t>RACL Geartech Ltd</t>
        </is>
      </c>
      <c r="C329" s="31" t="inlineStr">
        <is>
          <t>auto</t>
        </is>
      </c>
      <c r="D329" s="31" t="inlineStr">
        <is>
          <t>auto ancillaries</t>
        </is>
      </c>
      <c r="E329" s="31" t="inlineStr">
        <is>
          <t>smallcap</t>
        </is>
      </c>
      <c r="F329" s="31" t="n">
        <v>1781.3</v>
      </c>
      <c r="G329" s="31" t="n">
        <v>1502</v>
      </c>
      <c r="H329" s="31" t="n">
        <v>-0.6</v>
      </c>
      <c r="I329" s="31" t="n">
        <v>20130</v>
      </c>
      <c r="J329" s="31" t="inlineStr">
        <is>
          <t>520073</t>
        </is>
      </c>
    </row>
    <row r="330">
      <c r="A330" s="31" t="inlineStr">
        <is>
          <t>COSMOFIRST</t>
        </is>
      </c>
      <c r="B330" s="31" t="inlineStr">
        <is>
          <t>Cosmo First Ltd</t>
        </is>
      </c>
      <c r="C330" s="31" t="inlineStr">
        <is>
          <t>industrials</t>
        </is>
      </c>
      <c r="D330" s="31" t="inlineStr">
        <is>
          <t>packaging</t>
        </is>
      </c>
      <c r="E330" s="31" t="inlineStr">
        <is>
          <t>smallcap</t>
        </is>
      </c>
      <c r="F330" s="31" t="n">
        <v>2442.93</v>
      </c>
      <c r="G330" s="31" t="n">
        <v>924.95</v>
      </c>
      <c r="H330" s="31" t="n">
        <v>-0.61</v>
      </c>
      <c r="I330" s="31" t="n">
        <v>125463</v>
      </c>
      <c r="J330" s="31" t="inlineStr">
        <is>
          <t>508814</t>
        </is>
      </c>
    </row>
    <row r="331">
      <c r="A331" s="31" t="inlineStr">
        <is>
          <t>GNFC</t>
        </is>
      </c>
      <c r="B331" s="31" t="inlineStr">
        <is>
          <t>Gujarat Narmada Valley Fertilizers And Chemicals Limited</t>
        </is>
      </c>
      <c r="C331" s="31" t="inlineStr">
        <is>
          <t>chemicals</t>
        </is>
      </c>
      <c r="D331" s="31" t="inlineStr">
        <is>
          <t>chemicals</t>
        </is>
      </c>
      <c r="E331" s="31" t="inlineStr">
        <is>
          <t>midcap</t>
        </is>
      </c>
      <c r="F331" s="31" t="n">
        <v>8640.110000000001</v>
      </c>
      <c r="G331" s="31" t="n">
        <v>584.25</v>
      </c>
      <c r="H331" s="31" t="n">
        <v>-0.64</v>
      </c>
      <c r="I331" s="31" t="n">
        <v>298084</v>
      </c>
      <c r="J331" s="31" t="inlineStr">
        <is>
          <t>500670</t>
        </is>
      </c>
    </row>
    <row r="332">
      <c r="A332" s="31" t="inlineStr">
        <is>
          <t>POLYPLEX</t>
        </is>
      </c>
      <c r="B332" s="31" t="inlineStr">
        <is>
          <t>Polyplex Corporation Limited</t>
        </is>
      </c>
      <c r="C332" s="31" t="inlineStr">
        <is>
          <t>industrials</t>
        </is>
      </c>
      <c r="D332" s="31" t="inlineStr">
        <is>
          <t>packaging</t>
        </is>
      </c>
      <c r="E332" s="31" t="inlineStr">
        <is>
          <t>smallcap</t>
        </is>
      </c>
      <c r="F332" s="31" t="n">
        <v>3704.94</v>
      </c>
      <c r="G332" s="31" t="n">
        <v>1172.5</v>
      </c>
      <c r="H332" s="31" t="n">
        <v>-0.65</v>
      </c>
      <c r="I332" s="31" t="n">
        <v>61237</v>
      </c>
      <c r="J332" s="31" t="inlineStr">
        <is>
          <t>524051</t>
        </is>
      </c>
    </row>
    <row r="333">
      <c r="A333" s="31" t="inlineStr">
        <is>
          <t>APOLLOPIPE</t>
        </is>
      </c>
      <c r="B333" s="31" t="inlineStr">
        <is>
          <t>Apollo Pipes Ltd</t>
        </is>
      </c>
      <c r="C333" s="31" t="inlineStr">
        <is>
          <t>plastic products</t>
        </is>
      </c>
      <c r="D333" s="31" t="inlineStr">
        <is>
          <t>plastics products</t>
        </is>
      </c>
      <c r="E333" s="31" t="inlineStr">
        <is>
          <t>smallcap</t>
        </is>
      </c>
      <c r="F333" s="31" t="n">
        <v>2923.7</v>
      </c>
      <c r="G333" s="31" t="n">
        <v>659.35</v>
      </c>
      <c r="H333" s="31" t="n">
        <v>-0.66</v>
      </c>
      <c r="I333" s="31" t="n">
        <v>549208</v>
      </c>
      <c r="J333" s="31" t="inlineStr">
        <is>
          <t>531761</t>
        </is>
      </c>
    </row>
    <row r="334">
      <c r="A334" s="31" t="inlineStr">
        <is>
          <t>COFORGE</t>
        </is>
      </c>
      <c r="B334" s="31" t="inlineStr">
        <is>
          <t>Coforge (Niit Tech) Ltd</t>
        </is>
      </c>
      <c r="C334" s="31" t="inlineStr">
        <is>
          <t>i.t</t>
        </is>
      </c>
      <c r="D334" s="31" t="inlineStr">
        <is>
          <t>computers - software - large</t>
        </is>
      </c>
      <c r="E334" s="31" t="inlineStr">
        <is>
          <t>largecap</t>
        </is>
      </c>
      <c r="F334" s="31" t="n">
        <v>83792.52</v>
      </c>
      <c r="G334" s="31" t="n">
        <v>1880</v>
      </c>
      <c r="H334" s="31" t="n">
        <v>-0.68</v>
      </c>
      <c r="I334" s="31" t="n">
        <v>1611763</v>
      </c>
      <c r="J334" s="31" t="inlineStr">
        <is>
          <t>532541</t>
        </is>
      </c>
    </row>
    <row r="335">
      <c r="A335" s="31" t="inlineStr">
        <is>
          <t>UNITDSPR</t>
        </is>
      </c>
      <c r="B335" s="31" t="inlineStr">
        <is>
          <t>United Spirits Ltd</t>
        </is>
      </c>
      <c r="C335" s="31" t="inlineStr">
        <is>
          <t>fmcg</t>
        </is>
      </c>
      <c r="D335" s="31" t="inlineStr">
        <is>
          <t>breweries &amp; distilleries</t>
        </is>
      </c>
      <c r="E335" s="31" t="inlineStr">
        <is>
          <t>largecap</t>
        </is>
      </c>
      <c r="F335" s="31" t="n">
        <v>112739.38</v>
      </c>
      <c r="G335" s="31" t="n">
        <v>1538.5</v>
      </c>
      <c r="H335" s="31" t="n">
        <v>-0.74</v>
      </c>
      <c r="I335" s="31" t="n">
        <v>617255</v>
      </c>
      <c r="J335" s="31" t="inlineStr">
        <is>
          <t>532432</t>
        </is>
      </c>
    </row>
    <row r="336">
      <c r="A336" s="31" t="inlineStr">
        <is>
          <t>UNIVCABLES</t>
        </is>
      </c>
      <c r="B336" s="31" t="inlineStr">
        <is>
          <t>Universal Cables Limited</t>
        </is>
      </c>
      <c r="C336" s="31" t="inlineStr">
        <is>
          <t>industrials</t>
        </is>
      </c>
      <c r="D336" s="31" t="inlineStr">
        <is>
          <t>cables - power</t>
        </is>
      </c>
      <c r="E336" s="31" t="inlineStr">
        <is>
          <t>midcap</t>
        </is>
      </c>
      <c r="F336" s="31" t="n">
        <v>5516.22</v>
      </c>
      <c r="G336" s="31" t="n">
        <v>1578</v>
      </c>
      <c r="H336" s="31" t="n">
        <v>-0.75</v>
      </c>
      <c r="I336" s="31" t="n">
        <v>85123</v>
      </c>
      <c r="J336" s="31" t="inlineStr">
        <is>
          <t>504212</t>
        </is>
      </c>
    </row>
    <row r="337">
      <c r="A337" s="31" t="inlineStr">
        <is>
          <t>BANARISUG</t>
        </is>
      </c>
      <c r="B337" s="31" t="inlineStr">
        <is>
          <t>Bannari Amman Sugars Limited</t>
        </is>
      </c>
      <c r="C337" s="31" t="inlineStr">
        <is>
          <t>fmcg</t>
        </is>
      </c>
      <c r="D337" s="31" t="inlineStr">
        <is>
          <t>sugar</t>
        </is>
      </c>
      <c r="E337" s="31" t="inlineStr">
        <is>
          <t>smallcap</t>
        </is>
      </c>
      <c r="F337" s="31" t="n">
        <v>4890.36</v>
      </c>
      <c r="G337" s="31" t="n">
        <v>3870.3</v>
      </c>
      <c r="H337" s="31" t="n">
        <v>-0.76</v>
      </c>
      <c r="I337" s="31" t="n">
        <v>2424</v>
      </c>
      <c r="J337" s="31" t="inlineStr">
        <is>
          <t>500041</t>
        </is>
      </c>
    </row>
    <row r="338">
      <c r="A338" s="31" t="inlineStr">
        <is>
          <t>MANORAMA</t>
        </is>
      </c>
      <c r="B338" s="31" t="inlineStr">
        <is>
          <t>Manorama Industries Ltd</t>
        </is>
      </c>
      <c r="C338" s="31" t="inlineStr">
        <is>
          <t>fmcg</t>
        </is>
      </c>
      <c r="D338" s="31" t="inlineStr">
        <is>
          <t>food - processing - indian</t>
        </is>
      </c>
      <c r="E338" s="31" t="inlineStr">
        <is>
          <t>midcap</t>
        </is>
      </c>
      <c r="F338" s="31" t="n">
        <v>11431.8</v>
      </c>
      <c r="G338" s="31" t="n">
        <v>1900</v>
      </c>
      <c r="H338" s="31" t="n">
        <v>-0.76</v>
      </c>
      <c r="I338" s="31" t="n">
        <v>157521</v>
      </c>
      <c r="J338" s="31" t="inlineStr">
        <is>
          <t>541974</t>
        </is>
      </c>
    </row>
    <row r="339">
      <c r="A339" s="31" t="inlineStr">
        <is>
          <t>MODISONLTD</t>
        </is>
      </c>
      <c r="B339" s="31" t="inlineStr">
        <is>
          <t>Modison Ltd</t>
        </is>
      </c>
      <c r="C339" s="31" t="inlineStr">
        <is>
          <t>industrials</t>
        </is>
      </c>
      <c r="D339" s="31" t="inlineStr">
        <is>
          <t>electric equipment</t>
        </is>
      </c>
      <c r="E339" s="31" t="inlineStr">
        <is>
          <t>smallcap</t>
        </is>
      </c>
      <c r="F339" s="31" t="n">
        <v>1346.19</v>
      </c>
      <c r="G339" s="31" t="n">
        <v>411.6</v>
      </c>
      <c r="H339" s="31" t="n">
        <v>-0.78</v>
      </c>
      <c r="I339" s="31" t="n">
        <v>108441</v>
      </c>
      <c r="J339" s="31" t="inlineStr">
        <is>
          <t>506261</t>
        </is>
      </c>
    </row>
    <row r="340">
      <c r="A340" s="31" t="inlineStr">
        <is>
          <t>MANALIPETC</t>
        </is>
      </c>
      <c r="B340" s="31" t="inlineStr">
        <is>
          <t>Manali Petrochemicals Limited</t>
        </is>
      </c>
      <c r="C340" s="31" t="inlineStr">
        <is>
          <t>energy</t>
        </is>
      </c>
      <c r="D340" s="31" t="inlineStr">
        <is>
          <t>petrochemicals</t>
        </is>
      </c>
      <c r="E340" s="31" t="inlineStr">
        <is>
          <t>smallcap</t>
        </is>
      </c>
      <c r="F340" s="31" t="n">
        <v>1287.76</v>
      </c>
      <c r="G340" s="31" t="n">
        <v>74.26000000000001</v>
      </c>
      <c r="H340" s="31" t="n">
        <v>-0.8100000000000001</v>
      </c>
      <c r="I340" s="31" t="n">
        <v>685801</v>
      </c>
      <c r="J340" s="31" t="inlineStr">
        <is>
          <t>500268</t>
        </is>
      </c>
    </row>
    <row r="341">
      <c r="A341" s="31" t="inlineStr">
        <is>
          <t>TNPETRO</t>
        </is>
      </c>
      <c r="B341" s="31" t="inlineStr">
        <is>
          <t>Tamilnadu Petroproducts Limited</t>
        </is>
      </c>
      <c r="C341" s="31" t="inlineStr">
        <is>
          <t>energy</t>
        </is>
      </c>
      <c r="D341" s="31" t="inlineStr">
        <is>
          <t>petrochemicals</t>
        </is>
      </c>
      <c r="E341" s="31" t="inlineStr">
        <is>
          <t>smallcap</t>
        </is>
      </c>
      <c r="F341" s="31" t="n">
        <v>1027.56</v>
      </c>
      <c r="G341" s="31" t="n">
        <v>113.27</v>
      </c>
      <c r="H341" s="31" t="n">
        <v>-0.82</v>
      </c>
      <c r="I341" s="31" t="n">
        <v>253480</v>
      </c>
      <c r="J341" s="31" t="inlineStr">
        <is>
          <t>500777</t>
        </is>
      </c>
    </row>
    <row r="342">
      <c r="A342" s="31" t="inlineStr">
        <is>
          <t>QPOWER</t>
        </is>
      </c>
      <c r="B342" s="31" t="inlineStr">
        <is>
          <t>Quality Power Electrical Equipments Ltd</t>
        </is>
      </c>
      <c r="C342" s="31" t="inlineStr">
        <is>
          <t>industrials</t>
        </is>
      </c>
      <c r="D342" s="31" t="inlineStr">
        <is>
          <t>electric equipment</t>
        </is>
      </c>
      <c r="E342" s="31" t="inlineStr">
        <is>
          <t>midcap</t>
        </is>
      </c>
      <c r="F342" s="31" t="n">
        <v>10138.21</v>
      </c>
      <c r="G342" s="31" t="n">
        <v>1298.2</v>
      </c>
      <c r="H342" s="31" t="n">
        <v>-0.83</v>
      </c>
      <c r="I342" s="31" t="n">
        <v>309438</v>
      </c>
      <c r="J342" s="31" t="inlineStr">
        <is>
          <t>544367</t>
        </is>
      </c>
    </row>
    <row r="343">
      <c r="A343" s="31" t="inlineStr">
        <is>
          <t>ACMESOLAR</t>
        </is>
      </c>
      <c r="B343" s="31" t="inlineStr">
        <is>
          <t>ACME Solar Holdings Ltd</t>
        </is>
      </c>
      <c r="C343" s="31" t="inlineStr">
        <is>
          <t>realty</t>
        </is>
      </c>
      <c r="D343" s="31" t="inlineStr">
        <is>
          <t>engineering - turnkey services</t>
        </is>
      </c>
      <c r="E343" s="31" t="inlineStr">
        <is>
          <t>largecap</t>
        </is>
      </c>
      <c r="F343" s="31" t="n">
        <v>28225.49</v>
      </c>
      <c r="G343" s="31" t="n">
        <v>395.95</v>
      </c>
      <c r="H343" s="31" t="n">
        <v>-0.84</v>
      </c>
      <c r="I343" s="31" t="n">
        <v>1294315</v>
      </c>
      <c r="J343" s="31" t="inlineStr">
        <is>
          <t>544283</t>
        </is>
      </c>
    </row>
    <row r="344">
      <c r="A344" s="31" t="inlineStr">
        <is>
          <t>KRN</t>
        </is>
      </c>
      <c r="B344" s="31" t="inlineStr">
        <is>
          <t>KRN Heat Exchanger and Refrigeration Ltd</t>
        </is>
      </c>
      <c r="C344" s="31" t="inlineStr">
        <is>
          <t>industrials</t>
        </is>
      </c>
      <c r="D344" s="31" t="inlineStr">
        <is>
          <t>engineering</t>
        </is>
      </c>
      <c r="E344" s="31" t="inlineStr">
        <is>
          <t>midcap</t>
        </is>
      </c>
      <c r="F344" s="31" t="n">
        <v>9981.110000000001</v>
      </c>
      <c r="G344" s="31" t="n">
        <v>1511.9</v>
      </c>
      <c r="H344" s="31" t="n">
        <v>-0.85</v>
      </c>
      <c r="I344" s="31" t="n">
        <v>156354</v>
      </c>
      <c r="J344" s="31" t="inlineStr">
        <is>
          <t>544263</t>
        </is>
      </c>
    </row>
    <row r="345">
      <c r="A345" s="31" t="inlineStr">
        <is>
          <t>IDEA</t>
        </is>
      </c>
      <c r="B345" s="31" t="inlineStr">
        <is>
          <t>Vodafone Idea Ltd</t>
        </is>
      </c>
      <c r="C345" s="31" t="inlineStr">
        <is>
          <t>telecom-service</t>
        </is>
      </c>
      <c r="D345" s="31" t="inlineStr">
        <is>
          <t>telecommunications - service provider</t>
        </is>
      </c>
      <c r="E345" s="31" t="inlineStr">
        <is>
          <t>largecap</t>
        </is>
      </c>
      <c r="F345" s="31" t="n">
        <v>164573.07</v>
      </c>
      <c r="G345" s="31" t="n">
        <v>15.06</v>
      </c>
      <c r="H345" s="31" t="n">
        <v>-0.86</v>
      </c>
      <c r="I345" s="31" t="n">
        <v>479444444</v>
      </c>
      <c r="J345" s="31" t="inlineStr">
        <is>
          <t>532822</t>
        </is>
      </c>
    </row>
    <row r="346">
      <c r="A346" s="31" t="inlineStr">
        <is>
          <t>VGUARD</t>
        </is>
      </c>
      <c r="B346" s="31" t="inlineStr">
        <is>
          <t>V-guard Industries Limited</t>
        </is>
      </c>
      <c r="C346" s="31" t="inlineStr">
        <is>
          <t>industrials</t>
        </is>
      </c>
      <c r="D346" s="31" t="inlineStr">
        <is>
          <t>electric equipment</t>
        </is>
      </c>
      <c r="E346" s="31" t="inlineStr">
        <is>
          <t>midcap</t>
        </is>
      </c>
      <c r="F346" s="31" t="n">
        <v>14535.37</v>
      </c>
      <c r="G346" s="31" t="n">
        <v>329.85</v>
      </c>
      <c r="H346" s="31" t="n">
        <v>-0.86</v>
      </c>
      <c r="I346" s="31" t="n">
        <v>636817</v>
      </c>
      <c r="J346" s="31" t="inlineStr">
        <is>
          <t>532953</t>
        </is>
      </c>
    </row>
    <row r="347">
      <c r="A347" s="31" t="inlineStr">
        <is>
          <t>MOTHERSON</t>
        </is>
      </c>
      <c r="B347" s="31" t="inlineStr">
        <is>
          <t>Samvardhana Motherson International Ltd</t>
        </is>
      </c>
      <c r="C347" s="31" t="inlineStr">
        <is>
          <t>auto</t>
        </is>
      </c>
      <c r="D347" s="31" t="inlineStr">
        <is>
          <t>auto ancillaries</t>
        </is>
      </c>
      <c r="E347" s="31" t="inlineStr">
        <is>
          <t>largecap</t>
        </is>
      </c>
      <c r="F347" s="31" t="n">
        <v>175678.7</v>
      </c>
      <c r="G347" s="31" t="n">
        <v>165</v>
      </c>
      <c r="H347" s="31" t="n">
        <v>-0.87</v>
      </c>
      <c r="I347" s="31" t="n">
        <v>9872285</v>
      </c>
      <c r="J347" s="31" t="inlineStr">
        <is>
          <t>517334</t>
        </is>
      </c>
    </row>
    <row r="348">
      <c r="A348" s="31" t="inlineStr">
        <is>
          <t>MBAPL</t>
        </is>
      </c>
      <c r="B348" s="31" t="inlineStr">
        <is>
          <t>Madhya Bharat Agro Products Ltd</t>
        </is>
      </c>
      <c r="C348" s="31" t="inlineStr">
        <is>
          <t>chemicals</t>
        </is>
      </c>
      <c r="D348" s="31" t="inlineStr">
        <is>
          <t>fertilizers</t>
        </is>
      </c>
      <c r="E348" s="31" t="inlineStr">
        <is>
          <t>smallcap</t>
        </is>
      </c>
      <c r="F348" s="31" t="n">
        <v>1476.95</v>
      </c>
      <c r="G348" s="31" t="n">
        <v>167.07</v>
      </c>
      <c r="H348" s="31" t="n">
        <v>-0.88</v>
      </c>
      <c r="I348" s="31" t="n">
        <v>710943</v>
      </c>
      <c r="J348" s="31" t="inlineStr">
        <is>
          <t>538370</t>
        </is>
      </c>
    </row>
    <row r="349">
      <c r="A349" s="31" t="inlineStr">
        <is>
          <t>HFCL</t>
        </is>
      </c>
      <c r="B349" s="31" t="inlineStr">
        <is>
          <t>HFCL Ltd</t>
        </is>
      </c>
      <c r="C349" s="31" t="inlineStr">
        <is>
          <t>telecom</t>
        </is>
      </c>
      <c r="D349" s="31" t="inlineStr">
        <is>
          <t>cables - telephone</t>
        </is>
      </c>
      <c r="E349" s="31" t="inlineStr">
        <is>
          <t>largecap</t>
        </is>
      </c>
      <c r="F349" s="31" t="n">
        <v>36429.87</v>
      </c>
      <c r="G349" s="31" t="n">
        <v>235.89</v>
      </c>
      <c r="H349" s="31" t="n">
        <v>-0.89</v>
      </c>
      <c r="I349" s="31" t="n">
        <v>13740336</v>
      </c>
      <c r="J349" s="31" t="inlineStr">
        <is>
          <t>500183</t>
        </is>
      </c>
    </row>
    <row r="350">
      <c r="A350" s="31" t="inlineStr">
        <is>
          <t>ASTRAL</t>
        </is>
      </c>
      <c r="B350" s="31" t="inlineStr">
        <is>
          <t>Astral Ltd</t>
        </is>
      </c>
      <c r="C350" s="31" t="inlineStr">
        <is>
          <t>plastic products</t>
        </is>
      </c>
      <c r="D350" s="31" t="inlineStr">
        <is>
          <t>plastics products</t>
        </is>
      </c>
      <c r="E350" s="31" t="inlineStr">
        <is>
          <t>largecap</t>
        </is>
      </c>
      <c r="F350" s="31" t="n">
        <v>41372.13</v>
      </c>
      <c r="G350" s="31" t="n">
        <v>1526.1</v>
      </c>
      <c r="H350" s="31" t="n">
        <v>-0.9</v>
      </c>
      <c r="I350" s="31" t="n">
        <v>405884</v>
      </c>
      <c r="J350" s="31" t="inlineStr">
        <is>
          <t>532830</t>
        </is>
      </c>
    </row>
    <row r="351">
      <c r="A351" s="31" t="inlineStr">
        <is>
          <t>MAGADSUGAR</t>
        </is>
      </c>
      <c r="B351" s="31" t="inlineStr">
        <is>
          <t>Magadh Sugar &amp; Energy Ltd</t>
        </is>
      </c>
      <c r="C351" s="31" t="inlineStr">
        <is>
          <t>fmcg</t>
        </is>
      </c>
      <c r="D351" s="31" t="inlineStr">
        <is>
          <t>sugar</t>
        </is>
      </c>
      <c r="E351" s="31" t="inlineStr">
        <is>
          <t>smallcap</t>
        </is>
      </c>
      <c r="F351" s="31" t="n">
        <v>820.63</v>
      </c>
      <c r="G351" s="31" t="n">
        <v>577.1</v>
      </c>
      <c r="H351" s="31" t="n">
        <v>-0.9</v>
      </c>
      <c r="I351" s="31" t="n">
        <v>65577</v>
      </c>
      <c r="J351" s="31" t="inlineStr">
        <is>
          <t>540650</t>
        </is>
      </c>
    </row>
    <row r="352">
      <c r="A352" s="31" t="inlineStr">
        <is>
          <t>MUFIN</t>
        </is>
      </c>
      <c r="B352" s="31" t="inlineStr">
        <is>
          <t>Mufin Green Finance Ltd</t>
        </is>
      </c>
      <c r="C352" s="31" t="inlineStr">
        <is>
          <t>financials</t>
        </is>
      </c>
      <c r="D352" s="31" t="inlineStr">
        <is>
          <t>finance &amp; investments</t>
        </is>
      </c>
      <c r="E352" s="31" t="inlineStr">
        <is>
          <t>smallcap</t>
        </is>
      </c>
      <c r="F352" s="31" t="n">
        <v>2735.03</v>
      </c>
      <c r="G352" s="31" t="n">
        <v>136.75</v>
      </c>
      <c r="H352" s="31" t="n">
        <v>-0.92</v>
      </c>
      <c r="I352" s="31" t="n">
        <v>635389</v>
      </c>
      <c r="J352" s="31" t="inlineStr">
        <is>
          <t>542774</t>
        </is>
      </c>
    </row>
    <row r="353">
      <c r="A353" s="31" t="inlineStr">
        <is>
          <t>PTCIL</t>
        </is>
      </c>
      <c r="B353" s="31" t="inlineStr">
        <is>
          <t>PTC Industries Ltd</t>
        </is>
      </c>
      <c r="C353" s="31" t="inlineStr">
        <is>
          <t>industrials</t>
        </is>
      </c>
      <c r="D353" s="31" t="inlineStr">
        <is>
          <t>castings &amp; forgings</t>
        </is>
      </c>
      <c r="E353" s="31" t="inlineStr">
        <is>
          <t>largecap</t>
        </is>
      </c>
      <c r="F353" s="31" t="n">
        <v>31658.27</v>
      </c>
      <c r="G353" s="31" t="n">
        <v>20919</v>
      </c>
      <c r="H353" s="31" t="n">
        <v>-0.93</v>
      </c>
      <c r="I353" s="31" t="n">
        <v>41367</v>
      </c>
      <c r="J353" s="31" t="inlineStr">
        <is>
          <t>539006</t>
        </is>
      </c>
    </row>
    <row r="354">
      <c r="A354" s="31" t="inlineStr">
        <is>
          <t>GUJALKALI</t>
        </is>
      </c>
      <c r="B354" s="31" t="inlineStr">
        <is>
          <t>Gujarat Alkalies And Chemicals Limited</t>
        </is>
      </c>
      <c r="C354" s="31" t="inlineStr">
        <is>
          <t>chemicals</t>
        </is>
      </c>
      <c r="D354" s="31" t="inlineStr">
        <is>
          <t>chemicals</t>
        </is>
      </c>
      <c r="E354" s="31" t="inlineStr">
        <is>
          <t>midcap</t>
        </is>
      </c>
      <c r="F354" s="31" t="n">
        <v>5336.66</v>
      </c>
      <c r="G354" s="31" t="n">
        <v>719.85</v>
      </c>
      <c r="H354" s="31" t="n">
        <v>-0.9399999999999999</v>
      </c>
      <c r="I354" s="31" t="n">
        <v>103326</v>
      </c>
      <c r="J354" s="31" t="inlineStr">
        <is>
          <t>530001</t>
        </is>
      </c>
    </row>
    <row r="355">
      <c r="A355" s="31" t="inlineStr">
        <is>
          <t>ORIENTHOT</t>
        </is>
      </c>
      <c r="B355" s="31" t="inlineStr">
        <is>
          <t>Oriental Hotels Limited</t>
        </is>
      </c>
      <c r="C355" s="31" t="inlineStr">
        <is>
          <t>services</t>
        </is>
      </c>
      <c r="D355" s="31" t="inlineStr">
        <is>
          <t>hotels</t>
        </is>
      </c>
      <c r="E355" s="31" t="inlineStr">
        <is>
          <t>smallcap</t>
        </is>
      </c>
      <c r="F355" s="31" t="n">
        <v>2528.79</v>
      </c>
      <c r="G355" s="31" t="n">
        <v>140.25</v>
      </c>
      <c r="H355" s="31" t="n">
        <v>-0.95</v>
      </c>
      <c r="I355" s="31" t="n">
        <v>2749039</v>
      </c>
      <c r="J355" s="31" t="inlineStr">
        <is>
          <t>500314</t>
        </is>
      </c>
    </row>
    <row r="356">
      <c r="A356" s="31" t="inlineStr">
        <is>
          <t>BEPL</t>
        </is>
      </c>
      <c r="B356" s="31" t="inlineStr">
        <is>
          <t>Bhansali Engineering Polymers Limited</t>
        </is>
      </c>
      <c r="C356" s="31" t="inlineStr">
        <is>
          <t>energy</t>
        </is>
      </c>
      <c r="D356" s="31" t="inlineStr">
        <is>
          <t>petrochemicals</t>
        </is>
      </c>
      <c r="E356" s="31" t="inlineStr">
        <is>
          <t>smallcap</t>
        </is>
      </c>
      <c r="F356" s="31" t="n">
        <v>3225.7</v>
      </c>
      <c r="G356" s="31" t="n">
        <v>128.35</v>
      </c>
      <c r="H356" s="31" t="n">
        <v>-0.98</v>
      </c>
      <c r="I356" s="31" t="n">
        <v>1317932</v>
      </c>
      <c r="J356" s="31" t="inlineStr">
        <is>
          <t>500052</t>
        </is>
      </c>
    </row>
    <row r="357">
      <c r="A357" s="31" t="inlineStr">
        <is>
          <t>EIMCOELECO</t>
        </is>
      </c>
      <c r="B357" s="31" t="inlineStr">
        <is>
          <t>Eimco Elecon (india) Limited</t>
        </is>
      </c>
      <c r="C357" s="31" t="inlineStr">
        <is>
          <t>industrials</t>
        </is>
      </c>
      <c r="D357" s="31" t="inlineStr">
        <is>
          <t>engineering</t>
        </is>
      </c>
      <c r="E357" s="31" t="inlineStr">
        <is>
          <t>smallcap</t>
        </is>
      </c>
      <c r="F357" s="31" t="n">
        <v>1290.73</v>
      </c>
      <c r="G357" s="31" t="n">
        <v>2215</v>
      </c>
      <c r="H357" s="31" t="n">
        <v>-1.01</v>
      </c>
      <c r="I357" s="31" t="n">
        <v>31905</v>
      </c>
      <c r="J357" s="31" t="inlineStr">
        <is>
          <t>523708</t>
        </is>
      </c>
    </row>
    <row r="358">
      <c r="A358" s="31" t="inlineStr">
        <is>
          <t>GAYAPROJ</t>
        </is>
      </c>
      <c r="B358" s="31" t="inlineStr">
        <is>
          <t>Gayatri Projects Limited</t>
        </is>
      </c>
      <c r="C358" s="31" t="inlineStr">
        <is>
          <t>realty</t>
        </is>
      </c>
      <c r="D358" s="31" t="inlineStr">
        <is>
          <t>construction</t>
        </is>
      </c>
      <c r="E358" s="31" t="inlineStr">
        <is>
          <t>smallcap</t>
        </is>
      </c>
      <c r="F358" s="31" t="n">
        <v>1034.46</v>
      </c>
      <c r="G358" s="31" t="n">
        <v>22.05</v>
      </c>
      <c r="H358" s="31" t="n">
        <v>-1.03</v>
      </c>
      <c r="I358" s="31" t="n">
        <v>569578</v>
      </c>
      <c r="J358" s="31" t="inlineStr">
        <is>
          <t>532767</t>
        </is>
      </c>
    </row>
    <row r="359">
      <c r="A359" s="31" t="inlineStr">
        <is>
          <t>LMW</t>
        </is>
      </c>
      <c r="B359" s="31" t="inlineStr">
        <is>
          <t>LMW Ltd</t>
        </is>
      </c>
      <c r="C359" s="31" t="inlineStr">
        <is>
          <t>industrials</t>
        </is>
      </c>
      <c r="D359" s="31" t="inlineStr">
        <is>
          <t>textile machinery</t>
        </is>
      </c>
      <c r="E359" s="31" t="inlineStr">
        <is>
          <t>largecap</t>
        </is>
      </c>
      <c r="F359" s="31" t="n">
        <v>20680.15</v>
      </c>
      <c r="G359" s="31" t="n">
        <v>19156</v>
      </c>
      <c r="H359" s="31" t="n">
        <v>-1.04</v>
      </c>
      <c r="I359" s="31" t="n">
        <v>4652</v>
      </c>
      <c r="J359" s="31" t="inlineStr">
        <is>
          <t>500252</t>
        </is>
      </c>
    </row>
    <row r="360">
      <c r="A360" s="31" t="inlineStr">
        <is>
          <t>KABRAEXTRU</t>
        </is>
      </c>
      <c r="B360" s="31" t="inlineStr">
        <is>
          <t>Kabra Extrusion Technik Limited</t>
        </is>
      </c>
      <c r="C360" s="31" t="inlineStr">
        <is>
          <t>industrials</t>
        </is>
      </c>
      <c r="D360" s="31" t="inlineStr">
        <is>
          <t>engineering</t>
        </is>
      </c>
      <c r="E360" s="31" t="inlineStr">
        <is>
          <t>smallcap</t>
        </is>
      </c>
      <c r="F360" s="31" t="n">
        <v>2130.37</v>
      </c>
      <c r="G360" s="31" t="n">
        <v>602.8</v>
      </c>
      <c r="H360" s="31" t="n">
        <v>-1.04</v>
      </c>
      <c r="I360" s="31" t="n">
        <v>198683</v>
      </c>
      <c r="J360" s="31" t="inlineStr">
        <is>
          <t>524109</t>
        </is>
      </c>
    </row>
    <row r="361">
      <c r="A361" s="31" t="inlineStr">
        <is>
          <t>THELEELA</t>
        </is>
      </c>
      <c r="B361" s="31" t="inlineStr">
        <is>
          <t>Leela Palaces Hotels &amp; Resorts Ltd</t>
        </is>
      </c>
      <c r="C361" s="31" t="inlineStr">
        <is>
          <t>services</t>
        </is>
      </c>
      <c r="D361" s="31" t="inlineStr">
        <is>
          <t>hotels</t>
        </is>
      </c>
      <c r="E361" s="31" t="inlineStr">
        <is>
          <t>midcap</t>
        </is>
      </c>
      <c r="F361" s="31" t="n">
        <v>18531.32</v>
      </c>
      <c r="G361" s="31" t="n">
        <v>549</v>
      </c>
      <c r="H361" s="31" t="n">
        <v>-1.06</v>
      </c>
      <c r="I361" s="31" t="n">
        <v>538510</v>
      </c>
      <c r="J361" s="31" t="inlineStr">
        <is>
          <t>544408</t>
        </is>
      </c>
    </row>
    <row r="362">
      <c r="A362" s="31" t="inlineStr">
        <is>
          <t>GARFIBRES</t>
        </is>
      </c>
      <c r="B362" s="31" t="inlineStr">
        <is>
          <t>Garware Technical Fibres Ltd</t>
        </is>
      </c>
      <c r="C362" s="31" t="inlineStr">
        <is>
          <t>textiles</t>
        </is>
      </c>
      <c r="D362" s="31" t="inlineStr">
        <is>
          <t>textiles - products</t>
        </is>
      </c>
      <c r="E362" s="31" t="inlineStr">
        <is>
          <t>midcap</t>
        </is>
      </c>
      <c r="F362" s="31" t="n">
        <v>7816.75</v>
      </c>
      <c r="G362" s="31" t="n">
        <v>792</v>
      </c>
      <c r="H362" s="31" t="n">
        <v>-1.06</v>
      </c>
      <c r="I362" s="31" t="n">
        <v>28138</v>
      </c>
      <c r="J362" s="31" t="inlineStr">
        <is>
          <t>509557</t>
        </is>
      </c>
    </row>
    <row r="363">
      <c r="A363" s="31" t="inlineStr">
        <is>
          <t>360ONE</t>
        </is>
      </c>
      <c r="B363" s="31" t="inlineStr">
        <is>
          <t>360 ONE WAM Ltd</t>
        </is>
      </c>
      <c r="C363" s="31" t="inlineStr">
        <is>
          <t>financials</t>
        </is>
      </c>
      <c r="D363" s="31" t="inlineStr">
        <is>
          <t>finance &amp; investments</t>
        </is>
      </c>
      <c r="E363" s="31" t="inlineStr">
        <is>
          <t>largecap</t>
        </is>
      </c>
      <c r="F363" s="31" t="n">
        <v>49208.89</v>
      </c>
      <c r="G363" s="31" t="n">
        <v>1197.2</v>
      </c>
      <c r="H363" s="31" t="n">
        <v>-1.06</v>
      </c>
      <c r="I363" s="31" t="n">
        <v>319024</v>
      </c>
      <c r="J363" s="31" t="inlineStr">
        <is>
          <t>542772</t>
        </is>
      </c>
    </row>
    <row r="364">
      <c r="A364" s="31" t="inlineStr">
        <is>
          <t>TBOTEK</t>
        </is>
      </c>
      <c r="B364" s="31" t="inlineStr">
        <is>
          <t>TBO Tek Ltd</t>
        </is>
      </c>
      <c r="C364" s="31" t="inlineStr">
        <is>
          <t>i.t</t>
        </is>
      </c>
      <c r="D364" s="31" t="inlineStr">
        <is>
          <t>travel agencies</t>
        </is>
      </c>
      <c r="E364" s="31" t="inlineStr">
        <is>
          <t>midcap</t>
        </is>
      </c>
      <c r="F364" s="31" t="n">
        <v>18732.48</v>
      </c>
      <c r="G364" s="31" t="n">
        <v>1706.5</v>
      </c>
      <c r="H364" s="31" t="n">
        <v>-1.08</v>
      </c>
      <c r="I364" s="31" t="n">
        <v>278209</v>
      </c>
      <c r="J364" s="31" t="inlineStr">
        <is>
          <t>544174</t>
        </is>
      </c>
    </row>
    <row r="365">
      <c r="A365" s="31" t="inlineStr">
        <is>
          <t>HEG</t>
        </is>
      </c>
      <c r="B365" s="31" t="inlineStr">
        <is>
          <t>Heg Limited</t>
        </is>
      </c>
      <c r="C365" s="31" t="inlineStr">
        <is>
          <t>industrials</t>
        </is>
      </c>
      <c r="D365" s="31" t="inlineStr">
        <is>
          <t>electrodes - graphites</t>
        </is>
      </c>
      <c r="E365" s="31" t="inlineStr">
        <is>
          <t>midcap</t>
        </is>
      </c>
      <c r="F365" s="31" t="n">
        <v>13924.29</v>
      </c>
      <c r="G365" s="31" t="n">
        <v>713.55</v>
      </c>
      <c r="H365" s="31" t="n">
        <v>-1.11</v>
      </c>
      <c r="I365" s="31" t="n">
        <v>1440826</v>
      </c>
      <c r="J365" s="31" t="inlineStr">
        <is>
          <t>509631</t>
        </is>
      </c>
    </row>
    <row r="366">
      <c r="A366" s="31" t="inlineStr">
        <is>
          <t>HDFCAMC</t>
        </is>
      </c>
      <c r="B366" s="31" t="inlineStr">
        <is>
          <t>HDFC Asset Management Company Ltd</t>
        </is>
      </c>
      <c r="C366" s="31" t="inlineStr">
        <is>
          <t>financials</t>
        </is>
      </c>
      <c r="D366" s="31" t="inlineStr">
        <is>
          <t>finance &amp; investments</t>
        </is>
      </c>
      <c r="E366" s="31" t="inlineStr">
        <is>
          <t>largecap</t>
        </is>
      </c>
      <c r="F366" s="31" t="n">
        <v>115650.65</v>
      </c>
      <c r="G366" s="31" t="n">
        <v>2667.9</v>
      </c>
      <c r="H366" s="31" t="n">
        <v>-1.12</v>
      </c>
      <c r="I366" s="31" t="n">
        <v>596170</v>
      </c>
      <c r="J366" s="31" t="inlineStr">
        <is>
          <t>541729</t>
        </is>
      </c>
    </row>
    <row r="367">
      <c r="A367" s="31" t="inlineStr">
        <is>
          <t>FACT</t>
        </is>
      </c>
      <c r="B367" s="31" t="inlineStr">
        <is>
          <t>Fertilizers And Chemicals Travancore Limited</t>
        </is>
      </c>
      <c r="C367" s="31" t="inlineStr">
        <is>
          <t>chemicals</t>
        </is>
      </c>
      <c r="D367" s="31" t="inlineStr">
        <is>
          <t>fertilizers</t>
        </is>
      </c>
      <c r="E367" s="31" t="inlineStr">
        <is>
          <t>largecap</t>
        </is>
      </c>
      <c r="F367" s="31" t="n">
        <v>56689.98</v>
      </c>
      <c r="G367" s="31" t="n">
        <v>866.25</v>
      </c>
      <c r="H367" s="31" t="n">
        <v>-1.12</v>
      </c>
      <c r="I367" s="31" t="n">
        <v>2244931</v>
      </c>
      <c r="J367" s="31" t="inlineStr">
        <is>
          <t>590024</t>
        </is>
      </c>
    </row>
    <row r="368">
      <c r="A368" s="31" t="inlineStr">
        <is>
          <t>SUBEXLTD</t>
        </is>
      </c>
      <c r="B368" s="31" t="inlineStr">
        <is>
          <t>Subex Ltd</t>
        </is>
      </c>
      <c r="C368" s="31" t="inlineStr">
        <is>
          <t>i.t</t>
        </is>
      </c>
      <c r="D368" s="31" t="inlineStr">
        <is>
          <t>computers - software - medium / small</t>
        </is>
      </c>
      <c r="E368" s="31" t="inlineStr">
        <is>
          <t>smallcap</t>
        </is>
      </c>
      <c r="F368" s="31" t="n">
        <v>1001.49</v>
      </c>
      <c r="G368" s="31" t="n">
        <v>17.62</v>
      </c>
      <c r="H368" s="31" t="n">
        <v>-1.12</v>
      </c>
      <c r="I368" s="31" t="n">
        <v>2989151</v>
      </c>
      <c r="J368" s="31" t="inlineStr">
        <is>
          <t>532348</t>
        </is>
      </c>
    </row>
    <row r="369">
      <c r="A369" s="31" t="inlineStr">
        <is>
          <t>PERSISTENT</t>
        </is>
      </c>
      <c r="B369" s="31" t="inlineStr">
        <is>
          <t>Persistent Systems Limited</t>
        </is>
      </c>
      <c r="C369" s="31" t="inlineStr">
        <is>
          <t>i.t</t>
        </is>
      </c>
      <c r="D369" s="31" t="inlineStr">
        <is>
          <t>computers - software - large</t>
        </is>
      </c>
      <c r="E369" s="31" t="inlineStr">
        <is>
          <t>largecap</t>
        </is>
      </c>
      <c r="F369" s="31" t="n">
        <v>89207.63</v>
      </c>
      <c r="G369" s="31" t="n">
        <v>5590.5</v>
      </c>
      <c r="H369" s="31" t="n">
        <v>-1.14</v>
      </c>
      <c r="I369" s="31" t="n">
        <v>185206</v>
      </c>
      <c r="J369" s="31" t="inlineStr">
        <is>
          <t>533179</t>
        </is>
      </c>
    </row>
    <row r="370">
      <c r="A370" s="31" t="inlineStr">
        <is>
          <t>SIEMENS</t>
        </is>
      </c>
      <c r="B370" s="31" t="inlineStr">
        <is>
          <t>Siemens Limited</t>
        </is>
      </c>
      <c r="C370" s="31" t="inlineStr">
        <is>
          <t>industrials</t>
        </is>
      </c>
      <c r="D370" s="31" t="inlineStr">
        <is>
          <t>electric equipment</t>
        </is>
      </c>
      <c r="E370" s="31" t="inlineStr">
        <is>
          <t>largecap</t>
        </is>
      </c>
      <c r="F370" s="31" t="n">
        <v>145671.09</v>
      </c>
      <c r="G370" s="31" t="n">
        <v>4043</v>
      </c>
      <c r="H370" s="31" t="n">
        <v>-1.16</v>
      </c>
      <c r="I370" s="31" t="n">
        <v>370243</v>
      </c>
      <c r="J370" s="31" t="inlineStr">
        <is>
          <t>500550</t>
        </is>
      </c>
    </row>
    <row r="371">
      <c r="A371" s="31" t="inlineStr">
        <is>
          <t>MANINDS</t>
        </is>
      </c>
      <c r="B371" s="31" t="inlineStr">
        <is>
          <t>Man Industries (india) Limited</t>
        </is>
      </c>
      <c r="C371" s="31" t="inlineStr">
        <is>
          <t>metals &amp; mining</t>
        </is>
      </c>
      <c r="D371" s="31" t="inlineStr">
        <is>
          <t>steel - medium / small</t>
        </is>
      </c>
      <c r="E371" s="31" t="inlineStr">
        <is>
          <t>midcap</t>
        </is>
      </c>
      <c r="F371" s="31" t="n">
        <v>5336.93</v>
      </c>
      <c r="G371" s="31" t="n">
        <v>703.1</v>
      </c>
      <c r="H371" s="31" t="n">
        <v>-1.18</v>
      </c>
      <c r="I371" s="31" t="n">
        <v>1059974</v>
      </c>
      <c r="J371" s="31" t="inlineStr">
        <is>
          <t>513269</t>
        </is>
      </c>
    </row>
    <row r="372">
      <c r="A372" s="31" t="inlineStr">
        <is>
          <t>SGFIN</t>
        </is>
      </c>
      <c r="B372" s="31" t="inlineStr">
        <is>
          <t>SG Finserve Ltd</t>
        </is>
      </c>
      <c r="C372" s="31" t="inlineStr">
        <is>
          <t>financials</t>
        </is>
      </c>
      <c r="D372" s="31" t="inlineStr">
        <is>
          <t>finance &amp; investments</t>
        </is>
      </c>
      <c r="E372" s="31" t="inlineStr">
        <is>
          <t>smallcap</t>
        </is>
      </c>
      <c r="F372" s="31" t="n">
        <v>4615.94</v>
      </c>
      <c r="G372" s="31" t="n">
        <v>692.2</v>
      </c>
      <c r="H372" s="31" t="n">
        <v>-1.18</v>
      </c>
      <c r="I372" s="31" t="n">
        <v>173682</v>
      </c>
      <c r="J372" s="31" t="inlineStr">
        <is>
          <t>539199</t>
        </is>
      </c>
    </row>
    <row r="373">
      <c r="A373" s="31" t="inlineStr">
        <is>
          <t>PETRONET</t>
        </is>
      </c>
      <c r="B373" s="31" t="inlineStr">
        <is>
          <t>Petronet Lng Limited</t>
        </is>
      </c>
      <c r="C373" s="31" t="inlineStr">
        <is>
          <t>energy</t>
        </is>
      </c>
      <c r="D373" s="31" t="inlineStr">
        <is>
          <t>miscellaneous</t>
        </is>
      </c>
      <c r="E373" s="31" t="inlineStr">
        <is>
          <t>largecap</t>
        </is>
      </c>
      <c r="F373" s="31" t="n">
        <v>43875</v>
      </c>
      <c r="G373" s="31" t="n">
        <v>289</v>
      </c>
      <c r="H373" s="31" t="n">
        <v>-1.2</v>
      </c>
      <c r="I373" s="31" t="n">
        <v>1528239</v>
      </c>
      <c r="J373" s="31" t="inlineStr">
        <is>
          <t>532522</t>
        </is>
      </c>
    </row>
    <row r="374">
      <c r="A374" s="31" t="inlineStr">
        <is>
          <t>DIVGIITTS</t>
        </is>
      </c>
      <c r="B374" s="31" t="inlineStr">
        <is>
          <t>Divgi Torqtransfer Systems Ltd</t>
        </is>
      </c>
      <c r="C374" s="31" t="inlineStr">
        <is>
          <t>auto</t>
        </is>
      </c>
      <c r="D374" s="31" t="inlineStr">
        <is>
          <t>auto ancillaries</t>
        </is>
      </c>
      <c r="E374" s="31" t="inlineStr">
        <is>
          <t>smallcap</t>
        </is>
      </c>
      <c r="F374" s="31" t="n">
        <v>3640.44</v>
      </c>
      <c r="G374" s="31" t="n">
        <v>1175.9</v>
      </c>
      <c r="H374" s="31" t="n">
        <v>-1.21</v>
      </c>
      <c r="I374" s="31" t="n">
        <v>121369</v>
      </c>
      <c r="J374" s="31" t="inlineStr">
        <is>
          <t>543812</t>
        </is>
      </c>
    </row>
    <row r="375">
      <c r="A375" s="31" t="inlineStr">
        <is>
          <t>ETERNAL</t>
        </is>
      </c>
      <c r="B375" s="31" t="inlineStr">
        <is>
          <t>Eternal Ltd</t>
        </is>
      </c>
      <c r="C375" s="31" t="inlineStr">
        <is>
          <t>i.t</t>
        </is>
      </c>
      <c r="D375" s="31" t="inlineStr">
        <is>
          <t>miscellaneous</t>
        </is>
      </c>
      <c r="E375" s="31" t="inlineStr">
        <is>
          <t>largecap</t>
        </is>
      </c>
      <c r="F375" s="31" t="n">
        <v>319426.61</v>
      </c>
      <c r="G375" s="31" t="n">
        <v>327</v>
      </c>
      <c r="H375" s="31" t="n">
        <v>-1.21</v>
      </c>
      <c r="I375" s="31" t="n">
        <v>39085600</v>
      </c>
      <c r="J375" s="31" t="inlineStr">
        <is>
          <t>543320</t>
        </is>
      </c>
    </row>
    <row r="376">
      <c r="A376" s="31" t="inlineStr">
        <is>
          <t>PRICOLLTD</t>
        </is>
      </c>
      <c r="B376" s="31" t="inlineStr">
        <is>
          <t>Pricol Ltd.</t>
        </is>
      </c>
      <c r="C376" s="31" t="inlineStr">
        <is>
          <t>auto</t>
        </is>
      </c>
      <c r="D376" s="31" t="inlineStr">
        <is>
          <t>auto ancillaries</t>
        </is>
      </c>
      <c r="E376" s="31" t="inlineStr">
        <is>
          <t>midcap</t>
        </is>
      </c>
      <c r="F376" s="31" t="n">
        <v>9634.73</v>
      </c>
      <c r="G376" s="31" t="n">
        <v>780.7</v>
      </c>
      <c r="H376" s="31" t="n">
        <v>-1.24</v>
      </c>
      <c r="I376" s="31" t="n">
        <v>340374</v>
      </c>
      <c r="J376" s="31" t="inlineStr">
        <is>
          <t>540293</t>
        </is>
      </c>
    </row>
    <row r="377">
      <c r="A377" s="31" t="inlineStr">
        <is>
          <t>UGARSUGAR</t>
        </is>
      </c>
      <c r="B377" s="31" t="inlineStr">
        <is>
          <t>The Ugar Sugar Works Limited</t>
        </is>
      </c>
      <c r="C377" s="31" t="inlineStr">
        <is>
          <t>fmcg</t>
        </is>
      </c>
      <c r="D377" s="31" t="inlineStr">
        <is>
          <t>sugar</t>
        </is>
      </c>
      <c r="E377" s="31" t="inlineStr">
        <is>
          <t>smallcap</t>
        </is>
      </c>
      <c r="F377" s="31" t="n">
        <v>626.1799999999999</v>
      </c>
      <c r="G377" s="31" t="n">
        <v>54.97</v>
      </c>
      <c r="H377" s="31" t="n">
        <v>-1.24</v>
      </c>
      <c r="I377" s="31" t="n">
        <v>736038</v>
      </c>
      <c r="J377" s="31" t="inlineStr">
        <is>
          <t>530363</t>
        </is>
      </c>
    </row>
    <row r="378">
      <c r="A378" s="31" t="inlineStr">
        <is>
          <t>LODHA</t>
        </is>
      </c>
      <c r="B378" s="31" t="inlineStr">
        <is>
          <t>Lodha Developers Ltd</t>
        </is>
      </c>
      <c r="C378" s="31" t="inlineStr">
        <is>
          <t>realty</t>
        </is>
      </c>
      <c r="D378" s="31" t="inlineStr">
        <is>
          <t>construction</t>
        </is>
      </c>
      <c r="E378" s="31" t="inlineStr">
        <is>
          <t>largecap</t>
        </is>
      </c>
      <c r="F378" s="31" t="n">
        <v>127993.99</v>
      </c>
      <c r="G378" s="31" t="n">
        <v>1265</v>
      </c>
      <c r="H378" s="31" t="n">
        <v>-1.26</v>
      </c>
      <c r="I378" s="31" t="n">
        <v>1385372</v>
      </c>
      <c r="J378" s="31" t="inlineStr">
        <is>
          <t>543287</t>
        </is>
      </c>
    </row>
    <row r="379">
      <c r="A379" s="31" t="inlineStr">
        <is>
          <t>VRLLOG</t>
        </is>
      </c>
      <c r="B379" s="31" t="inlineStr">
        <is>
          <t>Vrl Logistics Limited</t>
        </is>
      </c>
      <c r="C379" s="31" t="inlineStr">
        <is>
          <t>transportation</t>
        </is>
      </c>
      <c r="D379" s="31" t="inlineStr">
        <is>
          <t>miscellaneous</t>
        </is>
      </c>
      <c r="E379" s="31" t="inlineStr">
        <is>
          <t>midcap</t>
        </is>
      </c>
      <c r="F379" s="31" t="n">
        <v>5072.3</v>
      </c>
      <c r="G379" s="31" t="n">
        <v>286.25</v>
      </c>
      <c r="H379" s="31" t="n">
        <v>-1.28</v>
      </c>
      <c r="I379" s="31" t="n">
        <v>131375</v>
      </c>
      <c r="J379" s="31" t="inlineStr">
        <is>
          <t>539118</t>
        </is>
      </c>
    </row>
    <row r="380">
      <c r="A380" s="31" t="inlineStr">
        <is>
          <t>AUBANK</t>
        </is>
      </c>
      <c r="B380" s="31" t="inlineStr">
        <is>
          <t>AU Small Finance Bank Ltd</t>
        </is>
      </c>
      <c r="C380" s="31" t="inlineStr">
        <is>
          <t>bank</t>
        </is>
      </c>
      <c r="D380" s="31" t="inlineStr">
        <is>
          <t>banks - private sector</t>
        </is>
      </c>
      <c r="E380" s="31" t="inlineStr">
        <is>
          <t>largecap</t>
        </is>
      </c>
      <c r="F380" s="31" t="n">
        <v>84528.98</v>
      </c>
      <c r="G380" s="31" t="n">
        <v>1113.5</v>
      </c>
      <c r="H380" s="31" t="n">
        <v>-1.34</v>
      </c>
      <c r="I380" s="31" t="n">
        <v>594040</v>
      </c>
      <c r="J380" s="31" t="inlineStr">
        <is>
          <t>540611</t>
        </is>
      </c>
    </row>
    <row r="381">
      <c r="A381" s="31" t="inlineStr">
        <is>
          <t>KANORICHEM</t>
        </is>
      </c>
      <c r="B381" s="31" t="inlineStr">
        <is>
          <t>Kanoria Chemicals &amp; Industries Limited</t>
        </is>
      </c>
      <c r="C381" s="31" t="inlineStr">
        <is>
          <t>chemicals</t>
        </is>
      </c>
      <c r="D381" s="31" t="inlineStr">
        <is>
          <t>chemicals</t>
        </is>
      </c>
      <c r="E381" s="31" t="inlineStr">
        <is>
          <t>smallcap</t>
        </is>
      </c>
      <c r="F381" s="31" t="n">
        <v>694.51</v>
      </c>
      <c r="G381" s="31" t="n">
        <v>156.75</v>
      </c>
      <c r="H381" s="31" t="n">
        <v>-1.38</v>
      </c>
      <c r="I381" s="31" t="n">
        <v>24282</v>
      </c>
      <c r="J381" s="31" t="inlineStr">
        <is>
          <t>506525</t>
        </is>
      </c>
    </row>
    <row r="382">
      <c r="A382" s="31" t="inlineStr">
        <is>
          <t>DBOL</t>
        </is>
      </c>
      <c r="B382" s="31" t="inlineStr">
        <is>
          <t>Dhampur Bio Organics Ltd</t>
        </is>
      </c>
      <c r="C382" s="31" t="inlineStr">
        <is>
          <t>fmcg</t>
        </is>
      </c>
      <c r="D382" s="31" t="inlineStr">
        <is>
          <t>sugar</t>
        </is>
      </c>
      <c r="E382" s="31" t="inlineStr">
        <is>
          <t>smallcap</t>
        </is>
      </c>
      <c r="F382" s="31" t="n">
        <v>856</v>
      </c>
      <c r="G382" s="31" t="n">
        <v>127.12</v>
      </c>
      <c r="H382" s="31" t="n">
        <v>-1.41</v>
      </c>
      <c r="I382" s="31" t="n">
        <v>254571</v>
      </c>
      <c r="J382" s="31" t="inlineStr">
        <is>
          <t>543593</t>
        </is>
      </c>
    </row>
    <row r="383">
      <c r="A383" s="31" t="inlineStr">
        <is>
          <t>VMART</t>
        </is>
      </c>
      <c r="B383" s="31" t="inlineStr">
        <is>
          <t>V-mart Retail Limited</t>
        </is>
      </c>
      <c r="C383" s="31" t="inlineStr">
        <is>
          <t>consumer discretionary</t>
        </is>
      </c>
      <c r="D383" s="31" t="inlineStr">
        <is>
          <t>trading</t>
        </is>
      </c>
      <c r="E383" s="31" t="inlineStr">
        <is>
          <t>midcap</t>
        </is>
      </c>
      <c r="F383" s="31" t="n">
        <v>6858.23</v>
      </c>
      <c r="G383" s="31" t="n">
        <v>849.8</v>
      </c>
      <c r="H383" s="31" t="n">
        <v>-1.43</v>
      </c>
      <c r="I383" s="31" t="n">
        <v>107035</v>
      </c>
      <c r="J383" s="31" t="inlineStr">
        <is>
          <t>534976</t>
        </is>
      </c>
    </row>
    <row r="384">
      <c r="A384" s="31" t="inlineStr">
        <is>
          <t>ARVSMART</t>
        </is>
      </c>
      <c r="B384" s="31" t="inlineStr">
        <is>
          <t>Arvind Smartspaces Limited</t>
        </is>
      </c>
      <c r="C384" s="31" t="inlineStr">
        <is>
          <t>realty</t>
        </is>
      </c>
      <c r="D384" s="31" t="inlineStr">
        <is>
          <t>construction</t>
        </is>
      </c>
      <c r="E384" s="31" t="inlineStr">
        <is>
          <t>smallcap</t>
        </is>
      </c>
      <c r="F384" s="31" t="n">
        <v>3136.15</v>
      </c>
      <c r="G384" s="31" t="n">
        <v>673.7</v>
      </c>
      <c r="H384" s="31" t="n">
        <v>-1.47</v>
      </c>
      <c r="I384" s="31" t="n">
        <v>170739</v>
      </c>
      <c r="J384" s="31" t="inlineStr">
        <is>
          <t>539301</t>
        </is>
      </c>
    </row>
    <row r="385">
      <c r="A385" s="31" t="inlineStr">
        <is>
          <t>EPL</t>
        </is>
      </c>
      <c r="B385" s="31" t="inlineStr">
        <is>
          <t>EPL Ltd</t>
        </is>
      </c>
      <c r="C385" s="31" t="inlineStr">
        <is>
          <t>industrials</t>
        </is>
      </c>
      <c r="D385" s="31" t="inlineStr">
        <is>
          <t>packaging</t>
        </is>
      </c>
      <c r="E385" s="31" t="inlineStr">
        <is>
          <t>midcap</t>
        </is>
      </c>
      <c r="F385" s="31" t="n">
        <v>8273.459999999999</v>
      </c>
      <c r="G385" s="31" t="n">
        <v>254.26</v>
      </c>
      <c r="H385" s="31" t="n">
        <v>-1.57</v>
      </c>
      <c r="I385" s="31" t="n">
        <v>1127818</v>
      </c>
      <c r="J385" s="31" t="inlineStr">
        <is>
          <t>500135</t>
        </is>
      </c>
    </row>
    <row r="386">
      <c r="A386" s="31" t="inlineStr">
        <is>
          <t>QUADFUTURE</t>
        </is>
      </c>
      <c r="B386" s="31" t="inlineStr">
        <is>
          <t>Quadrant Future Tek Ltd</t>
        </is>
      </c>
      <c r="C386" s="31" t="inlineStr">
        <is>
          <t>industrials</t>
        </is>
      </c>
      <c r="D386" s="31" t="inlineStr">
        <is>
          <t>cables - power</t>
        </is>
      </c>
      <c r="E386" s="31" t="inlineStr">
        <is>
          <t>smallcap</t>
        </is>
      </c>
      <c r="F386" s="31" t="n">
        <v>1674</v>
      </c>
      <c r="G386" s="31" t="n">
        <v>411.95</v>
      </c>
      <c r="H386" s="31" t="n">
        <v>-1.57</v>
      </c>
      <c r="I386" s="31" t="n">
        <v>656339</v>
      </c>
      <c r="J386" s="31" t="inlineStr">
        <is>
          <t>544336</t>
        </is>
      </c>
    </row>
    <row r="387">
      <c r="A387" s="31" t="inlineStr">
        <is>
          <t>WINDLAS</t>
        </is>
      </c>
      <c r="B387" s="31" t="inlineStr">
        <is>
          <t>Windlas Biotech Ltd</t>
        </is>
      </c>
      <c r="C387" s="31" t="inlineStr">
        <is>
          <t>healthcare</t>
        </is>
      </c>
      <c r="D387" s="31" t="inlineStr">
        <is>
          <t>pharmaceuticals - indian - formulations</t>
        </is>
      </c>
      <c r="E387" s="31" t="inlineStr">
        <is>
          <t>smallcap</t>
        </is>
      </c>
      <c r="F387" s="31" t="n">
        <v>2044.95</v>
      </c>
      <c r="G387" s="31" t="n">
        <v>975</v>
      </c>
      <c r="H387" s="31" t="n">
        <v>-1.61</v>
      </c>
      <c r="I387" s="31" t="n">
        <v>147063</v>
      </c>
      <c r="J387" s="31" t="inlineStr">
        <is>
          <t>543329</t>
        </is>
      </c>
    </row>
    <row r="388">
      <c r="A388" s="31" t="inlineStr">
        <is>
          <t>WELCORP</t>
        </is>
      </c>
      <c r="B388" s="31" t="inlineStr">
        <is>
          <t>Welspun Corp Limited</t>
        </is>
      </c>
      <c r="C388" s="31" t="inlineStr">
        <is>
          <t>industrials</t>
        </is>
      </c>
      <c r="D388" s="31" t="inlineStr">
        <is>
          <t>steel - large</t>
        </is>
      </c>
      <c r="E388" s="31" t="inlineStr">
        <is>
          <t>largecap</t>
        </is>
      </c>
      <c r="F388" s="31" t="n">
        <v>61872.1</v>
      </c>
      <c r="G388" s="31" t="n">
        <v>2306.7</v>
      </c>
      <c r="H388" s="31" t="n">
        <v>-1.65</v>
      </c>
      <c r="I388" s="31" t="n">
        <v>6181114</v>
      </c>
      <c r="J388" s="31" t="inlineStr">
        <is>
          <t>532144</t>
        </is>
      </c>
    </row>
    <row r="389">
      <c r="A389" s="31" t="inlineStr">
        <is>
          <t>SOLARA</t>
        </is>
      </c>
      <c r="B389" s="31" t="inlineStr">
        <is>
          <t>Solara Active Pharma Sciences Ltd</t>
        </is>
      </c>
      <c r="C389" s="31" t="inlineStr">
        <is>
          <t>healthcare</t>
        </is>
      </c>
      <c r="D389" s="31" t="inlineStr">
        <is>
          <t>pharmaceuticals - indian - bulk drugs &amp; formln</t>
        </is>
      </c>
      <c r="E389" s="31" t="inlineStr">
        <is>
          <t>smallcap</t>
        </is>
      </c>
      <c r="F389" s="31" t="n">
        <v>3032.5</v>
      </c>
      <c r="G389" s="31" t="n">
        <v>618</v>
      </c>
      <c r="H389" s="31" t="n">
        <v>-1.68</v>
      </c>
      <c r="I389" s="31" t="n">
        <v>350025</v>
      </c>
      <c r="J389" s="31" t="inlineStr">
        <is>
          <t>541540</t>
        </is>
      </c>
    </row>
    <row r="390">
      <c r="A390" s="31" t="inlineStr">
        <is>
          <t>BAJAJ-AUTO</t>
        </is>
      </c>
      <c r="B390" s="31" t="inlineStr">
        <is>
          <t>Bajaj Auto Limited</t>
        </is>
      </c>
      <c r="C390" s="31" t="inlineStr">
        <is>
          <t>auto</t>
        </is>
      </c>
      <c r="D390" s="31" t="inlineStr">
        <is>
          <t>automobiles - scooters and 3 - wheelers</t>
        </is>
      </c>
      <c r="E390" s="31" t="inlineStr">
        <is>
          <t>largecap</t>
        </is>
      </c>
      <c r="F390" s="31" t="n">
        <v>333357.07</v>
      </c>
      <c r="G390" s="31" t="n">
        <v>11724</v>
      </c>
      <c r="H390" s="31" t="n">
        <v>-1.7</v>
      </c>
      <c r="I390" s="31" t="n">
        <v>163181</v>
      </c>
      <c r="J390" s="31" t="inlineStr">
        <is>
          <t>532977</t>
        </is>
      </c>
    </row>
    <row r="391">
      <c r="A391" s="31" t="inlineStr">
        <is>
          <t>SONACOMS</t>
        </is>
      </c>
      <c r="B391" s="31" t="inlineStr">
        <is>
          <t>Sona BLW Precision Forgings Ltd</t>
        </is>
      </c>
      <c r="C391" s="31" t="inlineStr">
        <is>
          <t>auto</t>
        </is>
      </c>
      <c r="D391" s="31" t="inlineStr">
        <is>
          <t>auto ancillaries</t>
        </is>
      </c>
      <c r="E391" s="31" t="inlineStr">
        <is>
          <t>largecap</t>
        </is>
      </c>
      <c r="F391" s="31" t="n">
        <v>50310.18</v>
      </c>
      <c r="G391" s="31" t="n">
        <v>795</v>
      </c>
      <c r="H391" s="31" t="n">
        <v>-1.71</v>
      </c>
      <c r="I391" s="31" t="n">
        <v>882792</v>
      </c>
      <c r="J391" s="31" t="inlineStr">
        <is>
          <t>543300</t>
        </is>
      </c>
    </row>
    <row r="392">
      <c r="A392" s="31" t="inlineStr">
        <is>
          <t>SPORTKING</t>
        </is>
      </c>
      <c r="B392" s="31" t="inlineStr">
        <is>
          <t>Sportking India Ltd</t>
        </is>
      </c>
      <c r="C392" s="31" t="inlineStr">
        <is>
          <t>textiles</t>
        </is>
      </c>
      <c r="D392" s="31" t="inlineStr">
        <is>
          <t>textiles - spinning - synthetic / blended</t>
        </is>
      </c>
      <c r="E392" s="31" t="inlineStr">
        <is>
          <t>smallcap</t>
        </is>
      </c>
      <c r="F392" s="31" t="n">
        <v>2900.55</v>
      </c>
      <c r="G392" s="31" t="n">
        <v>224.23</v>
      </c>
      <c r="H392" s="31" t="n">
        <v>-1.77</v>
      </c>
      <c r="I392" s="31" t="n">
        <v>255116</v>
      </c>
      <c r="J392" s="31" t="inlineStr">
        <is>
          <t>539221</t>
        </is>
      </c>
    </row>
    <row r="393">
      <c r="A393" s="31" t="inlineStr">
        <is>
          <t>MAWANASUG</t>
        </is>
      </c>
      <c r="B393" s="31" t="inlineStr">
        <is>
          <t>Mawana Sugars Limited</t>
        </is>
      </c>
      <c r="C393" s="31" t="inlineStr">
        <is>
          <t>fmcg</t>
        </is>
      </c>
      <c r="D393" s="31" t="inlineStr">
        <is>
          <t>sugar</t>
        </is>
      </c>
      <c r="E393" s="31" t="inlineStr">
        <is>
          <t>smallcap</t>
        </is>
      </c>
      <c r="F393" s="31" t="n">
        <v>562.03</v>
      </c>
      <c r="G393" s="31" t="n">
        <v>141.12</v>
      </c>
      <c r="H393" s="31" t="n">
        <v>-1.78</v>
      </c>
      <c r="I393" s="31" t="n">
        <v>583431</v>
      </c>
      <c r="J393" s="31" t="inlineStr">
        <is>
          <t>523371</t>
        </is>
      </c>
    </row>
    <row r="394">
      <c r="A394" s="31" t="inlineStr">
        <is>
          <t>IIFL</t>
        </is>
      </c>
      <c r="B394" s="31" t="inlineStr">
        <is>
          <t>IIFL Finance Ltd</t>
        </is>
      </c>
      <c r="C394" s="31" t="inlineStr">
        <is>
          <t>financials</t>
        </is>
      </c>
      <c r="D394" s="31" t="inlineStr">
        <is>
          <t>finance &amp; investments</t>
        </is>
      </c>
      <c r="E394" s="31" t="inlineStr">
        <is>
          <t>largecap</t>
        </is>
      </c>
      <c r="F394" s="31" t="n">
        <v>28337.28</v>
      </c>
      <c r="G394" s="31" t="n">
        <v>654.05</v>
      </c>
      <c r="H394" s="31" t="n">
        <v>-1.83</v>
      </c>
      <c r="I394" s="31" t="n">
        <v>2419370</v>
      </c>
      <c r="J394" s="31" t="inlineStr">
        <is>
          <t>532636</t>
        </is>
      </c>
    </row>
    <row r="395">
      <c r="A395" s="31" t="inlineStr">
        <is>
          <t>CLSEL</t>
        </is>
      </c>
      <c r="B395" s="31" t="inlineStr">
        <is>
          <t>Chamanlal Setia Exports Ltd</t>
        </is>
      </c>
      <c r="C395" s="31" t="inlineStr">
        <is>
          <t>fmcg</t>
        </is>
      </c>
      <c r="D395" s="31" t="inlineStr">
        <is>
          <t>food - processing - indian</t>
        </is>
      </c>
      <c r="E395" s="31" t="inlineStr">
        <is>
          <t>smallcap</t>
        </is>
      </c>
      <c r="F395" s="31" t="n">
        <v>1586.5</v>
      </c>
      <c r="G395" s="31" t="n">
        <v>313.2</v>
      </c>
      <c r="H395" s="31" t="n">
        <v>-1.83</v>
      </c>
      <c r="I395" s="31" t="n">
        <v>459641</v>
      </c>
      <c r="J395" s="31" t="inlineStr">
        <is>
          <t>530307</t>
        </is>
      </c>
    </row>
    <row r="396">
      <c r="A396" s="31" t="inlineStr">
        <is>
          <t>SHRIRAMFIN</t>
        </is>
      </c>
      <c r="B396" s="31" t="inlineStr">
        <is>
          <t>Shriram Finance Ltd</t>
        </is>
      </c>
      <c r="C396" s="31" t="inlineStr">
        <is>
          <t>financials</t>
        </is>
      </c>
      <c r="D396" s="31" t="inlineStr">
        <is>
          <t>finance &amp; investments</t>
        </is>
      </c>
      <c r="E396" s="31" t="inlineStr">
        <is>
          <t>largecap</t>
        </is>
      </c>
      <c r="F396" s="31" t="n">
        <v>267879.39</v>
      </c>
      <c r="G396" s="31" t="n">
        <v>1117.5</v>
      </c>
      <c r="H396" s="31" t="n">
        <v>-1.84</v>
      </c>
      <c r="I396" s="31" t="n">
        <v>3687302</v>
      </c>
      <c r="J396" s="31" t="inlineStr">
        <is>
          <t>511218</t>
        </is>
      </c>
    </row>
    <row r="397">
      <c r="A397" s="31" t="inlineStr">
        <is>
          <t>CHENNPETRO</t>
        </is>
      </c>
      <c r="B397" s="31" t="inlineStr">
        <is>
          <t>Chennai Petroleum Corporation Limited</t>
        </is>
      </c>
      <c r="C397" s="31" t="inlineStr">
        <is>
          <t>energy</t>
        </is>
      </c>
      <c r="D397" s="31" t="inlineStr">
        <is>
          <t>refineries</t>
        </is>
      </c>
      <c r="E397" s="31" t="inlineStr">
        <is>
          <t>largecap</t>
        </is>
      </c>
      <c r="F397" s="31" t="n">
        <v>20865.47</v>
      </c>
      <c r="G397" s="31" t="n">
        <v>1375</v>
      </c>
      <c r="H397" s="31" t="n">
        <v>-1.87</v>
      </c>
      <c r="I397" s="31" t="n">
        <v>876107</v>
      </c>
      <c r="J397" s="31" t="inlineStr">
        <is>
          <t>500110</t>
        </is>
      </c>
    </row>
    <row r="398">
      <c r="A398" s="31" t="inlineStr">
        <is>
          <t>NAUKRI</t>
        </is>
      </c>
      <c r="B398" s="31" t="inlineStr">
        <is>
          <t>Info Edge (india) Limited</t>
        </is>
      </c>
      <c r="C398" s="31" t="inlineStr">
        <is>
          <t>i.t</t>
        </is>
      </c>
      <c r="D398" s="31" t="inlineStr">
        <is>
          <t>miscellaneous</t>
        </is>
      </c>
      <c r="E398" s="31" t="inlineStr">
        <is>
          <t>largecap</t>
        </is>
      </c>
      <c r="F398" s="31" t="n">
        <v>87536.78</v>
      </c>
      <c r="G398" s="31" t="n">
        <v>1323.5</v>
      </c>
      <c r="H398" s="31" t="n">
        <v>-1.96</v>
      </c>
      <c r="I398" s="31" t="n">
        <v>777167</v>
      </c>
      <c r="J398" s="31" t="inlineStr">
        <is>
          <t>532777</t>
        </is>
      </c>
    </row>
    <row r="399">
      <c r="A399" s="31" t="inlineStr">
        <is>
          <t>TIIL</t>
        </is>
      </c>
      <c r="B399" s="31" t="inlineStr">
        <is>
          <t>Technocraft Industries (india) Limited</t>
        </is>
      </c>
      <c r="C399" s="31" t="inlineStr">
        <is>
          <t>metals &amp; mining</t>
        </is>
      </c>
      <c r="D399" s="31" t="inlineStr">
        <is>
          <t>steel - medium / small</t>
        </is>
      </c>
      <c r="E399" s="31" t="inlineStr">
        <is>
          <t>midcap</t>
        </is>
      </c>
      <c r="F399" s="31" t="n">
        <v>7833.23</v>
      </c>
      <c r="G399" s="31" t="n">
        <v>3386.6</v>
      </c>
      <c r="H399" s="31" t="n">
        <v>-1.98</v>
      </c>
      <c r="I399" s="31" t="n">
        <v>49098</v>
      </c>
      <c r="J399" s="31" t="inlineStr">
        <is>
          <t>532804</t>
        </is>
      </c>
    </row>
    <row r="400">
      <c r="A400" s="31" t="inlineStr">
        <is>
          <t>NAHARINDUS</t>
        </is>
      </c>
      <c r="B400" s="31" t="inlineStr">
        <is>
          <t>Nahar Industrial Enterprises Limited</t>
        </is>
      </c>
      <c r="C400" s="31" t="inlineStr">
        <is>
          <t>textiles</t>
        </is>
      </c>
      <c r="D400" s="31" t="inlineStr">
        <is>
          <t>textiles - cotton/blended</t>
        </is>
      </c>
      <c r="E400" s="31" t="inlineStr">
        <is>
          <t>smallcap</t>
        </is>
      </c>
      <c r="F400" s="31" t="n">
        <v>601.55</v>
      </c>
      <c r="G400" s="31" t="n">
        <v>136.2</v>
      </c>
      <c r="H400" s="31" t="n">
        <v>-2.18</v>
      </c>
      <c r="I400" s="31" t="n">
        <v>52433</v>
      </c>
      <c r="J400" s="31" t="inlineStr">
        <is>
          <t>519136</t>
        </is>
      </c>
    </row>
    <row r="401">
      <c r="A401" s="31" t="inlineStr">
        <is>
          <t>TI</t>
        </is>
      </c>
      <c r="B401" s="31" t="inlineStr">
        <is>
          <t>Tilaknagar Industries Limited</t>
        </is>
      </c>
      <c r="C401" s="31" t="inlineStr">
        <is>
          <t>fmcg</t>
        </is>
      </c>
      <c r="D401" s="31" t="inlineStr">
        <is>
          <t>breweries &amp; distilleries</t>
        </is>
      </c>
      <c r="E401" s="31" t="inlineStr">
        <is>
          <t>midcap</t>
        </is>
      </c>
      <c r="F401" s="31" t="n">
        <v>14222.32</v>
      </c>
      <c r="G401" s="31" t="n">
        <v>562</v>
      </c>
      <c r="H401" s="31" t="n">
        <v>-2.21</v>
      </c>
      <c r="I401" s="31" t="n">
        <v>1273025</v>
      </c>
      <c r="J401" s="31" t="inlineStr">
        <is>
          <t>507205</t>
        </is>
      </c>
    </row>
    <row r="402">
      <c r="A402" s="31" t="inlineStr">
        <is>
          <t>RITCO</t>
        </is>
      </c>
      <c r="B402" s="31" t="inlineStr">
        <is>
          <t>Ritco Logistics Ltd</t>
        </is>
      </c>
      <c r="C402" s="31" t="inlineStr">
        <is>
          <t>transportation</t>
        </is>
      </c>
      <c r="D402" s="31" t="inlineStr">
        <is>
          <t>miscellaneous</t>
        </is>
      </c>
      <c r="E402" s="31" t="inlineStr">
        <is>
          <t>smallcap</t>
        </is>
      </c>
      <c r="F402" s="31" t="n">
        <v>905.1900000000001</v>
      </c>
      <c r="G402" s="31" t="n">
        <v>309</v>
      </c>
      <c r="H402" s="31" t="n">
        <v>-2.29</v>
      </c>
      <c r="I402" s="31" t="n">
        <v>81648</v>
      </c>
      <c r="J402" s="31" t="inlineStr">
        <is>
          <t>542383</t>
        </is>
      </c>
    </row>
    <row r="403">
      <c r="A403" s="31" t="inlineStr">
        <is>
          <t>UNIVASTU</t>
        </is>
      </c>
      <c r="B403" s="31" t="inlineStr">
        <is>
          <t>Univastu India Ltd</t>
        </is>
      </c>
      <c r="C403" s="31" t="inlineStr">
        <is>
          <t>realty</t>
        </is>
      </c>
      <c r="D403" s="31" t="inlineStr">
        <is>
          <t>construction</t>
        </is>
      </c>
      <c r="E403" s="31" t="inlineStr">
        <is>
          <t>smallcap</t>
        </is>
      </c>
      <c r="F403" s="31" t="n">
        <v>611.0700000000001</v>
      </c>
      <c r="G403" s="31" t="n">
        <v>158</v>
      </c>
      <c r="H403" s="31" t="n">
        <v>-2.29</v>
      </c>
      <c r="I403" s="31" t="n">
        <v>121270</v>
      </c>
      <c r="J403" s="31" t="inlineStr">
        <is>
          <t>538442</t>
        </is>
      </c>
    </row>
    <row r="404">
      <c r="A404" s="31" t="inlineStr">
        <is>
          <t>TASTYBITE</t>
        </is>
      </c>
      <c r="B404" s="31" t="inlineStr">
        <is>
          <t>Tasty Bite Eatables Ltd</t>
        </is>
      </c>
      <c r="C404" s="31" t="inlineStr">
        <is>
          <t>fmcg</t>
        </is>
      </c>
      <c r="D404" s="31" t="inlineStr">
        <is>
          <t>food - processing - indian</t>
        </is>
      </c>
      <c r="E404" s="31" t="inlineStr">
        <is>
          <t>smallcap</t>
        </is>
      </c>
      <c r="F404" s="31" t="n">
        <v>2587.3</v>
      </c>
      <c r="G404" s="31" t="n">
        <v>9848.5</v>
      </c>
      <c r="H404" s="31" t="n">
        <v>-2.33</v>
      </c>
      <c r="I404" s="31" t="n">
        <v>3719</v>
      </c>
      <c r="J404" s="31" t="inlineStr">
        <is>
          <t>519091</t>
        </is>
      </c>
    </row>
    <row r="405">
      <c r="A405" s="31" t="inlineStr">
        <is>
          <t>UNIPARTS</t>
        </is>
      </c>
      <c r="B405" s="31" t="inlineStr">
        <is>
          <t>Uniparts India Ltd</t>
        </is>
      </c>
      <c r="C405" s="31" t="inlineStr">
        <is>
          <t>industrials</t>
        </is>
      </c>
      <c r="D405" s="31" t="inlineStr">
        <is>
          <t>engineering</t>
        </is>
      </c>
      <c r="E405" s="31" t="inlineStr">
        <is>
          <t>smallcap</t>
        </is>
      </c>
      <c r="F405" s="31" t="n">
        <v>3727.02</v>
      </c>
      <c r="G405" s="31" t="n">
        <v>806.2</v>
      </c>
      <c r="H405" s="31" t="n">
        <v>-2.35</v>
      </c>
      <c r="I405" s="31" t="n">
        <v>104920</v>
      </c>
      <c r="J405" s="31" t="inlineStr">
        <is>
          <t>543689</t>
        </is>
      </c>
    </row>
    <row r="406">
      <c r="A406" s="31" t="inlineStr">
        <is>
          <t>VIDHIING</t>
        </is>
      </c>
      <c r="B406" s="31" t="inlineStr">
        <is>
          <t>Vidhi Specialty Food Ingredients</t>
        </is>
      </c>
      <c r="C406" s="31" t="inlineStr">
        <is>
          <t>chemicals</t>
        </is>
      </c>
      <c r="D406" s="31" t="inlineStr">
        <is>
          <t>dyes and pigments</t>
        </is>
      </c>
      <c r="E406" s="31" t="inlineStr">
        <is>
          <t>smallcap</t>
        </is>
      </c>
      <c r="F406" s="31" t="n">
        <v>1732.34</v>
      </c>
      <c r="G406" s="31" t="n">
        <v>338.5</v>
      </c>
      <c r="H406" s="31" t="n">
        <v>-2.41</v>
      </c>
      <c r="I406" s="31" t="n">
        <v>31713</v>
      </c>
      <c r="J406" s="31" t="inlineStr">
        <is>
          <t>531717</t>
        </is>
      </c>
    </row>
    <row r="407">
      <c r="A407" s="31" t="inlineStr">
        <is>
          <t>SJS</t>
        </is>
      </c>
      <c r="B407" s="31" t="inlineStr">
        <is>
          <t>S J S Enterprises Ltd</t>
        </is>
      </c>
      <c r="C407" s="31" t="inlineStr">
        <is>
          <t>auto</t>
        </is>
      </c>
      <c r="D407" s="31" t="inlineStr">
        <is>
          <t>plastics products</t>
        </is>
      </c>
      <c r="E407" s="31" t="inlineStr">
        <is>
          <t>midcap</t>
        </is>
      </c>
      <c r="F407" s="31" t="n">
        <v>8165.47</v>
      </c>
      <c r="G407" s="31" t="n">
        <v>2485.9</v>
      </c>
      <c r="H407" s="31" t="n">
        <v>-2.56</v>
      </c>
      <c r="I407" s="31" t="n">
        <v>187746</v>
      </c>
      <c r="J407" s="31" t="inlineStr">
        <is>
          <t>543387</t>
        </is>
      </c>
    </row>
    <row r="408">
      <c r="A408" s="31" t="inlineStr">
        <is>
          <t>SANDHAR</t>
        </is>
      </c>
      <c r="B408" s="31" t="inlineStr">
        <is>
          <t>Sandhar Technologies Limited</t>
        </is>
      </c>
      <c r="C408" s="31" t="inlineStr">
        <is>
          <t>auto</t>
        </is>
      </c>
      <c r="D408" s="31" t="inlineStr">
        <is>
          <t>auto ancillaries</t>
        </is>
      </c>
      <c r="E408" s="31" t="inlineStr">
        <is>
          <t>smallcap</t>
        </is>
      </c>
      <c r="F408" s="31" t="n">
        <v>4086.95</v>
      </c>
      <c r="G408" s="31" t="n">
        <v>661.05</v>
      </c>
      <c r="H408" s="31" t="n">
        <v>-2.64</v>
      </c>
      <c r="I408" s="31" t="n">
        <v>105510</v>
      </c>
      <c r="J408" s="31" t="inlineStr">
        <is>
          <t>541163</t>
        </is>
      </c>
    </row>
    <row r="409">
      <c r="A409" s="31" t="inlineStr">
        <is>
          <t>MACPOWER</t>
        </is>
      </c>
      <c r="B409" s="31" t="inlineStr">
        <is>
          <t>Macpower CNC Machines Ltd</t>
        </is>
      </c>
      <c r="C409" s="31" t="inlineStr">
        <is>
          <t>industrials</t>
        </is>
      </c>
      <c r="D409" s="31" t="inlineStr">
        <is>
          <t>engineering</t>
        </is>
      </c>
      <c r="E409" s="31" t="inlineStr">
        <is>
          <t>smallcap</t>
        </is>
      </c>
      <c r="F409" s="31" t="n">
        <v>1903.79</v>
      </c>
      <c r="G409" s="31" t="n">
        <v>1850.6</v>
      </c>
      <c r="H409" s="31" t="n">
        <v>-2.75</v>
      </c>
      <c r="I409" s="31" t="n">
        <v>92983</v>
      </c>
      <c r="J409" s="31" t="inlineStr">
        <is>
          <t>535057</t>
        </is>
      </c>
    </row>
    <row r="410">
      <c r="A410" s="31" t="inlineStr">
        <is>
          <t>GOKULAGRO</t>
        </is>
      </c>
      <c r="B410" s="31" t="inlineStr">
        <is>
          <t>Gokul Agro Resources Limited</t>
        </is>
      </c>
      <c r="C410" s="31" t="inlineStr">
        <is>
          <t>fmcg</t>
        </is>
      </c>
      <c r="D410" s="31" t="inlineStr">
        <is>
          <t>solvent extraction</t>
        </is>
      </c>
      <c r="E410" s="31" t="inlineStr">
        <is>
          <t>midcap</t>
        </is>
      </c>
      <c r="F410" s="31" t="n">
        <v>7461.27</v>
      </c>
      <c r="G410" s="31" t="n">
        <v>245.39</v>
      </c>
      <c r="H410" s="31" t="n">
        <v>-2.95</v>
      </c>
      <c r="I410" s="31" t="n">
        <v>2147812</v>
      </c>
      <c r="J410" s="31" t="inlineStr">
        <is>
          <t>539725</t>
        </is>
      </c>
    </row>
    <row r="411">
      <c r="A411" s="31" t="inlineStr">
        <is>
          <t>SYNCOMF</t>
        </is>
      </c>
      <c r="B411" s="31" t="inlineStr">
        <is>
          <t>Syncom Formulations (India) Ltd</t>
        </is>
      </c>
      <c r="C411" s="31" t="inlineStr">
        <is>
          <t>healthcare</t>
        </is>
      </c>
      <c r="D411" s="31" t="inlineStr">
        <is>
          <t>pharmaceuticals - indian - bulk drugs &amp; formln</t>
        </is>
      </c>
      <c r="E411" s="31" t="inlineStr">
        <is>
          <t>smallcap</t>
        </is>
      </c>
      <c r="F411" s="31" t="n">
        <v>1650.64</v>
      </c>
      <c r="G411" s="31" t="n">
        <v>17.03</v>
      </c>
      <c r="H411" s="31" t="n">
        <v>-3.02</v>
      </c>
      <c r="I411" s="31" t="n">
        <v>5776859</v>
      </c>
      <c r="J411" s="31" t="inlineStr">
        <is>
          <t>524470</t>
        </is>
      </c>
    </row>
    <row r="412">
      <c r="A412" s="31" t="inlineStr">
        <is>
          <t>BECTORFOOD</t>
        </is>
      </c>
      <c r="B412" s="31" t="inlineStr">
        <is>
          <t>Mrs Bectors Food Specialities Ltd</t>
        </is>
      </c>
      <c r="C412" s="31" t="inlineStr">
        <is>
          <t>fmcg</t>
        </is>
      </c>
      <c r="D412" s="31" t="inlineStr">
        <is>
          <t>food - processing - indian</t>
        </is>
      </c>
      <c r="E412" s="31" t="inlineStr">
        <is>
          <t>midcap</t>
        </is>
      </c>
      <c r="F412" s="31" t="n">
        <v>7702.09</v>
      </c>
      <c r="G412" s="31" t="n">
        <v>243.24</v>
      </c>
      <c r="H412" s="31" t="n">
        <v>-3.05</v>
      </c>
      <c r="I412" s="31" t="n">
        <v>1182030</v>
      </c>
      <c r="J412" s="31" t="inlineStr">
        <is>
          <t>543253</t>
        </is>
      </c>
    </row>
    <row r="413">
      <c r="A413" s="31" t="inlineStr">
        <is>
          <t>UTTAMSUGAR</t>
        </is>
      </c>
      <c r="B413" s="31" t="inlineStr">
        <is>
          <t>Uttam Sugar Mills Limited</t>
        </is>
      </c>
      <c r="C413" s="31" t="inlineStr">
        <is>
          <t>fmcg</t>
        </is>
      </c>
      <c r="D413" s="31" t="inlineStr">
        <is>
          <t>sugar</t>
        </is>
      </c>
      <c r="E413" s="31" t="inlineStr">
        <is>
          <t>smallcap</t>
        </is>
      </c>
      <c r="F413" s="31" t="n">
        <v>1232.36</v>
      </c>
      <c r="G413" s="31" t="n">
        <v>312.82</v>
      </c>
      <c r="H413" s="31" t="n">
        <v>-3.19</v>
      </c>
      <c r="I413" s="31" t="n">
        <v>687205</v>
      </c>
      <c r="J413" s="31" t="inlineStr">
        <is>
          <t>532729</t>
        </is>
      </c>
    </row>
    <row r="414">
      <c r="A414" s="31" t="inlineStr">
        <is>
          <t>KCP</t>
        </is>
      </c>
      <c r="B414" s="31" t="inlineStr">
        <is>
          <t>Kcp Limited</t>
        </is>
      </c>
      <c r="C414" s="31" t="inlineStr">
        <is>
          <t>building materials</t>
        </is>
      </c>
      <c r="D414" s="31" t="inlineStr">
        <is>
          <t>cement - south india</t>
        </is>
      </c>
      <c r="E414" s="31" t="inlineStr">
        <is>
          <t>smallcap</t>
        </is>
      </c>
      <c r="F414" s="31" t="n">
        <v>2282.68</v>
      </c>
      <c r="G414" s="31" t="n">
        <v>171.15</v>
      </c>
      <c r="H414" s="31" t="n">
        <v>-3.34</v>
      </c>
      <c r="I414" s="31" t="n">
        <v>200939</v>
      </c>
      <c r="J414" s="31" t="inlineStr">
        <is>
          <t>590066</t>
        </is>
      </c>
    </row>
    <row r="415">
      <c r="A415" s="31" t="inlineStr">
        <is>
          <t>RBA</t>
        </is>
      </c>
      <c r="B415" s="31" t="inlineStr">
        <is>
          <t>Restaurant Brands Asia Ltd</t>
        </is>
      </c>
      <c r="C415" s="31" t="inlineStr">
        <is>
          <t>consumer discretionary</t>
        </is>
      </c>
      <c r="D415" s="31" t="inlineStr">
        <is>
          <t>hotels</t>
        </is>
      </c>
      <c r="E415" s="31" t="inlineStr">
        <is>
          <t>midcap</t>
        </is>
      </c>
      <c r="F415" s="31" t="n">
        <v>7566.28</v>
      </c>
      <c r="G415" s="31" t="n">
        <v>102.36</v>
      </c>
      <c r="H415" s="31" t="n">
        <v>-3.72</v>
      </c>
      <c r="I415" s="31" t="n">
        <v>6494234</v>
      </c>
      <c r="J415" s="31" t="inlineStr">
        <is>
          <t>543248</t>
        </is>
      </c>
    </row>
    <row r="416">
      <c r="A416" s="31" t="inlineStr">
        <is>
          <t>BAJAJHIND</t>
        </is>
      </c>
      <c r="B416" s="31" t="inlineStr">
        <is>
          <t>Bajaj Hindusthan Sugar Limited</t>
        </is>
      </c>
      <c r="C416" s="31" t="inlineStr">
        <is>
          <t>fmcg</t>
        </is>
      </c>
      <c r="D416" s="31" t="inlineStr">
        <is>
          <t>sugar</t>
        </is>
      </c>
      <c r="E416" s="31" t="inlineStr">
        <is>
          <t>midcap</t>
        </is>
      </c>
      <c r="F416" s="31" t="n">
        <v>5453.11</v>
      </c>
      <c r="G416" s="31" t="n">
        <v>21.78</v>
      </c>
      <c r="H416" s="31" t="n">
        <v>-4.52</v>
      </c>
      <c r="I416" s="31" t="n">
        <v>93415316</v>
      </c>
      <c r="J416" s="31" t="inlineStr">
        <is>
          <t>500032</t>
        </is>
      </c>
    </row>
    <row r="417">
      <c r="A417" s="31" t="inlineStr">
        <is>
          <t>SALSTEEL</t>
        </is>
      </c>
      <c r="B417" s="31" t="inlineStr">
        <is>
          <t>SAL Steel</t>
        </is>
      </c>
      <c r="C417" s="31" t="inlineStr">
        <is>
          <t>metals &amp; mining</t>
        </is>
      </c>
      <c r="D417" s="31" t="inlineStr">
        <is>
          <t>steel - sponge iron</t>
        </is>
      </c>
      <c r="E417" s="31" t="inlineStr">
        <is>
          <t>smallcap</t>
        </is>
      </c>
      <c r="F417" s="31" t="n">
        <v>1078.37</v>
      </c>
      <c r="G417" s="31" t="n">
        <v>71</v>
      </c>
      <c r="H417" s="31" t="n">
        <v>-4.69</v>
      </c>
      <c r="I417" s="31" t="n">
        <v>642340</v>
      </c>
      <c r="J417" s="31" t="inlineStr">
        <is>
          <t>532604</t>
        </is>
      </c>
    </row>
    <row r="418">
      <c r="A418" s="31" t="inlineStr">
        <is>
          <t>KANPRPLA</t>
        </is>
      </c>
      <c r="B418" s="31" t="inlineStr">
        <is>
          <t>Kanpur Plastipack Ltd</t>
        </is>
      </c>
      <c r="C418" s="31" t="inlineStr">
        <is>
          <t>industrials</t>
        </is>
      </c>
      <c r="D418" s="31" t="inlineStr">
        <is>
          <t>packaging</t>
        </is>
      </c>
      <c r="E418" s="31" t="inlineStr">
        <is>
          <t>smallcap</t>
        </is>
      </c>
      <c r="F418" s="31" t="n">
        <v>678.53</v>
      </c>
      <c r="G418" s="31" t="n">
        <v>263.31</v>
      </c>
      <c r="H418" s="31" t="n">
        <v>-5.01</v>
      </c>
      <c r="I418" s="31" t="n">
        <v>54907</v>
      </c>
      <c r="J418" s="31" t="inlineStr">
        <is>
          <t>507779</t>
        </is>
      </c>
    </row>
  </sheetData>
  <autoFilter ref="A1:J4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9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IOLCP</t>
        </is>
      </c>
      <c r="E2" s="31" t="inlineStr">
        <is>
          <t>Iol Chemicals And Pharmaceuticals Limited</t>
        </is>
      </c>
      <c r="F2" s="31" t="inlineStr">
        <is>
          <t>Pharma - API &amp; CRAMS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22</v>
      </c>
      <c r="K2" s="31" t="n">
        <v>16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RPEL</t>
        </is>
      </c>
      <c r="E3" s="31" t="inlineStr">
        <is>
          <t>Raghav Productivity Enhancers Ltd</t>
        </is>
      </c>
      <c r="F3" s="31" t="inlineStr">
        <is>
          <t>Steel Products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23</v>
      </c>
      <c r="K3" s="31" t="n">
        <v>21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ENTERO</t>
        </is>
      </c>
      <c r="E4" s="31" t="inlineStr">
        <is>
          <t>Entero Healthcare Solutions Ltd</t>
        </is>
      </c>
      <c r="F4" s="31" t="inlineStr">
        <is>
          <t>Pharmacy Distribution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28</v>
      </c>
      <c r="K4" s="31" t="n">
        <v>22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LAURUSLABS</t>
        </is>
      </c>
      <c r="E5" s="31" t="inlineStr">
        <is>
          <t>Laurus Labs Limited</t>
        </is>
      </c>
      <c r="F5" s="31" t="inlineStr">
        <is>
          <t>Pharma - API &amp; CRAMS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20</v>
      </c>
      <c r="K5" s="31" t="n">
        <v>30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KENNAMET</t>
        </is>
      </c>
      <c r="E6" s="31" t="inlineStr">
        <is>
          <t>Kennametal India Ltd</t>
        </is>
      </c>
      <c r="F6" s="31" t="inlineStr">
        <is>
          <t>Castings, Forgings &amp; Fastners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30</v>
      </c>
      <c r="K6" s="31" t="n">
        <v>19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KRISHANA</t>
        </is>
      </c>
      <c r="E7" s="31" t="inlineStr">
        <is>
          <t>Krishana Phoschem Ltd</t>
        </is>
      </c>
      <c r="F7" s="31" t="inlineStr">
        <is>
          <t>Fertilisers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22</v>
      </c>
      <c r="K7" s="31" t="n">
        <v>27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TVSSRICHAK</t>
        </is>
      </c>
      <c r="E8" s="31" t="inlineStr">
        <is>
          <t>Tvs Srichakra Limited</t>
        </is>
      </c>
      <c r="F8" s="31" t="inlineStr">
        <is>
          <t>Tyres &amp; Tubes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28</v>
      </c>
      <c r="K8" s="31" t="n">
        <v>12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AEROFLEX</t>
        </is>
      </c>
      <c r="E9" s="31" t="inlineStr">
        <is>
          <t>Aeroflex Industries Ltd</t>
        </is>
      </c>
      <c r="F9" s="31" t="inlineStr">
        <is>
          <t>Stainless Steel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21</v>
      </c>
      <c r="K9" s="31" t="n">
        <v>15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PVP</t>
        </is>
      </c>
      <c r="E10" s="31" t="inlineStr">
        <is>
          <t>Pvp Ventures Limited</t>
        </is>
      </c>
      <c r="F10" s="31" t="inlineStr">
        <is>
          <t>Realty - Construction &amp; Contracting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24</v>
      </c>
      <c r="K10" s="31" t="n">
        <v>15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VADILALIND</t>
        </is>
      </c>
      <c r="E11" s="31" t="inlineStr">
        <is>
          <t>Vadilal Industries Limited</t>
        </is>
      </c>
      <c r="F11" s="31" t="inlineStr">
        <is>
          <t>FMCG - Dairy Products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21</v>
      </c>
      <c r="K11" s="31" t="n">
        <v>30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TFCILTD</t>
        </is>
      </c>
      <c r="E12" s="31" t="inlineStr">
        <is>
          <t>Tourism Finance Corporation Of India Limited</t>
        </is>
      </c>
      <c r="F12" s="31" t="inlineStr">
        <is>
          <t>Finance - PSU Lending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26</v>
      </c>
      <c r="K12" s="31" t="n">
        <v>28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INDOBORAX</t>
        </is>
      </c>
      <c r="E13" s="31" t="inlineStr">
        <is>
          <t>Indo Borax &amp; Chemicals Ltd</t>
        </is>
      </c>
      <c r="F13" s="31" t="inlineStr">
        <is>
          <t>Chemicals - Inorganic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25</v>
      </c>
      <c r="K13" s="31" t="n">
        <v>13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PARAS</t>
        </is>
      </c>
      <c r="E14" s="31" t="inlineStr">
        <is>
          <t>Paras Defence and Space Technologies Ltd</t>
        </is>
      </c>
      <c r="F14" s="31" t="inlineStr">
        <is>
          <t>Aerospace &amp; Defence - Equipments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22</v>
      </c>
      <c r="K14" s="31" t="n">
        <v>21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WELINV</t>
        </is>
      </c>
      <c r="E15" s="31" t="inlineStr">
        <is>
          <t>Welspun Investments And Commercials Limited</t>
        </is>
      </c>
      <c r="F15" s="31" t="inlineStr">
        <is>
          <t>Finance - Investment/Others</t>
        </is>
      </c>
      <c r="G15" s="31" t="n">
        <v>2</v>
      </c>
      <c r="H15" s="31" t="inlineStr">
        <is>
          <t>52W Breakout</t>
        </is>
      </c>
      <c r="I15" s="31" t="inlineStr">
        <is>
          <t>Yes</t>
        </is>
      </c>
      <c r="J15" s="31" t="n">
        <v>1</v>
      </c>
      <c r="K15" s="31" t="n">
        <v>13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IIFL</t>
        </is>
      </c>
      <c r="E16" s="31" t="inlineStr">
        <is>
          <t>IIFL Finance Ltd</t>
        </is>
      </c>
      <c r="F16" s="31" t="inlineStr">
        <is>
          <t>Finance &amp; Investments - Gold Loan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22</v>
      </c>
      <c r="K16" s="31" t="n">
        <v>27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KTKBANK</t>
        </is>
      </c>
      <c r="E17" s="31" t="inlineStr">
        <is>
          <t>The Karnataka Bank Limited</t>
        </is>
      </c>
      <c r="F17" s="31" t="inlineStr">
        <is>
          <t>Banks - Private</t>
        </is>
      </c>
      <c r="G17" s="31" t="n">
        <v>2</v>
      </c>
      <c r="H17" s="31" t="inlineStr">
        <is>
          <t>52W Breakout</t>
        </is>
      </c>
      <c r="I17" s="31" t="inlineStr">
        <is>
          <t>Yes</t>
        </is>
      </c>
      <c r="J17" s="31" t="n">
        <v>12</v>
      </c>
      <c r="K17" s="31" t="n">
        <v>28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AURUM</t>
        </is>
      </c>
      <c r="E18" s="31" t="inlineStr">
        <is>
          <t>Aurum Proptech Ltd</t>
        </is>
      </c>
      <c r="F18" s="31" t="inlineStr">
        <is>
          <t>IT Enabled Services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21</v>
      </c>
      <c r="K18" s="31" t="n">
        <v>14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SYRMA</t>
        </is>
      </c>
      <c r="E19" s="31" t="inlineStr">
        <is>
          <t>Syrma SGS Technology Ltd</t>
        </is>
      </c>
      <c r="F19" s="31" t="inlineStr">
        <is>
          <t>Consumer Electronics - EMS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19</v>
      </c>
      <c r="K19" s="31" t="n">
        <v>18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SPORTKING</t>
        </is>
      </c>
      <c r="E20" s="31" t="inlineStr">
        <is>
          <t>Sportking India Ltd</t>
        </is>
      </c>
      <c r="F20" s="31" t="inlineStr">
        <is>
          <t>Textiles - Spinning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19</v>
      </c>
      <c r="K20" s="31" t="n">
        <v>18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MANORAMA</t>
        </is>
      </c>
      <c r="E21" s="31" t="inlineStr">
        <is>
          <t>Manorama Industries Ltd</t>
        </is>
      </c>
      <c r="F21" s="31" t="inlineStr">
        <is>
          <t>FMCG - Chocolate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21</v>
      </c>
      <c r="K21" s="31" t="n">
        <v>20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MOREPENLAB</t>
        </is>
      </c>
      <c r="E22" s="31" t="inlineStr">
        <is>
          <t>Morepen Laboratories Limited</t>
        </is>
      </c>
      <c r="F22" s="31" t="inlineStr">
        <is>
          <t>Pharma - API &amp; CRAMS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27</v>
      </c>
      <c r="K22" s="31" t="n">
        <v>20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MENONBE</t>
        </is>
      </c>
      <c r="E23" s="31" t="inlineStr">
        <is>
          <t>Menon Bearings Limited</t>
        </is>
      </c>
      <c r="F23" s="31" t="inlineStr">
        <is>
          <t>Auto Ancillaries - Bearings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21</v>
      </c>
      <c r="K23" s="31" t="n">
        <v>28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QUESS</t>
        </is>
      </c>
      <c r="E24" s="31" t="inlineStr">
        <is>
          <t>Quess Corp Limited</t>
        </is>
      </c>
      <c r="F24" s="31" t="inlineStr">
        <is>
          <t>Facility Management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19</v>
      </c>
      <c r="K24" s="31" t="n">
        <v>29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INDOTECH</t>
        </is>
      </c>
      <c r="E25" s="31" t="inlineStr">
        <is>
          <t>Indo Tech Transformers Limited</t>
        </is>
      </c>
      <c r="F25" s="31" t="inlineStr">
        <is>
          <t>Capital Goods - Transformers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21</v>
      </c>
      <c r="K25" s="31" t="n">
        <v>29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SJS</t>
        </is>
      </c>
      <c r="E26" s="31" t="inlineStr">
        <is>
          <t>S J S Enterprises Ltd</t>
        </is>
      </c>
      <c r="F26" s="31" t="inlineStr">
        <is>
          <t>Auto Ancillaries - Diversified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21</v>
      </c>
      <c r="K26" s="31" t="n">
        <v>29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KINGFA</t>
        </is>
      </c>
      <c r="E27" s="31" t="inlineStr">
        <is>
          <t>Kingfa Science &amp; Technology (india) Limited</t>
        </is>
      </c>
      <c r="F27" s="31" t="inlineStr">
        <is>
          <t>Plastics - Plastic &amp; Plastic Products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23</v>
      </c>
      <c r="K27" s="31" t="n">
        <v>18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UNIPARTS</t>
        </is>
      </c>
      <c r="E28" s="31" t="inlineStr">
        <is>
          <t>Uniparts India Ltd</t>
        </is>
      </c>
      <c r="F28" s="31" t="inlineStr">
        <is>
          <t>Castings, Forgings &amp; Fastners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22</v>
      </c>
      <c r="K28" s="31" t="n">
        <v>29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INDSWFTLAB</t>
        </is>
      </c>
      <c r="E29" s="31" t="inlineStr">
        <is>
          <t>Ind-swift Laboratories Limited</t>
        </is>
      </c>
      <c r="F29" s="31" t="inlineStr">
        <is>
          <t>Pharma - API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22</v>
      </c>
      <c r="K29" s="31" t="n">
        <v>27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CGCL</t>
        </is>
      </c>
      <c r="E30" s="31" t="inlineStr">
        <is>
          <t>Capri Global Capital Limited</t>
        </is>
      </c>
      <c r="F30" s="31" t="inlineStr">
        <is>
          <t>Finance &amp; Investments - Gold Loan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25</v>
      </c>
      <c r="K30" s="31" t="n">
        <v>11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IPCALAB</t>
        </is>
      </c>
      <c r="E31" s="31" t="inlineStr">
        <is>
          <t>Ipca Laboratories Limited</t>
        </is>
      </c>
      <c r="F31" s="31" t="inlineStr">
        <is>
          <t>Pharma - Formulators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20</v>
      </c>
      <c r="K31" s="31" t="n">
        <v>16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MARKSANS</t>
        </is>
      </c>
      <c r="E32" s="31" t="inlineStr">
        <is>
          <t>Marksans Pharma Limited</t>
        </is>
      </c>
      <c r="F32" s="31" t="inlineStr">
        <is>
          <t>Pharma - Formulators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29</v>
      </c>
      <c r="K32" s="31" t="n">
        <v>21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TBZ</t>
        </is>
      </c>
      <c r="E33" s="31" t="inlineStr">
        <is>
          <t>Tribhovandas Bhimji Zaveri Limited</t>
        </is>
      </c>
      <c r="F33" s="31" t="inlineStr">
        <is>
          <t>Diamond, Gems &amp; Jewellery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22</v>
      </c>
      <c r="K33" s="31" t="n">
        <v>23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KMEW</t>
        </is>
      </c>
      <c r="E34" s="31" t="inlineStr">
        <is>
          <t>Knowledge Marine &amp; Engineering Works Ltd</t>
        </is>
      </c>
      <c r="F34" s="31" t="inlineStr">
        <is>
          <t>Shipping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21</v>
      </c>
      <c r="K34" s="31" t="n">
        <v>29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UNIVCABLES</t>
        </is>
      </c>
      <c r="E35" s="31" t="inlineStr">
        <is>
          <t>Universal Cables Limited</t>
        </is>
      </c>
      <c r="F35" s="31" t="inlineStr">
        <is>
          <t>Cables - Power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19</v>
      </c>
      <c r="K35" s="31" t="n">
        <v>24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WELSPUNLIV</t>
        </is>
      </c>
      <c r="E36" s="31" t="inlineStr">
        <is>
          <t>Welspun Living Ltd</t>
        </is>
      </c>
      <c r="F36" s="31" t="inlineStr">
        <is>
          <t>Textiles - Home Textile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22</v>
      </c>
      <c r="K36" s="31" t="n">
        <v>13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MODISONLTD</t>
        </is>
      </c>
      <c r="E37" s="31" t="inlineStr">
        <is>
          <t>Modison Ltd</t>
        </is>
      </c>
      <c r="F37" s="31" t="inlineStr">
        <is>
          <t>Capital Goods - Electric General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26</v>
      </c>
      <c r="K37" s="31" t="n">
        <v>14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IRISDOREME</t>
        </is>
      </c>
      <c r="E38" s="31" t="inlineStr">
        <is>
          <t>Iris Clothings Ltd</t>
        </is>
      </c>
      <c r="F38" s="31" t="inlineStr">
        <is>
          <t>Textiles - Readymade Apparel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21</v>
      </c>
      <c r="K38" s="31" t="n">
        <v>30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AVALON</t>
        </is>
      </c>
      <c r="E39" s="31" t="inlineStr">
        <is>
          <t>Avalon Technologies Ltd</t>
        </is>
      </c>
      <c r="F39" s="31" t="inlineStr">
        <is>
          <t>Consumer Electronics - EMS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24</v>
      </c>
      <c r="K39" s="31" t="n">
        <v>21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SKYGOLD</t>
        </is>
      </c>
      <c r="E40" s="31" t="inlineStr">
        <is>
          <t>Sky Gold Ltd</t>
        </is>
      </c>
      <c r="F40" s="31" t="inlineStr">
        <is>
          <t>Diamond, Gems &amp; Jewellery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29</v>
      </c>
      <c r="K40" s="31" t="n">
        <v>29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KDDL</t>
        </is>
      </c>
      <c r="E41" s="31" t="inlineStr">
        <is>
          <t>Kddl Limited</t>
        </is>
      </c>
      <c r="F41" s="31" t="inlineStr">
        <is>
          <t>Watches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21</v>
      </c>
      <c r="K41" s="31" t="n">
        <v>24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OMAXE</t>
        </is>
      </c>
      <c r="E42" s="31" t="inlineStr">
        <is>
          <t>Omaxe Limited</t>
        </is>
      </c>
      <c r="F42" s="31" t="inlineStr">
        <is>
          <t>Realty - Construction &amp; Contracting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22</v>
      </c>
      <c r="K42" s="31" t="n">
        <v>14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IGPL</t>
        </is>
      </c>
      <c r="E43" s="31" t="inlineStr">
        <is>
          <t>Ig Petrochemicals Limited</t>
        </is>
      </c>
      <c r="F43" s="31" t="inlineStr">
        <is>
          <t>Chemicals - Organic - Maleic Anhydride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21</v>
      </c>
      <c r="K43" s="31" t="n">
        <v>17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SETL</t>
        </is>
      </c>
      <c r="E44" s="31" t="inlineStr">
        <is>
          <t>Standard Enginnering Technology Ltd</t>
        </is>
      </c>
      <c r="F44" s="31" t="inlineStr">
        <is>
          <t>Engineering - Heavy - Glass - lined Equipment</t>
        </is>
      </c>
      <c r="G44" s="31" t="n">
        <v>2</v>
      </c>
      <c r="H44" s="31" t="inlineStr">
        <is>
          <t>52W Breakout</t>
        </is>
      </c>
      <c r="I44" s="31" t="inlineStr">
        <is>
          <t>Yes</t>
        </is>
      </c>
      <c r="J44" s="31" t="n">
        <v>16</v>
      </c>
      <c r="K44" s="31" t="n">
        <v>30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CYIENTDLM</t>
        </is>
      </c>
      <c r="E45" s="31" t="inlineStr">
        <is>
          <t>Cyient DLM Ltd</t>
        </is>
      </c>
      <c r="F45" s="31" t="inlineStr">
        <is>
          <t>unknown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0</v>
      </c>
      <c r="K45" s="31" t="n">
        <v>30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SHILPAMED</t>
        </is>
      </c>
      <c r="E46" s="31" t="inlineStr">
        <is>
          <t>Shilpa Medicare Limited</t>
        </is>
      </c>
      <c r="F46" s="31" t="inlineStr">
        <is>
          <t>Pharma - API &amp; CRAMS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21</v>
      </c>
      <c r="K46" s="31" t="n">
        <v>25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CUPID</t>
        </is>
      </c>
      <c r="E47" s="31" t="inlineStr">
        <is>
          <t>Cupid Limited</t>
        </is>
      </c>
      <c r="F47" s="31" t="inlineStr">
        <is>
          <t>Contraceptives/Protectives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23</v>
      </c>
      <c r="K47" s="31" t="n">
        <v>30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FCL</t>
        </is>
      </c>
      <c r="E48" s="31" t="inlineStr">
        <is>
          <t>Fineotex Chemical Limited</t>
        </is>
      </c>
      <c r="F48" s="31" t="inlineStr">
        <is>
          <t>Speciality Chemicals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23</v>
      </c>
      <c r="K48" s="31" t="n">
        <v>19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DYCL</t>
        </is>
      </c>
      <c r="E49" s="31" t="inlineStr">
        <is>
          <t>Dynamic Cables Ltd</t>
        </is>
      </c>
      <c r="F49" s="31" t="inlineStr">
        <is>
          <t>Cables - Power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22</v>
      </c>
      <c r="K49" s="31" t="n">
        <v>13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GHCLTEXTIL</t>
        </is>
      </c>
      <c r="E50" s="31" t="inlineStr">
        <is>
          <t>GHCL Textiles Ltd</t>
        </is>
      </c>
      <c r="F50" s="31" t="inlineStr">
        <is>
          <t>Textiles - General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21</v>
      </c>
      <c r="K50" s="31" t="n">
        <v>28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NILKAMAL</t>
        </is>
      </c>
      <c r="E51" s="31" t="inlineStr">
        <is>
          <t>Nilkamal Limited</t>
        </is>
      </c>
      <c r="F51" s="31" t="inlineStr">
        <is>
          <t>Plastics - Plastic &amp; Plastic Products</t>
        </is>
      </c>
      <c r="G51" s="31" t="n">
        <v>2</v>
      </c>
      <c r="H51" s="31" t="inlineStr">
        <is>
          <t>52W Breakout</t>
        </is>
      </c>
      <c r="I51" s="31" t="inlineStr">
        <is>
          <t>Yes</t>
        </is>
      </c>
      <c r="J51" s="31" t="n">
        <v>15</v>
      </c>
      <c r="K51" s="31" t="n">
        <v>26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OFSS</t>
        </is>
      </c>
      <c r="E52" s="31" t="inlineStr">
        <is>
          <t>Oracle Financial Services Software Limited</t>
        </is>
      </c>
      <c r="F52" s="31" t="inlineStr">
        <is>
          <t>IT Product Companies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21</v>
      </c>
      <c r="K52" s="31" t="n">
        <v>21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AVTNPL</t>
        </is>
      </c>
      <c r="E53" s="31" t="inlineStr">
        <is>
          <t>Avt Natural Products Limited</t>
        </is>
      </c>
      <c r="F53" s="31" t="inlineStr">
        <is>
          <t>Agricultural Processing - Maize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24</v>
      </c>
      <c r="K53" s="31" t="n">
        <v>13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THELEELA</t>
        </is>
      </c>
      <c r="E54" s="31" t="inlineStr">
        <is>
          <t>Leela Palaces Hotels &amp; Resorts Ltd</t>
        </is>
      </c>
      <c r="F54" s="31" t="inlineStr">
        <is>
          <t>Hotels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23</v>
      </c>
      <c r="K54" s="31" t="n">
        <v>24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AEROENTER</t>
        </is>
      </c>
      <c r="E55" s="31" t="inlineStr">
        <is>
          <t>Aeroflex Enterprises Ltd</t>
        </is>
      </c>
      <c r="F55" s="31" t="inlineStr">
        <is>
          <t>Miscellaneous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23</v>
      </c>
      <c r="K55" s="31" t="n">
        <v>16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ACMESOLAR</t>
        </is>
      </c>
      <c r="E56" s="31" t="inlineStr">
        <is>
          <t>ACME Solar Holdings Ltd</t>
        </is>
      </c>
      <c r="F56" s="31" t="inlineStr">
        <is>
          <t>Engineering - Turnkey Services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20</v>
      </c>
      <c r="K56" s="31" t="n">
        <v>12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SOMANYCERA</t>
        </is>
      </c>
      <c r="E57" s="31" t="inlineStr">
        <is>
          <t>Somany Ceramics Limited</t>
        </is>
      </c>
      <c r="F57" s="31" t="inlineStr">
        <is>
          <t>Ceramics/Tiles/Sanitaryware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21</v>
      </c>
      <c r="K57" s="31" t="n">
        <v>9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MACPOWER</t>
        </is>
      </c>
      <c r="E58" s="31" t="inlineStr">
        <is>
          <t>Macpower CNC Machines Ltd</t>
        </is>
      </c>
      <c r="F58" s="31" t="inlineStr">
        <is>
          <t>CNC - Machines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21</v>
      </c>
      <c r="K58" s="31" t="n">
        <v>28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NEULANDLAB</t>
        </is>
      </c>
      <c r="E59" s="31" t="inlineStr">
        <is>
          <t>Neuland Laboratories Limited</t>
        </is>
      </c>
      <c r="F59" s="31" t="inlineStr">
        <is>
          <t>Pharma - API &amp; CRAMS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22</v>
      </c>
      <c r="K59" s="31" t="n">
        <v>27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CHENNPETRO</t>
        </is>
      </c>
      <c r="E60" s="31" t="inlineStr">
        <is>
          <t>Chennai Petroleum Corporation Limited</t>
        </is>
      </c>
      <c r="F60" s="31" t="inlineStr">
        <is>
          <t>Refineries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23</v>
      </c>
      <c r="K60" s="31" t="n">
        <v>25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DPABHUSHAN</t>
        </is>
      </c>
      <c r="E61" s="31" t="inlineStr">
        <is>
          <t>D.P. Abhushan Ltd</t>
        </is>
      </c>
      <c r="F61" s="31" t="inlineStr">
        <is>
          <t>Diamond, Gems &amp; Jewellery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22</v>
      </c>
      <c r="K61" s="31" t="n">
        <v>22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HFCL</t>
        </is>
      </c>
      <c r="E62" s="31" t="inlineStr">
        <is>
          <t>HFCL Ltd</t>
        </is>
      </c>
      <c r="F62" s="31" t="inlineStr">
        <is>
          <t>Telecom Services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25</v>
      </c>
      <c r="K62" s="31" t="n">
        <v>19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KRN</t>
        </is>
      </c>
      <c r="E63" s="31" t="inlineStr">
        <is>
          <t>KRN Heat Exchanger and Refrigeration Ltd</t>
        </is>
      </c>
      <c r="F63" s="31" t="inlineStr">
        <is>
          <t>Engineering - General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20</v>
      </c>
      <c r="K63" s="31" t="n">
        <v>15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YASHO</t>
        </is>
      </c>
      <c r="E64" s="31" t="inlineStr">
        <is>
          <t>Yasho Industries Ltd</t>
        </is>
      </c>
      <c r="F64" s="31" t="inlineStr">
        <is>
          <t>Speciality Chemicals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22</v>
      </c>
      <c r="K64" s="31" t="n">
        <v>30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KABRAEXTRU</t>
        </is>
      </c>
      <c r="E65" s="31" t="inlineStr">
        <is>
          <t>Kabra Extrusion Technik Limited</t>
        </is>
      </c>
      <c r="F65" s="31" t="inlineStr">
        <is>
          <t>Capital Goods - Engineering Heavy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22</v>
      </c>
      <c r="K65" s="31" t="n">
        <v>29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BODALCHEM</t>
        </is>
      </c>
      <c r="E66" s="31" t="inlineStr">
        <is>
          <t>Bodal Chemicals Limited</t>
        </is>
      </c>
      <c r="F66" s="31" t="inlineStr">
        <is>
          <t>Dyes &amp; Pigments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21</v>
      </c>
      <c r="K66" s="31" t="n">
        <v>17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PTCIL</t>
        </is>
      </c>
      <c r="E67" s="31" t="inlineStr">
        <is>
          <t>PTC Industries Ltd</t>
        </is>
      </c>
      <c r="F67" s="31" t="inlineStr">
        <is>
          <t>Castings - Steel/Alloy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24</v>
      </c>
      <c r="K67" s="31" t="n">
        <v>19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DIVISLAB</t>
        </is>
      </c>
      <c r="E68" s="31" t="inlineStr">
        <is>
          <t>Divi's Laboratories Limited</t>
        </is>
      </c>
      <c r="F68" s="31" t="inlineStr">
        <is>
          <t>Pharma - API &amp; CRAMS</t>
        </is>
      </c>
      <c r="G68" s="31" t="n">
        <v>2</v>
      </c>
      <c r="H68" s="31" t="inlineStr">
        <is>
          <t>52W Breakout</t>
        </is>
      </c>
      <c r="I68" s="31" t="inlineStr">
        <is>
          <t>Yes</t>
        </is>
      </c>
      <c r="J68" s="31" t="n">
        <v>15</v>
      </c>
      <c r="K68" s="31" t="n">
        <v>27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WELENT</t>
        </is>
      </c>
      <c r="E69" s="31" t="inlineStr">
        <is>
          <t>Welspun Enterprises Limited</t>
        </is>
      </c>
      <c r="F69" s="31" t="inlineStr">
        <is>
          <t>Water Treatment</t>
        </is>
      </c>
      <c r="G69" s="31" t="n">
        <v>2</v>
      </c>
      <c r="H69" s="31" t="inlineStr">
        <is>
          <t>52W Breakout</t>
        </is>
      </c>
      <c r="I69" s="31" t="inlineStr">
        <is>
          <t>Yes</t>
        </is>
      </c>
      <c r="J69" s="31" t="n">
        <v>16</v>
      </c>
      <c r="K69" s="31" t="n">
        <v>12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WEL</t>
        </is>
      </c>
      <c r="E70" s="31" t="inlineStr">
        <is>
          <t>Wonder Electricals Ltd</t>
        </is>
      </c>
      <c r="F70" s="31" t="inlineStr">
        <is>
          <t>Consumer Electronics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23</v>
      </c>
      <c r="K70" s="31" t="n">
        <v>1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MANINDS</t>
        </is>
      </c>
      <c r="E71" s="31" t="inlineStr">
        <is>
          <t>Man Industries (india) Limited</t>
        </is>
      </c>
      <c r="F71" s="31" t="inlineStr">
        <is>
          <t>Steel - Tubes/Pipes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22</v>
      </c>
      <c r="K71" s="31" t="n">
        <v>15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GALAXYSURF</t>
        </is>
      </c>
      <c r="E72" s="31" t="inlineStr">
        <is>
          <t>Galaxy Surfactants Ltd</t>
        </is>
      </c>
      <c r="F72" s="31" t="inlineStr">
        <is>
          <t>Speciality Chemicals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21</v>
      </c>
      <c r="K72" s="31" t="n">
        <v>10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SAMBHV</t>
        </is>
      </c>
      <c r="E73" s="31" t="inlineStr">
        <is>
          <t>Sambhv Steel Tubes Ltd</t>
        </is>
      </c>
      <c r="F73" s="31" t="inlineStr">
        <is>
          <t>Steel - Tubes/Pipes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20</v>
      </c>
      <c r="K73" s="31" t="n">
        <v>14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MMP</t>
        </is>
      </c>
      <c r="E74" s="31" t="inlineStr">
        <is>
          <t>MMP Industries Ltd</t>
        </is>
      </c>
      <c r="F74" s="31" t="inlineStr">
        <is>
          <t>Aluminium Products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25</v>
      </c>
      <c r="K74" s="31" t="n">
        <v>22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ANTHEM</t>
        </is>
      </c>
      <c r="E75" s="31" t="inlineStr">
        <is>
          <t>Anthem Biosciences Ltd</t>
        </is>
      </c>
      <c r="F75" s="31" t="inlineStr">
        <is>
          <t>Pharma - API &amp; CRAMS</t>
        </is>
      </c>
      <c r="G75" s="31" t="n">
        <v>2</v>
      </c>
      <c r="H75" s="31" t="inlineStr">
        <is>
          <t>52W Breakout</t>
        </is>
      </c>
      <c r="I75" s="31" t="inlineStr">
        <is>
          <t>Yes</t>
        </is>
      </c>
      <c r="J75" s="31" t="n">
        <v>10</v>
      </c>
      <c r="K75" s="31" t="n">
        <v>20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STLTECH</t>
        </is>
      </c>
      <c r="E76" s="31" t="inlineStr">
        <is>
          <t>Sterlite Technologies Limited</t>
        </is>
      </c>
      <c r="F76" s="31" t="inlineStr">
        <is>
          <t>Cables - Telecom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24</v>
      </c>
      <c r="K76" s="31" t="n">
        <v>20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RGL</t>
        </is>
      </c>
      <c r="E77" s="31" t="inlineStr">
        <is>
          <t>Renaissance Global Ltd</t>
        </is>
      </c>
      <c r="F77" s="31" t="inlineStr">
        <is>
          <t>Lab Grown Diamonds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23</v>
      </c>
      <c r="K77" s="31" t="n">
        <v>17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EMIL</t>
        </is>
      </c>
      <c r="E78" s="31" t="inlineStr">
        <is>
          <t>Electronics Mart India Ltd</t>
        </is>
      </c>
      <c r="F78" s="31" t="inlineStr">
        <is>
          <t>Retail - Electronics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22</v>
      </c>
      <c r="K78" s="31" t="n">
        <v>16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YATHARTH</t>
        </is>
      </c>
      <c r="E79" s="31" t="inlineStr">
        <is>
          <t>Yatharth Hospital &amp; Trauma Care Services Ltd</t>
        </is>
      </c>
      <c r="F79" s="31" t="inlineStr">
        <is>
          <t>Hospitals</t>
        </is>
      </c>
      <c r="G79" s="31" t="n">
        <v>2</v>
      </c>
      <c r="H79" s="31" t="inlineStr">
        <is>
          <t>52W Breakout</t>
        </is>
      </c>
      <c r="I79" s="31" t="inlineStr">
        <is>
          <t>Yes</t>
        </is>
      </c>
      <c r="J79" s="31" t="n">
        <v>14</v>
      </c>
      <c r="K79" s="31" t="n">
        <v>13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NETWEB</t>
        </is>
      </c>
      <c r="E80" s="31" t="inlineStr">
        <is>
          <t>Netweb Technologies India Ltd</t>
        </is>
      </c>
      <c r="F80" s="31" t="inlineStr">
        <is>
          <t>Data Centre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21</v>
      </c>
      <c r="K80" s="31" t="n">
        <v>19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GLAXO</t>
        </is>
      </c>
      <c r="E81" s="31" t="inlineStr">
        <is>
          <t>Glaxosmithkline Pharmaceuticals Limited</t>
        </is>
      </c>
      <c r="F81" s="31" t="inlineStr">
        <is>
          <t>Pharma - MNC bulk Drugs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20</v>
      </c>
      <c r="K81" s="31" t="n">
        <v>21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SURAKSHA</t>
        </is>
      </c>
      <c r="E82" s="31" t="inlineStr">
        <is>
          <t>Suraksha Diagnostic Ltd</t>
        </is>
      </c>
      <c r="F82" s="31" t="inlineStr">
        <is>
          <t>Diagnostics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22</v>
      </c>
      <c r="K82" s="31" t="n">
        <v>10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TIIL</t>
        </is>
      </c>
      <c r="E83" s="31" t="inlineStr">
        <is>
          <t>Technocraft Industries (india) Limited</t>
        </is>
      </c>
      <c r="F83" s="31" t="inlineStr">
        <is>
          <t>Scaffolding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20</v>
      </c>
      <c r="K83" s="31" t="n">
        <v>13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BOSCHLTD</t>
        </is>
      </c>
      <c r="E84" s="31" t="inlineStr">
        <is>
          <t>Bosch Limited</t>
        </is>
      </c>
      <c r="F84" s="31" t="inlineStr">
        <is>
          <t>Auto Ancillaries - Diversified</t>
        </is>
      </c>
      <c r="G84" s="31" t="n">
        <v>2</v>
      </c>
      <c r="H84" s="31" t="inlineStr">
        <is>
          <t>52W Breakout</t>
        </is>
      </c>
      <c r="I84" s="31" t="inlineStr">
        <is>
          <t>Yes</t>
        </is>
      </c>
      <c r="J84" s="31" t="n">
        <v>11</v>
      </c>
      <c r="K84" s="31" t="n">
        <v>25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ASIANENE</t>
        </is>
      </c>
      <c r="E85" s="31" t="inlineStr">
        <is>
          <t>Asian Energy Services Ltd</t>
        </is>
      </c>
      <c r="F85" s="31" t="inlineStr">
        <is>
          <t>Oil Drilling &amp; Exploration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21</v>
      </c>
      <c r="K85" s="31" t="n">
        <v>22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UFLEX</t>
        </is>
      </c>
      <c r="E86" s="31" t="inlineStr">
        <is>
          <t>Uflex Limited</t>
        </is>
      </c>
      <c r="F86" s="31" t="inlineStr">
        <is>
          <t>Packaging - BOPP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29</v>
      </c>
      <c r="K86" s="31" t="n">
        <v>16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MAHASTEEL</t>
        </is>
      </c>
      <c r="E87" s="31" t="inlineStr">
        <is>
          <t>Mahamaya Steel Industries Limited</t>
        </is>
      </c>
      <c r="F87" s="31" t="inlineStr">
        <is>
          <t>Steel - Rolling</t>
        </is>
      </c>
      <c r="G87" s="31" t="n">
        <v>2</v>
      </c>
      <c r="H87" s="31" t="inlineStr">
        <is>
          <t>52W Breakout</t>
        </is>
      </c>
      <c r="I87" s="31" t="inlineStr">
        <is>
          <t>Yes</t>
        </is>
      </c>
      <c r="J87" s="31" t="n">
        <v>16</v>
      </c>
      <c r="K87" s="31" t="n">
        <v>20</v>
      </c>
    </row>
    <row r="88">
      <c r="A88" s="31">
        <f>IF(B88=0,"",ROW()-1)</f>
        <v/>
      </c>
      <c r="B88" s="32">
        <f>IFERROR(INDEX('Monit Non Financial'!$B$2:$B$400, MATCH(D88, 'Monit Non Financial'!$C$2:$C$400, 0)), IFERROR(INDEX('Monit Banks NBFC'!$B$2:$B$100, MATCH(D88, 'Monit Banks NBFC'!$C$2:$C$100, 0)), 0))</f>
        <v/>
      </c>
      <c r="C88" s="31">
        <f>IFERROR(INDEX('Monit Non Financial'!$L$2:$L$400, MATCH(D88, 'Monit Non Financial'!$C$2:$C$400, 0)), IFERROR(INDEX('Monit Banks NBFC'!$L$2:$L$100, MATCH(D88, 'Monit Banks NBFC'!$C$2:$C$100, 0)), ""))</f>
        <v/>
      </c>
      <c r="D88" s="31" t="inlineStr">
        <is>
          <t>SOTL</t>
        </is>
      </c>
      <c r="E88" s="31" t="inlineStr">
        <is>
          <t>Savita Oil Technologies Limited</t>
        </is>
      </c>
      <c r="F88" s="31" t="inlineStr">
        <is>
          <t>Petrochem - Others</t>
        </is>
      </c>
      <c r="G88" s="31" t="n">
        <v>2</v>
      </c>
      <c r="H88" s="31" t="inlineStr">
        <is>
          <t>No</t>
        </is>
      </c>
      <c r="I88" s="31" t="inlineStr">
        <is>
          <t>Yes</t>
        </is>
      </c>
      <c r="J88" s="31" t="n">
        <v>22</v>
      </c>
      <c r="K88" s="31" t="n">
        <v>22</v>
      </c>
    </row>
    <row r="89">
      <c r="A89" s="31">
        <f>IF(B89=0,"",ROW()-1)</f>
        <v/>
      </c>
      <c r="B89" s="32">
        <f>IFERROR(INDEX('Monit Non Financial'!$B$2:$B$400, MATCH(D89, 'Monit Non Financial'!$C$2:$C$400, 0)), IFERROR(INDEX('Monit Banks NBFC'!$B$2:$B$100, MATCH(D89, 'Monit Banks NBFC'!$C$2:$C$100, 0)), 0))</f>
        <v/>
      </c>
      <c r="C89" s="31">
        <f>IFERROR(INDEX('Monit Non Financial'!$L$2:$L$400, MATCH(D89, 'Monit Non Financial'!$C$2:$C$400, 0)), IFERROR(INDEX('Monit Banks NBFC'!$L$2:$L$100, MATCH(D89, 'Monit Banks NBFC'!$C$2:$C$100, 0)), ""))</f>
        <v/>
      </c>
      <c r="D89" s="31" t="inlineStr">
        <is>
          <t>DOLPHIN</t>
        </is>
      </c>
      <c r="E89" s="31" t="inlineStr">
        <is>
          <t>Dolphin Offshore Enterprises (India) Ltd</t>
        </is>
      </c>
      <c r="F89" s="31" t="inlineStr">
        <is>
          <t>Oil Drilling &amp; Exploration</t>
        </is>
      </c>
      <c r="G89" s="31" t="n">
        <v>2</v>
      </c>
      <c r="H89" s="31" t="inlineStr">
        <is>
          <t>No</t>
        </is>
      </c>
      <c r="I89" s="31" t="inlineStr">
        <is>
          <t>Yes</t>
        </is>
      </c>
      <c r="J89" s="31" t="n">
        <v>23</v>
      </c>
      <c r="K89" s="31" t="n">
        <v>18</v>
      </c>
    </row>
    <row r="90">
      <c r="A90" s="31">
        <f>IF(B90=0,"",ROW()-1)</f>
        <v/>
      </c>
      <c r="B90" s="32">
        <f>IFERROR(INDEX('Monit Non Financial'!$B$2:$B$400, MATCH(D90, 'Monit Non Financial'!$C$2:$C$400, 0)), IFERROR(INDEX('Monit Banks NBFC'!$B$2:$B$100, MATCH(D90, 'Monit Banks NBFC'!$C$2:$C$100, 0)), 0))</f>
        <v/>
      </c>
      <c r="C90" s="31">
        <f>IFERROR(INDEX('Monit Non Financial'!$L$2:$L$400, MATCH(D90, 'Monit Non Financial'!$C$2:$C$400, 0)), IFERROR(INDEX('Monit Banks NBFC'!$L$2:$L$100, MATCH(D90, 'Monit Banks NBFC'!$C$2:$C$100, 0)), ""))</f>
        <v/>
      </c>
      <c r="D90" s="31" t="inlineStr">
        <is>
          <t>RATNAVEER</t>
        </is>
      </c>
      <c r="E90" s="31" t="inlineStr">
        <is>
          <t>Ratnaveer Precision Engineering Ltd</t>
        </is>
      </c>
      <c r="F90" s="31" t="inlineStr">
        <is>
          <t>Stainless Steel</t>
        </is>
      </c>
      <c r="G90" s="31" t="n">
        <v>2</v>
      </c>
      <c r="H90" s="31" t="inlineStr">
        <is>
          <t>No</t>
        </is>
      </c>
      <c r="I90" s="31" t="inlineStr">
        <is>
          <t>Yes</t>
        </is>
      </c>
      <c r="J90" s="31" t="n">
        <v>23</v>
      </c>
      <c r="K90" s="31" t="n">
        <v>22</v>
      </c>
    </row>
    <row r="91">
      <c r="A91" s="31">
        <f>IF(B91=0,"",ROW()-1)</f>
        <v/>
      </c>
      <c r="B91" s="32">
        <f>IFERROR(INDEX('Monit Non Financial'!$B$2:$B$400, MATCH(D91, 'Monit Non Financial'!$C$2:$C$400, 0)), IFERROR(INDEX('Monit Banks NBFC'!$B$2:$B$100, MATCH(D91, 'Monit Banks NBFC'!$C$2:$C$100, 0)), 0))</f>
        <v/>
      </c>
      <c r="C91" s="31">
        <f>IFERROR(INDEX('Monit Non Financial'!$L$2:$L$400, MATCH(D91, 'Monit Non Financial'!$C$2:$C$400, 0)), IFERROR(INDEX('Monit Banks NBFC'!$L$2:$L$100, MATCH(D91, 'Monit Banks NBFC'!$C$2:$C$100, 0)), ""))</f>
        <v/>
      </c>
      <c r="D91" s="31" t="inlineStr">
        <is>
          <t>NAVINFLUOR</t>
        </is>
      </c>
      <c r="E91" s="31" t="inlineStr">
        <is>
          <t>Navin Fluorine International Limited</t>
        </is>
      </c>
      <c r="F91" s="31" t="inlineStr">
        <is>
          <t>unknown</t>
        </is>
      </c>
      <c r="G91" s="31" t="n">
        <v>2</v>
      </c>
      <c r="H91" s="31" t="inlineStr">
        <is>
          <t>No</t>
        </is>
      </c>
      <c r="I91" s="31" t="inlineStr">
        <is>
          <t>Yes</t>
        </is>
      </c>
      <c r="J91" s="31" t="n">
        <v>0</v>
      </c>
      <c r="K91" s="31" t="n">
        <v>21</v>
      </c>
    </row>
    <row r="92">
      <c r="A92" s="31">
        <f>IF(B92=0,"",ROW()-1)</f>
        <v/>
      </c>
      <c r="B92" s="32">
        <f>IFERROR(INDEX('Monit Non Financial'!$B$2:$B$400, MATCH(D92, 'Monit Non Financial'!$C$2:$C$400, 0)), IFERROR(INDEX('Monit Banks NBFC'!$B$2:$B$100, MATCH(D92, 'Monit Banks NBFC'!$C$2:$C$100, 0)), 0))</f>
        <v/>
      </c>
      <c r="C92" s="31">
        <f>IFERROR(INDEX('Monit Non Financial'!$L$2:$L$400, MATCH(D92, 'Monit Non Financial'!$C$2:$C$400, 0)), IFERROR(INDEX('Monit Banks NBFC'!$L$2:$L$100, MATCH(D92, 'Monit Banks NBFC'!$C$2:$C$100, 0)), ""))</f>
        <v/>
      </c>
      <c r="D92" s="31" t="inlineStr">
        <is>
          <t>RAMRAT</t>
        </is>
      </c>
      <c r="E92" s="31" t="inlineStr">
        <is>
          <t>Ram Ratna Wires Ltd</t>
        </is>
      </c>
      <c r="F92" s="31" t="inlineStr">
        <is>
          <t>Copper Wires</t>
        </is>
      </c>
      <c r="G92" s="31" t="n">
        <v>2</v>
      </c>
      <c r="H92" s="31" t="inlineStr">
        <is>
          <t>52W Breakout</t>
        </is>
      </c>
      <c r="I92" s="31" t="inlineStr">
        <is>
          <t>Yes</t>
        </is>
      </c>
      <c r="J92" s="31" t="n">
        <v>18</v>
      </c>
      <c r="K92" s="31" t="n">
        <v>21</v>
      </c>
    </row>
    <row r="93">
      <c r="A93" s="31">
        <f>IF(B93=0,"",ROW()-1)</f>
        <v/>
      </c>
      <c r="B93" s="32">
        <f>IFERROR(INDEX('Monit Non Financial'!$B$2:$B$400, MATCH(D93, 'Monit Non Financial'!$C$2:$C$400, 0)), IFERROR(INDEX('Monit Banks NBFC'!$B$2:$B$100, MATCH(D93, 'Monit Banks NBFC'!$C$2:$C$100, 0)), 0))</f>
        <v/>
      </c>
      <c r="C93" s="31">
        <f>IFERROR(INDEX('Monit Non Financial'!$L$2:$L$400, MATCH(D93, 'Monit Non Financial'!$C$2:$C$400, 0)), IFERROR(INDEX('Monit Banks NBFC'!$L$2:$L$100, MATCH(D93, 'Monit Banks NBFC'!$C$2:$C$100, 0)), ""))</f>
        <v/>
      </c>
      <c r="D93" s="31" t="inlineStr">
        <is>
          <t>SBFC</t>
        </is>
      </c>
      <c r="E93" s="31" t="inlineStr">
        <is>
          <t>SBFC Finance Ltd</t>
        </is>
      </c>
      <c r="F93" s="31" t="inlineStr">
        <is>
          <t>Finance &amp; Investments - MSME Lending</t>
        </is>
      </c>
      <c r="G93" s="31" t="n">
        <v>2</v>
      </c>
      <c r="H93" s="31" t="inlineStr">
        <is>
          <t>EMA Crossover</t>
        </is>
      </c>
      <c r="I93" s="31" t="inlineStr">
        <is>
          <t>Yes</t>
        </is>
      </c>
      <c r="J93" s="31" t="n">
        <v>12</v>
      </c>
      <c r="K93" s="31" t="n">
        <v>1</v>
      </c>
    </row>
    <row r="94">
      <c r="A94" s="31">
        <f>IF(B94=0,"",ROW()-1)</f>
        <v/>
      </c>
      <c r="B94" s="32">
        <f>IFERROR(INDEX('Monit Non Financial'!$B$2:$B$400, MATCH(D94, 'Monit Non Financial'!$C$2:$C$400, 0)), IFERROR(INDEX('Monit Banks NBFC'!$B$2:$B$100, MATCH(D94, 'Monit Banks NBFC'!$C$2:$C$100, 0)), 0))</f>
        <v/>
      </c>
      <c r="C94" s="31">
        <f>IFERROR(INDEX('Monit Non Financial'!$L$2:$L$400, MATCH(D94, 'Monit Non Financial'!$C$2:$C$400, 0)), IFERROR(INDEX('Monit Banks NBFC'!$L$2:$L$100, MATCH(D94, 'Monit Banks NBFC'!$C$2:$C$100, 0)), ""))</f>
        <v/>
      </c>
      <c r="D94" s="31" t="inlineStr">
        <is>
          <t>PRICOLLTD</t>
        </is>
      </c>
      <c r="E94" s="31" t="inlineStr">
        <is>
          <t>Pricol Ltd.</t>
        </is>
      </c>
      <c r="F94" s="31" t="inlineStr">
        <is>
          <t>Auto Ancillaries - 2 Wheelers</t>
        </is>
      </c>
      <c r="G94" s="31" t="n">
        <v>2</v>
      </c>
      <c r="H94" s="31" t="inlineStr">
        <is>
          <t>No</t>
        </is>
      </c>
      <c r="I94" s="31" t="inlineStr">
        <is>
          <t>Yes</t>
        </is>
      </c>
      <c r="J94" s="31" t="n">
        <v>21</v>
      </c>
      <c r="K94" s="31" t="n">
        <v>28</v>
      </c>
    </row>
    <row r="95">
      <c r="A95" s="31">
        <f>IF(B95=0,"",ROW()-1)</f>
        <v/>
      </c>
      <c r="B95" s="32">
        <f>IFERROR(INDEX('Monit Non Financial'!$B$2:$B$400, MATCH(D95, 'Monit Non Financial'!$C$2:$C$400, 0)), IFERROR(INDEX('Monit Banks NBFC'!$B$2:$B$100, MATCH(D95, 'Monit Banks NBFC'!$C$2:$C$100, 0)), 0))</f>
        <v/>
      </c>
      <c r="C95" s="31">
        <f>IFERROR(INDEX('Monit Non Financial'!$L$2:$L$400, MATCH(D95, 'Monit Non Financial'!$C$2:$C$400, 0)), IFERROR(INDEX('Monit Banks NBFC'!$L$2:$L$100, MATCH(D95, 'Monit Banks NBFC'!$C$2:$C$100, 0)), ""))</f>
        <v/>
      </c>
      <c r="D95" s="31" t="inlineStr">
        <is>
          <t>TNPETRO</t>
        </is>
      </c>
      <c r="E95" s="31" t="inlineStr">
        <is>
          <t>Tamilnadu Petroproducts Limited</t>
        </is>
      </c>
      <c r="F95" s="31" t="inlineStr">
        <is>
          <t>Petrochem - Others</t>
        </is>
      </c>
      <c r="G95" s="31" t="n">
        <v>2</v>
      </c>
      <c r="H95" s="31" t="inlineStr">
        <is>
          <t>No</t>
        </is>
      </c>
      <c r="I95" s="31" t="inlineStr">
        <is>
          <t>Yes</t>
        </is>
      </c>
      <c r="J95" s="31" t="n">
        <v>20</v>
      </c>
      <c r="K95" s="31" t="n">
        <v>11</v>
      </c>
    </row>
    <row r="96">
      <c r="A96" s="31">
        <f>IF(B96=0,"",ROW()-1)</f>
        <v/>
      </c>
      <c r="B96" s="32">
        <f>IFERROR(INDEX('Monit Non Financial'!$B$2:$B$400, MATCH(D96, 'Monit Non Financial'!$C$2:$C$400, 0)), IFERROR(INDEX('Monit Banks NBFC'!$B$2:$B$100, MATCH(D96, 'Monit Banks NBFC'!$C$2:$C$100, 0)), 0))</f>
        <v/>
      </c>
      <c r="C96" s="31">
        <f>IFERROR(INDEX('Monit Non Financial'!$L$2:$L$400, MATCH(D96, 'Monit Non Financial'!$C$2:$C$400, 0)), IFERROR(INDEX('Monit Banks NBFC'!$L$2:$L$100, MATCH(D96, 'Monit Banks NBFC'!$C$2:$C$100, 0)), ""))</f>
        <v/>
      </c>
      <c r="D96" s="31" t="inlineStr">
        <is>
          <t>HINDZINC</t>
        </is>
      </c>
      <c r="E96" s="31" t="inlineStr">
        <is>
          <t>Hindustan Zinc Limited</t>
        </is>
      </c>
      <c r="F96" s="31" t="inlineStr">
        <is>
          <t>Metals</t>
        </is>
      </c>
      <c r="G96" s="31" t="n">
        <v>2</v>
      </c>
      <c r="H96" s="31" t="inlineStr">
        <is>
          <t>No</t>
        </is>
      </c>
      <c r="I96" s="31" t="inlineStr">
        <is>
          <t>Yes</t>
        </is>
      </c>
      <c r="J96" s="31" t="n">
        <v>22</v>
      </c>
      <c r="K96" s="31" t="n">
        <v>9</v>
      </c>
    </row>
    <row r="97">
      <c r="A97" s="31">
        <f>IF(B97=0,"",ROW()-1)</f>
        <v/>
      </c>
      <c r="B97" s="32">
        <f>IFERROR(INDEX('Monit Non Financial'!$B$2:$B$400, MATCH(D97, 'Monit Non Financial'!$C$2:$C$400, 0)), IFERROR(INDEX('Monit Banks NBFC'!$B$2:$B$100, MATCH(D97, 'Monit Banks NBFC'!$C$2:$C$100, 0)), 0))</f>
        <v/>
      </c>
      <c r="C97" s="31">
        <f>IFERROR(INDEX('Monit Non Financial'!$L$2:$L$400, MATCH(D97, 'Monit Non Financial'!$C$2:$C$400, 0)), IFERROR(INDEX('Monit Banks NBFC'!$L$2:$L$100, MATCH(D97, 'Monit Banks NBFC'!$C$2:$C$100, 0)), ""))</f>
        <v/>
      </c>
      <c r="D97" s="31" t="inlineStr">
        <is>
          <t>JAYNECOIND</t>
        </is>
      </c>
      <c r="E97" s="31" t="inlineStr">
        <is>
          <t>Jayaswal Neco Industries Limited</t>
        </is>
      </c>
      <c r="F97" s="31" t="inlineStr">
        <is>
          <t>Mining/Minerals - Iron Ore</t>
        </is>
      </c>
      <c r="G97" s="31" t="n">
        <v>2</v>
      </c>
      <c r="H97" s="31" t="inlineStr">
        <is>
          <t>No</t>
        </is>
      </c>
      <c r="I97" s="31" t="inlineStr">
        <is>
          <t>Yes</t>
        </is>
      </c>
      <c r="J97" s="31" t="n">
        <v>19</v>
      </c>
      <c r="K97" s="31" t="n">
        <v>5</v>
      </c>
    </row>
    <row r="98">
      <c r="A98" s="31">
        <f>IF(B98=0,"",ROW()-1)</f>
        <v/>
      </c>
      <c r="B98" s="32">
        <f>IFERROR(INDEX('Monit Non Financial'!$B$2:$B$400, MATCH(D98, 'Monit Non Financial'!$C$2:$C$400, 0)), IFERROR(INDEX('Monit Banks NBFC'!$B$2:$B$100, MATCH(D98, 'Monit Banks NBFC'!$C$2:$C$100, 0)), 0))</f>
        <v/>
      </c>
      <c r="C98" s="31">
        <f>IFERROR(INDEX('Monit Non Financial'!$L$2:$L$400, MATCH(D98, 'Monit Non Financial'!$C$2:$C$400, 0)), IFERROR(INDEX('Monit Banks NBFC'!$L$2:$L$100, MATCH(D98, 'Monit Banks NBFC'!$C$2:$C$100, 0)), ""))</f>
        <v/>
      </c>
      <c r="D98" s="31" t="inlineStr">
        <is>
          <t>BALAMINES</t>
        </is>
      </c>
      <c r="E98" s="31" t="inlineStr">
        <is>
          <t>Balaji Amines Limited</t>
        </is>
      </c>
      <c r="F98" s="31" t="inlineStr">
        <is>
          <t>Chemicals - Organic</t>
        </is>
      </c>
      <c r="G98" s="31" t="n">
        <v>2</v>
      </c>
      <c r="H98" s="31" t="inlineStr">
        <is>
          <t>52W Breakout</t>
        </is>
      </c>
      <c r="I98" s="31" t="inlineStr">
        <is>
          <t>Yes</t>
        </is>
      </c>
      <c r="J98" s="31" t="n">
        <v>14</v>
      </c>
      <c r="K98" s="31" t="n">
        <v>8</v>
      </c>
    </row>
    <row r="99">
      <c r="A99" s="31">
        <f>IF(B99=0,"",ROW()-1)</f>
        <v/>
      </c>
      <c r="B99" s="32">
        <f>IFERROR(INDEX('Monit Non Financial'!$B$2:$B$400, MATCH(D99, 'Monit Non Financial'!$C$2:$C$400, 0)), IFERROR(INDEX('Monit Banks NBFC'!$B$2:$B$100, MATCH(D99, 'Monit Banks NBFC'!$C$2:$C$100, 0)), 0))</f>
        <v/>
      </c>
      <c r="C99" s="31">
        <f>IFERROR(INDEX('Monit Non Financial'!$L$2:$L$400, MATCH(D99, 'Monit Non Financial'!$C$2:$C$400, 0)), IFERROR(INDEX('Monit Banks NBFC'!$L$2:$L$100, MATCH(D99, 'Monit Banks NBFC'!$C$2:$C$100, 0)), ""))</f>
        <v/>
      </c>
      <c r="D99" s="31" t="inlineStr">
        <is>
          <t>GIPCL</t>
        </is>
      </c>
      <c r="E99" s="31" t="inlineStr">
        <is>
          <t>Gujarat Industries Power Company Limited</t>
        </is>
      </c>
      <c r="F99" s="31" t="inlineStr">
        <is>
          <t>Power - Generation/Distribution</t>
        </is>
      </c>
      <c r="G99" s="31" t="n">
        <v>2</v>
      </c>
      <c r="H99" s="31" t="inlineStr">
        <is>
          <t>No</t>
        </is>
      </c>
      <c r="I99" s="31" t="inlineStr">
        <is>
          <t>Yes</t>
        </is>
      </c>
      <c r="J99" s="31" t="n">
        <v>26</v>
      </c>
      <c r="K99" s="31" t="n">
        <v>13</v>
      </c>
    </row>
  </sheetData>
  <autoFilter ref="A1:K99"/>
  <conditionalFormatting sqref="G2:G9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99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7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IF(B2=0,"",RANK(B2,$B$2:$B$372,0))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PREMIERPOL</t>
        </is>
      </c>
      <c r="D2" s="31" t="inlineStr">
        <is>
          <t>Premier Polyfilm Limited</t>
        </is>
      </c>
      <c r="E2" s="31" t="inlineStr">
        <is>
          <t>plastic products</t>
        </is>
      </c>
      <c r="F2" s="31" t="inlineStr">
        <is>
          <t>plastics products</t>
        </is>
      </c>
      <c r="G2" s="31" t="inlineStr">
        <is>
          <t>smallcap</t>
        </is>
      </c>
      <c r="H2" s="32" t="n">
        <v>945.8200000000001</v>
      </c>
      <c r="I2" s="32" t="n">
        <v>90.7</v>
      </c>
      <c r="J2" s="32" t="n">
        <v>0.44</v>
      </c>
      <c r="K2" s="32" t="n">
        <v>289290</v>
      </c>
      <c r="L2" s="31" t="n">
        <v>91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72.03</v>
      </c>
      <c r="P2" s="32" t="n">
        <v>53.33</v>
      </c>
      <c r="Q2" s="32" t="n">
        <v>63.37</v>
      </c>
      <c r="R2" s="31" t="inlineStr">
        <is>
          <t>Near 52W High Breakout</t>
        </is>
      </c>
      <c r="S2" s="31" t="inlineStr">
        <is>
          <t>Nifty 50</t>
        </is>
      </c>
      <c r="T2" s="32" t="n">
        <v>-0.9</v>
      </c>
      <c r="U2" s="32" t="n">
        <v>89.06999999999999</v>
      </c>
      <c r="V2" s="32" t="n">
        <v>90.78</v>
      </c>
      <c r="W2" s="32" t="n">
        <v>29.35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IF(B3=0,"",RANK(B3,$B$2:$B$372,0))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SCPL</t>
        </is>
      </c>
      <c r="D3" s="31" t="inlineStr">
        <is>
          <t>Sheetal Cool Products Ltd</t>
        </is>
      </c>
      <c r="E3" s="31" t="inlineStr">
        <is>
          <t>fmcg</t>
        </is>
      </c>
      <c r="F3" s="31" t="inlineStr">
        <is>
          <t>food - processing - indian</t>
        </is>
      </c>
      <c r="G3" s="31" t="inlineStr">
        <is>
          <t>smallcap</t>
        </is>
      </c>
      <c r="H3" s="32" t="n">
        <v>691.11</v>
      </c>
      <c r="I3" s="32" t="n">
        <v>659</v>
      </c>
      <c r="J3" s="32" t="n">
        <v>0.12</v>
      </c>
      <c r="K3" s="32" t="n">
        <v>4660</v>
      </c>
      <c r="L3" s="31" t="inlineStr"/>
      <c r="M3" s="31" t="inlineStr"/>
      <c r="N3" s="32">
        <f>IF(M3="Underperforming",-5,IF(L3&gt;=95,15,IF(L3&gt;=90,10,IF(L3&gt;=80,5,0))))</f>
        <v/>
      </c>
      <c r="O3" s="32" t="n">
        <v>72.87</v>
      </c>
      <c r="P3" s="32" t="n">
        <v>59.38</v>
      </c>
      <c r="Q3" s="32" t="n">
        <v>494.91</v>
      </c>
      <c r="R3" s="31" t="inlineStr">
        <is>
          <t>Near 52W High Breakout</t>
        </is>
      </c>
      <c r="S3" s="31" t="inlineStr">
        <is>
          <t>Nifty FMCG</t>
        </is>
      </c>
      <c r="T3" s="32" t="inlineStr"/>
      <c r="U3" s="32" t="inlineStr"/>
      <c r="V3" s="32" t="inlineStr"/>
      <c r="W3" s="32" t="inlineStr"/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Annuity, Lower One Time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IF(B4=0,"",RANK(B4,$B$2:$B$372,0))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VADILALIND</t>
        </is>
      </c>
      <c r="D4" s="31" t="inlineStr">
        <is>
          <t>Vadilal Industries Limited</t>
        </is>
      </c>
      <c r="E4" s="31" t="inlineStr">
        <is>
          <t>fmcg</t>
        </is>
      </c>
      <c r="F4" s="31" t="inlineStr">
        <is>
          <t>food - processing - indian</t>
        </is>
      </c>
      <c r="G4" s="31" t="inlineStr">
        <is>
          <t>midcap</t>
        </is>
      </c>
      <c r="H4" s="32" t="n">
        <v>5345.95</v>
      </c>
      <c r="I4" s="32" t="n">
        <v>7419</v>
      </c>
      <c r="J4" s="32" t="n">
        <v>-0.25</v>
      </c>
      <c r="K4" s="32" t="n">
        <v>21259</v>
      </c>
      <c r="L4" s="31" t="inlineStr"/>
      <c r="M4" s="31" t="inlineStr"/>
      <c r="N4" s="32">
        <f>IF(M4="Underperforming",-5,IF(L4&gt;=95,15,IF(L4&gt;=90,10,IF(L4&gt;=80,5,0))))</f>
        <v/>
      </c>
      <c r="O4" s="32" t="n">
        <v>73.05</v>
      </c>
      <c r="P4" s="32" t="n">
        <v>48.99</v>
      </c>
      <c r="Q4" s="32" t="n">
        <v>6206.29</v>
      </c>
      <c r="R4" s="31" t="inlineStr">
        <is>
          <t>Near 52W High Breakout</t>
        </is>
      </c>
      <c r="S4" s="31" t="inlineStr">
        <is>
          <t>Nifty FMCG</t>
        </is>
      </c>
      <c r="T4" s="32" t="inlineStr"/>
      <c r="U4" s="32" t="inlineStr"/>
      <c r="V4" s="32" t="inlineStr"/>
      <c r="W4" s="32" t="inlineStr"/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IF(B5=0,"",RANK(B5,$B$2:$B$372,0))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MSTCLTD</t>
        </is>
      </c>
      <c r="D5" s="31" t="inlineStr">
        <is>
          <t>MSTC Ltd</t>
        </is>
      </c>
      <c r="E5" s="31" t="inlineStr">
        <is>
          <t>i.t</t>
        </is>
      </c>
      <c r="F5" s="31" t="inlineStr">
        <is>
          <t>trading</t>
        </is>
      </c>
      <c r="G5" s="31" t="inlineStr">
        <is>
          <t>midcap</t>
        </is>
      </c>
      <c r="H5" s="32" t="n">
        <v>5124.77</v>
      </c>
      <c r="I5" s="32" t="n">
        <v>737.5</v>
      </c>
      <c r="J5" s="32" t="n">
        <v>1.31</v>
      </c>
      <c r="K5" s="32" t="n">
        <v>495029</v>
      </c>
      <c r="L5" s="31" t="n">
        <v>87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67.03</v>
      </c>
      <c r="P5" s="32" t="n">
        <v>41.79</v>
      </c>
      <c r="Q5" s="32" t="n">
        <v>554.54</v>
      </c>
      <c r="R5" s="31" t="inlineStr">
        <is>
          <t>Near 52W High Breakout</t>
        </is>
      </c>
      <c r="S5" s="31" t="inlineStr">
        <is>
          <t>Nifty IT</t>
        </is>
      </c>
      <c r="T5" s="32" t="n">
        <v>-13.82</v>
      </c>
      <c r="U5" s="32" t="n">
        <v>66.06</v>
      </c>
      <c r="V5" s="32" t="n">
        <v>92.69</v>
      </c>
      <c r="W5" s="32" t="n">
        <v>26.93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IF(B6=0,"",RANK(B6,$B$2:$B$372,0))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BLUSPRING</t>
        </is>
      </c>
      <c r="D6" s="31" t="inlineStr">
        <is>
          <t>Bluspring Enterprises Ltd</t>
        </is>
      </c>
      <c r="E6" s="31" t="inlineStr">
        <is>
          <t>miscellaneous</t>
        </is>
      </c>
      <c r="F6" s="31" t="inlineStr">
        <is>
          <t>diversified - large</t>
        </is>
      </c>
      <c r="G6" s="31" t="inlineStr">
        <is>
          <t>smallcap</t>
        </is>
      </c>
      <c r="H6" s="32" t="n">
        <v>1895.36</v>
      </c>
      <c r="I6" s="32" t="n">
        <v>127.5</v>
      </c>
      <c r="J6" s="32" t="n">
        <v>0.53</v>
      </c>
      <c r="K6" s="32" t="n">
        <v>451929</v>
      </c>
      <c r="L6" s="31" t="n">
        <v>88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70.93000000000001</v>
      </c>
      <c r="P6" s="32" t="n">
        <v>62.87</v>
      </c>
      <c r="Q6" s="32" t="n">
        <v>88.04000000000001</v>
      </c>
      <c r="R6" s="31" t="inlineStr">
        <is>
          <t>Near 52W High Breakout</t>
        </is>
      </c>
      <c r="S6" s="31" t="inlineStr">
        <is>
          <t>Nifty 50</t>
        </is>
      </c>
      <c r="T6" s="32" t="n">
        <v>-0.9</v>
      </c>
      <c r="U6" s="32" t="n">
        <v>61.13</v>
      </c>
      <c r="V6" s="32" t="n">
        <v>62.59</v>
      </c>
      <c r="W6" s="32" t="n">
        <v>28.18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IF(B7=0,"",RANK(B7,$B$2:$B$372,0))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SUVEN</t>
        </is>
      </c>
      <c r="D7" s="31" t="inlineStr">
        <is>
          <t>Suven Life Sciences Limited</t>
        </is>
      </c>
      <c r="E7" s="31" t="inlineStr">
        <is>
          <t>healthcare</t>
        </is>
      </c>
      <c r="F7" s="31" t="inlineStr">
        <is>
          <t>miscellaneous</t>
        </is>
      </c>
      <c r="G7" s="31" t="inlineStr">
        <is>
          <t>smallcap</t>
        </is>
      </c>
      <c r="H7" s="32" t="n">
        <v>695.5700000000001</v>
      </c>
      <c r="I7" s="32" t="n">
        <v>372.2</v>
      </c>
      <c r="J7" s="32" t="n">
        <v>3.37</v>
      </c>
      <c r="K7" s="32" t="n">
        <v>719139</v>
      </c>
      <c r="L7" s="31" t="n">
        <v>83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71.79000000000001</v>
      </c>
      <c r="P7" s="32" t="n">
        <v>47.67</v>
      </c>
      <c r="Q7" s="32" t="n">
        <v>264.29</v>
      </c>
      <c r="R7" s="31" t="inlineStr">
        <is>
          <t>Near 52W High Breakout</t>
        </is>
      </c>
      <c r="S7" s="31" t="inlineStr">
        <is>
          <t>Nifty Pharma</t>
        </is>
      </c>
      <c r="T7" s="32" t="n">
        <v>22.12</v>
      </c>
      <c r="U7" s="32" t="n">
        <v>73.97</v>
      </c>
      <c r="V7" s="32" t="n">
        <v>42.46</v>
      </c>
      <c r="W7" s="32" t="n">
        <v>24.61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IF(B8=0,"",RANK(B8,$B$2:$B$372,0))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INDOBORAX</t>
        </is>
      </c>
      <c r="D8" s="31" t="inlineStr">
        <is>
          <t>Indo Borax &amp; Chemicals Ltd</t>
        </is>
      </c>
      <c r="E8" s="31" t="inlineStr">
        <is>
          <t>chemicals</t>
        </is>
      </c>
      <c r="F8" s="31" t="inlineStr">
        <is>
          <t>chemicals</t>
        </is>
      </c>
      <c r="G8" s="31" t="inlineStr">
        <is>
          <t>smallcap</t>
        </is>
      </c>
      <c r="H8" s="32" t="n">
        <v>1564.07</v>
      </c>
      <c r="I8" s="32" t="n">
        <v>505.7</v>
      </c>
      <c r="J8" s="32" t="n">
        <v>3.75</v>
      </c>
      <c r="K8" s="32" t="n">
        <v>665277</v>
      </c>
      <c r="L8" s="31" t="n">
        <v>92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79.37</v>
      </c>
      <c r="P8" s="32" t="n">
        <v>75.02</v>
      </c>
      <c r="Q8" s="32" t="n">
        <v>371.83</v>
      </c>
      <c r="R8" s="31" t="inlineStr">
        <is>
          <t>Near 52W High Breakout</t>
        </is>
      </c>
      <c r="S8" s="31" t="inlineStr">
        <is>
          <t>Nifty 50</t>
        </is>
      </c>
      <c r="T8" s="32" t="n">
        <v>-0.9</v>
      </c>
      <c r="U8" s="32" t="n">
        <v>131.5</v>
      </c>
      <c r="V8" s="32" t="n">
        <v>133.6</v>
      </c>
      <c r="W8" s="32" t="n">
        <v>32.78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IF(B9=0,"",RANK(B9,$B$2:$B$372,0))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PARAS</t>
        </is>
      </c>
      <c r="D9" s="31" t="inlineStr">
        <is>
          <t>Paras Defence and Space Technologies Ltd</t>
        </is>
      </c>
      <c r="E9" s="31" t="inlineStr">
        <is>
          <t>aerospace &amp; defence</t>
        </is>
      </c>
      <c r="F9" s="31" t="inlineStr">
        <is>
          <t>engineering</t>
        </is>
      </c>
      <c r="G9" s="31" t="inlineStr">
        <is>
          <t>midcap</t>
        </is>
      </c>
      <c r="H9" s="32" t="n">
        <v>11646.48</v>
      </c>
      <c r="I9" s="32" t="n">
        <v>1492.7</v>
      </c>
      <c r="J9" s="32" t="n">
        <v>3.29</v>
      </c>
      <c r="K9" s="32" t="n">
        <v>2399468</v>
      </c>
      <c r="L9" s="31" t="n">
        <v>95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72.87</v>
      </c>
      <c r="P9" s="32" t="n">
        <v>64.98999999999999</v>
      </c>
      <c r="Q9" s="32" t="n">
        <v>1098.38</v>
      </c>
      <c r="R9" s="31" t="inlineStr">
        <is>
          <t>Near 52W High Breakout</t>
        </is>
      </c>
      <c r="S9" s="31" t="inlineStr">
        <is>
          <t>Nifty 50</t>
        </is>
      </c>
      <c r="T9" s="32" t="n">
        <v>-0.9</v>
      </c>
      <c r="U9" s="32" t="n">
        <v>130.11</v>
      </c>
      <c r="V9" s="32" t="n">
        <v>132.19</v>
      </c>
      <c r="W9" s="32" t="n">
        <v>38.47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Above 2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IF(B10=0,"",RANK(B10,$B$2:$B$372,0))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VINDHYATEL</t>
        </is>
      </c>
      <c r="D10" s="31" t="inlineStr">
        <is>
          <t>Vindhya Telelinks Limited</t>
        </is>
      </c>
      <c r="E10" s="31" t="inlineStr">
        <is>
          <t>realty</t>
        </is>
      </c>
      <c r="F10" s="31" t="inlineStr">
        <is>
          <t>construction</t>
        </is>
      </c>
      <c r="G10" s="31" t="inlineStr">
        <is>
          <t>smallcap</t>
        </is>
      </c>
      <c r="H10" s="32" t="n">
        <v>2822.4</v>
      </c>
      <c r="I10" s="32" t="n">
        <v>2397</v>
      </c>
      <c r="J10" s="32" t="n">
        <v>0.65</v>
      </c>
      <c r="K10" s="32" t="n">
        <v>47054</v>
      </c>
      <c r="L10" s="31" t="inlineStr"/>
      <c r="M10" s="31" t="inlineStr"/>
      <c r="N10" s="32">
        <f>IF(M10="Underperforming",-5,IF(L10&gt;=95,15,IF(L10&gt;=90,10,IF(L10&gt;=80,5,0))))</f>
        <v/>
      </c>
      <c r="O10" s="32" t="n">
        <v>64.83</v>
      </c>
      <c r="P10" s="32" t="n">
        <v>52.66</v>
      </c>
      <c r="Q10" s="32" t="n">
        <v>1704.79</v>
      </c>
      <c r="R10" s="31" t="inlineStr">
        <is>
          <t>Near 52W High Breakout</t>
        </is>
      </c>
      <c r="S10" s="31" t="inlineStr">
        <is>
          <t>Nifty Realty</t>
        </is>
      </c>
      <c r="T10" s="32" t="inlineStr"/>
      <c r="U10" s="32" t="inlineStr"/>
      <c r="V10" s="32" t="inlineStr"/>
      <c r="W10" s="32" t="inlineStr"/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IF(B11=0,"",RANK(B11,$B$2:$B$372,0))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VISHNU</t>
        </is>
      </c>
      <c r="D11" s="31" t="inlineStr">
        <is>
          <t>Vishnu Chemicals Limited</t>
        </is>
      </c>
      <c r="E11" s="31" t="inlineStr">
        <is>
          <t>chemicals</t>
        </is>
      </c>
      <c r="F11" s="31" t="inlineStr">
        <is>
          <t>chemicals</t>
        </is>
      </c>
      <c r="G11" s="31" t="inlineStr">
        <is>
          <t>smallcap</t>
        </is>
      </c>
      <c r="H11" s="32" t="n">
        <v>4327.7</v>
      </c>
      <c r="I11" s="32" t="n">
        <v>640.8</v>
      </c>
      <c r="J11" s="32" t="n">
        <v>-0.33</v>
      </c>
      <c r="K11" s="32" t="n">
        <v>124280</v>
      </c>
      <c r="L11" s="31" t="n">
        <v>27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62.09</v>
      </c>
      <c r="P11" s="32" t="n">
        <v>44.31</v>
      </c>
      <c r="Q11" s="32" t="n">
        <v>508.8</v>
      </c>
      <c r="R11" s="31" t="inlineStr">
        <is>
          <t>Near 52W High Breakout</t>
        </is>
      </c>
      <c r="S11" s="31" t="inlineStr">
        <is>
          <t>Nifty 50</t>
        </is>
      </c>
      <c r="T11" s="32" t="n">
        <v>-0.9</v>
      </c>
      <c r="U11" s="32" t="n">
        <v>30.04</v>
      </c>
      <c r="V11" s="32" t="n">
        <v>31.21</v>
      </c>
      <c r="W11" s="32" t="n">
        <v>7.75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IF(B12=0,"",RANK(B12,$B$2:$B$372,0))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IOLCP</t>
        </is>
      </c>
      <c r="D12" s="31" t="inlineStr">
        <is>
          <t>Iol Chemicals And Pharmaceuticals Limited</t>
        </is>
      </c>
      <c r="E12" s="31" t="inlineStr">
        <is>
          <t>healthcare</t>
        </is>
      </c>
      <c r="F12" s="31" t="inlineStr">
        <is>
          <t>pharmaceuticals - indian - bulk drugs &amp; formln</t>
        </is>
      </c>
      <c r="G12" s="31" t="inlineStr">
        <is>
          <t>midcap</t>
        </is>
      </c>
      <c r="H12" s="32" t="n">
        <v>5059.53</v>
      </c>
      <c r="I12" s="32" t="n">
        <v>186.01</v>
      </c>
      <c r="J12" s="32" t="n">
        <v>7.91</v>
      </c>
      <c r="K12" s="32" t="n">
        <v>18086861</v>
      </c>
      <c r="L12" s="31" t="n">
        <v>90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76.59</v>
      </c>
      <c r="P12" s="32" t="n">
        <v>79.3</v>
      </c>
      <c r="Q12" s="32" t="n">
        <v>136.24</v>
      </c>
      <c r="R12" s="31" t="inlineStr">
        <is>
          <t>Near 52W High Breakout</t>
        </is>
      </c>
      <c r="S12" s="31" t="inlineStr">
        <is>
          <t>Nifty Pharma</t>
        </is>
      </c>
      <c r="T12" s="32" t="n">
        <v>22.12</v>
      </c>
      <c r="U12" s="32" t="n">
        <v>107.77</v>
      </c>
      <c r="V12" s="32" t="n">
        <v>70.14</v>
      </c>
      <c r="W12" s="32" t="n">
        <v>29.29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Annuity, Lower One Time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IF(B13=0,"",RANK(B13,$B$2:$B$372,0))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INDIAGLYCO</t>
        </is>
      </c>
      <c r="D13" s="31" t="inlineStr">
        <is>
          <t>India Glycols Limited</t>
        </is>
      </c>
      <c r="E13" s="31" t="inlineStr">
        <is>
          <t>fmcg</t>
        </is>
      </c>
      <c r="F13" s="31" t="inlineStr">
        <is>
          <t>breweries &amp; distilleries</t>
        </is>
      </c>
      <c r="G13" s="31" t="inlineStr">
        <is>
          <t>midcap</t>
        </is>
      </c>
      <c r="H13" s="32" t="n">
        <v>7845.48</v>
      </c>
      <c r="I13" s="32" t="n">
        <v>1190.5</v>
      </c>
      <c r="J13" s="32" t="n">
        <v>1.71</v>
      </c>
      <c r="K13" s="32" t="n">
        <v>330221</v>
      </c>
      <c r="L13" s="31" t="inlineStr"/>
      <c r="M13" s="31" t="inlineStr"/>
      <c r="N13" s="32">
        <f>IF(M13="Underperforming",-5,IF(L13&gt;=95,15,IF(L13&gt;=90,10,IF(L13&gt;=80,5,0))))</f>
        <v/>
      </c>
      <c r="O13" s="32" t="n">
        <v>63.32</v>
      </c>
      <c r="P13" s="32" t="n">
        <v>25.52</v>
      </c>
      <c r="Q13" s="32" t="n">
        <v>936.6799999999999</v>
      </c>
      <c r="R13" s="31" t="inlineStr">
        <is>
          <t>Near 52W High Breakout</t>
        </is>
      </c>
      <c r="S13" s="31" t="inlineStr">
        <is>
          <t>Nifty FMCG</t>
        </is>
      </c>
      <c r="T13" s="32" t="inlineStr"/>
      <c r="U13" s="32" t="inlineStr"/>
      <c r="V13" s="32" t="inlineStr"/>
      <c r="W13" s="32" t="inlineStr"/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B2C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IF(B14=0,"",RANK(B14,$B$2:$B$372,0))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ALIVUS</t>
        </is>
      </c>
      <c r="D14" s="31" t="inlineStr">
        <is>
          <t>Alivus Life Sciences Ltd</t>
        </is>
      </c>
      <c r="E14" s="31" t="inlineStr">
        <is>
          <t>healthcare</t>
        </is>
      </c>
      <c r="F14" s="31" t="inlineStr">
        <is>
          <t>pharmaceuticals - indian - bulk drugs &amp; formln</t>
        </is>
      </c>
      <c r="G14" s="31" t="inlineStr">
        <is>
          <t>midcap</t>
        </is>
      </c>
      <c r="H14" s="32" t="n">
        <v>16549.77</v>
      </c>
      <c r="I14" s="32" t="n">
        <v>1365</v>
      </c>
      <c r="J14" s="32" t="n">
        <v>1.23</v>
      </c>
      <c r="K14" s="32" t="n">
        <v>32624</v>
      </c>
      <c r="L14" s="31" t="n">
        <v>55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73.90000000000001</v>
      </c>
      <c r="P14" s="32" t="n">
        <v>44.31</v>
      </c>
      <c r="Q14" s="32" t="n">
        <v>1140.98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22.12</v>
      </c>
      <c r="U14" s="32" t="n">
        <v>44.8</v>
      </c>
      <c r="V14" s="32" t="n">
        <v>18.57</v>
      </c>
      <c r="W14" s="32" t="n">
        <v>14.14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IF(B15=0,"",RANK(B15,$B$2:$B$372,0))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SENORES</t>
        </is>
      </c>
      <c r="D15" s="31" t="inlineStr">
        <is>
          <t>Senores Pharmaceuticals Ltd</t>
        </is>
      </c>
      <c r="E15" s="31" t="inlineStr">
        <is>
          <t>healthcare</t>
        </is>
      </c>
      <c r="F15" s="31" t="inlineStr">
        <is>
          <t>pharmaceuticals - indian - formulations</t>
        </is>
      </c>
      <c r="G15" s="31" t="inlineStr">
        <is>
          <t>midcap</t>
        </is>
      </c>
      <c r="H15" s="32" t="n">
        <v>6817.77</v>
      </c>
      <c r="I15" s="32" t="n">
        <v>1494.7</v>
      </c>
      <c r="J15" s="32" t="n">
        <v>0.97</v>
      </c>
      <c r="K15" s="32" t="n">
        <v>159867</v>
      </c>
      <c r="L15" s="31" t="n">
        <v>83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72.87</v>
      </c>
      <c r="P15" s="32" t="n">
        <v>60.78</v>
      </c>
      <c r="Q15" s="32" t="n">
        <v>1163.04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22.12</v>
      </c>
      <c r="U15" s="32" t="n">
        <v>116.58</v>
      </c>
      <c r="V15" s="32" t="n">
        <v>77.34999999999999</v>
      </c>
      <c r="W15" s="32" t="n">
        <v>25.1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IF(B16=0,"",RANK(B16,$B$2:$B$372,0))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AURUM</t>
        </is>
      </c>
      <c r="D16" s="31" t="inlineStr">
        <is>
          <t>Aurum Proptech Ltd</t>
        </is>
      </c>
      <c r="E16" s="31" t="inlineStr">
        <is>
          <t>i.t</t>
        </is>
      </c>
      <c r="F16" s="31" t="inlineStr">
        <is>
          <t>computers - software - medium / small</t>
        </is>
      </c>
      <c r="G16" s="31" t="inlineStr">
        <is>
          <t>smallcap</t>
        </is>
      </c>
      <c r="H16" s="32" t="n">
        <v>1814.5</v>
      </c>
      <c r="I16" s="32" t="n">
        <v>235.24</v>
      </c>
      <c r="J16" s="32" t="n">
        <v>-0.52</v>
      </c>
      <c r="K16" s="32" t="n">
        <v>240670</v>
      </c>
      <c r="L16" s="31" t="n">
        <v>57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64.95</v>
      </c>
      <c r="P16" s="32" t="n">
        <v>50.19</v>
      </c>
      <c r="Q16" s="32" t="n">
        <v>183.16</v>
      </c>
      <c r="R16" s="31" t="inlineStr">
        <is>
          <t>Near 52W High Breakout</t>
        </is>
      </c>
      <c r="S16" s="31" t="inlineStr">
        <is>
          <t>Nifty IT</t>
        </is>
      </c>
      <c r="T16" s="32" t="n">
        <v>-13.82</v>
      </c>
      <c r="U16" s="32" t="n">
        <v>41.24</v>
      </c>
      <c r="V16" s="32" t="n">
        <v>63.89</v>
      </c>
      <c r="W16" s="32" t="n">
        <v>14.42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IF(B17=0,"",RANK(B17,$B$2:$B$372,0))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GOKULAGRO</t>
        </is>
      </c>
      <c r="D17" s="31" t="inlineStr">
        <is>
          <t>Gokul Agro Resources Limited</t>
        </is>
      </c>
      <c r="E17" s="31" t="inlineStr">
        <is>
          <t>fmcg</t>
        </is>
      </c>
      <c r="F17" s="31" t="inlineStr">
        <is>
          <t>solvent extraction</t>
        </is>
      </c>
      <c r="G17" s="31" t="inlineStr">
        <is>
          <t>midcap</t>
        </is>
      </c>
      <c r="H17" s="32" t="n">
        <v>7461.27</v>
      </c>
      <c r="I17" s="32" t="n">
        <v>245.39</v>
      </c>
      <c r="J17" s="32" t="n">
        <v>-2.95</v>
      </c>
      <c r="K17" s="32" t="n">
        <v>2147812</v>
      </c>
      <c r="L17" s="31" t="inlineStr"/>
      <c r="M17" s="31" t="inlineStr"/>
      <c r="N17" s="32">
        <f>IF(M17="Underperforming",-5,IF(L17&gt;=95,15,IF(L17&gt;=90,10,IF(L17&gt;=80,5,0))))</f>
        <v/>
      </c>
      <c r="O17" s="32" t="n">
        <v>66.55</v>
      </c>
      <c r="P17" s="32" t="n">
        <v>25.75</v>
      </c>
      <c r="Q17" s="32" t="n">
        <v>187.71</v>
      </c>
      <c r="R17" s="31" t="inlineStr">
        <is>
          <t>Volume Spike &amp; Near 52W High Breakout</t>
        </is>
      </c>
      <c r="S17" s="31" t="inlineStr">
        <is>
          <t>Nifty FMCG</t>
        </is>
      </c>
      <c r="T17" s="32" t="inlineStr"/>
      <c r="U17" s="32" t="inlineStr"/>
      <c r="V17" s="32" t="inlineStr"/>
      <c r="W17" s="32" t="inlineStr"/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IF(B18=0,"",RANK(B18,$B$2:$B$372,0))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SYRMA</t>
        </is>
      </c>
      <c r="D18" s="31" t="inlineStr">
        <is>
          <t>Syrma SGS Technology Ltd</t>
        </is>
      </c>
      <c r="E18" s="31" t="inlineStr">
        <is>
          <t>consumer discretionary</t>
        </is>
      </c>
      <c r="F18" s="31" t="inlineStr">
        <is>
          <t>electronics - components</t>
        </is>
      </c>
      <c r="G18" s="31" t="inlineStr">
        <is>
          <t>largecap</t>
        </is>
      </c>
      <c r="H18" s="32" t="n">
        <v>28116.61</v>
      </c>
      <c r="I18" s="32" t="n">
        <v>1474.1</v>
      </c>
      <c r="J18" s="32" t="n">
        <v>1.1</v>
      </c>
      <c r="K18" s="32" t="n">
        <v>818114</v>
      </c>
      <c r="L18" s="31" t="n">
        <v>77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68.73999999999999</v>
      </c>
      <c r="P18" s="32" t="n">
        <v>61.17</v>
      </c>
      <c r="Q18" s="32" t="n">
        <v>1152.27</v>
      </c>
      <c r="R18" s="31" t="inlineStr">
        <is>
          <t>Near 52W High Breakout</t>
        </is>
      </c>
      <c r="S18" s="31" t="inlineStr">
        <is>
          <t>Nifty 50</t>
        </is>
      </c>
      <c r="T18" s="32" t="n">
        <v>-0.9</v>
      </c>
      <c r="U18" s="32" t="n">
        <v>96.26000000000001</v>
      </c>
      <c r="V18" s="32" t="n">
        <v>98.04000000000001</v>
      </c>
      <c r="W18" s="32" t="n">
        <v>22.57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IF(B19=0,"",RANK(B19,$B$2:$B$372,0))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REDINGTON</t>
        </is>
      </c>
      <c r="D19" s="31" t="inlineStr">
        <is>
          <t>Redington (india) Limited</t>
        </is>
      </c>
      <c r="E19" s="31" t="inlineStr">
        <is>
          <t>services</t>
        </is>
      </c>
      <c r="F19" s="31" t="inlineStr">
        <is>
          <t>trading</t>
        </is>
      </c>
      <c r="G19" s="31" t="inlineStr">
        <is>
          <t>largecap</t>
        </is>
      </c>
      <c r="H19" s="32" t="n">
        <v>27569.28</v>
      </c>
      <c r="I19" s="32" t="n">
        <v>354.2</v>
      </c>
      <c r="J19" s="32" t="n">
        <v>0.44</v>
      </c>
      <c r="K19" s="32" t="n">
        <v>1850710</v>
      </c>
      <c r="L19" s="31" t="n">
        <v>81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69.12</v>
      </c>
      <c r="P19" s="32" t="n">
        <v>38.66</v>
      </c>
      <c r="Q19" s="32" t="n">
        <v>272.68</v>
      </c>
      <c r="R19" s="31" t="inlineStr">
        <is>
          <t>Near 52W High Breakout</t>
        </is>
      </c>
      <c r="S19" s="31" t="inlineStr">
        <is>
          <t>Nifty 50</t>
        </is>
      </c>
      <c r="T19" s="32" t="n">
        <v>-0.9</v>
      </c>
      <c r="U19" s="32" t="n">
        <v>50.29</v>
      </c>
      <c r="V19" s="32" t="n">
        <v>51.65</v>
      </c>
      <c r="W19" s="32" t="n">
        <v>23.84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IF(B20=0,"",RANK(B20,$B$2:$B$372,0))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APARINDS</t>
        </is>
      </c>
      <c r="D20" s="31" t="inlineStr">
        <is>
          <t>Apar Industries Limited</t>
        </is>
      </c>
      <c r="E20" s="31" t="inlineStr">
        <is>
          <t>industrials</t>
        </is>
      </c>
      <c r="F20" s="31" t="inlineStr">
        <is>
          <t>electric equipment</t>
        </is>
      </c>
      <c r="G20" s="31" t="inlineStr">
        <is>
          <t>largecap</t>
        </is>
      </c>
      <c r="H20" s="32" t="n">
        <v>71187.16</v>
      </c>
      <c r="I20" s="32" t="n">
        <v>17063</v>
      </c>
      <c r="J20" s="32" t="n">
        <v>0.36</v>
      </c>
      <c r="K20" s="32" t="n">
        <v>112728</v>
      </c>
      <c r="L20" s="31" t="n">
        <v>80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72.76000000000001</v>
      </c>
      <c r="P20" s="32" t="n">
        <v>43.37</v>
      </c>
      <c r="Q20" s="32" t="n">
        <v>13080.54</v>
      </c>
      <c r="R20" s="31" t="inlineStr">
        <is>
          <t>Near 52W High Breakout</t>
        </is>
      </c>
      <c r="S20" s="31" t="inlineStr">
        <is>
          <t>Nifty 50</t>
        </is>
      </c>
      <c r="T20" s="32" t="n">
        <v>-0.9</v>
      </c>
      <c r="U20" s="32" t="n">
        <v>120.68</v>
      </c>
      <c r="V20" s="32" t="n">
        <v>122.68</v>
      </c>
      <c r="W20" s="32" t="n">
        <v>23.6</v>
      </c>
      <c r="X20" s="31" t="inlineStr">
        <is>
          <t>Cyclical in an Upturn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IF(B21=0,"",RANK(B21,$B$2:$B$372,0))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CARTRADE</t>
        </is>
      </c>
      <c r="D21" s="31" t="inlineStr">
        <is>
          <t>Cartrade Tech Ltd</t>
        </is>
      </c>
      <c r="E21" s="31" t="inlineStr">
        <is>
          <t>consumer discretionary</t>
        </is>
      </c>
      <c r="F21" s="31" t="inlineStr">
        <is>
          <t>miscellaneous</t>
        </is>
      </c>
      <c r="G21" s="31" t="inlineStr">
        <is>
          <t>midcap</t>
        </is>
      </c>
      <c r="H21" s="32" t="n">
        <v>15102.28</v>
      </c>
      <c r="I21" s="32" t="n">
        <v>3142.2</v>
      </c>
      <c r="J21" s="32" t="n">
        <v>-0.08</v>
      </c>
      <c r="K21" s="32" t="n">
        <v>280062</v>
      </c>
      <c r="L21" s="31" t="n">
        <v>90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71.5</v>
      </c>
      <c r="P21" s="32" t="n">
        <v>42</v>
      </c>
      <c r="Q21" s="32" t="n">
        <v>2368.08</v>
      </c>
      <c r="R21" s="31" t="inlineStr">
        <is>
          <t>Near 52W High Breakout</t>
        </is>
      </c>
      <c r="S21" s="31" t="inlineStr">
        <is>
          <t>Nifty 50</t>
        </is>
      </c>
      <c r="T21" s="32" t="n">
        <v>-0.9</v>
      </c>
      <c r="U21" s="32" t="n">
        <v>31.03</v>
      </c>
      <c r="V21" s="32" t="n">
        <v>32.22</v>
      </c>
      <c r="W21" s="32" t="n">
        <v>29.12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Yes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IF(B22=0,"",RANK(B22,$B$2:$B$372,0))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KANORICHEM</t>
        </is>
      </c>
      <c r="D22" s="31" t="inlineStr">
        <is>
          <t>Kanoria Chemicals &amp; Industries Limited</t>
        </is>
      </c>
      <c r="E22" s="31" t="inlineStr">
        <is>
          <t>chemicals</t>
        </is>
      </c>
      <c r="F22" s="31" t="inlineStr">
        <is>
          <t>chemicals</t>
        </is>
      </c>
      <c r="G22" s="31" t="inlineStr">
        <is>
          <t>smallcap</t>
        </is>
      </c>
      <c r="H22" s="32" t="n">
        <v>694.51</v>
      </c>
      <c r="I22" s="32" t="n">
        <v>156.75</v>
      </c>
      <c r="J22" s="32" t="n">
        <v>-1.38</v>
      </c>
      <c r="K22" s="32" t="n">
        <v>24282</v>
      </c>
      <c r="L22" s="31" t="n">
        <v>89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72.31999999999999</v>
      </c>
      <c r="P22" s="32" t="n">
        <v>60.99</v>
      </c>
      <c r="Q22" s="32" t="n">
        <v>119.52</v>
      </c>
      <c r="R22" s="31" t="inlineStr">
        <is>
          <t>Near 52W High Breakout</t>
        </is>
      </c>
      <c r="S22" s="31" t="inlineStr">
        <is>
          <t>Nifty 50</t>
        </is>
      </c>
      <c r="T22" s="32" t="n">
        <v>-0.9</v>
      </c>
      <c r="U22" s="32" t="n">
        <v>90.20999999999999</v>
      </c>
      <c r="V22" s="32" t="n">
        <v>91.93000000000001</v>
      </c>
      <c r="W22" s="32" t="n">
        <v>28.85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IF(B23=0,"",RANK(B23,$B$2:$B$372,0))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SPORTKING</t>
        </is>
      </c>
      <c r="D23" s="31" t="inlineStr">
        <is>
          <t>Sportking India Ltd</t>
        </is>
      </c>
      <c r="E23" s="31" t="inlineStr">
        <is>
          <t>textiles</t>
        </is>
      </c>
      <c r="F23" s="31" t="inlineStr">
        <is>
          <t>textiles - spinning - synthetic / blended</t>
        </is>
      </c>
      <c r="G23" s="31" t="inlineStr">
        <is>
          <t>smallcap</t>
        </is>
      </c>
      <c r="H23" s="32" t="n">
        <v>2900.55</v>
      </c>
      <c r="I23" s="32" t="n">
        <v>224.23</v>
      </c>
      <c r="J23" s="32" t="n">
        <v>-1.77</v>
      </c>
      <c r="K23" s="32" t="n">
        <v>255116</v>
      </c>
      <c r="L23" s="31" t="n">
        <v>82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73.66</v>
      </c>
      <c r="P23" s="32" t="n">
        <v>73.06999999999999</v>
      </c>
      <c r="Q23" s="32" t="n">
        <v>164.13</v>
      </c>
      <c r="R23" s="31" t="inlineStr">
        <is>
          <t>Near 52W High Breakout</t>
        </is>
      </c>
      <c r="S23" s="31" t="inlineStr">
        <is>
          <t>Nifty 50</t>
        </is>
      </c>
      <c r="T23" s="32" t="n">
        <v>-0.9</v>
      </c>
      <c r="U23" s="32" t="n">
        <v>108.9</v>
      </c>
      <c r="V23" s="32" t="n">
        <v>110.79</v>
      </c>
      <c r="W23" s="32" t="n">
        <v>24.2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IF(B24=0,"",RANK(B24,$B$2:$B$372,0))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MOREPENLAB</t>
        </is>
      </c>
      <c r="D24" s="31" t="inlineStr">
        <is>
          <t>Morepen Laboratories Limited</t>
        </is>
      </c>
      <c r="E24" s="31" t="inlineStr">
        <is>
          <t>healthcare</t>
        </is>
      </c>
      <c r="F24" s="31" t="inlineStr">
        <is>
          <t>pharmaceuticals - indian - bulk drugs &amp; formln</t>
        </is>
      </c>
      <c r="G24" s="31" t="inlineStr">
        <is>
          <t>midcap</t>
        </is>
      </c>
      <c r="H24" s="32" t="n">
        <v>5145.29</v>
      </c>
      <c r="I24" s="32" t="n">
        <v>96.98</v>
      </c>
      <c r="J24" s="32" t="n">
        <v>3.28</v>
      </c>
      <c r="K24" s="32" t="n">
        <v>21286187</v>
      </c>
      <c r="L24" s="31" t="n">
        <v>98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83.73</v>
      </c>
      <c r="P24" s="32" t="n">
        <v>43.13</v>
      </c>
      <c r="Q24" s="32" t="n">
        <v>73.87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22.12</v>
      </c>
      <c r="U24" s="32" t="n">
        <v>107.98</v>
      </c>
      <c r="V24" s="32" t="n">
        <v>70.31</v>
      </c>
      <c r="W24" s="32" t="n">
        <v>48.26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IF(B25=0,"",RANK(B25,$B$2:$B$372,0))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GLAND</t>
        </is>
      </c>
      <c r="D25" s="31" t="inlineStr">
        <is>
          <t>Gland Pharma Ltd</t>
        </is>
      </c>
      <c r="E25" s="31" t="inlineStr">
        <is>
          <t>healthcare</t>
        </is>
      </c>
      <c r="F25" s="31" t="inlineStr">
        <is>
          <t>pharmaceuticals - indian - formulations</t>
        </is>
      </c>
      <c r="G25" s="31" t="inlineStr">
        <is>
          <t>largecap</t>
        </is>
      </c>
      <c r="H25" s="32" t="n">
        <v>46594.51</v>
      </c>
      <c r="I25" s="32" t="n">
        <v>2903.2</v>
      </c>
      <c r="J25" s="32" t="n">
        <v>2.78</v>
      </c>
      <c r="K25" s="32" t="n">
        <v>397671</v>
      </c>
      <c r="L25" s="31" t="n">
        <v>62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73.33</v>
      </c>
      <c r="P25" s="32" t="n">
        <v>61.61</v>
      </c>
      <c r="Q25" s="32" t="n">
        <v>2433.95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22.12</v>
      </c>
      <c r="U25" s="32" t="n">
        <v>56.3</v>
      </c>
      <c r="V25" s="32" t="n">
        <v>27.99</v>
      </c>
      <c r="W25" s="32" t="n">
        <v>16.21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IF(B26=0,"",RANK(B26,$B$2:$B$372,0))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RADICO</t>
        </is>
      </c>
      <c r="D26" s="31" t="inlineStr">
        <is>
          <t>Radico Khaitan Limited</t>
        </is>
      </c>
      <c r="E26" s="31" t="inlineStr">
        <is>
          <t>fmcg</t>
        </is>
      </c>
      <c r="F26" s="31" t="inlineStr">
        <is>
          <t>breweries &amp; distilleries</t>
        </is>
      </c>
      <c r="G26" s="31" t="inlineStr">
        <is>
          <t>largecap</t>
        </is>
      </c>
      <c r="H26" s="32" t="n">
        <v>62010.22</v>
      </c>
      <c r="I26" s="32" t="n">
        <v>4614</v>
      </c>
      <c r="J26" s="32" t="n">
        <v>-0.35</v>
      </c>
      <c r="K26" s="32" t="n">
        <v>225927</v>
      </c>
      <c r="L26" s="31" t="inlineStr"/>
      <c r="M26" s="31" t="inlineStr"/>
      <c r="N26" s="32">
        <f>IF(M26="Underperforming",-5,IF(L26&gt;=95,15,IF(L26&gt;=90,10,IF(L26&gt;=80,5,0))))</f>
        <v/>
      </c>
      <c r="O26" s="32" t="n">
        <v>84.63</v>
      </c>
      <c r="P26" s="32" t="n">
        <v>67.23999999999999</v>
      </c>
      <c r="Q26" s="32" t="n">
        <v>4021.26</v>
      </c>
      <c r="R26" s="31" t="inlineStr">
        <is>
          <t>Near 52W High Breakout</t>
        </is>
      </c>
      <c r="S26" s="31" t="inlineStr">
        <is>
          <t>Nifty FMCG</t>
        </is>
      </c>
      <c r="T26" s="32" t="inlineStr"/>
      <c r="U26" s="32" t="inlineStr"/>
      <c r="V26" s="32" t="inlineStr"/>
      <c r="W26" s="32" t="inlineStr"/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IF(B27=0,"",RANK(B27,$B$2:$B$372,0))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MANORAMA</t>
        </is>
      </c>
      <c r="D27" s="31" t="inlineStr">
        <is>
          <t>Manorama Industries Ltd</t>
        </is>
      </c>
      <c r="E27" s="31" t="inlineStr">
        <is>
          <t>fmcg</t>
        </is>
      </c>
      <c r="F27" s="31" t="inlineStr">
        <is>
          <t>food - processing - indian</t>
        </is>
      </c>
      <c r="G27" s="31" t="inlineStr">
        <is>
          <t>midcap</t>
        </is>
      </c>
      <c r="H27" s="32" t="n">
        <v>11431.8</v>
      </c>
      <c r="I27" s="32" t="n">
        <v>1900</v>
      </c>
      <c r="J27" s="32" t="n">
        <v>-0.76</v>
      </c>
      <c r="K27" s="32" t="n">
        <v>157521</v>
      </c>
      <c r="L27" s="31" t="inlineStr"/>
      <c r="M27" s="31" t="inlineStr"/>
      <c r="N27" s="32">
        <f>IF(M27="Underperforming",-5,IF(L27&gt;=95,15,IF(L27&gt;=90,10,IF(L27&gt;=80,5,0))))</f>
        <v/>
      </c>
      <c r="O27" s="32" t="n">
        <v>72.20999999999999</v>
      </c>
      <c r="P27" s="32" t="n">
        <v>22.42</v>
      </c>
      <c r="Q27" s="32" t="n">
        <v>1518.29</v>
      </c>
      <c r="R27" s="31" t="inlineStr">
        <is>
          <t>Near 52W High Breakout</t>
        </is>
      </c>
      <c r="S27" s="31" t="inlineStr">
        <is>
          <t>Nifty FMCG</t>
        </is>
      </c>
      <c r="T27" s="32" t="inlineStr"/>
      <c r="U27" s="32" t="inlineStr"/>
      <c r="V27" s="32" t="inlineStr"/>
      <c r="W27" s="32" t="inlineStr"/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B2C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IF(B28=0,"",RANK(B28,$B$2:$B$372,0))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CLSEL</t>
        </is>
      </c>
      <c r="D28" s="31" t="inlineStr">
        <is>
          <t>Chamanlal Setia Exports Ltd</t>
        </is>
      </c>
      <c r="E28" s="31" t="inlineStr">
        <is>
          <t>fmcg</t>
        </is>
      </c>
      <c r="F28" s="31" t="inlineStr">
        <is>
          <t>food - processing - indian</t>
        </is>
      </c>
      <c r="G28" s="31" t="inlineStr">
        <is>
          <t>smallcap</t>
        </is>
      </c>
      <c r="H28" s="32" t="n">
        <v>1586.5</v>
      </c>
      <c r="I28" s="32" t="n">
        <v>313.2</v>
      </c>
      <c r="J28" s="32" t="n">
        <v>-1.83</v>
      </c>
      <c r="K28" s="32" t="n">
        <v>459641</v>
      </c>
      <c r="L28" s="31" t="inlineStr"/>
      <c r="M28" s="31" t="inlineStr"/>
      <c r="N28" s="32">
        <f>IF(M28="Underperforming",-5,IF(L28&gt;=95,15,IF(L28&gt;=90,10,IF(L28&gt;=80,5,0))))</f>
        <v/>
      </c>
      <c r="O28" s="32" t="n">
        <v>61.21</v>
      </c>
      <c r="P28" s="32" t="n">
        <v>27.07</v>
      </c>
      <c r="Q28" s="32" t="n">
        <v>239.8</v>
      </c>
      <c r="R28" s="31" t="inlineStr">
        <is>
          <t>Volume Spike &amp; Near 52W High Breakout</t>
        </is>
      </c>
      <c r="S28" s="31" t="inlineStr">
        <is>
          <t>Nifty FMCG</t>
        </is>
      </c>
      <c r="T28" s="32" t="inlineStr"/>
      <c r="U28" s="32" t="inlineStr"/>
      <c r="V28" s="32" t="inlineStr"/>
      <c r="W28" s="32" t="inlineStr"/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B2C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IF(B29=0,"",RANK(B29,$B$2:$B$372,0))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QUESS</t>
        </is>
      </c>
      <c r="D29" s="31" t="inlineStr">
        <is>
          <t>Quess Corp Limited</t>
        </is>
      </c>
      <c r="E29" s="31" t="inlineStr">
        <is>
          <t>miscellaneous</t>
        </is>
      </c>
      <c r="F29" s="31" t="inlineStr">
        <is>
          <t>diversified - large</t>
        </is>
      </c>
      <c r="G29" s="31" t="inlineStr">
        <is>
          <t>midcap</t>
        </is>
      </c>
      <c r="H29" s="32" t="n">
        <v>5182.79</v>
      </c>
      <c r="I29" s="32" t="n">
        <v>370.7</v>
      </c>
      <c r="J29" s="32" t="n">
        <v>6.83</v>
      </c>
      <c r="K29" s="32" t="n">
        <v>6941081</v>
      </c>
      <c r="L29" s="31" t="n">
        <v>87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78.8</v>
      </c>
      <c r="P29" s="32" t="n">
        <v>58.26</v>
      </c>
      <c r="Q29" s="32" t="n">
        <v>292.23</v>
      </c>
      <c r="R29" s="31" t="inlineStr">
        <is>
          <t>Near 52W High Breakout</t>
        </is>
      </c>
      <c r="S29" s="31" t="inlineStr">
        <is>
          <t>Nifty 50</t>
        </is>
      </c>
      <c r="T29" s="32" t="n">
        <v>-0.9</v>
      </c>
      <c r="U29" s="32" t="n">
        <v>44.8</v>
      </c>
      <c r="V29" s="32" t="n">
        <v>46.11</v>
      </c>
      <c r="W29" s="32" t="n">
        <v>27.92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IF(B30=0,"",RANK(B30,$B$2:$B$372,0))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WABAG</t>
        </is>
      </c>
      <c r="D30" s="31" t="inlineStr">
        <is>
          <t>Va Tech Wabag Limited</t>
        </is>
      </c>
      <c r="E30" s="31" t="inlineStr">
        <is>
          <t>realty</t>
        </is>
      </c>
      <c r="F30" s="31" t="inlineStr">
        <is>
          <t>engineering - turnkey services</t>
        </is>
      </c>
      <c r="G30" s="31" t="inlineStr">
        <is>
          <t>midcap</t>
        </is>
      </c>
      <c r="H30" s="32" t="n">
        <v>12605.02</v>
      </c>
      <c r="I30" s="32" t="n">
        <v>2155.3</v>
      </c>
      <c r="J30" s="32" t="n">
        <v>6.62</v>
      </c>
      <c r="K30" s="32" t="n">
        <v>2347890</v>
      </c>
      <c r="L30" s="31" t="inlineStr"/>
      <c r="M30" s="31" t="inlineStr"/>
      <c r="N30" s="32">
        <f>IF(M30="Underperforming",-5,IF(L30&gt;=95,15,IF(L30&gt;=90,10,IF(L30&gt;=80,5,0))))</f>
        <v/>
      </c>
      <c r="O30" s="32" t="n">
        <v>68.16</v>
      </c>
      <c r="P30" s="32" t="n">
        <v>34.06</v>
      </c>
      <c r="Q30" s="32" t="n">
        <v>1734.43</v>
      </c>
      <c r="R30" s="31" t="inlineStr">
        <is>
          <t>Near 52W High Breakout</t>
        </is>
      </c>
      <c r="S30" s="31" t="inlineStr">
        <is>
          <t>Nifty Realty</t>
        </is>
      </c>
      <c r="T30" s="32" t="inlineStr"/>
      <c r="U30" s="32" t="inlineStr"/>
      <c r="V30" s="32" t="inlineStr"/>
      <c r="W30" s="32" t="inlineStr"/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IF(B31=0,"",RANK(B31,$B$2:$B$372,0))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MENONBE</t>
        </is>
      </c>
      <c r="D31" s="31" t="inlineStr">
        <is>
          <t>Menon Bearings Limited</t>
        </is>
      </c>
      <c r="E31" s="31" t="inlineStr">
        <is>
          <t>auto</t>
        </is>
      </c>
      <c r="F31" s="31" t="inlineStr">
        <is>
          <t>auto ancillaries</t>
        </is>
      </c>
      <c r="G31" s="31" t="inlineStr">
        <is>
          <t>smallcap</t>
        </is>
      </c>
      <c r="H31" s="32" t="n">
        <v>1482.26</v>
      </c>
      <c r="I31" s="32" t="n">
        <v>277.72</v>
      </c>
      <c r="J31" s="32" t="n">
        <v>5</v>
      </c>
      <c r="K31" s="32" t="n">
        <v>112248</v>
      </c>
      <c r="L31" s="31" t="inlineStr"/>
      <c r="M31" s="31" t="inlineStr"/>
      <c r="N31" s="32">
        <f>IF(M31="Underperforming",-5,IF(L31&gt;=95,15,IF(L31&gt;=90,10,IF(L31&gt;=80,5,0))))</f>
        <v/>
      </c>
      <c r="O31" s="32" t="n">
        <v>81.83</v>
      </c>
      <c r="P31" s="32" t="n">
        <v>58.11</v>
      </c>
      <c r="Q31" s="32" t="n">
        <v>207.89</v>
      </c>
      <c r="R31" s="31" t="inlineStr">
        <is>
          <t>Near 52W High Breakout</t>
        </is>
      </c>
      <c r="S31" s="31" t="inlineStr">
        <is>
          <t>Nifty Auto</t>
        </is>
      </c>
      <c r="T31" s="32" t="inlineStr"/>
      <c r="U31" s="32" t="inlineStr"/>
      <c r="V31" s="32" t="inlineStr"/>
      <c r="W31" s="32" t="inlineStr"/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IF(B32=0,"",RANK(B32,$B$2:$B$372,0))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JGCHEM</t>
        </is>
      </c>
      <c r="D32" s="31" t="inlineStr">
        <is>
          <t>J.G.Chemicals Ltd</t>
        </is>
      </c>
      <c r="E32" s="31" t="inlineStr">
        <is>
          <t>chemicals</t>
        </is>
      </c>
      <c r="F32" s="31" t="inlineStr">
        <is>
          <t>chemicals</t>
        </is>
      </c>
      <c r="G32" s="31" t="inlineStr">
        <is>
          <t>smallcap</t>
        </is>
      </c>
      <c r="H32" s="32" t="n">
        <v>2269.07</v>
      </c>
      <c r="I32" s="32" t="n">
        <v>597.95</v>
      </c>
      <c r="J32" s="32" t="n">
        <v>3.26</v>
      </c>
      <c r="K32" s="32" t="n">
        <v>283619</v>
      </c>
      <c r="L32" s="31" t="n">
        <v>56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72.84999999999999</v>
      </c>
      <c r="P32" s="32" t="n">
        <v>38.8</v>
      </c>
      <c r="Q32" s="32" t="n">
        <v>475.4</v>
      </c>
      <c r="R32" s="31" t="inlineStr">
        <is>
          <t>Near 52W High Breakout</t>
        </is>
      </c>
      <c r="S32" s="31" t="inlineStr">
        <is>
          <t>Nifty IT</t>
        </is>
      </c>
      <c r="T32" s="32" t="n">
        <v>-13.82</v>
      </c>
      <c r="U32" s="32" t="n">
        <v>28.81</v>
      </c>
      <c r="V32" s="32" t="n">
        <v>49.47</v>
      </c>
      <c r="W32" s="32" t="n">
        <v>14.27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IF(B33=0,"",RANK(B33,$B$2:$B$372,0))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STOVEKRAFT</t>
        </is>
      </c>
      <c r="D33" s="31" t="inlineStr">
        <is>
          <t>Stove Kraft Ltd</t>
        </is>
      </c>
      <c r="E33" s="31" t="inlineStr">
        <is>
          <t>consumer discretionary</t>
        </is>
      </c>
      <c r="F33" s="31" t="inlineStr">
        <is>
          <t>domestic appliances</t>
        </is>
      </c>
      <c r="G33" s="31" t="inlineStr">
        <is>
          <t>smallcap</t>
        </is>
      </c>
      <c r="H33" s="32" t="n">
        <v>2633.36</v>
      </c>
      <c r="I33" s="32" t="n">
        <v>815</v>
      </c>
      <c r="J33" s="32" t="n">
        <v>2.46</v>
      </c>
      <c r="K33" s="32" t="n">
        <v>123744</v>
      </c>
      <c r="L33" s="31" t="n">
        <v>53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70.18000000000001</v>
      </c>
      <c r="P33" s="32" t="n">
        <v>49.2</v>
      </c>
      <c r="Q33" s="32" t="n">
        <v>628.5700000000001</v>
      </c>
      <c r="R33" s="31" t="inlineStr">
        <is>
          <t>Near 52W High Breakout</t>
        </is>
      </c>
      <c r="S33" s="31" t="inlineStr">
        <is>
          <t>Nifty 50</t>
        </is>
      </c>
      <c r="T33" s="32" t="n">
        <v>-0.9</v>
      </c>
      <c r="U33" s="32" t="n">
        <v>28.43</v>
      </c>
      <c r="V33" s="32" t="n">
        <v>29.59</v>
      </c>
      <c r="W33" s="32" t="n">
        <v>13.64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IF(B34=0,"",RANK(B34,$B$2:$B$372,0))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KINGFA</t>
        </is>
      </c>
      <c r="D34" s="31" t="inlineStr">
        <is>
          <t>Kingfa Science &amp; Technology (india) Limited</t>
        </is>
      </c>
      <c r="E34" s="31" t="inlineStr">
        <is>
          <t>plastic products</t>
        </is>
      </c>
      <c r="F34" s="31" t="inlineStr">
        <is>
          <t>plastics products</t>
        </is>
      </c>
      <c r="G34" s="31" t="inlineStr">
        <is>
          <t>midcap</t>
        </is>
      </c>
      <c r="H34" s="32" t="n">
        <v>8008.19</v>
      </c>
      <c r="I34" s="32" t="n">
        <v>6031</v>
      </c>
      <c r="J34" s="32" t="n">
        <v>2.06</v>
      </c>
      <c r="K34" s="32" t="n">
        <v>18681</v>
      </c>
      <c r="L34" s="31" t="n">
        <v>39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71.13</v>
      </c>
      <c r="P34" s="32" t="n">
        <v>34.22</v>
      </c>
      <c r="Q34" s="32" t="n">
        <v>4828.46</v>
      </c>
      <c r="R34" s="31" t="inlineStr">
        <is>
          <t>Near 52W High Breakout</t>
        </is>
      </c>
      <c r="S34" s="31" t="inlineStr">
        <is>
          <t>Nifty 50</t>
        </is>
      </c>
      <c r="T34" s="32" t="n">
        <v>-0.9</v>
      </c>
      <c r="U34" s="32" t="n">
        <v>45.18</v>
      </c>
      <c r="V34" s="32" t="n">
        <v>46.49</v>
      </c>
      <c r="W34" s="32" t="n">
        <v>10.28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IF(B35=0,"",RANK(B35,$B$2:$B$372,0))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VINCOFE</t>
        </is>
      </c>
      <c r="D35" s="31" t="inlineStr">
        <is>
          <t>Vintage Coffee &amp; Beverages Ltd</t>
        </is>
      </c>
      <c r="E35" s="31" t="inlineStr">
        <is>
          <t>consumer discretionary</t>
        </is>
      </c>
      <c r="F35" s="31" t="inlineStr">
        <is>
          <t>trading</t>
        </is>
      </c>
      <c r="G35" s="31" t="inlineStr">
        <is>
          <t>smallcap</t>
        </is>
      </c>
      <c r="H35" s="32" t="n">
        <v>2344.13</v>
      </c>
      <c r="I35" s="32" t="n">
        <v>164.09</v>
      </c>
      <c r="J35" s="32" t="n">
        <v>1.98</v>
      </c>
      <c r="K35" s="32" t="n">
        <v>2641997</v>
      </c>
      <c r="L35" s="31" t="n">
        <v>18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60.7</v>
      </c>
      <c r="P35" s="32" t="n">
        <v>25.03</v>
      </c>
      <c r="Q35" s="32" t="n">
        <v>123.28</v>
      </c>
      <c r="R35" s="31" t="inlineStr">
        <is>
          <t>Near 52W High Breakout</t>
        </is>
      </c>
      <c r="S35" s="31" t="inlineStr">
        <is>
          <t>Nifty 50</t>
        </is>
      </c>
      <c r="T35" s="32" t="n">
        <v>-0.9</v>
      </c>
      <c r="U35" s="32" t="n">
        <v>12.29</v>
      </c>
      <c r="V35" s="32" t="n">
        <v>13.3</v>
      </c>
      <c r="W35" s="32" t="n">
        <v>5.33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IF(B36=0,"",RANK(B36,$B$2:$B$372,0))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ASKAUTOLTD</t>
        </is>
      </c>
      <c r="D36" s="31" t="inlineStr">
        <is>
          <t>ASK Automotive Ltd</t>
        </is>
      </c>
      <c r="E36" s="31" t="inlineStr">
        <is>
          <t>auto</t>
        </is>
      </c>
      <c r="F36" s="31" t="inlineStr">
        <is>
          <t>auto ancillaries</t>
        </is>
      </c>
      <c r="G36" s="31" t="inlineStr">
        <is>
          <t>midcap</t>
        </is>
      </c>
      <c r="H36" s="32" t="n">
        <v>11931.07</v>
      </c>
      <c r="I36" s="32" t="n">
        <v>617</v>
      </c>
      <c r="J36" s="32" t="n">
        <v>1.95</v>
      </c>
      <c r="K36" s="32" t="n">
        <v>212792</v>
      </c>
      <c r="L36" s="31" t="inlineStr"/>
      <c r="M36" s="31" t="inlineStr"/>
      <c r="N36" s="32">
        <f>IF(M36="Underperforming",-5,IF(L36&gt;=95,15,IF(L36&gt;=90,10,IF(L36&gt;=80,5,0))))</f>
        <v/>
      </c>
      <c r="O36" s="32" t="n">
        <v>72.45999999999999</v>
      </c>
      <c r="P36" s="32" t="n">
        <v>25.55</v>
      </c>
      <c r="Q36" s="32" t="n">
        <v>520.63</v>
      </c>
      <c r="R36" s="31" t="inlineStr">
        <is>
          <t>Near 52W High Breakout</t>
        </is>
      </c>
      <c r="S36" s="31" t="inlineStr">
        <is>
          <t>Nifty Auto</t>
        </is>
      </c>
      <c r="T36" s="32" t="inlineStr"/>
      <c r="U36" s="32" t="inlineStr"/>
      <c r="V36" s="32" t="inlineStr"/>
      <c r="W36" s="32" t="inlineStr"/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IF(B37=0,"",RANK(B37,$B$2:$B$372,0))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SHANTIGOLD</t>
        </is>
      </c>
      <c r="D37" s="31" t="inlineStr">
        <is>
          <t>Shanti Gold International Ltd</t>
        </is>
      </c>
      <c r="E37" s="31" t="inlineStr">
        <is>
          <t>consumer discretionary</t>
        </is>
      </c>
      <c r="F37" s="31" t="inlineStr">
        <is>
          <t>diamond cutting / jewellery</t>
        </is>
      </c>
      <c r="G37" s="31" t="inlineStr">
        <is>
          <t>smallcap</t>
        </is>
      </c>
      <c r="H37" s="32" t="n">
        <v>1903.05</v>
      </c>
      <c r="I37" s="32" t="n">
        <v>266.07</v>
      </c>
      <c r="J37" s="32" t="n">
        <v>0.8</v>
      </c>
      <c r="K37" s="32" t="n">
        <v>2213123</v>
      </c>
      <c r="L37" s="31" t="n">
        <v>32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69.43000000000001</v>
      </c>
      <c r="P37" s="32" t="n">
        <v>35.08</v>
      </c>
      <c r="Q37" s="32" t="n">
        <v>204</v>
      </c>
      <c r="R37" s="31" t="inlineStr">
        <is>
          <t>Near 52W High Breakout</t>
        </is>
      </c>
      <c r="S37" s="31" t="inlineStr">
        <is>
          <t>Nifty 50</t>
        </is>
      </c>
      <c r="T37" s="32" t="n">
        <v>-0.9</v>
      </c>
      <c r="U37" s="32" t="n">
        <v>21.1</v>
      </c>
      <c r="V37" s="32" t="n">
        <v>22.19</v>
      </c>
      <c r="W37" s="32" t="n">
        <v>8.33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20 to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IF(B38=0,"",RANK(B38,$B$2:$B$372,0))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ORIENTBELL</t>
        </is>
      </c>
      <c r="D38" s="31" t="inlineStr">
        <is>
          <t>Orient Bell Limited</t>
        </is>
      </c>
      <c r="E38" s="31" t="inlineStr">
        <is>
          <t>building materials</t>
        </is>
      </c>
      <c r="F38" s="31" t="inlineStr">
        <is>
          <t>ceramics - tiles / sanitaryware</t>
        </is>
      </c>
      <c r="G38" s="31" t="inlineStr">
        <is>
          <t>smallcap</t>
        </is>
      </c>
      <c r="H38" s="32" t="n">
        <v>553.48</v>
      </c>
      <c r="I38" s="32" t="n">
        <v>379.1</v>
      </c>
      <c r="J38" s="32" t="n">
        <v>0.76</v>
      </c>
      <c r="K38" s="32" t="n">
        <v>43206</v>
      </c>
      <c r="L38" s="31" t="inlineStr"/>
      <c r="M38" s="31" t="inlineStr"/>
      <c r="N38" s="32">
        <f>IF(M38="Underperforming",-5,IF(L38&gt;=95,15,IF(L38&gt;=90,10,IF(L38&gt;=80,5,0))))</f>
        <v/>
      </c>
      <c r="O38" s="32" t="n">
        <v>67.84</v>
      </c>
      <c r="P38" s="32" t="n">
        <v>39.19</v>
      </c>
      <c r="Q38" s="32" t="n">
        <v>290.04</v>
      </c>
      <c r="R38" s="31" t="inlineStr">
        <is>
          <t>Volume Spike &amp; Near 52W High Breakout</t>
        </is>
      </c>
      <c r="S38" s="31" t="inlineStr">
        <is>
          <t>Nifty Infra</t>
        </is>
      </c>
      <c r="T38" s="32" t="inlineStr"/>
      <c r="U38" s="32" t="inlineStr"/>
      <c r="V38" s="32" t="inlineStr"/>
      <c r="W38" s="32" t="inlineStr"/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IF(B39=0,"",RANK(B39,$B$2:$B$372,0))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HITECHCORP</t>
        </is>
      </c>
      <c r="D39" s="31" t="inlineStr">
        <is>
          <t>Hitech Corporation</t>
        </is>
      </c>
      <c r="E39" s="31" t="inlineStr">
        <is>
          <t>industrials</t>
        </is>
      </c>
      <c r="F39" s="31" t="inlineStr">
        <is>
          <t>packaging</t>
        </is>
      </c>
      <c r="G39" s="31" t="inlineStr">
        <is>
          <t>smallcap</t>
        </is>
      </c>
      <c r="H39" s="32" t="n">
        <v>576.16</v>
      </c>
      <c r="I39" s="32" t="n">
        <v>337</v>
      </c>
      <c r="J39" s="32" t="n">
        <v>0.46</v>
      </c>
      <c r="K39" s="32" t="n">
        <v>6323</v>
      </c>
      <c r="L39" s="31" t="n">
        <v>82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82.06999999999999</v>
      </c>
      <c r="P39" s="32" t="n">
        <v>65.93000000000001</v>
      </c>
      <c r="Q39" s="32" t="n">
        <v>277.05</v>
      </c>
      <c r="R39" s="31" t="inlineStr">
        <is>
          <t>Near 52W High Breakout</t>
        </is>
      </c>
      <c r="S39" s="31" t="inlineStr">
        <is>
          <t>Nifty 50</t>
        </is>
      </c>
      <c r="T39" s="32" t="n">
        <v>-0.9</v>
      </c>
      <c r="U39" s="32" t="n">
        <v>69.90000000000001</v>
      </c>
      <c r="V39" s="32" t="n">
        <v>71.44</v>
      </c>
      <c r="W39" s="32" t="n">
        <v>23.92</v>
      </c>
      <c r="X39" s="31" t="inlineStr">
        <is>
          <t>Cyclical in an Upturn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IF(B40=0,"",RANK(B40,$B$2:$B$372,0))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KPIL</t>
        </is>
      </c>
      <c r="D40" s="31" t="inlineStr">
        <is>
          <t>Kalpataru Projects International Ltd</t>
        </is>
      </c>
      <c r="E40" s="31" t="inlineStr">
        <is>
          <t>realty</t>
        </is>
      </c>
      <c r="F40" s="31" t="inlineStr">
        <is>
          <t>transmisson line towers / equipment</t>
        </is>
      </c>
      <c r="G40" s="31" t="inlineStr">
        <is>
          <t>largecap</t>
        </is>
      </c>
      <c r="H40" s="32" t="n">
        <v>23641.75</v>
      </c>
      <c r="I40" s="32" t="n">
        <v>1389.8</v>
      </c>
      <c r="J40" s="32" t="n">
        <v>0.39</v>
      </c>
      <c r="K40" s="32" t="n">
        <v>81659</v>
      </c>
      <c r="L40" s="31" t="inlineStr"/>
      <c r="M40" s="31" t="inlineStr"/>
      <c r="N40" s="32">
        <f>IF(M40="Underperforming",-5,IF(L40&gt;=95,15,IF(L40&gt;=90,10,IF(L40&gt;=80,5,0))))</f>
        <v/>
      </c>
      <c r="O40" s="32" t="n">
        <v>63.45</v>
      </c>
      <c r="P40" s="32" t="n">
        <v>32.02</v>
      </c>
      <c r="Q40" s="32" t="n">
        <v>1160.49</v>
      </c>
      <c r="R40" s="31" t="inlineStr">
        <is>
          <t>Near 52W High Breakout</t>
        </is>
      </c>
      <c r="S40" s="31" t="inlineStr">
        <is>
          <t>Nifty Realty</t>
        </is>
      </c>
      <c r="T40" s="32" t="inlineStr"/>
      <c r="U40" s="32" t="inlineStr"/>
      <c r="V40" s="32" t="inlineStr"/>
      <c r="W40" s="32" t="inlineStr"/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IF(B41=0,"",RANK(B41,$B$2:$B$372,0))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NITINSPIN</t>
        </is>
      </c>
      <c r="D41" s="31" t="inlineStr">
        <is>
          <t>Nitin Spinners Limited</t>
        </is>
      </c>
      <c r="E41" s="31" t="inlineStr">
        <is>
          <t>textiles</t>
        </is>
      </c>
      <c r="F41" s="31" t="inlineStr">
        <is>
          <t>textiles - cotton/blended</t>
        </is>
      </c>
      <c r="G41" s="31" t="inlineStr">
        <is>
          <t>smallcap</t>
        </is>
      </c>
      <c r="H41" s="32" t="n">
        <v>3506.16</v>
      </c>
      <c r="I41" s="32" t="n">
        <v>625.65</v>
      </c>
      <c r="J41" s="32" t="n">
        <v>0.32</v>
      </c>
      <c r="K41" s="32" t="n">
        <v>379887</v>
      </c>
      <c r="L41" s="31" t="n">
        <v>69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73.92</v>
      </c>
      <c r="P41" s="32" t="n">
        <v>66.33</v>
      </c>
      <c r="Q41" s="32" t="n">
        <v>488.08</v>
      </c>
      <c r="R41" s="31" t="inlineStr">
        <is>
          <t>Near 52W High Breakout</t>
        </is>
      </c>
      <c r="S41" s="31" t="inlineStr">
        <is>
          <t>Nifty 50</t>
        </is>
      </c>
      <c r="T41" s="32" t="n">
        <v>-0.9</v>
      </c>
      <c r="U41" s="32" t="n">
        <v>79.97</v>
      </c>
      <c r="V41" s="32" t="n">
        <v>81.59</v>
      </c>
      <c r="W41" s="32" t="n">
        <v>19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Between 0.7 to 1.2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IF(B42=0,"",RANK(B42,$B$2:$B$372,0))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WSTCSTPAPR</t>
        </is>
      </c>
      <c r="D42" s="31" t="inlineStr">
        <is>
          <t>West Coast Paper Mills Limited</t>
        </is>
      </c>
      <c r="E42" s="31" t="inlineStr">
        <is>
          <t>building materials</t>
        </is>
      </c>
      <c r="F42" s="31" t="inlineStr">
        <is>
          <t>paper</t>
        </is>
      </c>
      <c r="G42" s="31" t="inlineStr">
        <is>
          <t>smallcap</t>
        </is>
      </c>
      <c r="H42" s="32" t="n">
        <v>4003.55</v>
      </c>
      <c r="I42" s="32" t="n">
        <v>608</v>
      </c>
      <c r="J42" s="32" t="n">
        <v>0.31</v>
      </c>
      <c r="K42" s="32" t="n">
        <v>100238</v>
      </c>
      <c r="L42" s="31" t="inlineStr"/>
      <c r="M42" s="31" t="inlineStr"/>
      <c r="N42" s="32">
        <f>IF(M42="Underperforming",-5,IF(L42&gt;=95,15,IF(L42&gt;=90,10,IF(L42&gt;=80,5,0))))</f>
        <v/>
      </c>
      <c r="O42" s="32" t="n">
        <v>65.73999999999999</v>
      </c>
      <c r="P42" s="32" t="n">
        <v>46.52</v>
      </c>
      <c r="Q42" s="32" t="n">
        <v>503.91</v>
      </c>
      <c r="R42" s="31" t="inlineStr">
        <is>
          <t>Near 52W High Breakout</t>
        </is>
      </c>
      <c r="S42" s="31" t="inlineStr">
        <is>
          <t>Nifty Infra</t>
        </is>
      </c>
      <c r="T42" s="32" t="inlineStr"/>
      <c r="U42" s="32" t="inlineStr"/>
      <c r="V42" s="32" t="inlineStr"/>
      <c r="W42" s="32" t="inlineStr"/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IF(B43=0,"",RANK(B43,$B$2:$B$372,0))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INDOTECH</t>
        </is>
      </c>
      <c r="D43" s="31" t="inlineStr">
        <is>
          <t>Indo Tech Transformers Limited</t>
        </is>
      </c>
      <c r="E43" s="31" t="inlineStr">
        <is>
          <t>industrials</t>
        </is>
      </c>
      <c r="F43" s="31" t="inlineStr">
        <is>
          <t>electric equipment</t>
        </is>
      </c>
      <c r="G43" s="31" t="inlineStr">
        <is>
          <t>smallcap</t>
        </is>
      </c>
      <c r="H43" s="32" t="n">
        <v>3974.22</v>
      </c>
      <c r="I43" s="32" t="n">
        <v>3745.9</v>
      </c>
      <c r="J43" s="32" t="n">
        <v>0.1</v>
      </c>
      <c r="K43" s="32" t="n">
        <v>17350</v>
      </c>
      <c r="L43" s="31" t="inlineStr"/>
      <c r="M43" s="31" t="inlineStr"/>
      <c r="N43" s="32">
        <f>IF(M43="Underperforming",-5,IF(L43&gt;=95,15,IF(L43&gt;=90,10,IF(L43&gt;=80,5,0))))</f>
        <v/>
      </c>
      <c r="O43" s="32" t="n">
        <v>70.61</v>
      </c>
      <c r="P43" s="32" t="n">
        <v>52.17</v>
      </c>
      <c r="Q43" s="32" t="n">
        <v>2873.4</v>
      </c>
      <c r="R43" s="31" t="inlineStr">
        <is>
          <t>Near 52W High Breakout</t>
        </is>
      </c>
      <c r="S43" s="31" t="inlineStr">
        <is>
          <t>Nifty Infra</t>
        </is>
      </c>
      <c r="T43" s="32" t="inlineStr"/>
      <c r="U43" s="32" t="inlineStr"/>
      <c r="V43" s="32" t="inlineStr"/>
      <c r="W43" s="32" t="inlineStr"/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IF(B44=0,"",RANK(B44,$B$2:$B$372,0))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POLYPLEX</t>
        </is>
      </c>
      <c r="D44" s="31" t="inlineStr">
        <is>
          <t>Polyplex Corporation Limited</t>
        </is>
      </c>
      <c r="E44" s="31" t="inlineStr">
        <is>
          <t>industrials</t>
        </is>
      </c>
      <c r="F44" s="31" t="inlineStr">
        <is>
          <t>packaging</t>
        </is>
      </c>
      <c r="G44" s="31" t="inlineStr">
        <is>
          <t>smallcap</t>
        </is>
      </c>
      <c r="H44" s="32" t="n">
        <v>3704.94</v>
      </c>
      <c r="I44" s="32" t="n">
        <v>1172.5</v>
      </c>
      <c r="J44" s="32" t="n">
        <v>-0.65</v>
      </c>
      <c r="K44" s="32" t="n">
        <v>61237</v>
      </c>
      <c r="L44" s="31" t="inlineStr"/>
      <c r="M44" s="31" t="inlineStr"/>
      <c r="N44" s="32">
        <f>IF(M44="Underperforming",-5,IF(L44&gt;=95,15,IF(L44&gt;=90,10,IF(L44&gt;=80,5,0))))</f>
        <v/>
      </c>
      <c r="O44" s="32" t="n">
        <v>70.14</v>
      </c>
      <c r="P44" s="32" t="n">
        <v>54.24</v>
      </c>
      <c r="Q44" s="32" t="n">
        <v>972.08</v>
      </c>
      <c r="R44" s="31" t="inlineStr">
        <is>
          <t>Near 52W High Breakout</t>
        </is>
      </c>
      <c r="S44" s="31" t="inlineStr">
        <is>
          <t>Nifty Infra</t>
        </is>
      </c>
      <c r="T44" s="32" t="inlineStr"/>
      <c r="U44" s="32" t="inlineStr"/>
      <c r="V44" s="32" t="inlineStr"/>
      <c r="W44" s="32" t="inlineStr"/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IF(B45=0,"",RANK(B45,$B$2:$B$372,0))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MOTHERSON</t>
        </is>
      </c>
      <c r="D45" s="31" t="inlineStr">
        <is>
          <t>Samvardhana Motherson International Ltd</t>
        </is>
      </c>
      <c r="E45" s="31" t="inlineStr">
        <is>
          <t>auto</t>
        </is>
      </c>
      <c r="F45" s="31" t="inlineStr">
        <is>
          <t>auto ancillaries</t>
        </is>
      </c>
      <c r="G45" s="31" t="inlineStr">
        <is>
          <t>largecap</t>
        </is>
      </c>
      <c r="H45" s="32" t="n">
        <v>175678.7</v>
      </c>
      <c r="I45" s="32" t="n">
        <v>165</v>
      </c>
      <c r="J45" s="32" t="n">
        <v>-0.87</v>
      </c>
      <c r="K45" s="32" t="n">
        <v>9872285</v>
      </c>
      <c r="L45" s="31" t="inlineStr"/>
      <c r="M45" s="31" t="inlineStr"/>
      <c r="N45" s="32">
        <f>IF(M45="Underperforming",-5,IF(L45&gt;=95,15,IF(L45&gt;=90,10,IF(L45&gt;=80,5,0))))</f>
        <v/>
      </c>
      <c r="O45" s="32" t="n">
        <v>69.53</v>
      </c>
      <c r="P45" s="32" t="n">
        <v>40.78</v>
      </c>
      <c r="Q45" s="32" t="n">
        <v>141.87</v>
      </c>
      <c r="R45" s="31" t="inlineStr">
        <is>
          <t>Near 52W High Breakout</t>
        </is>
      </c>
      <c r="S45" s="31" t="inlineStr">
        <is>
          <t>Nifty Auto</t>
        </is>
      </c>
      <c r="T45" s="32" t="inlineStr"/>
      <c r="U45" s="32" t="inlineStr"/>
      <c r="V45" s="32" t="inlineStr"/>
      <c r="W45" s="32" t="inlineStr"/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IF(B46=0,"",RANK(B46,$B$2:$B$372,0))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GARFIBRES</t>
        </is>
      </c>
      <c r="D46" s="31" t="inlineStr">
        <is>
          <t>Garware Technical Fibres Ltd</t>
        </is>
      </c>
      <c r="E46" s="31" t="inlineStr">
        <is>
          <t>textiles</t>
        </is>
      </c>
      <c r="F46" s="31" t="inlineStr">
        <is>
          <t>textiles - products</t>
        </is>
      </c>
      <c r="G46" s="31" t="inlineStr">
        <is>
          <t>midcap</t>
        </is>
      </c>
      <c r="H46" s="32" t="n">
        <v>7816.75</v>
      </c>
      <c r="I46" s="32" t="n">
        <v>792</v>
      </c>
      <c r="J46" s="32" t="n">
        <v>-1.06</v>
      </c>
      <c r="K46" s="32" t="n">
        <v>28138</v>
      </c>
      <c r="L46" s="31" t="n">
        <v>18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59.22</v>
      </c>
      <c r="P46" s="32" t="n">
        <v>43.93</v>
      </c>
      <c r="Q46" s="32" t="n">
        <v>628.0599999999999</v>
      </c>
      <c r="R46" s="31" t="inlineStr">
        <is>
          <t>Near 52W High Breakout</t>
        </is>
      </c>
      <c r="S46" s="31" t="inlineStr">
        <is>
          <t>Nifty 50</t>
        </is>
      </c>
      <c r="T46" s="32" t="n">
        <v>-0.9</v>
      </c>
      <c r="U46" s="32" t="n">
        <v>4.61</v>
      </c>
      <c r="V46" s="32" t="n">
        <v>5.55</v>
      </c>
      <c r="W46" s="32" t="n">
        <v>5.44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Between 1.5 to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IF(B47=0,"",RANK(B47,$B$2:$B$372,0))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BAJAJ-AUTO</t>
        </is>
      </c>
      <c r="D47" s="31" t="inlineStr">
        <is>
          <t>Bajaj Auto Limited</t>
        </is>
      </c>
      <c r="E47" s="31" t="inlineStr">
        <is>
          <t>auto</t>
        </is>
      </c>
      <c r="F47" s="31" t="inlineStr">
        <is>
          <t>automobiles - scooters and 3 - wheelers</t>
        </is>
      </c>
      <c r="G47" s="31" t="inlineStr">
        <is>
          <t>largecap</t>
        </is>
      </c>
      <c r="H47" s="32" t="n">
        <v>333357.07</v>
      </c>
      <c r="I47" s="32" t="n">
        <v>11724</v>
      </c>
      <c r="J47" s="32" t="n">
        <v>-1.7</v>
      </c>
      <c r="K47" s="32" t="n">
        <v>163181</v>
      </c>
      <c r="L47" s="31" t="inlineStr"/>
      <c r="M47" s="31" t="inlineStr"/>
      <c r="N47" s="32">
        <f>IF(M47="Underperforming",-5,IF(L47&gt;=95,15,IF(L47&gt;=90,10,IF(L47&gt;=80,5,0))))</f>
        <v/>
      </c>
      <c r="O47" s="32" t="n">
        <v>73.41</v>
      </c>
      <c r="P47" s="32" t="n">
        <v>25.08</v>
      </c>
      <c r="Q47" s="32" t="n">
        <v>10331.78</v>
      </c>
      <c r="R47" s="31" t="inlineStr">
        <is>
          <t>Near 52W High Breakout</t>
        </is>
      </c>
      <c r="S47" s="31" t="inlineStr">
        <is>
          <t>Nifty Auto</t>
        </is>
      </c>
      <c r="T47" s="32" t="inlineStr"/>
      <c r="U47" s="32" t="inlineStr"/>
      <c r="V47" s="32" t="inlineStr"/>
      <c r="W47" s="32" t="inlineStr"/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IF(B48=0,"",RANK(B48,$B$2:$B$372,0))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SONACOMS</t>
        </is>
      </c>
      <c r="D48" s="31" t="inlineStr">
        <is>
          <t>Sona BLW Precision Forgings Ltd</t>
        </is>
      </c>
      <c r="E48" s="31" t="inlineStr">
        <is>
          <t>auto</t>
        </is>
      </c>
      <c r="F48" s="31" t="inlineStr">
        <is>
          <t>auto ancillaries</t>
        </is>
      </c>
      <c r="G48" s="31" t="inlineStr">
        <is>
          <t>largecap</t>
        </is>
      </c>
      <c r="H48" s="32" t="n">
        <v>50310.18</v>
      </c>
      <c r="I48" s="32" t="n">
        <v>795</v>
      </c>
      <c r="J48" s="32" t="n">
        <v>-1.71</v>
      </c>
      <c r="K48" s="32" t="n">
        <v>882792</v>
      </c>
      <c r="L48" s="31" t="inlineStr"/>
      <c r="M48" s="31" t="inlineStr"/>
      <c r="N48" s="32">
        <f>IF(M48="Underperforming",-5,IF(L48&gt;=95,15,IF(L48&gt;=90,10,IF(L48&gt;=80,5,0))))</f>
        <v/>
      </c>
      <c r="O48" s="32" t="n">
        <v>73</v>
      </c>
      <c r="P48" s="32" t="n">
        <v>55.9</v>
      </c>
      <c r="Q48" s="32" t="n">
        <v>694.7</v>
      </c>
      <c r="R48" s="31" t="inlineStr">
        <is>
          <t>Near 52W High Breakout</t>
        </is>
      </c>
      <c r="S48" s="31" t="inlineStr">
        <is>
          <t>Nifty Auto</t>
        </is>
      </c>
      <c r="T48" s="32" t="inlineStr"/>
      <c r="U48" s="32" t="inlineStr"/>
      <c r="V48" s="32" t="inlineStr"/>
      <c r="W48" s="32" t="inlineStr"/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Between 1.5 to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IF(B49=0,"",RANK(B49,$B$2:$B$372,0))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UNIPARTS</t>
        </is>
      </c>
      <c r="D49" s="31" t="inlineStr">
        <is>
          <t>Uniparts India Ltd</t>
        </is>
      </c>
      <c r="E49" s="31" t="inlineStr">
        <is>
          <t>industrials</t>
        </is>
      </c>
      <c r="F49" s="31" t="inlineStr">
        <is>
          <t>engineering</t>
        </is>
      </c>
      <c r="G49" s="31" t="inlineStr">
        <is>
          <t>smallcap</t>
        </is>
      </c>
      <c r="H49" s="32" t="n">
        <v>3727.02</v>
      </c>
      <c r="I49" s="32" t="n">
        <v>806.2</v>
      </c>
      <c r="J49" s="32" t="n">
        <v>-2.35</v>
      </c>
      <c r="K49" s="32" t="n">
        <v>104920</v>
      </c>
      <c r="L49" s="31" t="n">
        <v>84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77.16</v>
      </c>
      <c r="P49" s="32" t="n">
        <v>66.23999999999999</v>
      </c>
      <c r="Q49" s="32" t="n">
        <v>657.87</v>
      </c>
      <c r="R49" s="31" t="inlineStr">
        <is>
          <t>Near 52W High Breakout</t>
        </is>
      </c>
      <c r="S49" s="31" t="inlineStr">
        <is>
          <t>Nifty 50</t>
        </is>
      </c>
      <c r="T49" s="32" t="n">
        <v>-0.9</v>
      </c>
      <c r="U49" s="32" t="n">
        <v>118.21</v>
      </c>
      <c r="V49" s="32" t="n">
        <v>120.19</v>
      </c>
      <c r="W49" s="32" t="n">
        <v>25.42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IF(B50=0,"",RANK(B50,$B$2:$B$372,0))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SJS</t>
        </is>
      </c>
      <c r="D50" s="31" t="inlineStr">
        <is>
          <t>S J S Enterprises Ltd</t>
        </is>
      </c>
      <c r="E50" s="31" t="inlineStr">
        <is>
          <t>auto</t>
        </is>
      </c>
      <c r="F50" s="31" t="inlineStr">
        <is>
          <t>plastics products</t>
        </is>
      </c>
      <c r="G50" s="31" t="inlineStr">
        <is>
          <t>midcap</t>
        </is>
      </c>
      <c r="H50" s="32" t="n">
        <v>8165.47</v>
      </c>
      <c r="I50" s="32" t="n">
        <v>2485.9</v>
      </c>
      <c r="J50" s="32" t="n">
        <v>-2.56</v>
      </c>
      <c r="K50" s="32" t="n">
        <v>187746</v>
      </c>
      <c r="L50" s="31" t="inlineStr"/>
      <c r="M50" s="31" t="inlineStr"/>
      <c r="N50" s="32">
        <f>IF(M50="Underperforming",-5,IF(L50&gt;=95,15,IF(L50&gt;=90,10,IF(L50&gt;=80,5,0))))</f>
        <v/>
      </c>
      <c r="O50" s="32" t="n">
        <v>70.65000000000001</v>
      </c>
      <c r="P50" s="32" t="n">
        <v>46.97</v>
      </c>
      <c r="Q50" s="32" t="n">
        <v>2047.42</v>
      </c>
      <c r="R50" s="31" t="inlineStr">
        <is>
          <t>Near 52W High Breakout</t>
        </is>
      </c>
      <c r="S50" s="31" t="inlineStr">
        <is>
          <t>Nifty Auto</t>
        </is>
      </c>
      <c r="T50" s="32" t="inlineStr"/>
      <c r="U50" s="32" t="inlineStr"/>
      <c r="V50" s="32" t="inlineStr"/>
      <c r="W50" s="32" t="inlineStr"/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IF(B51=0,"",RANK(B51,$B$2:$B$372,0))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INDSWFTLAB</t>
        </is>
      </c>
      <c r="D51" s="31" t="inlineStr">
        <is>
          <t>Ind-swift Laboratories Limited</t>
        </is>
      </c>
      <c r="E51" s="31" t="inlineStr">
        <is>
          <t>healthcare</t>
        </is>
      </c>
      <c r="F51" s="31" t="inlineStr">
        <is>
          <t>pharmaceuticals - indian - bulk drugs &amp; formln</t>
        </is>
      </c>
      <c r="G51" s="31" t="inlineStr">
        <is>
          <t>smallcap</t>
        </is>
      </c>
      <c r="H51" s="32" t="n">
        <v>2820.86</v>
      </c>
      <c r="I51" s="32" t="n">
        <v>367.48</v>
      </c>
      <c r="J51" s="32" t="n">
        <v>13.29</v>
      </c>
      <c r="K51" s="32" t="n">
        <v>8519823</v>
      </c>
      <c r="L51" s="31" t="n">
        <v>99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89.47</v>
      </c>
      <c r="P51" s="32" t="n">
        <v>68.5</v>
      </c>
      <c r="Q51" s="32" t="n">
        <v>280.67</v>
      </c>
      <c r="R51" s="31" t="inlineStr">
        <is>
          <t>Near 52W High Breakout</t>
        </is>
      </c>
      <c r="S51" s="31" t="inlineStr">
        <is>
          <t>Nifty Pharma</t>
        </is>
      </c>
      <c r="T51" s="32" t="n">
        <v>22.12</v>
      </c>
      <c r="U51" s="32" t="n">
        <v>282.55</v>
      </c>
      <c r="V51" s="32" t="n">
        <v>213.27</v>
      </c>
      <c r="W51" s="32" t="n">
        <v>67.68000000000001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IF(B52=0,"",RANK(B52,$B$2:$B$372,0))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BAFNAPH</t>
        </is>
      </c>
      <c r="D52" s="31" t="inlineStr">
        <is>
          <t>Bafna Pharmaceuticals Ltd</t>
        </is>
      </c>
      <c r="E52" s="31" t="inlineStr">
        <is>
          <t>healthcare</t>
        </is>
      </c>
      <c r="F52" s="31" t="inlineStr">
        <is>
          <t>pharmaceuticals - indian - formulations</t>
        </is>
      </c>
      <c r="G52" s="31" t="inlineStr">
        <is>
          <t>smallcap</t>
        </is>
      </c>
      <c r="H52" s="32" t="n">
        <v>632.22</v>
      </c>
      <c r="I52" s="32" t="n">
        <v>280.6</v>
      </c>
      <c r="J52" s="32" t="n">
        <v>5</v>
      </c>
      <c r="K52" s="32" t="n">
        <v>8667</v>
      </c>
      <c r="L52" s="31" t="n">
        <v>98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69.73</v>
      </c>
      <c r="P52" s="32" t="n">
        <v>54.62</v>
      </c>
      <c r="Q52" s="32" t="n">
        <v>212.52</v>
      </c>
      <c r="R52" s="31" t="inlineStr">
        <is>
          <t>Near 52W High Breakout</t>
        </is>
      </c>
      <c r="S52" s="31" t="inlineStr">
        <is>
          <t>Nifty Pharma</t>
        </is>
      </c>
      <c r="T52" s="32" t="n">
        <v>22.12</v>
      </c>
      <c r="U52" s="32" t="n">
        <v>170.17</v>
      </c>
      <c r="V52" s="32" t="n">
        <v>121.24</v>
      </c>
      <c r="W52" s="32" t="n">
        <v>53.11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Yes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Less than 12%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IF(B53=0,"",RANK(B53,$B$2:$B$372,0))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MARKSANS</t>
        </is>
      </c>
      <c r="D53" s="31" t="inlineStr">
        <is>
          <t>Marksans Pharma Limited</t>
        </is>
      </c>
      <c r="E53" s="31" t="inlineStr">
        <is>
          <t>healthcare</t>
        </is>
      </c>
      <c r="F53" s="31" t="inlineStr">
        <is>
          <t>pharmaceuticals - indian - formulations</t>
        </is>
      </c>
      <c r="G53" s="31" t="inlineStr">
        <is>
          <t>midcap</t>
        </is>
      </c>
      <c r="H53" s="32" t="n">
        <v>14433.27</v>
      </c>
      <c r="I53" s="32" t="n">
        <v>331.05</v>
      </c>
      <c r="J53" s="32" t="n">
        <v>3.94</v>
      </c>
      <c r="K53" s="32" t="n">
        <v>2712240</v>
      </c>
      <c r="L53" s="31" t="n">
        <v>78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74.81999999999999</v>
      </c>
      <c r="P53" s="32" t="n">
        <v>58.65</v>
      </c>
      <c r="Q53" s="32" t="n">
        <v>259.97</v>
      </c>
      <c r="R53" s="31" t="inlineStr">
        <is>
          <t>Near 52W High Breakout</t>
        </is>
      </c>
      <c r="S53" s="31" t="inlineStr">
        <is>
          <t>Nifty Pharma</t>
        </is>
      </c>
      <c r="T53" s="32" t="n">
        <v>22.12</v>
      </c>
      <c r="U53" s="32" t="n">
        <v>96.89</v>
      </c>
      <c r="V53" s="32" t="n">
        <v>61.23</v>
      </c>
      <c r="W53" s="32" t="n">
        <v>23.05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Yes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Annuity, Lower One Time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IF(B54=0,"",RANK(B54,$B$2:$B$372,0))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AKUMS</t>
        </is>
      </c>
      <c r="D54" s="31" t="inlineStr">
        <is>
          <t>Akums Drugs &amp; Pharmaceuticals Ltd</t>
        </is>
      </c>
      <c r="E54" s="31" t="inlineStr">
        <is>
          <t>healthcare</t>
        </is>
      </c>
      <c r="F54" s="31" t="inlineStr">
        <is>
          <t>pharmaceuticals - indian - bulk drugs &amp; formln</t>
        </is>
      </c>
      <c r="G54" s="31" t="inlineStr">
        <is>
          <t>midcap</t>
        </is>
      </c>
      <c r="H54" s="32" t="n">
        <v>11726.64</v>
      </c>
      <c r="I54" s="32" t="n">
        <v>766.1</v>
      </c>
      <c r="J54" s="32" t="n">
        <v>2.83</v>
      </c>
      <c r="K54" s="32" t="n">
        <v>477886</v>
      </c>
      <c r="L54" s="31" t="n">
        <v>74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74.19</v>
      </c>
      <c r="P54" s="32" t="n">
        <v>57.31</v>
      </c>
      <c r="Q54" s="32" t="n">
        <v>619.16</v>
      </c>
      <c r="R54" s="31" t="inlineStr">
        <is>
          <t>Near 52W High Breakout</t>
        </is>
      </c>
      <c r="S54" s="31" t="inlineStr">
        <is>
          <t>Nifty Pharma</t>
        </is>
      </c>
      <c r="T54" s="32" t="n">
        <v>22.12</v>
      </c>
      <c r="U54" s="32" t="n">
        <v>69.45</v>
      </c>
      <c r="V54" s="32" t="n">
        <v>38.76</v>
      </c>
      <c r="W54" s="32" t="n">
        <v>21.87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Annuity, Lower One Time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Close to 52 week high or retracement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IF(B55=0,"",RANK(B55,$B$2:$B$372,0))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THYROCARE</t>
        </is>
      </c>
      <c r="D55" s="31" t="inlineStr">
        <is>
          <t>Thyrocare Technologies Limited</t>
        </is>
      </c>
      <c r="E55" s="31" t="inlineStr">
        <is>
          <t>healthcare</t>
        </is>
      </c>
      <c r="F55" s="31" t="inlineStr">
        <is>
          <t>healthcare</t>
        </is>
      </c>
      <c r="G55" s="31" t="inlineStr">
        <is>
          <t>midcap</t>
        </is>
      </c>
      <c r="H55" s="32" t="n">
        <v>9487.049999999999</v>
      </c>
      <c r="I55" s="32" t="n">
        <v>605.2</v>
      </c>
      <c r="J55" s="32" t="n">
        <v>1.54</v>
      </c>
      <c r="K55" s="32" t="n">
        <v>249184</v>
      </c>
      <c r="L55" s="31" t="n">
        <v>53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65.06</v>
      </c>
      <c r="P55" s="32" t="n">
        <v>58.95</v>
      </c>
      <c r="Q55" s="32" t="n">
        <v>477.72</v>
      </c>
      <c r="R55" s="31" t="inlineStr">
        <is>
          <t>Near 52W High Breakout</t>
        </is>
      </c>
      <c r="S55" s="31" t="inlineStr">
        <is>
          <t>Nifty Pharma</t>
        </is>
      </c>
      <c r="T55" s="32" t="n">
        <v>22.12</v>
      </c>
      <c r="U55" s="32" t="n">
        <v>46.18</v>
      </c>
      <c r="V55" s="32" t="n">
        <v>19.7</v>
      </c>
      <c r="W55" s="32" t="n">
        <v>13.68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Annuity, Lower One Time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Between 1.5 to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IF(B56=0,"",RANK(B56,$B$2:$B$372,0))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IPCALAB</t>
        </is>
      </c>
      <c r="D56" s="31" t="inlineStr">
        <is>
          <t>Ipca Laboratories Limited</t>
        </is>
      </c>
      <c r="E56" s="31" t="inlineStr">
        <is>
          <t>healthcare</t>
        </is>
      </c>
      <c r="F56" s="31" t="inlineStr">
        <is>
          <t>pharmaceuticals - indian - bulk drugs &amp; formln</t>
        </is>
      </c>
      <c r="G56" s="31" t="inlineStr">
        <is>
          <t>largecap</t>
        </is>
      </c>
      <c r="H56" s="32" t="n">
        <v>48926.86</v>
      </c>
      <c r="I56" s="32" t="n">
        <v>1952.4</v>
      </c>
      <c r="J56" s="32" t="n">
        <v>1.24</v>
      </c>
      <c r="K56" s="32" t="n">
        <v>500052</v>
      </c>
      <c r="L56" s="31" t="n">
        <v>50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68.84</v>
      </c>
      <c r="P56" s="32" t="n">
        <v>38.21</v>
      </c>
      <c r="Q56" s="32" t="n">
        <v>1569.72</v>
      </c>
      <c r="R56" s="31" t="inlineStr">
        <is>
          <t>Near 52W High Breakout</t>
        </is>
      </c>
      <c r="S56" s="31" t="inlineStr">
        <is>
          <t>Nifty Pharma</t>
        </is>
      </c>
      <c r="T56" s="32" t="n">
        <v>22.12</v>
      </c>
      <c r="U56" s="32" t="n">
        <v>41.52</v>
      </c>
      <c r="V56" s="32" t="n">
        <v>15.89</v>
      </c>
      <c r="W56" s="32" t="n">
        <v>13.39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Yes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Annuity, Lower One Time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IF(B57=0,"",RANK(B57,$B$2:$B$372,0))</f>
        <v/>
      </c>
      <c r="B57" s="32">
        <f>SUM(N57,Y57,AA57,AC57,AE57,AG57,AI57,AK57,AM57,AO57,AQ57,AS57,AU57,AW57,AY57,BA57,BC57,BE57,BG57,BI57,BK57,BM57,BO57,BQ57,BS57,BU57,BW57,BY57,CA57,CC57,CE57)</f>
        <v/>
      </c>
      <c r="C57" s="33" t="inlineStr">
        <is>
          <t>JAGSNPHARM</t>
        </is>
      </c>
      <c r="D57" s="33" t="inlineStr">
        <is>
          <t>Jagsonpal Pharmaceuticals Limited</t>
        </is>
      </c>
      <c r="E57" s="31" t="inlineStr">
        <is>
          <t>healthcare</t>
        </is>
      </c>
      <c r="F57" s="31" t="inlineStr">
        <is>
          <t>pharmaceuticals - indian - bulk drugs &amp; formln</t>
        </is>
      </c>
      <c r="G57" s="31" t="inlineStr">
        <is>
          <t>smallcap</t>
        </is>
      </c>
      <c r="H57" s="32" t="n">
        <v>1589.47</v>
      </c>
      <c r="I57" s="32" t="n">
        <v>242.2</v>
      </c>
      <c r="J57" s="32" t="n">
        <v>0.32</v>
      </c>
      <c r="K57" s="32" t="n">
        <v>83923</v>
      </c>
      <c r="L57" s="31" t="n">
        <v>19</v>
      </c>
      <c r="M57" s="31" t="inlineStr">
        <is>
          <t>Underperforming</t>
        </is>
      </c>
      <c r="N57" s="32">
        <f>IF(M57="Underperforming",-5,IF(L57&gt;=95,15,IF(L57&gt;=90,10,IF(L57&gt;=80,5,0))))</f>
        <v/>
      </c>
      <c r="O57" s="32" t="n">
        <v>66.12</v>
      </c>
      <c r="P57" s="32" t="n">
        <v>45.35</v>
      </c>
      <c r="Q57" s="32" t="n">
        <v>188.21</v>
      </c>
      <c r="R57" s="31" t="inlineStr">
        <is>
          <t>Near 52W High Breakout</t>
        </is>
      </c>
      <c r="S57" s="31" t="inlineStr">
        <is>
          <t>Nifty Pharma</t>
        </is>
      </c>
      <c r="T57" s="32" t="n">
        <v>22.12</v>
      </c>
      <c r="U57" s="32" t="n">
        <v>4.63</v>
      </c>
      <c r="V57" s="32" t="n">
        <v>-14.32</v>
      </c>
      <c r="W57" s="32" t="n">
        <v>5.66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Yes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IF(B58=0,"",RANK(B58,$B$2:$B$372,0))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OMAXE</t>
        </is>
      </c>
      <c r="D58" s="31" t="inlineStr">
        <is>
          <t>Omaxe Limited</t>
        </is>
      </c>
      <c r="E58" s="31" t="inlineStr">
        <is>
          <t>realty</t>
        </is>
      </c>
      <c r="F58" s="31" t="inlineStr">
        <is>
          <t>construction</t>
        </is>
      </c>
      <c r="G58" s="31" t="inlineStr">
        <is>
          <t>smallcap</t>
        </is>
      </c>
      <c r="H58" s="32" t="n">
        <v>1822.24</v>
      </c>
      <c r="I58" s="32" t="n">
        <v>109.37</v>
      </c>
      <c r="J58" s="32" t="n">
        <v>9.779999999999999</v>
      </c>
      <c r="K58" s="32" t="n">
        <v>15077969</v>
      </c>
      <c r="L58" s="31" t="inlineStr"/>
      <c r="M58" s="31" t="inlineStr"/>
      <c r="N58" s="32">
        <f>IF(M58="Underperforming",-5,IF(L58&gt;=95,15,IF(L58&gt;=90,10,IF(L58&gt;=80,5,0))))</f>
        <v/>
      </c>
      <c r="O58" s="32" t="n">
        <v>72.22</v>
      </c>
      <c r="P58" s="32" t="n">
        <v>30.33</v>
      </c>
      <c r="Q58" s="32" t="n">
        <v>77.14</v>
      </c>
      <c r="R58" s="31" t="inlineStr">
        <is>
          <t>Near 52W High Breakout</t>
        </is>
      </c>
      <c r="S58" s="31" t="inlineStr">
        <is>
          <t>Nifty Realty</t>
        </is>
      </c>
      <c r="T58" s="32" t="inlineStr"/>
      <c r="U58" s="32" t="inlineStr"/>
      <c r="V58" s="32" t="inlineStr"/>
      <c r="W58" s="32" t="inlineStr"/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Less than 1.5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IF(B59=0,"",RANK(B59,$B$2:$B$372,0))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TBZ</t>
        </is>
      </c>
      <c r="D59" s="31" t="inlineStr">
        <is>
          <t>Tribhovandas Bhimji Zaveri Limited</t>
        </is>
      </c>
      <c r="E59" s="31" t="inlineStr">
        <is>
          <t>consumer discretionary</t>
        </is>
      </c>
      <c r="F59" s="31" t="inlineStr">
        <is>
          <t>diamond cutting / jewellery</t>
        </is>
      </c>
      <c r="G59" s="31" t="inlineStr">
        <is>
          <t>smallcap</t>
        </is>
      </c>
      <c r="H59" s="32" t="n">
        <v>1870.79</v>
      </c>
      <c r="I59" s="32" t="n">
        <v>305.8</v>
      </c>
      <c r="J59" s="32" t="n">
        <v>9.08</v>
      </c>
      <c r="K59" s="32" t="n">
        <v>4895355</v>
      </c>
      <c r="L59" s="31" t="n">
        <v>91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76.98</v>
      </c>
      <c r="P59" s="32" t="n">
        <v>44.8</v>
      </c>
      <c r="Q59" s="32" t="n">
        <v>220.63</v>
      </c>
      <c r="R59" s="31" t="inlineStr">
        <is>
          <t>Near 52W High Breakout</t>
        </is>
      </c>
      <c r="S59" s="31" t="inlineStr">
        <is>
          <t>Nifty 50</t>
        </is>
      </c>
      <c r="T59" s="32" t="n">
        <v>-0.9</v>
      </c>
      <c r="U59" s="32" t="n">
        <v>67.02</v>
      </c>
      <c r="V59" s="32" t="n">
        <v>68.53</v>
      </c>
      <c r="W59" s="32" t="n">
        <v>32.35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No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Between 0.7 to 1.2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IF(B60=0,"",RANK(B60,$B$2:$B$372,0))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IGPL</t>
        </is>
      </c>
      <c r="D60" s="31" t="inlineStr">
        <is>
          <t>Ig Petrochemicals Limited</t>
        </is>
      </c>
      <c r="E60" s="31" t="inlineStr">
        <is>
          <t>chemicals</t>
        </is>
      </c>
      <c r="F60" s="31" t="inlineStr">
        <is>
          <t>chemicals</t>
        </is>
      </c>
      <c r="G60" s="31" t="inlineStr">
        <is>
          <t>smallcap</t>
        </is>
      </c>
      <c r="H60" s="32" t="n">
        <v>1502.94</v>
      </c>
      <c r="I60" s="32" t="n">
        <v>523.85</v>
      </c>
      <c r="J60" s="32" t="n">
        <v>7.34</v>
      </c>
      <c r="K60" s="32" t="n">
        <v>349243</v>
      </c>
      <c r="L60" s="31" t="n">
        <v>38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66.66</v>
      </c>
      <c r="P60" s="32" t="n">
        <v>23.83</v>
      </c>
      <c r="Q60" s="32" t="n">
        <v>409</v>
      </c>
      <c r="R60" s="31" t="inlineStr">
        <is>
          <t>Volume Spike &amp; Near 52W High Breakout</t>
        </is>
      </c>
      <c r="S60" s="31" t="inlineStr">
        <is>
          <t>Nifty 50</t>
        </is>
      </c>
      <c r="T60" s="32" t="n">
        <v>-0.9</v>
      </c>
      <c r="U60" s="32" t="n">
        <v>23.5</v>
      </c>
      <c r="V60" s="32" t="n">
        <v>24.62</v>
      </c>
      <c r="W60" s="32" t="n">
        <v>10.08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IF(B61=0,"",RANK(B61,$B$2:$B$372,0))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AVALON</t>
        </is>
      </c>
      <c r="D61" s="31" t="inlineStr">
        <is>
          <t>Avalon Technologies Ltd</t>
        </is>
      </c>
      <c r="E61" s="31" t="inlineStr">
        <is>
          <t>consumer discretionary</t>
        </is>
      </c>
      <c r="F61" s="31" t="inlineStr">
        <is>
          <t>electronics - components</t>
        </is>
      </c>
      <c r="G61" s="31" t="inlineStr">
        <is>
          <t>midcap</t>
        </is>
      </c>
      <c r="H61" s="32" t="n">
        <v>14107.3</v>
      </c>
      <c r="I61" s="32" t="n">
        <v>2226.4</v>
      </c>
      <c r="J61" s="32" t="n">
        <v>5.44</v>
      </c>
      <c r="K61" s="32" t="n">
        <v>901989</v>
      </c>
      <c r="L61" s="31" t="n">
        <v>91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83.38</v>
      </c>
      <c r="P61" s="32" t="n">
        <v>59.26</v>
      </c>
      <c r="Q61" s="32" t="n">
        <v>1700.63</v>
      </c>
      <c r="R61" s="31" t="inlineStr">
        <is>
          <t>Near 52W High Breakout</t>
        </is>
      </c>
      <c r="S61" s="31" t="inlineStr">
        <is>
          <t>Nifty 50</t>
        </is>
      </c>
      <c r="T61" s="32" t="n">
        <v>-0.9</v>
      </c>
      <c r="U61" s="32" t="n">
        <v>168.01</v>
      </c>
      <c r="V61" s="32" t="n">
        <v>170.44</v>
      </c>
      <c r="W61" s="32" t="n">
        <v>32.77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IF(B62=0,"",RANK(B62,$B$2:$B$372,0))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RBZJEWEL</t>
        </is>
      </c>
      <c r="D62" s="31" t="inlineStr">
        <is>
          <t>RBZ Jewellers Ltd</t>
        </is>
      </c>
      <c r="E62" s="31" t="inlineStr">
        <is>
          <t>consumer discretionary</t>
        </is>
      </c>
      <c r="F62" s="31" t="inlineStr">
        <is>
          <t>diamond cutting / jewellery</t>
        </is>
      </c>
      <c r="G62" s="31" t="inlineStr">
        <is>
          <t>smallcap</t>
        </is>
      </c>
      <c r="H62" s="32" t="n">
        <v>568.08</v>
      </c>
      <c r="I62" s="32" t="n">
        <v>149.33</v>
      </c>
      <c r="J62" s="32" t="n">
        <v>5.15</v>
      </c>
      <c r="K62" s="32" t="n">
        <v>476109</v>
      </c>
      <c r="L62" s="31" t="n">
        <v>21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55</v>
      </c>
      <c r="P62" s="32" t="n">
        <v>26.27</v>
      </c>
      <c r="Q62" s="32" t="n">
        <v>109.92</v>
      </c>
      <c r="R62" s="31" t="inlineStr">
        <is>
          <t>Volume Spike &amp; Near 52W High Breakout</t>
        </is>
      </c>
      <c r="S62" s="31" t="inlineStr">
        <is>
          <t>Nifty 50</t>
        </is>
      </c>
      <c r="T62" s="32" t="n">
        <v>-0.9</v>
      </c>
      <c r="U62" s="32" t="n">
        <v>8.83</v>
      </c>
      <c r="V62" s="32" t="n">
        <v>9.81</v>
      </c>
      <c r="W62" s="32" t="n">
        <v>6.16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IF(B63=0,"",RANK(B63,$B$2:$B$372,0))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SETL</t>
        </is>
      </c>
      <c r="D63" s="31" t="inlineStr">
        <is>
          <t>Standard Enginnering Technology Ltd</t>
        </is>
      </c>
      <c r="E63" s="31" t="inlineStr">
        <is>
          <t>industrials</t>
        </is>
      </c>
      <c r="F63" s="31" t="inlineStr">
        <is>
          <t>engineering</t>
        </is>
      </c>
      <c r="G63" s="31" t="inlineStr">
        <is>
          <t>midcap</t>
        </is>
      </c>
      <c r="H63" s="32" t="n">
        <v>6279</v>
      </c>
      <c r="I63" s="32" t="n">
        <v>330.4</v>
      </c>
      <c r="J63" s="32" t="n">
        <v>4.97</v>
      </c>
      <c r="K63" s="32" t="n">
        <v>2719497</v>
      </c>
      <c r="L63" s="31" t="n">
        <v>98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84.56999999999999</v>
      </c>
      <c r="P63" s="32" t="n">
        <v>57.11</v>
      </c>
      <c r="Q63" s="32" t="n">
        <v>254.48</v>
      </c>
      <c r="R63" s="31" t="inlineStr">
        <is>
          <t>Near 52W High Breakout</t>
        </is>
      </c>
      <c r="S63" s="31" t="inlineStr">
        <is>
          <t>Nifty 50</t>
        </is>
      </c>
      <c r="T63" s="32" t="n">
        <v>-0.9</v>
      </c>
      <c r="U63" s="32" t="n">
        <v>84.98999999999999</v>
      </c>
      <c r="V63" s="32" t="n">
        <v>86.67</v>
      </c>
      <c r="W63" s="32" t="n">
        <v>53.97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IF(B64=0,"",RANK(B64,$B$2:$B$372,0))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KROSS</t>
        </is>
      </c>
      <c r="D64" s="31" t="inlineStr">
        <is>
          <t>Kross Ltd</t>
        </is>
      </c>
      <c r="E64" s="31" t="inlineStr">
        <is>
          <t>auto</t>
        </is>
      </c>
      <c r="F64" s="31" t="inlineStr">
        <is>
          <t>auto ancillaries</t>
        </is>
      </c>
      <c r="G64" s="31" t="inlineStr">
        <is>
          <t>smallcap</t>
        </is>
      </c>
      <c r="H64" s="32" t="n">
        <v>1348.96</v>
      </c>
      <c r="I64" s="32" t="n">
        <v>217.72</v>
      </c>
      <c r="J64" s="32" t="n">
        <v>4.12</v>
      </c>
      <c r="K64" s="32" t="n">
        <v>1040725</v>
      </c>
      <c r="L64" s="31" t="inlineStr"/>
      <c r="M64" s="31" t="inlineStr"/>
      <c r="N64" s="32">
        <f>IF(M64="Underperforming",-5,IF(L64&gt;=95,15,IF(L64&gt;=90,10,IF(L64&gt;=80,5,0))))</f>
        <v/>
      </c>
      <c r="O64" s="32" t="n">
        <v>59.89</v>
      </c>
      <c r="P64" s="32" t="n">
        <v>24.27</v>
      </c>
      <c r="Q64" s="32" t="n">
        <v>164.89</v>
      </c>
      <c r="R64" s="31" t="inlineStr">
        <is>
          <t>Near 52W High Breakout</t>
        </is>
      </c>
      <c r="S64" s="31" t="inlineStr">
        <is>
          <t>Nifty Auto</t>
        </is>
      </c>
      <c r="T64" s="32" t="inlineStr"/>
      <c r="U64" s="32" t="inlineStr"/>
      <c r="V64" s="32" t="inlineStr"/>
      <c r="W64" s="32" t="inlineStr"/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No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IF(B65=0,"",RANK(B65,$B$2:$B$372,0))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CYIENTDLM</t>
        </is>
      </c>
      <c r="D65" s="31" t="inlineStr">
        <is>
          <t>Cyient DLM Ltd</t>
        </is>
      </c>
      <c r="E65" s="31" t="inlineStr">
        <is>
          <t>aerospace &amp; defence</t>
        </is>
      </c>
      <c r="F65" s="31" t="inlineStr">
        <is>
          <t>electronics - components</t>
        </is>
      </c>
      <c r="G65" s="31" t="inlineStr">
        <is>
          <t>midcap</t>
        </is>
      </c>
      <c r="H65" s="32" t="n">
        <v>6107.36</v>
      </c>
      <c r="I65" s="32" t="n">
        <v>797.9</v>
      </c>
      <c r="J65" s="32" t="n">
        <v>3.71</v>
      </c>
      <c r="K65" s="32" t="n">
        <v>1251264</v>
      </c>
      <c r="L65" s="31" t="n">
        <v>94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88.42</v>
      </c>
      <c r="P65" s="32" t="n">
        <v>67.09</v>
      </c>
      <c r="Q65" s="32" t="n">
        <v>627.15</v>
      </c>
      <c r="R65" s="31" t="inlineStr">
        <is>
          <t>Near 52W High Breakout</t>
        </is>
      </c>
      <c r="S65" s="31" t="inlineStr">
        <is>
          <t>Nifty 50</t>
        </is>
      </c>
      <c r="T65" s="32" t="n">
        <v>-0.9</v>
      </c>
      <c r="U65" s="32" t="n">
        <v>88.65000000000001</v>
      </c>
      <c r="V65" s="32" t="n">
        <v>90.36</v>
      </c>
      <c r="W65" s="32" t="n">
        <v>37.65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IF(B66=0,"",RANK(B66,$B$2:$B$372,0))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KMEW</t>
        </is>
      </c>
      <c r="D66" s="31" t="inlineStr">
        <is>
          <t>Knowledge Marine &amp; Engineering Works Ltd</t>
        </is>
      </c>
      <c r="E66" s="31" t="inlineStr">
        <is>
          <t>transportation</t>
        </is>
      </c>
      <c r="F66" s="31" t="inlineStr">
        <is>
          <t>miscellaneous</t>
        </is>
      </c>
      <c r="G66" s="31" t="inlineStr">
        <is>
          <t>midcap</t>
        </is>
      </c>
      <c r="H66" s="32" t="n">
        <v>6563.49</v>
      </c>
      <c r="I66" s="32" t="n">
        <v>2777.8</v>
      </c>
      <c r="J66" s="32" t="n">
        <v>3.45</v>
      </c>
      <c r="K66" s="32" t="n">
        <v>107867</v>
      </c>
      <c r="L66" s="31" t="n">
        <v>92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77.93000000000001</v>
      </c>
      <c r="P66" s="32" t="n">
        <v>52.63</v>
      </c>
      <c r="Q66" s="32" t="n">
        <v>2037.52</v>
      </c>
      <c r="R66" s="31" t="inlineStr">
        <is>
          <t>Near 52W High Breakout</t>
        </is>
      </c>
      <c r="S66" s="31" t="inlineStr">
        <is>
          <t>Nifty 50</t>
        </is>
      </c>
      <c r="T66" s="32" t="n">
        <v>-0.9</v>
      </c>
      <c r="U66" s="32" t="n">
        <v>195.43</v>
      </c>
      <c r="V66" s="32" t="n">
        <v>198.11</v>
      </c>
      <c r="W66" s="32" t="n">
        <v>34.51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IF(B67=0,"",RANK(B67,$B$2:$B$372,0))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RUBYMILLS</t>
        </is>
      </c>
      <c r="D67" s="31" t="inlineStr">
        <is>
          <t>The Ruby Mills Limited</t>
        </is>
      </c>
      <c r="E67" s="31" t="inlineStr">
        <is>
          <t>textiles</t>
        </is>
      </c>
      <c r="F67" s="31" t="inlineStr">
        <is>
          <t>textiles - composite</t>
        </is>
      </c>
      <c r="G67" s="31" t="inlineStr">
        <is>
          <t>smallcap</t>
        </is>
      </c>
      <c r="H67" s="32" t="n">
        <v>1280.92</v>
      </c>
      <c r="I67" s="32" t="n">
        <v>393.95</v>
      </c>
      <c r="J67" s="32" t="n">
        <v>2.85</v>
      </c>
      <c r="K67" s="32" t="n">
        <v>16989</v>
      </c>
      <c r="L67" s="31" t="n">
        <v>86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67.40000000000001</v>
      </c>
      <c r="P67" s="32" t="n">
        <v>55.3</v>
      </c>
      <c r="Q67" s="32" t="n">
        <v>298.2</v>
      </c>
      <c r="R67" s="31" t="inlineStr">
        <is>
          <t>Near 52W High Breakout</t>
        </is>
      </c>
      <c r="S67" s="31" t="inlineStr">
        <is>
          <t>Nifty 50</t>
        </is>
      </c>
      <c r="T67" s="32" t="n">
        <v>-0.9</v>
      </c>
      <c r="U67" s="32" t="n">
        <v>80.06999999999999</v>
      </c>
      <c r="V67" s="32" t="n">
        <v>81.7</v>
      </c>
      <c r="W67" s="32" t="n">
        <v>26.45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Less than 12%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IF(B68=0,"",RANK(B68,$B$2:$B$372,0))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CHEMBONDCH</t>
        </is>
      </c>
      <c r="D68" s="31" t="inlineStr">
        <is>
          <t>Chembond Chemicals Ltd</t>
        </is>
      </c>
      <c r="E68" s="31" t="inlineStr">
        <is>
          <t>chemicals</t>
        </is>
      </c>
      <c r="F68" s="31" t="inlineStr">
        <is>
          <t>chemicals</t>
        </is>
      </c>
      <c r="G68" s="31" t="inlineStr">
        <is>
          <t>smallcap</t>
        </is>
      </c>
      <c r="H68" s="32" t="n">
        <v>719.24</v>
      </c>
      <c r="I68" s="32" t="n">
        <v>274.75</v>
      </c>
      <c r="J68" s="32" t="n">
        <v>2.74</v>
      </c>
      <c r="K68" s="32" t="n">
        <v>18602</v>
      </c>
      <c r="L68" s="31" t="n">
        <v>70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66.87</v>
      </c>
      <c r="P68" s="32" t="n">
        <v>46.8</v>
      </c>
      <c r="Q68" s="32" t="n">
        <v>201.95</v>
      </c>
      <c r="R68" s="31" t="inlineStr">
        <is>
          <t>Earnings / Momentum Support</t>
        </is>
      </c>
      <c r="S68" s="31" t="inlineStr">
        <is>
          <t>Nifty 50</t>
        </is>
      </c>
      <c r="T68" s="32" t="n">
        <v>-0.9</v>
      </c>
      <c r="U68" s="32" t="n">
        <v>44.51</v>
      </c>
      <c r="V68" s="32" t="n">
        <v>45.82</v>
      </c>
      <c r="W68" s="32" t="n">
        <v>19.02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IF(B69=0,"",RANK(B69,$B$2:$B$372,0))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CONFIPET</t>
        </is>
      </c>
      <c r="D69" s="31" t="inlineStr">
        <is>
          <t>Confidence Petroleum India Ltd</t>
        </is>
      </c>
      <c r="E69" s="31" t="inlineStr">
        <is>
          <t>miscellaneous</t>
        </is>
      </c>
      <c r="F69" s="31" t="inlineStr">
        <is>
          <t>miscellaneous</t>
        </is>
      </c>
      <c r="G69" s="31" t="inlineStr">
        <is>
          <t>smallcap</t>
        </is>
      </c>
      <c r="H69" s="32" t="n">
        <v>2586.5</v>
      </c>
      <c r="I69" s="32" t="n">
        <v>79.69</v>
      </c>
      <c r="J69" s="32" t="n">
        <v>2.36</v>
      </c>
      <c r="K69" s="32" t="n">
        <v>9122476</v>
      </c>
      <c r="L69" s="31" t="n">
        <v>77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65.33</v>
      </c>
      <c r="P69" s="32" t="n">
        <v>63.68</v>
      </c>
      <c r="Q69" s="32" t="n">
        <v>55.26</v>
      </c>
      <c r="R69" s="31" t="inlineStr">
        <is>
          <t>Near 52W High Breakout</t>
        </is>
      </c>
      <c r="S69" s="31" t="inlineStr">
        <is>
          <t>Nifty 50</t>
        </is>
      </c>
      <c r="T69" s="32" t="n">
        <v>-0.9</v>
      </c>
      <c r="U69" s="32" t="n">
        <v>68.84</v>
      </c>
      <c r="V69" s="32" t="n">
        <v>70.37</v>
      </c>
      <c r="W69" s="32" t="n">
        <v>22.54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IF(B70=0,"",RANK(B70,$B$2:$B$372,0))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MUNJALAU</t>
        </is>
      </c>
      <c r="D70" s="31" t="inlineStr">
        <is>
          <t>Munjal Auto Industries Limited</t>
        </is>
      </c>
      <c r="E70" s="31" t="inlineStr">
        <is>
          <t>auto</t>
        </is>
      </c>
      <c r="F70" s="31" t="inlineStr">
        <is>
          <t>auto ancillaries</t>
        </is>
      </c>
      <c r="G70" s="31" t="inlineStr">
        <is>
          <t>smallcap</t>
        </is>
      </c>
      <c r="H70" s="32" t="n">
        <v>1126.8</v>
      </c>
      <c r="I70" s="32" t="n">
        <v>114.87</v>
      </c>
      <c r="J70" s="32" t="n">
        <v>1.94</v>
      </c>
      <c r="K70" s="32" t="n">
        <v>1895699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70.16</v>
      </c>
      <c r="P70" s="32" t="n">
        <v>50.66</v>
      </c>
      <c r="Q70" s="32" t="n">
        <v>88.67</v>
      </c>
      <c r="R70" s="31" t="inlineStr">
        <is>
          <t>Near 52W High Breakout</t>
        </is>
      </c>
      <c r="S70" s="31" t="inlineStr">
        <is>
          <t>Nifty Auto</t>
        </is>
      </c>
      <c r="T70" s="32" t="inlineStr"/>
      <c r="U70" s="32" t="inlineStr"/>
      <c r="V70" s="32" t="inlineStr"/>
      <c r="W70" s="32" t="inlineStr"/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IF(B71=0,"",RANK(B71,$B$2:$B$372,0))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HAPPYFORGE</t>
        </is>
      </c>
      <c r="D71" s="31" t="inlineStr">
        <is>
          <t>Happy Forgings Ltd</t>
        </is>
      </c>
      <c r="E71" s="31" t="inlineStr">
        <is>
          <t>industrials</t>
        </is>
      </c>
      <c r="F71" s="31" t="inlineStr">
        <is>
          <t>castings &amp; forgings</t>
        </is>
      </c>
      <c r="G71" s="31" t="inlineStr">
        <is>
          <t>largecap</t>
        </is>
      </c>
      <c r="H71" s="32" t="n">
        <v>20301.81</v>
      </c>
      <c r="I71" s="32" t="n">
        <v>2188</v>
      </c>
      <c r="J71" s="32" t="n">
        <v>1.72</v>
      </c>
      <c r="K71" s="32" t="n">
        <v>149045</v>
      </c>
      <c r="L71" s="31" t="n">
        <v>92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87.54000000000001</v>
      </c>
      <c r="P71" s="32" t="n">
        <v>58.78</v>
      </c>
      <c r="Q71" s="32" t="n">
        <v>1801.76</v>
      </c>
      <c r="R71" s="31" t="inlineStr">
        <is>
          <t>Near 52W High Breakout</t>
        </is>
      </c>
      <c r="S71" s="31" t="inlineStr">
        <is>
          <t>Nifty 50</t>
        </is>
      </c>
      <c r="T71" s="32" t="n">
        <v>-0.9</v>
      </c>
      <c r="U71" s="32" t="n">
        <v>146.05</v>
      </c>
      <c r="V71" s="32" t="n">
        <v>148.28</v>
      </c>
      <c r="W71" s="32" t="n">
        <v>33.48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Between 1.5 to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IF(B72=0,"",RANK(B72,$B$2:$B$372,0))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SOLARINDS</t>
        </is>
      </c>
      <c r="D72" s="31" t="inlineStr">
        <is>
          <t>Solar Industries India Limited</t>
        </is>
      </c>
      <c r="E72" s="31" t="inlineStr">
        <is>
          <t>aerospace &amp; defence</t>
        </is>
      </c>
      <c r="F72" s="31" t="inlineStr">
        <is>
          <t>chemicals</t>
        </is>
      </c>
      <c r="G72" s="31" t="inlineStr">
        <is>
          <t>largecap</t>
        </is>
      </c>
      <c r="H72" s="32" t="n">
        <v>179170.31</v>
      </c>
      <c r="I72" s="32" t="n">
        <v>20097</v>
      </c>
      <c r="J72" s="32" t="n">
        <v>1.5</v>
      </c>
      <c r="K72" s="32" t="n">
        <v>98533</v>
      </c>
      <c r="L72" s="31" t="n">
        <v>42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71.56</v>
      </c>
      <c r="P72" s="32" t="n">
        <v>39.4</v>
      </c>
      <c r="Q72" s="32" t="n">
        <v>16569.89</v>
      </c>
      <c r="R72" s="31" t="inlineStr">
        <is>
          <t>Near 52W High Breakout</t>
        </is>
      </c>
      <c r="S72" s="31" t="inlineStr">
        <is>
          <t>Nifty 50</t>
        </is>
      </c>
      <c r="T72" s="32" t="n">
        <v>-0.9</v>
      </c>
      <c r="U72" s="32" t="n">
        <v>45.77</v>
      </c>
      <c r="V72" s="32" t="n">
        <v>47.09</v>
      </c>
      <c r="W72" s="32" t="n">
        <v>10.7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IF(B73=0,"",RANK(B73,$B$2:$B$372,0))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KPRMILL</t>
        </is>
      </c>
      <c r="D73" s="31" t="inlineStr">
        <is>
          <t>K.p.r. Mill Limited</t>
        </is>
      </c>
      <c r="E73" s="31" t="inlineStr">
        <is>
          <t>consumer discretionary</t>
        </is>
      </c>
      <c r="F73" s="31" t="inlineStr">
        <is>
          <t>textiles - products</t>
        </is>
      </c>
      <c r="G73" s="31" t="inlineStr">
        <is>
          <t>largecap</t>
        </is>
      </c>
      <c r="H73" s="32" t="n">
        <v>38283.17</v>
      </c>
      <c r="I73" s="32" t="n">
        <v>1136</v>
      </c>
      <c r="J73" s="32" t="n">
        <v>1.43</v>
      </c>
      <c r="K73" s="32" t="n">
        <v>116117</v>
      </c>
      <c r="L73" s="31" t="n">
        <v>26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59.92</v>
      </c>
      <c r="P73" s="32" t="n">
        <v>47.17</v>
      </c>
      <c r="Q73" s="32" t="n">
        <v>927.41</v>
      </c>
      <c r="R73" s="31" t="inlineStr">
        <is>
          <t>Near 52W High Breakout</t>
        </is>
      </c>
      <c r="S73" s="31" t="inlineStr">
        <is>
          <t>Nifty 50</t>
        </is>
      </c>
      <c r="T73" s="32" t="n">
        <v>-0.9</v>
      </c>
      <c r="U73" s="32" t="n">
        <v>15.74</v>
      </c>
      <c r="V73" s="32" t="n">
        <v>16.79</v>
      </c>
      <c r="W73" s="32" t="n">
        <v>7.22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Above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Between 1.5 to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IF(B74=0,"",RANK(B74,$B$2:$B$372,0))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IRISDOREME</t>
        </is>
      </c>
      <c r="D74" s="31" t="inlineStr">
        <is>
          <t>Iris Clothings Ltd</t>
        </is>
      </c>
      <c r="E74" s="31" t="inlineStr">
        <is>
          <t>consumer discretionary</t>
        </is>
      </c>
      <c r="F74" s="31" t="inlineStr">
        <is>
          <t>textiles - products</t>
        </is>
      </c>
      <c r="G74" s="31" t="inlineStr">
        <is>
          <t>smallcap</t>
        </is>
      </c>
      <c r="H74" s="32" t="n">
        <v>1082.8</v>
      </c>
      <c r="I74" s="32" t="n">
        <v>57.61</v>
      </c>
      <c r="J74" s="32" t="n">
        <v>1.27</v>
      </c>
      <c r="K74" s="32" t="n">
        <v>1239876</v>
      </c>
      <c r="L74" s="31" t="n">
        <v>87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82.16</v>
      </c>
      <c r="P74" s="32" t="n">
        <v>45.48</v>
      </c>
      <c r="Q74" s="32" t="n">
        <v>45.39</v>
      </c>
      <c r="R74" s="31" t="inlineStr">
        <is>
          <t>Near 52W High Breakout</t>
        </is>
      </c>
      <c r="S74" s="31" t="inlineStr">
        <is>
          <t>Nifty 50</t>
        </is>
      </c>
      <c r="T74" s="32" t="n">
        <v>-0.9</v>
      </c>
      <c r="U74" s="32" t="n">
        <v>83.06999999999999</v>
      </c>
      <c r="V74" s="32" t="n">
        <v>84.73</v>
      </c>
      <c r="W74" s="32" t="n">
        <v>27.28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Above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IF(B75=0,"",RANK(B75,$B$2:$B$372,0))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ROLEXRINGS</t>
        </is>
      </c>
      <c r="D75" s="31" t="inlineStr">
        <is>
          <t>Rolex Rings Ltd</t>
        </is>
      </c>
      <c r="E75" s="31" t="inlineStr">
        <is>
          <t>auto</t>
        </is>
      </c>
      <c r="F75" s="31" t="inlineStr">
        <is>
          <t>auto ancillaries</t>
        </is>
      </c>
      <c r="G75" s="31" t="inlineStr">
        <is>
          <t>smallcap</t>
        </is>
      </c>
      <c r="H75" s="32" t="n">
        <v>4967.9</v>
      </c>
      <c r="I75" s="32" t="n">
        <v>184.45</v>
      </c>
      <c r="J75" s="32" t="n">
        <v>1.11</v>
      </c>
      <c r="K75" s="32" t="n">
        <v>2384143</v>
      </c>
      <c r="L75" s="31" t="inlineStr"/>
      <c r="M75" s="31" t="inlineStr"/>
      <c r="N75" s="32">
        <f>IF(M75="Underperforming",-5,IF(L75&gt;=95,15,IF(L75&gt;=90,10,IF(L75&gt;=80,5,0))))</f>
        <v/>
      </c>
      <c r="O75" s="32" t="n">
        <v>67.90000000000001</v>
      </c>
      <c r="P75" s="32" t="n">
        <v>38.67</v>
      </c>
      <c r="Q75" s="32" t="n">
        <v>143.05</v>
      </c>
      <c r="R75" s="31" t="inlineStr">
        <is>
          <t>Near 52W High Breakout</t>
        </is>
      </c>
      <c r="S75" s="31" t="inlineStr">
        <is>
          <t>Nifty Auto</t>
        </is>
      </c>
      <c r="T75" s="32" t="inlineStr"/>
      <c r="U75" s="32" t="inlineStr"/>
      <c r="V75" s="32" t="inlineStr"/>
      <c r="W75" s="32" t="inlineStr"/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IF(B76=0,"",RANK(B76,$B$2:$B$372,0))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SREEL</t>
        </is>
      </c>
      <c r="D76" s="31" t="inlineStr">
        <is>
          <t>Sreeleathers Limited</t>
        </is>
      </c>
      <c r="E76" s="31" t="inlineStr">
        <is>
          <t>consumer discretionary</t>
        </is>
      </c>
      <c r="F76" s="31" t="inlineStr">
        <is>
          <t>trading</t>
        </is>
      </c>
      <c r="G76" s="31" t="inlineStr">
        <is>
          <t>smallcap</t>
        </is>
      </c>
      <c r="H76" s="32" t="n">
        <v>596.5</v>
      </c>
      <c r="I76" s="32" t="n">
        <v>260</v>
      </c>
      <c r="J76" s="32" t="n">
        <v>0.93</v>
      </c>
      <c r="K76" s="32" t="n">
        <v>22333</v>
      </c>
      <c r="L76" s="31" t="n">
        <v>39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72.95999999999999</v>
      </c>
      <c r="P76" s="32" t="n">
        <v>46.97</v>
      </c>
      <c r="Q76" s="32" t="n">
        <v>202.45</v>
      </c>
      <c r="R76" s="31" t="inlineStr">
        <is>
          <t>Near 52W High Breakout</t>
        </is>
      </c>
      <c r="S76" s="31" t="inlineStr">
        <is>
          <t>Nifty 50</t>
        </is>
      </c>
      <c r="T76" s="32" t="n">
        <v>-0.9</v>
      </c>
      <c r="U76" s="32" t="n">
        <v>11.18</v>
      </c>
      <c r="V76" s="32" t="n">
        <v>12.19</v>
      </c>
      <c r="W76" s="32" t="n">
        <v>10.39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IF(B77=0,"",RANK(B77,$B$2:$B$372,0))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SKYGOLD</t>
        </is>
      </c>
      <c r="D77" s="31" t="inlineStr">
        <is>
          <t>Sky Gold Ltd</t>
        </is>
      </c>
      <c r="E77" s="31" t="inlineStr">
        <is>
          <t>consumer discretionary</t>
        </is>
      </c>
      <c r="F77" s="31" t="inlineStr">
        <is>
          <t>diamond cutting / jewellery</t>
        </is>
      </c>
      <c r="G77" s="31" t="inlineStr">
        <is>
          <t>midcap</t>
        </is>
      </c>
      <c r="H77" s="32" t="n">
        <v>13045.03</v>
      </c>
      <c r="I77" s="32" t="n">
        <v>848.1</v>
      </c>
      <c r="J77" s="32" t="n">
        <v>0.6899999999999999</v>
      </c>
      <c r="K77" s="32" t="n">
        <v>1027185</v>
      </c>
      <c r="L77" s="31" t="n">
        <v>95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83.26000000000001</v>
      </c>
      <c r="P77" s="32" t="n">
        <v>65.72</v>
      </c>
      <c r="Q77" s="32" t="n">
        <v>657.74</v>
      </c>
      <c r="R77" s="31" t="inlineStr">
        <is>
          <t>Near 52W High Breakout</t>
        </is>
      </c>
      <c r="S77" s="31" t="inlineStr">
        <is>
          <t>Nifty 50</t>
        </is>
      </c>
      <c r="T77" s="32" t="n">
        <v>-0.9</v>
      </c>
      <c r="U77" s="32" t="n">
        <v>194.58</v>
      </c>
      <c r="V77" s="32" t="n">
        <v>197.25</v>
      </c>
      <c r="W77" s="32" t="n">
        <v>38.78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Above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Between 0.7 to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IF(B78=0,"",RANK(B78,$B$2:$B$372,0))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KDDL</t>
        </is>
      </c>
      <c r="D78" s="31" t="inlineStr">
        <is>
          <t>Kddl Limited</t>
        </is>
      </c>
      <c r="E78" s="31" t="inlineStr">
        <is>
          <t>consumer discretionary</t>
        </is>
      </c>
      <c r="F78" s="31" t="inlineStr">
        <is>
          <t>miscellaneous</t>
        </is>
      </c>
      <c r="G78" s="31" t="inlineStr">
        <is>
          <t>smallcap</t>
        </is>
      </c>
      <c r="H78" s="32" t="n">
        <v>4826.98</v>
      </c>
      <c r="I78" s="32" t="n">
        <v>3941.1</v>
      </c>
      <c r="J78" s="32" t="n">
        <v>0.42</v>
      </c>
      <c r="K78" s="32" t="n">
        <v>41469</v>
      </c>
      <c r="L78" s="31" t="n">
        <v>71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75.63</v>
      </c>
      <c r="P78" s="32" t="n">
        <v>44.5</v>
      </c>
      <c r="Q78" s="32" t="n">
        <v>3048</v>
      </c>
      <c r="R78" s="31" t="inlineStr">
        <is>
          <t>Near 52W High Breakout</t>
        </is>
      </c>
      <c r="S78" s="31" t="inlineStr">
        <is>
          <t>Nifty 50</t>
        </is>
      </c>
      <c r="T78" s="32" t="n">
        <v>-0.9</v>
      </c>
      <c r="U78" s="32" t="n">
        <v>66.62</v>
      </c>
      <c r="V78" s="32" t="n">
        <v>68.13</v>
      </c>
      <c r="W78" s="32" t="n">
        <v>20.18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Above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IF(B79=0,"",RANK(B79,$B$2:$B$372,0))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WELSPUNLIV</t>
        </is>
      </c>
      <c r="D79" s="31" t="inlineStr">
        <is>
          <t>Welspun Living Ltd</t>
        </is>
      </c>
      <c r="E79" s="31" t="inlineStr">
        <is>
          <t>textiles</t>
        </is>
      </c>
      <c r="F79" s="31" t="inlineStr">
        <is>
          <t>textiles - products</t>
        </is>
      </c>
      <c r="G79" s="31" t="inlineStr">
        <is>
          <t>midcap</t>
        </is>
      </c>
      <c r="H79" s="32" t="n">
        <v>17978.64</v>
      </c>
      <c r="I79" s="32" t="n">
        <v>190.63</v>
      </c>
      <c r="J79" s="32" t="n">
        <v>0.17</v>
      </c>
      <c r="K79" s="32" t="n">
        <v>2880382</v>
      </c>
      <c r="L79" s="31" t="n">
        <v>73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73.98</v>
      </c>
      <c r="P79" s="32" t="n">
        <v>36.24</v>
      </c>
      <c r="Q79" s="32" t="n">
        <v>150.51</v>
      </c>
      <c r="R79" s="31" t="inlineStr">
        <is>
          <t>Near 52W High Breakout</t>
        </is>
      </c>
      <c r="S79" s="31" t="inlineStr">
        <is>
          <t>Nifty 50</t>
        </is>
      </c>
      <c r="T79" s="32" t="n">
        <v>-0.9</v>
      </c>
      <c r="U79" s="32" t="n">
        <v>74.48</v>
      </c>
      <c r="V79" s="32" t="n">
        <v>76.06</v>
      </c>
      <c r="W79" s="32" t="n">
        <v>21.39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IF(B80=0,"",RANK(B80,$B$2:$B$372,0))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ADANIENT</t>
        </is>
      </c>
      <c r="D80" s="31" t="inlineStr">
        <is>
          <t>Adani Enterprises Limited</t>
        </is>
      </c>
      <c r="E80" s="31" t="inlineStr">
        <is>
          <t>services</t>
        </is>
      </c>
      <c r="F80" s="31" t="inlineStr">
        <is>
          <t>trading</t>
        </is>
      </c>
      <c r="G80" s="31" t="inlineStr">
        <is>
          <t>largecap</t>
        </is>
      </c>
      <c r="H80" s="32" t="n">
        <v>421007.73</v>
      </c>
      <c r="I80" s="32" t="n">
        <v>3112</v>
      </c>
      <c r="J80" s="32" t="n">
        <v>0.06</v>
      </c>
      <c r="K80" s="32" t="n">
        <v>2042055</v>
      </c>
      <c r="L80" s="31" t="n">
        <v>33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66.17</v>
      </c>
      <c r="P80" s="32" t="n">
        <v>43.48</v>
      </c>
      <c r="Q80" s="32" t="n">
        <v>2718.47</v>
      </c>
      <c r="R80" s="31" t="inlineStr">
        <is>
          <t>Near 52W High Breakout</t>
        </is>
      </c>
      <c r="S80" s="31" t="inlineStr">
        <is>
          <t>Nifty 50</t>
        </is>
      </c>
      <c r="T80" s="32" t="n">
        <v>-0.9</v>
      </c>
      <c r="U80" s="32" t="n">
        <v>38.7</v>
      </c>
      <c r="V80" s="32" t="n">
        <v>39.96</v>
      </c>
      <c r="W80" s="32" t="n">
        <v>8.85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Between 0.7 to 1.2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IF(B81=0,"",RANK(B81,$B$2:$B$372,0))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UNIVCABLES</t>
        </is>
      </c>
      <c r="D81" s="31" t="inlineStr">
        <is>
          <t>Universal Cables Limited</t>
        </is>
      </c>
      <c r="E81" s="31" t="inlineStr">
        <is>
          <t>industrials</t>
        </is>
      </c>
      <c r="F81" s="31" t="inlineStr">
        <is>
          <t>cables - power</t>
        </is>
      </c>
      <c r="G81" s="31" t="inlineStr">
        <is>
          <t>midcap</t>
        </is>
      </c>
      <c r="H81" s="32" t="n">
        <v>5516.22</v>
      </c>
      <c r="I81" s="32" t="n">
        <v>1578</v>
      </c>
      <c r="J81" s="32" t="n">
        <v>-0.75</v>
      </c>
      <c r="K81" s="32" t="n">
        <v>85123</v>
      </c>
      <c r="L81" s="31" t="inlineStr"/>
      <c r="M81" s="31" t="inlineStr"/>
      <c r="N81" s="32">
        <f>IF(M81="Underperforming",-5,IF(L81&gt;=95,15,IF(L81&gt;=90,10,IF(L81&gt;=80,5,0))))</f>
        <v/>
      </c>
      <c r="O81" s="32" t="n">
        <v>72.12</v>
      </c>
      <c r="P81" s="32" t="n">
        <v>60.18</v>
      </c>
      <c r="Q81" s="32" t="n">
        <v>1166.36</v>
      </c>
      <c r="R81" s="31" t="inlineStr">
        <is>
          <t>Near 52W High Breakout</t>
        </is>
      </c>
      <c r="S81" s="31" t="inlineStr">
        <is>
          <t>Nifty Energy</t>
        </is>
      </c>
      <c r="T81" s="32" t="inlineStr"/>
      <c r="U81" s="32" t="inlineStr"/>
      <c r="V81" s="32" t="inlineStr"/>
      <c r="W81" s="32" t="inlineStr"/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IF(B82=0,"",RANK(B82,$B$2:$B$372,0))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MODISONLTD</t>
        </is>
      </c>
      <c r="D82" s="31" t="inlineStr">
        <is>
          <t>Modison Ltd</t>
        </is>
      </c>
      <c r="E82" s="31" t="inlineStr">
        <is>
          <t>industrials</t>
        </is>
      </c>
      <c r="F82" s="31" t="inlineStr">
        <is>
          <t>electric equipment</t>
        </is>
      </c>
      <c r="G82" s="31" t="inlineStr">
        <is>
          <t>smallcap</t>
        </is>
      </c>
      <c r="H82" s="32" t="n">
        <v>1346.19</v>
      </c>
      <c r="I82" s="32" t="n">
        <v>411.6</v>
      </c>
      <c r="J82" s="32" t="n">
        <v>-0.78</v>
      </c>
      <c r="K82" s="32" t="n">
        <v>108441</v>
      </c>
      <c r="L82" s="31" t="n">
        <v>94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76.65000000000001</v>
      </c>
      <c r="P82" s="32" t="n">
        <v>59.82</v>
      </c>
      <c r="Q82" s="32" t="n">
        <v>302.9</v>
      </c>
      <c r="R82" s="31" t="inlineStr">
        <is>
          <t>Near 52W High Breakout</t>
        </is>
      </c>
      <c r="S82" s="31" t="inlineStr">
        <is>
          <t>Nifty 50</t>
        </is>
      </c>
      <c r="T82" s="32" t="n">
        <v>-0.9</v>
      </c>
      <c r="U82" s="32" t="n">
        <v>174.77</v>
      </c>
      <c r="V82" s="32" t="n">
        <v>177.26</v>
      </c>
      <c r="W82" s="32" t="n">
        <v>38.04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Above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IF(B83=0,"",RANK(B83,$B$2:$B$372,0))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IDEA</t>
        </is>
      </c>
      <c r="D83" s="31" t="inlineStr">
        <is>
          <t>Vodafone Idea Ltd</t>
        </is>
      </c>
      <c r="E83" s="31" t="inlineStr">
        <is>
          <t>telecom-service</t>
        </is>
      </c>
      <c r="F83" s="31" t="inlineStr">
        <is>
          <t>telecommunications - service provider</t>
        </is>
      </c>
      <c r="G83" s="31" t="inlineStr">
        <is>
          <t>largecap</t>
        </is>
      </c>
      <c r="H83" s="32" t="n">
        <v>164573.07</v>
      </c>
      <c r="I83" s="32" t="n">
        <v>15.06</v>
      </c>
      <c r="J83" s="32" t="n">
        <v>-0.86</v>
      </c>
      <c r="K83" s="32" t="n">
        <v>479444444</v>
      </c>
      <c r="L83" s="31" t="n">
        <v>74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66.41</v>
      </c>
      <c r="P83" s="32" t="n">
        <v>34.97</v>
      </c>
      <c r="Q83" s="32" t="n">
        <v>12.03</v>
      </c>
      <c r="R83" s="31" t="inlineStr">
        <is>
          <t>Near 52W High Breakout</t>
        </is>
      </c>
      <c r="S83" s="31" t="inlineStr">
        <is>
          <t>Nifty 500</t>
        </is>
      </c>
      <c r="T83" s="32" t="n">
        <v>4.88</v>
      </c>
      <c r="U83" s="32" t="n">
        <v>132.05</v>
      </c>
      <c r="V83" s="32" t="n">
        <v>121.25</v>
      </c>
      <c r="W83" s="32" t="n">
        <v>21.44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Oligopoly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Yes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IF(B84=0,"",RANK(B84,$B$2:$B$372,0))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KRBL</t>
        </is>
      </c>
      <c r="D84" s="31" t="inlineStr">
        <is>
          <t>Krbl Limited</t>
        </is>
      </c>
      <c r="E84" s="31" t="inlineStr">
        <is>
          <t>fmcg</t>
        </is>
      </c>
      <c r="F84" s="31" t="inlineStr">
        <is>
          <t>food - processing - indian</t>
        </is>
      </c>
      <c r="G84" s="31" t="inlineStr">
        <is>
          <t>midcap</t>
        </is>
      </c>
      <c r="H84" s="32" t="n">
        <v>9682.040000000001</v>
      </c>
      <c r="I84" s="32" t="n">
        <v>447.4</v>
      </c>
      <c r="J84" s="32" t="n">
        <v>5.77</v>
      </c>
      <c r="K84" s="32" t="n">
        <v>3189968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70.45999999999999</v>
      </c>
      <c r="P84" s="32" t="n">
        <v>10.07</v>
      </c>
      <c r="Q84" s="32" t="n">
        <v>362.21</v>
      </c>
      <c r="R84" s="31" t="inlineStr">
        <is>
          <t>Volume Spike &amp; Near 52W High Breakout</t>
        </is>
      </c>
      <c r="S84" s="31" t="inlineStr">
        <is>
          <t>Nifty FMCG</t>
        </is>
      </c>
      <c r="T84" s="32" t="inlineStr"/>
      <c r="U84" s="32" t="inlineStr"/>
      <c r="V84" s="32" t="inlineStr"/>
      <c r="W84" s="32" t="inlineStr"/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B2C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Annuity, Lower One Time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0 to 20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IF(B85=0,"",RANK(B85,$B$2:$B$372,0))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E2E</t>
        </is>
      </c>
      <c r="D85" s="31" t="inlineStr">
        <is>
          <t>E2E Networks Ltd</t>
        </is>
      </c>
      <c r="E85" s="31" t="inlineStr">
        <is>
          <t>i.t</t>
        </is>
      </c>
      <c r="F85" s="31" t="inlineStr">
        <is>
          <t>computers - software - medium / small</t>
        </is>
      </c>
      <c r="G85" s="31" t="inlineStr">
        <is>
          <t>midcap</t>
        </is>
      </c>
      <c r="H85" s="32" t="n">
        <v>12258.86</v>
      </c>
      <c r="I85" s="32" t="n">
        <v>617</v>
      </c>
      <c r="J85" s="32" t="n">
        <v>3.46</v>
      </c>
      <c r="K85" s="32" t="n">
        <v>755777</v>
      </c>
      <c r="L85" s="31" t="n">
        <v>93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71.23999999999999</v>
      </c>
      <c r="P85" s="32" t="n">
        <v>51.15</v>
      </c>
      <c r="Q85" s="32" t="n">
        <v>476.45</v>
      </c>
      <c r="R85" s="31" t="inlineStr">
        <is>
          <t>Earnings / Momentum Support</t>
        </is>
      </c>
      <c r="S85" s="31" t="inlineStr">
        <is>
          <t>Nifty IT</t>
        </is>
      </c>
      <c r="T85" s="32" t="n">
        <v>-13.82</v>
      </c>
      <c r="U85" s="32" t="n">
        <v>167.11</v>
      </c>
      <c r="V85" s="32" t="n">
        <v>209.95</v>
      </c>
      <c r="W85" s="32" t="n">
        <v>35.47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IF(B86=0,"",RANK(B86,$B$2:$B$372,0))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ZIMLAB</t>
        </is>
      </c>
      <c r="D86" s="31" t="inlineStr">
        <is>
          <t>Zim Laboratories Ltd</t>
        </is>
      </c>
      <c r="E86" s="31" t="inlineStr">
        <is>
          <t>healthcare</t>
        </is>
      </c>
      <c r="F86" s="31" t="inlineStr">
        <is>
          <t>pharmaceuticals - indian - bulk drugs &amp; formln</t>
        </is>
      </c>
      <c r="G86" s="31" t="inlineStr">
        <is>
          <t>smallcap</t>
        </is>
      </c>
      <c r="H86" s="32" t="n">
        <v>668.29</v>
      </c>
      <c r="I86" s="32" t="n">
        <v>127</v>
      </c>
      <c r="J86" s="32" t="n">
        <v>1.76</v>
      </c>
      <c r="K86" s="32" t="n">
        <v>150331</v>
      </c>
      <c r="L86" s="31" t="n">
        <v>65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67.05</v>
      </c>
      <c r="P86" s="32" t="n">
        <v>61.34</v>
      </c>
      <c r="Q86" s="32" t="n">
        <v>92.44</v>
      </c>
      <c r="R86" s="31" t="inlineStr">
        <is>
          <t>Near 52W High Breakout</t>
        </is>
      </c>
      <c r="S86" s="31" t="inlineStr">
        <is>
          <t>Nifty Pharma</t>
        </is>
      </c>
      <c r="T86" s="32" t="n">
        <v>22.12</v>
      </c>
      <c r="U86" s="32" t="n">
        <v>67.64</v>
      </c>
      <c r="V86" s="32" t="n">
        <v>37.28</v>
      </c>
      <c r="W86" s="32" t="n">
        <v>17.23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Annuity, Lower One Time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IF(B87=0,"",RANK(B87,$B$2:$B$372,0))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BLISSGVS</t>
        </is>
      </c>
      <c r="D87" s="31" t="inlineStr">
        <is>
          <t>Bliss Gvs Pharma Limited</t>
        </is>
      </c>
      <c r="E87" s="31" t="inlineStr">
        <is>
          <t>healthcare</t>
        </is>
      </c>
      <c r="F87" s="31" t="inlineStr">
        <is>
          <t>pharmaceuticals - indian - formulations</t>
        </is>
      </c>
      <c r="G87" s="31" t="inlineStr">
        <is>
          <t>midcap</t>
        </is>
      </c>
      <c r="H87" s="32" t="n">
        <v>5955.06</v>
      </c>
      <c r="I87" s="32" t="n">
        <v>570.5</v>
      </c>
      <c r="J87" s="32" t="n">
        <v>1.6</v>
      </c>
      <c r="K87" s="32" t="n">
        <v>277958</v>
      </c>
      <c r="L87" s="31" t="n">
        <v>96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80.02</v>
      </c>
      <c r="P87" s="32" t="n">
        <v>75.42</v>
      </c>
      <c r="Q87" s="32" t="n">
        <v>436.75</v>
      </c>
      <c r="R87" s="31" t="inlineStr">
        <is>
          <t>Near 52W High Breakout</t>
        </is>
      </c>
      <c r="S87" s="31" t="inlineStr">
        <is>
          <t>Nifty Pharma</t>
        </is>
      </c>
      <c r="T87" s="32" t="n">
        <v>22.12</v>
      </c>
      <c r="U87" s="32" t="n">
        <v>267.92</v>
      </c>
      <c r="V87" s="32" t="n">
        <v>201.29</v>
      </c>
      <c r="W87" s="32" t="n">
        <v>40.8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Annuity, Lower One Time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Above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Between 12 to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IF(B88=0,"",RANK(B88,$B$2:$B$372,0))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VENKEYS</t>
        </is>
      </c>
      <c r="D88" s="31" t="inlineStr">
        <is>
          <t>Venky's (india) Limited</t>
        </is>
      </c>
      <c r="E88" s="31" t="inlineStr">
        <is>
          <t>fmcg</t>
        </is>
      </c>
      <c r="F88" s="31" t="inlineStr">
        <is>
          <t>miscellaneous</t>
        </is>
      </c>
      <c r="G88" s="31" t="inlineStr">
        <is>
          <t>smallcap</t>
        </is>
      </c>
      <c r="H88" s="32" t="n">
        <v>2222.14</v>
      </c>
      <c r="I88" s="32" t="n">
        <v>1597</v>
      </c>
      <c r="J88" s="32" t="n">
        <v>1.24</v>
      </c>
      <c r="K88" s="32" t="n">
        <v>80177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58.54</v>
      </c>
      <c r="P88" s="32" t="n">
        <v>37.03</v>
      </c>
      <c r="Q88" s="32" t="n">
        <v>1261.08</v>
      </c>
      <c r="R88" s="31" t="inlineStr">
        <is>
          <t>Near 52W High Breakout</t>
        </is>
      </c>
      <c r="S88" s="31" t="inlineStr">
        <is>
          <t>Nifty FMCG</t>
        </is>
      </c>
      <c r="T88" s="32" t="inlineStr"/>
      <c r="U88" s="32" t="inlineStr"/>
      <c r="V88" s="32" t="inlineStr"/>
      <c r="W88" s="32" t="inlineStr"/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B2C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Annuity, Lower One Time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IF(B89=0,"",RANK(B89,$B$2:$B$372,0))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CUPID</t>
        </is>
      </c>
      <c r="D89" s="31" t="inlineStr">
        <is>
          <t>Cupid Limited</t>
        </is>
      </c>
      <c r="E89" s="31" t="inlineStr">
        <is>
          <t>fmcg</t>
        </is>
      </c>
      <c r="F89" s="31" t="inlineStr">
        <is>
          <t>personal care - indian</t>
        </is>
      </c>
      <c r="G89" s="31" t="inlineStr">
        <is>
          <t>largecap</t>
        </is>
      </c>
      <c r="H89" s="32" t="n">
        <v>37887.16</v>
      </c>
      <c r="I89" s="32" t="n">
        <v>283.99</v>
      </c>
      <c r="J89" s="32" t="n">
        <v>0.79</v>
      </c>
      <c r="K89" s="32" t="n">
        <v>23578104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87.70999999999999</v>
      </c>
      <c r="P89" s="32" t="n">
        <v>72.64</v>
      </c>
      <c r="Q89" s="32" t="n">
        <v>229.26</v>
      </c>
      <c r="R89" s="31" t="inlineStr">
        <is>
          <t>Near 52W High Breakout</t>
        </is>
      </c>
      <c r="S89" s="31" t="inlineStr">
        <is>
          <t>Nifty FMCG</t>
        </is>
      </c>
      <c r="T89" s="32" t="inlineStr"/>
      <c r="U89" s="32" t="inlineStr"/>
      <c r="V89" s="32" t="inlineStr"/>
      <c r="W89" s="32" t="inlineStr"/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B2C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Annuity, Lower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IF(B90=0,"",RANK(B90,$B$2:$B$372,0))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SHILPAMED</t>
        </is>
      </c>
      <c r="D90" s="31" t="inlineStr">
        <is>
          <t>Shilpa Medicare Limited</t>
        </is>
      </c>
      <c r="E90" s="31" t="inlineStr">
        <is>
          <t>healthcare</t>
        </is>
      </c>
      <c r="F90" s="31" t="inlineStr">
        <is>
          <t>pharmaceuticals - indian - formulations</t>
        </is>
      </c>
      <c r="G90" s="31" t="inlineStr">
        <is>
          <t>midcap</t>
        </is>
      </c>
      <c r="H90" s="32" t="n">
        <v>16850.35</v>
      </c>
      <c r="I90" s="32" t="n">
        <v>860.75</v>
      </c>
      <c r="J90" s="32" t="n">
        <v>-0.09</v>
      </c>
      <c r="K90" s="32" t="n">
        <v>869228</v>
      </c>
      <c r="L90" s="31" t="n">
        <v>93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89.14</v>
      </c>
      <c r="P90" s="32" t="n">
        <v>76.16</v>
      </c>
      <c r="Q90" s="32" t="n">
        <v>704.7</v>
      </c>
      <c r="R90" s="31" t="inlineStr">
        <is>
          <t>Near 52W High Breakout</t>
        </is>
      </c>
      <c r="S90" s="31" t="inlineStr">
        <is>
          <t>Nifty Pharma</t>
        </is>
      </c>
      <c r="T90" s="32" t="n">
        <v>22.12</v>
      </c>
      <c r="U90" s="32" t="n">
        <v>103.67</v>
      </c>
      <c r="V90" s="32" t="n">
        <v>66.79000000000001</v>
      </c>
      <c r="W90" s="32" t="n">
        <v>34.52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Yes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IF(B91=0,"",RANK(B91,$B$2:$B$372,0))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VIJAYA</t>
        </is>
      </c>
      <c r="D91" s="31" t="inlineStr">
        <is>
          <t>Vijaya Diagnostic Centre Ltd</t>
        </is>
      </c>
      <c r="E91" s="31" t="inlineStr">
        <is>
          <t>healthcare</t>
        </is>
      </c>
      <c r="F91" s="31" t="inlineStr">
        <is>
          <t>healthcare</t>
        </is>
      </c>
      <c r="G91" s="31" t="inlineStr">
        <is>
          <t>midcap</t>
        </is>
      </c>
      <c r="H91" s="32" t="n">
        <v>15263.7</v>
      </c>
      <c r="I91" s="32" t="n">
        <v>1475.9</v>
      </c>
      <c r="J91" s="32" t="n">
        <v>-0.51</v>
      </c>
      <c r="K91" s="32" t="n">
        <v>101370</v>
      </c>
      <c r="L91" s="31" t="n">
        <v>43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67.45</v>
      </c>
      <c r="P91" s="32" t="n">
        <v>58.53</v>
      </c>
      <c r="Q91" s="32" t="n">
        <v>1201.91</v>
      </c>
      <c r="R91" s="31" t="inlineStr">
        <is>
          <t>Near 52W High Breakout</t>
        </is>
      </c>
      <c r="S91" s="31" t="inlineStr">
        <is>
          <t>Nifty Pharma</t>
        </is>
      </c>
      <c r="T91" s="32" t="n">
        <v>22.12</v>
      </c>
      <c r="U91" s="32" t="n">
        <v>46.14</v>
      </c>
      <c r="V91" s="32" t="n">
        <v>19.67</v>
      </c>
      <c r="W91" s="32" t="n">
        <v>11.01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IF(B92=0,"",RANK(B92,$B$2:$B$372,0))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RPEL</t>
        </is>
      </c>
      <c r="D92" s="31" t="inlineStr">
        <is>
          <t>Raghav Productivity Enhancers Ltd</t>
        </is>
      </c>
      <c r="E92" s="31" t="inlineStr">
        <is>
          <t>building materials</t>
        </is>
      </c>
      <c r="F92" s="31" t="inlineStr">
        <is>
          <t>refractories / intermediates</t>
        </is>
      </c>
      <c r="G92" s="31" t="inlineStr">
        <is>
          <t>midcap</t>
        </is>
      </c>
      <c r="H92" s="32" t="n">
        <v>7361.75</v>
      </c>
      <c r="I92" s="32" t="n">
        <v>1736.7</v>
      </c>
      <c r="J92" s="32" t="n">
        <v>8.33</v>
      </c>
      <c r="K92" s="32" t="n">
        <v>163910</v>
      </c>
      <c r="L92" s="31" t="inlineStr"/>
      <c r="M92" s="31" t="inlineStr"/>
      <c r="N92" s="32">
        <f>IF(M92="Underperforming",-5,IF(L92&gt;=95,15,IF(L92&gt;=90,10,IF(L92&gt;=80,5,0))))</f>
        <v/>
      </c>
      <c r="O92" s="32" t="n">
        <v>83.44</v>
      </c>
      <c r="P92" s="32" t="n">
        <v>59.38</v>
      </c>
      <c r="Q92" s="32" t="n">
        <v>1367.56</v>
      </c>
      <c r="R92" s="31" t="inlineStr">
        <is>
          <t>Near 52W High Breakout</t>
        </is>
      </c>
      <c r="S92" s="31" t="inlineStr">
        <is>
          <t>Nifty Infra</t>
        </is>
      </c>
      <c r="T92" s="32" t="inlineStr"/>
      <c r="U92" s="32" t="inlineStr"/>
      <c r="V92" s="32" t="inlineStr"/>
      <c r="W92" s="32" t="inlineStr"/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Between 1.5 to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IF(B93=0,"",RANK(B93,$B$2:$B$372,0))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DYCL</t>
        </is>
      </c>
      <c r="D93" s="31" t="inlineStr">
        <is>
          <t>Dynamic Cables Ltd</t>
        </is>
      </c>
      <c r="E93" s="31" t="inlineStr">
        <is>
          <t>industrials</t>
        </is>
      </c>
      <c r="F93" s="31" t="inlineStr">
        <is>
          <t>cables - power</t>
        </is>
      </c>
      <c r="G93" s="31" t="inlineStr">
        <is>
          <t>smallcap</t>
        </is>
      </c>
      <c r="H93" s="32" t="n">
        <v>2075.24</v>
      </c>
      <c r="I93" s="32" t="n">
        <v>458.9</v>
      </c>
      <c r="J93" s="32" t="n">
        <v>7.16</v>
      </c>
      <c r="K93" s="32" t="n">
        <v>762644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67.89</v>
      </c>
      <c r="P93" s="32" t="n">
        <v>28.08</v>
      </c>
      <c r="Q93" s="32" t="n">
        <v>326.47</v>
      </c>
      <c r="R93" s="31" t="inlineStr">
        <is>
          <t>Near 52W High Breakout</t>
        </is>
      </c>
      <c r="S93" s="31" t="inlineStr">
        <is>
          <t>Nifty Energy</t>
        </is>
      </c>
      <c r="T93" s="32" t="inlineStr"/>
      <c r="U93" s="32" t="inlineStr"/>
      <c r="V93" s="32" t="inlineStr"/>
      <c r="W93" s="32" t="inlineStr"/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Less than 1.5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IF(B94=0,"",RANK(B94,$B$2:$B$372,0))</f>
        <v/>
      </c>
      <c r="B94" s="32">
        <f>SUM(N94,Y94,AA94,AC94,AE94,AG94,AI94,AK94,AM94,AO94,AQ94,AS94,AU94,AW94,AY94,BA94,BC94,BE94,BG94,BI94,BK94,BM94,BO94,BQ94,BS94,BU94,BW94,BY94,CA94,CC94,CE94)</f>
        <v/>
      </c>
      <c r="C94" s="33" t="inlineStr">
        <is>
          <t>KRYSTAL</t>
        </is>
      </c>
      <c r="D94" s="33" t="inlineStr">
        <is>
          <t>Krystal Integrated Services Ltd</t>
        </is>
      </c>
      <c r="E94" s="31" t="inlineStr">
        <is>
          <t>miscellaneous</t>
        </is>
      </c>
      <c r="F94" s="31" t="inlineStr">
        <is>
          <t>miscellaneous</t>
        </is>
      </c>
      <c r="G94" s="31" t="inlineStr">
        <is>
          <t>smallcap</t>
        </is>
      </c>
      <c r="H94" s="32" t="n">
        <v>867.73</v>
      </c>
      <c r="I94" s="32" t="n">
        <v>652.45</v>
      </c>
      <c r="J94" s="32" t="n">
        <v>5.06</v>
      </c>
      <c r="K94" s="32" t="n">
        <v>104162</v>
      </c>
      <c r="L94" s="31" t="n">
        <v>9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65.67</v>
      </c>
      <c r="P94" s="32" t="n">
        <v>30.6</v>
      </c>
      <c r="Q94" s="32" t="n">
        <v>551.83</v>
      </c>
      <c r="R94" s="31" t="inlineStr">
        <is>
          <t>Near 52W High Breakout</t>
        </is>
      </c>
      <c r="S94" s="31" t="inlineStr">
        <is>
          <t>Nifty 50</t>
        </is>
      </c>
      <c r="T94" s="32" t="n">
        <v>-0.9</v>
      </c>
      <c r="U94" s="32" t="n">
        <v>-1.14</v>
      </c>
      <c r="V94" s="32" t="n">
        <v>-0.25</v>
      </c>
      <c r="W94" s="32" t="n">
        <v>3.04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IF(B95=0,"",RANK(B95,$B$2:$B$372,0))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NILKAMAL</t>
        </is>
      </c>
      <c r="D95" s="31" t="inlineStr">
        <is>
          <t>Nilkamal Limited</t>
        </is>
      </c>
      <c r="E95" s="31" t="inlineStr">
        <is>
          <t>plastic products</t>
        </is>
      </c>
      <c r="F95" s="31" t="inlineStr">
        <is>
          <t>plastics products</t>
        </is>
      </c>
      <c r="G95" s="31" t="inlineStr">
        <is>
          <t>smallcap</t>
        </is>
      </c>
      <c r="H95" s="32" t="n">
        <v>3008.23</v>
      </c>
      <c r="I95" s="32" t="n">
        <v>2096.8</v>
      </c>
      <c r="J95" s="32" t="n">
        <v>4.01</v>
      </c>
      <c r="K95" s="32" t="n">
        <v>69877</v>
      </c>
      <c r="L95" s="31" t="n">
        <v>78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82.52</v>
      </c>
      <c r="P95" s="32" t="n">
        <v>38.67</v>
      </c>
      <c r="Q95" s="32" t="n">
        <v>1674.91</v>
      </c>
      <c r="R95" s="31" t="inlineStr">
        <is>
          <t>Near 52W High Breakout</t>
        </is>
      </c>
      <c r="S95" s="31" t="inlineStr">
        <is>
          <t>Nifty 50</t>
        </is>
      </c>
      <c r="T95" s="32" t="n">
        <v>-0.9</v>
      </c>
      <c r="U95" s="32" t="n">
        <v>36.57</v>
      </c>
      <c r="V95" s="32" t="n">
        <v>37.81</v>
      </c>
      <c r="W95" s="32" t="n">
        <v>22.78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IF(B96=0,"",RANK(B96,$B$2:$B$372,0))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ATHERENERG</t>
        </is>
      </c>
      <c r="D96" s="31" t="inlineStr">
        <is>
          <t>Ather Energy Ltd</t>
        </is>
      </c>
      <c r="E96" s="31" t="inlineStr">
        <is>
          <t>auto</t>
        </is>
      </c>
      <c r="F96" s="31" t="inlineStr">
        <is>
          <t>automobiles - scooters and 3 - wheelers</t>
        </is>
      </c>
      <c r="G96" s="31" t="inlineStr">
        <is>
          <t>largecap</t>
        </is>
      </c>
      <c r="H96" s="32" t="n">
        <v>56730.4</v>
      </c>
      <c r="I96" s="32" t="n">
        <v>1494.6</v>
      </c>
      <c r="J96" s="32" t="n">
        <v>3.83</v>
      </c>
      <c r="K96" s="32" t="n">
        <v>8791740</v>
      </c>
      <c r="L96" s="31" t="inlineStr"/>
      <c r="M96" s="31" t="inlineStr"/>
      <c r="N96" s="32">
        <f>IF(M96="Underperforming",-5,IF(L96&gt;=95,15,IF(L96&gt;=90,10,IF(L96&gt;=80,5,0))))</f>
        <v/>
      </c>
      <c r="O96" s="32" t="n">
        <v>76.95999999999999</v>
      </c>
      <c r="P96" s="32" t="n">
        <v>63.55</v>
      </c>
      <c r="Q96" s="32" t="n">
        <v>1181.4</v>
      </c>
      <c r="R96" s="31" t="inlineStr">
        <is>
          <t>Near 52W High Breakout</t>
        </is>
      </c>
      <c r="S96" s="31" t="inlineStr">
        <is>
          <t>Nifty Auto</t>
        </is>
      </c>
      <c r="T96" s="32" t="inlineStr"/>
      <c r="U96" s="32" t="inlineStr"/>
      <c r="V96" s="32" t="inlineStr"/>
      <c r="W96" s="32" t="inlineStr"/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IF(B97=0,"",RANK(B97,$B$2:$B$372,0))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FCL</t>
        </is>
      </c>
      <c r="D97" s="31" t="inlineStr">
        <is>
          <t>Fineotex Chemical Limited</t>
        </is>
      </c>
      <c r="E97" s="31" t="inlineStr">
        <is>
          <t>chemicals</t>
        </is>
      </c>
      <c r="F97" s="31" t="inlineStr">
        <is>
          <t>chemicals</t>
        </is>
      </c>
      <c r="G97" s="31" t="inlineStr">
        <is>
          <t>midcap</t>
        </is>
      </c>
      <c r="H97" s="32" t="n">
        <v>5680.44</v>
      </c>
      <c r="I97" s="32" t="n">
        <v>50.58</v>
      </c>
      <c r="J97" s="32" t="n">
        <v>3.69</v>
      </c>
      <c r="K97" s="32" t="n">
        <v>22491958</v>
      </c>
      <c r="L97" s="31" t="n">
        <v>82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76.13</v>
      </c>
      <c r="P97" s="32" t="n">
        <v>50.05</v>
      </c>
      <c r="Q97" s="32" t="n">
        <v>37.59</v>
      </c>
      <c r="R97" s="31" t="inlineStr">
        <is>
          <t>Near 52W High Breakout</t>
        </is>
      </c>
      <c r="S97" s="31" t="inlineStr">
        <is>
          <t>Nifty 50</t>
        </is>
      </c>
      <c r="T97" s="32" t="n">
        <v>-0.9</v>
      </c>
      <c r="U97" s="32" t="n">
        <v>113.16</v>
      </c>
      <c r="V97" s="32" t="n">
        <v>115.09</v>
      </c>
      <c r="W97" s="32" t="n">
        <v>24.44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No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One Time, Lower Annuity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Above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Blue sky scenario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IF(B98=0,"",RANK(B98,$B$2:$B$372,0))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FINCABLES</t>
        </is>
      </c>
      <c r="D98" s="31" t="inlineStr">
        <is>
          <t>Finolex Cables Limited</t>
        </is>
      </c>
      <c r="E98" s="31" t="inlineStr">
        <is>
          <t>industrials</t>
        </is>
      </c>
      <c r="F98" s="31" t="inlineStr">
        <is>
          <t>cables - power</t>
        </is>
      </c>
      <c r="G98" s="31" t="inlineStr">
        <is>
          <t>midcap</t>
        </is>
      </c>
      <c r="H98" s="32" t="n">
        <v>19268.06</v>
      </c>
      <c r="I98" s="32" t="n">
        <v>1286.35</v>
      </c>
      <c r="J98" s="32" t="n">
        <v>2.1</v>
      </c>
      <c r="K98" s="32" t="n">
        <v>530477</v>
      </c>
      <c r="L98" s="31" t="inlineStr"/>
      <c r="M98" s="31" t="inlineStr"/>
      <c r="N98" s="32">
        <f>IF(M98="Underperforming",-5,IF(L98&gt;=95,15,IF(L98&gt;=90,10,IF(L98&gt;=80,5,0))))</f>
        <v/>
      </c>
      <c r="O98" s="32" t="n">
        <v>67.67</v>
      </c>
      <c r="P98" s="32" t="n">
        <v>35.58</v>
      </c>
      <c r="Q98" s="32" t="n">
        <v>975.33</v>
      </c>
      <c r="R98" s="31" t="inlineStr">
        <is>
          <t>Near 52W High Breakout</t>
        </is>
      </c>
      <c r="S98" s="31" t="inlineStr">
        <is>
          <t>Nifty Energy</t>
        </is>
      </c>
      <c r="T98" s="32" t="inlineStr"/>
      <c r="U98" s="32" t="inlineStr"/>
      <c r="V98" s="32" t="inlineStr"/>
      <c r="W98" s="32" t="inlineStr"/>
      <c r="X98" s="31" t="inlineStr">
        <is>
          <t>Cyclical in an Upturn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No</t>
        </is>
      </c>
      <c r="BS98" s="31">
        <f>IF(BR98="NO",5,0)</f>
        <v/>
      </c>
      <c r="BT98" s="31" t="inlineStr">
        <is>
          <t>Less than 1.5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IF(B99=0,"",RANK(B99,$B$2:$B$372,0))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AETHER</t>
        </is>
      </c>
      <c r="D99" s="31" t="inlineStr">
        <is>
          <t>Aether Industries Ltd</t>
        </is>
      </c>
      <c r="E99" s="31" t="inlineStr">
        <is>
          <t>chemicals</t>
        </is>
      </c>
      <c r="F99" s="31" t="inlineStr">
        <is>
          <t>chemicals</t>
        </is>
      </c>
      <c r="G99" s="31" t="inlineStr">
        <is>
          <t>largecap</t>
        </is>
      </c>
      <c r="H99" s="32" t="n">
        <v>21683.91</v>
      </c>
      <c r="I99" s="32" t="n">
        <v>1655</v>
      </c>
      <c r="J99" s="32" t="n">
        <v>1.29</v>
      </c>
      <c r="K99" s="32" t="n">
        <v>172282</v>
      </c>
      <c r="L99" s="31" t="n">
        <v>89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76.95999999999999</v>
      </c>
      <c r="P99" s="32" t="n">
        <v>51.6</v>
      </c>
      <c r="Q99" s="32" t="n">
        <v>1332.74</v>
      </c>
      <c r="R99" s="31" t="inlineStr">
        <is>
          <t>Near 52W High Breakout</t>
        </is>
      </c>
      <c r="S99" s="31" t="inlineStr">
        <is>
          <t>Nifty 50</t>
        </is>
      </c>
      <c r="T99" s="32" t="n">
        <v>-0.9</v>
      </c>
      <c r="U99" s="32" t="n">
        <v>124.83</v>
      </c>
      <c r="V99" s="32" t="n">
        <v>126.87</v>
      </c>
      <c r="W99" s="32" t="n">
        <v>28.89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Above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IF(B100=0,"",RANK(B100,$B$2:$B$372,0))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SANSERA</t>
        </is>
      </c>
      <c r="D100" s="31" t="inlineStr">
        <is>
          <t>Sansera Engineering Ltd</t>
        </is>
      </c>
      <c r="E100" s="31" t="inlineStr">
        <is>
          <t>auto</t>
        </is>
      </c>
      <c r="F100" s="31" t="inlineStr">
        <is>
          <t>auto ancillaries</t>
        </is>
      </c>
      <c r="G100" s="31" t="inlineStr">
        <is>
          <t>largecap</t>
        </is>
      </c>
      <c r="H100" s="32" t="n">
        <v>23654.07</v>
      </c>
      <c r="I100" s="32" t="n">
        <v>3836.6</v>
      </c>
      <c r="J100" s="32" t="n">
        <v>1.22</v>
      </c>
      <c r="K100" s="32" t="n">
        <v>171190</v>
      </c>
      <c r="L100" s="31" t="inlineStr"/>
      <c r="M100" s="31" t="inlineStr"/>
      <c r="N100" s="32">
        <f>IF(M100="Underperforming",-5,IF(L100&gt;=95,15,IF(L100&gt;=90,10,IF(L100&gt;=80,5,0))))</f>
        <v/>
      </c>
      <c r="O100" s="32" t="n">
        <v>78.97</v>
      </c>
      <c r="P100" s="32" t="n">
        <v>60.58</v>
      </c>
      <c r="Q100" s="32" t="n">
        <v>3169.11</v>
      </c>
      <c r="R100" s="31" t="inlineStr">
        <is>
          <t>Near 52W High Breakout</t>
        </is>
      </c>
      <c r="S100" s="31" t="inlineStr">
        <is>
          <t>Nifty Auto</t>
        </is>
      </c>
      <c r="T100" s="32" t="inlineStr"/>
      <c r="U100" s="32" t="inlineStr"/>
      <c r="V100" s="32" t="inlineStr"/>
      <c r="W100" s="32" t="inlineStr"/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Above 40</t>
        </is>
      </c>
      <c r="AY100" s="31">
        <f>IF(AX100="Above 40",20,IF(AX100="20 to 40",10,IF(AX100="0 to 20",-5,0)))</f>
        <v/>
      </c>
      <c r="AZ100" s="31" t="inlineStr">
        <is>
          <t>Above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Between 1.5 to 2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IF(B101=0,"",RANK(B101,$B$2:$B$372,0))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STEELCAS</t>
        </is>
      </c>
      <c r="D101" s="31" t="inlineStr">
        <is>
          <t>Steelcast Ltd</t>
        </is>
      </c>
      <c r="E101" s="31" t="inlineStr">
        <is>
          <t>industrials</t>
        </is>
      </c>
      <c r="F101" s="31" t="inlineStr">
        <is>
          <t>castings &amp; forgings</t>
        </is>
      </c>
      <c r="G101" s="31" t="inlineStr">
        <is>
          <t>smallcap</t>
        </is>
      </c>
      <c r="H101" s="32" t="n">
        <v>3430.17</v>
      </c>
      <c r="I101" s="32" t="n">
        <v>343</v>
      </c>
      <c r="J101" s="32" t="n">
        <v>1.19</v>
      </c>
      <c r="K101" s="32" t="n">
        <v>82313</v>
      </c>
      <c r="L101" s="31" t="inlineStr"/>
      <c r="M101" s="31" t="inlineStr"/>
      <c r="N101" s="32">
        <f>IF(M101="Underperforming",-5,IF(L101&gt;=95,15,IF(L101&gt;=90,10,IF(L101&gt;=80,5,0))))</f>
        <v/>
      </c>
      <c r="O101" s="32" t="n">
        <v>72.14</v>
      </c>
      <c r="P101" s="32" t="n">
        <v>43.28</v>
      </c>
      <c r="Q101" s="32" t="n">
        <v>273.52</v>
      </c>
      <c r="R101" s="31" t="inlineStr">
        <is>
          <t>Near 52W High Breakout</t>
        </is>
      </c>
      <c r="S101" s="31" t="inlineStr">
        <is>
          <t>Nifty Infra</t>
        </is>
      </c>
      <c r="T101" s="32" t="inlineStr"/>
      <c r="U101" s="32" t="inlineStr"/>
      <c r="V101" s="32" t="inlineStr"/>
      <c r="W101" s="32" t="inlineStr"/>
      <c r="X101" s="31" t="inlineStr">
        <is>
          <t>Cyclical in an Upturn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Between 12 to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IF(B102=0,"",RANK(B102,$B$2:$B$372,0))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GHCLTEXTIL</t>
        </is>
      </c>
      <c r="D102" s="31" t="inlineStr">
        <is>
          <t>GHCL Textiles Ltd</t>
        </is>
      </c>
      <c r="E102" s="31" t="inlineStr">
        <is>
          <t>textiles</t>
        </is>
      </c>
      <c r="F102" s="31" t="inlineStr">
        <is>
          <t>textiles - spinning - synthetic / blended</t>
        </is>
      </c>
      <c r="G102" s="31" t="inlineStr">
        <is>
          <t>smallcap</t>
        </is>
      </c>
      <c r="H102" s="32" t="n">
        <v>1200.56</v>
      </c>
      <c r="I102" s="32" t="n">
        <v>127.1</v>
      </c>
      <c r="J102" s="32" t="n">
        <v>1.19</v>
      </c>
      <c r="K102" s="32" t="n">
        <v>499156</v>
      </c>
      <c r="L102" s="31" t="n">
        <v>66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73.22</v>
      </c>
      <c r="P102" s="32" t="n">
        <v>39.78</v>
      </c>
      <c r="Q102" s="32" t="n">
        <v>98.09999999999999</v>
      </c>
      <c r="R102" s="31" t="inlineStr">
        <is>
          <t>Near 52W High Breakout</t>
        </is>
      </c>
      <c r="S102" s="31" t="inlineStr">
        <is>
          <t>Nifty 50</t>
        </is>
      </c>
      <c r="T102" s="32" t="n">
        <v>-0.9</v>
      </c>
      <c r="U102" s="32" t="n">
        <v>60.26</v>
      </c>
      <c r="V102" s="32" t="n">
        <v>61.71</v>
      </c>
      <c r="W102" s="32" t="n">
        <v>17.52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IF(B103=0,"",RANK(B103,$B$2:$B$372,0))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BIRLACABLE</t>
        </is>
      </c>
      <c r="D103" s="31" t="inlineStr">
        <is>
          <t>Birla Cable Limited</t>
        </is>
      </c>
      <c r="E103" s="31" t="inlineStr">
        <is>
          <t>industrials</t>
        </is>
      </c>
      <c r="F103" s="31" t="inlineStr">
        <is>
          <t>cables - telephone</t>
        </is>
      </c>
      <c r="G103" s="31" t="inlineStr">
        <is>
          <t>smallcap</t>
        </is>
      </c>
      <c r="H103" s="32" t="n">
        <v>798.33</v>
      </c>
      <c r="I103" s="32" t="n">
        <v>269</v>
      </c>
      <c r="J103" s="32" t="n">
        <v>1.09</v>
      </c>
      <c r="K103" s="32" t="n">
        <v>70876</v>
      </c>
      <c r="L103" s="31" t="inlineStr"/>
      <c r="M103" s="31" t="inlineStr"/>
      <c r="N103" s="32">
        <f>IF(M103="Underperforming",-5,IF(L103&gt;=95,15,IF(L103&gt;=90,10,IF(L103&gt;=80,5,0))))</f>
        <v/>
      </c>
      <c r="O103" s="32" t="n">
        <v>66.59999999999999</v>
      </c>
      <c r="P103" s="32" t="n">
        <v>48.61</v>
      </c>
      <c r="Q103" s="32" t="n">
        <v>209.62</v>
      </c>
      <c r="R103" s="31" t="inlineStr">
        <is>
          <t>Earnings / Momentum Support</t>
        </is>
      </c>
      <c r="S103" s="31" t="inlineStr">
        <is>
          <t>Nifty Infra</t>
        </is>
      </c>
      <c r="T103" s="32" t="inlineStr"/>
      <c r="U103" s="32" t="inlineStr"/>
      <c r="V103" s="32" t="inlineStr"/>
      <c r="W103" s="32" t="inlineStr"/>
      <c r="X103" s="31" t="inlineStr">
        <is>
          <t>Cyclical in an Upturn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No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Above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Less than 1.5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IF(B104=0,"",RANK(B104,$B$2:$B$372,0))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NRBBEARING</t>
        </is>
      </c>
      <c r="D104" s="31" t="inlineStr">
        <is>
          <t>Nrb Bearing Limited</t>
        </is>
      </c>
      <c r="E104" s="31" t="inlineStr">
        <is>
          <t>industrials</t>
        </is>
      </c>
      <c r="F104" s="31" t="inlineStr">
        <is>
          <t>bearings</t>
        </is>
      </c>
      <c r="G104" s="31" t="inlineStr">
        <is>
          <t>smallcap</t>
        </is>
      </c>
      <c r="H104" s="32" t="n">
        <v>4556.33</v>
      </c>
      <c r="I104" s="32" t="n">
        <v>473.65</v>
      </c>
      <c r="J104" s="32" t="n">
        <v>0.76</v>
      </c>
      <c r="K104" s="32" t="n">
        <v>174365</v>
      </c>
      <c r="L104" s="31" t="n">
        <v>68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72.73999999999999</v>
      </c>
      <c r="P104" s="32" t="n">
        <v>50.85</v>
      </c>
      <c r="Q104" s="32" t="n">
        <v>379.73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-0.9</v>
      </c>
      <c r="U104" s="32" t="n">
        <v>75.12</v>
      </c>
      <c r="V104" s="32" t="n">
        <v>76.70999999999999</v>
      </c>
      <c r="W104" s="32" t="n">
        <v>18.68</v>
      </c>
      <c r="X104" s="31" t="inlineStr">
        <is>
          <t>Cyclical in an Upturn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Between 12 to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IF(B105=0,"",RANK(B105,$B$2:$B$372,0))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MARINE</t>
        </is>
      </c>
      <c r="D105" s="31" t="inlineStr">
        <is>
          <t>Marine Electricals (India) Ltd</t>
        </is>
      </c>
      <c r="E105" s="31" t="inlineStr">
        <is>
          <t>industrials</t>
        </is>
      </c>
      <c r="F105" s="31" t="inlineStr">
        <is>
          <t>electric equipment</t>
        </is>
      </c>
      <c r="G105" s="31" t="inlineStr">
        <is>
          <t>midcap</t>
        </is>
      </c>
      <c r="H105" s="32" t="n">
        <v>5226.92</v>
      </c>
      <c r="I105" s="32" t="n">
        <v>375.55</v>
      </c>
      <c r="J105" s="32" t="n">
        <v>0.55</v>
      </c>
      <c r="K105" s="32" t="n">
        <v>630981</v>
      </c>
      <c r="L105" s="31" t="n">
        <v>88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75.98</v>
      </c>
      <c r="P105" s="32" t="n">
        <v>40.86</v>
      </c>
      <c r="Q105" s="32" t="n">
        <v>281.64</v>
      </c>
      <c r="R105" s="31" t="inlineStr">
        <is>
          <t>Near 52W High Breakout</t>
        </is>
      </c>
      <c r="S105" s="31" t="inlineStr">
        <is>
          <t>Nifty 50</t>
        </is>
      </c>
      <c r="T105" s="32" t="n">
        <v>-0.9</v>
      </c>
      <c r="U105" s="32" t="n">
        <v>126.02</v>
      </c>
      <c r="V105" s="32" t="n">
        <v>128.06</v>
      </c>
      <c r="W105" s="32" t="n">
        <v>28.37</v>
      </c>
      <c r="X105" s="31" t="inlineStr">
        <is>
          <t>Cyclical in an Upturn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Above 40</t>
        </is>
      </c>
      <c r="AY105" s="31">
        <f>IF(AX105="Above 40",20,IF(AX105="20 to 40",10,IF(AX105="0 to 20",-5,0)))</f>
        <v/>
      </c>
      <c r="AZ105" s="31" t="inlineStr">
        <is>
          <t>Above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Blue sky scenario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Between 1.5 to 2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IF(B106=0,"",RANK(B106,$B$2:$B$372,0))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COMSYN</t>
        </is>
      </c>
      <c r="D106" s="31" t="inlineStr">
        <is>
          <t>Commercial Syn Bags Ltd</t>
        </is>
      </c>
      <c r="E106" s="31" t="inlineStr">
        <is>
          <t>industrials</t>
        </is>
      </c>
      <c r="F106" s="31" t="inlineStr">
        <is>
          <t>packaging</t>
        </is>
      </c>
      <c r="G106" s="31" t="inlineStr">
        <is>
          <t>smallcap</t>
        </is>
      </c>
      <c r="H106" s="32" t="n">
        <v>1160.48</v>
      </c>
      <c r="I106" s="32" t="n">
        <v>289</v>
      </c>
      <c r="J106" s="32" t="n">
        <v>0.46</v>
      </c>
      <c r="K106" s="32" t="n">
        <v>137901</v>
      </c>
      <c r="L106" s="31" t="n">
        <v>94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80.93000000000001</v>
      </c>
      <c r="P106" s="32" t="n">
        <v>66.31999999999999</v>
      </c>
      <c r="Q106" s="32" t="n">
        <v>218.24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-0.9</v>
      </c>
      <c r="U106" s="32" t="n">
        <v>101.44</v>
      </c>
      <c r="V106" s="32" t="n">
        <v>103.26</v>
      </c>
      <c r="W106" s="32" t="n">
        <v>36.65</v>
      </c>
      <c r="X106" s="31" t="inlineStr">
        <is>
          <t>Cyclical in an Upturn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Above 40</t>
        </is>
      </c>
      <c r="AY106" s="31">
        <f>IF(AX106="Above 40",20,IF(AX106="20 to 40",10,IF(AX106="0 to 20",-5,0)))</f>
        <v/>
      </c>
      <c r="AZ106" s="31" t="inlineStr">
        <is>
          <t>Above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Between 0.7 to 1.2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IF(B107=0,"",RANK(B107,$B$2:$B$372,0))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ACE</t>
        </is>
      </c>
      <c r="D107" s="31" t="inlineStr">
        <is>
          <t>Action Construction Equipment Limited</t>
        </is>
      </c>
      <c r="E107" s="31" t="inlineStr">
        <is>
          <t>industrials</t>
        </is>
      </c>
      <c r="F107" s="31" t="inlineStr">
        <is>
          <t>engineering</t>
        </is>
      </c>
      <c r="G107" s="31" t="inlineStr">
        <is>
          <t>midcap</t>
        </is>
      </c>
      <c r="H107" s="32" t="n">
        <v>13751.73</v>
      </c>
      <c r="I107" s="32" t="n">
        <v>1160</v>
      </c>
      <c r="J107" s="32" t="n">
        <v>0.45</v>
      </c>
      <c r="K107" s="32" t="n">
        <v>149053</v>
      </c>
      <c r="L107" s="31" t="n">
        <v>34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70.11</v>
      </c>
      <c r="P107" s="32" t="n">
        <v>29.5</v>
      </c>
      <c r="Q107" s="32" t="n">
        <v>974.26</v>
      </c>
      <c r="R107" s="31" t="inlineStr">
        <is>
          <t>Near 52W High Breakout</t>
        </is>
      </c>
      <c r="S107" s="31" t="inlineStr">
        <is>
          <t>Nifty 50</t>
        </is>
      </c>
      <c r="T107" s="32" t="n">
        <v>-0.9</v>
      </c>
      <c r="U107" s="32" t="n">
        <v>10.01</v>
      </c>
      <c r="V107" s="32" t="n">
        <v>11.01</v>
      </c>
      <c r="W107" s="32" t="n">
        <v>9.06</v>
      </c>
      <c r="X107" s="31" t="inlineStr">
        <is>
          <t>Cyclical in an Upturn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IF(B108=0,"",RANK(B108,$B$2:$B$372,0))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RRKABEL</t>
        </is>
      </c>
      <c r="D108" s="31" t="inlineStr">
        <is>
          <t>R R Kabel Ltd</t>
        </is>
      </c>
      <c r="E108" s="31" t="inlineStr">
        <is>
          <t>industrials</t>
        </is>
      </c>
      <c r="F108" s="31" t="inlineStr">
        <is>
          <t>cables - power</t>
        </is>
      </c>
      <c r="G108" s="31" t="inlineStr">
        <is>
          <t>largecap</t>
        </is>
      </c>
      <c r="H108" s="32" t="n">
        <v>31683.11</v>
      </c>
      <c r="I108" s="32" t="n">
        <v>2810.4</v>
      </c>
      <c r="J108" s="32" t="n">
        <v>0.33</v>
      </c>
      <c r="K108" s="32" t="n">
        <v>245266</v>
      </c>
      <c r="L108" s="31" t="inlineStr"/>
      <c r="M108" s="31" t="inlineStr"/>
      <c r="N108" s="32">
        <f>IF(M108="Underperforming",-5,IF(L108&gt;=95,15,IF(L108&gt;=90,10,IF(L108&gt;=80,5,0))))</f>
        <v/>
      </c>
      <c r="O108" s="32" t="n">
        <v>73.54000000000001</v>
      </c>
      <c r="P108" s="32" t="n">
        <v>68.81999999999999</v>
      </c>
      <c r="Q108" s="32" t="n">
        <v>2350.38</v>
      </c>
      <c r="R108" s="31" t="inlineStr">
        <is>
          <t>Near 52W High Breakout</t>
        </is>
      </c>
      <c r="S108" s="31" t="inlineStr">
        <is>
          <t>Nifty Energy</t>
        </is>
      </c>
      <c r="T108" s="32" t="inlineStr"/>
      <c r="U108" s="32" t="inlineStr"/>
      <c r="V108" s="32" t="inlineStr"/>
      <c r="W108" s="32" t="inlineStr"/>
      <c r="X108" s="31" t="inlineStr">
        <is>
          <t>Cyclical in an Upturn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Yes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IF(B109=0,"",RANK(B109,$B$2:$B$372,0))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RACLGEAR</t>
        </is>
      </c>
      <c r="D109" s="31" t="inlineStr">
        <is>
          <t>RACL Geartech Ltd</t>
        </is>
      </c>
      <c r="E109" s="31" t="inlineStr">
        <is>
          <t>auto</t>
        </is>
      </c>
      <c r="F109" s="31" t="inlineStr">
        <is>
          <t>auto ancillaries</t>
        </is>
      </c>
      <c r="G109" s="31" t="inlineStr">
        <is>
          <t>smallcap</t>
        </is>
      </c>
      <c r="H109" s="32" t="n">
        <v>1781.3</v>
      </c>
      <c r="I109" s="32" t="n">
        <v>1502</v>
      </c>
      <c r="J109" s="32" t="n">
        <v>-0.6</v>
      </c>
      <c r="K109" s="32" t="n">
        <v>20130</v>
      </c>
      <c r="L109" s="31" t="inlineStr"/>
      <c r="M109" s="31" t="inlineStr"/>
      <c r="N109" s="32">
        <f>IF(M109="Underperforming",-5,IF(L109&gt;=95,15,IF(L109&gt;=90,10,IF(L109&gt;=80,5,0))))</f>
        <v/>
      </c>
      <c r="O109" s="32" t="n">
        <v>59.92</v>
      </c>
      <c r="P109" s="32" t="n">
        <v>49.77</v>
      </c>
      <c r="Q109" s="32" t="n">
        <v>1045.38</v>
      </c>
      <c r="R109" s="31" t="inlineStr">
        <is>
          <t>Near 52W High Breakout</t>
        </is>
      </c>
      <c r="S109" s="31" t="inlineStr">
        <is>
          <t>Nifty Auto</t>
        </is>
      </c>
      <c r="T109" s="32" t="inlineStr"/>
      <c r="U109" s="32" t="inlineStr"/>
      <c r="V109" s="32" t="inlineStr"/>
      <c r="W109" s="32" t="inlineStr"/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Less than 12%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IF(B110=0,"",RANK(B110,$B$2:$B$372,0))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COSMOFIRST</t>
        </is>
      </c>
      <c r="D110" s="31" t="inlineStr">
        <is>
          <t>Cosmo First Ltd</t>
        </is>
      </c>
      <c r="E110" s="31" t="inlineStr">
        <is>
          <t>industrials</t>
        </is>
      </c>
      <c r="F110" s="31" t="inlineStr">
        <is>
          <t>packaging</t>
        </is>
      </c>
      <c r="G110" s="31" t="inlineStr">
        <is>
          <t>smallcap</t>
        </is>
      </c>
      <c r="H110" s="32" t="n">
        <v>2442.93</v>
      </c>
      <c r="I110" s="32" t="n">
        <v>924.95</v>
      </c>
      <c r="J110" s="32" t="n">
        <v>-0.61</v>
      </c>
      <c r="K110" s="32" t="n">
        <v>125463</v>
      </c>
      <c r="L110" s="31" t="inlineStr"/>
      <c r="M110" s="31" t="inlineStr"/>
      <c r="N110" s="32">
        <f>IF(M110="Underperforming",-5,IF(L110&gt;=95,15,IF(L110&gt;=90,10,IF(L110&gt;=80,5,0))))</f>
        <v/>
      </c>
      <c r="O110" s="32" t="n">
        <v>66.03</v>
      </c>
      <c r="P110" s="32" t="n">
        <v>46.93</v>
      </c>
      <c r="Q110" s="32" t="n">
        <v>723.8</v>
      </c>
      <c r="R110" s="31" t="inlineStr">
        <is>
          <t>Near 52W High Breakout</t>
        </is>
      </c>
      <c r="S110" s="31" t="inlineStr">
        <is>
          <t>Nifty Infra</t>
        </is>
      </c>
      <c r="T110" s="32" t="inlineStr"/>
      <c r="U110" s="32" t="inlineStr"/>
      <c r="V110" s="32" t="inlineStr"/>
      <c r="W110" s="32" t="inlineStr"/>
      <c r="X110" s="31" t="inlineStr">
        <is>
          <t>Cyclical in an Upturn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No</t>
        </is>
      </c>
      <c r="BS110" s="31">
        <f>IF(BR110="NO",5,0)</f>
        <v/>
      </c>
      <c r="BT110" s="31" t="inlineStr">
        <is>
          <t>Less than 1.5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Between 0.7 to 1.2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IF(B111=0,"",RANK(B111,$B$2:$B$372,0))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LMW</t>
        </is>
      </c>
      <c r="D111" s="31" t="inlineStr">
        <is>
          <t>LMW Ltd</t>
        </is>
      </c>
      <c r="E111" s="31" t="inlineStr">
        <is>
          <t>industrials</t>
        </is>
      </c>
      <c r="F111" s="31" t="inlineStr">
        <is>
          <t>textile machinery</t>
        </is>
      </c>
      <c r="G111" s="31" t="inlineStr">
        <is>
          <t>largecap</t>
        </is>
      </c>
      <c r="H111" s="32" t="n">
        <v>20680.15</v>
      </c>
      <c r="I111" s="32" t="n">
        <v>19156</v>
      </c>
      <c r="J111" s="32" t="n">
        <v>-1.04</v>
      </c>
      <c r="K111" s="32" t="n">
        <v>4652</v>
      </c>
      <c r="L111" s="31" t="n">
        <v>44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69.56999999999999</v>
      </c>
      <c r="P111" s="32" t="n">
        <v>42.98</v>
      </c>
      <c r="Q111" s="32" t="n">
        <v>16427.09</v>
      </c>
      <c r="R111" s="31" t="inlineStr">
        <is>
          <t>Near 52W High Breakout</t>
        </is>
      </c>
      <c r="S111" s="31" t="inlineStr">
        <is>
          <t>Nifty 50</t>
        </is>
      </c>
      <c r="T111" s="32" t="n">
        <v>-0.9</v>
      </c>
      <c r="U111" s="32" t="n">
        <v>36.43</v>
      </c>
      <c r="V111" s="32" t="n">
        <v>37.66</v>
      </c>
      <c r="W111" s="32" t="n">
        <v>11.24</v>
      </c>
      <c r="X111" s="31" t="inlineStr">
        <is>
          <t>Cyclical in an Upturn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IF(B112=0,"",RANK(B112,$B$2:$B$372,0))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QUADFUTURE</t>
        </is>
      </c>
      <c r="D112" s="31" t="inlineStr">
        <is>
          <t>Quadrant Future Tek Ltd</t>
        </is>
      </c>
      <c r="E112" s="31" t="inlineStr">
        <is>
          <t>industrials</t>
        </is>
      </c>
      <c r="F112" s="31" t="inlineStr">
        <is>
          <t>cables - power</t>
        </is>
      </c>
      <c r="G112" s="31" t="inlineStr">
        <is>
          <t>smallcap</t>
        </is>
      </c>
      <c r="H112" s="32" t="n">
        <v>1674</v>
      </c>
      <c r="I112" s="32" t="n">
        <v>411.95</v>
      </c>
      <c r="J112" s="32" t="n">
        <v>-1.57</v>
      </c>
      <c r="K112" s="32" t="n">
        <v>656339</v>
      </c>
      <c r="L112" s="31" t="inlineStr"/>
      <c r="M112" s="31" t="inlineStr"/>
      <c r="N112" s="32">
        <f>IF(M112="Underperforming",-5,IF(L112&gt;=95,15,IF(L112&gt;=90,10,IF(L112&gt;=80,5,0))))</f>
        <v/>
      </c>
      <c r="O112" s="32" t="n">
        <v>58.68</v>
      </c>
      <c r="P112" s="32" t="n">
        <v>33.97</v>
      </c>
      <c r="Q112" s="32" t="n">
        <v>325.66</v>
      </c>
      <c r="R112" s="31" t="inlineStr">
        <is>
          <t>Volume Spike / Accumulation</t>
        </is>
      </c>
      <c r="S112" s="31" t="inlineStr">
        <is>
          <t>Nifty Energy</t>
        </is>
      </c>
      <c r="T112" s="32" t="inlineStr"/>
      <c r="U112" s="32" t="inlineStr"/>
      <c r="V112" s="32" t="inlineStr"/>
      <c r="W112" s="32" t="inlineStr"/>
      <c r="X112" s="31" t="inlineStr">
        <is>
          <t>Cyclical in an Upturn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No</t>
        </is>
      </c>
      <c r="BS112" s="31">
        <f>IF(BR112="NO",5,0)</f>
        <v/>
      </c>
      <c r="BT112" s="31" t="inlineStr">
        <is>
          <t>Less than 1.5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IF(B113=0,"",RANK(B113,$B$2:$B$372,0))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NAUKRI</t>
        </is>
      </c>
      <c r="D113" s="31" t="inlineStr">
        <is>
          <t>Info Edge (india) Limited</t>
        </is>
      </c>
      <c r="E113" s="31" t="inlineStr">
        <is>
          <t>i.t</t>
        </is>
      </c>
      <c r="F113" s="31" t="inlineStr">
        <is>
          <t>miscellaneous</t>
        </is>
      </c>
      <c r="G113" s="31" t="inlineStr">
        <is>
          <t>largecap</t>
        </is>
      </c>
      <c r="H113" s="32" t="n">
        <v>87536.78</v>
      </c>
      <c r="I113" s="32" t="n">
        <v>1323.5</v>
      </c>
      <c r="J113" s="32" t="n">
        <v>-1.96</v>
      </c>
      <c r="K113" s="32" t="n">
        <v>777167</v>
      </c>
      <c r="L113" s="31" t="n">
        <v>28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67.48</v>
      </c>
      <c r="P113" s="32" t="n">
        <v>25.8</v>
      </c>
      <c r="Q113" s="32" t="n">
        <v>1105.87</v>
      </c>
      <c r="R113" s="31" t="inlineStr">
        <is>
          <t>Near 52W High Breakout</t>
        </is>
      </c>
      <c r="S113" s="31" t="inlineStr">
        <is>
          <t>Nifty IT</t>
        </is>
      </c>
      <c r="T113" s="32" t="n">
        <v>-13.82</v>
      </c>
      <c r="U113" s="32" t="n">
        <v>-1.86</v>
      </c>
      <c r="V113" s="32" t="n">
        <v>13.88</v>
      </c>
      <c r="W113" s="32" t="n">
        <v>7.84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IF(B114=0,"",RANK(B114,$B$2:$B$372,0))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NAHARINDUS</t>
        </is>
      </c>
      <c r="D114" s="31" t="inlineStr">
        <is>
          <t>Nahar Industrial Enterprises Limited</t>
        </is>
      </c>
      <c r="E114" s="31" t="inlineStr">
        <is>
          <t>textiles</t>
        </is>
      </c>
      <c r="F114" s="31" t="inlineStr">
        <is>
          <t>textiles - cotton/blended</t>
        </is>
      </c>
      <c r="G114" s="31" t="inlineStr">
        <is>
          <t>smallcap</t>
        </is>
      </c>
      <c r="H114" s="32" t="n">
        <v>601.55</v>
      </c>
      <c r="I114" s="32" t="n">
        <v>136.2</v>
      </c>
      <c r="J114" s="32" t="n">
        <v>-2.18</v>
      </c>
      <c r="K114" s="32" t="n">
        <v>52433</v>
      </c>
      <c r="L114" s="31" t="n">
        <v>36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66.8</v>
      </c>
      <c r="P114" s="32" t="n">
        <v>24.66</v>
      </c>
      <c r="Q114" s="32" t="n">
        <v>103.17</v>
      </c>
      <c r="R114" s="31" t="inlineStr">
        <is>
          <t>Volume Spike &amp; Near 52W High Breakout</t>
        </is>
      </c>
      <c r="S114" s="31" t="inlineStr">
        <is>
          <t>Nifty 50</t>
        </is>
      </c>
      <c r="T114" s="32" t="n">
        <v>-0.9</v>
      </c>
      <c r="U114" s="32" t="n">
        <v>24.48</v>
      </c>
      <c r="V114" s="32" t="n">
        <v>25.61</v>
      </c>
      <c r="W114" s="32" t="n">
        <v>9.23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Between 1.5 to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IF(B115=0,"",RANK(B115,$B$2:$B$372,0))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3" t="inlineStr">
        <is>
          <t>LALPATHLAB</t>
        </is>
      </c>
      <c r="D115" s="33" t="inlineStr">
        <is>
          <t>Dr. Lal Path Labs Ltd.</t>
        </is>
      </c>
      <c r="E115" s="31" t="inlineStr">
        <is>
          <t>healthcare</t>
        </is>
      </c>
      <c r="F115" s="31" t="inlineStr">
        <is>
          <t>healthcare</t>
        </is>
      </c>
      <c r="G115" s="31" t="inlineStr">
        <is>
          <t>largecap</t>
        </is>
      </c>
      <c r="H115" s="32" t="n">
        <v>32080.84</v>
      </c>
      <c r="I115" s="32" t="n">
        <v>1942</v>
      </c>
      <c r="J115" s="32" t="n">
        <v>1.48</v>
      </c>
      <c r="K115" s="32" t="n">
        <v>156057</v>
      </c>
      <c r="L115" s="31" t="n">
        <v>31</v>
      </c>
      <c r="M115" s="31" t="inlineStr">
        <is>
          <t>Underperforming</t>
        </is>
      </c>
      <c r="N115" s="32">
        <f>IF(M115="Underperforming",-5,IF(L115&gt;=95,15,IF(L115&gt;=90,10,IF(L115&gt;=80,5,0))))</f>
        <v/>
      </c>
      <c r="O115" s="32" t="n">
        <v>72.5</v>
      </c>
      <c r="P115" s="32" t="n">
        <v>42.66</v>
      </c>
      <c r="Q115" s="32" t="n">
        <v>1628.82</v>
      </c>
      <c r="R115" s="31" t="inlineStr">
        <is>
          <t>Near 52W High Breakout</t>
        </is>
      </c>
      <c r="S115" s="31" t="inlineStr">
        <is>
          <t>Nifty Pharma</t>
        </is>
      </c>
      <c r="T115" s="32" t="n">
        <v>22.12</v>
      </c>
      <c r="U115" s="32" t="n">
        <v>18.25</v>
      </c>
      <c r="V115" s="32" t="n">
        <v>-3.16</v>
      </c>
      <c r="W115" s="32" t="n">
        <v>8.300000000000001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Yes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Annuity, Lower One Time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Above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IF(B116=0,"",RANK(B116,$B$2:$B$372,0))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LTFOODS</t>
        </is>
      </c>
      <c r="D116" s="31" t="inlineStr">
        <is>
          <t>L T Foods Ltd</t>
        </is>
      </c>
      <c r="E116" s="31" t="inlineStr">
        <is>
          <t>fmcg</t>
        </is>
      </c>
      <c r="F116" s="31" t="inlineStr">
        <is>
          <t>food - processing - indian</t>
        </is>
      </c>
      <c r="G116" s="31" t="inlineStr">
        <is>
          <t>midcap</t>
        </is>
      </c>
      <c r="H116" s="32" t="n">
        <v>15480.54</v>
      </c>
      <c r="I116" s="32" t="n">
        <v>451.3</v>
      </c>
      <c r="J116" s="32" t="n">
        <v>1.23</v>
      </c>
      <c r="K116" s="32" t="n">
        <v>1558425</v>
      </c>
      <c r="L116" s="31" t="inlineStr"/>
      <c r="M116" s="31" t="inlineStr"/>
      <c r="N116" s="32">
        <f>IF(M116="Underperforming",-5,IF(L116&gt;=95,15,IF(L116&gt;=90,10,IF(L116&gt;=80,5,0))))</f>
        <v/>
      </c>
      <c r="O116" s="32" t="n">
        <v>64.98</v>
      </c>
      <c r="P116" s="32" t="n">
        <v>17.32</v>
      </c>
      <c r="Q116" s="32" t="n">
        <v>365.3</v>
      </c>
      <c r="R116" s="31" t="inlineStr">
        <is>
          <t>Volume Spike &amp; Near 52W High Breakout</t>
        </is>
      </c>
      <c r="S116" s="31" t="inlineStr">
        <is>
          <t>Nifty FMCG</t>
        </is>
      </c>
      <c r="T116" s="32" t="inlineStr"/>
      <c r="U116" s="32" t="inlineStr"/>
      <c r="V116" s="32" t="inlineStr"/>
      <c r="W116" s="32" t="inlineStr"/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B2C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Annuity, Lower One Time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0 to 20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Less than 1.5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IF(B117=0,"",RANK(B117,$B$2:$B$372,0))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LAURUSLABS</t>
        </is>
      </c>
      <c r="D117" s="31" t="inlineStr">
        <is>
          <t>Laurus Labs Limited</t>
        </is>
      </c>
      <c r="E117" s="31" t="inlineStr">
        <is>
          <t>healthcare</t>
        </is>
      </c>
      <c r="F117" s="31" t="inlineStr">
        <is>
          <t>pharmaceuticals - indian - bulk drugs &amp; formln</t>
        </is>
      </c>
      <c r="G117" s="31" t="inlineStr">
        <is>
          <t>largecap</t>
        </is>
      </c>
      <c r="H117" s="32" t="n">
        <v>100821.38</v>
      </c>
      <c r="I117" s="32" t="n">
        <v>1887</v>
      </c>
      <c r="J117" s="32" t="n">
        <v>1.11</v>
      </c>
      <c r="K117" s="32" t="n">
        <v>3314356</v>
      </c>
      <c r="L117" s="31" t="n">
        <v>84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82.38</v>
      </c>
      <c r="P117" s="32" t="n">
        <v>68.20999999999999</v>
      </c>
      <c r="Q117" s="32" t="n">
        <v>1623.23</v>
      </c>
      <c r="R117" s="31" t="inlineStr">
        <is>
          <t>Near 52W High Breakout</t>
        </is>
      </c>
      <c r="S117" s="31" t="inlineStr">
        <is>
          <t>Nifty Pharma</t>
        </is>
      </c>
      <c r="T117" s="32" t="n">
        <v>22.12</v>
      </c>
      <c r="U117" s="32" t="n">
        <v>120.61</v>
      </c>
      <c r="V117" s="32" t="n">
        <v>80.66</v>
      </c>
      <c r="W117" s="32" t="n">
        <v>25.72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Yes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Annuity, Lower One Time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Above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IF(B118=0,"",RANK(B118,$B$2:$B$372,0))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ENTERO</t>
        </is>
      </c>
      <c r="D118" s="31" t="inlineStr">
        <is>
          <t>Entero Healthcare Solutions Ltd</t>
        </is>
      </c>
      <c r="E118" s="31" t="inlineStr">
        <is>
          <t>healthcare</t>
        </is>
      </c>
      <c r="F118" s="31" t="inlineStr">
        <is>
          <t>trading</t>
        </is>
      </c>
      <c r="G118" s="31" t="inlineStr">
        <is>
          <t>midcap</t>
        </is>
      </c>
      <c r="H118" s="32" t="n">
        <v>7107.32</v>
      </c>
      <c r="I118" s="32" t="n">
        <v>1648</v>
      </c>
      <c r="J118" s="32" t="n">
        <v>0.92</v>
      </c>
      <c r="K118" s="32" t="n">
        <v>412213</v>
      </c>
      <c r="L118" s="31" t="n">
        <v>62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73.95999999999999</v>
      </c>
      <c r="P118" s="32" t="n">
        <v>29.18</v>
      </c>
      <c r="Q118" s="32" t="n">
        <v>1296.69</v>
      </c>
      <c r="R118" s="31" t="inlineStr">
        <is>
          <t>Volume Spike &amp; Near 52W High Breakout</t>
        </is>
      </c>
      <c r="S118" s="31" t="inlineStr">
        <is>
          <t>Nifty Pharma</t>
        </is>
      </c>
      <c r="T118" s="32" t="n">
        <v>22.12</v>
      </c>
      <c r="U118" s="32" t="n">
        <v>39.42</v>
      </c>
      <c r="V118" s="32" t="n">
        <v>14.17</v>
      </c>
      <c r="W118" s="32" t="n">
        <v>15.7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Yes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Annuity, Lower One Time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Between 1.5 to 2</t>
        </is>
      </c>
      <c r="BU118" s="31">
        <f>IF(BT118="Above 2",0,IF(BT118="Between 1.5 to 2",5,IF(BT118="Less than 1.5",10,0)))</f>
        <v/>
      </c>
      <c r="BV118" s="31" t="inlineStr">
        <is>
          <t>Above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IF(B119=0,"",RANK(B119,$B$2:$B$372,0))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AVTNPL</t>
        </is>
      </c>
      <c r="D119" s="31" t="inlineStr">
        <is>
          <t>Avt Natural Products Limited</t>
        </is>
      </c>
      <c r="E119" s="31" t="inlineStr">
        <is>
          <t>fmcg</t>
        </is>
      </c>
      <c r="F119" s="31" t="inlineStr">
        <is>
          <t>solvent extraction</t>
        </is>
      </c>
      <c r="G119" s="31" t="inlineStr">
        <is>
          <t>smallcap</t>
        </is>
      </c>
      <c r="H119" s="32" t="n">
        <v>1327.46</v>
      </c>
      <c r="I119" s="32" t="n">
        <v>86.95</v>
      </c>
      <c r="J119" s="32" t="n">
        <v>-0.25</v>
      </c>
      <c r="K119" s="32" t="n">
        <v>174601</v>
      </c>
      <c r="L119" s="31" t="inlineStr"/>
      <c r="M119" s="31" t="inlineStr"/>
      <c r="N119" s="32">
        <f>IF(M119="Underperforming",-5,IF(L119&gt;=95,15,IF(L119&gt;=90,10,IF(L119&gt;=80,5,0))))</f>
        <v/>
      </c>
      <c r="O119" s="32" t="n">
        <v>75.2</v>
      </c>
      <c r="P119" s="32" t="n">
        <v>38.79</v>
      </c>
      <c r="Q119" s="32" t="n">
        <v>70.78</v>
      </c>
      <c r="R119" s="31" t="inlineStr">
        <is>
          <t>Near 52W High Breakout</t>
        </is>
      </c>
      <c r="S119" s="31" t="inlineStr">
        <is>
          <t>Nifty FMCG</t>
        </is>
      </c>
      <c r="T119" s="32" t="inlineStr"/>
      <c r="U119" s="32" t="inlineStr"/>
      <c r="V119" s="32" t="inlineStr"/>
      <c r="W119" s="32" t="inlineStr"/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B2C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Annuity, Lower One Time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Above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IF(B120=0,"",RANK(B120,$B$2:$B$372,0))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COFORGE</t>
        </is>
      </c>
      <c r="D120" s="31" t="inlineStr">
        <is>
          <t>Coforge (Niit Tech) Ltd</t>
        </is>
      </c>
      <c r="E120" s="31" t="inlineStr">
        <is>
          <t>i.t</t>
        </is>
      </c>
      <c r="F120" s="31" t="inlineStr">
        <is>
          <t>computers - software - large</t>
        </is>
      </c>
      <c r="G120" s="31" t="inlineStr">
        <is>
          <t>largecap</t>
        </is>
      </c>
      <c r="H120" s="32" t="n">
        <v>83792.52</v>
      </c>
      <c r="I120" s="32" t="n">
        <v>1880</v>
      </c>
      <c r="J120" s="32" t="n">
        <v>-0.68</v>
      </c>
      <c r="K120" s="32" t="n">
        <v>1611763</v>
      </c>
      <c r="L120" s="31" t="n">
        <v>45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69.72</v>
      </c>
      <c r="P120" s="32" t="n">
        <v>16.08</v>
      </c>
      <c r="Q120" s="32" t="n">
        <v>1527.09</v>
      </c>
      <c r="R120" s="31" t="inlineStr">
        <is>
          <t>Near 52W High Breakout</t>
        </is>
      </c>
      <c r="S120" s="31" t="inlineStr">
        <is>
          <t>Nifty IT</t>
        </is>
      </c>
      <c r="T120" s="32" t="n">
        <v>-13.82</v>
      </c>
      <c r="U120" s="32" t="n">
        <v>10.04</v>
      </c>
      <c r="V120" s="32" t="n">
        <v>27.69</v>
      </c>
      <c r="W120" s="32" t="n">
        <v>11.76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Annuity, Lower One Time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0 to 20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Blue sky scenario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IF(B121=0,"",RANK(B121,$B$2:$B$372,0))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BANARISUG</t>
        </is>
      </c>
      <c r="D121" s="31" t="inlineStr">
        <is>
          <t>Bannari Amman Sugars Limited</t>
        </is>
      </c>
      <c r="E121" s="31" t="inlineStr">
        <is>
          <t>fmcg</t>
        </is>
      </c>
      <c r="F121" s="31" t="inlineStr">
        <is>
          <t>sugar</t>
        </is>
      </c>
      <c r="G121" s="31" t="inlineStr">
        <is>
          <t>smallcap</t>
        </is>
      </c>
      <c r="H121" s="32" t="n">
        <v>4890.36</v>
      </c>
      <c r="I121" s="32" t="n">
        <v>3870.3</v>
      </c>
      <c r="J121" s="32" t="n">
        <v>-0.76</v>
      </c>
      <c r="K121" s="32" t="n">
        <v>2424</v>
      </c>
      <c r="L121" s="31" t="inlineStr"/>
      <c r="M121" s="31" t="inlineStr"/>
      <c r="N121" s="32">
        <f>IF(M121="Underperforming",-5,IF(L121&gt;=95,15,IF(L121&gt;=90,10,IF(L121&gt;=80,5,0))))</f>
        <v/>
      </c>
      <c r="O121" s="32" t="n">
        <v>61.08</v>
      </c>
      <c r="P121" s="32" t="n">
        <v>28.8</v>
      </c>
      <c r="Q121" s="32" t="n">
        <v>3439.66</v>
      </c>
      <c r="R121" s="31" t="inlineStr">
        <is>
          <t>Near 52W High Breakout</t>
        </is>
      </c>
      <c r="S121" s="31" t="inlineStr">
        <is>
          <t>Nifty FMCG</t>
        </is>
      </c>
      <c r="T121" s="32" t="inlineStr"/>
      <c r="U121" s="32" t="inlineStr"/>
      <c r="V121" s="32" t="inlineStr"/>
      <c r="W121" s="32" t="inlineStr"/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B2C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Annuity, Lower One Time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IF(B122=0,"",RANK(B122,$B$2:$B$372,0))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TASTYBITE</t>
        </is>
      </c>
      <c r="D122" s="31" t="inlineStr">
        <is>
          <t>Tasty Bite Eatables Ltd</t>
        </is>
      </c>
      <c r="E122" s="31" t="inlineStr">
        <is>
          <t>fmcg</t>
        </is>
      </c>
      <c r="F122" s="31" t="inlineStr">
        <is>
          <t>food - processing - indian</t>
        </is>
      </c>
      <c r="G122" s="31" t="inlineStr">
        <is>
          <t>smallcap</t>
        </is>
      </c>
      <c r="H122" s="32" t="n">
        <v>2587.3</v>
      </c>
      <c r="I122" s="32" t="n">
        <v>9848.5</v>
      </c>
      <c r="J122" s="32" t="n">
        <v>-2.33</v>
      </c>
      <c r="K122" s="32" t="n">
        <v>3719</v>
      </c>
      <c r="L122" s="31" t="inlineStr"/>
      <c r="M122" s="31" t="inlineStr"/>
      <c r="N122" s="32">
        <f>IF(M122="Underperforming",-5,IF(L122&gt;=95,15,IF(L122&gt;=90,10,IF(L122&gt;=80,5,0))))</f>
        <v/>
      </c>
      <c r="O122" s="32" t="n">
        <v>68.62</v>
      </c>
      <c r="P122" s="32" t="n">
        <v>47.63</v>
      </c>
      <c r="Q122" s="32" t="n">
        <v>7953.85</v>
      </c>
      <c r="R122" s="31" t="inlineStr">
        <is>
          <t>Near 52W High Breakout</t>
        </is>
      </c>
      <c r="S122" s="31" t="inlineStr">
        <is>
          <t>Nifty FMCG</t>
        </is>
      </c>
      <c r="T122" s="32" t="inlineStr"/>
      <c r="U122" s="32" t="inlineStr"/>
      <c r="V122" s="32" t="inlineStr"/>
      <c r="W122" s="32" t="inlineStr"/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B2C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Annuity, Lower One Time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Less than 12%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IF(B123=0,"",RANK(B123,$B$2:$B$372,0))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KENNAMET</t>
        </is>
      </c>
      <c r="D123" s="31" t="inlineStr">
        <is>
          <t>Kennametal India Ltd</t>
        </is>
      </c>
      <c r="E123" s="31" t="inlineStr">
        <is>
          <t>industrials</t>
        </is>
      </c>
      <c r="F123" s="31" t="inlineStr">
        <is>
          <t>castings &amp; forgings</t>
        </is>
      </c>
      <c r="G123" s="31" t="inlineStr">
        <is>
          <t>midcap</t>
        </is>
      </c>
      <c r="H123" s="32" t="n">
        <v>9081.629999999999</v>
      </c>
      <c r="I123" s="32" t="n">
        <v>4352</v>
      </c>
      <c r="J123" s="32" t="n">
        <v>5.32</v>
      </c>
      <c r="K123" s="32" t="n">
        <v>91211</v>
      </c>
      <c r="L123" s="31" t="n">
        <v>85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82.84</v>
      </c>
      <c r="P123" s="32" t="n">
        <v>45.24</v>
      </c>
      <c r="Q123" s="32" t="n">
        <v>3446.38</v>
      </c>
      <c r="R123" s="31" t="inlineStr">
        <is>
          <t>Near 52W High Breakout</t>
        </is>
      </c>
      <c r="S123" s="31" t="inlineStr">
        <is>
          <t>Nifty 50</t>
        </is>
      </c>
      <c r="T123" s="32" t="n">
        <v>-0.9</v>
      </c>
      <c r="U123" s="32" t="n">
        <v>98.84999999999999</v>
      </c>
      <c r="V123" s="32" t="n">
        <v>100.65</v>
      </c>
      <c r="W123" s="32" t="n">
        <v>25.75</v>
      </c>
      <c r="X123" s="31" t="inlineStr">
        <is>
          <t>Cyclical in an Upturn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Above 40</t>
        </is>
      </c>
      <c r="AY123" s="31">
        <f>IF(AX123="Above 40",20,IF(AX123="20 to 40",10,IF(AX123="0 to 20",-5,0)))</f>
        <v/>
      </c>
      <c r="AZ123" s="31" t="inlineStr">
        <is>
          <t>Above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Blue sky scenario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IF(B124=0,"",RANK(B124,$B$2:$B$372,0))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SOMANYCERA</t>
        </is>
      </c>
      <c r="D124" s="31" t="inlineStr">
        <is>
          <t>Somany Ceramics Limited</t>
        </is>
      </c>
      <c r="E124" s="31" t="inlineStr">
        <is>
          <t>building materials</t>
        </is>
      </c>
      <c r="F124" s="31" t="inlineStr">
        <is>
          <t>ceramics - tiles / sanitaryware</t>
        </is>
      </c>
      <c r="G124" s="31" t="inlineStr">
        <is>
          <t>smallcap</t>
        </is>
      </c>
      <c r="H124" s="32" t="n">
        <v>2212.03</v>
      </c>
      <c r="I124" s="32" t="n">
        <v>558.45</v>
      </c>
      <c r="J124" s="32" t="n">
        <v>3.54</v>
      </c>
      <c r="K124" s="32" t="n">
        <v>456009</v>
      </c>
      <c r="L124" s="31" t="inlineStr"/>
      <c r="M124" s="31" t="inlineStr"/>
      <c r="N124" s="32">
        <f>IF(M124="Underperforming",-5,IF(L124&gt;=95,15,IF(L124&gt;=90,10,IF(L124&gt;=80,5,0))))</f>
        <v/>
      </c>
      <c r="O124" s="32" t="n">
        <v>65.83</v>
      </c>
      <c r="P124" s="32" t="n">
        <v>30.83</v>
      </c>
      <c r="Q124" s="32" t="n">
        <v>436.05</v>
      </c>
      <c r="R124" s="31" t="inlineStr">
        <is>
          <t>Near 52W High Breakout</t>
        </is>
      </c>
      <c r="S124" s="31" t="inlineStr">
        <is>
          <t>Nifty Infra</t>
        </is>
      </c>
      <c r="T124" s="32" t="inlineStr"/>
      <c r="U124" s="32" t="inlineStr"/>
      <c r="V124" s="32" t="inlineStr"/>
      <c r="W124" s="32" t="inlineStr"/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IF(B125=0,"",RANK(B125,$B$2:$B$372,0))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MOLDTECH</t>
        </is>
      </c>
      <c r="D125" s="31" t="inlineStr">
        <is>
          <t>Mold-tek Technologies Limited</t>
        </is>
      </c>
      <c r="E125" s="31" t="inlineStr">
        <is>
          <t>realty</t>
        </is>
      </c>
      <c r="F125" s="31" t="inlineStr">
        <is>
          <t>engineering - turnkey services</t>
        </is>
      </c>
      <c r="G125" s="31" t="inlineStr">
        <is>
          <t>smallcap</t>
        </is>
      </c>
      <c r="H125" s="32" t="n">
        <v>551.73</v>
      </c>
      <c r="I125" s="32" t="n">
        <v>198</v>
      </c>
      <c r="J125" s="32" t="n">
        <v>3.37</v>
      </c>
      <c r="K125" s="32" t="n">
        <v>119368</v>
      </c>
      <c r="L125" s="31" t="inlineStr"/>
      <c r="M125" s="31" t="inlineStr"/>
      <c r="N125" s="32">
        <f>IF(M125="Underperforming",-5,IF(L125&gt;=95,15,IF(L125&gt;=90,10,IF(L125&gt;=80,5,0))))</f>
        <v/>
      </c>
      <c r="O125" s="32" t="n">
        <v>72.23</v>
      </c>
      <c r="P125" s="32" t="n">
        <v>33.39</v>
      </c>
      <c r="Q125" s="32" t="n">
        <v>145.34</v>
      </c>
      <c r="R125" s="31" t="inlineStr">
        <is>
          <t>Near 52W High Breakout</t>
        </is>
      </c>
      <c r="S125" s="31" t="inlineStr">
        <is>
          <t>Nifty Realty</t>
        </is>
      </c>
      <c r="T125" s="32" t="inlineStr"/>
      <c r="U125" s="32" t="inlineStr"/>
      <c r="V125" s="32" t="inlineStr"/>
      <c r="W125" s="32" t="inlineStr"/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One Time, Lower Annuity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20 to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IF(B126=0,"",RANK(B126,$B$2:$B$372,0))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SUTLEJTEX</t>
        </is>
      </c>
      <c r="D126" s="31" t="inlineStr">
        <is>
          <t>Sutlej Textiles And Industries Limited</t>
        </is>
      </c>
      <c r="E126" s="31" t="inlineStr">
        <is>
          <t>textiles</t>
        </is>
      </c>
      <c r="F126" s="31" t="inlineStr">
        <is>
          <t>textiles - cotton/blended</t>
        </is>
      </c>
      <c r="G126" s="31" t="inlineStr">
        <is>
          <t>smallcap</t>
        </is>
      </c>
      <c r="H126" s="32" t="n">
        <v>622.88</v>
      </c>
      <c r="I126" s="32" t="n">
        <v>39</v>
      </c>
      <c r="J126" s="32" t="n">
        <v>2.58</v>
      </c>
      <c r="K126" s="32" t="n">
        <v>21268</v>
      </c>
      <c r="L126" s="31" t="n">
        <v>8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57.34</v>
      </c>
      <c r="P126" s="32" t="n">
        <v>26.84</v>
      </c>
      <c r="Q126" s="32" t="n">
        <v>29.84</v>
      </c>
      <c r="R126" s="31" t="inlineStr">
        <is>
          <t>Near 52W High Breakout</t>
        </is>
      </c>
      <c r="S126" s="31" t="inlineStr">
        <is>
          <t>Nifty 50</t>
        </is>
      </c>
      <c r="T126" s="32" t="n">
        <v>-0.9</v>
      </c>
      <c r="U126" s="32" t="n">
        <v>2.43</v>
      </c>
      <c r="V126" s="32" t="n">
        <v>3.36</v>
      </c>
      <c r="W126" s="32" t="n">
        <v>2.67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One Time, Lower Annuity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No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Between 0.7 to 1.2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IF(B127=0,"",RANK(B127,$B$2:$B$372,0))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MTARTECH</t>
        </is>
      </c>
      <c r="D127" s="31" t="inlineStr">
        <is>
          <t>MTAR Technologies Ltd</t>
        </is>
      </c>
      <c r="E127" s="31" t="inlineStr">
        <is>
          <t>aerospace &amp; defence</t>
        </is>
      </c>
      <c r="F127" s="31" t="inlineStr">
        <is>
          <t>engineering</t>
        </is>
      </c>
      <c r="G127" s="31" t="inlineStr">
        <is>
          <t>largecap</t>
        </is>
      </c>
      <c r="H127" s="32" t="n">
        <v>21311.78</v>
      </c>
      <c r="I127" s="32" t="n">
        <v>7082</v>
      </c>
      <c r="J127" s="32" t="n">
        <v>2.22</v>
      </c>
      <c r="K127" s="32" t="n">
        <v>137100</v>
      </c>
      <c r="L127" s="31" t="n">
        <v>97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60.43</v>
      </c>
      <c r="P127" s="32" t="n">
        <v>30.94</v>
      </c>
      <c r="Q127" s="32" t="n">
        <v>6069.49</v>
      </c>
      <c r="R127" s="31" t="inlineStr">
        <is>
          <t>Earnings / Momentum Support</t>
        </is>
      </c>
      <c r="S127" s="31" t="inlineStr">
        <is>
          <t>Nifty 50</t>
        </is>
      </c>
      <c r="T127" s="32" t="n">
        <v>-0.9</v>
      </c>
      <c r="U127" s="32" t="n">
        <v>407.31</v>
      </c>
      <c r="V127" s="32" t="n">
        <v>411.9</v>
      </c>
      <c r="W127" s="32" t="n">
        <v>43.69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No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No</t>
        </is>
      </c>
      <c r="AQ127" s="31">
        <f>IF(AP127="Yes",10,0)</f>
        <v/>
      </c>
      <c r="AR127" s="31" t="inlineStr">
        <is>
          <t>Higher One Time, Lower Annuity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More than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IF(B128=0,"",RANK(B128,$B$2:$B$372,0))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AEROENTER</t>
        </is>
      </c>
      <c r="D128" s="31" t="inlineStr">
        <is>
          <t>Aeroflex Enterprises Ltd</t>
        </is>
      </c>
      <c r="E128" s="31" t="inlineStr">
        <is>
          <t>metals &amp; mining</t>
        </is>
      </c>
      <c r="F128" s="31" t="inlineStr">
        <is>
          <t>steel - medium / small</t>
        </is>
      </c>
      <c r="G128" s="31" t="inlineStr">
        <is>
          <t>smallcap</t>
        </is>
      </c>
      <c r="H128" s="32" t="n">
        <v>1592.67</v>
      </c>
      <c r="I128" s="32" t="n">
        <v>143.64</v>
      </c>
      <c r="J128" s="32" t="n">
        <v>2.06</v>
      </c>
      <c r="K128" s="32" t="n">
        <v>5371518</v>
      </c>
      <c r="L128" s="31" t="inlineStr"/>
      <c r="M128" s="31" t="inlineStr"/>
      <c r="N128" s="32">
        <f>IF(M128="Underperforming",-5,IF(L128&gt;=95,15,IF(L128&gt;=90,10,IF(L128&gt;=80,5,0))))</f>
        <v/>
      </c>
      <c r="O128" s="32" t="n">
        <v>68.42</v>
      </c>
      <c r="P128" s="32" t="n">
        <v>51.83</v>
      </c>
      <c r="Q128" s="32" t="n">
        <v>104.23</v>
      </c>
      <c r="R128" s="31" t="inlineStr">
        <is>
          <t>Near 52W High Breakout</t>
        </is>
      </c>
      <c r="S128" s="31" t="inlineStr">
        <is>
          <t>Nifty Metal</t>
        </is>
      </c>
      <c r="T128" s="32" t="inlineStr"/>
      <c r="U128" s="32" t="inlineStr"/>
      <c r="V128" s="32" t="inlineStr"/>
      <c r="W128" s="32" t="inlineStr"/>
      <c r="X128" s="31" t="inlineStr">
        <is>
          <t>Cyclical in an Upturn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Cyclical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Volatile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One Time, Lower Annuity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Above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Blue sky scenario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Less than 1.5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IF(B129=0,"",RANK(B129,$B$2:$B$372,0))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JKPAPER</t>
        </is>
      </c>
      <c r="D129" s="31" t="inlineStr">
        <is>
          <t>Jk Paper Limited</t>
        </is>
      </c>
      <c r="E129" s="31" t="inlineStr">
        <is>
          <t>building materials</t>
        </is>
      </c>
      <c r="F129" s="31" t="inlineStr">
        <is>
          <t>paper</t>
        </is>
      </c>
      <c r="G129" s="31" t="inlineStr">
        <is>
          <t>midcap</t>
        </is>
      </c>
      <c r="H129" s="32" t="n">
        <v>7051.49</v>
      </c>
      <c r="I129" s="32" t="n">
        <v>396.55</v>
      </c>
      <c r="J129" s="32" t="n">
        <v>1.97</v>
      </c>
      <c r="K129" s="32" t="n">
        <v>477205</v>
      </c>
      <c r="L129" s="31" t="inlineStr"/>
      <c r="M129" s="31" t="inlineStr"/>
      <c r="N129" s="32">
        <f>IF(M129="Underperforming",-5,IF(L129&gt;=95,15,IF(L129&gt;=90,10,IF(L129&gt;=80,5,0))))</f>
        <v/>
      </c>
      <c r="O129" s="32" t="n">
        <v>61.31</v>
      </c>
      <c r="P129" s="32" t="n">
        <v>27.38</v>
      </c>
      <c r="Q129" s="32" t="n">
        <v>320.3</v>
      </c>
      <c r="R129" s="31" t="inlineStr">
        <is>
          <t>Earnings / Momentum Support</t>
        </is>
      </c>
      <c r="S129" s="31" t="inlineStr">
        <is>
          <t>Nifty Infra</t>
        </is>
      </c>
      <c r="T129" s="32" t="inlineStr"/>
      <c r="U129" s="32" t="inlineStr"/>
      <c r="V129" s="32" t="inlineStr"/>
      <c r="W129" s="32" t="inlineStr"/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No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IF(B130=0,"",RANK(B130,$B$2:$B$372,0))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UNIMECH</t>
        </is>
      </c>
      <c r="D130" s="31" t="inlineStr">
        <is>
          <t>Unimech Aerospace and Manufacturing Ltd</t>
        </is>
      </c>
      <c r="E130" s="31" t="inlineStr">
        <is>
          <t>aerospace &amp; defence</t>
        </is>
      </c>
      <c r="F130" s="31" t="inlineStr">
        <is>
          <t>engineering</t>
        </is>
      </c>
      <c r="G130" s="31" t="inlineStr">
        <is>
          <t>midcap</t>
        </is>
      </c>
      <c r="H130" s="32" t="n">
        <v>7493.76</v>
      </c>
      <c r="I130" s="32" t="n">
        <v>1500.2</v>
      </c>
      <c r="J130" s="32" t="n">
        <v>1.81</v>
      </c>
      <c r="K130" s="32" t="n">
        <v>322567</v>
      </c>
      <c r="L130" s="31" t="n">
        <v>75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73.13</v>
      </c>
      <c r="P130" s="32" t="n">
        <v>39.4</v>
      </c>
      <c r="Q130" s="32" t="n">
        <v>1173.11</v>
      </c>
      <c r="R130" s="31" t="inlineStr">
        <is>
          <t>Near 52W High Breakout</t>
        </is>
      </c>
      <c r="S130" s="31" t="inlineStr">
        <is>
          <t>Nifty 50</t>
        </is>
      </c>
      <c r="T130" s="32" t="n">
        <v>-0.9</v>
      </c>
      <c r="U130" s="32" t="n">
        <v>43.27</v>
      </c>
      <c r="V130" s="32" t="n">
        <v>44.57</v>
      </c>
      <c r="W130" s="32" t="n">
        <v>21.94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IF(B131=0,"",RANK(B131,$B$2:$B$372,0))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NYKAA</t>
        </is>
      </c>
      <c r="D131" s="31" t="inlineStr">
        <is>
          <t>FSN E-Commerce Ventures Ltd</t>
        </is>
      </c>
      <c r="E131" s="31" t="inlineStr">
        <is>
          <t>i.t</t>
        </is>
      </c>
      <c r="F131" s="31" t="inlineStr">
        <is>
          <t>trading</t>
        </is>
      </c>
      <c r="G131" s="31" t="inlineStr">
        <is>
          <t>largecap</t>
        </is>
      </c>
      <c r="H131" s="32" t="n">
        <v>95651.73</v>
      </c>
      <c r="I131" s="32" t="n">
        <v>340</v>
      </c>
      <c r="J131" s="32" t="n">
        <v>1.8</v>
      </c>
      <c r="K131" s="32" t="n">
        <v>7436809</v>
      </c>
      <c r="L131" s="31" t="n">
        <v>58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73.43000000000001</v>
      </c>
      <c r="P131" s="32" t="n">
        <v>45.96</v>
      </c>
      <c r="Q131" s="32" t="n">
        <v>291.13</v>
      </c>
      <c r="R131" s="31" t="inlineStr">
        <is>
          <t>Near 52W High Breakout</t>
        </is>
      </c>
      <c r="S131" s="31" t="inlineStr">
        <is>
          <t>Nifty IT</t>
        </is>
      </c>
      <c r="T131" s="32" t="n">
        <v>-13.82</v>
      </c>
      <c r="U131" s="32" t="n">
        <v>47.73</v>
      </c>
      <c r="V131" s="32" t="n">
        <v>71.42</v>
      </c>
      <c r="W131" s="32" t="n">
        <v>14.7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Above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Between 0.7 to 1.2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IF(B132=0,"",RANK(B132,$B$2:$B$372,0))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CRAFTSMAN</t>
        </is>
      </c>
      <c r="D132" s="31" t="inlineStr">
        <is>
          <t>Craftsman Automation Ltd</t>
        </is>
      </c>
      <c r="E132" s="31" t="inlineStr">
        <is>
          <t>auto</t>
        </is>
      </c>
      <c r="F132" s="31" t="inlineStr">
        <is>
          <t>auto ancillaries</t>
        </is>
      </c>
      <c r="G132" s="31" t="inlineStr">
        <is>
          <t>largecap</t>
        </is>
      </c>
      <c r="H132" s="32" t="n">
        <v>27135.22</v>
      </c>
      <c r="I132" s="32" t="n">
        <v>10509.5</v>
      </c>
      <c r="J132" s="32" t="n">
        <v>1.3</v>
      </c>
      <c r="K132" s="32" t="n">
        <v>23199</v>
      </c>
      <c r="L132" s="31" t="inlineStr"/>
      <c r="M132" s="31" t="inlineStr"/>
      <c r="N132" s="32">
        <f>IF(M132="Underperforming",-5,IF(L132&gt;=95,15,IF(L132&gt;=90,10,IF(L132&gt;=80,5,0))))</f>
        <v/>
      </c>
      <c r="O132" s="32" t="n">
        <v>68.44</v>
      </c>
      <c r="P132" s="32" t="n">
        <v>64.66</v>
      </c>
      <c r="Q132" s="32" t="n">
        <v>8692.16</v>
      </c>
      <c r="R132" s="31" t="inlineStr">
        <is>
          <t>Near 52W High Breakout</t>
        </is>
      </c>
      <c r="S132" s="31" t="inlineStr">
        <is>
          <t>Nifty Auto</t>
        </is>
      </c>
      <c r="T132" s="32" t="inlineStr"/>
      <c r="U132" s="32" t="inlineStr"/>
      <c r="V132" s="32" t="inlineStr"/>
      <c r="W132" s="32" t="inlineStr"/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Above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Blue sky scenario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Between 0.7 to 1.2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IF(B133=0,"",RANK(B133,$B$2:$B$372,0))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KRISHANA</t>
        </is>
      </c>
      <c r="D133" s="31" t="inlineStr">
        <is>
          <t>Krishana Phoschem Ltd</t>
        </is>
      </c>
      <c r="E133" s="31" t="inlineStr">
        <is>
          <t>chemicals</t>
        </is>
      </c>
      <c r="F133" s="31" t="inlineStr">
        <is>
          <t>fertilizers</t>
        </is>
      </c>
      <c r="G133" s="31" t="inlineStr">
        <is>
          <t>smallcap</t>
        </is>
      </c>
      <c r="H133" s="32" t="n">
        <v>1247.19</v>
      </c>
      <c r="I133" s="32" t="n">
        <v>204</v>
      </c>
      <c r="J133" s="32" t="n">
        <v>1.13</v>
      </c>
      <c r="K133" s="32" t="n">
        <v>1823822</v>
      </c>
      <c r="L133" s="31" t="n">
        <v>84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80.88</v>
      </c>
      <c r="P133" s="32" t="n">
        <v>50.35</v>
      </c>
      <c r="Q133" s="32" t="n">
        <v>162.89</v>
      </c>
      <c r="R133" s="31" t="inlineStr">
        <is>
          <t>Near 52W High Breakout</t>
        </is>
      </c>
      <c r="S133" s="31" t="inlineStr">
        <is>
          <t>Nifty 50</t>
        </is>
      </c>
      <c r="T133" s="32" t="n">
        <v>-0.9</v>
      </c>
      <c r="U133" s="32" t="n">
        <v>77.70999999999999</v>
      </c>
      <c r="V133" s="32" t="n">
        <v>79.31999999999999</v>
      </c>
      <c r="W133" s="32" t="n">
        <v>25.73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Above 40</t>
        </is>
      </c>
      <c r="AY133" s="31">
        <f>IF(AX133="Above 40",20,IF(AX133="20 to 40",10,IF(AX133="0 to 20",-5,0)))</f>
        <v/>
      </c>
      <c r="AZ133" s="31" t="inlineStr">
        <is>
          <t>Above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Less than 1.5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More than 1.2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IF(B134=0,"",RANK(B134,$B$2:$B$372,0))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AZAD</t>
        </is>
      </c>
      <c r="D134" s="31" t="inlineStr">
        <is>
          <t>Azad Engineering Ltd</t>
        </is>
      </c>
      <c r="E134" s="31" t="inlineStr">
        <is>
          <t>aerospace &amp; defence</t>
        </is>
      </c>
      <c r="F134" s="31" t="inlineStr">
        <is>
          <t>engineering</t>
        </is>
      </c>
      <c r="G134" s="31" t="inlineStr">
        <is>
          <t>midcap</t>
        </is>
      </c>
      <c r="H134" s="32" t="n">
        <v>18111.95</v>
      </c>
      <c r="I134" s="32" t="n">
        <v>2825.5</v>
      </c>
      <c r="J134" s="32" t="n">
        <v>0.75</v>
      </c>
      <c r="K134" s="32" t="n">
        <v>362414</v>
      </c>
      <c r="L134" s="31" t="n">
        <v>75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70.15000000000001</v>
      </c>
      <c r="P134" s="32" t="n">
        <v>36.47</v>
      </c>
      <c r="Q134" s="32" t="n">
        <v>2187.54</v>
      </c>
      <c r="R134" s="31" t="inlineStr">
        <is>
          <t>Near 52W High Breakout</t>
        </is>
      </c>
      <c r="S134" s="31" t="inlineStr">
        <is>
          <t>Nifty 50</t>
        </is>
      </c>
      <c r="T134" s="32" t="n">
        <v>-0.9</v>
      </c>
      <c r="U134" s="32" t="n">
        <v>84.67</v>
      </c>
      <c r="V134" s="32" t="n">
        <v>86.34</v>
      </c>
      <c r="W134" s="32" t="n">
        <v>21.94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IF(B135=0,"",RANK(B135,$B$2:$B$372,0))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GULFOILLUB</t>
        </is>
      </c>
      <c r="D135" s="31" t="inlineStr">
        <is>
          <t>Gulf Oil Lubricants India Limited</t>
        </is>
      </c>
      <c r="E135" s="31" t="inlineStr">
        <is>
          <t>chemicals</t>
        </is>
      </c>
      <c r="F135" s="31" t="inlineStr">
        <is>
          <t>chemicals</t>
        </is>
      </c>
      <c r="G135" s="31" t="inlineStr">
        <is>
          <t>midcap</t>
        </is>
      </c>
      <c r="H135" s="32" t="n">
        <v>5716.22</v>
      </c>
      <c r="I135" s="32" t="n">
        <v>1162.8</v>
      </c>
      <c r="J135" s="32" t="n">
        <v>0.73</v>
      </c>
      <c r="K135" s="32" t="n">
        <v>50391</v>
      </c>
      <c r="L135" s="31" t="inlineStr"/>
      <c r="M135" s="31" t="inlineStr"/>
      <c r="N135" s="32">
        <f>IF(M135="Underperforming",-5,IF(L135&gt;=95,15,IF(L135&gt;=90,10,IF(L135&gt;=80,5,0))))</f>
        <v/>
      </c>
      <c r="O135" s="32" t="n">
        <v>60.14</v>
      </c>
      <c r="P135" s="32" t="n">
        <v>20.45</v>
      </c>
      <c r="Q135" s="32" t="n">
        <v>976.96</v>
      </c>
      <c r="R135" s="31" t="inlineStr">
        <is>
          <t>Earnings / Momentum Support</t>
        </is>
      </c>
      <c r="S135" s="31" t="inlineStr">
        <is>
          <t>Nifty Energy</t>
        </is>
      </c>
      <c r="T135" s="32" t="inlineStr"/>
      <c r="U135" s="32" t="inlineStr"/>
      <c r="V135" s="32" t="inlineStr"/>
      <c r="W135" s="32" t="inlineStr"/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Less than 1.5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IF(B136=0,"",RANK(B136,$B$2:$B$372,0))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VARROC</t>
        </is>
      </c>
      <c r="D136" s="31" t="inlineStr">
        <is>
          <t>Varroc Engineering Ltd</t>
        </is>
      </c>
      <c r="E136" s="31" t="inlineStr">
        <is>
          <t>auto</t>
        </is>
      </c>
      <c r="F136" s="31" t="inlineStr">
        <is>
          <t>auto ancillaries</t>
        </is>
      </c>
      <c r="G136" s="31" t="inlineStr">
        <is>
          <t>midcap</t>
        </is>
      </c>
      <c r="H136" s="32" t="n">
        <v>12380.28</v>
      </c>
      <c r="I136" s="32" t="n">
        <v>812.15</v>
      </c>
      <c r="J136" s="32" t="n">
        <v>0.23</v>
      </c>
      <c r="K136" s="32" t="n">
        <v>170317</v>
      </c>
      <c r="L136" s="31" t="inlineStr"/>
      <c r="M136" s="31" t="inlineStr"/>
      <c r="N136" s="32">
        <f>IF(M136="Underperforming",-5,IF(L136&gt;=95,15,IF(L136&gt;=90,10,IF(L136&gt;=80,5,0))))</f>
        <v/>
      </c>
      <c r="O136" s="32" t="n">
        <v>73.84999999999999</v>
      </c>
      <c r="P136" s="32" t="n">
        <v>46.85</v>
      </c>
      <c r="Q136" s="32" t="n">
        <v>689.17</v>
      </c>
      <c r="R136" s="31" t="inlineStr">
        <is>
          <t>Near 52W High Breakout</t>
        </is>
      </c>
      <c r="S136" s="31" t="inlineStr">
        <is>
          <t>Nifty Auto</t>
        </is>
      </c>
      <c r="T136" s="32" t="inlineStr"/>
      <c r="U136" s="32" t="inlineStr"/>
      <c r="V136" s="32" t="inlineStr"/>
      <c r="W136" s="32" t="inlineStr"/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Blue sky scenario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Less than 12%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Yes</t>
        </is>
      </c>
      <c r="BS136" s="31">
        <f>IF(BR136="NO",5,0)</f>
        <v/>
      </c>
      <c r="BT136" s="31" t="inlineStr">
        <is>
          <t>Above 2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IF(B137=0,"",RANK(B137,$B$2:$B$372,0))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RISHABH</t>
        </is>
      </c>
      <c r="D137" s="31" t="inlineStr">
        <is>
          <t>Rishabh Instruments Ltd</t>
        </is>
      </c>
      <c r="E137" s="31" t="inlineStr">
        <is>
          <t>industrials</t>
        </is>
      </c>
      <c r="F137" s="31" t="inlineStr">
        <is>
          <t>electric equipment</t>
        </is>
      </c>
      <c r="G137" s="31" t="inlineStr">
        <is>
          <t>smallcap</t>
        </is>
      </c>
      <c r="H137" s="32" t="n">
        <v>2654.09</v>
      </c>
      <c r="I137" s="32" t="n">
        <v>687.7</v>
      </c>
      <c r="J137" s="32" t="n">
        <v>-0.12</v>
      </c>
      <c r="K137" s="32" t="n">
        <v>178366</v>
      </c>
      <c r="L137" s="31" t="inlineStr"/>
      <c r="M137" s="31" t="inlineStr"/>
      <c r="N137" s="32">
        <f>IF(M137="Underperforming",-5,IF(L137&gt;=95,15,IF(L137&gt;=90,10,IF(L137&gt;=80,5,0))))</f>
        <v/>
      </c>
      <c r="O137" s="32" t="n">
        <v>71.09</v>
      </c>
      <c r="P137" s="32" t="n">
        <v>44.33</v>
      </c>
      <c r="Q137" s="32" t="n">
        <v>505.01</v>
      </c>
      <c r="R137" s="31" t="inlineStr">
        <is>
          <t>Near 52W High Breakout</t>
        </is>
      </c>
      <c r="S137" s="31" t="inlineStr">
        <is>
          <t>Nifty Infra</t>
        </is>
      </c>
      <c r="T137" s="32" t="inlineStr"/>
      <c r="U137" s="32" t="inlineStr"/>
      <c r="V137" s="32" t="inlineStr"/>
      <c r="W137" s="32" t="inlineStr"/>
      <c r="X137" s="31" t="inlineStr">
        <is>
          <t>Cyclical in an Upturn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Above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Less than 12%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IF(B138=0,"",RANK(B138,$B$2:$B$372,0))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SHALPAINTS</t>
        </is>
      </c>
      <c r="D138" s="31" t="inlineStr">
        <is>
          <t>Shalimar Paints Limited</t>
        </is>
      </c>
      <c r="E138" s="31" t="inlineStr">
        <is>
          <t>building materials</t>
        </is>
      </c>
      <c r="F138" s="31" t="inlineStr">
        <is>
          <t>paints / varnishes</t>
        </is>
      </c>
      <c r="G138" s="31" t="inlineStr">
        <is>
          <t>smallcap</t>
        </is>
      </c>
      <c r="H138" s="32" t="n">
        <v>685.34</v>
      </c>
      <c r="I138" s="32" t="n">
        <v>81.53</v>
      </c>
      <c r="J138" s="32" t="n">
        <v>-0.42</v>
      </c>
      <c r="K138" s="32" t="n">
        <v>96769</v>
      </c>
      <c r="L138" s="31" t="inlineStr"/>
      <c r="M138" s="31" t="inlineStr"/>
      <c r="N138" s="32">
        <f>IF(M138="Underperforming",-5,IF(L138&gt;=95,15,IF(L138&gt;=90,10,IF(L138&gt;=80,5,0))))</f>
        <v/>
      </c>
      <c r="O138" s="32" t="n">
        <v>63.74</v>
      </c>
      <c r="P138" s="32" t="n">
        <v>24.61</v>
      </c>
      <c r="Q138" s="32" t="n">
        <v>65.87</v>
      </c>
      <c r="R138" s="31" t="inlineStr">
        <is>
          <t>Earnings / Momentum Support</t>
        </is>
      </c>
      <c r="S138" s="31" t="inlineStr">
        <is>
          <t>Nifty Infra</t>
        </is>
      </c>
      <c r="T138" s="32" t="inlineStr"/>
      <c r="U138" s="32" t="inlineStr"/>
      <c r="V138" s="32" t="inlineStr"/>
      <c r="W138" s="32" t="inlineStr"/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IF(B139=0,"",RANK(B139,$B$2:$B$372,0))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NAZARA</t>
        </is>
      </c>
      <c r="D139" s="31" t="inlineStr">
        <is>
          <t>Nazara Technologies Ltd</t>
        </is>
      </c>
      <c r="E139" s="31" t="inlineStr">
        <is>
          <t>i.t</t>
        </is>
      </c>
      <c r="F139" s="31" t="inlineStr">
        <is>
          <t>telecommunications - service provider</t>
        </is>
      </c>
      <c r="G139" s="31" t="inlineStr">
        <is>
          <t>midcap</t>
        </is>
      </c>
      <c r="H139" s="32" t="n">
        <v>13772.12</v>
      </c>
      <c r="I139" s="32" t="n">
        <v>356.35</v>
      </c>
      <c r="J139" s="32" t="n">
        <v>-0.46</v>
      </c>
      <c r="K139" s="32" t="n">
        <v>537958</v>
      </c>
      <c r="L139" s="31" t="n">
        <v>41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72.36</v>
      </c>
      <c r="P139" s="32" t="n">
        <v>23.25</v>
      </c>
      <c r="Q139" s="32" t="n">
        <v>290.85</v>
      </c>
      <c r="R139" s="31" t="inlineStr">
        <is>
          <t>Near 52W High Breakout</t>
        </is>
      </c>
      <c r="S139" s="31" t="inlineStr">
        <is>
          <t>Nifty IT</t>
        </is>
      </c>
      <c r="T139" s="32" t="n">
        <v>-13.82</v>
      </c>
      <c r="U139" s="32" t="n">
        <v>22.76</v>
      </c>
      <c r="V139" s="32" t="n">
        <v>42.45</v>
      </c>
      <c r="W139" s="32" t="n">
        <v>10.63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Oligopoly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Yes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IF(B140=0,"",RANK(B140,$B$2:$B$372,0))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ACMESOLAR</t>
        </is>
      </c>
      <c r="D140" s="31" t="inlineStr">
        <is>
          <t>ACME Solar Holdings Ltd</t>
        </is>
      </c>
      <c r="E140" s="31" t="inlineStr">
        <is>
          <t>realty</t>
        </is>
      </c>
      <c r="F140" s="31" t="inlineStr">
        <is>
          <t>engineering - turnkey services</t>
        </is>
      </c>
      <c r="G140" s="31" t="inlineStr">
        <is>
          <t>largecap</t>
        </is>
      </c>
      <c r="H140" s="32" t="n">
        <v>28225.49</v>
      </c>
      <c r="I140" s="32" t="n">
        <v>395.95</v>
      </c>
      <c r="J140" s="32" t="n">
        <v>-0.84</v>
      </c>
      <c r="K140" s="32" t="n">
        <v>1294315</v>
      </c>
      <c r="L140" s="31" t="inlineStr"/>
      <c r="M140" s="31" t="inlineStr"/>
      <c r="N140" s="32">
        <f>IF(M140="Underperforming",-5,IF(L140&gt;=95,15,IF(L140&gt;=90,10,IF(L140&gt;=80,5,0))))</f>
        <v/>
      </c>
      <c r="O140" s="32" t="n">
        <v>68.54000000000001</v>
      </c>
      <c r="P140" s="32" t="n">
        <v>43.96</v>
      </c>
      <c r="Q140" s="32" t="n">
        <v>314.91</v>
      </c>
      <c r="R140" s="31" t="inlineStr">
        <is>
          <t>Near 52W High Breakout</t>
        </is>
      </c>
      <c r="S140" s="31" t="inlineStr">
        <is>
          <t>Nifty Realty</t>
        </is>
      </c>
      <c r="T140" s="32" t="inlineStr"/>
      <c r="U140" s="32" t="inlineStr"/>
      <c r="V140" s="32" t="inlineStr"/>
      <c r="W140" s="32" t="inlineStr"/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Above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Blue sky scenario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More than 1.2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IF(B141=0,"",RANK(B141,$B$2:$B$372,0))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GAYAPROJ</t>
        </is>
      </c>
      <c r="D141" s="31" t="inlineStr">
        <is>
          <t>Gayatri Projects Limited</t>
        </is>
      </c>
      <c r="E141" s="31" t="inlineStr">
        <is>
          <t>realty</t>
        </is>
      </c>
      <c r="F141" s="31" t="inlineStr">
        <is>
          <t>construction</t>
        </is>
      </c>
      <c r="G141" s="31" t="inlineStr">
        <is>
          <t>smallcap</t>
        </is>
      </c>
      <c r="H141" s="32" t="n">
        <v>1034.46</v>
      </c>
      <c r="I141" s="32" t="n">
        <v>22.05</v>
      </c>
      <c r="J141" s="32" t="n">
        <v>-1.03</v>
      </c>
      <c r="K141" s="32" t="n">
        <v>569578</v>
      </c>
      <c r="L141" s="31" t="inlineStr"/>
      <c r="M141" s="31" t="inlineStr"/>
      <c r="N141" s="32">
        <f>IF(M141="Underperforming",-5,IF(L141&gt;=95,15,IF(L141&gt;=90,10,IF(L141&gt;=80,5,0))))</f>
        <v/>
      </c>
      <c r="O141" s="32" t="n">
        <v>64.31</v>
      </c>
      <c r="P141" s="32" t="n">
        <v>29.99</v>
      </c>
      <c r="Q141" s="32" t="n">
        <v>17.55</v>
      </c>
      <c r="R141" s="31" t="inlineStr">
        <is>
          <t>Earnings / Momentum Support</t>
        </is>
      </c>
      <c r="S141" s="31" t="inlineStr">
        <is>
          <t>Nifty Realty</t>
        </is>
      </c>
      <c r="T141" s="32" t="inlineStr"/>
      <c r="U141" s="32" t="inlineStr"/>
      <c r="V141" s="32" t="inlineStr"/>
      <c r="W141" s="32" t="inlineStr"/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No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Less than 1.5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IF(B142=0,"",RANK(B142,$B$2:$B$372,0))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THELEELA</t>
        </is>
      </c>
      <c r="D142" s="31" t="inlineStr">
        <is>
          <t>Leela Palaces Hotels &amp; Resorts Ltd</t>
        </is>
      </c>
      <c r="E142" s="31" t="inlineStr">
        <is>
          <t>services</t>
        </is>
      </c>
      <c r="F142" s="31" t="inlineStr">
        <is>
          <t>hotels</t>
        </is>
      </c>
      <c r="G142" s="31" t="inlineStr">
        <is>
          <t>midcap</t>
        </is>
      </c>
      <c r="H142" s="32" t="n">
        <v>18531.32</v>
      </c>
      <c r="I142" s="32" t="n">
        <v>549</v>
      </c>
      <c r="J142" s="32" t="n">
        <v>-1.06</v>
      </c>
      <c r="K142" s="32" t="n">
        <v>538510</v>
      </c>
      <c r="L142" s="31" t="n">
        <v>57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68.12</v>
      </c>
      <c r="P142" s="32" t="n">
        <v>33.43</v>
      </c>
      <c r="Q142" s="32" t="n">
        <v>457.05</v>
      </c>
      <c r="R142" s="31" t="inlineStr">
        <is>
          <t>Near 52W High Breakout</t>
        </is>
      </c>
      <c r="S142" s="31" t="inlineStr">
        <is>
          <t>Nifty 50</t>
        </is>
      </c>
      <c r="T142" s="32" t="n">
        <v>-0.9</v>
      </c>
      <c r="U142" s="32" t="n">
        <v>38.39</v>
      </c>
      <c r="V142" s="32" t="n">
        <v>39.64</v>
      </c>
      <c r="W142" s="32" t="n">
        <v>14.36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More than 20%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IF(B143=0,"",RANK(B143,$B$2:$B$372,0))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LODHA</t>
        </is>
      </c>
      <c r="D143" s="31" t="inlineStr">
        <is>
          <t>Lodha Developers Ltd</t>
        </is>
      </c>
      <c r="E143" s="31" t="inlineStr">
        <is>
          <t>realty</t>
        </is>
      </c>
      <c r="F143" s="31" t="inlineStr">
        <is>
          <t>construction</t>
        </is>
      </c>
      <c r="G143" s="31" t="inlineStr">
        <is>
          <t>largecap</t>
        </is>
      </c>
      <c r="H143" s="32" t="n">
        <v>127993.99</v>
      </c>
      <c r="I143" s="32" t="n">
        <v>1265</v>
      </c>
      <c r="J143" s="32" t="n">
        <v>-1.26</v>
      </c>
      <c r="K143" s="32" t="n">
        <v>1385372</v>
      </c>
      <c r="L143" s="31" t="inlineStr"/>
      <c r="M143" s="31" t="inlineStr"/>
      <c r="N143" s="32">
        <f>IF(M143="Underperforming",-5,IF(L143&gt;=95,15,IF(L143&gt;=90,10,IF(L143&gt;=80,5,0))))</f>
        <v/>
      </c>
      <c r="O143" s="32" t="n">
        <v>65.15000000000001</v>
      </c>
      <c r="P143" s="32" t="n">
        <v>24.53</v>
      </c>
      <c r="Q143" s="32" t="n">
        <v>997.22</v>
      </c>
      <c r="R143" s="31" t="inlineStr">
        <is>
          <t>Near 52W High Breakout</t>
        </is>
      </c>
      <c r="S143" s="31" t="inlineStr">
        <is>
          <t>Nifty Realty</t>
        </is>
      </c>
      <c r="T143" s="32" t="inlineStr"/>
      <c r="U143" s="32" t="inlineStr"/>
      <c r="V143" s="32" t="inlineStr"/>
      <c r="W143" s="32" t="inlineStr"/>
      <c r="X143" s="31" t="inlineStr">
        <is>
          <t>Growing Industry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Close to 52 week high or retracement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IF(B144=0,"",RANK(B144,$B$2:$B$372,0))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ARVSMART</t>
        </is>
      </c>
      <c r="D144" s="31" t="inlineStr">
        <is>
          <t>Arvind Smartspaces Limited</t>
        </is>
      </c>
      <c r="E144" s="31" t="inlineStr">
        <is>
          <t>realty</t>
        </is>
      </c>
      <c r="F144" s="31" t="inlineStr">
        <is>
          <t>construction</t>
        </is>
      </c>
      <c r="G144" s="31" t="inlineStr">
        <is>
          <t>smallcap</t>
        </is>
      </c>
      <c r="H144" s="32" t="n">
        <v>3136.15</v>
      </c>
      <c r="I144" s="32" t="n">
        <v>673.7</v>
      </c>
      <c r="J144" s="32" t="n">
        <v>-1.47</v>
      </c>
      <c r="K144" s="32" t="n">
        <v>170739</v>
      </c>
      <c r="L144" s="31" t="inlineStr"/>
      <c r="M144" s="31" t="inlineStr"/>
      <c r="N144" s="32">
        <f>IF(M144="Underperforming",-5,IF(L144&gt;=95,15,IF(L144&gt;=90,10,IF(L144&gt;=80,5,0))))</f>
        <v/>
      </c>
      <c r="O144" s="32" t="n">
        <v>62.83</v>
      </c>
      <c r="P144" s="32" t="n">
        <v>31.29</v>
      </c>
      <c r="Q144" s="32" t="n">
        <v>535.39</v>
      </c>
      <c r="R144" s="31" t="inlineStr">
        <is>
          <t>Near 52W High Breakout</t>
        </is>
      </c>
      <c r="S144" s="31" t="inlineStr">
        <is>
          <t>Nifty Realty</t>
        </is>
      </c>
      <c r="T144" s="32" t="inlineStr"/>
      <c r="U144" s="32" t="inlineStr"/>
      <c r="V144" s="32" t="inlineStr"/>
      <c r="W144" s="32" t="inlineStr"/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IF(B145=0,"",RANK(B145,$B$2:$B$372,0))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WELCORP</t>
        </is>
      </c>
      <c r="D145" s="31" t="inlineStr">
        <is>
          <t>Welspun Corp Limited</t>
        </is>
      </c>
      <c r="E145" s="31" t="inlineStr">
        <is>
          <t>industrials</t>
        </is>
      </c>
      <c r="F145" s="31" t="inlineStr">
        <is>
          <t>steel - large</t>
        </is>
      </c>
      <c r="G145" s="31" t="inlineStr">
        <is>
          <t>largecap</t>
        </is>
      </c>
      <c r="H145" s="32" t="n">
        <v>61872.1</v>
      </c>
      <c r="I145" s="32" t="n">
        <v>2306.7</v>
      </c>
      <c r="J145" s="32" t="n">
        <v>-1.65</v>
      </c>
      <c r="K145" s="32" t="n">
        <v>6181114</v>
      </c>
      <c r="L145" s="31" t="inlineStr"/>
      <c r="M145" s="31" t="inlineStr"/>
      <c r="N145" s="32">
        <f>IF(M145="Underperforming",-5,IF(L145&gt;=95,15,IF(L145&gt;=90,10,IF(L145&gt;=80,5,0))))</f>
        <v/>
      </c>
      <c r="O145" s="32" t="n">
        <v>92.72</v>
      </c>
      <c r="P145" s="32" t="n">
        <v>73.7</v>
      </c>
      <c r="Q145" s="32" t="n">
        <v>1891.83</v>
      </c>
      <c r="R145" s="31" t="inlineStr">
        <is>
          <t>Volume Spike &amp; Near 52W High Breakout</t>
        </is>
      </c>
      <c r="S145" s="31" t="inlineStr">
        <is>
          <t>Nifty Metal</t>
        </is>
      </c>
      <c r="T145" s="32" t="inlineStr"/>
      <c r="U145" s="32" t="inlineStr"/>
      <c r="V145" s="32" t="inlineStr"/>
      <c r="W145" s="32" t="inlineStr"/>
      <c r="X145" s="31" t="inlineStr">
        <is>
          <t>Cyclical in an Upturn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Above 40</t>
        </is>
      </c>
      <c r="AY145" s="31">
        <f>IF(AX145="Above 40",20,IF(AX145="20 to 40",10,IF(AX145="0 to 20",-5,0)))</f>
        <v/>
      </c>
      <c r="AZ145" s="31" t="inlineStr">
        <is>
          <t>Above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IF(B146=0,"",RANK(B146,$B$2:$B$372,0))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MACPOWER</t>
        </is>
      </c>
      <c r="D146" s="31" t="inlineStr">
        <is>
          <t>Macpower CNC Machines Ltd</t>
        </is>
      </c>
      <c r="E146" s="31" t="inlineStr">
        <is>
          <t>industrials</t>
        </is>
      </c>
      <c r="F146" s="31" t="inlineStr">
        <is>
          <t>engineering</t>
        </is>
      </c>
      <c r="G146" s="31" t="inlineStr">
        <is>
          <t>smallcap</t>
        </is>
      </c>
      <c r="H146" s="32" t="n">
        <v>1903.79</v>
      </c>
      <c r="I146" s="32" t="n">
        <v>1850.6</v>
      </c>
      <c r="J146" s="32" t="n">
        <v>-2.75</v>
      </c>
      <c r="K146" s="32" t="n">
        <v>92983</v>
      </c>
      <c r="L146" s="31" t="n">
        <v>96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76.02</v>
      </c>
      <c r="P146" s="32" t="n">
        <v>36.27</v>
      </c>
      <c r="Q146" s="32" t="n">
        <v>1343.94</v>
      </c>
      <c r="R146" s="31" t="inlineStr">
        <is>
          <t>Near 52W High Breakout</t>
        </is>
      </c>
      <c r="S146" s="31" t="inlineStr">
        <is>
          <t>Nifty 50</t>
        </is>
      </c>
      <c r="T146" s="32" t="n">
        <v>-0.9</v>
      </c>
      <c r="U146" s="32" t="n">
        <v>128.91</v>
      </c>
      <c r="V146" s="32" t="n">
        <v>130.98</v>
      </c>
      <c r="W146" s="32" t="n">
        <v>40.37</v>
      </c>
      <c r="X146" s="31" t="inlineStr">
        <is>
          <t>Cyclical in an Upturn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Above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IF(B147=0,"",RANK(B147,$B$2:$B$372,0))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KANPRPLA</t>
        </is>
      </c>
      <c r="D147" s="31" t="inlineStr">
        <is>
          <t>Kanpur Plastipack Ltd</t>
        </is>
      </c>
      <c r="E147" s="31" t="inlineStr">
        <is>
          <t>industrials</t>
        </is>
      </c>
      <c r="F147" s="31" t="inlineStr">
        <is>
          <t>packaging</t>
        </is>
      </c>
      <c r="G147" s="31" t="inlineStr">
        <is>
          <t>smallcap</t>
        </is>
      </c>
      <c r="H147" s="32" t="n">
        <v>678.53</v>
      </c>
      <c r="I147" s="32" t="n">
        <v>263.31</v>
      </c>
      <c r="J147" s="32" t="n">
        <v>-5.01</v>
      </c>
      <c r="K147" s="32" t="n">
        <v>54907</v>
      </c>
      <c r="L147" s="31" t="n">
        <v>52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71.31999999999999</v>
      </c>
      <c r="P147" s="32" t="n">
        <v>22.71</v>
      </c>
      <c r="Q147" s="32" t="n">
        <v>184.42</v>
      </c>
      <c r="R147" s="31" t="inlineStr">
        <is>
          <t>Near 52W High Breakout</t>
        </is>
      </c>
      <c r="S147" s="31" t="inlineStr">
        <is>
          <t>Nifty 50</t>
        </is>
      </c>
      <c r="T147" s="32" t="n">
        <v>-0.9</v>
      </c>
      <c r="U147" s="32" t="n">
        <v>34.17</v>
      </c>
      <c r="V147" s="32" t="n">
        <v>35.39</v>
      </c>
      <c r="W147" s="32" t="n">
        <v>13.58</v>
      </c>
      <c r="X147" s="31" t="inlineStr">
        <is>
          <t>Cyclical in an Upturn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Blue sky scenario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IF(B148=0,"",RANK(B148,$B$2:$B$372,0))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THEMISMED</t>
        </is>
      </c>
      <c r="D148" s="31" t="inlineStr">
        <is>
          <t>Themis Medicare Limited</t>
        </is>
      </c>
      <c r="E148" s="31" t="inlineStr">
        <is>
          <t>healthcare</t>
        </is>
      </c>
      <c r="F148" s="31" t="inlineStr">
        <is>
          <t>pharmaceuticals - indian - bulk drugs &amp; formln</t>
        </is>
      </c>
      <c r="G148" s="31" t="inlineStr">
        <is>
          <t>smallcap</t>
        </is>
      </c>
      <c r="H148" s="32" t="n">
        <v>1098.2</v>
      </c>
      <c r="I148" s="32" t="n">
        <v>126.26</v>
      </c>
      <c r="J148" s="32" t="n">
        <v>5.89</v>
      </c>
      <c r="K148" s="32" t="n">
        <v>1801406</v>
      </c>
      <c r="L148" s="31" t="n">
        <v>37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64.73999999999999</v>
      </c>
      <c r="P148" s="32" t="n">
        <v>35.63</v>
      </c>
      <c r="Q148" s="32" t="n">
        <v>86.44</v>
      </c>
      <c r="R148" s="31" t="inlineStr">
        <is>
          <t>Volume Spike &amp; Near 52W High Breakout</t>
        </is>
      </c>
      <c r="S148" s="31" t="inlineStr">
        <is>
          <t>Nifty Pharma</t>
        </is>
      </c>
      <c r="T148" s="32" t="n">
        <v>22.12</v>
      </c>
      <c r="U148" s="32" t="n">
        <v>28.05</v>
      </c>
      <c r="V148" s="32" t="n">
        <v>4.86</v>
      </c>
      <c r="W148" s="32" t="n">
        <v>9.42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Yes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Annuity, Lower One Time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IF(B149=0,"",RANK(B149,$B$2:$B$372,0))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DIVISLAB</t>
        </is>
      </c>
      <c r="D149" s="31" t="inlineStr">
        <is>
          <t>Divi's Laboratories Limited</t>
        </is>
      </c>
      <c r="E149" s="31" t="inlineStr">
        <is>
          <t>healthcare</t>
        </is>
      </c>
      <c r="F149" s="31" t="inlineStr">
        <is>
          <t>pharmaceuticals - indian - bulk drugs</t>
        </is>
      </c>
      <c r="G149" s="31" t="inlineStr">
        <is>
          <t>largecap</t>
        </is>
      </c>
      <c r="H149" s="32" t="n">
        <v>232139</v>
      </c>
      <c r="I149" s="32" t="n">
        <v>9025</v>
      </c>
      <c r="J149" s="32" t="n">
        <v>3.21</v>
      </c>
      <c r="K149" s="32" t="n">
        <v>700482</v>
      </c>
      <c r="L149" s="31" t="n">
        <v>62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86.92</v>
      </c>
      <c r="P149" s="32" t="n">
        <v>37.12</v>
      </c>
      <c r="Q149" s="32" t="n">
        <v>7904.89</v>
      </c>
      <c r="R149" s="31" t="inlineStr">
        <is>
          <t>Near 52W High Breakout</t>
        </is>
      </c>
      <c r="S149" s="31" t="inlineStr">
        <is>
          <t>Nifty Pharma</t>
        </is>
      </c>
      <c r="T149" s="32" t="n">
        <v>22.12</v>
      </c>
      <c r="U149" s="32" t="n">
        <v>47.8</v>
      </c>
      <c r="V149" s="32" t="n">
        <v>21.03</v>
      </c>
      <c r="W149" s="32" t="n">
        <v>16.09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Yes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Annuity, Lower One Time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Above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Blue sky scenario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More than 20%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Less than 1.5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IF(B150=0,"",RANK(B150,$B$2:$B$372,0))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NEULANDLAB</t>
        </is>
      </c>
      <c r="D150" s="31" t="inlineStr">
        <is>
          <t>Neuland Laboratories Limited</t>
        </is>
      </c>
      <c r="E150" s="31" t="inlineStr">
        <is>
          <t>healthcare</t>
        </is>
      </c>
      <c r="F150" s="31" t="inlineStr">
        <is>
          <t>pharmaceuticals - indian - bulk drugs</t>
        </is>
      </c>
      <c r="G150" s="31" t="inlineStr">
        <is>
          <t>largecap</t>
        </is>
      </c>
      <c r="H150" s="32" t="n">
        <v>29442.03</v>
      </c>
      <c r="I150" s="32" t="n">
        <v>23545</v>
      </c>
      <c r="J150" s="32" t="n">
        <v>2.6</v>
      </c>
      <c r="K150" s="32" t="n">
        <v>51134</v>
      </c>
      <c r="L150" s="31" t="n">
        <v>75</v>
      </c>
      <c r="M150" s="31" t="inlineStr">
        <is>
          <t>Outperforming</t>
        </is>
      </c>
      <c r="N150" s="32">
        <f>IF(M150="Underperforming",-5,IF(L150&gt;=95,15,IF(L150&gt;=90,10,IF(L150&gt;=80,5,0))))</f>
        <v/>
      </c>
      <c r="O150" s="32" t="n">
        <v>77.95999999999999</v>
      </c>
      <c r="P150" s="32" t="n">
        <v>55.83</v>
      </c>
      <c r="Q150" s="32" t="n">
        <v>19183.45</v>
      </c>
      <c r="R150" s="31" t="inlineStr">
        <is>
          <t>Near 52W High Breakout</t>
        </is>
      </c>
      <c r="S150" s="31" t="inlineStr">
        <is>
          <t>Nifty Pharma</t>
        </is>
      </c>
      <c r="T150" s="32" t="n">
        <v>22.12</v>
      </c>
      <c r="U150" s="32" t="n">
        <v>75.31</v>
      </c>
      <c r="V150" s="32" t="n">
        <v>43.56</v>
      </c>
      <c r="W150" s="32" t="n">
        <v>22.4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Yes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Annuity, Lower One Time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Above 40</t>
        </is>
      </c>
      <c r="AY150" s="31">
        <f>IF(AX150="Above 40",20,IF(AX150="20 to 40",10,IF(AX150="0 to 20",-5,0)))</f>
        <v/>
      </c>
      <c r="AZ150" s="31" t="inlineStr">
        <is>
          <t>Above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Blue sky scenario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IF(B151=0,"",RANK(B151,$B$2:$B$372,0))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DALMIASUG</t>
        </is>
      </c>
      <c r="D151" s="31" t="inlineStr">
        <is>
          <t>Dalmia Bharat Sugar And Industries Limited</t>
        </is>
      </c>
      <c r="E151" s="31" t="inlineStr">
        <is>
          <t>fmcg</t>
        </is>
      </c>
      <c r="F151" s="31" t="inlineStr">
        <is>
          <t>sugar</t>
        </is>
      </c>
      <c r="G151" s="31" t="inlineStr">
        <is>
          <t>smallcap</t>
        </is>
      </c>
      <c r="H151" s="32" t="n">
        <v>3806.17</v>
      </c>
      <c r="I151" s="32" t="n">
        <v>481.1</v>
      </c>
      <c r="J151" s="32" t="n">
        <v>2.31</v>
      </c>
      <c r="K151" s="32" t="n">
        <v>435108</v>
      </c>
      <c r="L151" s="31" t="inlineStr"/>
      <c r="M151" s="31" t="inlineStr"/>
      <c r="N151" s="32">
        <f>IF(M151="Underperforming",-5,IF(L151&gt;=95,15,IF(L151&gt;=90,10,IF(L151&gt;=80,5,0))))</f>
        <v/>
      </c>
      <c r="O151" s="32" t="n">
        <v>71.75</v>
      </c>
      <c r="P151" s="32" t="n">
        <v>30.25</v>
      </c>
      <c r="Q151" s="32" t="n">
        <v>373.75</v>
      </c>
      <c r="R151" s="31" t="inlineStr">
        <is>
          <t>Near 52W High Breakout</t>
        </is>
      </c>
      <c r="S151" s="31" t="inlineStr">
        <is>
          <t>Nifty FMCG</t>
        </is>
      </c>
      <c r="T151" s="32" t="inlineStr"/>
      <c r="U151" s="32" t="inlineStr"/>
      <c r="V151" s="32" t="inlineStr"/>
      <c r="W151" s="32" t="inlineStr"/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B2C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Annuity, Lower One Time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Close to 52 week high or retracement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No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IF(B152=0,"",RANK(B152,$B$2:$B$372,0))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3" t="inlineStr">
        <is>
          <t>ZYDUSLIFE</t>
        </is>
      </c>
      <c r="D152" s="33" t="inlineStr">
        <is>
          <t>Zydus Lifesciences Ltd</t>
        </is>
      </c>
      <c r="E152" s="31" t="inlineStr">
        <is>
          <t>healthcare</t>
        </is>
      </c>
      <c r="F152" s="31" t="inlineStr">
        <is>
          <t>pharmaceuticals - indian - bulk drugs &amp; formln</t>
        </is>
      </c>
      <c r="G152" s="31" t="inlineStr">
        <is>
          <t>largecap</t>
        </is>
      </c>
      <c r="H152" s="32" t="n">
        <v>112169.31</v>
      </c>
      <c r="I152" s="32" t="n">
        <v>1150</v>
      </c>
      <c r="J152" s="32" t="n">
        <v>2.27</v>
      </c>
      <c r="K152" s="32" t="n">
        <v>1393308</v>
      </c>
      <c r="L152" s="31" t="n">
        <v>16</v>
      </c>
      <c r="M152" s="31" t="inlineStr">
        <is>
          <t>Underperforming</t>
        </is>
      </c>
      <c r="N152" s="32">
        <f>IF(M152="Underperforming",-5,IF(L152&gt;=95,15,IF(L152&gt;=90,10,IF(L152&gt;=80,5,0))))</f>
        <v/>
      </c>
      <c r="O152" s="32" t="n">
        <v>65.89</v>
      </c>
      <c r="P152" s="32" t="n">
        <v>42.24</v>
      </c>
      <c r="Q152" s="32" t="n">
        <v>982.36</v>
      </c>
      <c r="R152" s="31" t="inlineStr">
        <is>
          <t>Near 52W High Breakout</t>
        </is>
      </c>
      <c r="S152" s="31" t="inlineStr">
        <is>
          <t>Nifty Pharma</t>
        </is>
      </c>
      <c r="T152" s="32" t="n">
        <v>22.12</v>
      </c>
      <c r="U152" s="32" t="n">
        <v>17.33</v>
      </c>
      <c r="V152" s="32" t="n">
        <v>-3.92</v>
      </c>
      <c r="W152" s="32" t="n">
        <v>4.88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Yes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Annuity, Lower One Time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Above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Blue sky scenario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Less than 12%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IF(B153=0,"",RANK(B153,$B$2:$B$372,0))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BLSE</t>
        </is>
      </c>
      <c r="D153" s="31" t="inlineStr">
        <is>
          <t>BLS E-Services Ltd</t>
        </is>
      </c>
      <c r="E153" s="31" t="inlineStr">
        <is>
          <t>i.t</t>
        </is>
      </c>
      <c r="F153" s="31" t="inlineStr">
        <is>
          <t>computers - software - medium / small</t>
        </is>
      </c>
      <c r="G153" s="31" t="inlineStr">
        <is>
          <t>smallcap</t>
        </is>
      </c>
      <c r="H153" s="32" t="n">
        <v>2835.63</v>
      </c>
      <c r="I153" s="32" t="n">
        <v>318.2</v>
      </c>
      <c r="J153" s="32" t="n">
        <v>1.95</v>
      </c>
      <c r="K153" s="32" t="n">
        <v>335682</v>
      </c>
      <c r="L153" s="31" t="n">
        <v>86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83.27</v>
      </c>
      <c r="P153" s="32" t="n">
        <v>53.69</v>
      </c>
      <c r="Q153" s="32" t="n">
        <v>257.1</v>
      </c>
      <c r="R153" s="31" t="inlineStr">
        <is>
          <t>Near 52W High Breakout</t>
        </is>
      </c>
      <c r="S153" s="31" t="inlineStr">
        <is>
          <t>Nifty IT</t>
        </is>
      </c>
      <c r="T153" s="32" t="n">
        <v>-13.82</v>
      </c>
      <c r="U153" s="32" t="n">
        <v>82.81</v>
      </c>
      <c r="V153" s="32" t="n">
        <v>112.13</v>
      </c>
      <c r="W153" s="32" t="n">
        <v>26.42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Annuity, Lower One Time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Above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Less than 12%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IF(B154=0,"",RANK(B154,$B$2:$B$372,0))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HNDFDS</t>
        </is>
      </c>
      <c r="D154" s="31" t="inlineStr">
        <is>
          <t>Hindustan Foods Ltd</t>
        </is>
      </c>
      <c r="E154" s="31" t="inlineStr">
        <is>
          <t>fmcg</t>
        </is>
      </c>
      <c r="F154" s="31" t="inlineStr">
        <is>
          <t>diversified - large</t>
        </is>
      </c>
      <c r="G154" s="31" t="inlineStr">
        <is>
          <t>midcap</t>
        </is>
      </c>
      <c r="H154" s="32" t="n">
        <v>7618.1</v>
      </c>
      <c r="I154" s="32" t="n">
        <v>635</v>
      </c>
      <c r="J154" s="32" t="n">
        <v>0.99</v>
      </c>
      <c r="K154" s="32" t="n">
        <v>94770</v>
      </c>
      <c r="L154" s="31" t="inlineStr"/>
      <c r="M154" s="31" t="inlineStr"/>
      <c r="N154" s="32">
        <f>IF(M154="Underperforming",-5,IF(L154&gt;=95,15,IF(L154&gt;=90,10,IF(L154&gt;=80,5,0))))</f>
        <v/>
      </c>
      <c r="O154" s="32" t="n">
        <v>71.18000000000001</v>
      </c>
      <c r="P154" s="32" t="n">
        <v>38.53</v>
      </c>
      <c r="Q154" s="32" t="n">
        <v>535.9400000000001</v>
      </c>
      <c r="R154" s="31" t="inlineStr">
        <is>
          <t>Near 52W High Breakout</t>
        </is>
      </c>
      <c r="S154" s="31" t="inlineStr">
        <is>
          <t>Nifty FMCG</t>
        </is>
      </c>
      <c r="T154" s="32" t="inlineStr"/>
      <c r="U154" s="32" t="inlineStr"/>
      <c r="V154" s="32" t="inlineStr"/>
      <c r="W154" s="32" t="inlineStr"/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B2C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Annuity, Lower One Time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Between 1.5 to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Between 0.7 to 1.2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IF(B155=0,"",RANK(B155,$B$2:$B$372,0))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BALRAMCHIN</t>
        </is>
      </c>
      <c r="D155" s="31" t="inlineStr">
        <is>
          <t>Balrampur Chini Mills Limited</t>
        </is>
      </c>
      <c r="E155" s="31" t="inlineStr">
        <is>
          <t>fmcg</t>
        </is>
      </c>
      <c r="F155" s="31" t="inlineStr">
        <is>
          <t>sugar</t>
        </is>
      </c>
      <c r="G155" s="31" t="inlineStr">
        <is>
          <t>midcap</t>
        </is>
      </c>
      <c r="H155" s="32" t="n">
        <v>14114.76</v>
      </c>
      <c r="I155" s="32" t="n">
        <v>674.35</v>
      </c>
      <c r="J155" s="32" t="n">
        <v>0.9399999999999999</v>
      </c>
      <c r="K155" s="32" t="n">
        <v>4688513</v>
      </c>
      <c r="L155" s="31" t="inlineStr"/>
      <c r="M155" s="31" t="inlineStr"/>
      <c r="N155" s="32">
        <f>IF(M155="Underperforming",-5,IF(L155&gt;=95,15,IF(L155&gt;=90,10,IF(L155&gt;=80,5,0))))</f>
        <v/>
      </c>
      <c r="O155" s="32" t="n">
        <v>67.27</v>
      </c>
      <c r="P155" s="32" t="n">
        <v>49.4</v>
      </c>
      <c r="Q155" s="32" t="n">
        <v>570.5700000000001</v>
      </c>
      <c r="R155" s="31" t="inlineStr">
        <is>
          <t>Volume Spike / Accumulation</t>
        </is>
      </c>
      <c r="S155" s="31" t="inlineStr">
        <is>
          <t>Nifty FMCG</t>
        </is>
      </c>
      <c r="T155" s="32" t="inlineStr"/>
      <c r="U155" s="32" t="inlineStr"/>
      <c r="V155" s="32" t="inlineStr"/>
      <c r="W155" s="32" t="inlineStr"/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B2C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Annuity, Lower One Time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Less than 12%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Between 0.7 to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IF(B156=0,"",RANK(B156,$B$2:$B$372,0))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ARTEMISMED</t>
        </is>
      </c>
      <c r="D156" s="31" t="inlineStr">
        <is>
          <t>Artemis Medicare Services Ltd</t>
        </is>
      </c>
      <c r="E156" s="31" t="inlineStr">
        <is>
          <t>healthcare</t>
        </is>
      </c>
      <c r="F156" s="31" t="inlineStr">
        <is>
          <t>healthcare</t>
        </is>
      </c>
      <c r="G156" s="31" t="inlineStr">
        <is>
          <t>midcap</t>
        </is>
      </c>
      <c r="H156" s="32" t="n">
        <v>5124.37</v>
      </c>
      <c r="I156" s="32" t="n">
        <v>325.95</v>
      </c>
      <c r="J156" s="32" t="n">
        <v>0.7</v>
      </c>
      <c r="K156" s="32" t="n">
        <v>211449</v>
      </c>
      <c r="L156" s="31" t="n">
        <v>49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71.43000000000001</v>
      </c>
      <c r="P156" s="32" t="n">
        <v>32.66</v>
      </c>
      <c r="Q156" s="32" t="n">
        <v>266.37</v>
      </c>
      <c r="R156" s="31" t="inlineStr">
        <is>
          <t>Near 52W High Breakout</t>
        </is>
      </c>
      <c r="S156" s="31" t="inlineStr">
        <is>
          <t>Nifty Pharma</t>
        </is>
      </c>
      <c r="T156" s="32" t="n">
        <v>22.12</v>
      </c>
      <c r="U156" s="32" t="n">
        <v>47.98</v>
      </c>
      <c r="V156" s="32" t="n">
        <v>21.18</v>
      </c>
      <c r="W156" s="32" t="n">
        <v>13.09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Yes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Annuity, Lower One Time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IF(B157=0,"",RANK(B157,$B$2:$B$372,0))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3" t="inlineStr">
        <is>
          <t>TARSONS</t>
        </is>
      </c>
      <c r="D157" s="33" t="inlineStr">
        <is>
          <t>Tarsons Products Ltd</t>
        </is>
      </c>
      <c r="E157" s="31" t="inlineStr">
        <is>
          <t>healthcare</t>
        </is>
      </c>
      <c r="F157" s="31" t="inlineStr">
        <is>
          <t>miscellaneous</t>
        </is>
      </c>
      <c r="G157" s="31" t="inlineStr">
        <is>
          <t>smallcap</t>
        </is>
      </c>
      <c r="H157" s="32" t="n">
        <v>1838.28</v>
      </c>
      <c r="I157" s="32" t="n">
        <v>345</v>
      </c>
      <c r="J157" s="32" t="n">
        <v>-0.14</v>
      </c>
      <c r="K157" s="32" t="n">
        <v>145584</v>
      </c>
      <c r="L157" s="31" t="n">
        <v>69</v>
      </c>
      <c r="M157" s="31" t="inlineStr">
        <is>
          <t>Underperforming</t>
        </is>
      </c>
      <c r="N157" s="32">
        <f>IF(M157="Underperforming",-5,IF(L157&gt;=95,15,IF(L157&gt;=90,10,IF(L157&gt;=80,5,0))))</f>
        <v/>
      </c>
      <c r="O157" s="32" t="n">
        <v>68.87</v>
      </c>
      <c r="P157" s="32" t="n">
        <v>44.6</v>
      </c>
      <c r="Q157" s="32" t="n">
        <v>262.34</v>
      </c>
      <c r="R157" s="31" t="inlineStr">
        <is>
          <t>Near 52W High Breakout</t>
        </is>
      </c>
      <c r="S157" s="31" t="inlineStr">
        <is>
          <t>Nifty Pharma</t>
        </is>
      </c>
      <c r="T157" s="32" t="n">
        <v>22.12</v>
      </c>
      <c r="U157" s="32" t="n">
        <v>9.890000000000001</v>
      </c>
      <c r="V157" s="32" t="n">
        <v>-10.01</v>
      </c>
      <c r="W157" s="32" t="n">
        <v>18.78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Yes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Annuity, Lower One Time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IF(B158=0,"",RANK(B158,$B$2:$B$372,0))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MAGADSUGAR</t>
        </is>
      </c>
      <c r="D158" s="31" t="inlineStr">
        <is>
          <t>Magadh Sugar &amp; Energy Ltd</t>
        </is>
      </c>
      <c r="E158" s="31" t="inlineStr">
        <is>
          <t>fmcg</t>
        </is>
      </c>
      <c r="F158" s="31" t="inlineStr">
        <is>
          <t>sugar</t>
        </is>
      </c>
      <c r="G158" s="31" t="inlineStr">
        <is>
          <t>smallcap</t>
        </is>
      </c>
      <c r="H158" s="32" t="n">
        <v>820.63</v>
      </c>
      <c r="I158" s="32" t="n">
        <v>577.1</v>
      </c>
      <c r="J158" s="32" t="n">
        <v>-0.9</v>
      </c>
      <c r="K158" s="32" t="n">
        <v>65577</v>
      </c>
      <c r="L158" s="31" t="inlineStr"/>
      <c r="M158" s="31" t="inlineStr"/>
      <c r="N158" s="32">
        <f>IF(M158="Underperforming",-5,IF(L158&gt;=95,15,IF(L158&gt;=90,10,IF(L158&gt;=80,5,0))))</f>
        <v/>
      </c>
      <c r="O158" s="32" t="n">
        <v>66.56</v>
      </c>
      <c r="P158" s="32" t="n">
        <v>21.6</v>
      </c>
      <c r="Q158" s="32" t="n">
        <v>464.61</v>
      </c>
      <c r="R158" s="31" t="inlineStr">
        <is>
          <t>Near 52W High Breakout</t>
        </is>
      </c>
      <c r="S158" s="31" t="inlineStr">
        <is>
          <t>Nifty FMCG</t>
        </is>
      </c>
      <c r="T158" s="32" t="inlineStr"/>
      <c r="U158" s="32" t="inlineStr"/>
      <c r="V158" s="32" t="inlineStr"/>
      <c r="W158" s="32" t="inlineStr"/>
      <c r="X158" s="31" t="inlineStr">
        <is>
          <t>Growing Industry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B2C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Annuity, Lower One Time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Between 0.7 to 1.2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IF(B159=0,"",RANK(B159,$B$2:$B$372,0))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DBOL</t>
        </is>
      </c>
      <c r="D159" s="31" t="inlineStr">
        <is>
          <t>Dhampur Bio Organics Ltd</t>
        </is>
      </c>
      <c r="E159" s="31" t="inlineStr">
        <is>
          <t>fmcg</t>
        </is>
      </c>
      <c r="F159" s="31" t="inlineStr">
        <is>
          <t>sugar</t>
        </is>
      </c>
      <c r="G159" s="31" t="inlineStr">
        <is>
          <t>smallcap</t>
        </is>
      </c>
      <c r="H159" s="32" t="n">
        <v>856</v>
      </c>
      <c r="I159" s="32" t="n">
        <v>127.12</v>
      </c>
      <c r="J159" s="32" t="n">
        <v>-1.41</v>
      </c>
      <c r="K159" s="32" t="n">
        <v>254571</v>
      </c>
      <c r="L159" s="31" t="inlineStr"/>
      <c r="M159" s="31" t="inlineStr"/>
      <c r="N159" s="32">
        <f>IF(M159="Underperforming",-5,IF(L159&gt;=95,15,IF(L159&gt;=90,10,IF(L159&gt;=80,5,0))))</f>
        <v/>
      </c>
      <c r="O159" s="32" t="n">
        <v>63.33</v>
      </c>
      <c r="P159" s="32" t="n">
        <v>35.85</v>
      </c>
      <c r="Q159" s="32" t="n">
        <v>96.28</v>
      </c>
      <c r="R159" s="31" t="inlineStr">
        <is>
          <t>Near 52W High Breakout</t>
        </is>
      </c>
      <c r="S159" s="31" t="inlineStr">
        <is>
          <t>Nifty FMCG</t>
        </is>
      </c>
      <c r="T159" s="32" t="inlineStr"/>
      <c r="U159" s="32" t="inlineStr"/>
      <c r="V159" s="32" t="inlineStr"/>
      <c r="W159" s="32" t="inlineStr"/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B2C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Annuity, Lower One Time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Between 0.7 to 1.2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IF(B160=0,"",RANK(B160,$B$2:$B$372,0))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MAWANASUG</t>
        </is>
      </c>
      <c r="D160" s="31" t="inlineStr">
        <is>
          <t>Mawana Sugars Limited</t>
        </is>
      </c>
      <c r="E160" s="31" t="inlineStr">
        <is>
          <t>fmcg</t>
        </is>
      </c>
      <c r="F160" s="31" t="inlineStr">
        <is>
          <t>sugar</t>
        </is>
      </c>
      <c r="G160" s="31" t="inlineStr">
        <is>
          <t>smallcap</t>
        </is>
      </c>
      <c r="H160" s="32" t="n">
        <v>562.03</v>
      </c>
      <c r="I160" s="32" t="n">
        <v>141.12</v>
      </c>
      <c r="J160" s="32" t="n">
        <v>-1.78</v>
      </c>
      <c r="K160" s="32" t="n">
        <v>583431</v>
      </c>
      <c r="L160" s="31" t="inlineStr"/>
      <c r="M160" s="31" t="inlineStr"/>
      <c r="N160" s="32">
        <f>IF(M160="Underperforming",-5,IF(L160&gt;=95,15,IF(L160&gt;=90,10,IF(L160&gt;=80,5,0))))</f>
        <v/>
      </c>
      <c r="O160" s="32" t="n">
        <v>70.56999999999999</v>
      </c>
      <c r="P160" s="32" t="n">
        <v>36.18</v>
      </c>
      <c r="Q160" s="32" t="n">
        <v>115.02</v>
      </c>
      <c r="R160" s="31" t="inlineStr">
        <is>
          <t>Volume Spike / Accumulation</t>
        </is>
      </c>
      <c r="S160" s="31" t="inlineStr">
        <is>
          <t>Nifty FMCG</t>
        </is>
      </c>
      <c r="T160" s="32" t="inlineStr"/>
      <c r="U160" s="32" t="inlineStr"/>
      <c r="V160" s="32" t="inlineStr"/>
      <c r="W160" s="32" t="inlineStr"/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B2C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Annuity, Lower One Time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Between 0.7 to 1.2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IF(B161=0,"",RANK(B161,$B$2:$B$372,0))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BECTORFOOD</t>
        </is>
      </c>
      <c r="D161" s="31" t="inlineStr">
        <is>
          <t>Mrs Bectors Food Specialities Ltd</t>
        </is>
      </c>
      <c r="E161" s="31" t="inlineStr">
        <is>
          <t>fmcg</t>
        </is>
      </c>
      <c r="F161" s="31" t="inlineStr">
        <is>
          <t>food - processing - indian</t>
        </is>
      </c>
      <c r="G161" s="31" t="inlineStr">
        <is>
          <t>midcap</t>
        </is>
      </c>
      <c r="H161" s="32" t="n">
        <v>7702.09</v>
      </c>
      <c r="I161" s="32" t="n">
        <v>243.24</v>
      </c>
      <c r="J161" s="32" t="n">
        <v>-3.05</v>
      </c>
      <c r="K161" s="32" t="n">
        <v>1182030</v>
      </c>
      <c r="L161" s="31" t="inlineStr"/>
      <c r="M161" s="31" t="inlineStr"/>
      <c r="N161" s="32">
        <f>IF(M161="Underperforming",-5,IF(L161&gt;=95,15,IF(L161&gt;=90,10,IF(L161&gt;=80,5,0))))</f>
        <v/>
      </c>
      <c r="O161" s="32" t="n">
        <v>63.38</v>
      </c>
      <c r="P161" s="32" t="n">
        <v>20.25</v>
      </c>
      <c r="Q161" s="32" t="n">
        <v>197.5</v>
      </c>
      <c r="R161" s="31" t="inlineStr">
        <is>
          <t>Earnings / Momentum Support</t>
        </is>
      </c>
      <c r="S161" s="31" t="inlineStr">
        <is>
          <t>Nifty FMCG</t>
        </is>
      </c>
      <c r="T161" s="32" t="inlineStr"/>
      <c r="U161" s="32" t="inlineStr"/>
      <c r="V161" s="32" t="inlineStr"/>
      <c r="W161" s="32" t="inlineStr"/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B2C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Annuity, Lower One Time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Between 1.5 to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IF(B162=0,"",RANK(B162,$B$2:$B$372,0))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OAL</t>
        </is>
      </c>
      <c r="D162" s="31" t="inlineStr">
        <is>
          <t>Oriental Aromatics Ltd</t>
        </is>
      </c>
      <c r="E162" s="31" t="inlineStr">
        <is>
          <t>chemicals</t>
        </is>
      </c>
      <c r="F162" s="31" t="inlineStr">
        <is>
          <t>chemicals</t>
        </is>
      </c>
      <c r="G162" s="31" t="inlineStr">
        <is>
          <t>smallcap</t>
        </is>
      </c>
      <c r="H162" s="32" t="n">
        <v>1175.69</v>
      </c>
      <c r="I162" s="32" t="n">
        <v>401.25</v>
      </c>
      <c r="J162" s="32" t="n">
        <v>14.86</v>
      </c>
      <c r="K162" s="32" t="n">
        <v>935419</v>
      </c>
      <c r="L162" s="31" t="n">
        <v>37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64.89</v>
      </c>
      <c r="P162" s="32" t="n">
        <v>27.15</v>
      </c>
      <c r="Q162" s="32" t="n">
        <v>293.86</v>
      </c>
      <c r="R162" s="31" t="inlineStr">
        <is>
          <t>Volume Spike &amp; Near 52W High Breakout</t>
        </is>
      </c>
      <c r="S162" s="31" t="inlineStr">
        <is>
          <t>Nifty 50</t>
        </is>
      </c>
      <c r="T162" s="32" t="n">
        <v>-0.9</v>
      </c>
      <c r="U162" s="32" t="n">
        <v>22.59</v>
      </c>
      <c r="V162" s="32" t="n">
        <v>23.7</v>
      </c>
      <c r="W162" s="32" t="n">
        <v>9.52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Yes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IF(B163=0,"",RANK(B163,$B$2:$B$372,0))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DCI</t>
        </is>
      </c>
      <c r="D163" s="31" t="inlineStr">
        <is>
          <t>DC Infotech &amp; Communication Ltd</t>
        </is>
      </c>
      <c r="E163" s="31" t="inlineStr">
        <is>
          <t>i.t</t>
        </is>
      </c>
      <c r="F163" s="31" t="inlineStr">
        <is>
          <t>trading</t>
        </is>
      </c>
      <c r="G163" s="31" t="inlineStr">
        <is>
          <t>smallcap</t>
        </is>
      </c>
      <c r="H163" s="32" t="n">
        <v>607.05</v>
      </c>
      <c r="I163" s="32" t="n">
        <v>401</v>
      </c>
      <c r="J163" s="32" t="n">
        <v>8.33</v>
      </c>
      <c r="K163" s="32" t="n">
        <v>184149</v>
      </c>
      <c r="L163" s="31" t="n">
        <v>70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73.53</v>
      </c>
      <c r="P163" s="32" t="n">
        <v>43.4</v>
      </c>
      <c r="Q163" s="32" t="n">
        <v>293.4</v>
      </c>
      <c r="R163" s="31" t="inlineStr">
        <is>
          <t>Near 52W High Breakout</t>
        </is>
      </c>
      <c r="S163" s="31" t="inlineStr">
        <is>
          <t>Nifty IT</t>
        </is>
      </c>
      <c r="T163" s="32" t="n">
        <v>-13.82</v>
      </c>
      <c r="U163" s="32" t="n">
        <v>66.83</v>
      </c>
      <c r="V163" s="32" t="n">
        <v>93.58</v>
      </c>
      <c r="W163" s="32" t="n">
        <v>19.32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Above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Less than 12%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Between 0.7 to 1.2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IF(B164=0,"",RANK(B164,$B$2:$B$372,0))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JINDALSAW</t>
        </is>
      </c>
      <c r="D164" s="31" t="inlineStr">
        <is>
          <t>Jindal Saw Limited</t>
        </is>
      </c>
      <c r="E164" s="31" t="inlineStr">
        <is>
          <t>industrials</t>
        </is>
      </c>
      <c r="F164" s="31" t="inlineStr">
        <is>
          <t>steel - large</t>
        </is>
      </c>
      <c r="G164" s="31" t="inlineStr">
        <is>
          <t>midcap</t>
        </is>
      </c>
      <c r="H164" s="32" t="n">
        <v>18018.14</v>
      </c>
      <c r="I164" s="32" t="n">
        <v>302.45</v>
      </c>
      <c r="J164" s="32" t="n">
        <v>7.35</v>
      </c>
      <c r="K164" s="32" t="n">
        <v>13451645</v>
      </c>
      <c r="L164" s="31" t="inlineStr"/>
      <c r="M164" s="31" t="inlineStr"/>
      <c r="N164" s="32">
        <f>IF(M164="Underperforming",-5,IF(L164&gt;=95,15,IF(L164&gt;=90,10,IF(L164&gt;=80,5,0))))</f>
        <v/>
      </c>
      <c r="O164" s="32" t="n">
        <v>69.95999999999999</v>
      </c>
      <c r="P164" s="32" t="n">
        <v>44.41</v>
      </c>
      <c r="Q164" s="32" t="n">
        <v>235.48</v>
      </c>
      <c r="R164" s="31" t="inlineStr">
        <is>
          <t>Volume Spike &amp; Near 52W High Breakout</t>
        </is>
      </c>
      <c r="S164" s="31" t="inlineStr">
        <is>
          <t>Nifty Metal</t>
        </is>
      </c>
      <c r="T164" s="32" t="inlineStr"/>
      <c r="U164" s="32" t="inlineStr"/>
      <c r="V164" s="32" t="inlineStr"/>
      <c r="W164" s="32" t="inlineStr"/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Above 40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IF(B165=0,"",RANK(B165,$B$2:$B$372,0))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SIGMAADV</t>
        </is>
      </c>
      <c r="D165" s="31" t="inlineStr">
        <is>
          <t>Sigma Advanced System Ltd</t>
        </is>
      </c>
      <c r="E165" s="31" t="inlineStr">
        <is>
          <t>aerospace &amp; defence</t>
        </is>
      </c>
      <c r="F165" s="31" t="inlineStr">
        <is>
          <t>electronics - components</t>
        </is>
      </c>
      <c r="G165" s="31" t="inlineStr">
        <is>
          <t>midcap</t>
        </is>
      </c>
      <c r="H165" s="32" t="n">
        <v>13126.4</v>
      </c>
      <c r="I165" s="32" t="n">
        <v>727.3</v>
      </c>
      <c r="J165" s="32" t="n">
        <v>4.99</v>
      </c>
      <c r="K165" s="32" t="n">
        <v>813237</v>
      </c>
      <c r="L165" s="31" t="n">
        <v>99</v>
      </c>
      <c r="M165" s="31" t="inlineStr">
        <is>
          <t>Outperforming</t>
        </is>
      </c>
      <c r="N165" s="32">
        <f>IF(M165="Underperforming",-5,IF(L165&gt;=95,15,IF(L165&gt;=90,10,IF(L165&gt;=80,5,0))))</f>
        <v/>
      </c>
      <c r="O165" s="32" t="n">
        <v>75.86</v>
      </c>
      <c r="P165" s="32" t="n">
        <v>66.01000000000001</v>
      </c>
      <c r="Q165" s="32" t="n">
        <v>536.11</v>
      </c>
      <c r="R165" s="31" t="inlineStr">
        <is>
          <t>Near 52W High Breakout</t>
        </is>
      </c>
      <c r="S165" s="31" t="inlineStr">
        <is>
          <t>Nifty 50</t>
        </is>
      </c>
      <c r="T165" s="32" t="n">
        <v>-0.9</v>
      </c>
      <c r="U165" s="32" t="n">
        <v>445.2</v>
      </c>
      <c r="V165" s="32" t="n">
        <v>450.14</v>
      </c>
      <c r="W165" s="32" t="n">
        <v>68.17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Above 40</t>
        </is>
      </c>
      <c r="AY165" s="31">
        <f>IF(AX165="Above 40",20,IF(AX165="20 to 40",10,IF(AX165="0 to 20",-5,0)))</f>
        <v/>
      </c>
      <c r="AZ165" s="31" t="inlineStr">
        <is>
          <t>Above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Blue sky scenario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Less than 12%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Between 0.7 to 1.2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IF(B166=0,"",RANK(B166,$B$2:$B$372,0))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WELENT</t>
        </is>
      </c>
      <c r="D166" s="31" t="inlineStr">
        <is>
          <t>Welspun Enterprises Limited</t>
        </is>
      </c>
      <c r="E166" s="31" t="inlineStr">
        <is>
          <t>realty</t>
        </is>
      </c>
      <c r="F166" s="31" t="inlineStr">
        <is>
          <t>construction</t>
        </is>
      </c>
      <c r="G166" s="31" t="inlineStr">
        <is>
          <t>midcap</t>
        </is>
      </c>
      <c r="H166" s="32" t="n">
        <v>9149.15</v>
      </c>
      <c r="I166" s="32" t="n">
        <v>692.85</v>
      </c>
      <c r="J166" s="32" t="n">
        <v>4.82</v>
      </c>
      <c r="K166" s="32" t="n">
        <v>1379989</v>
      </c>
      <c r="L166" s="31" t="inlineStr"/>
      <c r="M166" s="31" t="inlineStr"/>
      <c r="N166" s="32">
        <f>IF(M166="Underperforming",-5,IF(L166&gt;=95,15,IF(L166&gt;=90,10,IF(L166&gt;=80,5,0))))</f>
        <v/>
      </c>
      <c r="O166" s="32" t="n">
        <v>72.68000000000001</v>
      </c>
      <c r="P166" s="32" t="n">
        <v>23.45</v>
      </c>
      <c r="Q166" s="32" t="n">
        <v>553.4</v>
      </c>
      <c r="R166" s="31" t="inlineStr">
        <is>
          <t>Near 52W High Breakout</t>
        </is>
      </c>
      <c r="S166" s="31" t="inlineStr">
        <is>
          <t>Nifty Realty</t>
        </is>
      </c>
      <c r="T166" s="32" t="inlineStr"/>
      <c r="U166" s="32" t="inlineStr"/>
      <c r="V166" s="32" t="inlineStr"/>
      <c r="W166" s="32" t="inlineStr"/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Blue sky scenario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Less than 12%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IF(B167=0,"",RANK(B167,$B$2:$B$372,0))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YASHO</t>
        </is>
      </c>
      <c r="D167" s="31" t="inlineStr">
        <is>
          <t>Yasho Industries Ltd</t>
        </is>
      </c>
      <c r="E167" s="31" t="inlineStr">
        <is>
          <t>chemicals</t>
        </is>
      </c>
      <c r="F167" s="31" t="inlineStr">
        <is>
          <t>chemicals</t>
        </is>
      </c>
      <c r="G167" s="31" t="inlineStr">
        <is>
          <t>midcap</t>
        </is>
      </c>
      <c r="H167" s="32" t="n">
        <v>5066.03</v>
      </c>
      <c r="I167" s="32" t="n">
        <v>4369.6</v>
      </c>
      <c r="J167" s="32" t="n">
        <v>4</v>
      </c>
      <c r="K167" s="32" t="n">
        <v>45882</v>
      </c>
      <c r="L167" s="31" t="n">
        <v>97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90.95999999999999</v>
      </c>
      <c r="P167" s="32" t="n">
        <v>72.58</v>
      </c>
      <c r="Q167" s="32" t="n">
        <v>3307.7</v>
      </c>
      <c r="R167" s="31" t="inlineStr">
        <is>
          <t>Near 52W High Breakout</t>
        </is>
      </c>
      <c r="S167" s="31" t="inlineStr">
        <is>
          <t>Nifty 50</t>
        </is>
      </c>
      <c r="T167" s="32" t="n">
        <v>-0.9</v>
      </c>
      <c r="U167" s="32" t="n">
        <v>140.71</v>
      </c>
      <c r="V167" s="32" t="n">
        <v>142.89</v>
      </c>
      <c r="W167" s="32" t="n">
        <v>48.02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Above 40</t>
        </is>
      </c>
      <c r="AY167" s="31">
        <f>IF(AX167="Above 40",20,IF(AX167="20 to 40",10,IF(AX167="0 to 20",-5,0)))</f>
        <v/>
      </c>
      <c r="AZ167" s="31" t="inlineStr">
        <is>
          <t>Above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Yes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More than 1.2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IF(B168=0,"",RANK(B168,$B$2:$B$372,0))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EMAMIPAP</t>
        </is>
      </c>
      <c r="D168" s="31" t="inlineStr">
        <is>
          <t>Emami Paper Mills Ltd</t>
        </is>
      </c>
      <c r="E168" s="31" t="inlineStr">
        <is>
          <t>building materials</t>
        </is>
      </c>
      <c r="F168" s="31" t="inlineStr">
        <is>
          <t>paper</t>
        </is>
      </c>
      <c r="G168" s="31" t="inlineStr">
        <is>
          <t>smallcap</t>
        </is>
      </c>
      <c r="H168" s="32" t="n">
        <v>708.63</v>
      </c>
      <c r="I168" s="32" t="n">
        <v>121.7</v>
      </c>
      <c r="J168" s="32" t="n">
        <v>3.9</v>
      </c>
      <c r="K168" s="32" t="n">
        <v>124582</v>
      </c>
      <c r="L168" s="31" t="inlineStr"/>
      <c r="M168" s="31" t="inlineStr"/>
      <c r="N168" s="32">
        <f>IF(M168="Underperforming",-5,IF(L168&gt;=95,15,IF(L168&gt;=90,10,IF(L168&gt;=80,5,0))))</f>
        <v/>
      </c>
      <c r="O168" s="32" t="n">
        <v>71.90000000000001</v>
      </c>
      <c r="P168" s="32" t="n">
        <v>27.01</v>
      </c>
      <c r="Q168" s="32" t="n">
        <v>91.19</v>
      </c>
      <c r="R168" s="31" t="inlineStr">
        <is>
          <t>Near 52W High Breakout</t>
        </is>
      </c>
      <c r="S168" s="31" t="inlineStr">
        <is>
          <t>Nifty Infra</t>
        </is>
      </c>
      <c r="T168" s="32" t="inlineStr"/>
      <c r="U168" s="32" t="inlineStr"/>
      <c r="V168" s="32" t="inlineStr"/>
      <c r="W168" s="32" t="inlineStr"/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20 to 40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Blue sky scenario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Less than 1.5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More than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IF(B169=0,"",RANK(B169,$B$2:$B$372,0))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BODALCHEM</t>
        </is>
      </c>
      <c r="D169" s="31" t="inlineStr">
        <is>
          <t>Bodal Chemicals Limited</t>
        </is>
      </c>
      <c r="E169" s="31" t="inlineStr">
        <is>
          <t>chemicals</t>
        </is>
      </c>
      <c r="F169" s="31" t="inlineStr">
        <is>
          <t>dyes and pigments</t>
        </is>
      </c>
      <c r="G169" s="31" t="inlineStr">
        <is>
          <t>smallcap</t>
        </is>
      </c>
      <c r="H169" s="32" t="n">
        <v>1096.34</v>
      </c>
      <c r="I169" s="32" t="n">
        <v>89.98</v>
      </c>
      <c r="J169" s="32" t="n">
        <v>3.37</v>
      </c>
      <c r="K169" s="32" t="n">
        <v>1405020</v>
      </c>
      <c r="L169" s="31" t="n">
        <v>59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71.42</v>
      </c>
      <c r="P169" s="32" t="n">
        <v>34.4</v>
      </c>
      <c r="Q169" s="32" t="n">
        <v>68.31999999999999</v>
      </c>
      <c r="R169" s="31" t="inlineStr">
        <is>
          <t>Volume Spike &amp; Near 52W High Breakout</t>
        </is>
      </c>
      <c r="S169" s="31" t="inlineStr">
        <is>
          <t>Nifty 50</t>
        </is>
      </c>
      <c r="T169" s="32" t="n">
        <v>-0.9</v>
      </c>
      <c r="U169" s="32" t="n">
        <v>39.14</v>
      </c>
      <c r="V169" s="32" t="n">
        <v>40.4</v>
      </c>
      <c r="W169" s="32" t="n">
        <v>15.08</v>
      </c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Between 0.7 to 1.2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IF(B170=0,"",RANK(B170,$B$2:$B$372,0))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3" t="inlineStr">
        <is>
          <t>DPABHUSHAN</t>
        </is>
      </c>
      <c r="D170" s="33" t="inlineStr">
        <is>
          <t>D.P. Abhushan Ltd</t>
        </is>
      </c>
      <c r="E170" s="31" t="inlineStr">
        <is>
          <t>consumer discretionary</t>
        </is>
      </c>
      <c r="F170" s="31" t="inlineStr">
        <is>
          <t>diamond cutting / jewellery</t>
        </is>
      </c>
      <c r="G170" s="31" t="inlineStr">
        <is>
          <t>smallcap</t>
        </is>
      </c>
      <c r="H170" s="32" t="n">
        <v>3331.73</v>
      </c>
      <c r="I170" s="32" t="n">
        <v>1506.1</v>
      </c>
      <c r="J170" s="32" t="n">
        <v>3.19</v>
      </c>
      <c r="K170" s="32" t="n">
        <v>39327</v>
      </c>
      <c r="L170" s="31" t="n">
        <v>58</v>
      </c>
      <c r="M170" s="31" t="inlineStr">
        <is>
          <t>Underperforming</t>
        </is>
      </c>
      <c r="N170" s="32">
        <f>IF(M170="Underperforming",-5,IF(L170&gt;=95,15,IF(L170&gt;=90,10,IF(L170&gt;=80,5,0))))</f>
        <v/>
      </c>
      <c r="O170" s="32" t="n">
        <v>68.54000000000001</v>
      </c>
      <c r="P170" s="32" t="n">
        <v>36.54</v>
      </c>
      <c r="Q170" s="32" t="n">
        <v>1100.19</v>
      </c>
      <c r="R170" s="31" t="inlineStr">
        <is>
          <t>Earnings / Momentum Support</t>
        </is>
      </c>
      <c r="S170" s="31" t="inlineStr">
        <is>
          <t>Nifty 50</t>
        </is>
      </c>
      <c r="T170" s="32" t="n">
        <v>-0.9</v>
      </c>
      <c r="U170" s="32" t="n">
        <v>-4.13</v>
      </c>
      <c r="V170" s="32" t="n">
        <v>-3.26</v>
      </c>
      <c r="W170" s="32" t="n">
        <v>14.45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Less than 1.5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IF(B171=0,"",RANK(B171,$B$2:$B$372,0))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ANDHRSUGAR</t>
        </is>
      </c>
      <c r="D171" s="31" t="inlineStr">
        <is>
          <t>The Andhra Sugars Limited</t>
        </is>
      </c>
      <c r="E171" s="31" t="inlineStr">
        <is>
          <t>chemicals</t>
        </is>
      </c>
      <c r="F171" s="31" t="inlineStr">
        <is>
          <t>chlor alkali / soda ash</t>
        </is>
      </c>
      <c r="G171" s="31" t="inlineStr">
        <is>
          <t>smallcap</t>
        </is>
      </c>
      <c r="H171" s="32" t="n">
        <v>1324.72</v>
      </c>
      <c r="I171" s="32" t="n">
        <v>99.47</v>
      </c>
      <c r="J171" s="32" t="n">
        <v>1.77</v>
      </c>
      <c r="K171" s="32" t="n">
        <v>734580</v>
      </c>
      <c r="L171" s="31" t="n">
        <v>31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62.52</v>
      </c>
      <c r="P171" s="32" t="n">
        <v>13.63</v>
      </c>
      <c r="Q171" s="32" t="n">
        <v>77.45</v>
      </c>
      <c r="R171" s="31" t="inlineStr">
        <is>
          <t>Near 52W High Breakout</t>
        </is>
      </c>
      <c r="S171" s="31" t="inlineStr">
        <is>
          <t>Nifty 50</t>
        </is>
      </c>
      <c r="T171" s="32" t="n">
        <v>-0.9</v>
      </c>
      <c r="U171" s="32" t="n">
        <v>32.61</v>
      </c>
      <c r="V171" s="32" t="n">
        <v>33.81</v>
      </c>
      <c r="W171" s="32" t="n">
        <v>8.32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0 to 20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More than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Less than 1.5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IF(B172=0,"",RANK(B172,$B$2:$B$372,0))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STLTECH</t>
        </is>
      </c>
      <c r="D172" s="31" t="inlineStr">
        <is>
          <t>Sterlite Technologies Limited</t>
        </is>
      </c>
      <c r="E172" s="31" t="inlineStr">
        <is>
          <t>industrials</t>
        </is>
      </c>
      <c r="F172" s="31" t="inlineStr">
        <is>
          <t>cables - telephone</t>
        </is>
      </c>
      <c r="G172" s="31" t="inlineStr">
        <is>
          <t>largecap</t>
        </is>
      </c>
      <c r="H172" s="32" t="n">
        <v>33472.62</v>
      </c>
      <c r="I172" s="32" t="n">
        <v>662.75</v>
      </c>
      <c r="J172" s="32" t="n">
        <v>1.75</v>
      </c>
      <c r="K172" s="32" t="n">
        <v>1278257</v>
      </c>
      <c r="L172" s="31" t="inlineStr"/>
      <c r="M172" s="31" t="inlineStr"/>
      <c r="N172" s="32">
        <f>IF(M172="Underperforming",-5,IF(L172&gt;=95,15,IF(L172&gt;=90,10,IF(L172&gt;=80,5,0))))</f>
        <v/>
      </c>
      <c r="O172" s="32" t="n">
        <v>73.16</v>
      </c>
      <c r="P172" s="32" t="n">
        <v>76.84999999999999</v>
      </c>
      <c r="Q172" s="32" t="n">
        <v>463.55</v>
      </c>
      <c r="R172" s="31" t="inlineStr">
        <is>
          <t>Near 52W High Breakout</t>
        </is>
      </c>
      <c r="S172" s="31" t="inlineStr">
        <is>
          <t>Nifty Infra</t>
        </is>
      </c>
      <c r="T172" s="32" t="inlineStr"/>
      <c r="U172" s="32" t="inlineStr"/>
      <c r="V172" s="32" t="inlineStr"/>
      <c r="W172" s="32" t="inlineStr"/>
      <c r="X172" s="31" t="inlineStr">
        <is>
          <t>Cyclical in an Upturn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Above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Yes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Between 0.7 to 1.2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IF(B173=0,"",RANK(B173,$B$2:$B$372,0))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ALKYLAMINE</t>
        </is>
      </c>
      <c r="D173" s="31" t="inlineStr">
        <is>
          <t>Alkyl Amines Chemicals Limited</t>
        </is>
      </c>
      <c r="E173" s="31" t="inlineStr">
        <is>
          <t>chemicals</t>
        </is>
      </c>
      <c r="F173" s="31" t="inlineStr">
        <is>
          <t>chemicals</t>
        </is>
      </c>
      <c r="G173" s="31" t="inlineStr">
        <is>
          <t>midcap</t>
        </is>
      </c>
      <c r="H173" s="32" t="n">
        <v>10543.78</v>
      </c>
      <c r="I173" s="32" t="n">
        <v>2089.6</v>
      </c>
      <c r="J173" s="32" t="n">
        <v>1.36</v>
      </c>
      <c r="K173" s="32" t="n">
        <v>96834</v>
      </c>
      <c r="L173" s="31" t="n">
        <v>26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70.19</v>
      </c>
      <c r="P173" s="32" t="n">
        <v>42.26</v>
      </c>
      <c r="Q173" s="32" t="n">
        <v>1625.11</v>
      </c>
      <c r="R173" s="31" t="inlineStr">
        <is>
          <t>Near 52W High Breakout</t>
        </is>
      </c>
      <c r="S173" s="31" t="inlineStr">
        <is>
          <t>Nifty 50</t>
        </is>
      </c>
      <c r="T173" s="32" t="n">
        <v>-0.9</v>
      </c>
      <c r="U173" s="32" t="n">
        <v>4.78</v>
      </c>
      <c r="V173" s="32" t="n">
        <v>5.73</v>
      </c>
      <c r="W173" s="32" t="n">
        <v>7.58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IF(B174=0,"",RANK(B174,$B$2:$B$372,0))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1" t="inlineStr">
        <is>
          <t>KAMDHENU</t>
        </is>
      </c>
      <c r="D174" s="31" t="inlineStr">
        <is>
          <t>Kamdhenu Limited</t>
        </is>
      </c>
      <c r="E174" s="31" t="inlineStr">
        <is>
          <t>metals &amp; mining</t>
        </is>
      </c>
      <c r="F174" s="31" t="inlineStr">
        <is>
          <t>steel - medium / small</t>
        </is>
      </c>
      <c r="G174" s="31" t="inlineStr">
        <is>
          <t>smallcap</t>
        </is>
      </c>
      <c r="H174" s="32" t="n">
        <v>998.99</v>
      </c>
      <c r="I174" s="32" t="n">
        <v>35.9</v>
      </c>
      <c r="J174" s="32" t="n">
        <v>1.3</v>
      </c>
      <c r="K174" s="32" t="n">
        <v>439473</v>
      </c>
      <c r="L174" s="31" t="inlineStr"/>
      <c r="M174" s="31" t="inlineStr"/>
      <c r="N174" s="32">
        <f>IF(M174="Underperforming",-5,IF(L174&gt;=95,15,IF(L174&gt;=90,10,IF(L174&gt;=80,5,0))))</f>
        <v/>
      </c>
      <c r="O174" s="32" t="n">
        <v>69.15000000000001</v>
      </c>
      <c r="P174" s="32" t="n">
        <v>45.56</v>
      </c>
      <c r="Q174" s="32" t="n">
        <v>26.68</v>
      </c>
      <c r="R174" s="31" t="inlineStr">
        <is>
          <t>Near 52W High Breakout</t>
        </is>
      </c>
      <c r="S174" s="31" t="inlineStr">
        <is>
          <t>Nifty Metal</t>
        </is>
      </c>
      <c r="T174" s="32" t="inlineStr"/>
      <c r="U174" s="32" t="inlineStr"/>
      <c r="V174" s="32" t="inlineStr"/>
      <c r="W174" s="32" t="inlineStr"/>
      <c r="X174" s="31" t="inlineStr">
        <is>
          <t>Cyclical in an Upturn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Cyclical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Volatile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Above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Less than 1.5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IF(B175=0,"",RANK(B175,$B$2:$B$372,0))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SEAMECLTD</t>
        </is>
      </c>
      <c r="D175" s="31" t="inlineStr">
        <is>
          <t>Seamec Limited</t>
        </is>
      </c>
      <c r="E175" s="31" t="inlineStr">
        <is>
          <t>miscellaneous</t>
        </is>
      </c>
      <c r="F175" s="31" t="inlineStr">
        <is>
          <t>miscellaneous</t>
        </is>
      </c>
      <c r="G175" s="31" t="inlineStr">
        <is>
          <t>smallcap</t>
        </is>
      </c>
      <c r="H175" s="32" t="n">
        <v>4194.11</v>
      </c>
      <c r="I175" s="32" t="n">
        <v>1655</v>
      </c>
      <c r="J175" s="32" t="n">
        <v>0.33</v>
      </c>
      <c r="K175" s="32" t="n">
        <v>40401</v>
      </c>
      <c r="L175" s="31" t="n">
        <v>48</v>
      </c>
      <c r="M175" s="31" t="inlineStr">
        <is>
          <t>Outperforming</t>
        </is>
      </c>
      <c r="N175" s="32">
        <f>IF(M175="Underperforming",-5,IF(L175&gt;=95,15,IF(L175&gt;=90,10,IF(L175&gt;=80,5,0))))</f>
        <v/>
      </c>
      <c r="O175" s="32" t="n">
        <v>65.06999999999999</v>
      </c>
      <c r="P175" s="32" t="n">
        <v>20.86</v>
      </c>
      <c r="Q175" s="32" t="n">
        <v>1301.69</v>
      </c>
      <c r="R175" s="31" t="inlineStr">
        <is>
          <t>Near 52W High Breakout</t>
        </is>
      </c>
      <c r="S175" s="31" t="inlineStr">
        <is>
          <t>Nifty 50</t>
        </is>
      </c>
      <c r="T175" s="32" t="n">
        <v>-0.9</v>
      </c>
      <c r="U175" s="32" t="n">
        <v>68</v>
      </c>
      <c r="V175" s="32" t="n">
        <v>69.53</v>
      </c>
      <c r="W175" s="32" t="n">
        <v>12.51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Blue sky scenario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Less than 12%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IF(B176=0,"",RANK(B176,$B$2:$B$372,0))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GRASIM</t>
        </is>
      </c>
      <c r="D176" s="31" t="inlineStr">
        <is>
          <t>Grasim Industries Limited</t>
        </is>
      </c>
      <c r="E176" s="31" t="inlineStr">
        <is>
          <t>textiles</t>
        </is>
      </c>
      <c r="F176" s="31" t="inlineStr">
        <is>
          <t>textiles - manmade</t>
        </is>
      </c>
      <c r="G176" s="31" t="inlineStr">
        <is>
          <t>largecap</t>
        </is>
      </c>
      <c r="H176" s="32" t="n">
        <v>223883.79</v>
      </c>
      <c r="I176" s="32" t="n">
        <v>3299.9</v>
      </c>
      <c r="J176" s="32" t="n">
        <v>0.31</v>
      </c>
      <c r="K176" s="32" t="n">
        <v>1102887</v>
      </c>
      <c r="L176" s="31" t="n">
        <v>16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65.33</v>
      </c>
      <c r="P176" s="32" t="n">
        <v>38.73</v>
      </c>
      <c r="Q176" s="32" t="n">
        <v>2910.34</v>
      </c>
      <c r="R176" s="31" t="inlineStr">
        <is>
          <t>Near 52W High Breakout</t>
        </is>
      </c>
      <c r="S176" s="31" t="inlineStr">
        <is>
          <t>Nifty 50</t>
        </is>
      </c>
      <c r="T176" s="32" t="n">
        <v>-0.9</v>
      </c>
      <c r="U176" s="32" t="n">
        <v>19.26</v>
      </c>
      <c r="V176" s="32" t="n">
        <v>20.34</v>
      </c>
      <c r="W176" s="32" t="n">
        <v>4.89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No</t>
        </is>
      </c>
      <c r="BS176" s="31">
        <f>IF(BR176="NO",5,0)</f>
        <v/>
      </c>
      <c r="BT176" s="31" t="inlineStr">
        <is>
          <t>Less than 1.5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More than 1.2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IF(B177=0,"",RANK(B177,$B$2:$B$372,0))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OCCLLTD</t>
        </is>
      </c>
      <c r="D177" s="31" t="inlineStr">
        <is>
          <t>OCCL Ltd</t>
        </is>
      </c>
      <c r="E177" s="31" t="inlineStr">
        <is>
          <t>chemicals</t>
        </is>
      </c>
      <c r="F177" s="31" t="inlineStr">
        <is>
          <t>chemicals</t>
        </is>
      </c>
      <c r="G177" s="31" t="inlineStr">
        <is>
          <t>smallcap</t>
        </is>
      </c>
      <c r="H177" s="32" t="n">
        <v>802.5</v>
      </c>
      <c r="I177" s="32" t="n">
        <v>161</v>
      </c>
      <c r="J177" s="32" t="n">
        <v>0.21</v>
      </c>
      <c r="K177" s="32" t="n">
        <v>24574</v>
      </c>
      <c r="L177" s="31" t="n">
        <v>61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71.87</v>
      </c>
      <c r="P177" s="32" t="n">
        <v>44.96</v>
      </c>
      <c r="Q177" s="32" t="n">
        <v>120.24</v>
      </c>
      <c r="R177" s="31" t="inlineStr">
        <is>
          <t>Near 52W High Breakout</t>
        </is>
      </c>
      <c r="S177" s="31" t="inlineStr">
        <is>
          <t>Nifty 50</t>
        </is>
      </c>
      <c r="T177" s="32" t="n">
        <v>-0.9</v>
      </c>
      <c r="U177" s="32" t="n">
        <v>24.88</v>
      </c>
      <c r="V177" s="32" t="n">
        <v>26.01</v>
      </c>
      <c r="W177" s="32" t="n">
        <v>15.57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Negative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Blue sky scenario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Less than 1.5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IF(B178=0,"",RANK(B178,$B$2:$B$372,0))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EICHERMOT</t>
        </is>
      </c>
      <c r="D178" s="31" t="inlineStr">
        <is>
          <t>Eicher Motors Limited</t>
        </is>
      </c>
      <c r="E178" s="31" t="inlineStr">
        <is>
          <t>auto</t>
        </is>
      </c>
      <c r="F178" s="31" t="inlineStr">
        <is>
          <t>automobiles - motorcycles / mopeds</t>
        </is>
      </c>
      <c r="G178" s="31" t="inlineStr">
        <is>
          <t>largecap</t>
        </is>
      </c>
      <c r="H178" s="32" t="n">
        <v>221107.76</v>
      </c>
      <c r="I178" s="32" t="n">
        <v>8035</v>
      </c>
      <c r="J178" s="32" t="n">
        <v>-0.25</v>
      </c>
      <c r="K178" s="32" t="n">
        <v>184083</v>
      </c>
      <c r="L178" s="31" t="inlineStr"/>
      <c r="M178" s="31" t="inlineStr"/>
      <c r="N178" s="32">
        <f>IF(M178="Underperforming",-5,IF(L178&gt;=95,15,IF(L178&gt;=90,10,IF(L178&gt;=80,5,0))))</f>
        <v/>
      </c>
      <c r="O178" s="32" t="n">
        <v>64.42</v>
      </c>
      <c r="P178" s="32" t="n">
        <v>11.17</v>
      </c>
      <c r="Q178" s="32" t="n">
        <v>7027.4</v>
      </c>
      <c r="R178" s="31" t="inlineStr">
        <is>
          <t>Near 52W High Breakout</t>
        </is>
      </c>
      <c r="S178" s="31" t="inlineStr">
        <is>
          <t>Nifty Auto</t>
        </is>
      </c>
      <c r="T178" s="32" t="inlineStr"/>
      <c r="U178" s="32" t="inlineStr"/>
      <c r="V178" s="32" t="inlineStr"/>
      <c r="W178" s="32" t="inlineStr"/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0 to 20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Blue sky scenario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Between 1.5 to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IF(B179=0,"",RANK(B179,$B$2:$B$372,0))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SHREEPUSHK</t>
        </is>
      </c>
      <c r="D179" s="31" t="inlineStr">
        <is>
          <t>Shree Pushkar Chemicals &amp; Fertilisers Limited</t>
        </is>
      </c>
      <c r="E179" s="31" t="inlineStr">
        <is>
          <t>chemicals</t>
        </is>
      </c>
      <c r="F179" s="31" t="inlineStr">
        <is>
          <t>dyes and pigments</t>
        </is>
      </c>
      <c r="G179" s="31" t="inlineStr">
        <is>
          <t>smallcap</t>
        </is>
      </c>
      <c r="H179" s="32" t="n">
        <v>1468.45</v>
      </c>
      <c r="I179" s="32" t="n">
        <v>452.15</v>
      </c>
      <c r="J179" s="32" t="n">
        <v>-0.43</v>
      </c>
      <c r="K179" s="32" t="n">
        <v>177901</v>
      </c>
      <c r="L179" s="31" t="n">
        <v>55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63.69</v>
      </c>
      <c r="P179" s="32" t="n">
        <v>34.57</v>
      </c>
      <c r="Q179" s="32" t="n">
        <v>331.26</v>
      </c>
      <c r="R179" s="31" t="inlineStr">
        <is>
          <t>Volume Spike &amp; Near 52W High Breakout</t>
        </is>
      </c>
      <c r="S179" s="31" t="inlineStr">
        <is>
          <t>Nifty 50</t>
        </is>
      </c>
      <c r="T179" s="32" t="n">
        <v>-0.9</v>
      </c>
      <c r="U179" s="32" t="n">
        <v>44.85</v>
      </c>
      <c r="V179" s="32" t="n">
        <v>46.16</v>
      </c>
      <c r="W179" s="32" t="n">
        <v>14.06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Blue sky scenario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Less than 12%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No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IF(B180=0,"",RANK(B180,$B$2:$B$372,0))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SHRIPISTON</t>
        </is>
      </c>
      <c r="D180" s="31" t="inlineStr">
        <is>
          <t>Shriram Pistons &amp; Rings Limited</t>
        </is>
      </c>
      <c r="E180" s="31" t="inlineStr">
        <is>
          <t>auto</t>
        </is>
      </c>
      <c r="F180" s="31" t="inlineStr">
        <is>
          <t>auto ancillaries</t>
        </is>
      </c>
      <c r="G180" s="31" t="inlineStr">
        <is>
          <t>largecap</t>
        </is>
      </c>
      <c r="H180" s="32" t="n">
        <v>20394.63</v>
      </c>
      <c r="I180" s="32" t="n">
        <v>4610</v>
      </c>
      <c r="J180" s="32" t="n">
        <v>-0.43</v>
      </c>
      <c r="K180" s="32" t="n">
        <v>105953</v>
      </c>
      <c r="L180" s="31" t="inlineStr"/>
      <c r="M180" s="31" t="inlineStr"/>
      <c r="N180" s="32">
        <f>IF(M180="Underperforming",-5,IF(L180&gt;=95,15,IF(L180&gt;=90,10,IF(L180&gt;=80,5,0))))</f>
        <v/>
      </c>
      <c r="O180" s="32" t="n">
        <v>76.06999999999999</v>
      </c>
      <c r="P180" s="32" t="n">
        <v>50.48</v>
      </c>
      <c r="Q180" s="32" t="n">
        <v>3739.83</v>
      </c>
      <c r="R180" s="31" t="inlineStr">
        <is>
          <t>Near 52W High Breakout</t>
        </is>
      </c>
      <c r="S180" s="31" t="inlineStr">
        <is>
          <t>Nifty Auto</t>
        </is>
      </c>
      <c r="T180" s="32" t="inlineStr"/>
      <c r="U180" s="32" t="inlineStr"/>
      <c r="V180" s="32" t="inlineStr"/>
      <c r="W180" s="32" t="inlineStr"/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Above 40</t>
        </is>
      </c>
      <c r="AY180" s="31">
        <f>IF(AX180="Above 40",20,IF(AX180="20 to 40",10,IF(AX180="0 to 20",-5,0)))</f>
        <v/>
      </c>
      <c r="AZ180" s="31" t="inlineStr">
        <is>
          <t>Above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Blue sky scenario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Less than 12%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IF(B181=0,"",RANK(B181,$B$2:$B$372,0))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KRN</t>
        </is>
      </c>
      <c r="D181" s="31" t="inlineStr">
        <is>
          <t>KRN Heat Exchanger and Refrigeration Ltd</t>
        </is>
      </c>
      <c r="E181" s="31" t="inlineStr">
        <is>
          <t>industrials</t>
        </is>
      </c>
      <c r="F181" s="31" t="inlineStr">
        <is>
          <t>engineering</t>
        </is>
      </c>
      <c r="G181" s="31" t="inlineStr">
        <is>
          <t>midcap</t>
        </is>
      </c>
      <c r="H181" s="32" t="n">
        <v>9981.110000000001</v>
      </c>
      <c r="I181" s="32" t="n">
        <v>1511.9</v>
      </c>
      <c r="J181" s="32" t="n">
        <v>-0.85</v>
      </c>
      <c r="K181" s="32" t="n">
        <v>156354</v>
      </c>
      <c r="L181" s="31" t="n">
        <v>71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72.17</v>
      </c>
      <c r="P181" s="32" t="n">
        <v>32.52</v>
      </c>
      <c r="Q181" s="32" t="n">
        <v>1124.74</v>
      </c>
      <c r="R181" s="31" t="inlineStr">
        <is>
          <t>Near 52W High Breakout</t>
        </is>
      </c>
      <c r="S181" s="31" t="inlineStr">
        <is>
          <t>Nifty 50</t>
        </is>
      </c>
      <c r="T181" s="32" t="n">
        <v>-0.9</v>
      </c>
      <c r="U181" s="32" t="n">
        <v>75.31999999999999</v>
      </c>
      <c r="V181" s="32" t="n">
        <v>76.91</v>
      </c>
      <c r="W181" s="32" t="n">
        <v>20.21</v>
      </c>
      <c r="X181" s="31" t="inlineStr">
        <is>
          <t>Cyclical in an Upturn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Blue sky scenario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IF(B182=0,"",RANK(B182,$B$2:$B$372,0))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HFCL</t>
        </is>
      </c>
      <c r="D182" s="31" t="inlineStr">
        <is>
          <t>HFCL Ltd</t>
        </is>
      </c>
      <c r="E182" s="31" t="inlineStr">
        <is>
          <t>telecom</t>
        </is>
      </c>
      <c r="F182" s="31" t="inlineStr">
        <is>
          <t>cables - telephone</t>
        </is>
      </c>
      <c r="G182" s="31" t="inlineStr">
        <is>
          <t>largecap</t>
        </is>
      </c>
      <c r="H182" s="32" t="n">
        <v>36429.87</v>
      </c>
      <c r="I182" s="32" t="n">
        <v>235.89</v>
      </c>
      <c r="J182" s="32" t="n">
        <v>-0.89</v>
      </c>
      <c r="K182" s="32" t="n">
        <v>13740336</v>
      </c>
      <c r="L182" s="31" t="inlineStr"/>
      <c r="M182" s="31" t="inlineStr"/>
      <c r="N182" s="32">
        <f>IF(M182="Underperforming",-5,IF(L182&gt;=95,15,IF(L182&gt;=90,10,IF(L182&gt;=80,5,0))))</f>
        <v/>
      </c>
      <c r="O182" s="32" t="n">
        <v>78.76000000000001</v>
      </c>
      <c r="P182" s="32" t="n">
        <v>63.42</v>
      </c>
      <c r="Q182" s="32" t="n">
        <v>178.53</v>
      </c>
      <c r="R182" s="31" t="inlineStr">
        <is>
          <t>Near 52W High Breakout</t>
        </is>
      </c>
      <c r="S182" s="31" t="inlineStr">
        <is>
          <t>Nifty Infra</t>
        </is>
      </c>
      <c r="T182" s="32" t="inlineStr"/>
      <c r="U182" s="32" t="inlineStr"/>
      <c r="V182" s="32" t="inlineStr"/>
      <c r="W182" s="32" t="inlineStr"/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Oligopoly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Yes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Above 40</t>
        </is>
      </c>
      <c r="AY182" s="31">
        <f>IF(AX182="Above 40",20,IF(AX182="20 to 40",10,IF(AX182="0 to 20",-5,0)))</f>
        <v/>
      </c>
      <c r="AZ182" s="31" t="inlineStr">
        <is>
          <t>Above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Blue sky scenario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IF(B183=0,"",RANK(B183,$B$2:$B$372,0))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PTCIL</t>
        </is>
      </c>
      <c r="D183" s="31" t="inlineStr">
        <is>
          <t>PTC Industries Ltd</t>
        </is>
      </c>
      <c r="E183" s="31" t="inlineStr">
        <is>
          <t>industrials</t>
        </is>
      </c>
      <c r="F183" s="31" t="inlineStr">
        <is>
          <t>castings &amp; forgings</t>
        </is>
      </c>
      <c r="G183" s="31" t="inlineStr">
        <is>
          <t>largecap</t>
        </is>
      </c>
      <c r="H183" s="32" t="n">
        <v>31658.27</v>
      </c>
      <c r="I183" s="32" t="n">
        <v>20919</v>
      </c>
      <c r="J183" s="32" t="n">
        <v>-0.93</v>
      </c>
      <c r="K183" s="32" t="n">
        <v>41367</v>
      </c>
      <c r="L183" s="31" t="n">
        <v>60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70.06</v>
      </c>
      <c r="P183" s="32" t="n">
        <v>25.79</v>
      </c>
      <c r="Q183" s="32" t="n">
        <v>17069.69</v>
      </c>
      <c r="R183" s="31" t="inlineStr">
        <is>
          <t>Near 52W High Breakout</t>
        </is>
      </c>
      <c r="S183" s="31" t="inlineStr">
        <is>
          <t>Nifty 50</t>
        </is>
      </c>
      <c r="T183" s="32" t="n">
        <v>-0.9</v>
      </c>
      <c r="U183" s="32" t="n">
        <v>49.3</v>
      </c>
      <c r="V183" s="32" t="n">
        <v>50.66</v>
      </c>
      <c r="W183" s="32" t="n">
        <v>15.42</v>
      </c>
      <c r="X183" s="31" t="inlineStr">
        <is>
          <t>Cyclical in an Upturn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Blue sky scenario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IF(B184=0,"",RANK(B184,$B$2:$B$372,0))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KABRAEXTRU</t>
        </is>
      </c>
      <c r="D184" s="31" t="inlineStr">
        <is>
          <t>Kabra Extrusion Technik Limited</t>
        </is>
      </c>
      <c r="E184" s="31" t="inlineStr">
        <is>
          <t>industrials</t>
        </is>
      </c>
      <c r="F184" s="31" t="inlineStr">
        <is>
          <t>engineering</t>
        </is>
      </c>
      <c r="G184" s="31" t="inlineStr">
        <is>
          <t>smallcap</t>
        </is>
      </c>
      <c r="H184" s="32" t="n">
        <v>2130.37</v>
      </c>
      <c r="I184" s="32" t="n">
        <v>602.8</v>
      </c>
      <c r="J184" s="32" t="n">
        <v>-1.04</v>
      </c>
      <c r="K184" s="32" t="n">
        <v>198683</v>
      </c>
      <c r="L184" s="31" t="inlineStr"/>
      <c r="M184" s="31" t="inlineStr"/>
      <c r="N184" s="32">
        <f>IF(M184="Underperforming",-5,IF(L184&gt;=95,15,IF(L184&gt;=90,10,IF(L184&gt;=80,5,0))))</f>
        <v/>
      </c>
      <c r="O184" s="32" t="n">
        <v>89.76000000000001</v>
      </c>
      <c r="P184" s="32" t="n">
        <v>45.11</v>
      </c>
      <c r="Q184" s="32" t="n">
        <v>468.27</v>
      </c>
      <c r="R184" s="31" t="inlineStr">
        <is>
          <t>Near 52W High Breakout</t>
        </is>
      </c>
      <c r="S184" s="31" t="inlineStr">
        <is>
          <t>Nifty Infra</t>
        </is>
      </c>
      <c r="T184" s="32" t="inlineStr"/>
      <c r="U184" s="32" t="inlineStr"/>
      <c r="V184" s="32" t="inlineStr"/>
      <c r="W184" s="32" t="inlineStr"/>
      <c r="X184" s="31" t="inlineStr">
        <is>
          <t>Cyclical in an Upturn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Above 40</t>
        </is>
      </c>
      <c r="AY184" s="31">
        <f>IF(AX184="Above 40",20,IF(AX184="20 to 40",10,IF(AX184="0 to 20",-5,0)))</f>
        <v/>
      </c>
      <c r="AZ184" s="31" t="inlineStr">
        <is>
          <t>Above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Blue sky scenario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IF(B185=0,"",RANK(B185,$B$2:$B$372,0))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TBOTEK</t>
        </is>
      </c>
      <c r="D185" s="31" t="inlineStr">
        <is>
          <t>TBO Tek Ltd</t>
        </is>
      </c>
      <c r="E185" s="31" t="inlineStr">
        <is>
          <t>i.t</t>
        </is>
      </c>
      <c r="F185" s="31" t="inlineStr">
        <is>
          <t>travel agencies</t>
        </is>
      </c>
      <c r="G185" s="31" t="inlineStr">
        <is>
          <t>midcap</t>
        </is>
      </c>
      <c r="H185" s="32" t="n">
        <v>18732.48</v>
      </c>
      <c r="I185" s="32" t="n">
        <v>1706.5</v>
      </c>
      <c r="J185" s="32" t="n">
        <v>-1.08</v>
      </c>
      <c r="K185" s="32" t="n">
        <v>278209</v>
      </c>
      <c r="L185" s="31" t="n">
        <v>62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68.05</v>
      </c>
      <c r="P185" s="32" t="n">
        <v>23.13</v>
      </c>
      <c r="Q185" s="32" t="n">
        <v>1362.9</v>
      </c>
      <c r="R185" s="31" t="inlineStr">
        <is>
          <t>Near 52W High Breakout</t>
        </is>
      </c>
      <c r="S185" s="31" t="inlineStr">
        <is>
          <t>Nifty IT</t>
        </is>
      </c>
      <c r="T185" s="32" t="n">
        <v>-13.82</v>
      </c>
      <c r="U185" s="32" t="n">
        <v>30.54</v>
      </c>
      <c r="V185" s="32" t="n">
        <v>51.47</v>
      </c>
      <c r="W185" s="32" t="n">
        <v>15.7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IF(B186=0,"",RANK(B186,$B$2:$B$372,0))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HEG</t>
        </is>
      </c>
      <c r="D186" s="31" t="inlineStr">
        <is>
          <t>Heg Limited</t>
        </is>
      </c>
      <c r="E186" s="31" t="inlineStr">
        <is>
          <t>industrials</t>
        </is>
      </c>
      <c r="F186" s="31" t="inlineStr">
        <is>
          <t>electrodes - graphites</t>
        </is>
      </c>
      <c r="G186" s="31" t="inlineStr">
        <is>
          <t>midcap</t>
        </is>
      </c>
      <c r="H186" s="32" t="n">
        <v>13924.29</v>
      </c>
      <c r="I186" s="32" t="n">
        <v>713.55</v>
      </c>
      <c r="J186" s="32" t="n">
        <v>-1.11</v>
      </c>
      <c r="K186" s="32" t="n">
        <v>1440826</v>
      </c>
      <c r="L186" s="31" t="n">
        <v>58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69.33</v>
      </c>
      <c r="P186" s="32" t="n">
        <v>28.94</v>
      </c>
      <c r="Q186" s="32" t="n">
        <v>559.88</v>
      </c>
      <c r="R186" s="31" t="inlineStr">
        <is>
          <t>Near 52W High Breakout</t>
        </is>
      </c>
      <c r="S186" s="31" t="inlineStr">
        <is>
          <t>Nifty 50</t>
        </is>
      </c>
      <c r="T186" s="32" t="n">
        <v>-0.9</v>
      </c>
      <c r="U186" s="32" t="n">
        <v>55.32</v>
      </c>
      <c r="V186" s="32" t="n">
        <v>56.73</v>
      </c>
      <c r="W186" s="32" t="n">
        <v>15</v>
      </c>
      <c r="X186" s="31" t="inlineStr">
        <is>
          <t>Cyclical in an Upturn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20 to 40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Blue sky scenario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Between 12 to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Above 2</t>
        </is>
      </c>
      <c r="BU186" s="31">
        <f>IF(BT186="Above 2",0,IF(BT186="Between 1.5 to 2",5,IF(BT186="Less than 1.5",10,0)))</f>
        <v/>
      </c>
      <c r="BV186" s="31" t="inlineStr">
        <is>
          <t>Above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IF(B187=0,"",RANK(B187,$B$2:$B$372,0))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DIVGIITTS</t>
        </is>
      </c>
      <c r="D187" s="31" t="inlineStr">
        <is>
          <t>Divgi Torqtransfer Systems Ltd</t>
        </is>
      </c>
      <c r="E187" s="31" t="inlineStr">
        <is>
          <t>auto</t>
        </is>
      </c>
      <c r="F187" s="31" t="inlineStr">
        <is>
          <t>auto ancillaries</t>
        </is>
      </c>
      <c r="G187" s="31" t="inlineStr">
        <is>
          <t>smallcap</t>
        </is>
      </c>
      <c r="H187" s="32" t="n">
        <v>3640.44</v>
      </c>
      <c r="I187" s="32" t="n">
        <v>1175.9</v>
      </c>
      <c r="J187" s="32" t="n">
        <v>-1.21</v>
      </c>
      <c r="K187" s="32" t="n">
        <v>121369</v>
      </c>
      <c r="L187" s="31" t="inlineStr"/>
      <c r="M187" s="31" t="inlineStr"/>
      <c r="N187" s="32">
        <f>IF(M187="Underperforming",-5,IF(L187&gt;=95,15,IF(L187&gt;=90,10,IF(L187&gt;=80,5,0))))</f>
        <v/>
      </c>
      <c r="O187" s="32" t="n">
        <v>67.31</v>
      </c>
      <c r="P187" s="32" t="n">
        <v>52.71</v>
      </c>
      <c r="Q187" s="32" t="n">
        <v>999.9400000000001</v>
      </c>
      <c r="R187" s="31" t="inlineStr">
        <is>
          <t>Earnings / Momentum Support</t>
        </is>
      </c>
      <c r="S187" s="31" t="inlineStr">
        <is>
          <t>Nifty Auto</t>
        </is>
      </c>
      <c r="T187" s="32" t="inlineStr"/>
      <c r="U187" s="32" t="inlineStr"/>
      <c r="V187" s="32" t="inlineStr"/>
      <c r="W187" s="32" t="inlineStr"/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No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Above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Above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IF(B188=0,"",RANK(B188,$B$2:$B$372,0))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VMART</t>
        </is>
      </c>
      <c r="D188" s="31" t="inlineStr">
        <is>
          <t>V-mart Retail Limited</t>
        </is>
      </c>
      <c r="E188" s="31" t="inlineStr">
        <is>
          <t>consumer discretionary</t>
        </is>
      </c>
      <c r="F188" s="31" t="inlineStr">
        <is>
          <t>trading</t>
        </is>
      </c>
      <c r="G188" s="31" t="inlineStr">
        <is>
          <t>midcap</t>
        </is>
      </c>
      <c r="H188" s="32" t="n">
        <v>6858.23</v>
      </c>
      <c r="I188" s="32" t="n">
        <v>849.8</v>
      </c>
      <c r="J188" s="32" t="n">
        <v>-1.43</v>
      </c>
      <c r="K188" s="32" t="n">
        <v>107035</v>
      </c>
      <c r="L188" s="31" t="n">
        <v>40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67.01000000000001</v>
      </c>
      <c r="P188" s="32" t="n">
        <v>29.18</v>
      </c>
      <c r="Q188" s="32" t="n">
        <v>672.12</v>
      </c>
      <c r="R188" s="31" t="inlineStr">
        <is>
          <t>Near 52W High Breakout</t>
        </is>
      </c>
      <c r="S188" s="31" t="inlineStr">
        <is>
          <t>Nifty 50</t>
        </is>
      </c>
      <c r="T188" s="32" t="n">
        <v>-0.9</v>
      </c>
      <c r="U188" s="32" t="n">
        <v>14.93</v>
      </c>
      <c r="V188" s="32" t="n">
        <v>15.97</v>
      </c>
      <c r="W188" s="32" t="n">
        <v>10.51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20 to 40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Yes</t>
        </is>
      </c>
      <c r="BS188" s="31">
        <f>IF(BR188="NO",5,0)</f>
        <v/>
      </c>
      <c r="BT188" s="31" t="inlineStr">
        <is>
          <t>Less than 1.5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Between 0.7 to 1.2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IF(B189=0,"",RANK(B189,$B$2:$B$372,0))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CHENNPETRO</t>
        </is>
      </c>
      <c r="D189" s="31" t="inlineStr">
        <is>
          <t>Chennai Petroleum Corporation Limited</t>
        </is>
      </c>
      <c r="E189" s="31" t="inlineStr">
        <is>
          <t>energy</t>
        </is>
      </c>
      <c r="F189" s="31" t="inlineStr">
        <is>
          <t>refineries</t>
        </is>
      </c>
      <c r="G189" s="31" t="inlineStr">
        <is>
          <t>largecap</t>
        </is>
      </c>
      <c r="H189" s="32" t="n">
        <v>20865.47</v>
      </c>
      <c r="I189" s="32" t="n">
        <v>1375</v>
      </c>
      <c r="J189" s="32" t="n">
        <v>-1.87</v>
      </c>
      <c r="K189" s="32" t="n">
        <v>876107</v>
      </c>
      <c r="L189" s="31" t="inlineStr"/>
      <c r="M189" s="31" t="inlineStr"/>
      <c r="N189" s="32">
        <f>IF(M189="Underperforming",-5,IF(L189&gt;=95,15,IF(L189&gt;=90,10,IF(L189&gt;=80,5,0))))</f>
        <v/>
      </c>
      <c r="O189" s="32" t="n">
        <v>73.19</v>
      </c>
      <c r="P189" s="32" t="n">
        <v>54.21</v>
      </c>
      <c r="Q189" s="32" t="n">
        <v>1034.78</v>
      </c>
      <c r="R189" s="31" t="inlineStr">
        <is>
          <t>Near 52W High Breakout</t>
        </is>
      </c>
      <c r="S189" s="31" t="inlineStr">
        <is>
          <t>Nifty Energy</t>
        </is>
      </c>
      <c r="T189" s="32" t="inlineStr"/>
      <c r="U189" s="32" t="inlineStr"/>
      <c r="V189" s="32" t="inlineStr"/>
      <c r="W189" s="32" t="inlineStr"/>
      <c r="X189" s="31" t="inlineStr">
        <is>
          <t>Cyclical in an Upturn</t>
        </is>
      </c>
      <c r="Y189" s="31">
        <f>IF(X189="Growing Industry",10,IF(X189="Cyclical in an Upturn",5,0))</f>
        <v/>
      </c>
      <c r="Z189" s="31" t="inlineStr">
        <is>
          <t>Oligopoly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Yes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Cyclical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Volatile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Above 40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Blue sky scenario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Less than 1.5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IF(B190=0,"",RANK(B190,$B$2:$B$372,0))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3" t="inlineStr">
        <is>
          <t>ANTHEM</t>
        </is>
      </c>
      <c r="D190" s="33" t="inlineStr">
        <is>
          <t>Anthem Biosciences Ltd</t>
        </is>
      </c>
      <c r="E190" s="31" t="inlineStr">
        <is>
          <t>healthcare</t>
        </is>
      </c>
      <c r="F190" s="31" t="inlineStr">
        <is>
          <t>pharmaceuticals - indian - bulk drugs &amp; formln</t>
        </is>
      </c>
      <c r="G190" s="31" t="inlineStr">
        <is>
          <t>largecap</t>
        </is>
      </c>
      <c r="H190" s="32" t="n">
        <v>49279.27</v>
      </c>
      <c r="I190" s="32" t="n">
        <v>923.05</v>
      </c>
      <c r="J190" s="32" t="n">
        <v>5.53</v>
      </c>
      <c r="K190" s="32" t="n">
        <v>2269975</v>
      </c>
      <c r="L190" s="31" t="n">
        <v>28</v>
      </c>
      <c r="M190" s="31" t="inlineStr">
        <is>
          <t>Underperforming</t>
        </is>
      </c>
      <c r="N190" s="32">
        <f>IF(M190="Underperforming",-5,IF(L190&gt;=95,15,IF(L190&gt;=90,10,IF(L190&gt;=80,5,0))))</f>
        <v/>
      </c>
      <c r="O190" s="32" t="n">
        <v>71.45999999999999</v>
      </c>
      <c r="P190" s="32" t="n">
        <v>40.03</v>
      </c>
      <c r="Q190" s="32" t="n">
        <v>779.17</v>
      </c>
      <c r="R190" s="31" t="inlineStr">
        <is>
          <t>Near 52W High Breakout</t>
        </is>
      </c>
      <c r="S190" s="31" t="inlineStr">
        <is>
          <t>Nifty Pharma</t>
        </is>
      </c>
      <c r="T190" s="32" t="n">
        <v>22.12</v>
      </c>
      <c r="U190" s="32" t="n">
        <v>13.13</v>
      </c>
      <c r="V190" s="32" t="n">
        <v>-7.36</v>
      </c>
      <c r="W190" s="32" t="n">
        <v>8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Yes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Annuity, Lower One Time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Above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Blue sky scenario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Less than 12%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Yes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IF(B191=0,"",RANK(B191,$B$2:$B$372,0))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3" t="inlineStr">
        <is>
          <t>KOVAI</t>
        </is>
      </c>
      <c r="D191" s="33" t="inlineStr">
        <is>
          <t>Kovai Medical Center &amp; Hospital Ltd</t>
        </is>
      </c>
      <c r="E191" s="31" t="inlineStr">
        <is>
          <t>healthcare</t>
        </is>
      </c>
      <c r="F191" s="31" t="inlineStr">
        <is>
          <t>healthcare</t>
        </is>
      </c>
      <c r="G191" s="31" t="inlineStr">
        <is>
          <t>midcap</t>
        </is>
      </c>
      <c r="H191" s="32" t="n">
        <v>6549.49</v>
      </c>
      <c r="I191" s="32" t="n">
        <v>6089</v>
      </c>
      <c r="J191" s="32" t="n">
        <v>1.73</v>
      </c>
      <c r="K191" s="32" t="n">
        <v>7028</v>
      </c>
      <c r="L191" s="31" t="n">
        <v>8</v>
      </c>
      <c r="M191" s="31" t="inlineStr">
        <is>
          <t>Underperforming</t>
        </is>
      </c>
      <c r="N191" s="32">
        <f>IF(M191="Underperforming",-5,IF(L191&gt;=95,15,IF(L191&gt;=90,10,IF(L191&gt;=80,5,0))))</f>
        <v/>
      </c>
      <c r="O191" s="32" t="n">
        <v>64.41</v>
      </c>
      <c r="P191" s="32" t="n">
        <v>28.56</v>
      </c>
      <c r="Q191" s="32" t="n">
        <v>5180.64</v>
      </c>
      <c r="R191" s="31" t="inlineStr">
        <is>
          <t>Earnings / Momentum Support</t>
        </is>
      </c>
      <c r="S191" s="31" t="inlineStr">
        <is>
          <t>Nifty Pharma</t>
        </is>
      </c>
      <c r="T191" s="32" t="n">
        <v>22.12</v>
      </c>
      <c r="U191" s="32" t="n">
        <v>-3.36</v>
      </c>
      <c r="V191" s="32" t="n">
        <v>-20.86</v>
      </c>
      <c r="W191" s="32" t="n">
        <v>2.58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Yes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No</t>
        </is>
      </c>
      <c r="AQ191" s="31">
        <f>IF(AP191="Yes",10,0)</f>
        <v/>
      </c>
      <c r="AR191" s="31" t="inlineStr">
        <is>
          <t>Higher Annuity, Lower One Time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More than 20%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Less than 1.5</t>
        </is>
      </c>
      <c r="BU191" s="31">
        <f>IF(BT191="Above 2",0,IF(BT191="Between 1.5 to 2",5,IF(BT191="Less than 1.5",10,0)))</f>
        <v/>
      </c>
      <c r="BV191" s="31" t="inlineStr">
        <is>
          <t>Above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IF(B192=0,"",RANK(B192,$B$2:$B$372,0))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3" t="inlineStr">
        <is>
          <t>PPLPHARMA</t>
        </is>
      </c>
      <c r="D192" s="33" t="inlineStr">
        <is>
          <t>Piramal Pharma Ltd</t>
        </is>
      </c>
      <c r="E192" s="31" t="inlineStr">
        <is>
          <t>healthcare</t>
        </is>
      </c>
      <c r="F192" s="31" t="inlineStr">
        <is>
          <t>pharmaceuticals - indian - bulk drugs &amp; formln</t>
        </is>
      </c>
      <c r="G192" s="31" t="inlineStr">
        <is>
          <t>largecap</t>
        </is>
      </c>
      <c r="H192" s="32" t="n">
        <v>27653.43</v>
      </c>
      <c r="I192" s="32" t="n">
        <v>211.29</v>
      </c>
      <c r="J192" s="32" t="n">
        <v>1.72</v>
      </c>
      <c r="K192" s="32" t="n">
        <v>3103547</v>
      </c>
      <c r="L192" s="31" t="n">
        <v>30</v>
      </c>
      <c r="M192" s="31" t="inlineStr">
        <is>
          <t>Underperforming</t>
        </is>
      </c>
      <c r="N192" s="32">
        <f>IF(M192="Underperforming",-5,IF(L192&gt;=95,15,IF(L192&gt;=90,10,IF(L192&gt;=80,5,0))))</f>
        <v/>
      </c>
      <c r="O192" s="32" t="n">
        <v>69.34999999999999</v>
      </c>
      <c r="P192" s="32" t="n">
        <v>28.77</v>
      </c>
      <c r="Q192" s="32" t="n">
        <v>169.94</v>
      </c>
      <c r="R192" s="31" t="inlineStr">
        <is>
          <t>Near 52W High Breakout</t>
        </is>
      </c>
      <c r="S192" s="31" t="inlineStr">
        <is>
          <t>Nifty Pharma</t>
        </is>
      </c>
      <c r="T192" s="32" t="n">
        <v>22.12</v>
      </c>
      <c r="U192" s="32" t="n">
        <v>15.18</v>
      </c>
      <c r="V192" s="32" t="n">
        <v>-5.68</v>
      </c>
      <c r="W192" s="32" t="n">
        <v>8.140000000000001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Yes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Annuity, Lower One Time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No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IF(B193=0,"",RANK(B193,$B$2:$B$372,0))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AVADHSUGAR</t>
        </is>
      </c>
      <c r="D193" s="31" t="inlineStr">
        <is>
          <t>Avadh Sugar &amp; Energy</t>
        </is>
      </c>
      <c r="E193" s="31" t="inlineStr">
        <is>
          <t>fmcg</t>
        </is>
      </c>
      <c r="F193" s="31" t="inlineStr">
        <is>
          <t>sugar</t>
        </is>
      </c>
      <c r="G193" s="31" t="inlineStr">
        <is>
          <t>smallcap</t>
        </is>
      </c>
      <c r="H193" s="32" t="n">
        <v>1613.78</v>
      </c>
      <c r="I193" s="32" t="n">
        <v>813.7</v>
      </c>
      <c r="J193" s="32" t="n">
        <v>0.9399999999999999</v>
      </c>
      <c r="K193" s="32" t="n">
        <v>260774</v>
      </c>
      <c r="L193" s="31" t="inlineStr"/>
      <c r="M193" s="31" t="inlineStr"/>
      <c r="N193" s="32">
        <f>IF(M193="Underperforming",-5,IF(L193&gt;=95,15,IF(L193&gt;=90,10,IF(L193&gt;=80,5,0))))</f>
        <v/>
      </c>
      <c r="O193" s="32" t="n">
        <v>81.88</v>
      </c>
      <c r="P193" s="32" t="n">
        <v>43.26</v>
      </c>
      <c r="Q193" s="32" t="n">
        <v>644.24</v>
      </c>
      <c r="R193" s="31" t="inlineStr">
        <is>
          <t>Near 52W High Breakout</t>
        </is>
      </c>
      <c r="S193" s="31" t="inlineStr">
        <is>
          <t>Nifty FMCG</t>
        </is>
      </c>
      <c r="T193" s="32" t="inlineStr"/>
      <c r="U193" s="32" t="inlineStr"/>
      <c r="V193" s="32" t="inlineStr"/>
      <c r="W193" s="32" t="inlineStr"/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B2C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Annuity, Lower One Time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Above 40</t>
        </is>
      </c>
      <c r="AY193" s="31">
        <f>IF(AX193="Above 40",20,IF(AX193="20 to 40",10,IF(AX193="0 to 20",-5,0)))</f>
        <v/>
      </c>
      <c r="AZ193" s="31" t="inlineStr">
        <is>
          <t>Above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Blue sky scenario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More than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Above 70%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More than 1.2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IF(B194=0,"",RANK(B194,$B$2:$B$372,0))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UNITDSPR</t>
        </is>
      </c>
      <c r="D194" s="31" t="inlineStr">
        <is>
          <t>United Spirits Ltd</t>
        </is>
      </c>
      <c r="E194" s="31" t="inlineStr">
        <is>
          <t>fmcg</t>
        </is>
      </c>
      <c r="F194" s="31" t="inlineStr">
        <is>
          <t>breweries &amp; distilleries</t>
        </is>
      </c>
      <c r="G194" s="31" t="inlineStr">
        <is>
          <t>largecap</t>
        </is>
      </c>
      <c r="H194" s="32" t="n">
        <v>112739.38</v>
      </c>
      <c r="I194" s="32" t="n">
        <v>1538.5</v>
      </c>
      <c r="J194" s="32" t="n">
        <v>-0.74</v>
      </c>
      <c r="K194" s="32" t="n">
        <v>617255</v>
      </c>
      <c r="L194" s="31" t="inlineStr"/>
      <c r="M194" s="31" t="inlineStr"/>
      <c r="N194" s="32">
        <f>IF(M194="Underperforming",-5,IF(L194&gt;=95,15,IF(L194&gt;=90,10,IF(L194&gt;=80,5,0))))</f>
        <v/>
      </c>
      <c r="O194" s="32" t="n">
        <v>67.34999999999999</v>
      </c>
      <c r="P194" s="32" t="n">
        <v>25.71</v>
      </c>
      <c r="Q194" s="32" t="n">
        <v>1360.74</v>
      </c>
      <c r="R194" s="31" t="inlineStr">
        <is>
          <t>Near 52W High Breakout</t>
        </is>
      </c>
      <c r="S194" s="31" t="inlineStr">
        <is>
          <t>Nifty FMCG</t>
        </is>
      </c>
      <c r="T194" s="32" t="inlineStr"/>
      <c r="U194" s="32" t="inlineStr"/>
      <c r="V194" s="32" t="inlineStr"/>
      <c r="W194" s="32" t="inlineStr"/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B2C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Annuity, Lower One Time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Less than 12%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Less than 0.7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IF(B195=0,"",RANK(B195,$B$2:$B$372,0))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SUBEXLTD</t>
        </is>
      </c>
      <c r="D195" s="31" t="inlineStr">
        <is>
          <t>Subex Ltd</t>
        </is>
      </c>
      <c r="E195" s="31" t="inlineStr">
        <is>
          <t>i.t</t>
        </is>
      </c>
      <c r="F195" s="31" t="inlineStr">
        <is>
          <t>computers - software - medium / small</t>
        </is>
      </c>
      <c r="G195" s="31" t="inlineStr">
        <is>
          <t>smallcap</t>
        </is>
      </c>
      <c r="H195" s="32" t="n">
        <v>1001.49</v>
      </c>
      <c r="I195" s="32" t="n">
        <v>17.62</v>
      </c>
      <c r="J195" s="32" t="n">
        <v>-1.12</v>
      </c>
      <c r="K195" s="32" t="n">
        <v>2989151</v>
      </c>
      <c r="L195" s="31" t="n">
        <v>80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71.15000000000001</v>
      </c>
      <c r="P195" s="32" t="n">
        <v>29.94</v>
      </c>
      <c r="Q195" s="32" t="n">
        <v>13.68</v>
      </c>
      <c r="R195" s="31" t="inlineStr">
        <is>
          <t>Earnings / Momentum Support</t>
        </is>
      </c>
      <c r="S195" s="31" t="inlineStr">
        <is>
          <t>Nifty IT</t>
        </is>
      </c>
      <c r="T195" s="32" t="n">
        <v>-13.82</v>
      </c>
      <c r="U195" s="32" t="n">
        <v>40.85</v>
      </c>
      <c r="V195" s="32" t="n">
        <v>63.44</v>
      </c>
      <c r="W195" s="32" t="n">
        <v>23.62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No</t>
        </is>
      </c>
      <c r="AQ195" s="31">
        <f>IF(AP195="Yes",10,0)</f>
        <v/>
      </c>
      <c r="AR195" s="31" t="inlineStr">
        <is>
          <t>Higher Annuity, Lower One Time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20 to 40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Between 12 to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IF(B196=0,"",RANK(B196,$B$2:$B$372,0))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3" t="inlineStr">
        <is>
          <t>SOLARA</t>
        </is>
      </c>
      <c r="D196" s="33" t="inlineStr">
        <is>
          <t>Solara Active Pharma Sciences Ltd</t>
        </is>
      </c>
      <c r="E196" s="31" t="inlineStr">
        <is>
          <t>healthcare</t>
        </is>
      </c>
      <c r="F196" s="31" t="inlineStr">
        <is>
          <t>pharmaceuticals - indian - bulk drugs &amp; formln</t>
        </is>
      </c>
      <c r="G196" s="31" t="inlineStr">
        <is>
          <t>smallcap</t>
        </is>
      </c>
      <c r="H196" s="32" t="n">
        <v>3032.5</v>
      </c>
      <c r="I196" s="32" t="n">
        <v>618</v>
      </c>
      <c r="J196" s="32" t="n">
        <v>-1.68</v>
      </c>
      <c r="K196" s="32" t="n">
        <v>350025</v>
      </c>
      <c r="L196" s="31" t="n">
        <v>13</v>
      </c>
      <c r="M196" s="31" t="inlineStr">
        <is>
          <t>Underperforming</t>
        </is>
      </c>
      <c r="N196" s="32">
        <f>IF(M196="Underperforming",-5,IF(L196&gt;=95,15,IF(L196&gt;=90,10,IF(L196&gt;=80,5,0))))</f>
        <v/>
      </c>
      <c r="O196" s="32" t="n">
        <v>60.72</v>
      </c>
      <c r="P196" s="32" t="n">
        <v>24.77</v>
      </c>
      <c r="Q196" s="32" t="n">
        <v>450.62</v>
      </c>
      <c r="R196" s="31" t="inlineStr">
        <is>
          <t>Earnings / Momentum Support</t>
        </is>
      </c>
      <c r="S196" s="31" t="inlineStr">
        <is>
          <t>Nifty Pharma</t>
        </is>
      </c>
      <c r="T196" s="32" t="n">
        <v>22.12</v>
      </c>
      <c r="U196" s="32" t="n">
        <v>0.71</v>
      </c>
      <c r="V196" s="32" t="n">
        <v>-17.53</v>
      </c>
      <c r="W196" s="32" t="n">
        <v>4.16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Yes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Annuity, Lower One Time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20 to 40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Less than 1.5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IF(B197=0,"",RANK(B197,$B$2:$B$372,0))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WEL</t>
        </is>
      </c>
      <c r="D197" s="31" t="inlineStr">
        <is>
          <t>Wonder Electricals Ltd</t>
        </is>
      </c>
      <c r="E197" s="31" t="inlineStr">
        <is>
          <t>consumer discretionary</t>
        </is>
      </c>
      <c r="F197" s="31" t="inlineStr">
        <is>
          <t>electric equipment</t>
        </is>
      </c>
      <c r="G197" s="31" t="inlineStr">
        <is>
          <t>smallcap</t>
        </is>
      </c>
      <c r="H197" s="32" t="n">
        <v>1795.98</v>
      </c>
      <c r="I197" s="32" t="n">
        <v>155.92</v>
      </c>
      <c r="J197" s="32" t="n">
        <v>16.34</v>
      </c>
      <c r="K197" s="32" t="n">
        <v>18476539</v>
      </c>
      <c r="L197" s="31" t="n">
        <v>81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68.90000000000001</v>
      </c>
      <c r="P197" s="32" t="n">
        <v>22.57</v>
      </c>
      <c r="Q197" s="32" t="n">
        <v>112.25</v>
      </c>
      <c r="R197" s="31" t="inlineStr">
        <is>
          <t>Volume Spike / Accumulation</t>
        </is>
      </c>
      <c r="S197" s="31" t="inlineStr">
        <is>
          <t>Nifty 50</t>
        </is>
      </c>
      <c r="T197" s="32" t="n">
        <v>-0.9</v>
      </c>
      <c r="U197" s="32" t="n">
        <v>19.82</v>
      </c>
      <c r="V197" s="32" t="n">
        <v>20.91</v>
      </c>
      <c r="W197" s="32" t="n">
        <v>23.91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Between 0.7 to 1.2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IF(B198=0,"",RANK(B198,$B$2:$B$372,0))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ARIES</t>
        </is>
      </c>
      <c r="D198" s="31" t="inlineStr">
        <is>
          <t>Aries Agro Limited</t>
        </is>
      </c>
      <c r="E198" s="31" t="inlineStr">
        <is>
          <t>chemicals</t>
        </is>
      </c>
      <c r="F198" s="31" t="inlineStr">
        <is>
          <t>fertilizers</t>
        </is>
      </c>
      <c r="G198" s="31" t="inlineStr">
        <is>
          <t>smallcap</t>
        </is>
      </c>
      <c r="H198" s="32" t="n">
        <v>580.97</v>
      </c>
      <c r="I198" s="32" t="n">
        <v>493.95</v>
      </c>
      <c r="J198" s="32" t="n">
        <v>10.57</v>
      </c>
      <c r="K198" s="32" t="n">
        <v>1433154</v>
      </c>
      <c r="L198" s="31" t="n">
        <v>63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80.09</v>
      </c>
      <c r="P198" s="32" t="n">
        <v>15.58</v>
      </c>
      <c r="Q198" s="32" t="n">
        <v>400.58</v>
      </c>
      <c r="R198" s="31" t="inlineStr">
        <is>
          <t>Volume Spike &amp; Near 52W High Breakout</t>
        </is>
      </c>
      <c r="S198" s="31" t="inlineStr">
        <is>
          <t>Nifty 50</t>
        </is>
      </c>
      <c r="T198" s="32" t="n">
        <v>-0.9</v>
      </c>
      <c r="U198" s="32" t="n">
        <v>25.2</v>
      </c>
      <c r="V198" s="32" t="n">
        <v>26.33</v>
      </c>
      <c r="W198" s="32" t="n">
        <v>16.59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0 to 20</t>
        </is>
      </c>
      <c r="AY198" s="31">
        <f>IF(AX198="Above 40",20,IF(AX198="20 to 40",10,IF(AX198="0 to 20",-5,0)))</f>
        <v/>
      </c>
      <c r="AZ198" s="31" t="inlineStr">
        <is>
          <t>Above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Blue sky scenario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Less than 1.5</t>
        </is>
      </c>
      <c r="BU198" s="31">
        <f>IF(BT198="Above 2",0,IF(BT198="Between 1.5 to 2",5,IF(BT198="Less than 1.5",10,0)))</f>
        <v/>
      </c>
      <c r="BV198" s="31" t="inlineStr">
        <is>
          <t>Above 70%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IF(B199=0,"",RANK(B199,$B$2:$B$372,0))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TVSSRICHAK</t>
        </is>
      </c>
      <c r="D199" s="31" t="inlineStr">
        <is>
          <t>Tvs Srichakra Limited</t>
        </is>
      </c>
      <c r="E199" s="31" t="inlineStr">
        <is>
          <t>auto</t>
        </is>
      </c>
      <c r="F199" s="31" t="inlineStr">
        <is>
          <t>tyres</t>
        </is>
      </c>
      <c r="G199" s="31" t="inlineStr">
        <is>
          <t>smallcap</t>
        </is>
      </c>
      <c r="H199" s="32" t="n">
        <v>3684.57</v>
      </c>
      <c r="I199" s="32" t="n">
        <v>5311.8</v>
      </c>
      <c r="J199" s="32" t="n">
        <v>10.39</v>
      </c>
      <c r="K199" s="32" t="n">
        <v>307139</v>
      </c>
      <c r="L199" s="31" t="inlineStr"/>
      <c r="M199" s="31" t="inlineStr"/>
      <c r="N199" s="32">
        <f>IF(M199="Underperforming",-5,IF(L199&gt;=95,15,IF(L199&gt;=90,10,IF(L199&gt;=80,5,0))))</f>
        <v/>
      </c>
      <c r="O199" s="32" t="n">
        <v>75.06999999999999</v>
      </c>
      <c r="P199" s="32" t="n">
        <v>25.99</v>
      </c>
      <c r="Q199" s="32" t="n">
        <v>4209.87</v>
      </c>
      <c r="R199" s="31" t="inlineStr">
        <is>
          <t>Volume Spike &amp; Near 52W High Breakout</t>
        </is>
      </c>
      <c r="S199" s="31" t="inlineStr">
        <is>
          <t>Nifty Auto</t>
        </is>
      </c>
      <c r="T199" s="32" t="inlineStr"/>
      <c r="U199" s="32" t="inlineStr"/>
      <c r="V199" s="32" t="inlineStr"/>
      <c r="W199" s="32" t="inlineStr"/>
      <c r="X199" s="31" t="inlineStr">
        <is>
          <t>Growing Industry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Above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Blue sky scenario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Yes</t>
        </is>
      </c>
      <c r="BS199" s="31">
        <f>IF(BR199="NO",5,0)</f>
        <v/>
      </c>
      <c r="BT199" s="31" t="inlineStr">
        <is>
          <t>Above 2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IF(B200=0,"",RANK(B200,$B$2:$B$372,0))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DATAPATTNS</t>
        </is>
      </c>
      <c r="D200" s="31" t="inlineStr">
        <is>
          <t>Data Patterns (India) Ltd</t>
        </is>
      </c>
      <c r="E200" s="31" t="inlineStr">
        <is>
          <t>aerospace &amp; defence</t>
        </is>
      </c>
      <c r="F200" s="31" t="inlineStr">
        <is>
          <t>electronics - components</t>
        </is>
      </c>
      <c r="G200" s="31" t="inlineStr">
        <is>
          <t>largecap</t>
        </is>
      </c>
      <c r="H200" s="32" t="n">
        <v>25429.6</v>
      </c>
      <c r="I200" s="32" t="n">
        <v>4779.4</v>
      </c>
      <c r="J200" s="32" t="n">
        <v>5.22</v>
      </c>
      <c r="K200" s="32" t="n">
        <v>1758486</v>
      </c>
      <c r="L200" s="31" t="n">
        <v>69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64.34999999999999</v>
      </c>
      <c r="P200" s="32" t="n">
        <v>32.12</v>
      </c>
      <c r="Q200" s="32" t="n">
        <v>3498.12</v>
      </c>
      <c r="R200" s="31" t="inlineStr">
        <is>
          <t>Near 52W High Breakout</t>
        </is>
      </c>
      <c r="S200" s="31" t="inlineStr">
        <is>
          <t>Nifty 50</t>
        </is>
      </c>
      <c r="T200" s="32" t="n">
        <v>-0.9</v>
      </c>
      <c r="U200" s="32" t="n">
        <v>99.34</v>
      </c>
      <c r="V200" s="32" t="n">
        <v>101.15</v>
      </c>
      <c r="W200" s="32" t="n">
        <v>18.92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20 to 40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Blue sky scenario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Less than 12%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IF(B201=0,"",RANK(B201,$B$2:$B$372,0))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KRONOX</t>
        </is>
      </c>
      <c r="D201" s="31" t="inlineStr">
        <is>
          <t>Kronox Lab Sciences Ltd</t>
        </is>
      </c>
      <c r="E201" s="31" t="inlineStr">
        <is>
          <t>chemicals</t>
        </is>
      </c>
      <c r="F201" s="31" t="inlineStr">
        <is>
          <t>chemicals</t>
        </is>
      </c>
      <c r="G201" s="31" t="inlineStr">
        <is>
          <t>smallcap</t>
        </is>
      </c>
      <c r="H201" s="32" t="n">
        <v>690.65</v>
      </c>
      <c r="I201" s="32" t="n">
        <v>195.44</v>
      </c>
      <c r="J201" s="32" t="n">
        <v>5</v>
      </c>
      <c r="K201" s="32" t="n">
        <v>83060</v>
      </c>
      <c r="L201" s="31" t="n">
        <v>54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65.19</v>
      </c>
      <c r="P201" s="32" t="n">
        <v>34.13</v>
      </c>
      <c r="Q201" s="32" t="n">
        <v>151.23</v>
      </c>
      <c r="R201" s="31" t="inlineStr">
        <is>
          <t>Earnings / Momentum Support</t>
        </is>
      </c>
      <c r="S201" s="31" t="inlineStr">
        <is>
          <t>Nifty 50</t>
        </is>
      </c>
      <c r="T201" s="32" t="n">
        <v>-0.9</v>
      </c>
      <c r="U201" s="32" t="n">
        <v>20.99</v>
      </c>
      <c r="V201" s="32" t="n">
        <v>22.09</v>
      </c>
      <c r="W201" s="32" t="n">
        <v>13.94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Between 12 to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No</t>
        </is>
      </c>
      <c r="BS201" s="31">
        <f>IF(BR201="NO",5,0)</f>
        <v/>
      </c>
      <c r="BT201" s="31" t="inlineStr">
        <is>
          <t>Between 1.5 to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IF(B202=0,"",RANK(B202,$B$2:$B$372,0))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BALUFORGE</t>
        </is>
      </c>
      <c r="D202" s="31" t="inlineStr">
        <is>
          <t>Balu Forge Industries Ltd</t>
        </is>
      </c>
      <c r="E202" s="31" t="inlineStr">
        <is>
          <t>industrials</t>
        </is>
      </c>
      <c r="F202" s="31" t="inlineStr">
        <is>
          <t>castings &amp; forgings</t>
        </is>
      </c>
      <c r="G202" s="31" t="inlineStr">
        <is>
          <t>midcap</t>
        </is>
      </c>
      <c r="H202" s="32" t="n">
        <v>7295.81</v>
      </c>
      <c r="I202" s="32" t="n">
        <v>638.9</v>
      </c>
      <c r="J202" s="32" t="n">
        <v>4.81</v>
      </c>
      <c r="K202" s="32" t="n">
        <v>6144183</v>
      </c>
      <c r="L202" s="31" t="n">
        <v>35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69.98</v>
      </c>
      <c r="P202" s="32" t="n">
        <v>17.52</v>
      </c>
      <c r="Q202" s="32" t="n">
        <v>486.29</v>
      </c>
      <c r="R202" s="31" t="inlineStr">
        <is>
          <t>Volume Spike / Accumulation</t>
        </is>
      </c>
      <c r="S202" s="31" t="inlineStr">
        <is>
          <t>Nifty 50</t>
        </is>
      </c>
      <c r="T202" s="32" t="n">
        <v>-0.9</v>
      </c>
      <c r="U202" s="32" t="n">
        <v>3.83</v>
      </c>
      <c r="V202" s="32" t="n">
        <v>4.77</v>
      </c>
      <c r="W202" s="32" t="n">
        <v>9.18</v>
      </c>
      <c r="X202" s="31" t="inlineStr">
        <is>
          <t>Cyclical in an Upturn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0 to 20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Less than 1.5</t>
        </is>
      </c>
      <c r="BU202" s="31">
        <f>IF(BT202="Above 2",0,IF(BT202="Between 1.5 to 2",5,IF(BT202="Less than 1.5",10,0)))</f>
        <v/>
      </c>
      <c r="BV202" s="31" t="inlineStr">
        <is>
          <t>Above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Less than 0.7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IF(B203=0,"",RANK(B203,$B$2:$B$372,0))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SPECIALITY</t>
        </is>
      </c>
      <c r="D203" s="31" t="inlineStr">
        <is>
          <t>Speciality Restaurants Limited</t>
        </is>
      </c>
      <c r="E203" s="31" t="inlineStr">
        <is>
          <t>services</t>
        </is>
      </c>
      <c r="F203" s="31" t="inlineStr">
        <is>
          <t>hotels</t>
        </is>
      </c>
      <c r="G203" s="31" t="inlineStr">
        <is>
          <t>smallcap</t>
        </is>
      </c>
      <c r="H203" s="32" t="n">
        <v>686.0599999999999</v>
      </c>
      <c r="I203" s="32" t="n">
        <v>149.04</v>
      </c>
      <c r="J203" s="32" t="n">
        <v>4.79</v>
      </c>
      <c r="K203" s="32" t="n">
        <v>82403</v>
      </c>
      <c r="L203" s="31" t="n">
        <v>45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67.45</v>
      </c>
      <c r="P203" s="32" t="n">
        <v>32.48</v>
      </c>
      <c r="Q203" s="32" t="n">
        <v>107.61</v>
      </c>
      <c r="R203" s="31" t="inlineStr">
        <is>
          <t>Near 52W High Breakout</t>
        </is>
      </c>
      <c r="S203" s="31" t="inlineStr">
        <is>
          <t>Nifty 50</t>
        </is>
      </c>
      <c r="T203" s="32" t="n">
        <v>-0.9</v>
      </c>
      <c r="U203" s="32" t="n">
        <v>21.03</v>
      </c>
      <c r="V203" s="32" t="n">
        <v>22.13</v>
      </c>
      <c r="W203" s="32" t="n">
        <v>12.2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Yes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Less than 12%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No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IF(B204=0,"",RANK(B204,$B$2:$B$372,0))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LUMAXIND</t>
        </is>
      </c>
      <c r="D204" s="31" t="inlineStr">
        <is>
          <t>Lumax Industries Limited</t>
        </is>
      </c>
      <c r="E204" s="31" t="inlineStr">
        <is>
          <t>auto</t>
        </is>
      </c>
      <c r="F204" s="31" t="inlineStr">
        <is>
          <t>auto ancillaries</t>
        </is>
      </c>
      <c r="G204" s="31" t="inlineStr">
        <is>
          <t>midcap</t>
        </is>
      </c>
      <c r="H204" s="32" t="n">
        <v>5523.57</v>
      </c>
      <c r="I204" s="32" t="n">
        <v>6160.5</v>
      </c>
      <c r="J204" s="32" t="n">
        <v>4.26</v>
      </c>
      <c r="K204" s="32" t="n">
        <v>38907</v>
      </c>
      <c r="L204" s="31" t="inlineStr"/>
      <c r="M204" s="31" t="inlineStr"/>
      <c r="N204" s="32">
        <f>IF(M204="Underperforming",-5,IF(L204&gt;=95,15,IF(L204&gt;=90,10,IF(L204&gt;=80,5,0))))</f>
        <v/>
      </c>
      <c r="O204" s="32" t="n">
        <v>64.48999999999999</v>
      </c>
      <c r="P204" s="32" t="n">
        <v>12.58</v>
      </c>
      <c r="Q204" s="32" t="n">
        <v>4744.19</v>
      </c>
      <c r="R204" s="31" t="inlineStr">
        <is>
          <t>Near 52W High Breakout</t>
        </is>
      </c>
      <c r="S204" s="31" t="inlineStr">
        <is>
          <t>Nifty Auto</t>
        </is>
      </c>
      <c r="T204" s="32" t="inlineStr"/>
      <c r="U204" s="32" t="inlineStr"/>
      <c r="V204" s="32" t="inlineStr"/>
      <c r="W204" s="32" t="inlineStr"/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0 to 20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Blue sky scenario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Less than 1.5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Between 0.7 to 1.2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IF(B205=0,"",RANK(B205,$B$2:$B$372,0))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MMP</t>
        </is>
      </c>
      <c r="D205" s="31" t="inlineStr">
        <is>
          <t>MMP Industries Ltd</t>
        </is>
      </c>
      <c r="E205" s="31" t="inlineStr">
        <is>
          <t>metals &amp; mining</t>
        </is>
      </c>
      <c r="F205" s="31" t="inlineStr">
        <is>
          <t>aluminium and aluminium products</t>
        </is>
      </c>
      <c r="G205" s="31" t="inlineStr">
        <is>
          <t>smallcap</t>
        </is>
      </c>
      <c r="H205" s="32" t="n">
        <v>737.34</v>
      </c>
      <c r="I205" s="32" t="n">
        <v>404.25</v>
      </c>
      <c r="J205" s="32" t="n">
        <v>3.73</v>
      </c>
      <c r="K205" s="32" t="n">
        <v>43384</v>
      </c>
      <c r="L205" s="31" t="inlineStr"/>
      <c r="M205" s="31" t="inlineStr"/>
      <c r="N205" s="32">
        <f>IF(M205="Underperforming",-5,IF(L205&gt;=95,15,IF(L205&gt;=90,10,IF(L205&gt;=80,5,0))))</f>
        <v/>
      </c>
      <c r="O205" s="32" t="n">
        <v>78.5</v>
      </c>
      <c r="P205" s="32" t="n">
        <v>43.9</v>
      </c>
      <c r="Q205" s="32" t="n">
        <v>304.55</v>
      </c>
      <c r="R205" s="31" t="inlineStr">
        <is>
          <t>Near 52W High Breakout</t>
        </is>
      </c>
      <c r="S205" s="31" t="inlineStr">
        <is>
          <t>Nifty Metal</t>
        </is>
      </c>
      <c r="T205" s="32" t="inlineStr"/>
      <c r="U205" s="32" t="inlineStr"/>
      <c r="V205" s="32" t="inlineStr"/>
      <c r="W205" s="32" t="inlineStr"/>
      <c r="X205" s="31" t="inlineStr">
        <is>
          <t>Cyclical in an Upturn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Cyclical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Volatile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Above 40</t>
        </is>
      </c>
      <c r="AY205" s="31">
        <f>IF(AX205="Above 40",20,IF(AX205="20 to 40",10,IF(AX205="0 to 20",-5,0)))</f>
        <v/>
      </c>
      <c r="AZ205" s="31" t="inlineStr">
        <is>
          <t>Above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Blue sky scenario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More than 20%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Less than 1.5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IF(B206=0,"",RANK(B206,$B$2:$B$372,0))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SHYAMMETL</t>
        </is>
      </c>
      <c r="D206" s="31" t="inlineStr">
        <is>
          <t>Shyam Metalics &amp; Energy Ltd</t>
        </is>
      </c>
      <c r="E206" s="31" t="inlineStr">
        <is>
          <t>metals &amp; mining</t>
        </is>
      </c>
      <c r="F206" s="31" t="inlineStr">
        <is>
          <t>steel - large</t>
        </is>
      </c>
      <c r="G206" s="31" t="inlineStr">
        <is>
          <t>largecap</t>
        </is>
      </c>
      <c r="H206" s="32" t="n">
        <v>28086.25</v>
      </c>
      <c r="I206" s="32" t="n">
        <v>1040.5</v>
      </c>
      <c r="J206" s="32" t="n">
        <v>3.41</v>
      </c>
      <c r="K206" s="32" t="n">
        <v>508331</v>
      </c>
      <c r="L206" s="31" t="inlineStr"/>
      <c r="M206" s="31" t="inlineStr"/>
      <c r="N206" s="32">
        <f>IF(M206="Underperforming",-5,IF(L206&gt;=95,15,IF(L206&gt;=90,10,IF(L206&gt;=80,5,0))))</f>
        <v/>
      </c>
      <c r="O206" s="32" t="n">
        <v>64.56999999999999</v>
      </c>
      <c r="P206" s="32" t="n">
        <v>22.7</v>
      </c>
      <c r="Q206" s="32" t="n">
        <v>867.24</v>
      </c>
      <c r="R206" s="31" t="inlineStr">
        <is>
          <t>Near 52W High Breakout</t>
        </is>
      </c>
      <c r="S206" s="31" t="inlineStr">
        <is>
          <t>Nifty Metal</t>
        </is>
      </c>
      <c r="T206" s="32" t="inlineStr"/>
      <c r="U206" s="32" t="inlineStr"/>
      <c r="V206" s="32" t="inlineStr"/>
      <c r="W206" s="32" t="inlineStr"/>
      <c r="X206" s="31" t="inlineStr">
        <is>
          <t>Cyclical in an Upturn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Cyclical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Volatile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Blue sky scenario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Less than 1.5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IF(B207=0,"",RANK(B207,$B$2:$B$372,0))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GALAXYSURF</t>
        </is>
      </c>
      <c r="D207" s="31" t="inlineStr">
        <is>
          <t>Galaxy Surfactants Ltd</t>
        </is>
      </c>
      <c r="E207" s="31" t="inlineStr">
        <is>
          <t>chemicals</t>
        </is>
      </c>
      <c r="F207" s="31" t="inlineStr">
        <is>
          <t>chemicals</t>
        </is>
      </c>
      <c r="G207" s="31" t="inlineStr">
        <is>
          <t>midcap</t>
        </is>
      </c>
      <c r="H207" s="32" t="n">
        <v>8098.57</v>
      </c>
      <c r="I207" s="32" t="n">
        <v>2338.8</v>
      </c>
      <c r="J207" s="32" t="n">
        <v>2.39</v>
      </c>
      <c r="K207" s="32" t="n">
        <v>28705</v>
      </c>
      <c r="L207" s="31" t="n">
        <v>30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64.29000000000001</v>
      </c>
      <c r="P207" s="32" t="n">
        <v>22.32</v>
      </c>
      <c r="Q207" s="32" t="n">
        <v>2015.95</v>
      </c>
      <c r="R207" s="31" t="inlineStr">
        <is>
          <t>Earnings / Momentum Support</t>
        </is>
      </c>
      <c r="S207" s="31" t="inlineStr">
        <is>
          <t>Nifty 50</t>
        </is>
      </c>
      <c r="T207" s="32" t="n">
        <v>-0.9</v>
      </c>
      <c r="U207" s="32" t="n">
        <v>4.45</v>
      </c>
      <c r="V207" s="32" t="n">
        <v>5.4</v>
      </c>
      <c r="W207" s="32" t="n">
        <v>8.27</v>
      </c>
      <c r="X207" s="31" t="inlineStr">
        <is>
          <t>Growing Industry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No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No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IF(B208=0,"",RANK(B208,$B$2:$B$372,0))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GLOBAL</t>
        </is>
      </c>
      <c r="D208" s="31" t="inlineStr">
        <is>
          <t>Global Education Ltd</t>
        </is>
      </c>
      <c r="E208" s="31" t="inlineStr">
        <is>
          <t>services</t>
        </is>
      </c>
      <c r="F208" s="31" t="inlineStr">
        <is>
          <t>miscellaneous</t>
        </is>
      </c>
      <c r="G208" s="31" t="inlineStr">
        <is>
          <t>smallcap</t>
        </is>
      </c>
      <c r="H208" s="32" t="n">
        <v>543.17</v>
      </c>
      <c r="I208" s="32" t="n">
        <v>108.7</v>
      </c>
      <c r="J208" s="32" t="n">
        <v>1.86</v>
      </c>
      <c r="K208" s="32" t="n">
        <v>179188</v>
      </c>
      <c r="L208" s="31" t="n">
        <v>53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61.06</v>
      </c>
      <c r="P208" s="32" t="n">
        <v>41.13</v>
      </c>
      <c r="Q208" s="32" t="n">
        <v>81.92</v>
      </c>
      <c r="R208" s="31" t="inlineStr">
        <is>
          <t>Volume Spike / Accumulation</t>
        </is>
      </c>
      <c r="S208" s="31" t="inlineStr">
        <is>
          <t>Nifty 50</t>
        </is>
      </c>
      <c r="T208" s="32" t="n">
        <v>-0.9</v>
      </c>
      <c r="U208" s="32" t="n">
        <v>68.81</v>
      </c>
      <c r="V208" s="32" t="n">
        <v>70.33</v>
      </c>
      <c r="W208" s="32" t="n">
        <v>13.68</v>
      </c>
      <c r="X208" s="31" t="inlineStr">
        <is>
          <t>Growing Industry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Above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Less than 12%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No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Less than 50%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IF(B209=0,"",RANK(B209,$B$2:$B$372,0))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GANESHBE</t>
        </is>
      </c>
      <c r="D209" s="31" t="inlineStr">
        <is>
          <t>Ganesh Benzoplast Ltd</t>
        </is>
      </c>
      <c r="E209" s="31" t="inlineStr">
        <is>
          <t>miscellaneous</t>
        </is>
      </c>
      <c r="F209" s="31" t="inlineStr">
        <is>
          <t>miscellaneous</t>
        </is>
      </c>
      <c r="G209" s="31" t="inlineStr">
        <is>
          <t>smallcap</t>
        </is>
      </c>
      <c r="H209" s="32" t="n">
        <v>865.24</v>
      </c>
      <c r="I209" s="32" t="n">
        <v>122.1</v>
      </c>
      <c r="J209" s="32" t="n">
        <v>1.59</v>
      </c>
      <c r="K209" s="32" t="n">
        <v>67389</v>
      </c>
      <c r="L209" s="31" t="inlineStr"/>
      <c r="M209" s="31" t="inlineStr"/>
      <c r="N209" s="32">
        <f>IF(M209="Underperforming",-5,IF(L209&gt;=95,15,IF(L209&gt;=90,10,IF(L209&gt;=80,5,0))))</f>
        <v/>
      </c>
      <c r="O209" s="32" t="n">
        <v>66.56</v>
      </c>
      <c r="P209" s="32" t="n">
        <v>31.99</v>
      </c>
      <c r="Q209" s="32" t="n">
        <v>90.3</v>
      </c>
      <c r="R209" s="31" t="inlineStr">
        <is>
          <t>Near 52W High Breakout</t>
        </is>
      </c>
      <c r="S209" s="31" t="inlineStr">
        <is>
          <t>Nifty Energy</t>
        </is>
      </c>
      <c r="T209" s="32" t="inlineStr"/>
      <c r="U209" s="32" t="inlineStr"/>
      <c r="V209" s="32" t="inlineStr"/>
      <c r="W209" s="32" t="inlineStr"/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20 to 40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Less than 12%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No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IF(B210=0,"",RANK(B210,$B$2:$B$372,0))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3" t="inlineStr">
        <is>
          <t>BOSCH-HCIL</t>
        </is>
      </c>
      <c r="D210" s="33" t="inlineStr">
        <is>
          <t>Bosch Home Comfort India Ltd</t>
        </is>
      </c>
      <c r="E210" s="31" t="inlineStr">
        <is>
          <t>consumer discretionary</t>
        </is>
      </c>
      <c r="F210" s="31" t="inlineStr">
        <is>
          <t>air-conditioners</t>
        </is>
      </c>
      <c r="G210" s="31" t="inlineStr">
        <is>
          <t>smallcap</t>
        </is>
      </c>
      <c r="H210" s="32" t="n">
        <v>4526.74</v>
      </c>
      <c r="I210" s="32" t="n">
        <v>1685.5</v>
      </c>
      <c r="J210" s="32" t="n">
        <v>1.24</v>
      </c>
      <c r="K210" s="32" t="n">
        <v>46128</v>
      </c>
      <c r="L210" s="31" t="n">
        <v>15</v>
      </c>
      <c r="M210" s="31" t="inlineStr">
        <is>
          <t>Underperforming</t>
        </is>
      </c>
      <c r="N210" s="32">
        <f>IF(M210="Underperforming",-5,IF(L210&gt;=95,15,IF(L210&gt;=90,10,IF(L210&gt;=80,5,0))))</f>
        <v/>
      </c>
      <c r="O210" s="32" t="n">
        <v>67.66</v>
      </c>
      <c r="P210" s="32" t="n">
        <v>21.48</v>
      </c>
      <c r="Q210" s="32" t="n">
        <v>1388.8</v>
      </c>
      <c r="R210" s="31" t="inlineStr">
        <is>
          <t>Near 52W High Breakout</t>
        </is>
      </c>
      <c r="S210" s="31" t="inlineStr">
        <is>
          <t>Nifty 50</t>
        </is>
      </c>
      <c r="T210" s="32" t="n">
        <v>-0.9</v>
      </c>
      <c r="U210" s="32" t="n">
        <v>-1.44</v>
      </c>
      <c r="V210" s="32" t="n">
        <v>-0.55</v>
      </c>
      <c r="W210" s="32" t="n">
        <v>4.8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IF(B211=0,"",RANK(B211,$B$2:$B$372,0))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ELGIEQUIP</t>
        </is>
      </c>
      <c r="D211" s="31" t="inlineStr">
        <is>
          <t>Elgi Equipments Limited</t>
        </is>
      </c>
      <c r="E211" s="31" t="inlineStr">
        <is>
          <t>industrials</t>
        </is>
      </c>
      <c r="F211" s="31" t="inlineStr">
        <is>
          <t>compressors / drilling equipment</t>
        </is>
      </c>
      <c r="G211" s="31" t="inlineStr">
        <is>
          <t>midcap</t>
        </is>
      </c>
      <c r="H211" s="32" t="n">
        <v>19339.37</v>
      </c>
      <c r="I211" s="32" t="n">
        <v>617.55</v>
      </c>
      <c r="J211" s="32" t="n">
        <v>1.2</v>
      </c>
      <c r="K211" s="32" t="n">
        <v>363066</v>
      </c>
      <c r="L211" s="31" t="n">
        <v>26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62.24</v>
      </c>
      <c r="P211" s="32" t="n">
        <v>25.08</v>
      </c>
      <c r="Q211" s="32" t="n">
        <v>523.08</v>
      </c>
      <c r="R211" s="31" t="inlineStr">
        <is>
          <t>Near 52W High Breakout</t>
        </is>
      </c>
      <c r="S211" s="31" t="inlineStr">
        <is>
          <t>Nifty 50</t>
        </is>
      </c>
      <c r="T211" s="32" t="n">
        <v>-0.9</v>
      </c>
      <c r="U211" s="32" t="n">
        <v>31.49</v>
      </c>
      <c r="V211" s="32" t="n">
        <v>32.68</v>
      </c>
      <c r="W211" s="32" t="n">
        <v>7.31</v>
      </c>
      <c r="X211" s="31" t="inlineStr">
        <is>
          <t>Cyclical in an Upturn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IF(B212=0,"",RANK(B212,$B$2:$B$372,0))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1" t="inlineStr">
        <is>
          <t>INDORAMA</t>
        </is>
      </c>
      <c r="D212" s="31" t="inlineStr">
        <is>
          <t>Indo Rama Synthetics (india) Limited</t>
        </is>
      </c>
      <c r="E212" s="31" t="inlineStr">
        <is>
          <t>textiles</t>
        </is>
      </c>
      <c r="F212" s="31" t="inlineStr">
        <is>
          <t>textiles - manmade</t>
        </is>
      </c>
      <c r="G212" s="31" t="inlineStr">
        <is>
          <t>smallcap</t>
        </is>
      </c>
      <c r="H212" s="32" t="n">
        <v>1580.52</v>
      </c>
      <c r="I212" s="32" t="n">
        <v>61.22</v>
      </c>
      <c r="J212" s="32" t="n">
        <v>1.14</v>
      </c>
      <c r="K212" s="32" t="n">
        <v>195893</v>
      </c>
      <c r="L212" s="31" t="n">
        <v>64</v>
      </c>
      <c r="M212" s="31" t="inlineStr">
        <is>
          <t>Outperforming</t>
        </is>
      </c>
      <c r="N212" s="32">
        <f>IF(M212="Underperforming",-5,IF(L212&gt;=95,15,IF(L212&gt;=90,10,IF(L212&gt;=80,5,0))))</f>
        <v/>
      </c>
      <c r="O212" s="32" t="n">
        <v>67.53</v>
      </c>
      <c r="P212" s="32" t="n">
        <v>45.28</v>
      </c>
      <c r="Q212" s="32" t="n">
        <v>44.22</v>
      </c>
      <c r="R212" s="31" t="inlineStr">
        <is>
          <t>Earnings / Momentum Support</t>
        </is>
      </c>
      <c r="S212" s="31" t="inlineStr">
        <is>
          <t>Nifty 50</t>
        </is>
      </c>
      <c r="T212" s="32" t="n">
        <v>-0.9</v>
      </c>
      <c r="U212" s="32" t="n">
        <v>21.25</v>
      </c>
      <c r="V212" s="32" t="n">
        <v>22.35</v>
      </c>
      <c r="W212" s="32" t="n">
        <v>16.91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Above 40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Less than 1.5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More than 1.2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IF(B213=0,"",RANK(B213,$B$2:$B$372,0))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TVSMOTOR</t>
        </is>
      </c>
      <c r="D213" s="31" t="inlineStr">
        <is>
          <t>Tvs Motor Company Limited</t>
        </is>
      </c>
      <c r="E213" s="31" t="inlineStr">
        <is>
          <t>auto</t>
        </is>
      </c>
      <c r="F213" s="31" t="inlineStr">
        <is>
          <t>automobiles - motorcycles / mopeds</t>
        </is>
      </c>
      <c r="G213" s="31" t="inlineStr">
        <is>
          <t>largecap</t>
        </is>
      </c>
      <c r="H213" s="32" t="n">
        <v>209988.5</v>
      </c>
      <c r="I213" s="32" t="n">
        <v>4464</v>
      </c>
      <c r="J213" s="32" t="n">
        <v>1</v>
      </c>
      <c r="K213" s="32" t="n">
        <v>891274</v>
      </c>
      <c r="L213" s="31" t="inlineStr"/>
      <c r="M213" s="31" t="inlineStr"/>
      <c r="N213" s="32">
        <f>IF(M213="Underperforming",-5,IF(L213&gt;=95,15,IF(L213&gt;=90,10,IF(L213&gt;=80,5,0))))</f>
        <v/>
      </c>
      <c r="O213" s="32" t="n">
        <v>70.15000000000001</v>
      </c>
      <c r="P213" s="32" t="n">
        <v>26.65</v>
      </c>
      <c r="Q213" s="32" t="n">
        <v>3800.56</v>
      </c>
      <c r="R213" s="31" t="inlineStr">
        <is>
          <t>Near 52W High Breakout</t>
        </is>
      </c>
      <c r="S213" s="31" t="inlineStr">
        <is>
          <t>Nifty Auto</t>
        </is>
      </c>
      <c r="T213" s="32" t="inlineStr"/>
      <c r="U213" s="32" t="inlineStr"/>
      <c r="V213" s="32" t="inlineStr"/>
      <c r="W213" s="32" t="inlineStr"/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Blue sky scenario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More than 1.2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IF(B214=0,"",RANK(B214,$B$2:$B$372,0))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AARTIIND</t>
        </is>
      </c>
      <c r="D214" s="31" t="inlineStr">
        <is>
          <t>Aarti Industries Limited</t>
        </is>
      </c>
      <c r="E214" s="31" t="inlineStr">
        <is>
          <t>chemicals</t>
        </is>
      </c>
      <c r="F214" s="31" t="inlineStr">
        <is>
          <t>chemicals</t>
        </is>
      </c>
      <c r="G214" s="31" t="inlineStr">
        <is>
          <t>midcap</t>
        </is>
      </c>
      <c r="H214" s="32" t="n">
        <v>19547.34</v>
      </c>
      <c r="I214" s="32" t="n">
        <v>542.95</v>
      </c>
      <c r="J214" s="32" t="n">
        <v>0.75</v>
      </c>
      <c r="K214" s="32" t="n">
        <v>971221</v>
      </c>
      <c r="L214" s="31" t="n">
        <v>41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66.65000000000001</v>
      </c>
      <c r="P214" s="32" t="n">
        <v>24.45</v>
      </c>
      <c r="Q214" s="32" t="n">
        <v>438.86</v>
      </c>
      <c r="R214" s="31" t="inlineStr">
        <is>
          <t>Near 52W High Breakout</t>
        </is>
      </c>
      <c r="S214" s="31" t="inlineStr">
        <is>
          <t>Nifty 50</t>
        </is>
      </c>
      <c r="T214" s="32" t="n">
        <v>-0.9</v>
      </c>
      <c r="U214" s="32" t="n">
        <v>44.36</v>
      </c>
      <c r="V214" s="32" t="n">
        <v>45.67</v>
      </c>
      <c r="W214" s="32" t="n">
        <v>10.69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More than 20%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Between 0.7 to 1.2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IF(B215=0,"",RANK(B215,$B$2:$B$372,0))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MANAKSTEEL</t>
        </is>
      </c>
      <c r="D215" s="31" t="inlineStr">
        <is>
          <t>Manaksia Steels Limited</t>
        </is>
      </c>
      <c r="E215" s="31" t="inlineStr">
        <is>
          <t>metals &amp; mining</t>
        </is>
      </c>
      <c r="F215" s="31" t="inlineStr">
        <is>
          <t>steel - medium / small</t>
        </is>
      </c>
      <c r="G215" s="31" t="inlineStr">
        <is>
          <t>smallcap</t>
        </is>
      </c>
      <c r="H215" s="32" t="n">
        <v>568.4400000000001</v>
      </c>
      <c r="I215" s="32" t="n">
        <v>87</v>
      </c>
      <c r="J215" s="32" t="n">
        <v>0.3</v>
      </c>
      <c r="K215" s="32" t="n">
        <v>13192</v>
      </c>
      <c r="L215" s="31" t="inlineStr"/>
      <c r="M215" s="31" t="inlineStr"/>
      <c r="N215" s="32">
        <f>IF(M215="Underperforming",-5,IF(L215&gt;=95,15,IF(L215&gt;=90,10,IF(L215&gt;=80,5,0))))</f>
        <v/>
      </c>
      <c r="O215" s="32" t="n">
        <v>66.79000000000001</v>
      </c>
      <c r="P215" s="32" t="n">
        <v>40.19</v>
      </c>
      <c r="Q215" s="32" t="n">
        <v>62.94</v>
      </c>
      <c r="R215" s="31" t="inlineStr">
        <is>
          <t>Near 52W High Breakout</t>
        </is>
      </c>
      <c r="S215" s="31" t="inlineStr">
        <is>
          <t>Nifty Metal</t>
        </is>
      </c>
      <c r="T215" s="32" t="inlineStr"/>
      <c r="U215" s="32" t="inlineStr"/>
      <c r="V215" s="32" t="inlineStr"/>
      <c r="W215" s="32" t="inlineStr"/>
      <c r="X215" s="31" t="inlineStr">
        <is>
          <t>Cyclical in an Upturn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Cyclical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Volatile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Above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Blue sky scenario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No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Above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Less than 0.7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IF(B216=0,"",RANK(B216,$B$2:$B$372,0))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JSWINFRA</t>
        </is>
      </c>
      <c r="D216" s="31" t="inlineStr">
        <is>
          <t>JSW Infrastructure Ltd</t>
        </is>
      </c>
      <c r="E216" s="31" t="inlineStr">
        <is>
          <t>transportation</t>
        </is>
      </c>
      <c r="F216" s="31" t="inlineStr">
        <is>
          <t>miscellaneous</t>
        </is>
      </c>
      <c r="G216" s="31" t="inlineStr">
        <is>
          <t>largecap</t>
        </is>
      </c>
      <c r="H216" s="32" t="n">
        <v>80140.39999999999</v>
      </c>
      <c r="I216" s="32" t="n">
        <v>344.95</v>
      </c>
      <c r="J216" s="32" t="n">
        <v>0.29</v>
      </c>
      <c r="K216" s="32" t="n">
        <v>2732227</v>
      </c>
      <c r="L216" s="31" t="n">
        <v>34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65.78</v>
      </c>
      <c r="P216" s="32" t="n">
        <v>39.99</v>
      </c>
      <c r="Q216" s="32" t="n">
        <v>282.91</v>
      </c>
      <c r="R216" s="31" t="inlineStr">
        <is>
          <t>Near 52W High Breakout</t>
        </is>
      </c>
      <c r="S216" s="31" t="inlineStr">
        <is>
          <t>Nifty 50</t>
        </is>
      </c>
      <c r="T216" s="32" t="n">
        <v>-0.9</v>
      </c>
      <c r="U216" s="32" t="n">
        <v>16.89</v>
      </c>
      <c r="V216" s="32" t="n">
        <v>17.95</v>
      </c>
      <c r="W216" s="32" t="n">
        <v>9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Blue sky scenario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Less than 12%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Above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IF(B217=0,"",RANK(B217,$B$2:$B$372,0))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NIITLTD</t>
        </is>
      </c>
      <c r="D217" s="31" t="inlineStr">
        <is>
          <t>Niit Limited</t>
        </is>
      </c>
      <c r="E217" s="31" t="inlineStr">
        <is>
          <t>i.t</t>
        </is>
      </c>
      <c r="F217" s="31" t="inlineStr">
        <is>
          <t>computers - education</t>
        </is>
      </c>
      <c r="G217" s="31" t="inlineStr">
        <is>
          <t>smallcap</t>
        </is>
      </c>
      <c r="H217" s="32" t="n">
        <v>1403.16</v>
      </c>
      <c r="I217" s="32" t="n">
        <v>102.97</v>
      </c>
      <c r="J217" s="32" t="n">
        <v>0.28</v>
      </c>
      <c r="K217" s="32" t="n">
        <v>614873</v>
      </c>
      <c r="L217" s="31" t="n">
        <v>50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63.15</v>
      </c>
      <c r="P217" s="32" t="n">
        <v>29.18</v>
      </c>
      <c r="Q217" s="32" t="n">
        <v>73.84</v>
      </c>
      <c r="R217" s="31" t="inlineStr">
        <is>
          <t>Earnings / Momentum Support</t>
        </is>
      </c>
      <c r="S217" s="31" t="inlineStr">
        <is>
          <t>Nifty IT</t>
        </is>
      </c>
      <c r="T217" s="32" t="n">
        <v>-13.82</v>
      </c>
      <c r="U217" s="32" t="n">
        <v>-2.11</v>
      </c>
      <c r="V217" s="32" t="n">
        <v>13.58</v>
      </c>
      <c r="W217" s="32" t="n">
        <v>13.25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No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Close to 52 week high or retracement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Between 1.5 to 2</t>
        </is>
      </c>
      <c r="BU217" s="31">
        <f>IF(BT217="Above 2",0,IF(BT217="Between 1.5 to 2",5,IF(BT217="Less than 1.5",10,0)))</f>
        <v/>
      </c>
      <c r="BV217" s="31" t="inlineStr">
        <is>
          <t>Above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Less than 0.7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IF(B218=0,"",RANK(B218,$B$2:$B$372,0))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SAMBHV</t>
        </is>
      </c>
      <c r="D218" s="31" t="inlineStr">
        <is>
          <t>Sambhv Steel Tubes Ltd</t>
        </is>
      </c>
      <c r="E218" s="31" t="inlineStr">
        <is>
          <t>metals &amp; mining</t>
        </is>
      </c>
      <c r="F218" s="31" t="inlineStr">
        <is>
          <t>steel - medium / small</t>
        </is>
      </c>
      <c r="G218" s="31" t="inlineStr">
        <is>
          <t>smallcap</t>
        </is>
      </c>
      <c r="H218" s="32" t="n">
        <v>3791.24</v>
      </c>
      <c r="I218" s="32" t="n">
        <v>128.9</v>
      </c>
      <c r="J218" s="32" t="n">
        <v>0.19</v>
      </c>
      <c r="K218" s="32" t="n">
        <v>835438</v>
      </c>
      <c r="L218" s="31" t="inlineStr"/>
      <c r="M218" s="31" t="inlineStr"/>
      <c r="N218" s="32">
        <f>IF(M218="Underperforming",-5,IF(L218&gt;=95,15,IF(L218&gt;=90,10,IF(L218&gt;=80,5,0))))</f>
        <v/>
      </c>
      <c r="O218" s="32" t="n">
        <v>65.55</v>
      </c>
      <c r="P218" s="32" t="n">
        <v>28.43</v>
      </c>
      <c r="Q218" s="32" t="n">
        <v>98.84999999999999</v>
      </c>
      <c r="R218" s="31" t="inlineStr">
        <is>
          <t>Near 52W High Breakout</t>
        </is>
      </c>
      <c r="S218" s="31" t="inlineStr">
        <is>
          <t>Nifty Metal</t>
        </is>
      </c>
      <c r="T218" s="32" t="inlineStr"/>
      <c r="U218" s="32" t="inlineStr"/>
      <c r="V218" s="32" t="inlineStr"/>
      <c r="W218" s="32" t="inlineStr"/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Cyclical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Volatile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20 to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Blue sky scenario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Less than 1.5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IF(B219=0,"",RANK(B219,$B$2:$B$372,0))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ENGINERSIN</t>
        </is>
      </c>
      <c r="D219" s="31" t="inlineStr">
        <is>
          <t>Engineers India Limited</t>
        </is>
      </c>
      <c r="E219" s="31" t="inlineStr">
        <is>
          <t>realty</t>
        </is>
      </c>
      <c r="F219" s="31" t="inlineStr">
        <is>
          <t>engineering - turnkey services</t>
        </is>
      </c>
      <c r="G219" s="31" t="inlineStr">
        <is>
          <t>midcap</t>
        </is>
      </c>
      <c r="H219" s="32" t="n">
        <v>14072.42</v>
      </c>
      <c r="I219" s="32" t="n">
        <v>250.36</v>
      </c>
      <c r="J219" s="32" t="n">
        <v>-0.01</v>
      </c>
      <c r="K219" s="32" t="n">
        <v>2450847</v>
      </c>
      <c r="L219" s="31" t="inlineStr"/>
      <c r="M219" s="31" t="inlineStr"/>
      <c r="N219" s="32">
        <f>IF(M219="Underperforming",-5,IF(L219&gt;=95,15,IF(L219&gt;=90,10,IF(L219&gt;=80,5,0))))</f>
        <v/>
      </c>
      <c r="O219" s="32" t="n">
        <v>59.59</v>
      </c>
      <c r="P219" s="32" t="n">
        <v>11.45</v>
      </c>
      <c r="Q219" s="32" t="n">
        <v>197.66</v>
      </c>
      <c r="R219" s="31" t="inlineStr">
        <is>
          <t>Near 52W High Breakout</t>
        </is>
      </c>
      <c r="S219" s="31" t="inlineStr">
        <is>
          <t>Nifty Realty</t>
        </is>
      </c>
      <c r="T219" s="32" t="inlineStr"/>
      <c r="U219" s="32" t="inlineStr"/>
      <c r="V219" s="32" t="inlineStr"/>
      <c r="W219" s="32" t="inlineStr"/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Blue sky scenario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More than 20%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IF(B220=0,"",RANK(B220,$B$2:$B$372,0))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BHAGERIA</t>
        </is>
      </c>
      <c r="D220" s="31" t="inlineStr">
        <is>
          <t>Bhageria Industries Limited</t>
        </is>
      </c>
      <c r="E220" s="31" t="inlineStr">
        <is>
          <t>chemicals</t>
        </is>
      </c>
      <c r="F220" s="31" t="inlineStr">
        <is>
          <t>dyes and pigments</t>
        </is>
      </c>
      <c r="G220" s="31" t="inlineStr">
        <is>
          <t>smallcap</t>
        </is>
      </c>
      <c r="H220" s="32" t="n">
        <v>969.73</v>
      </c>
      <c r="I220" s="32" t="n">
        <v>222</v>
      </c>
      <c r="J220" s="32" t="n">
        <v>-0.09</v>
      </c>
      <c r="K220" s="32" t="n">
        <v>92137</v>
      </c>
      <c r="L220" s="31" t="n">
        <v>49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60.19</v>
      </c>
      <c r="P220" s="32" t="n">
        <v>30.43</v>
      </c>
      <c r="Q220" s="32" t="n">
        <v>167.04</v>
      </c>
      <c r="R220" s="31" t="inlineStr">
        <is>
          <t>Earnings / Momentum Support</t>
        </is>
      </c>
      <c r="S220" s="31" t="inlineStr">
        <is>
          <t>Nifty IT</t>
        </is>
      </c>
      <c r="T220" s="32" t="n">
        <v>-13.82</v>
      </c>
      <c r="U220" s="32" t="n">
        <v>16.28</v>
      </c>
      <c r="V220" s="32" t="n">
        <v>34.93</v>
      </c>
      <c r="W220" s="32" t="n">
        <v>12.86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No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20 to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Close to 52 week high or retracement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IF(B221=0,"",RANK(B221,$B$2:$B$372,0))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PAYTM</t>
        </is>
      </c>
      <c r="D221" s="31" t="inlineStr">
        <is>
          <t>One 97 Communications Ltd</t>
        </is>
      </c>
      <c r="E221" s="31" t="inlineStr">
        <is>
          <t>i.t</t>
        </is>
      </c>
      <c r="F221" s="31" t="inlineStr">
        <is>
          <t>miscellaneous</t>
        </is>
      </c>
      <c r="G221" s="31" t="inlineStr">
        <is>
          <t>largecap</t>
        </is>
      </c>
      <c r="H221" s="32" t="n">
        <v>110009.9</v>
      </c>
      <c r="I221" s="32" t="n">
        <v>1716</v>
      </c>
      <c r="J221" s="32" t="n">
        <v>-0.12</v>
      </c>
      <c r="K221" s="32" t="n">
        <v>4882708</v>
      </c>
      <c r="L221" s="31" t="n">
        <v>72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76.95</v>
      </c>
      <c r="P221" s="32" t="n">
        <v>23.54</v>
      </c>
      <c r="Q221" s="32" t="n">
        <v>1390.26</v>
      </c>
      <c r="R221" s="31" t="inlineStr">
        <is>
          <t>Near 52W High Breakout</t>
        </is>
      </c>
      <c r="S221" s="31" t="inlineStr">
        <is>
          <t>Nifty IT</t>
        </is>
      </c>
      <c r="T221" s="32" t="n">
        <v>-13.82</v>
      </c>
      <c r="U221" s="32" t="n">
        <v>42.17</v>
      </c>
      <c r="V221" s="32" t="n">
        <v>64.97</v>
      </c>
      <c r="W221" s="32" t="n">
        <v>20.24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20 to 40</t>
        </is>
      </c>
      <c r="AY221" s="31">
        <f>IF(AX221="Above 40",20,IF(AX221="20 to 40",10,IF(AX221="0 to 20",-5,0)))</f>
        <v/>
      </c>
      <c r="AZ221" s="31" t="inlineStr">
        <is>
          <t>Above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Positive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Blue sky scenario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Yes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IF(B222=0,"",RANK(B222,$B$2:$B$372,0))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1" t="inlineStr">
        <is>
          <t>MATRIMONY</t>
        </is>
      </c>
      <c r="D222" s="31" t="inlineStr">
        <is>
          <t>Matrimony.com Ltd</t>
        </is>
      </c>
      <c r="E222" s="31" t="inlineStr">
        <is>
          <t>miscellaneous</t>
        </is>
      </c>
      <c r="F222" s="31" t="inlineStr">
        <is>
          <t>miscellaneous</t>
        </is>
      </c>
      <c r="G222" s="31" t="inlineStr">
        <is>
          <t>smallcap</t>
        </is>
      </c>
      <c r="H222" s="32" t="n">
        <v>1073.47</v>
      </c>
      <c r="I222" s="32" t="n">
        <v>517</v>
      </c>
      <c r="J222" s="32" t="n">
        <v>-0.43</v>
      </c>
      <c r="K222" s="32" t="n">
        <v>11622</v>
      </c>
      <c r="L222" s="31" t="n">
        <v>21</v>
      </c>
      <c r="M222" s="31" t="inlineStr">
        <is>
          <t>Outperforming</t>
        </is>
      </c>
      <c r="N222" s="32">
        <f>IF(M222="Underperforming",-5,IF(L222&gt;=95,15,IF(L222&gt;=90,10,IF(L222&gt;=80,5,0))))</f>
        <v/>
      </c>
      <c r="O222" s="32" t="n">
        <v>62.54</v>
      </c>
      <c r="P222" s="32" t="n">
        <v>27.37</v>
      </c>
      <c r="Q222" s="32" t="n">
        <v>420.5</v>
      </c>
      <c r="R222" s="31" t="inlineStr">
        <is>
          <t>Earnings / Momentum Support</t>
        </is>
      </c>
      <c r="S222" s="31" t="inlineStr">
        <is>
          <t>Nifty 50</t>
        </is>
      </c>
      <c r="T222" s="32" t="n">
        <v>-0.9</v>
      </c>
      <c r="U222" s="32" t="n">
        <v>2.37</v>
      </c>
      <c r="V222" s="32" t="n">
        <v>3.29</v>
      </c>
      <c r="W222" s="32" t="n">
        <v>5.97</v>
      </c>
      <c r="X222" s="31" t="inlineStr">
        <is>
          <t>Growing Industry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Structural (10 Years Consistency)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Stable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No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IF(B223=0,"",RANK(B223,$B$2:$B$372,0))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TITAN</t>
        </is>
      </c>
      <c r="D223" s="31" t="inlineStr">
        <is>
          <t>Titan Company Limited</t>
        </is>
      </c>
      <c r="E223" s="31" t="inlineStr">
        <is>
          <t>consumer discretionary</t>
        </is>
      </c>
      <c r="F223" s="31" t="inlineStr">
        <is>
          <t>diamond cutting / jewellery</t>
        </is>
      </c>
      <c r="G223" s="31" t="inlineStr">
        <is>
          <t>largecap</t>
        </is>
      </c>
      <c r="H223" s="32" t="n">
        <v>454972.65</v>
      </c>
      <c r="I223" s="32" t="n">
        <v>5100</v>
      </c>
      <c r="J223" s="32" t="n">
        <v>-0.48</v>
      </c>
      <c r="K223" s="32" t="n">
        <v>365523</v>
      </c>
      <c r="L223" s="31" t="n">
        <v>49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72.52</v>
      </c>
      <c r="P223" s="32" t="n">
        <v>30.87</v>
      </c>
      <c r="Q223" s="32" t="n">
        <v>4499.42</v>
      </c>
      <c r="R223" s="31" t="inlineStr">
        <is>
          <t>Near 52W High Breakout</t>
        </is>
      </c>
      <c r="S223" s="31" t="inlineStr">
        <is>
          <t>Nifty 50</t>
        </is>
      </c>
      <c r="T223" s="32" t="n">
        <v>-0.9</v>
      </c>
      <c r="U223" s="32" t="n">
        <v>41</v>
      </c>
      <c r="V223" s="32" t="n">
        <v>42.28</v>
      </c>
      <c r="W223" s="32" t="n">
        <v>12.75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Blue sky scenario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Less than 1.5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More than 1.2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IF(B224=0,"",RANK(B224,$B$2:$B$372,0))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ESABINDIA</t>
        </is>
      </c>
      <c r="D224" s="31" t="inlineStr">
        <is>
          <t>Esab India Limited</t>
        </is>
      </c>
      <c r="E224" s="31" t="inlineStr">
        <is>
          <t>industrials</t>
        </is>
      </c>
      <c r="F224" s="31" t="inlineStr">
        <is>
          <t>electrodes - welding equipment</t>
        </is>
      </c>
      <c r="G224" s="31" t="inlineStr">
        <is>
          <t>midcap</t>
        </is>
      </c>
      <c r="H224" s="32" t="n">
        <v>9495.18</v>
      </c>
      <c r="I224" s="32" t="n">
        <v>6134</v>
      </c>
      <c r="J224" s="32" t="n">
        <v>-0.5600000000000001</v>
      </c>
      <c r="K224" s="32" t="n">
        <v>6529</v>
      </c>
      <c r="L224" s="31" t="n">
        <v>11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56.64</v>
      </c>
      <c r="P224" s="32" t="n">
        <v>22.91</v>
      </c>
      <c r="Q224" s="32" t="n">
        <v>5355.4</v>
      </c>
      <c r="R224" s="31" t="inlineStr">
        <is>
          <t>Earnings / Momentum Support</t>
        </is>
      </c>
      <c r="S224" s="31" t="inlineStr">
        <is>
          <t>Nifty 50</t>
        </is>
      </c>
      <c r="T224" s="32" t="n">
        <v>-0.9</v>
      </c>
      <c r="U224" s="32" t="n">
        <v>21.52</v>
      </c>
      <c r="V224" s="32" t="n">
        <v>22.62</v>
      </c>
      <c r="W224" s="32" t="n">
        <v>3.35</v>
      </c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Less than 1.5</t>
        </is>
      </c>
      <c r="BU224" s="31">
        <f>IF(BT224="Above 2",0,IF(BT224="Between 1.5 to 2",5,IF(BT224="Less than 1.5",10,0)))</f>
        <v/>
      </c>
      <c r="BV224" s="31" t="inlineStr">
        <is>
          <t>Above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IF(B225=0,"",RANK(B225,$B$2:$B$372,0))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3" t="inlineStr">
        <is>
          <t>VGUARD</t>
        </is>
      </c>
      <c r="D225" s="33" t="inlineStr">
        <is>
          <t>V-guard Industries Limited</t>
        </is>
      </c>
      <c r="E225" s="31" t="inlineStr">
        <is>
          <t>industrials</t>
        </is>
      </c>
      <c r="F225" s="31" t="inlineStr">
        <is>
          <t>electric equipment</t>
        </is>
      </c>
      <c r="G225" s="31" t="inlineStr">
        <is>
          <t>midcap</t>
        </is>
      </c>
      <c r="H225" s="32" t="n">
        <v>14535.37</v>
      </c>
      <c r="I225" s="32" t="n">
        <v>329.85</v>
      </c>
      <c r="J225" s="32" t="n">
        <v>-0.86</v>
      </c>
      <c r="K225" s="32" t="n">
        <v>636817</v>
      </c>
      <c r="L225" s="31" t="n">
        <v>1</v>
      </c>
      <c r="M225" s="31" t="inlineStr">
        <is>
          <t>Underperforming</t>
        </is>
      </c>
      <c r="N225" s="32">
        <f>IF(M225="Underperforming",-5,IF(L225&gt;=95,15,IF(L225&gt;=90,10,IF(L225&gt;=80,5,0))))</f>
        <v/>
      </c>
      <c r="O225" s="32" t="n">
        <v>56.21</v>
      </c>
      <c r="P225" s="32" t="n">
        <v>21.02</v>
      </c>
      <c r="Q225" s="32" t="n">
        <v>273.79</v>
      </c>
      <c r="R225" s="31" t="inlineStr">
        <is>
          <t>Earnings / Momentum Support</t>
        </is>
      </c>
      <c r="S225" s="31" t="inlineStr">
        <is>
          <t>Nifty 50</t>
        </is>
      </c>
      <c r="T225" s="32" t="n">
        <v>-0.9</v>
      </c>
      <c r="U225" s="32" t="n">
        <v>-8.84</v>
      </c>
      <c r="V225" s="32" t="n">
        <v>-8.02</v>
      </c>
      <c r="W225" s="32" t="n">
        <v>-0.08</v>
      </c>
      <c r="X225" s="31" t="inlineStr">
        <is>
          <t>Cyclical in an Upturn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20 to 40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Less than 1.5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IF(B226=0,"",RANK(B226,$B$2:$B$372,0))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ORIENTHOT</t>
        </is>
      </c>
      <c r="D226" s="31" t="inlineStr">
        <is>
          <t>Oriental Hotels Limited</t>
        </is>
      </c>
      <c r="E226" s="31" t="inlineStr">
        <is>
          <t>services</t>
        </is>
      </c>
      <c r="F226" s="31" t="inlineStr">
        <is>
          <t>hotels</t>
        </is>
      </c>
      <c r="G226" s="31" t="inlineStr">
        <is>
          <t>smallcap</t>
        </is>
      </c>
      <c r="H226" s="32" t="n">
        <v>2528.79</v>
      </c>
      <c r="I226" s="32" t="n">
        <v>140.25</v>
      </c>
      <c r="J226" s="32" t="n">
        <v>-0.95</v>
      </c>
      <c r="K226" s="32" t="n">
        <v>2749039</v>
      </c>
      <c r="L226" s="31" t="n">
        <v>48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63.58</v>
      </c>
      <c r="P226" s="32" t="n">
        <v>35.82</v>
      </c>
      <c r="Q226" s="32" t="n">
        <v>103.79</v>
      </c>
      <c r="R226" s="31" t="inlineStr">
        <is>
          <t>Near 52W High Breakout</t>
        </is>
      </c>
      <c r="S226" s="31" t="inlineStr">
        <is>
          <t>Nifty 50</t>
        </is>
      </c>
      <c r="T226" s="32" t="n">
        <v>-0.9</v>
      </c>
      <c r="U226" s="32" t="n">
        <v>3.21</v>
      </c>
      <c r="V226" s="32" t="n">
        <v>4.14</v>
      </c>
      <c r="W226" s="32" t="n">
        <v>12.52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Yes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No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Above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IF(B227=0,"",RANK(B227,$B$2:$B$372,0))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BEPL</t>
        </is>
      </c>
      <c r="D227" s="31" t="inlineStr">
        <is>
          <t>Bhansali Engineering Polymers Limited</t>
        </is>
      </c>
      <c r="E227" s="31" t="inlineStr">
        <is>
          <t>energy</t>
        </is>
      </c>
      <c r="F227" s="31" t="inlineStr">
        <is>
          <t>petrochemicals</t>
        </is>
      </c>
      <c r="G227" s="31" t="inlineStr">
        <is>
          <t>smallcap</t>
        </is>
      </c>
      <c r="H227" s="32" t="n">
        <v>3225.7</v>
      </c>
      <c r="I227" s="32" t="n">
        <v>128.35</v>
      </c>
      <c r="J227" s="32" t="n">
        <v>-0.98</v>
      </c>
      <c r="K227" s="32" t="n">
        <v>1317932</v>
      </c>
      <c r="L227" s="31" t="inlineStr"/>
      <c r="M227" s="31" t="inlineStr"/>
      <c r="N227" s="32">
        <f>IF(M227="Underperforming",-5,IF(L227&gt;=95,15,IF(L227&gt;=90,10,IF(L227&gt;=80,5,0))))</f>
        <v/>
      </c>
      <c r="O227" s="32" t="n">
        <v>73.81</v>
      </c>
      <c r="P227" s="32" t="n">
        <v>52.77</v>
      </c>
      <c r="Q227" s="32" t="n">
        <v>101.45</v>
      </c>
      <c r="R227" s="31" t="inlineStr">
        <is>
          <t>Near 52W High Breakout</t>
        </is>
      </c>
      <c r="S227" s="31" t="inlineStr">
        <is>
          <t>Nifty Energy</t>
        </is>
      </c>
      <c r="T227" s="32" t="inlineStr"/>
      <c r="U227" s="32" t="inlineStr"/>
      <c r="V227" s="32" t="inlineStr"/>
      <c r="W227" s="32" t="inlineStr"/>
      <c r="X227" s="31" t="inlineStr">
        <is>
          <t>Cyclical in an Upturn</t>
        </is>
      </c>
      <c r="Y227" s="31">
        <f>IF(X227="Growing Industry",10,IF(X227="Cyclical in an Upturn",5,0))</f>
        <v/>
      </c>
      <c r="Z227" s="31" t="inlineStr">
        <is>
          <t>Oligopoly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Yes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Cyclical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Volatile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Above 40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No</t>
        </is>
      </c>
      <c r="BS227" s="31">
        <f>IF(BR227="NO",5,0)</f>
        <v/>
      </c>
      <c r="BT227" s="31" t="inlineStr">
        <is>
          <t>Less than 1.5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IF(B228=0,"",RANK(B228,$B$2:$B$372,0))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3" t="inlineStr">
        <is>
          <t>EIMCOELECO</t>
        </is>
      </c>
      <c r="D228" s="33" t="inlineStr">
        <is>
          <t>Eimco Elecon (india) Limited</t>
        </is>
      </c>
      <c r="E228" s="31" t="inlineStr">
        <is>
          <t>industrials</t>
        </is>
      </c>
      <c r="F228" s="31" t="inlineStr">
        <is>
          <t>engineering</t>
        </is>
      </c>
      <c r="G228" s="31" t="inlineStr">
        <is>
          <t>smallcap</t>
        </is>
      </c>
      <c r="H228" s="32" t="n">
        <v>1290.73</v>
      </c>
      <c r="I228" s="32" t="n">
        <v>2215</v>
      </c>
      <c r="J228" s="32" t="n">
        <v>-1.01</v>
      </c>
      <c r="K228" s="32" t="n">
        <v>31905</v>
      </c>
      <c r="L228" s="31" t="n">
        <v>38</v>
      </c>
      <c r="M228" s="31" t="inlineStr">
        <is>
          <t>Underperforming</t>
        </is>
      </c>
      <c r="N228" s="32">
        <f>IF(M228="Underperforming",-5,IF(L228&gt;=95,15,IF(L228&gt;=90,10,IF(L228&gt;=80,5,0))))</f>
        <v/>
      </c>
      <c r="O228" s="32" t="n">
        <v>72.13</v>
      </c>
      <c r="P228" s="32" t="n">
        <v>40.33</v>
      </c>
      <c r="Q228" s="32" t="n">
        <v>1686.28</v>
      </c>
      <c r="R228" s="31" t="inlineStr">
        <is>
          <t>Near 52W High Breakout</t>
        </is>
      </c>
      <c r="S228" s="31" t="inlineStr">
        <is>
          <t>Nifty 50</t>
        </is>
      </c>
      <c r="T228" s="32" t="n">
        <v>-0.9</v>
      </c>
      <c r="U228" s="32" t="n">
        <v>-1.51</v>
      </c>
      <c r="V228" s="32" t="n">
        <v>-0.61</v>
      </c>
      <c r="W228" s="32" t="n">
        <v>10.11</v>
      </c>
      <c r="X228" s="31" t="inlineStr">
        <is>
          <t>Cyclical in an Upturn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Yes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Above 40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Less than 12%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IF(B229=0,"",RANK(B229,$B$2:$B$372,0))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SIEMENS</t>
        </is>
      </c>
      <c r="D229" s="31" t="inlineStr">
        <is>
          <t>Siemens Limited</t>
        </is>
      </c>
      <c r="E229" s="31" t="inlineStr">
        <is>
          <t>industrials</t>
        </is>
      </c>
      <c r="F229" s="31" t="inlineStr">
        <is>
          <t>electric equipment</t>
        </is>
      </c>
      <c r="G229" s="31" t="inlineStr">
        <is>
          <t>largecap</t>
        </is>
      </c>
      <c r="H229" s="32" t="n">
        <v>145671.09</v>
      </c>
      <c r="I229" s="32" t="n">
        <v>4043</v>
      </c>
      <c r="J229" s="32" t="n">
        <v>-1.16</v>
      </c>
      <c r="K229" s="32" t="n">
        <v>370243</v>
      </c>
      <c r="L229" s="31" t="n">
        <v>24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65.72</v>
      </c>
      <c r="P229" s="32" t="n">
        <v>27.08</v>
      </c>
      <c r="Q229" s="32" t="n">
        <v>3334.83</v>
      </c>
      <c r="R229" s="31" t="inlineStr">
        <is>
          <t>Near 52W High Breakout</t>
        </is>
      </c>
      <c r="S229" s="31" t="inlineStr">
        <is>
          <t>Nifty 500</t>
        </is>
      </c>
      <c r="T229" s="32" t="n">
        <v>4.88</v>
      </c>
      <c r="U229" s="32" t="n">
        <v>32.61</v>
      </c>
      <c r="V229" s="32" t="n">
        <v>26.44</v>
      </c>
      <c r="W229" s="32" t="n">
        <v>7.03</v>
      </c>
      <c r="X229" s="31" t="inlineStr">
        <is>
          <t>Cyclical in an Upturn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More than 20%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Above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IF(B230=0,"",RANK(B230,$B$2:$B$372,0))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MANINDS</t>
        </is>
      </c>
      <c r="D230" s="31" t="inlineStr">
        <is>
          <t>Man Industries (india) Limited</t>
        </is>
      </c>
      <c r="E230" s="31" t="inlineStr">
        <is>
          <t>metals &amp; mining</t>
        </is>
      </c>
      <c r="F230" s="31" t="inlineStr">
        <is>
          <t>steel - medium / small</t>
        </is>
      </c>
      <c r="G230" s="31" t="inlineStr">
        <is>
          <t>midcap</t>
        </is>
      </c>
      <c r="H230" s="32" t="n">
        <v>5336.93</v>
      </c>
      <c r="I230" s="32" t="n">
        <v>703.1</v>
      </c>
      <c r="J230" s="32" t="n">
        <v>-1.18</v>
      </c>
      <c r="K230" s="32" t="n">
        <v>1059974</v>
      </c>
      <c r="L230" s="31" t="inlineStr"/>
      <c r="M230" s="31" t="inlineStr"/>
      <c r="N230" s="32">
        <f>IF(M230="Underperforming",-5,IF(L230&gt;=95,15,IF(L230&gt;=90,10,IF(L230&gt;=80,5,0))))</f>
        <v/>
      </c>
      <c r="O230" s="32" t="n">
        <v>70.06999999999999</v>
      </c>
      <c r="P230" s="32" t="n">
        <v>29.91</v>
      </c>
      <c r="Q230" s="32" t="n">
        <v>539.67</v>
      </c>
      <c r="R230" s="31" t="inlineStr">
        <is>
          <t>Near 52W High Breakout</t>
        </is>
      </c>
      <c r="S230" s="31" t="inlineStr">
        <is>
          <t>Nifty Metal</t>
        </is>
      </c>
      <c r="T230" s="32" t="inlineStr"/>
      <c r="U230" s="32" t="inlineStr"/>
      <c r="V230" s="32" t="inlineStr"/>
      <c r="W230" s="32" t="inlineStr"/>
      <c r="X230" s="31" t="inlineStr">
        <is>
          <t>Cyclical in an Upturn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Cyclical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Volatile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Yes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20 to 40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Blue sky scenario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No</t>
        </is>
      </c>
      <c r="BS230" s="31">
        <f>IF(BR230="NO",5,0)</f>
        <v/>
      </c>
      <c r="BT230" s="31" t="inlineStr">
        <is>
          <t>Less than 1.5</t>
        </is>
      </c>
      <c r="BU230" s="31">
        <f>IF(BT230="Above 2",0,IF(BT230="Between 1.5 to 2",5,IF(BT230="Less than 1.5",10,0)))</f>
        <v/>
      </c>
      <c r="BV230" s="31" t="inlineStr">
        <is>
          <t>Above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IF(B231=0,"",RANK(B231,$B$2:$B$372,0))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SANDHAR</t>
        </is>
      </c>
      <c r="D231" s="31" t="inlineStr">
        <is>
          <t>Sandhar Technologies Limited</t>
        </is>
      </c>
      <c r="E231" s="31" t="inlineStr">
        <is>
          <t>auto</t>
        </is>
      </c>
      <c r="F231" s="31" t="inlineStr">
        <is>
          <t>auto ancillaries</t>
        </is>
      </c>
      <c r="G231" s="31" t="inlineStr">
        <is>
          <t>smallcap</t>
        </is>
      </c>
      <c r="H231" s="32" t="n">
        <v>4086.95</v>
      </c>
      <c r="I231" s="32" t="n">
        <v>661.05</v>
      </c>
      <c r="J231" s="32" t="n">
        <v>-2.64</v>
      </c>
      <c r="K231" s="32" t="n">
        <v>105510</v>
      </c>
      <c r="L231" s="31" t="inlineStr"/>
      <c r="M231" s="31" t="inlineStr"/>
      <c r="N231" s="32">
        <f>IF(M231="Underperforming",-5,IF(L231&gt;=95,15,IF(L231&gt;=90,10,IF(L231&gt;=80,5,0))))</f>
        <v/>
      </c>
      <c r="O231" s="32" t="n">
        <v>57.61</v>
      </c>
      <c r="P231" s="32" t="n">
        <v>35.98</v>
      </c>
      <c r="Q231" s="32" t="n">
        <v>537.53</v>
      </c>
      <c r="R231" s="31" t="inlineStr">
        <is>
          <t>Earnings / Momentum Support</t>
        </is>
      </c>
      <c r="S231" s="31" t="inlineStr">
        <is>
          <t>Nifty Auto</t>
        </is>
      </c>
      <c r="T231" s="32" t="inlineStr"/>
      <c r="U231" s="32" t="inlineStr"/>
      <c r="V231" s="32" t="inlineStr"/>
      <c r="W231" s="32" t="inlineStr"/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No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Close to 52 week high or retracement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More than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Less than 1.5</t>
        </is>
      </c>
      <c r="BU231" s="31">
        <f>IF(BT231="Above 2",0,IF(BT231="Between 1.5 to 2",5,IF(BT231="Less than 1.5",10,0)))</f>
        <v/>
      </c>
      <c r="BV231" s="31" t="inlineStr">
        <is>
          <t>Above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Between 0.7 to 1.2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IF(B232=0,"",RANK(B232,$B$2:$B$372,0))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YATHARTH</t>
        </is>
      </c>
      <c r="D232" s="31" t="inlineStr">
        <is>
          <t>Yatharth Hospital &amp; Trauma Care Services Ltd</t>
        </is>
      </c>
      <c r="E232" s="31" t="inlineStr">
        <is>
          <t>healthcare</t>
        </is>
      </c>
      <c r="F232" s="31" t="inlineStr">
        <is>
          <t>healthcare</t>
        </is>
      </c>
      <c r="G232" s="31" t="inlineStr">
        <is>
          <t>midcap</t>
        </is>
      </c>
      <c r="H232" s="32" t="n">
        <v>8893.99</v>
      </c>
      <c r="I232" s="32" t="n">
        <v>965.3</v>
      </c>
      <c r="J232" s="32" t="n">
        <v>4.58</v>
      </c>
      <c r="K232" s="32" t="n">
        <v>768000</v>
      </c>
      <c r="L232" s="31" t="n">
        <v>44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67.72</v>
      </c>
      <c r="P232" s="32" t="n">
        <v>36.24</v>
      </c>
      <c r="Q232" s="32" t="n">
        <v>772.59</v>
      </c>
      <c r="R232" s="31" t="inlineStr">
        <is>
          <t>Volume Spike &amp; Near 52W High Breakout</t>
        </is>
      </c>
      <c r="S232" s="31" t="inlineStr">
        <is>
          <t>Nifty Pharma</t>
        </is>
      </c>
      <c r="T232" s="32" t="n">
        <v>22.12</v>
      </c>
      <c r="U232" s="32" t="n">
        <v>38.96</v>
      </c>
      <c r="V232" s="32" t="n">
        <v>13.8</v>
      </c>
      <c r="W232" s="32" t="n">
        <v>11.37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Yes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Annuity, Lower One Time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Blue sky scenario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Less than 12%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IF(B233=0,"",RANK(B233,$B$2:$B$372,0))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SBCL</t>
        </is>
      </c>
      <c r="D233" s="31" t="inlineStr">
        <is>
          <t>Shivalik Bimetal Controls Ltd</t>
        </is>
      </c>
      <c r="E233" s="31" t="inlineStr">
        <is>
          <t>metals &amp; mining</t>
        </is>
      </c>
      <c r="F233" s="31" t="inlineStr">
        <is>
          <t>mining / minerals / metals</t>
        </is>
      </c>
      <c r="G233" s="31" t="inlineStr">
        <is>
          <t>midcap</t>
        </is>
      </c>
      <c r="H233" s="32" t="n">
        <v>5866.12</v>
      </c>
      <c r="I233" s="32" t="n">
        <v>1053.1</v>
      </c>
      <c r="J233" s="32" t="n">
        <v>3.41</v>
      </c>
      <c r="K233" s="32" t="n">
        <v>537988</v>
      </c>
      <c r="L233" s="31" t="inlineStr"/>
      <c r="M233" s="31" t="inlineStr"/>
      <c r="N233" s="32">
        <f>IF(M233="Underperforming",-5,IF(L233&gt;=95,15,IF(L233&gt;=90,10,IF(L233&gt;=80,5,0))))</f>
        <v/>
      </c>
      <c r="O233" s="32" t="n">
        <v>77.13</v>
      </c>
      <c r="P233" s="32" t="n">
        <v>49.99</v>
      </c>
      <c r="Q233" s="32" t="n">
        <v>810.39</v>
      </c>
      <c r="R233" s="31" t="inlineStr">
        <is>
          <t>Near 52W High Breakout</t>
        </is>
      </c>
      <c r="S233" s="31" t="inlineStr">
        <is>
          <t>Nifty Metal</t>
        </is>
      </c>
      <c r="T233" s="32" t="inlineStr"/>
      <c r="U233" s="32" t="inlineStr"/>
      <c r="V233" s="32" t="inlineStr"/>
      <c r="W233" s="32" t="inlineStr"/>
      <c r="X233" s="31" t="inlineStr">
        <is>
          <t>Growing Industry</t>
        </is>
      </c>
      <c r="Y233" s="31">
        <f>IF(X233="Growing Industry",10,IF(X233="Cyclical in an Upturn",5,0))</f>
        <v/>
      </c>
      <c r="Z233" s="31" t="inlineStr">
        <is>
          <t>Monopoly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Shallow Cyclical (2 to 3 Years Growth)</t>
        </is>
      </c>
      <c r="AG233" s="31">
        <f>IF(AF233="Structural (10 Years Consistency)",10,IF(AF233="Shallow Cyclical (2 to 3 years growth)",5,0))</f>
        <v/>
      </c>
      <c r="AH233" s="31" t="inlineStr">
        <is>
          <t>Yes due to Product Mix change or Operating Leverage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Fully One Time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Yes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Between 1.5 to 2</t>
        </is>
      </c>
      <c r="BU233" s="31">
        <f>IF(BT233="Above 2",0,IF(BT233="Between 1.5 to 2",5,IF(BT233="Less than 1.5",10,0)))</f>
        <v/>
      </c>
      <c r="BV233" s="31" t="inlineStr">
        <is>
          <t>Less than 50%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IF(B234=0,"",RANK(B234,$B$2:$B$372,0))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PVRINOX</t>
        </is>
      </c>
      <c r="D234" s="31" t="inlineStr">
        <is>
          <t>PVR Inox Ltd</t>
        </is>
      </c>
      <c r="E234" s="31" t="inlineStr">
        <is>
          <t>media</t>
        </is>
      </c>
      <c r="F234" s="31" t="inlineStr">
        <is>
          <t>entertainment / electronic media software</t>
        </is>
      </c>
      <c r="G234" s="31" t="inlineStr">
        <is>
          <t>midcap</t>
        </is>
      </c>
      <c r="H234" s="32" t="n">
        <v>12088.42</v>
      </c>
      <c r="I234" s="32" t="n">
        <v>1255.3</v>
      </c>
      <c r="J234" s="32" t="n">
        <v>1.97</v>
      </c>
      <c r="K234" s="32" t="n">
        <v>579557</v>
      </c>
      <c r="L234" s="31" t="n">
        <v>36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74.23</v>
      </c>
      <c r="P234" s="32" t="n">
        <v>21.68</v>
      </c>
      <c r="Q234" s="32" t="n">
        <v>1055.82</v>
      </c>
      <c r="R234" s="31" t="inlineStr">
        <is>
          <t>Volume Spike &amp; Near 52W High Breakout</t>
        </is>
      </c>
      <c r="S234" s="31" t="inlineStr">
        <is>
          <t>Nifty IT</t>
        </is>
      </c>
      <c r="T234" s="32" t="n">
        <v>-13.82</v>
      </c>
      <c r="U234" s="32" t="n">
        <v>12.09</v>
      </c>
      <c r="V234" s="32" t="n">
        <v>30.07</v>
      </c>
      <c r="W234" s="32" t="n">
        <v>9.210000000000001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Annuity, Lower One Time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More than 20%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Above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Between 0.7 to 1.2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IF(B235=0,"",RANK(B235,$B$2:$B$372,0))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GLENMARK</t>
        </is>
      </c>
      <c r="D235" s="31" t="inlineStr">
        <is>
          <t>Glenmark Pharmaceuticals Limited</t>
        </is>
      </c>
      <c r="E235" s="31" t="inlineStr">
        <is>
          <t>healthcare</t>
        </is>
      </c>
      <c r="F235" s="31" t="inlineStr">
        <is>
          <t>pharmaceuticals - indian - bulk drugs &amp; formln</t>
        </is>
      </c>
      <c r="G235" s="31" t="inlineStr">
        <is>
          <t>largecap</t>
        </is>
      </c>
      <c r="H235" s="32" t="n">
        <v>67728.19</v>
      </c>
      <c r="I235" s="32" t="n">
        <v>2438.3</v>
      </c>
      <c r="J235" s="32" t="n">
        <v>1.6</v>
      </c>
      <c r="K235" s="32" t="n">
        <v>473934</v>
      </c>
      <c r="L235" s="31" t="n">
        <v>22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66.41</v>
      </c>
      <c r="P235" s="32" t="n">
        <v>16.98</v>
      </c>
      <c r="Q235" s="32" t="n">
        <v>2058.96</v>
      </c>
      <c r="R235" s="31" t="inlineStr">
        <is>
          <t>Near 52W High Breakout</t>
        </is>
      </c>
      <c r="S235" s="31" t="inlineStr">
        <is>
          <t>Nifty Pharma</t>
        </is>
      </c>
      <c r="T235" s="32" t="n">
        <v>22.12</v>
      </c>
      <c r="U235" s="32" t="n">
        <v>27.05</v>
      </c>
      <c r="V235" s="32" t="n">
        <v>4.04</v>
      </c>
      <c r="W235" s="32" t="n">
        <v>6.41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Yes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Annuity, Lower One Time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0 to 20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Blue sky scenario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No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Above 70%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IF(B236=0,"",RANK(B236,$B$2:$B$372,0))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SAILIFE</t>
        </is>
      </c>
      <c r="D236" s="31" t="inlineStr">
        <is>
          <t>Sai Life Sciences Ltd</t>
        </is>
      </c>
      <c r="E236" s="31" t="inlineStr">
        <is>
          <t>healthcare</t>
        </is>
      </c>
      <c r="F236" s="31" t="inlineStr">
        <is>
          <t>pharmaceuticals - indian - bulk drugs &amp; formln</t>
        </is>
      </c>
      <c r="G236" s="31" t="inlineStr">
        <is>
          <t>largecap</t>
        </is>
      </c>
      <c r="H236" s="32" t="n">
        <v>30898.23</v>
      </c>
      <c r="I236" s="32" t="n">
        <v>1461.8</v>
      </c>
      <c r="J236" s="32" t="n">
        <v>0.43</v>
      </c>
      <c r="K236" s="32" t="n">
        <v>252646</v>
      </c>
      <c r="L236" s="31" t="n">
        <v>66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80.73999999999999</v>
      </c>
      <c r="P236" s="32" t="n">
        <v>37.47</v>
      </c>
      <c r="Q236" s="32" t="n">
        <v>1214.15</v>
      </c>
      <c r="R236" s="31" t="inlineStr">
        <is>
          <t>Near 52W High Breakout</t>
        </is>
      </c>
      <c r="S236" s="31" t="inlineStr">
        <is>
          <t>Nifty Pharma</t>
        </is>
      </c>
      <c r="T236" s="32" t="n">
        <v>22.12</v>
      </c>
      <c r="U236" s="32" t="n">
        <v>77.16</v>
      </c>
      <c r="V236" s="32" t="n">
        <v>45.07</v>
      </c>
      <c r="W236" s="32" t="n">
        <v>17.64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Yes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Annuity, Lower One Time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Above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Blue sky scenario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IF(B237=0,"",RANK(B237,$B$2:$B$372,0))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DWARKESH</t>
        </is>
      </c>
      <c r="D237" s="31" t="inlineStr">
        <is>
          <t>Dwarikesh Sugar Industries Limited</t>
        </is>
      </c>
      <c r="E237" s="31" t="inlineStr">
        <is>
          <t>fmcg</t>
        </is>
      </c>
      <c r="F237" s="31" t="inlineStr">
        <is>
          <t>sugar</t>
        </is>
      </c>
      <c r="G237" s="31" t="inlineStr">
        <is>
          <t>smallcap</t>
        </is>
      </c>
      <c r="H237" s="32" t="n">
        <v>999.52</v>
      </c>
      <c r="I237" s="32" t="n">
        <v>53.75</v>
      </c>
      <c r="J237" s="32" t="n">
        <v>-0.35</v>
      </c>
      <c r="K237" s="32" t="n">
        <v>7024516</v>
      </c>
      <c r="L237" s="31" t="inlineStr"/>
      <c r="M237" s="31" t="inlineStr"/>
      <c r="N237" s="32">
        <f>IF(M237="Underperforming",-5,IF(L237&gt;=95,15,IF(L237&gt;=90,10,IF(L237&gt;=80,5,0))))</f>
        <v/>
      </c>
      <c r="O237" s="32" t="n">
        <v>65.84</v>
      </c>
      <c r="P237" s="32" t="n">
        <v>15.05</v>
      </c>
      <c r="Q237" s="32" t="n">
        <v>38.48</v>
      </c>
      <c r="R237" s="31" t="inlineStr">
        <is>
          <t>Volume Spike &amp; Near 52W High Breakout</t>
        </is>
      </c>
      <c r="S237" s="31" t="inlineStr">
        <is>
          <t>Nifty FMCG</t>
        </is>
      </c>
      <c r="T237" s="32" t="inlineStr"/>
      <c r="U237" s="32" t="inlineStr"/>
      <c r="V237" s="32" t="inlineStr"/>
      <c r="W237" s="32" t="inlineStr"/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B2C</t>
        </is>
      </c>
      <c r="AO237" s="31">
        <f>IF(AN237="B2C",10,IF(AN237="B2B",5,0))</f>
        <v/>
      </c>
      <c r="AP237" s="31" t="inlineStr">
        <is>
          <t>Yes</t>
        </is>
      </c>
      <c r="AQ237" s="31">
        <f>IF(AP237="Yes",10,0)</f>
        <v/>
      </c>
      <c r="AR237" s="31" t="inlineStr">
        <is>
          <t>Higher Annuity, Lower One Time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0 to 20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More than 20%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Above 70%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IF(B238=0,"",RANK(B238,$B$2:$B$372,0))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UGARSUGAR</t>
        </is>
      </c>
      <c r="D238" s="31" t="inlineStr">
        <is>
          <t>The Ugar Sugar Works Limited</t>
        </is>
      </c>
      <c r="E238" s="31" t="inlineStr">
        <is>
          <t>fmcg</t>
        </is>
      </c>
      <c r="F238" s="31" t="inlineStr">
        <is>
          <t>sugar</t>
        </is>
      </c>
      <c r="G238" s="31" t="inlineStr">
        <is>
          <t>smallcap</t>
        </is>
      </c>
      <c r="H238" s="32" t="n">
        <v>626.1799999999999</v>
      </c>
      <c r="I238" s="32" t="n">
        <v>54.97</v>
      </c>
      <c r="J238" s="32" t="n">
        <v>-1.24</v>
      </c>
      <c r="K238" s="32" t="n">
        <v>736038</v>
      </c>
      <c r="L238" s="31" t="inlineStr"/>
      <c r="M238" s="31" t="inlineStr"/>
      <c r="N238" s="32">
        <f>IF(M238="Underperforming",-5,IF(L238&gt;=95,15,IF(L238&gt;=90,10,IF(L238&gt;=80,5,0))))</f>
        <v/>
      </c>
      <c r="O238" s="32" t="n">
        <v>75.31999999999999</v>
      </c>
      <c r="P238" s="32" t="n">
        <v>20.96</v>
      </c>
      <c r="Q238" s="32" t="n">
        <v>42.83</v>
      </c>
      <c r="R238" s="31" t="inlineStr">
        <is>
          <t>Volume Spike &amp; Near 52W High Breakout</t>
        </is>
      </c>
      <c r="S238" s="31" t="inlineStr">
        <is>
          <t>Nifty FMCG</t>
        </is>
      </c>
      <c r="T238" s="32" t="inlineStr"/>
      <c r="U238" s="32" t="inlineStr"/>
      <c r="V238" s="32" t="inlineStr"/>
      <c r="W238" s="32" t="inlineStr"/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B2C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Annuity, Lower One Time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Above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Close to 52 week high or retracement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No</t>
        </is>
      </c>
      <c r="BS238" s="31">
        <f>IF(BR238="NO",5,0)</f>
        <v/>
      </c>
      <c r="BT238" s="31" t="inlineStr">
        <is>
          <t>Less than 1.5</t>
        </is>
      </c>
      <c r="BU238" s="31">
        <f>IF(BT238="Above 2",0,IF(BT238="Between 1.5 to 2",5,IF(BT238="Less than 1.5",10,0)))</f>
        <v/>
      </c>
      <c r="BV238" s="31" t="inlineStr">
        <is>
          <t>Above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More than 1.2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IF(B239=0,"",RANK(B239,$B$2:$B$372,0))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3" t="inlineStr">
        <is>
          <t>SYNCOMF</t>
        </is>
      </c>
      <c r="D239" s="33" t="inlineStr">
        <is>
          <t>Syncom Formulations (India) Ltd</t>
        </is>
      </c>
      <c r="E239" s="31" t="inlineStr">
        <is>
          <t>healthcare</t>
        </is>
      </c>
      <c r="F239" s="31" t="inlineStr">
        <is>
          <t>pharmaceuticals - indian - bulk drugs &amp; formln</t>
        </is>
      </c>
      <c r="G239" s="31" t="inlineStr">
        <is>
          <t>smallcap</t>
        </is>
      </c>
      <c r="H239" s="32" t="n">
        <v>1650.64</v>
      </c>
      <c r="I239" s="32" t="n">
        <v>17.03</v>
      </c>
      <c r="J239" s="32" t="n">
        <v>-3.02</v>
      </c>
      <c r="K239" s="32" t="n">
        <v>5776859</v>
      </c>
      <c r="L239" s="31" t="n">
        <v>12</v>
      </c>
      <c r="M239" s="31" t="inlineStr">
        <is>
          <t>Underperforming</t>
        </is>
      </c>
      <c r="N239" s="32">
        <f>IF(M239="Underperforming",-5,IF(L239&gt;=95,15,IF(L239&gt;=90,10,IF(L239&gt;=80,5,0))))</f>
        <v/>
      </c>
      <c r="O239" s="32" t="n">
        <v>67.05</v>
      </c>
      <c r="P239" s="32" t="n">
        <v>19.75</v>
      </c>
      <c r="Q239" s="32" t="n">
        <v>12.91</v>
      </c>
      <c r="R239" s="31" t="inlineStr">
        <is>
          <t>Volume Spike / Accumulation</t>
        </is>
      </c>
      <c r="S239" s="31" t="inlineStr">
        <is>
          <t>Nifty Pharma</t>
        </is>
      </c>
      <c r="T239" s="32" t="n">
        <v>22.12</v>
      </c>
      <c r="U239" s="32" t="n">
        <v>1.79</v>
      </c>
      <c r="V239" s="32" t="n">
        <v>-16.64</v>
      </c>
      <c r="W239" s="32" t="n">
        <v>3.91</v>
      </c>
      <c r="X239" s="31" t="inlineStr">
        <is>
          <t>Growing Industry</t>
        </is>
      </c>
      <c r="Y239" s="31">
        <f>IF(X239="Growing Industry",10,IF(X239="Cyclical in an Upturn",5,0))</f>
        <v/>
      </c>
      <c r="Z239" s="31" t="inlineStr">
        <is>
          <t>Too Many Players with High ROCE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Yes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Structural (10 Years Consistency)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Annuity, Lower One Time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0 to 20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Less than 1.5</t>
        </is>
      </c>
      <c r="BU239" s="31">
        <f>IF(BT239="Above 2",0,IF(BT239="Between 1.5 to 2",5,IF(BT239="Less than 1.5",10,0)))</f>
        <v/>
      </c>
      <c r="BV239" s="31" t="inlineStr">
        <is>
          <t>Above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IF(B240=0,"",RANK(B240,$B$2:$B$372,0))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1" t="inlineStr">
        <is>
          <t>RGL</t>
        </is>
      </c>
      <c r="D240" s="31" t="inlineStr">
        <is>
          <t>Renaissance Global Ltd</t>
        </is>
      </c>
      <c r="E240" s="31" t="inlineStr">
        <is>
          <t>consumer discretionary</t>
        </is>
      </c>
      <c r="F240" s="31" t="inlineStr">
        <is>
          <t>diamond cutting / jewellery</t>
        </is>
      </c>
      <c r="G240" s="31" t="inlineStr">
        <is>
          <t>smallcap</t>
        </is>
      </c>
      <c r="H240" s="32" t="n">
        <v>1426.6</v>
      </c>
      <c r="I240" s="32" t="n">
        <v>152.58</v>
      </c>
      <c r="J240" s="32" t="n">
        <v>14.83</v>
      </c>
      <c r="K240" s="32" t="n">
        <v>43389006</v>
      </c>
      <c r="L240" s="31" t="n">
        <v>66</v>
      </c>
      <c r="M240" s="31" t="inlineStr">
        <is>
          <t>Outperforming</t>
        </is>
      </c>
      <c r="N240" s="32">
        <f>IF(M240="Underperforming",-5,IF(L240&gt;=95,15,IF(L240&gt;=90,10,IF(L240&gt;=80,5,0))))</f>
        <v/>
      </c>
      <c r="O240" s="32" t="n">
        <v>73.12</v>
      </c>
      <c r="P240" s="32" t="n">
        <v>18.86</v>
      </c>
      <c r="Q240" s="32" t="n">
        <v>114.9</v>
      </c>
      <c r="R240" s="31" t="inlineStr">
        <is>
          <t>Volume Spike &amp; Near 52W High Breakout</t>
        </is>
      </c>
      <c r="S240" s="31" t="inlineStr">
        <is>
          <t>Nifty 50</t>
        </is>
      </c>
      <c r="T240" s="32" t="n">
        <v>-0.9</v>
      </c>
      <c r="U240" s="32" t="n">
        <v>37.32</v>
      </c>
      <c r="V240" s="32" t="n">
        <v>38.57</v>
      </c>
      <c r="W240" s="32" t="n">
        <v>17.86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0 to 20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Above 70%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IF(B241=0,"",RANK(B241,$B$2:$B$372,0))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AEROFLEX</t>
        </is>
      </c>
      <c r="D241" s="31" t="inlineStr">
        <is>
          <t>Aeroflex Industries Ltd</t>
        </is>
      </c>
      <c r="E241" s="31" t="inlineStr">
        <is>
          <t>metals &amp; mining</t>
        </is>
      </c>
      <c r="F241" s="31" t="inlineStr">
        <is>
          <t>steel - medium / small</t>
        </is>
      </c>
      <c r="G241" s="31" t="inlineStr">
        <is>
          <t>midcap</t>
        </is>
      </c>
      <c r="H241" s="32" t="n">
        <v>6560.3</v>
      </c>
      <c r="I241" s="32" t="n">
        <v>536.35</v>
      </c>
      <c r="J241" s="32" t="n">
        <v>8.19</v>
      </c>
      <c r="K241" s="32" t="n">
        <v>4177634</v>
      </c>
      <c r="L241" s="31" t="inlineStr"/>
      <c r="M241" s="31" t="inlineStr"/>
      <c r="N241" s="32">
        <f>IF(M241="Underperforming",-5,IF(L241&gt;=95,15,IF(L241&gt;=90,10,IF(L241&gt;=80,5,0))))</f>
        <v/>
      </c>
      <c r="O241" s="32" t="n">
        <v>71.92</v>
      </c>
      <c r="P241" s="32" t="n">
        <v>63.13</v>
      </c>
      <c r="Q241" s="32" t="n">
        <v>385.88</v>
      </c>
      <c r="R241" s="31" t="inlineStr">
        <is>
          <t>Near 52W High Breakout</t>
        </is>
      </c>
      <c r="S241" s="31" t="inlineStr">
        <is>
          <t>Nifty Metal</t>
        </is>
      </c>
      <c r="T241" s="32" t="inlineStr"/>
      <c r="U241" s="32" t="inlineStr"/>
      <c r="V241" s="32" t="inlineStr"/>
      <c r="W241" s="32" t="inlineStr"/>
      <c r="X241" s="31" t="inlineStr">
        <is>
          <t>Cyclical in an Upturn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Cyclical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Volatile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Above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Blue sky scenario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More than 20%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IF(B242=0,"",RANK(B242,$B$2:$B$372,0))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HMT</t>
        </is>
      </c>
      <c r="D242" s="31" t="inlineStr">
        <is>
          <t>Hmt Limited</t>
        </is>
      </c>
      <c r="E242" s="31" t="inlineStr">
        <is>
          <t>consumer discretionary</t>
        </is>
      </c>
      <c r="F242" s="31" t="inlineStr">
        <is>
          <t>miscellaneous</t>
        </is>
      </c>
      <c r="G242" s="31" t="inlineStr">
        <is>
          <t>midcap</t>
        </is>
      </c>
      <c r="H242" s="32" t="n">
        <v>7707.39</v>
      </c>
      <c r="I242" s="32" t="n">
        <v>67.20999999999999</v>
      </c>
      <c r="J242" s="32" t="n">
        <v>5</v>
      </c>
      <c r="K242" s="32" t="n">
        <v>26899</v>
      </c>
      <c r="L242" s="31" t="n">
        <v>33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60.45</v>
      </c>
      <c r="P242" s="32" t="n">
        <v>16.16</v>
      </c>
      <c r="Q242" s="32" t="n">
        <v>52.42</v>
      </c>
      <c r="R242" s="31" t="inlineStr">
        <is>
          <t>Near 52W High Breakout</t>
        </is>
      </c>
      <c r="S242" s="31" t="inlineStr">
        <is>
          <t>Nifty 50</t>
        </is>
      </c>
      <c r="T242" s="32" t="n">
        <v>-0.9</v>
      </c>
      <c r="U242" s="32" t="n">
        <v>19.63</v>
      </c>
      <c r="V242" s="32" t="n">
        <v>20.72</v>
      </c>
      <c r="W242" s="32" t="n">
        <v>8.93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Headwind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0 to 20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No</t>
        </is>
      </c>
      <c r="BS242" s="31">
        <f>IF(BR242="NO",5,0)</f>
        <v/>
      </c>
      <c r="BT242" s="31" t="inlineStr">
        <is>
          <t>Less than 1.5</t>
        </is>
      </c>
      <c r="BU242" s="31">
        <f>IF(BT242="Above 2",0,IF(BT242="Between 1.5 to 2",5,IF(BT242="Less than 1.5",10,0)))</f>
        <v/>
      </c>
      <c r="BV242" s="31" t="inlineStr">
        <is>
          <t>Above 70%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Less than 0.7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IF(B243=0,"",RANK(B243,$B$2:$B$372,0))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INDIGOPNTS</t>
        </is>
      </c>
      <c r="D243" s="31" t="inlineStr">
        <is>
          <t>Indigo Paints Ltd</t>
        </is>
      </c>
      <c r="E243" s="31" t="inlineStr">
        <is>
          <t>building materials</t>
        </is>
      </c>
      <c r="F243" s="31" t="inlineStr">
        <is>
          <t>paints / varnishes</t>
        </is>
      </c>
      <c r="G243" s="31" t="inlineStr">
        <is>
          <t>midcap</t>
        </is>
      </c>
      <c r="H243" s="32" t="n">
        <v>5415.48</v>
      </c>
      <c r="I243" s="32" t="n">
        <v>1186.1</v>
      </c>
      <c r="J243" s="32" t="n">
        <v>4.42</v>
      </c>
      <c r="K243" s="32" t="n">
        <v>175486</v>
      </c>
      <c r="L243" s="31" t="inlineStr"/>
      <c r="M243" s="31" t="inlineStr"/>
      <c r="N243" s="32">
        <f>IF(M243="Underperforming",-5,IF(L243&gt;=95,15,IF(L243&gt;=90,10,IF(L243&gt;=80,5,0))))</f>
        <v/>
      </c>
      <c r="O243" s="32" t="n">
        <v>67.91</v>
      </c>
      <c r="P243" s="32" t="n">
        <v>19.33</v>
      </c>
      <c r="Q243" s="32" t="n">
        <v>947.66</v>
      </c>
      <c r="R243" s="31" t="inlineStr">
        <is>
          <t>Earnings / Momentum Support</t>
        </is>
      </c>
      <c r="S243" s="31" t="inlineStr">
        <is>
          <t>Nifty Infra</t>
        </is>
      </c>
      <c r="T243" s="32" t="inlineStr"/>
      <c r="U243" s="32" t="inlineStr"/>
      <c r="V243" s="32" t="inlineStr"/>
      <c r="W243" s="32" t="inlineStr"/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Less than 1.5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IF(B244=0,"",RANK(B244,$B$2:$B$372,0))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1" t="inlineStr">
        <is>
          <t>ALEMBICLTD</t>
        </is>
      </c>
      <c r="D244" s="31" t="inlineStr">
        <is>
          <t>Alembic Limited</t>
        </is>
      </c>
      <c r="E244" s="31" t="inlineStr">
        <is>
          <t>realty</t>
        </is>
      </c>
      <c r="F244" s="31" t="inlineStr">
        <is>
          <t>construction</t>
        </is>
      </c>
      <c r="G244" s="31" t="inlineStr">
        <is>
          <t>smallcap</t>
        </is>
      </c>
      <c r="H244" s="32" t="n">
        <v>2430.7</v>
      </c>
      <c r="I244" s="32" t="n">
        <v>98.7</v>
      </c>
      <c r="J244" s="32" t="n">
        <v>4.27</v>
      </c>
      <c r="K244" s="32" t="n">
        <v>1630738</v>
      </c>
      <c r="L244" s="31" t="inlineStr"/>
      <c r="M244" s="31" t="inlineStr"/>
      <c r="N244" s="32">
        <f>IF(M244="Underperforming",-5,IF(L244&gt;=95,15,IF(L244&gt;=90,10,IF(L244&gt;=80,5,0))))</f>
        <v/>
      </c>
      <c r="O244" s="32" t="n">
        <v>63</v>
      </c>
      <c r="P244" s="32" t="n">
        <v>9.369999999999999</v>
      </c>
      <c r="Q244" s="32" t="n">
        <v>81.86</v>
      </c>
      <c r="R244" s="31" t="inlineStr">
        <is>
          <t>Volume Spike &amp; Near 52W High Breakout</t>
        </is>
      </c>
      <c r="S244" s="31" t="inlineStr">
        <is>
          <t>Nifty Realty</t>
        </is>
      </c>
      <c r="T244" s="32" t="inlineStr"/>
      <c r="U244" s="32" t="inlineStr"/>
      <c r="V244" s="32" t="inlineStr"/>
      <c r="W244" s="32" t="inlineStr"/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Yes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Less than 12%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Less than 1.5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IF(B245=0,"",RANK(B245,$B$2:$B$372,0))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ARIS</t>
        </is>
      </c>
      <c r="D245" s="31" t="inlineStr">
        <is>
          <t>Arisinfra Solutions Ltd</t>
        </is>
      </c>
      <c r="E245" s="31" t="inlineStr">
        <is>
          <t>services</t>
        </is>
      </c>
      <c r="F245" s="31" t="inlineStr">
        <is>
          <t>trading</t>
        </is>
      </c>
      <c r="G245" s="31" t="inlineStr">
        <is>
          <t>smallcap</t>
        </is>
      </c>
      <c r="H245" s="32" t="n">
        <v>1179.96</v>
      </c>
      <c r="I245" s="32" t="n">
        <v>147.96</v>
      </c>
      <c r="J245" s="32" t="n">
        <v>2.56</v>
      </c>
      <c r="K245" s="32" t="n">
        <v>3058989</v>
      </c>
      <c r="L245" s="31" t="n">
        <v>20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62.03</v>
      </c>
      <c r="P245" s="32" t="n">
        <v>9.16</v>
      </c>
      <c r="Q245" s="32" t="n">
        <v>107.6</v>
      </c>
      <c r="R245" s="31" t="inlineStr">
        <is>
          <t>Volume Spike / Accumulation</t>
        </is>
      </c>
      <c r="S245" s="31" t="inlineStr">
        <is>
          <t>Nifty 50</t>
        </is>
      </c>
      <c r="T245" s="32" t="n">
        <v>-0.9</v>
      </c>
      <c r="U245" s="32" t="n">
        <v>0.78</v>
      </c>
      <c r="V245" s="32" t="n">
        <v>1.7</v>
      </c>
      <c r="W245" s="32" t="n">
        <v>5.88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0 to 20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IF(B246=0,"",RANK(B246,$B$2:$B$372,0))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1" t="inlineStr">
        <is>
          <t>DEEPINDS</t>
        </is>
      </c>
      <c r="D246" s="31" t="inlineStr">
        <is>
          <t>Deep Industries Ltd</t>
        </is>
      </c>
      <c r="E246" s="31" t="inlineStr">
        <is>
          <t>energy</t>
        </is>
      </c>
      <c r="F246" s="31" t="inlineStr">
        <is>
          <t>oil drilling / allied services</t>
        </is>
      </c>
      <c r="G246" s="31" t="inlineStr">
        <is>
          <t>smallcap</t>
        </is>
      </c>
      <c r="H246" s="32" t="n">
        <v>4157.76</v>
      </c>
      <c r="I246" s="32" t="n">
        <v>665.9</v>
      </c>
      <c r="J246" s="32" t="n">
        <v>2.5</v>
      </c>
      <c r="K246" s="32" t="n">
        <v>434483</v>
      </c>
      <c r="L246" s="31" t="inlineStr"/>
      <c r="M246" s="31" t="inlineStr"/>
      <c r="N246" s="32">
        <f>IF(M246="Underperforming",-5,IF(L246&gt;=95,15,IF(L246&gt;=90,10,IF(L246&gt;=80,5,0))))</f>
        <v/>
      </c>
      <c r="O246" s="32" t="n">
        <v>71.83</v>
      </c>
      <c r="P246" s="32" t="n">
        <v>26.32</v>
      </c>
      <c r="Q246" s="32" t="n">
        <v>529.45</v>
      </c>
      <c r="R246" s="31" t="inlineStr">
        <is>
          <t>Near 52W High Breakout</t>
        </is>
      </c>
      <c r="S246" s="31" t="inlineStr">
        <is>
          <t>Nifty Energy</t>
        </is>
      </c>
      <c r="T246" s="32" t="inlineStr"/>
      <c r="U246" s="32" t="inlineStr"/>
      <c r="V246" s="32" t="inlineStr"/>
      <c r="W246" s="32" t="inlineStr"/>
      <c r="X246" s="31" t="inlineStr">
        <is>
          <t>Cyclical in an Upturn</t>
        </is>
      </c>
      <c r="Y246" s="31">
        <f>IF(X246="Growing Industry",10,IF(X246="Cyclical in an Upturn",5,0))</f>
        <v/>
      </c>
      <c r="Z246" s="31" t="inlineStr">
        <is>
          <t>Oligopoly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Yes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Cyclical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Volatile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20 to 40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Blue sky scenario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More than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Less than 1.5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IF(B247=0,"",RANK(B247,$B$2:$B$372,0))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MANGLMCEM</t>
        </is>
      </c>
      <c r="D247" s="31" t="inlineStr">
        <is>
          <t>Mangalam Cement Limited</t>
        </is>
      </c>
      <c r="E247" s="31" t="inlineStr">
        <is>
          <t>building materials</t>
        </is>
      </c>
      <c r="F247" s="31" t="inlineStr">
        <is>
          <t>cement - north india</t>
        </is>
      </c>
      <c r="G247" s="31" t="inlineStr">
        <is>
          <t>smallcap</t>
        </is>
      </c>
      <c r="H247" s="32" t="n">
        <v>2844.6</v>
      </c>
      <c r="I247" s="32" t="n">
        <v>1057.7</v>
      </c>
      <c r="J247" s="32" t="n">
        <v>2.24</v>
      </c>
      <c r="K247" s="32" t="n">
        <v>231900</v>
      </c>
      <c r="L247" s="31" t="inlineStr"/>
      <c r="M247" s="31" t="inlineStr"/>
      <c r="N247" s="32">
        <f>IF(M247="Underperforming",-5,IF(L247&gt;=95,15,IF(L247&gt;=90,10,IF(L247&gt;=80,5,0))))</f>
        <v/>
      </c>
      <c r="O247" s="32" t="n">
        <v>67.51000000000001</v>
      </c>
      <c r="P247" s="32" t="n">
        <v>23.62</v>
      </c>
      <c r="Q247" s="32" t="n">
        <v>858.78</v>
      </c>
      <c r="R247" s="31" t="inlineStr">
        <is>
          <t>Near 52W High Breakout</t>
        </is>
      </c>
      <c r="S247" s="31" t="inlineStr">
        <is>
          <t>Nifty Infra</t>
        </is>
      </c>
      <c r="T247" s="32" t="inlineStr"/>
      <c r="U247" s="32" t="inlineStr"/>
      <c r="V247" s="32" t="inlineStr"/>
      <c r="W247" s="32" t="inlineStr"/>
      <c r="X247" s="31" t="inlineStr">
        <is>
          <t>Growing Industry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Structural (10 Years Consistency)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Stable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20 to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Blue sky scenario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Less than 12%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Between 0.7 to 1.2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IF(B248=0,"",RANK(B248,$B$2:$B$372,0))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GENUSPOWER</t>
        </is>
      </c>
      <c r="D248" s="31" t="inlineStr">
        <is>
          <t>Genus Power Infrastructures Limited</t>
        </is>
      </c>
      <c r="E248" s="31" t="inlineStr">
        <is>
          <t>consumer discretionary</t>
        </is>
      </c>
      <c r="F248" s="31" t="inlineStr">
        <is>
          <t>electronics - components</t>
        </is>
      </c>
      <c r="G248" s="31" t="inlineStr">
        <is>
          <t>midcap</t>
        </is>
      </c>
      <c r="H248" s="32" t="n">
        <v>10193.65</v>
      </c>
      <c r="I248" s="32" t="n">
        <v>341.1</v>
      </c>
      <c r="J248" s="32" t="n">
        <v>1.81</v>
      </c>
      <c r="K248" s="32" t="n">
        <v>3351541</v>
      </c>
      <c r="L248" s="31" t="n">
        <v>11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63.01</v>
      </c>
      <c r="P248" s="32" t="n">
        <v>9.1</v>
      </c>
      <c r="Q248" s="32" t="n">
        <v>261.65</v>
      </c>
      <c r="R248" s="31" t="inlineStr">
        <is>
          <t>Near 52W High Breakout</t>
        </is>
      </c>
      <c r="S248" s="31" t="inlineStr">
        <is>
          <t>Nifty 50</t>
        </is>
      </c>
      <c r="T248" s="32" t="n">
        <v>-0.9</v>
      </c>
      <c r="U248" s="32" t="n">
        <v>4.89</v>
      </c>
      <c r="V248" s="32" t="n">
        <v>5.84</v>
      </c>
      <c r="W248" s="32" t="n">
        <v>3.47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Less than 1.5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Between 0.7 to 1.2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IF(B249=0,"",RANK(B249,$B$2:$B$372,0))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DEEPAKNTR</t>
        </is>
      </c>
      <c r="D249" s="31" t="inlineStr">
        <is>
          <t>Deepak Nitrite Limited</t>
        </is>
      </c>
      <c r="E249" s="31" t="inlineStr">
        <is>
          <t>chemicals</t>
        </is>
      </c>
      <c r="F249" s="31" t="inlineStr">
        <is>
          <t>chemicals</t>
        </is>
      </c>
      <c r="G249" s="31" t="inlineStr">
        <is>
          <t>largecap</t>
        </is>
      </c>
      <c r="H249" s="32" t="n">
        <v>23882.42</v>
      </c>
      <c r="I249" s="32" t="n">
        <v>1776.7</v>
      </c>
      <c r="J249" s="32" t="n">
        <v>1.47</v>
      </c>
      <c r="K249" s="32" t="n">
        <v>473527</v>
      </c>
      <c r="L249" s="31" t="n">
        <v>4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57.16</v>
      </c>
      <c r="P249" s="32" t="n">
        <v>14.45</v>
      </c>
      <c r="Q249" s="32" t="n">
        <v>1464.05</v>
      </c>
      <c r="R249" s="31" t="inlineStr">
        <is>
          <t>Near 52W High Breakout</t>
        </is>
      </c>
      <c r="S249" s="31" t="inlineStr">
        <is>
          <t>Nifty 50</t>
        </is>
      </c>
      <c r="T249" s="32" t="n">
        <v>-0.9</v>
      </c>
      <c r="U249" s="32" t="n">
        <v>-0.17</v>
      </c>
      <c r="V249" s="32" t="n">
        <v>0.73</v>
      </c>
      <c r="W249" s="32" t="n">
        <v>1.45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0 to 20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More than 20%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Above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IF(B250=0,"",RANK(B250,$B$2:$B$372,0))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INDIANHUME</t>
        </is>
      </c>
      <c r="D250" s="31" t="inlineStr">
        <is>
          <t>Indian Hume Pipe Company Limited</t>
        </is>
      </c>
      <c r="E250" s="31" t="inlineStr">
        <is>
          <t>realty</t>
        </is>
      </c>
      <c r="F250" s="31" t="inlineStr">
        <is>
          <t>construction</t>
        </is>
      </c>
      <c r="G250" s="31" t="inlineStr">
        <is>
          <t>smallcap</t>
        </is>
      </c>
      <c r="H250" s="32" t="n">
        <v>2052.48</v>
      </c>
      <c r="I250" s="32" t="n">
        <v>392.2</v>
      </c>
      <c r="J250" s="32" t="n">
        <v>0.67</v>
      </c>
      <c r="K250" s="32" t="n">
        <v>68321</v>
      </c>
      <c r="L250" s="31" t="inlineStr"/>
      <c r="M250" s="31" t="inlineStr"/>
      <c r="N250" s="32">
        <f>IF(M250="Underperforming",-5,IF(L250&gt;=95,15,IF(L250&gt;=90,10,IF(L250&gt;=80,5,0))))</f>
        <v/>
      </c>
      <c r="O250" s="32" t="n">
        <v>60.78</v>
      </c>
      <c r="P250" s="32" t="n">
        <v>25.38</v>
      </c>
      <c r="Q250" s="32" t="n">
        <v>295.48</v>
      </c>
      <c r="R250" s="31" t="inlineStr">
        <is>
          <t>Earnings / Momentum Support</t>
        </is>
      </c>
      <c r="S250" s="31" t="inlineStr">
        <is>
          <t>Nifty Realty</t>
        </is>
      </c>
      <c r="T250" s="32" t="inlineStr"/>
      <c r="U250" s="32" t="inlineStr"/>
      <c r="V250" s="32" t="inlineStr"/>
      <c r="W250" s="32" t="inlineStr"/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Less than 12%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Between 1.5 to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Less than 0.7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IF(B251=0,"",RANK(B251,$B$2:$B$372,0))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1" t="inlineStr">
        <is>
          <t>MMFL</t>
        </is>
      </c>
      <c r="D251" s="31" t="inlineStr">
        <is>
          <t>Mm Forgings Limited</t>
        </is>
      </c>
      <c r="E251" s="31" t="inlineStr">
        <is>
          <t>industrials</t>
        </is>
      </c>
      <c r="F251" s="31" t="inlineStr">
        <is>
          <t>castings &amp; forgings</t>
        </is>
      </c>
      <c r="G251" s="31" t="inlineStr">
        <is>
          <t>smallcap</t>
        </is>
      </c>
      <c r="H251" s="32" t="n">
        <v>3041.5</v>
      </c>
      <c r="I251" s="32" t="n">
        <v>633.3</v>
      </c>
      <c r="J251" s="32" t="n">
        <v>0.53</v>
      </c>
      <c r="K251" s="32" t="n">
        <v>109945</v>
      </c>
      <c r="L251" s="31" t="n">
        <v>83</v>
      </c>
      <c r="M251" s="31" t="inlineStr">
        <is>
          <t>Outperforming</t>
        </is>
      </c>
      <c r="N251" s="32">
        <f>IF(M251="Underperforming",-5,IF(L251&gt;=95,15,IF(L251&gt;=90,10,IF(L251&gt;=80,5,0))))</f>
        <v/>
      </c>
      <c r="O251" s="32" t="n">
        <v>69.09</v>
      </c>
      <c r="P251" s="32" t="n">
        <v>28.41</v>
      </c>
      <c r="Q251" s="32" t="n">
        <v>494.47</v>
      </c>
      <c r="R251" s="31" t="inlineStr">
        <is>
          <t>Near 52W High Breakout</t>
        </is>
      </c>
      <c r="S251" s="31" t="inlineStr">
        <is>
          <t>Nifty 50</t>
        </is>
      </c>
      <c r="T251" s="32" t="n">
        <v>-0.9</v>
      </c>
      <c r="U251" s="32" t="n">
        <v>100.79</v>
      </c>
      <c r="V251" s="32" t="n">
        <v>102.61</v>
      </c>
      <c r="W251" s="32" t="n">
        <v>24.93</v>
      </c>
      <c r="X251" s="31" t="inlineStr">
        <is>
          <t>Cyclical in an Upturn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Blue sky scenario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More than 1.2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IF(B252=0,"",RANK(B252,$B$2:$B$372,0))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MAHSEAMLES</t>
        </is>
      </c>
      <c r="D252" s="31" t="inlineStr">
        <is>
          <t>Maharashtra Seamless Limited</t>
        </is>
      </c>
      <c r="E252" s="31" t="inlineStr">
        <is>
          <t>industrials</t>
        </is>
      </c>
      <c r="F252" s="31" t="inlineStr">
        <is>
          <t>steel - large</t>
        </is>
      </c>
      <c r="G252" s="31" t="inlineStr">
        <is>
          <t>midcap</t>
        </is>
      </c>
      <c r="H252" s="32" t="n">
        <v>8529.719999999999</v>
      </c>
      <c r="I252" s="32" t="n">
        <v>636.55</v>
      </c>
      <c r="J252" s="32" t="n">
        <v>0</v>
      </c>
      <c r="K252" s="32" t="n">
        <v>300576</v>
      </c>
      <c r="L252" s="31" t="inlineStr"/>
      <c r="M252" s="31" t="inlineStr"/>
      <c r="N252" s="32">
        <f>IF(M252="Underperforming",-5,IF(L252&gt;=95,15,IF(L252&gt;=90,10,IF(L252&gt;=80,5,0))))</f>
        <v/>
      </c>
      <c r="O252" s="32" t="n">
        <v>59.74</v>
      </c>
      <c r="P252" s="32" t="n">
        <v>17.17</v>
      </c>
      <c r="Q252" s="32" t="n">
        <v>531.91</v>
      </c>
      <c r="R252" s="31" t="inlineStr">
        <is>
          <t>Near 52W High Breakout</t>
        </is>
      </c>
      <c r="S252" s="31" t="inlineStr">
        <is>
          <t>Nifty Metal</t>
        </is>
      </c>
      <c r="T252" s="32" t="inlineStr"/>
      <c r="U252" s="32" t="inlineStr"/>
      <c r="V252" s="32" t="inlineStr"/>
      <c r="W252" s="32" t="inlineStr"/>
      <c r="X252" s="31" t="inlineStr">
        <is>
          <t>Cyclical in an Upturn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0 to 20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Between 12 to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Less than 1.5</t>
        </is>
      </c>
      <c r="BU252" s="31">
        <f>IF(BT252="Above 2",0,IF(BT252="Between 1.5 to 2",5,IF(BT252="Less than 1.5",10,0)))</f>
        <v/>
      </c>
      <c r="BV252" s="31" t="inlineStr">
        <is>
          <t>Above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IF(B253=0,"",RANK(B253,$B$2:$B$372,0))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NETWEB</t>
        </is>
      </c>
      <c r="D253" s="31" t="inlineStr">
        <is>
          <t>Netweb Technologies India Ltd</t>
        </is>
      </c>
      <c r="E253" s="31" t="inlineStr">
        <is>
          <t>i.t</t>
        </is>
      </c>
      <c r="F253" s="31" t="inlineStr">
        <is>
          <t>computers - hardware</t>
        </is>
      </c>
      <c r="G253" s="31" t="inlineStr">
        <is>
          <t>largecap</t>
        </is>
      </c>
      <c r="H253" s="32" t="n">
        <v>30027.67</v>
      </c>
      <c r="I253" s="32" t="n">
        <v>5271.9</v>
      </c>
      <c r="J253" s="32" t="n">
        <v>-0.03</v>
      </c>
      <c r="K253" s="32" t="n">
        <v>3036962</v>
      </c>
      <c r="L253" s="31" t="n">
        <v>78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63.59</v>
      </c>
      <c r="P253" s="32" t="n">
        <v>38.5</v>
      </c>
      <c r="Q253" s="32" t="n">
        <v>4164.61</v>
      </c>
      <c r="R253" s="31" t="inlineStr">
        <is>
          <t>Earnings / Momentum Support</t>
        </is>
      </c>
      <c r="S253" s="31" t="inlineStr">
        <is>
          <t>Nifty IT</t>
        </is>
      </c>
      <c r="T253" s="32" t="n">
        <v>-13.82</v>
      </c>
      <c r="U253" s="32" t="n">
        <v>138.96</v>
      </c>
      <c r="V253" s="32" t="n">
        <v>177.28</v>
      </c>
      <c r="W253" s="32" t="n">
        <v>22.65</v>
      </c>
      <c r="X253" s="31" t="inlineStr">
        <is>
          <t>Growing Industry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No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More than 20%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IF(B254=0,"",RANK(B254,$B$2:$B$372,0))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ETHOSLTD</t>
        </is>
      </c>
      <c r="D254" s="31" t="inlineStr">
        <is>
          <t>Ethos Ltd</t>
        </is>
      </c>
      <c r="E254" s="31" t="inlineStr">
        <is>
          <t>consumer discretionary</t>
        </is>
      </c>
      <c r="F254" s="31" t="inlineStr">
        <is>
          <t>trading</t>
        </is>
      </c>
      <c r="G254" s="31" t="inlineStr">
        <is>
          <t>midcap</t>
        </is>
      </c>
      <c r="H254" s="32" t="n">
        <v>7745.55</v>
      </c>
      <c r="I254" s="32" t="n">
        <v>2887</v>
      </c>
      <c r="J254" s="32" t="n">
        <v>-0.27</v>
      </c>
      <c r="K254" s="32" t="n">
        <v>25742</v>
      </c>
      <c r="L254" s="31" t="n">
        <v>42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63.74</v>
      </c>
      <c r="P254" s="32" t="n">
        <v>22.45</v>
      </c>
      <c r="Q254" s="32" t="n">
        <v>2209.15</v>
      </c>
      <c r="R254" s="31" t="inlineStr">
        <is>
          <t>Earnings / Momentum Support</t>
        </is>
      </c>
      <c r="S254" s="31" t="inlineStr">
        <is>
          <t>Nifty 50</t>
        </is>
      </c>
      <c r="T254" s="32" t="n">
        <v>-0.9</v>
      </c>
      <c r="U254" s="32" t="n">
        <v>27.3</v>
      </c>
      <c r="V254" s="32" t="n">
        <v>28.45</v>
      </c>
      <c r="W254" s="32" t="n">
        <v>10.87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20 to 40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2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Yes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IF(B255=0,"",RANK(B255,$B$2:$B$372,0))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1" t="inlineStr">
        <is>
          <t>KOLTEPATIL</t>
        </is>
      </c>
      <c r="D255" s="31" t="inlineStr">
        <is>
          <t>Kolte - Patil Developers Limited</t>
        </is>
      </c>
      <c r="E255" s="31" t="inlineStr">
        <is>
          <t>realty</t>
        </is>
      </c>
      <c r="F255" s="31" t="inlineStr">
        <is>
          <t>construction</t>
        </is>
      </c>
      <c r="G255" s="31" t="inlineStr">
        <is>
          <t>smallcap</t>
        </is>
      </c>
      <c r="H255" s="32" t="n">
        <v>4074.41</v>
      </c>
      <c r="I255" s="32" t="n">
        <v>458</v>
      </c>
      <c r="J255" s="32" t="n">
        <v>-0.32</v>
      </c>
      <c r="K255" s="32" t="n">
        <v>105310</v>
      </c>
      <c r="L255" s="31" t="inlineStr"/>
      <c r="M255" s="31" t="inlineStr"/>
      <c r="N255" s="32">
        <f>IF(M255="Underperforming",-5,IF(L255&gt;=95,15,IF(L255&gt;=90,10,IF(L255&gt;=80,5,0))))</f>
        <v/>
      </c>
      <c r="O255" s="32" t="n">
        <v>65.52</v>
      </c>
      <c r="P255" s="32" t="n">
        <v>23.46</v>
      </c>
      <c r="Q255" s="32" t="n">
        <v>367.16</v>
      </c>
      <c r="R255" s="31" t="inlineStr">
        <is>
          <t>Near 52W High Breakout</t>
        </is>
      </c>
      <c r="S255" s="31" t="inlineStr">
        <is>
          <t>Nifty Realty</t>
        </is>
      </c>
      <c r="T255" s="32" t="inlineStr"/>
      <c r="U255" s="32" t="inlineStr"/>
      <c r="V255" s="32" t="inlineStr"/>
      <c r="W255" s="32" t="inlineStr"/>
      <c r="X255" s="31" t="inlineStr">
        <is>
          <t>Growing Industry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20 to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Between 0.7 to 1.2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IF(B256=0,"",RANK(B256,$B$2:$B$372,0))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1" t="inlineStr">
        <is>
          <t>ASAHIINDIA</t>
        </is>
      </c>
      <c r="D256" s="31" t="inlineStr">
        <is>
          <t>Asahi India Glass Limited</t>
        </is>
      </c>
      <c r="E256" s="31" t="inlineStr">
        <is>
          <t>building materials</t>
        </is>
      </c>
      <c r="F256" s="31" t="inlineStr">
        <is>
          <t>glass &amp; glass products</t>
        </is>
      </c>
      <c r="G256" s="31" t="inlineStr">
        <is>
          <t>largecap</t>
        </is>
      </c>
      <c r="H256" s="32" t="n">
        <v>24368.49</v>
      </c>
      <c r="I256" s="32" t="n">
        <v>951.15</v>
      </c>
      <c r="J256" s="32" t="n">
        <v>-0.5</v>
      </c>
      <c r="K256" s="32" t="n">
        <v>63807</v>
      </c>
      <c r="L256" s="31" t="inlineStr"/>
      <c r="M256" s="31" t="inlineStr"/>
      <c r="N256" s="32">
        <f>IF(M256="Underperforming",-5,IF(L256&gt;=95,15,IF(L256&gt;=90,10,IF(L256&gt;=80,5,0))))</f>
        <v/>
      </c>
      <c r="O256" s="32" t="n">
        <v>58.84</v>
      </c>
      <c r="P256" s="32" t="n">
        <v>25.35</v>
      </c>
      <c r="Q256" s="32" t="n">
        <v>787.35</v>
      </c>
      <c r="R256" s="31" t="inlineStr">
        <is>
          <t>Earnings / Momentum Support</t>
        </is>
      </c>
      <c r="S256" s="31" t="inlineStr">
        <is>
          <t>Nifty Infra</t>
        </is>
      </c>
      <c r="T256" s="32" t="inlineStr"/>
      <c r="U256" s="32" t="inlineStr"/>
      <c r="V256" s="32" t="inlineStr"/>
      <c r="W256" s="32" t="inlineStr"/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20 to 40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IF(B257=0,"",RANK(B257,$B$2:$B$372,0))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TCPLPACK</t>
        </is>
      </c>
      <c r="D257" s="31" t="inlineStr">
        <is>
          <t>TCPL Packaging Ltd</t>
        </is>
      </c>
      <c r="E257" s="31" t="inlineStr">
        <is>
          <t>industrials</t>
        </is>
      </c>
      <c r="F257" s="31" t="inlineStr">
        <is>
          <t>packaging</t>
        </is>
      </c>
      <c r="G257" s="31" t="inlineStr">
        <is>
          <t>smallcap</t>
        </is>
      </c>
      <c r="H257" s="32" t="n">
        <v>3564.65</v>
      </c>
      <c r="I257" s="32" t="n">
        <v>3895.4</v>
      </c>
      <c r="J257" s="32" t="n">
        <v>-0.5600000000000001</v>
      </c>
      <c r="K257" s="32" t="n">
        <v>5525</v>
      </c>
      <c r="L257" s="31" t="inlineStr"/>
      <c r="M257" s="31" t="inlineStr"/>
      <c r="N257" s="32">
        <f>IF(M257="Underperforming",-5,IF(L257&gt;=95,15,IF(L257&gt;=90,10,IF(L257&gt;=80,5,0))))</f>
        <v/>
      </c>
      <c r="O257" s="32" t="n">
        <v>69.18000000000001</v>
      </c>
      <c r="P257" s="32" t="n">
        <v>34.06</v>
      </c>
      <c r="Q257" s="32" t="n">
        <v>3137.37</v>
      </c>
      <c r="R257" s="31" t="inlineStr">
        <is>
          <t>Earnings / Momentum Support</t>
        </is>
      </c>
      <c r="S257" s="31" t="inlineStr">
        <is>
          <t>Nifty Infra</t>
        </is>
      </c>
      <c r="T257" s="32" t="inlineStr"/>
      <c r="U257" s="32" t="inlineStr"/>
      <c r="V257" s="32" t="inlineStr"/>
      <c r="W257" s="32" t="inlineStr"/>
      <c r="X257" s="31" t="inlineStr">
        <is>
          <t>Cyclical in an Upturn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No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20 to 40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Less than 1.5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Between 0.7 to 1.2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IF(B258=0,"",RANK(B258,$B$2:$B$372,0))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ETERNAL</t>
        </is>
      </c>
      <c r="D258" s="31" t="inlineStr">
        <is>
          <t>Eternal Ltd</t>
        </is>
      </c>
      <c r="E258" s="31" t="inlineStr">
        <is>
          <t>i.t</t>
        </is>
      </c>
      <c r="F258" s="31" t="inlineStr">
        <is>
          <t>miscellaneous</t>
        </is>
      </c>
      <c r="G258" s="31" t="inlineStr">
        <is>
          <t>largecap</t>
        </is>
      </c>
      <c r="H258" s="32" t="n">
        <v>319426.61</v>
      </c>
      <c r="I258" s="32" t="n">
        <v>327</v>
      </c>
      <c r="J258" s="32" t="n">
        <v>-1.21</v>
      </c>
      <c r="K258" s="32" t="n">
        <v>39085600</v>
      </c>
      <c r="L258" s="31" t="n">
        <v>29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67.69</v>
      </c>
      <c r="P258" s="32" t="n">
        <v>22.28</v>
      </c>
      <c r="Q258" s="32" t="n">
        <v>267.24</v>
      </c>
      <c r="R258" s="31" t="inlineStr">
        <is>
          <t>Earnings / Momentum Support</t>
        </is>
      </c>
      <c r="S258" s="31" t="inlineStr">
        <is>
          <t>Nifty IT</t>
        </is>
      </c>
      <c r="T258" s="32" t="n">
        <v>-13.82</v>
      </c>
      <c r="U258" s="32" t="n">
        <v>4.16</v>
      </c>
      <c r="V258" s="32" t="n">
        <v>20.86</v>
      </c>
      <c r="W258" s="32" t="n">
        <v>8.08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Yes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Above 70%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IF(B259=0,"",RANK(B259,$B$2:$B$372,0))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1" t="inlineStr">
        <is>
          <t>VRLLOG</t>
        </is>
      </c>
      <c r="D259" s="31" t="inlineStr">
        <is>
          <t>Vrl Logistics Limited</t>
        </is>
      </c>
      <c r="E259" s="31" t="inlineStr">
        <is>
          <t>transportation</t>
        </is>
      </c>
      <c r="F259" s="31" t="inlineStr">
        <is>
          <t>miscellaneous</t>
        </is>
      </c>
      <c r="G259" s="31" t="inlineStr">
        <is>
          <t>midcap</t>
        </is>
      </c>
      <c r="H259" s="32" t="n">
        <v>5072.3</v>
      </c>
      <c r="I259" s="32" t="n">
        <v>286.25</v>
      </c>
      <c r="J259" s="32" t="n">
        <v>-1.28</v>
      </c>
      <c r="K259" s="32" t="n">
        <v>131375</v>
      </c>
      <c r="L259" s="31" t="n">
        <v>25</v>
      </c>
      <c r="M259" s="31" t="inlineStr">
        <is>
          <t>Outperforming</t>
        </is>
      </c>
      <c r="N259" s="32">
        <f>IF(M259="Underperforming",-5,IF(L259&gt;=95,15,IF(L259&gt;=90,10,IF(L259&gt;=80,5,0))))</f>
        <v/>
      </c>
      <c r="O259" s="32" t="n">
        <v>61.73</v>
      </c>
      <c r="P259" s="32" t="n">
        <v>19.25</v>
      </c>
      <c r="Q259" s="32" t="n">
        <v>243.05</v>
      </c>
      <c r="R259" s="31" t="inlineStr">
        <is>
          <t>Near 52W High Breakout</t>
        </is>
      </c>
      <c r="S259" s="31" t="inlineStr">
        <is>
          <t>Nifty 50</t>
        </is>
      </c>
      <c r="T259" s="32" t="n">
        <v>-0.9</v>
      </c>
      <c r="U259" s="32" t="n">
        <v>10.2</v>
      </c>
      <c r="V259" s="32" t="n">
        <v>11.19</v>
      </c>
      <c r="W259" s="32" t="n">
        <v>7.18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Yes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0 to 20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Less than 1.5</t>
        </is>
      </c>
      <c r="BU259" s="31">
        <f>IF(BT259="Above 2",0,IF(BT259="Between 1.5 to 2",5,IF(BT259="Less than 1.5",10,0)))</f>
        <v/>
      </c>
      <c r="BV259" s="31" t="inlineStr">
        <is>
          <t>Above 70%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Between 0.7 to 1.2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IF(B260=0,"",RANK(B260,$B$2:$B$372,0))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1" t="inlineStr">
        <is>
          <t>UNIVASTU</t>
        </is>
      </c>
      <c r="D260" s="31" t="inlineStr">
        <is>
          <t>Univastu India Ltd</t>
        </is>
      </c>
      <c r="E260" s="31" t="inlineStr">
        <is>
          <t>realty</t>
        </is>
      </c>
      <c r="F260" s="31" t="inlineStr">
        <is>
          <t>construction</t>
        </is>
      </c>
      <c r="G260" s="31" t="inlineStr">
        <is>
          <t>smallcap</t>
        </is>
      </c>
      <c r="H260" s="32" t="n">
        <v>611.0700000000001</v>
      </c>
      <c r="I260" s="32" t="n">
        <v>158</v>
      </c>
      <c r="J260" s="32" t="n">
        <v>-2.29</v>
      </c>
      <c r="K260" s="32" t="n">
        <v>121270</v>
      </c>
      <c r="L260" s="31" t="inlineStr"/>
      <c r="M260" s="31" t="inlineStr"/>
      <c r="N260" s="32">
        <f>IF(M260="Underperforming",-5,IF(L260&gt;=95,15,IF(L260&gt;=90,10,IF(L260&gt;=80,5,0))))</f>
        <v/>
      </c>
      <c r="O260" s="32" t="n">
        <v>77.38</v>
      </c>
      <c r="P260" s="32" t="n">
        <v>74.45999999999999</v>
      </c>
      <c r="Q260" s="32" t="n">
        <v>130.73</v>
      </c>
      <c r="R260" s="31" t="inlineStr">
        <is>
          <t>Earnings / Momentum Support</t>
        </is>
      </c>
      <c r="S260" s="31" t="inlineStr">
        <is>
          <t>Nifty Realty</t>
        </is>
      </c>
      <c r="T260" s="32" t="inlineStr"/>
      <c r="U260" s="32" t="inlineStr"/>
      <c r="V260" s="32" t="inlineStr"/>
      <c r="W260" s="32" t="inlineStr"/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Above 40</t>
        </is>
      </c>
      <c r="AY260" s="31">
        <f>IF(AX260="Above 40",20,IF(AX260="20 to 40",10,IF(AX260="0 to 20",-5,0)))</f>
        <v/>
      </c>
      <c r="AZ260" s="31" t="inlineStr">
        <is>
          <t>Above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IF(B261=0,"",RANK(B261,$B$2:$B$372,0))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3" t="inlineStr">
        <is>
          <t>SURAKSHA</t>
        </is>
      </c>
      <c r="D261" s="33" t="inlineStr">
        <is>
          <t>Suraksha Diagnostic Ltd</t>
        </is>
      </c>
      <c r="E261" s="31" t="inlineStr">
        <is>
          <t>healthcare</t>
        </is>
      </c>
      <c r="F261" s="31" t="inlineStr">
        <is>
          <t>healthcare</t>
        </is>
      </c>
      <c r="G261" s="31" t="inlineStr">
        <is>
          <t>smallcap</t>
        </is>
      </c>
      <c r="H261" s="32" t="n">
        <v>1655.39</v>
      </c>
      <c r="I261" s="32" t="n">
        <v>338.75</v>
      </c>
      <c r="J261" s="32" t="n">
        <v>6.58</v>
      </c>
      <c r="K261" s="32" t="n">
        <v>364671</v>
      </c>
      <c r="L261" s="31" t="n">
        <v>23</v>
      </c>
      <c r="M261" s="31" t="inlineStr">
        <is>
          <t>Underperforming</t>
        </is>
      </c>
      <c r="N261" s="32">
        <f>IF(M261="Underperforming",-5,IF(L261&gt;=95,15,IF(L261&gt;=90,10,IF(L261&gt;=80,5,0))))</f>
        <v/>
      </c>
      <c r="O261" s="32" t="n">
        <v>68.86</v>
      </c>
      <c r="P261" s="32" t="n">
        <v>16.27</v>
      </c>
      <c r="Q261" s="32" t="n">
        <v>265.77</v>
      </c>
      <c r="R261" s="31" t="inlineStr">
        <is>
          <t>Near 52W High Breakout</t>
        </is>
      </c>
      <c r="S261" s="31" t="inlineStr">
        <is>
          <t>Nifty Pharma</t>
        </is>
      </c>
      <c r="T261" s="32" t="n">
        <v>22.12</v>
      </c>
      <c r="U261" s="32" t="n">
        <v>13.56</v>
      </c>
      <c r="V261" s="32" t="n">
        <v>-7.01</v>
      </c>
      <c r="W261" s="32" t="n">
        <v>6.64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Yes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Yes</t>
        </is>
      </c>
      <c r="AQ261" s="31">
        <f>IF(AP261="Yes",10,0)</f>
        <v/>
      </c>
      <c r="AR261" s="31" t="inlineStr">
        <is>
          <t>Higher Annuity, Lower One Time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Less than 1.5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IF(B262=0,"",RANK(B262,$B$2:$B$372,0))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3" t="inlineStr">
        <is>
          <t>MEDANTA</t>
        </is>
      </c>
      <c r="D262" s="33" t="inlineStr">
        <is>
          <t>Global Health Ltd</t>
        </is>
      </c>
      <c r="E262" s="31" t="inlineStr">
        <is>
          <t>healthcare</t>
        </is>
      </c>
      <c r="F262" s="31" t="inlineStr">
        <is>
          <t>healthcare</t>
        </is>
      </c>
      <c r="G262" s="31" t="inlineStr">
        <is>
          <t>largecap</t>
        </is>
      </c>
      <c r="H262" s="32" t="n">
        <v>37760.35</v>
      </c>
      <c r="I262" s="32" t="n">
        <v>1458.9</v>
      </c>
      <c r="J262" s="32" t="n">
        <v>3.88</v>
      </c>
      <c r="K262" s="32" t="n">
        <v>653800</v>
      </c>
      <c r="L262" s="31" t="n">
        <v>22</v>
      </c>
      <c r="M262" s="31" t="inlineStr">
        <is>
          <t>Underperforming</t>
        </is>
      </c>
      <c r="N262" s="32">
        <f>IF(M262="Underperforming",-5,IF(L262&gt;=95,15,IF(L262&gt;=90,10,IF(L262&gt;=80,5,0))))</f>
        <v/>
      </c>
      <c r="O262" s="32" t="n">
        <v>68.83</v>
      </c>
      <c r="P262" s="32" t="n">
        <v>25.17</v>
      </c>
      <c r="Q262" s="32" t="n">
        <v>1225.86</v>
      </c>
      <c r="R262" s="31" t="inlineStr">
        <is>
          <t>Near 52W High Breakout</t>
        </is>
      </c>
      <c r="S262" s="31" t="inlineStr">
        <is>
          <t>Nifty Pharma</t>
        </is>
      </c>
      <c r="T262" s="32" t="n">
        <v>22.12</v>
      </c>
      <c r="U262" s="32" t="n">
        <v>6.22</v>
      </c>
      <c r="V262" s="32" t="n">
        <v>-13.02</v>
      </c>
      <c r="W262" s="32" t="n">
        <v>6.4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Yes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Yes</t>
        </is>
      </c>
      <c r="AQ262" s="31">
        <f>IF(AP262="Yes",10,0)</f>
        <v/>
      </c>
      <c r="AR262" s="31" t="inlineStr">
        <is>
          <t>Higher Annuity, Lower One Time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Blue sky scenario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Less than 12%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IF(B263=0,"",RANK(B263,$B$2:$B$372,0))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3" t="inlineStr">
        <is>
          <t>GLAXO</t>
        </is>
      </c>
      <c r="D263" s="33" t="inlineStr">
        <is>
          <t>Glaxosmithkline Pharmaceuticals Limited</t>
        </is>
      </c>
      <c r="E263" s="31" t="inlineStr">
        <is>
          <t>healthcare</t>
        </is>
      </c>
      <c r="F263" s="31" t="inlineStr">
        <is>
          <t>pharmaceuticals - multinational</t>
        </is>
      </c>
      <c r="G263" s="31" t="inlineStr">
        <is>
          <t>largecap</t>
        </is>
      </c>
      <c r="H263" s="32" t="n">
        <v>50201.78</v>
      </c>
      <c r="I263" s="32" t="n">
        <v>3034.4</v>
      </c>
      <c r="J263" s="32" t="n">
        <v>2.4</v>
      </c>
      <c r="K263" s="32" t="n">
        <v>152381</v>
      </c>
      <c r="L263" s="31" t="n">
        <v>43</v>
      </c>
      <c r="M263" s="31" t="inlineStr">
        <is>
          <t>Underperforming</t>
        </is>
      </c>
      <c r="N263" s="32">
        <f>IF(M263="Underperforming",-5,IF(L263&gt;=95,15,IF(L263&gt;=90,10,IF(L263&gt;=80,5,0))))</f>
        <v/>
      </c>
      <c r="O263" s="32" t="n">
        <v>73.78</v>
      </c>
      <c r="P263" s="32" t="n">
        <v>24.78</v>
      </c>
      <c r="Q263" s="32" t="n">
        <v>2551.41</v>
      </c>
      <c r="R263" s="31" t="inlineStr">
        <is>
          <t>Near 52W High Breakout</t>
        </is>
      </c>
      <c r="S263" s="31" t="inlineStr">
        <is>
          <t>Nifty Pharma</t>
        </is>
      </c>
      <c r="T263" s="32" t="n">
        <v>22.12</v>
      </c>
      <c r="U263" s="32" t="n">
        <v>11.73</v>
      </c>
      <c r="V263" s="32" t="n">
        <v>-8.51</v>
      </c>
      <c r="W263" s="32" t="n">
        <v>11.01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Yes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Yes</t>
        </is>
      </c>
      <c r="AQ263" s="31">
        <f>IF(AP263="Yes",10,0)</f>
        <v/>
      </c>
      <c r="AR263" s="31" t="inlineStr">
        <is>
          <t>Higher Annuity, Lower One Time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20 to 40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Between 12 to 20%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IF(B264=0,"",RANK(B264,$B$2:$B$372,0))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3" t="inlineStr">
        <is>
          <t>CONCORDBIO</t>
        </is>
      </c>
      <c r="D264" s="33" t="inlineStr">
        <is>
          <t>Concord Biotech Ltd</t>
        </is>
      </c>
      <c r="E264" s="31" t="inlineStr">
        <is>
          <t>healthcare</t>
        </is>
      </c>
      <c r="F264" s="31" t="inlineStr">
        <is>
          <t>pharmaceuticals - indian - bulk drugs &amp; formln</t>
        </is>
      </c>
      <c r="G264" s="31" t="inlineStr">
        <is>
          <t>midcap</t>
        </is>
      </c>
      <c r="H264" s="32" t="n">
        <v>16194.59</v>
      </c>
      <c r="I264" s="32" t="n">
        <v>1546.1</v>
      </c>
      <c r="J264" s="32" t="n">
        <v>-0.12</v>
      </c>
      <c r="K264" s="32" t="n">
        <v>74282</v>
      </c>
      <c r="L264" s="31" t="n">
        <v>40</v>
      </c>
      <c r="M264" s="31" t="inlineStr">
        <is>
          <t>Underperforming</t>
        </is>
      </c>
      <c r="N264" s="32">
        <f>IF(M264="Underperforming",-5,IF(L264&gt;=95,15,IF(L264&gt;=90,10,IF(L264&gt;=80,5,0))))</f>
        <v/>
      </c>
      <c r="O264" s="32" t="n">
        <v>62.48</v>
      </c>
      <c r="P264" s="32" t="n">
        <v>20.73</v>
      </c>
      <c r="Q264" s="32" t="n">
        <v>1216.67</v>
      </c>
      <c r="R264" s="31" t="inlineStr">
        <is>
          <t>Earnings / Momentum Support</t>
        </is>
      </c>
      <c r="S264" s="31" t="inlineStr">
        <is>
          <t>Nifty Pharma</t>
        </is>
      </c>
      <c r="T264" s="32" t="n">
        <v>22.12</v>
      </c>
      <c r="U264" s="32" t="n">
        <v>-7.16</v>
      </c>
      <c r="V264" s="32" t="n">
        <v>-23.97</v>
      </c>
      <c r="W264" s="32" t="n">
        <v>10.45</v>
      </c>
      <c r="X264" s="31" t="inlineStr">
        <is>
          <t>Growing Industry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Yes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Annuity, Lower One Time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More than 20%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Yes</t>
        </is>
      </c>
      <c r="BS264" s="31">
        <f>IF(BR264="NO",5,0)</f>
        <v/>
      </c>
      <c r="BT264" s="31" t="inlineStr">
        <is>
          <t>Between 1.5 to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IF(B265=0,"",RANK(B265,$B$2:$B$372,0))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3" t="inlineStr">
        <is>
          <t>WINDLAS</t>
        </is>
      </c>
      <c r="D265" s="33" t="inlineStr">
        <is>
          <t>Windlas Biotech Ltd</t>
        </is>
      </c>
      <c r="E265" s="31" t="inlineStr">
        <is>
          <t>healthcare</t>
        </is>
      </c>
      <c r="F265" s="31" t="inlineStr">
        <is>
          <t>pharmaceuticals - indian - formulations</t>
        </is>
      </c>
      <c r="G265" s="31" t="inlineStr">
        <is>
          <t>smallcap</t>
        </is>
      </c>
      <c r="H265" s="32" t="n">
        <v>2044.95</v>
      </c>
      <c r="I265" s="32" t="n">
        <v>975</v>
      </c>
      <c r="J265" s="32" t="n">
        <v>-1.61</v>
      </c>
      <c r="K265" s="32" t="n">
        <v>147063</v>
      </c>
      <c r="L265" s="31" t="n">
        <v>14</v>
      </c>
      <c r="M265" s="31" t="inlineStr">
        <is>
          <t>Underperforming</t>
        </is>
      </c>
      <c r="N265" s="32">
        <f>IF(M265="Underperforming",-5,IF(L265&gt;=95,15,IF(L265&gt;=90,10,IF(L265&gt;=80,5,0))))</f>
        <v/>
      </c>
      <c r="O265" s="32" t="n">
        <v>67.23</v>
      </c>
      <c r="P265" s="32" t="n">
        <v>21.93</v>
      </c>
      <c r="Q265" s="32" t="n">
        <v>787.12</v>
      </c>
      <c r="R265" s="31" t="inlineStr">
        <is>
          <t>Near 52W High Breakout</t>
        </is>
      </c>
      <c r="S265" s="31" t="inlineStr">
        <is>
          <t>Nifty Pharma</t>
        </is>
      </c>
      <c r="T265" s="32" t="n">
        <v>22.12</v>
      </c>
      <c r="U265" s="32" t="n">
        <v>-1.26</v>
      </c>
      <c r="V265" s="32" t="n">
        <v>-19.14</v>
      </c>
      <c r="W265" s="32" t="n">
        <v>4.37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Yes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Yes</t>
        </is>
      </c>
      <c r="AQ265" s="31">
        <f>IF(AP265="Yes",10,0)</f>
        <v/>
      </c>
      <c r="AR265" s="31" t="inlineStr">
        <is>
          <t>Higher Annuity, Lower One Time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20 to 40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2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Less than 12%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IF(B266=0,"",RANK(B266,$B$2:$B$372,0))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1" t="inlineStr">
        <is>
          <t>BAJAJHIND</t>
        </is>
      </c>
      <c r="D266" s="31" t="inlineStr">
        <is>
          <t>Bajaj Hindusthan Sugar Limited</t>
        </is>
      </c>
      <c r="E266" s="31" t="inlineStr">
        <is>
          <t>fmcg</t>
        </is>
      </c>
      <c r="F266" s="31" t="inlineStr">
        <is>
          <t>sugar</t>
        </is>
      </c>
      <c r="G266" s="31" t="inlineStr">
        <is>
          <t>midcap</t>
        </is>
      </c>
      <c r="H266" s="32" t="n">
        <v>5453.11</v>
      </c>
      <c r="I266" s="32" t="n">
        <v>21.78</v>
      </c>
      <c r="J266" s="32" t="n">
        <v>-4.52</v>
      </c>
      <c r="K266" s="32" t="n">
        <v>93415316</v>
      </c>
      <c r="L266" s="31" t="inlineStr"/>
      <c r="M266" s="31" t="inlineStr"/>
      <c r="N266" s="32">
        <f>IF(M266="Underperforming",-5,IF(L266&gt;=95,15,IF(L266&gt;=90,10,IF(L266&gt;=80,5,0))))</f>
        <v/>
      </c>
      <c r="O266" s="32" t="n">
        <v>61.97</v>
      </c>
      <c r="P266" s="32" t="n">
        <v>14.25</v>
      </c>
      <c r="Q266" s="32" t="n">
        <v>17.03</v>
      </c>
      <c r="R266" s="31" t="inlineStr">
        <is>
          <t>Volume Spike / Accumulation</t>
        </is>
      </c>
      <c r="S266" s="31" t="inlineStr">
        <is>
          <t>Nifty FMCG</t>
        </is>
      </c>
      <c r="T266" s="32" t="inlineStr"/>
      <c r="U266" s="32" t="inlineStr"/>
      <c r="V266" s="32" t="inlineStr"/>
      <c r="W266" s="32" t="inlineStr"/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B2C</t>
        </is>
      </c>
      <c r="AO266" s="31">
        <f>IF(AN266="B2C",10,IF(AN266="B2B",5,0))</f>
        <v/>
      </c>
      <c r="AP266" s="31" t="inlineStr">
        <is>
          <t>Yes</t>
        </is>
      </c>
      <c r="AQ266" s="31">
        <f>IF(AP266="Yes",10,0)</f>
        <v/>
      </c>
      <c r="AR266" s="31" t="inlineStr">
        <is>
          <t>Higher Annuity, Lower One Time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No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Between 0.7 to 1.2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IF(B267=0,"",RANK(B267,$B$2:$B$372,0))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3" t="inlineStr">
        <is>
          <t>FOSECOIND</t>
        </is>
      </c>
      <c r="D267" s="33" t="inlineStr">
        <is>
          <t>Foseco India Limited</t>
        </is>
      </c>
      <c r="E267" s="31" t="inlineStr">
        <is>
          <t>chemicals</t>
        </is>
      </c>
      <c r="F267" s="31" t="inlineStr">
        <is>
          <t>chemicals</t>
        </is>
      </c>
      <c r="G267" s="31" t="inlineStr">
        <is>
          <t>smallcap</t>
        </is>
      </c>
      <c r="H267" s="32" t="n">
        <v>4232.55</v>
      </c>
      <c r="I267" s="32" t="n">
        <v>6047</v>
      </c>
      <c r="J267" s="32" t="n">
        <v>7.68</v>
      </c>
      <c r="K267" s="32" t="n">
        <v>35642</v>
      </c>
      <c r="L267" s="31" t="n">
        <v>17</v>
      </c>
      <c r="M267" s="31" t="inlineStr">
        <is>
          <t>Underperforming</t>
        </is>
      </c>
      <c r="N267" s="32">
        <f>IF(M267="Underperforming",-5,IF(L267&gt;=95,15,IF(L267&gt;=90,10,IF(L267&gt;=80,5,0))))</f>
        <v/>
      </c>
      <c r="O267" s="32" t="n">
        <v>67.25</v>
      </c>
      <c r="P267" s="32" t="n">
        <v>21.49</v>
      </c>
      <c r="Q267" s="32" t="n">
        <v>4769</v>
      </c>
      <c r="R267" s="31" t="inlineStr">
        <is>
          <t>Volume Spike / Accumulation</t>
        </is>
      </c>
      <c r="S267" s="31" t="inlineStr">
        <is>
          <t>Nifty 50</t>
        </is>
      </c>
      <c r="T267" s="32" t="n">
        <v>-0.9</v>
      </c>
      <c r="U267" s="32" t="n">
        <v>-2.01</v>
      </c>
      <c r="V267" s="32" t="n">
        <v>-1.12</v>
      </c>
      <c r="W267" s="32" t="n">
        <v>4.94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20 to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Less than 12%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Yes</t>
        </is>
      </c>
      <c r="BS267" s="31">
        <f>IF(BR267="NO",5,0)</f>
        <v/>
      </c>
      <c r="BT267" s="31" t="inlineStr">
        <is>
          <t>Above 2</t>
        </is>
      </c>
      <c r="BU267" s="31">
        <f>IF(BT267="Above 2",0,IF(BT267="Between 1.5 to 2",5,IF(BT267="Less than 1.5",10,0)))</f>
        <v/>
      </c>
      <c r="BV267" s="31" t="inlineStr">
        <is>
          <t>Above 70%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IF(B268=0,"",RANK(B268,$B$2:$B$372,0))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VSSL</t>
        </is>
      </c>
      <c r="D268" s="31" t="inlineStr">
        <is>
          <t>Vardhman Special Steels Limited</t>
        </is>
      </c>
      <c r="E268" s="31" t="inlineStr">
        <is>
          <t>metals &amp; mining</t>
        </is>
      </c>
      <c r="F268" s="31" t="inlineStr">
        <is>
          <t>steel - medium / small</t>
        </is>
      </c>
      <c r="G268" s="31" t="inlineStr">
        <is>
          <t>smallcap</t>
        </is>
      </c>
      <c r="H268" s="32" t="n">
        <v>3331.31</v>
      </c>
      <c r="I268" s="32" t="n">
        <v>367.75</v>
      </c>
      <c r="J268" s="32" t="n">
        <v>6.73</v>
      </c>
      <c r="K268" s="32" t="n">
        <v>402654</v>
      </c>
      <c r="L268" s="31" t="inlineStr"/>
      <c r="M268" s="31" t="inlineStr"/>
      <c r="N268" s="32">
        <f>IF(M268="Underperforming",-5,IF(L268&gt;=95,15,IF(L268&gt;=90,10,IF(L268&gt;=80,5,0))))</f>
        <v/>
      </c>
      <c r="O268" s="32" t="n">
        <v>77.52</v>
      </c>
      <c r="P268" s="32" t="n">
        <v>31.22</v>
      </c>
      <c r="Q268" s="32" t="n">
        <v>294.49</v>
      </c>
      <c r="R268" s="31" t="inlineStr">
        <is>
          <t>Near 52W High Breakout</t>
        </is>
      </c>
      <c r="S268" s="31" t="inlineStr">
        <is>
          <t>Nifty Metal</t>
        </is>
      </c>
      <c r="T268" s="32" t="inlineStr"/>
      <c r="U268" s="32" t="inlineStr"/>
      <c r="V268" s="32" t="inlineStr"/>
      <c r="W268" s="32" t="inlineStr"/>
      <c r="X268" s="31" t="inlineStr">
        <is>
          <t>Cyclical in an Upturn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Cyclical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Volatile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20 to 40</t>
        </is>
      </c>
      <c r="AY268" s="31">
        <f>IF(AX268="Above 40",20,IF(AX268="20 to 40",10,IF(AX268="0 to 20",-5,0)))</f>
        <v/>
      </c>
      <c r="AZ268" s="31" t="inlineStr">
        <is>
          <t>Above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Blue sky scenario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IF(B269=0,"",RANK(B269,$B$2:$B$372,0))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SAIL</t>
        </is>
      </c>
      <c r="D269" s="31" t="inlineStr">
        <is>
          <t>Steel Authority Of India Limited</t>
        </is>
      </c>
      <c r="E269" s="31" t="inlineStr">
        <is>
          <t>metals &amp; mining</t>
        </is>
      </c>
      <c r="F269" s="31" t="inlineStr">
        <is>
          <t>steel - large</t>
        </is>
      </c>
      <c r="G269" s="31" t="inlineStr">
        <is>
          <t>largecap</t>
        </is>
      </c>
      <c r="H269" s="32" t="n">
        <v>76245.37</v>
      </c>
      <c r="I269" s="32" t="n">
        <v>194.9</v>
      </c>
      <c r="J269" s="32" t="n">
        <v>5.59</v>
      </c>
      <c r="K269" s="32" t="n">
        <v>44557885</v>
      </c>
      <c r="L269" s="31" t="inlineStr"/>
      <c r="M269" s="31" t="inlineStr"/>
      <c r="N269" s="32">
        <f>IF(M269="Underperforming",-5,IF(L269&gt;=95,15,IF(L269&gt;=90,10,IF(L269&gt;=80,5,0))))</f>
        <v/>
      </c>
      <c r="O269" s="32" t="n">
        <v>63.85</v>
      </c>
      <c r="P269" s="32" t="n">
        <v>24.05</v>
      </c>
      <c r="Q269" s="32" t="n">
        <v>163.26</v>
      </c>
      <c r="R269" s="31" t="inlineStr">
        <is>
          <t>Volume Spike &amp; Near 52W High Breakout</t>
        </is>
      </c>
      <c r="S269" s="31" t="inlineStr">
        <is>
          <t>Nifty Metal</t>
        </is>
      </c>
      <c r="T269" s="32" t="inlineStr"/>
      <c r="U269" s="32" t="inlineStr"/>
      <c r="V269" s="32" t="inlineStr"/>
      <c r="W269" s="32" t="inlineStr"/>
      <c r="X269" s="31" t="inlineStr">
        <is>
          <t>Cyclical in an Upturn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Cyclical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Volatile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Yes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20 to 40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Blue sky scenario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More than 20%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Above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IF(B270=0,"",RANK(B270,$B$2:$B$372,0))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ROSSTECH</t>
        </is>
      </c>
      <c r="D270" s="31" t="inlineStr">
        <is>
          <t>Rossell Techsys Ltd</t>
        </is>
      </c>
      <c r="E270" s="31" t="inlineStr">
        <is>
          <t>aerospace &amp; defence</t>
        </is>
      </c>
      <c r="F270" s="31" t="inlineStr">
        <is>
          <t>engineering</t>
        </is>
      </c>
      <c r="G270" s="31" t="inlineStr">
        <is>
          <t>smallcap</t>
        </is>
      </c>
      <c r="H270" s="32" t="n">
        <v>3959.45</v>
      </c>
      <c r="I270" s="32" t="n">
        <v>1099.95</v>
      </c>
      <c r="J270" s="32" t="n">
        <v>4.72</v>
      </c>
      <c r="K270" s="32" t="n">
        <v>385588</v>
      </c>
      <c r="L270" s="31" t="n">
        <v>48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63.91</v>
      </c>
      <c r="P270" s="32" t="n">
        <v>28.83</v>
      </c>
      <c r="Q270" s="32" t="n">
        <v>769.84</v>
      </c>
      <c r="R270" s="31" t="inlineStr">
        <is>
          <t>Near 52W High Breakout</t>
        </is>
      </c>
      <c r="S270" s="31" t="inlineStr">
        <is>
          <t>Nifty 50</t>
        </is>
      </c>
      <c r="T270" s="32" t="n">
        <v>-0.9</v>
      </c>
      <c r="U270" s="32" t="n">
        <v>63.76</v>
      </c>
      <c r="V270" s="32" t="n">
        <v>65.25</v>
      </c>
      <c r="W270" s="32" t="n">
        <v>12.58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Tailwind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Yes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20 to 40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Blue sky scenario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More than 1.2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IF(B271=0,"",RANK(B271,$B$2:$B$372,0))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SUNDRMFAST</t>
        </is>
      </c>
      <c r="D271" s="31" t="inlineStr">
        <is>
          <t>Sundram Fasteners Limited</t>
        </is>
      </c>
      <c r="E271" s="31" t="inlineStr">
        <is>
          <t>auto</t>
        </is>
      </c>
      <c r="F271" s="31" t="inlineStr">
        <is>
          <t>auto ancillaries</t>
        </is>
      </c>
      <c r="G271" s="31" t="inlineStr">
        <is>
          <t>largecap</t>
        </is>
      </c>
      <c r="H271" s="32" t="n">
        <v>25362.49</v>
      </c>
      <c r="I271" s="32" t="n">
        <v>1237.95</v>
      </c>
      <c r="J271" s="32" t="n">
        <v>2.56</v>
      </c>
      <c r="K271" s="32" t="n">
        <v>208899</v>
      </c>
      <c r="L271" s="31" t="inlineStr"/>
      <c r="M271" s="31" t="inlineStr"/>
      <c r="N271" s="32">
        <f>IF(M271="Underperforming",-5,IF(L271&gt;=95,15,IF(L271&gt;=90,10,IF(L271&gt;=80,5,0))))</f>
        <v/>
      </c>
      <c r="O271" s="32" t="n">
        <v>82.5</v>
      </c>
      <c r="P271" s="32" t="n">
        <v>31.05</v>
      </c>
      <c r="Q271" s="32" t="n">
        <v>1058.82</v>
      </c>
      <c r="R271" s="31" t="inlineStr">
        <is>
          <t>Near 52W High Breakout</t>
        </is>
      </c>
      <c r="S271" s="31" t="inlineStr">
        <is>
          <t>Nifty Auto</t>
        </is>
      </c>
      <c r="T271" s="32" t="inlineStr"/>
      <c r="U271" s="32" t="inlineStr"/>
      <c r="V271" s="32" t="inlineStr"/>
      <c r="W271" s="32" t="inlineStr"/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Above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Between 12 to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Above 70%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IF(B272=0,"",RANK(B272,$B$2:$B$372,0))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EMIL</t>
        </is>
      </c>
      <c r="D272" s="31" t="inlineStr">
        <is>
          <t>Electronics Mart India Ltd</t>
        </is>
      </c>
      <c r="E272" s="31" t="inlineStr">
        <is>
          <t>consumer discretionary</t>
        </is>
      </c>
      <c r="F272" s="31" t="inlineStr">
        <is>
          <t>trading</t>
        </is>
      </c>
      <c r="G272" s="31" t="inlineStr">
        <is>
          <t>midcap</t>
        </is>
      </c>
      <c r="H272" s="32" t="n">
        <v>6938.56</v>
      </c>
      <c r="I272" s="32" t="n">
        <v>184.54</v>
      </c>
      <c r="J272" s="32" t="n">
        <v>2.33</v>
      </c>
      <c r="K272" s="32" t="n">
        <v>1280819</v>
      </c>
      <c r="L272" s="31" t="n">
        <v>79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74.18000000000001</v>
      </c>
      <c r="P272" s="32" t="n">
        <v>32.59</v>
      </c>
      <c r="Q272" s="32" t="n">
        <v>145.56</v>
      </c>
      <c r="R272" s="31" t="inlineStr">
        <is>
          <t>Near 52W High Breakout</t>
        </is>
      </c>
      <c r="S272" s="31" t="inlineStr">
        <is>
          <t>Nifty 50</t>
        </is>
      </c>
      <c r="T272" s="32" t="n">
        <v>-0.9</v>
      </c>
      <c r="U272" s="32" t="n">
        <v>47.47</v>
      </c>
      <c r="V272" s="32" t="n">
        <v>48.8</v>
      </c>
      <c r="W272" s="32" t="n">
        <v>23.41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20 to 40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More than 20%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No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Above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More than 1.2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IF(B273=0,"",RANK(B273,$B$2:$B$372,0))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1" t="inlineStr">
        <is>
          <t>SMARTWORKS</t>
        </is>
      </c>
      <c r="D273" s="31" t="inlineStr">
        <is>
          <t>Smartworks Coworking Spaces Ltd</t>
        </is>
      </c>
      <c r="E273" s="31" t="inlineStr">
        <is>
          <t>co-working</t>
        </is>
      </c>
      <c r="F273" s="31" t="inlineStr">
        <is>
          <t>miscellaneous</t>
        </is>
      </c>
      <c r="G273" s="31" t="inlineStr">
        <is>
          <t>midcap</t>
        </is>
      </c>
      <c r="H273" s="32" t="n">
        <v>6173.01</v>
      </c>
      <c r="I273" s="32" t="n">
        <v>542.85</v>
      </c>
      <c r="J273" s="32" t="n">
        <v>0.48</v>
      </c>
      <c r="K273" s="32" t="n">
        <v>105326</v>
      </c>
      <c r="L273" s="31" t="n">
        <v>28</v>
      </c>
      <c r="M273" s="31" t="inlineStr">
        <is>
          <t>Outperforming</t>
        </is>
      </c>
      <c r="N273" s="32">
        <f>IF(M273="Underperforming",-5,IF(L273&gt;=95,15,IF(L273&gt;=90,10,IF(L273&gt;=80,5,0))))</f>
        <v/>
      </c>
      <c r="O273" s="32" t="n">
        <v>64.22</v>
      </c>
      <c r="P273" s="32" t="n">
        <v>31.22</v>
      </c>
      <c r="Q273" s="32" t="n">
        <v>425</v>
      </c>
      <c r="R273" s="31" t="inlineStr">
        <is>
          <t>Earnings / Momentum Support</t>
        </is>
      </c>
      <c r="S273" s="31" t="inlineStr">
        <is>
          <t>Nifty 50</t>
        </is>
      </c>
      <c r="T273" s="32" t="n">
        <v>-0.9</v>
      </c>
      <c r="U273" s="32" t="n">
        <v>10.76</v>
      </c>
      <c r="V273" s="32" t="n">
        <v>11.76</v>
      </c>
      <c r="W273" s="32" t="n">
        <v>7.77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More than 20%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Less than 1.5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More than 1.2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IF(B274=0,"",RANK(B274,$B$2:$B$372,0))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NRAIL</t>
        </is>
      </c>
      <c r="D274" s="31" t="inlineStr">
        <is>
          <t>N R Agarwal Industries Ltd</t>
        </is>
      </c>
      <c r="E274" s="31" t="inlineStr">
        <is>
          <t>building materials</t>
        </is>
      </c>
      <c r="F274" s="31" t="inlineStr">
        <is>
          <t>paper</t>
        </is>
      </c>
      <c r="G274" s="31" t="inlineStr">
        <is>
          <t>smallcap</t>
        </is>
      </c>
      <c r="H274" s="32" t="n">
        <v>867.38</v>
      </c>
      <c r="I274" s="32" t="n">
        <v>512</v>
      </c>
      <c r="J274" s="32" t="n">
        <v>0.46</v>
      </c>
      <c r="K274" s="32" t="n">
        <v>5643</v>
      </c>
      <c r="L274" s="31" t="inlineStr"/>
      <c r="M274" s="31" t="inlineStr"/>
      <c r="N274" s="32">
        <f>IF(M274="Underperforming",-5,IF(L274&gt;=95,15,IF(L274&gt;=90,10,IF(L274&gt;=80,5,0))))</f>
        <v/>
      </c>
      <c r="O274" s="32" t="n">
        <v>57.04</v>
      </c>
      <c r="P274" s="32" t="n">
        <v>26.8</v>
      </c>
      <c r="Q274" s="32" t="n">
        <v>396.1</v>
      </c>
      <c r="R274" s="31" t="inlineStr">
        <is>
          <t>Earnings / Momentum Support</t>
        </is>
      </c>
      <c r="S274" s="31" t="inlineStr">
        <is>
          <t>Nifty Infra</t>
        </is>
      </c>
      <c r="T274" s="32" t="inlineStr"/>
      <c r="U274" s="32" t="inlineStr"/>
      <c r="V274" s="32" t="inlineStr"/>
      <c r="W274" s="32" t="inlineStr"/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Tailwind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20 to 40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2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Between 0.7 to 1.2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IF(B275=0,"",RANK(B275,$B$2:$B$372,0))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BOSCHLTD</t>
        </is>
      </c>
      <c r="D275" s="31" t="inlineStr">
        <is>
          <t>Bosch Limited</t>
        </is>
      </c>
      <c r="E275" s="31" t="inlineStr">
        <is>
          <t>auto</t>
        </is>
      </c>
      <c r="F275" s="31" t="inlineStr">
        <is>
          <t>auto ancillaries</t>
        </is>
      </c>
      <c r="G275" s="31" t="inlineStr">
        <is>
          <t>largecap</t>
        </is>
      </c>
      <c r="H275" s="32" t="n">
        <v>143587.01</v>
      </c>
      <c r="I275" s="32" t="n">
        <v>48895</v>
      </c>
      <c r="J275" s="32" t="n">
        <v>0.44</v>
      </c>
      <c r="K275" s="32" t="n">
        <v>28440</v>
      </c>
      <c r="L275" s="31" t="inlineStr"/>
      <c r="M275" s="31" t="inlineStr"/>
      <c r="N275" s="32">
        <f>IF(M275="Underperforming",-5,IF(L275&gt;=95,15,IF(L275&gt;=90,10,IF(L275&gt;=80,5,0))))</f>
        <v/>
      </c>
      <c r="O275" s="32" t="n">
        <v>75.92</v>
      </c>
      <c r="P275" s="32" t="n">
        <v>36.87</v>
      </c>
      <c r="Q275" s="32" t="n">
        <v>41824.25</v>
      </c>
      <c r="R275" s="31" t="inlineStr">
        <is>
          <t>Near 52W High Breakout</t>
        </is>
      </c>
      <c r="S275" s="31" t="inlineStr">
        <is>
          <t>Nifty Auto</t>
        </is>
      </c>
      <c r="T275" s="32" t="inlineStr"/>
      <c r="U275" s="32" t="inlineStr"/>
      <c r="V275" s="32" t="inlineStr"/>
      <c r="W275" s="32" t="inlineStr"/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Yes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20 to 40</t>
        </is>
      </c>
      <c r="AY275" s="31">
        <f>IF(AX275="Above 40",20,IF(AX275="20 to 40",10,IF(AX275="0 to 20",-5,0)))</f>
        <v/>
      </c>
      <c r="AZ275" s="31" t="inlineStr">
        <is>
          <t>Above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Blue sky scenario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Less than 12%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Yes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IF(B276=0,"",RANK(B276,$B$2:$B$372,0))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MOLDTKPAC</t>
        </is>
      </c>
      <c r="D276" s="31" t="inlineStr">
        <is>
          <t>Mold-tek Packaging Limited</t>
        </is>
      </c>
      <c r="E276" s="31" t="inlineStr">
        <is>
          <t>industrials</t>
        </is>
      </c>
      <c r="F276" s="31" t="inlineStr">
        <is>
          <t>packaging</t>
        </is>
      </c>
      <c r="G276" s="31" t="inlineStr">
        <is>
          <t>smallcap</t>
        </is>
      </c>
      <c r="H276" s="32" t="n">
        <v>2348.62</v>
      </c>
      <c r="I276" s="32" t="n">
        <v>708.65</v>
      </c>
      <c r="J276" s="32" t="n">
        <v>0.26</v>
      </c>
      <c r="K276" s="32" t="n">
        <v>371996</v>
      </c>
      <c r="L276" s="31" t="inlineStr"/>
      <c r="M276" s="31" t="inlineStr"/>
      <c r="N276" s="32">
        <f>IF(M276="Underperforming",-5,IF(L276&gt;=95,15,IF(L276&gt;=90,10,IF(L276&gt;=80,5,0))))</f>
        <v/>
      </c>
      <c r="O276" s="32" t="n">
        <v>58.23</v>
      </c>
      <c r="P276" s="32" t="n">
        <v>27.56</v>
      </c>
      <c r="Q276" s="32" t="n">
        <v>574.8</v>
      </c>
      <c r="R276" s="31" t="inlineStr">
        <is>
          <t>Earnings / Momentum Support</t>
        </is>
      </c>
      <c r="S276" s="31" t="inlineStr">
        <is>
          <t>Nifty Infra</t>
        </is>
      </c>
      <c r="T276" s="32" t="inlineStr"/>
      <c r="U276" s="32" t="inlineStr"/>
      <c r="V276" s="32" t="inlineStr"/>
      <c r="W276" s="32" t="inlineStr"/>
      <c r="X276" s="31" t="inlineStr">
        <is>
          <t>Cyclical in an Upturn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Positive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Between 12 to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Above 2</t>
        </is>
      </c>
      <c r="BU276" s="31">
        <f>IF(BT276="Above 2",0,IF(BT276="Between 1.5 to 2",5,IF(BT276="Less than 1.5",10,0)))</f>
        <v/>
      </c>
      <c r="BV276" s="31" t="inlineStr">
        <is>
          <t>Above 70%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IF(B277=0,"",RANK(B277,$B$2:$B$372,0))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VOLTAMP</t>
        </is>
      </c>
      <c r="D277" s="31" t="inlineStr">
        <is>
          <t>Voltamp Transformers Limited</t>
        </is>
      </c>
      <c r="E277" s="31" t="inlineStr">
        <is>
          <t>industrials</t>
        </is>
      </c>
      <c r="F277" s="31" t="inlineStr">
        <is>
          <t>electric equipment</t>
        </is>
      </c>
      <c r="G277" s="31" t="inlineStr">
        <is>
          <t>midcap</t>
        </is>
      </c>
      <c r="H277" s="32" t="n">
        <v>11102.53</v>
      </c>
      <c r="I277" s="32" t="n">
        <v>10978.5</v>
      </c>
      <c r="J277" s="32" t="n">
        <v>0.04</v>
      </c>
      <c r="K277" s="32" t="n">
        <v>31294</v>
      </c>
      <c r="L277" s="31" t="n">
        <v>42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64.5</v>
      </c>
      <c r="P277" s="32" t="n">
        <v>28.34</v>
      </c>
      <c r="Q277" s="32" t="n">
        <v>8525.43</v>
      </c>
      <c r="R277" s="31" t="inlineStr">
        <is>
          <t>Earnings / Momentum Support</t>
        </is>
      </c>
      <c r="S277" s="31" t="inlineStr">
        <is>
          <t>Nifty 50</t>
        </is>
      </c>
      <c r="T277" s="32" t="n">
        <v>-0.9</v>
      </c>
      <c r="U277" s="32" t="n">
        <v>42.13</v>
      </c>
      <c r="V277" s="32" t="n">
        <v>43.42</v>
      </c>
      <c r="W277" s="32" t="n">
        <v>10.82</v>
      </c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20 to 40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Between 12 to 20%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Above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IF(B278=0,"",RANK(B278,$B$2:$B$372,0))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1" t="inlineStr">
        <is>
          <t>PITTIENG</t>
        </is>
      </c>
      <c r="D278" s="31" t="inlineStr">
        <is>
          <t>Pitti Engineering Ltd</t>
        </is>
      </c>
      <c r="E278" s="31" t="inlineStr">
        <is>
          <t>industrials</t>
        </is>
      </c>
      <c r="F278" s="31" t="inlineStr">
        <is>
          <t>engineering</t>
        </is>
      </c>
      <c r="G278" s="31" t="inlineStr">
        <is>
          <t>smallcap</t>
        </is>
      </c>
      <c r="H278" s="32" t="n">
        <v>4229.63</v>
      </c>
      <c r="I278" s="32" t="n">
        <v>1123.45</v>
      </c>
      <c r="J278" s="32" t="n">
        <v>0.01</v>
      </c>
      <c r="K278" s="32" t="n">
        <v>430626</v>
      </c>
      <c r="L278" s="31" t="n">
        <v>32</v>
      </c>
      <c r="M278" s="31" t="inlineStr">
        <is>
          <t>Outperforming</t>
        </is>
      </c>
      <c r="N278" s="32">
        <f>IF(M278="Underperforming",-5,IF(L278&gt;=95,15,IF(L278&gt;=90,10,IF(L278&gt;=80,5,0))))</f>
        <v/>
      </c>
      <c r="O278" s="32" t="n">
        <v>68.28</v>
      </c>
      <c r="P278" s="32" t="n">
        <v>11.74</v>
      </c>
      <c r="Q278" s="32" t="n">
        <v>884.41</v>
      </c>
      <c r="R278" s="31" t="inlineStr">
        <is>
          <t>Volume Spike &amp; Near 52W High Breakout</t>
        </is>
      </c>
      <c r="S278" s="31" t="inlineStr">
        <is>
          <t>Nifty 50</t>
        </is>
      </c>
      <c r="T278" s="32" t="n">
        <v>-0.9</v>
      </c>
      <c r="U278" s="32" t="n">
        <v>21.37</v>
      </c>
      <c r="V278" s="32" t="n">
        <v>22.47</v>
      </c>
      <c r="W278" s="32" t="n">
        <v>8.35</v>
      </c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Structural (10 Years Consistency)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Stable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More than 20%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Less than 1.5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Between 0.7 to 1.2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IF(B279=0,"",RANK(B279,$B$2:$B$372,0))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GANDHAR</t>
        </is>
      </c>
      <c r="D279" s="31" t="inlineStr">
        <is>
          <t>Gandhar Oil Refinery (India) Ltd</t>
        </is>
      </c>
      <c r="E279" s="31" t="inlineStr">
        <is>
          <t>energy</t>
        </is>
      </c>
      <c r="F279" s="31" t="inlineStr">
        <is>
          <t>refineries</t>
        </is>
      </c>
      <c r="G279" s="31" t="inlineStr">
        <is>
          <t>smallcap</t>
        </is>
      </c>
      <c r="H279" s="32" t="n">
        <v>2500.04</v>
      </c>
      <c r="I279" s="32" t="n">
        <v>255.39</v>
      </c>
      <c r="J279" s="32" t="n">
        <v>-0.01</v>
      </c>
      <c r="K279" s="32" t="n">
        <v>717551</v>
      </c>
      <c r="L279" s="31" t="inlineStr"/>
      <c r="M279" s="31" t="inlineStr"/>
      <c r="N279" s="32">
        <f>IF(M279="Underperforming",-5,IF(L279&gt;=95,15,IF(L279&gt;=90,10,IF(L279&gt;=80,5,0))))</f>
        <v/>
      </c>
      <c r="O279" s="32" t="n">
        <v>67.92</v>
      </c>
      <c r="P279" s="32" t="n">
        <v>68.06999999999999</v>
      </c>
      <c r="Q279" s="32" t="n">
        <v>212.77</v>
      </c>
      <c r="R279" s="31" t="inlineStr">
        <is>
          <t>Earnings / Momentum Support</t>
        </is>
      </c>
      <c r="S279" s="31" t="inlineStr">
        <is>
          <t>Nifty Energy</t>
        </is>
      </c>
      <c r="T279" s="32" t="inlineStr"/>
      <c r="U279" s="32" t="inlineStr"/>
      <c r="V279" s="32" t="inlineStr"/>
      <c r="W279" s="32" t="inlineStr"/>
      <c r="X279" s="31" t="inlineStr">
        <is>
          <t>Cyclical in an Upturn</t>
        </is>
      </c>
      <c r="Y279" s="31">
        <f>IF(X279="Growing Industry",10,IF(X279="Cyclical in an Upturn",5,0))</f>
        <v/>
      </c>
      <c r="Z279" s="31" t="inlineStr">
        <is>
          <t>Oligopoly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Yes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Cyclical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Volatile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Above 40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Less than 1.5</t>
        </is>
      </c>
      <c r="BU279" s="31">
        <f>IF(BT279="Above 2",0,IF(BT279="Between 1.5 to 2",5,IF(BT279="Less than 1.5",10,0)))</f>
        <v/>
      </c>
      <c r="BV279" s="31" t="inlineStr">
        <is>
          <t>Above 70%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IF(B280=0,"",RANK(B280,$B$2:$B$372,0))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DYNAMATECH</t>
        </is>
      </c>
      <c r="D280" s="31" t="inlineStr">
        <is>
          <t>Dynamatic Technologies Limited</t>
        </is>
      </c>
      <c r="E280" s="31" t="inlineStr">
        <is>
          <t>aerospace &amp; defence</t>
        </is>
      </c>
      <c r="F280" s="31" t="inlineStr">
        <is>
          <t>engineering</t>
        </is>
      </c>
      <c r="G280" s="31" t="inlineStr">
        <is>
          <t>midcap</t>
        </is>
      </c>
      <c r="H280" s="32" t="n">
        <v>7819.67</v>
      </c>
      <c r="I280" s="32" t="n">
        <v>11510</v>
      </c>
      <c r="J280" s="32" t="n">
        <v>-0.03</v>
      </c>
      <c r="K280" s="32" t="n">
        <v>13280</v>
      </c>
      <c r="L280" s="31" t="n">
        <v>55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58.34</v>
      </c>
      <c r="P280" s="32" t="n">
        <v>21.64</v>
      </c>
      <c r="Q280" s="32" t="n">
        <v>8445.139999999999</v>
      </c>
      <c r="R280" s="31" t="inlineStr">
        <is>
          <t>Earnings / Momentum Support</t>
        </is>
      </c>
      <c r="S280" s="31" t="inlineStr">
        <is>
          <t>Nifty 50</t>
        </is>
      </c>
      <c r="T280" s="32" t="n">
        <v>-0.9</v>
      </c>
      <c r="U280" s="32" t="n">
        <v>79.16</v>
      </c>
      <c r="V280" s="32" t="n">
        <v>80.78</v>
      </c>
      <c r="W280" s="32" t="n">
        <v>14.05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20 to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Yes</t>
        </is>
      </c>
      <c r="BS280" s="31">
        <f>IF(BR280="NO",5,0)</f>
        <v/>
      </c>
      <c r="BT280" s="31" t="inlineStr">
        <is>
          <t>Between 1.5 to 2</t>
        </is>
      </c>
      <c r="BU280" s="31">
        <f>IF(BT280="Above 2",0,IF(BT280="Between 1.5 to 2",5,IF(BT280="Less than 1.5",10,0)))</f>
        <v/>
      </c>
      <c r="BV280" s="31" t="inlineStr">
        <is>
          <t>Above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Between 0.7 to 1.2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IF(B281=0,"",RANK(B281,$B$2:$B$372,0))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1" t="inlineStr">
        <is>
          <t>ABB</t>
        </is>
      </c>
      <c r="D281" s="31" t="inlineStr">
        <is>
          <t>Abb India Limited</t>
        </is>
      </c>
      <c r="E281" s="31" t="inlineStr">
        <is>
          <t>industrials</t>
        </is>
      </c>
      <c r="F281" s="31" t="inlineStr">
        <is>
          <t>electric equipment</t>
        </is>
      </c>
      <c r="G281" s="31" t="inlineStr">
        <is>
          <t>largecap</t>
        </is>
      </c>
      <c r="H281" s="32" t="n">
        <v>161622.52</v>
      </c>
      <c r="I281" s="32" t="n">
        <v>7609</v>
      </c>
      <c r="J281" s="32" t="n">
        <v>-0.24</v>
      </c>
      <c r="K281" s="32" t="n">
        <v>198105</v>
      </c>
      <c r="L281" s="31" t="n">
        <v>41</v>
      </c>
      <c r="M281" s="31" t="inlineStr">
        <is>
          <t>Outperforming</t>
        </is>
      </c>
      <c r="N281" s="32">
        <f>IF(M281="Underperforming",-5,IF(L281&gt;=95,15,IF(L281&gt;=90,10,IF(L281&gt;=80,5,0))))</f>
        <v/>
      </c>
      <c r="O281" s="32" t="n">
        <v>62.35</v>
      </c>
      <c r="P281" s="32" t="n">
        <v>30.57</v>
      </c>
      <c r="Q281" s="32" t="n">
        <v>6267.96</v>
      </c>
      <c r="R281" s="31" t="inlineStr">
        <is>
          <t>Near 52W High Breakout</t>
        </is>
      </c>
      <c r="S281" s="31" t="inlineStr">
        <is>
          <t>Nifty 500</t>
        </is>
      </c>
      <c r="T281" s="32" t="n">
        <v>4.88</v>
      </c>
      <c r="U281" s="32" t="n">
        <v>54.63</v>
      </c>
      <c r="V281" s="32" t="n">
        <v>47.44</v>
      </c>
      <c r="W281" s="32" t="n">
        <v>10.62</v>
      </c>
      <c r="X281" s="31" t="inlineStr">
        <is>
          <t>Cyclical in an Upturn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Yes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20 to 40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Less than 12%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Above 70%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IF(B282=0,"",RANK(B282,$B$2:$B$372,0))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DIACABS</t>
        </is>
      </c>
      <c r="D282" s="31" t="inlineStr">
        <is>
          <t>Diamond Power Infrastructure Ltd</t>
        </is>
      </c>
      <c r="E282" s="31" t="inlineStr">
        <is>
          <t>industrials</t>
        </is>
      </c>
      <c r="F282" s="31" t="inlineStr">
        <is>
          <t>cables - power</t>
        </is>
      </c>
      <c r="G282" s="31" t="inlineStr">
        <is>
          <t>midcap</t>
        </is>
      </c>
      <c r="H282" s="32" t="n">
        <v>17880.13</v>
      </c>
      <c r="I282" s="32" t="n">
        <v>338.3</v>
      </c>
      <c r="J282" s="32" t="n">
        <v>-0.29</v>
      </c>
      <c r="K282" s="32" t="n">
        <v>1635772</v>
      </c>
      <c r="L282" s="31" t="inlineStr"/>
      <c r="M282" s="31" t="inlineStr"/>
      <c r="N282" s="32">
        <f>IF(M282="Underperforming",-5,IF(L282&gt;=95,15,IF(L282&gt;=90,10,IF(L282&gt;=80,5,0))))</f>
        <v/>
      </c>
      <c r="O282" s="32" t="n">
        <v>76.39</v>
      </c>
      <c r="P282" s="32" t="n">
        <v>64.91</v>
      </c>
      <c r="Q282" s="32" t="n">
        <v>281.58</v>
      </c>
      <c r="R282" s="31" t="inlineStr">
        <is>
          <t>Earnings / Momentum Support</t>
        </is>
      </c>
      <c r="S282" s="31" t="inlineStr">
        <is>
          <t>Nifty Energy</t>
        </is>
      </c>
      <c r="T282" s="32" t="inlineStr"/>
      <c r="U282" s="32" t="inlineStr"/>
      <c r="V282" s="32" t="inlineStr"/>
      <c r="W282" s="32" t="inlineStr"/>
      <c r="X282" s="31" t="inlineStr">
        <is>
          <t>Cyclical in an Upturn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No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Above 40</t>
        </is>
      </c>
      <c r="AY282" s="31">
        <f>IF(AX282="Above 40",20,IF(AX282="20 to 40",10,IF(AX282="0 to 20",-5,0)))</f>
        <v/>
      </c>
      <c r="AZ282" s="31" t="inlineStr">
        <is>
          <t>Above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Positive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Above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IF(B283=0,"",RANK(B283,$B$2:$B$372,0))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1" t="inlineStr">
        <is>
          <t>MBAPL</t>
        </is>
      </c>
      <c r="D283" s="31" t="inlineStr">
        <is>
          <t>Madhya Bharat Agro Products Ltd</t>
        </is>
      </c>
      <c r="E283" s="31" t="inlineStr">
        <is>
          <t>chemicals</t>
        </is>
      </c>
      <c r="F283" s="31" t="inlineStr">
        <is>
          <t>fertilizers</t>
        </is>
      </c>
      <c r="G283" s="31" t="inlineStr">
        <is>
          <t>smallcap</t>
        </is>
      </c>
      <c r="H283" s="32" t="n">
        <v>1476.95</v>
      </c>
      <c r="I283" s="32" t="n">
        <v>167.07</v>
      </c>
      <c r="J283" s="32" t="n">
        <v>-0.88</v>
      </c>
      <c r="K283" s="32" t="n">
        <v>710943</v>
      </c>
      <c r="L283" s="31" t="n">
        <v>88</v>
      </c>
      <c r="M283" s="31" t="inlineStr">
        <is>
          <t>Outperforming</t>
        </is>
      </c>
      <c r="N283" s="32">
        <f>IF(M283="Underperforming",-5,IF(L283&gt;=95,15,IF(L283&gt;=90,10,IF(L283&gt;=80,5,0))))</f>
        <v/>
      </c>
      <c r="O283" s="32" t="n">
        <v>83.43000000000001</v>
      </c>
      <c r="P283" s="32" t="n">
        <v>70.2</v>
      </c>
      <c r="Q283" s="32" t="n">
        <v>136.33</v>
      </c>
      <c r="R283" s="31" t="inlineStr">
        <is>
          <t>Near 52W High Breakout</t>
        </is>
      </c>
      <c r="S283" s="31" t="inlineStr">
        <is>
          <t>Nifty 50</t>
        </is>
      </c>
      <c r="T283" s="32" t="n">
        <v>-0.9</v>
      </c>
      <c r="U283" s="32" t="n">
        <v>98.90000000000001</v>
      </c>
      <c r="V283" s="32" t="n">
        <v>100.7</v>
      </c>
      <c r="W283" s="32" t="n">
        <v>28.22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Yes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Above 40</t>
        </is>
      </c>
      <c r="AY283" s="31">
        <f>IF(AX283="Above 40",20,IF(AX283="20 to 40",10,IF(AX283="0 to 20",-5,0)))</f>
        <v/>
      </c>
      <c r="AZ283" s="31" t="inlineStr">
        <is>
          <t>Above 75</t>
        </is>
      </c>
      <c r="BA283" s="31">
        <f>IF(AZ283="Between 50 to 75",10,IF(AZ283="Above 75",0,0))</f>
        <v/>
      </c>
      <c r="BB283" s="31" t="inlineStr">
        <is>
          <t>Stage 2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Blue sky scenario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Between 12 to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Yes</t>
        </is>
      </c>
      <c r="BS283" s="31">
        <f>IF(BR283="NO",5,0)</f>
        <v/>
      </c>
      <c r="BT283" s="31" t="inlineStr">
        <is>
          <t>Above 2</t>
        </is>
      </c>
      <c r="BU283" s="31">
        <f>IF(BT283="Above 2",0,IF(BT283="Between 1.5 to 2",5,IF(BT283="Less than 1.5",10,0)))</f>
        <v/>
      </c>
      <c r="BV283" s="31" t="inlineStr">
        <is>
          <t>Above 70%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More than 1.2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IF(B284=0,"",RANK(B284,$B$2:$B$372,0))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1" t="inlineStr">
        <is>
          <t>TIIL</t>
        </is>
      </c>
      <c r="D284" s="31" t="inlineStr">
        <is>
          <t>Technocraft Industries (india) Limited</t>
        </is>
      </c>
      <c r="E284" s="31" t="inlineStr">
        <is>
          <t>metals &amp; mining</t>
        </is>
      </c>
      <c r="F284" s="31" t="inlineStr">
        <is>
          <t>steel - medium / small</t>
        </is>
      </c>
      <c r="G284" s="31" t="inlineStr">
        <is>
          <t>midcap</t>
        </is>
      </c>
      <c r="H284" s="32" t="n">
        <v>7833.23</v>
      </c>
      <c r="I284" s="32" t="n">
        <v>3386.6</v>
      </c>
      <c r="J284" s="32" t="n">
        <v>-1.98</v>
      </c>
      <c r="K284" s="32" t="n">
        <v>49098</v>
      </c>
      <c r="L284" s="31" t="inlineStr"/>
      <c r="M284" s="31" t="inlineStr"/>
      <c r="N284" s="32">
        <f>IF(M284="Underperforming",-5,IF(L284&gt;=95,15,IF(L284&gt;=90,10,IF(L284&gt;=80,5,0))))</f>
        <v/>
      </c>
      <c r="O284" s="32" t="n">
        <v>77.52</v>
      </c>
      <c r="P284" s="32" t="n">
        <v>33.03</v>
      </c>
      <c r="Q284" s="32" t="n">
        <v>2699.42</v>
      </c>
      <c r="R284" s="31" t="inlineStr">
        <is>
          <t>Near 52W High Breakout</t>
        </is>
      </c>
      <c r="S284" s="31" t="inlineStr">
        <is>
          <t>Nifty Metal</t>
        </is>
      </c>
      <c r="T284" s="32" t="inlineStr"/>
      <c r="U284" s="32" t="inlineStr"/>
      <c r="V284" s="32" t="inlineStr"/>
      <c r="W284" s="32" t="inlineStr"/>
      <c r="X284" s="31" t="inlineStr">
        <is>
          <t>Cyclical in an Upturn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Cyclical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Volatile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20 to 40</t>
        </is>
      </c>
      <c r="AY284" s="31">
        <f>IF(AX284="Above 40",20,IF(AX284="20 to 40",10,IF(AX284="0 to 20",-5,0)))</f>
        <v/>
      </c>
      <c r="AZ284" s="31" t="inlineStr">
        <is>
          <t>Above 75</t>
        </is>
      </c>
      <c r="BA284" s="31">
        <f>IF(AZ284="Between 50 to 75",10,IF(AZ284="Above 75",0,0))</f>
        <v/>
      </c>
      <c r="BB284" s="31" t="inlineStr">
        <is>
          <t>Stage 2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Blue sky scenario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No</t>
        </is>
      </c>
      <c r="BS284" s="31">
        <f>IF(BR284="NO",5,0)</f>
        <v/>
      </c>
      <c r="BT284" s="31" t="inlineStr">
        <is>
          <t>Less than 1.5</t>
        </is>
      </c>
      <c r="BU284" s="31">
        <f>IF(BT284="Above 2",0,IF(BT284="Between 1.5 to 2",5,IF(BT284="Less than 1.5",10,0)))</f>
        <v/>
      </c>
      <c r="BV284" s="31" t="inlineStr">
        <is>
          <t>Above 70%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Less than 0.7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IF(B285=0,"",RANK(B285,$B$2:$B$372,0))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3" t="inlineStr">
        <is>
          <t>VIDHIING</t>
        </is>
      </c>
      <c r="D285" s="33" t="inlineStr">
        <is>
          <t>Vidhi Specialty Food Ingredients</t>
        </is>
      </c>
      <c r="E285" s="31" t="inlineStr">
        <is>
          <t>chemicals</t>
        </is>
      </c>
      <c r="F285" s="31" t="inlineStr">
        <is>
          <t>dyes and pigments</t>
        </is>
      </c>
      <c r="G285" s="31" t="inlineStr">
        <is>
          <t>smallcap</t>
        </is>
      </c>
      <c r="H285" s="32" t="n">
        <v>1732.34</v>
      </c>
      <c r="I285" s="32" t="n">
        <v>338.5</v>
      </c>
      <c r="J285" s="32" t="n">
        <v>-2.41</v>
      </c>
      <c r="K285" s="32" t="n">
        <v>31713</v>
      </c>
      <c r="L285" s="31" t="n">
        <v>3</v>
      </c>
      <c r="M285" s="31" t="inlineStr">
        <is>
          <t>Underperforming</t>
        </is>
      </c>
      <c r="N285" s="32">
        <f>IF(M285="Underperforming",-5,IF(L285&gt;=95,15,IF(L285&gt;=90,10,IF(L285&gt;=80,5,0))))</f>
        <v/>
      </c>
      <c r="O285" s="32" t="n">
        <v>60.5</v>
      </c>
      <c r="P285" s="32" t="n">
        <v>15.04</v>
      </c>
      <c r="Q285" s="32" t="n">
        <v>261.23</v>
      </c>
      <c r="R285" s="31" t="inlineStr">
        <is>
          <t>Earnings / Momentum Support</t>
        </is>
      </c>
      <c r="S285" s="31" t="inlineStr">
        <is>
          <t>Nifty 50</t>
        </is>
      </c>
      <c r="T285" s="32" t="n">
        <v>-0.9</v>
      </c>
      <c r="U285" s="32" t="n">
        <v>-9.279999999999999</v>
      </c>
      <c r="V285" s="32" t="n">
        <v>-8.460000000000001</v>
      </c>
      <c r="W285" s="32" t="n">
        <v>0.89</v>
      </c>
      <c r="X285" s="31" t="inlineStr">
        <is>
          <t>Growing Industry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Tailwind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0 to 20</t>
        </is>
      </c>
      <c r="AY285" s="31">
        <f>IF(AX285="Above 40",20,IF(AX285="20 to 40",10,IF(AX285="0 to 20",-5,0)))</f>
        <v/>
      </c>
      <c r="AZ285" s="31" t="inlineStr">
        <is>
          <t>Between 50 to 75</t>
        </is>
      </c>
      <c r="BA285" s="31">
        <f>IF(AZ285="Between 50 to 75",10,IF(AZ285="Above 75",0,0))</f>
        <v/>
      </c>
      <c r="BB285" s="31" t="inlineStr">
        <is>
          <t>Stage 2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No</t>
        </is>
      </c>
      <c r="BS285" s="31">
        <f>IF(BR285="NO",5,0)</f>
        <v/>
      </c>
      <c r="BT285" s="31" t="inlineStr">
        <is>
          <t>Less than 1.5</t>
        </is>
      </c>
      <c r="BU285" s="31">
        <f>IF(BT285="Above 2",0,IF(BT285="Between 1.5 to 2",5,IF(BT285="Less than 1.5",10,0)))</f>
        <v/>
      </c>
      <c r="BV285" s="31" t="inlineStr">
        <is>
          <t>Above 70%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IF(B286=0,"",RANK(B286,$B$2:$B$372,0))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1" t="inlineStr">
        <is>
          <t>RBA</t>
        </is>
      </c>
      <c r="D286" s="31" t="inlineStr">
        <is>
          <t>Restaurant Brands Asia Ltd</t>
        </is>
      </c>
      <c r="E286" s="31" t="inlineStr">
        <is>
          <t>consumer discretionary</t>
        </is>
      </c>
      <c r="F286" s="31" t="inlineStr">
        <is>
          <t>hotels</t>
        </is>
      </c>
      <c r="G286" s="31" t="inlineStr">
        <is>
          <t>midcap</t>
        </is>
      </c>
      <c r="H286" s="32" t="n">
        <v>7566.28</v>
      </c>
      <c r="I286" s="32" t="n">
        <v>102.36</v>
      </c>
      <c r="J286" s="32" t="n">
        <v>-3.72</v>
      </c>
      <c r="K286" s="32" t="n">
        <v>6494234</v>
      </c>
      <c r="L286" s="31" t="n">
        <v>65</v>
      </c>
      <c r="M286" s="31" t="inlineStr">
        <is>
          <t>Outperforming</t>
        </is>
      </c>
      <c r="N286" s="32">
        <f>IF(M286="Underperforming",-5,IF(L286&gt;=95,15,IF(L286&gt;=90,10,IF(L286&gt;=80,5,0))))</f>
        <v/>
      </c>
      <c r="O286" s="32" t="n">
        <v>74.90000000000001</v>
      </c>
      <c r="P286" s="32" t="n">
        <v>35.24</v>
      </c>
      <c r="Q286" s="32" t="n">
        <v>82.42</v>
      </c>
      <c r="R286" s="31" t="inlineStr">
        <is>
          <t>Near 52W High Breakout</t>
        </is>
      </c>
      <c r="S286" s="31" t="inlineStr">
        <is>
          <t>Nifty 50</t>
        </is>
      </c>
      <c r="T286" s="32" t="n">
        <v>-0.9</v>
      </c>
      <c r="U286" s="32" t="n">
        <v>28.09</v>
      </c>
      <c r="V286" s="32" t="n">
        <v>29.25</v>
      </c>
      <c r="W286" s="32" t="n">
        <v>17.24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Yes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20 to 40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2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More than 20%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No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Above 70%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More than 1.2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IF(B287=0,"",RANK(B287,$B$2:$B$372,0))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1" t="inlineStr">
        <is>
          <t>APLAPOLLO</t>
        </is>
      </c>
      <c r="D287" s="31" t="inlineStr">
        <is>
          <t>Apl Apollo Tubes Limited</t>
        </is>
      </c>
      <c r="E287" s="31" t="inlineStr">
        <is>
          <t>industrials</t>
        </is>
      </c>
      <c r="F287" s="31" t="inlineStr">
        <is>
          <t>steel - large</t>
        </is>
      </c>
      <c r="G287" s="31" t="inlineStr">
        <is>
          <t>largecap</t>
        </is>
      </c>
      <c r="H287" s="32" t="n">
        <v>59399.46</v>
      </c>
      <c r="I287" s="32" t="n">
        <v>2159</v>
      </c>
      <c r="J287" s="32" t="n">
        <v>0.92</v>
      </c>
      <c r="K287" s="32" t="n">
        <v>588957</v>
      </c>
      <c r="L287" s="31" t="inlineStr"/>
      <c r="M287" s="31" t="inlineStr"/>
      <c r="N287" s="32">
        <f>IF(M287="Underperforming",-5,IF(L287&gt;=95,15,IF(L287&gt;=90,10,IF(L287&gt;=80,5,0))))</f>
        <v/>
      </c>
      <c r="O287" s="32" t="n">
        <v>65.56</v>
      </c>
      <c r="P287" s="32" t="n">
        <v>15.65</v>
      </c>
      <c r="Q287" s="32" t="n">
        <v>1837.57</v>
      </c>
      <c r="R287" s="31" t="inlineStr">
        <is>
          <t>Near 52W High Breakout</t>
        </is>
      </c>
      <c r="S287" s="31" t="inlineStr">
        <is>
          <t>Nifty Metal</t>
        </is>
      </c>
      <c r="T287" s="32" t="inlineStr"/>
      <c r="U287" s="32" t="inlineStr"/>
      <c r="V287" s="32" t="inlineStr"/>
      <c r="W287" s="32" t="inlineStr"/>
      <c r="X287" s="31" t="inlineStr">
        <is>
          <t>Cyclical in an Upturn</t>
        </is>
      </c>
      <c r="Y287" s="31">
        <f>IF(X287="Growing Industry",10,IF(X287="Cyclical in an Upturn",5,0))</f>
        <v/>
      </c>
      <c r="Z287" s="31" t="inlineStr">
        <is>
          <t>Oligopoly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No</t>
        </is>
      </c>
      <c r="AC287" s="31">
        <f>IF(AB287="No",5,0)</f>
        <v/>
      </c>
      <c r="AD287" s="31" t="inlineStr">
        <is>
          <t>Tailwind</t>
        </is>
      </c>
      <c r="AE287" s="31">
        <f>IF(AD287="Tailwind",10,0)</f>
        <v/>
      </c>
      <c r="AF287" s="31" t="inlineStr">
        <is>
          <t>Cyclical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B2C</t>
        </is>
      </c>
      <c r="AO287" s="31">
        <f>IF(AN287="B2C",10,IF(AN287="B2B",5,0))</f>
        <v/>
      </c>
      <c r="AP287" s="31" t="inlineStr">
        <is>
          <t>Yes</t>
        </is>
      </c>
      <c r="AQ287" s="31">
        <f>IF(AP287="Yes",10,0)</f>
        <v/>
      </c>
      <c r="AR287" s="31" t="inlineStr">
        <is>
          <t>Fully One Time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Above 40</t>
        </is>
      </c>
      <c r="AY287" s="31">
        <f>IF(AX287="Above 40",20,IF(AX287="20 to 40",10,IF(AX287="0 to 20",-5,0)))</f>
        <v/>
      </c>
      <c r="AZ287" s="31" t="inlineStr">
        <is>
          <t>Above 75</t>
        </is>
      </c>
      <c r="BA287" s="31">
        <f>IF(AZ287="Between 50 to 75",10,IF(AZ287="Above 75",0,0))</f>
        <v/>
      </c>
      <c r="BB287" s="31" t="inlineStr">
        <is>
          <t>Stage 2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More than 20%</t>
        </is>
      </c>
      <c r="BO287" s="31">
        <f>IF(BN287="More than 20%",10,IF(BN287="Between 12 to 20%",5,IF(BN287="Less than 12%",0,0)))</f>
        <v/>
      </c>
      <c r="BP287" s="31" t="inlineStr">
        <is>
          <t>Yes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Between 1.5 to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Less than 0.7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IF(B288=0,"",RANK(B288,$B$2:$B$372,0))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1" t="inlineStr">
        <is>
          <t>APOLLOTYRE</t>
        </is>
      </c>
      <c r="D288" s="31" t="inlineStr">
        <is>
          <t>Apollo Tyres Limited</t>
        </is>
      </c>
      <c r="E288" s="31" t="inlineStr">
        <is>
          <t>auto</t>
        </is>
      </c>
      <c r="F288" s="31" t="inlineStr">
        <is>
          <t>tyres</t>
        </is>
      </c>
      <c r="G288" s="31" t="inlineStr">
        <is>
          <t>largecap</t>
        </is>
      </c>
      <c r="H288" s="32" t="n">
        <v>28033.36</v>
      </c>
      <c r="I288" s="32" t="n">
        <v>443.05</v>
      </c>
      <c r="J288" s="32" t="n">
        <v>0.37</v>
      </c>
      <c r="K288" s="32" t="n">
        <v>558237</v>
      </c>
      <c r="L288" s="31" t="inlineStr"/>
      <c r="M288" s="31" t="inlineStr"/>
      <c r="N288" s="32">
        <f>IF(M288="Underperforming",-5,IF(L288&gt;=95,15,IF(L288&gt;=90,10,IF(L288&gt;=80,5,0))))</f>
        <v/>
      </c>
      <c r="O288" s="32" t="n">
        <v>53.52</v>
      </c>
      <c r="P288" s="32" t="n">
        <v>14.87</v>
      </c>
      <c r="Q288" s="32" t="n">
        <v>368.56</v>
      </c>
      <c r="R288" s="31" t="inlineStr">
        <is>
          <t>Earnings / Momentum Support</t>
        </is>
      </c>
      <c r="S288" s="31" t="inlineStr">
        <is>
          <t>Nifty Auto</t>
        </is>
      </c>
      <c r="T288" s="32" t="inlineStr"/>
      <c r="U288" s="32" t="inlineStr"/>
      <c r="V288" s="32" t="inlineStr"/>
      <c r="W288" s="32" t="inlineStr"/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Oligopoly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Tailwind</t>
        </is>
      </c>
      <c r="AE288" s="31">
        <f>IF(AD288="Tailwind",10,0)</f>
        <v/>
      </c>
      <c r="AF288" s="31" t="inlineStr">
        <is>
          <t>Cyclical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Stable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B2C</t>
        </is>
      </c>
      <c r="AO288" s="31">
        <f>IF(AN288="B2C",10,IF(AN288="B2B",5,0))</f>
        <v/>
      </c>
      <c r="AP288" s="31" t="inlineStr">
        <is>
          <t>Yes</t>
        </is>
      </c>
      <c r="AQ288" s="31">
        <f>IF(AP288="Yes",10,0)</f>
        <v/>
      </c>
      <c r="AR288" s="31" t="inlineStr">
        <is>
          <t>Fully One Time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Above 40</t>
        </is>
      </c>
      <c r="AY288" s="31">
        <f>IF(AX288="Above 40",20,IF(AX288="20 to 40",10,IF(AX288="0 to 20",-5,0)))</f>
        <v/>
      </c>
      <c r="AZ288" s="31" t="inlineStr">
        <is>
          <t>Above 75</t>
        </is>
      </c>
      <c r="BA288" s="31">
        <f>IF(AZ288="Between 50 to 75",10,IF(AZ288="Above 75",0,0))</f>
        <v/>
      </c>
      <c r="BB288" s="31" t="inlineStr">
        <is>
          <t>Stage 2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Yes</t>
        </is>
      </c>
      <c r="BQ288" s="31">
        <f>IF(BP288="No",10,0)</f>
        <v/>
      </c>
      <c r="BR288" s="31" t="inlineStr">
        <is>
          <t>Yes</t>
        </is>
      </c>
      <c r="BS288" s="31">
        <f>IF(BR288="NO",5,0)</f>
        <v/>
      </c>
      <c r="BT288" s="31" t="inlineStr">
        <is>
          <t>Between 1.5 to 2</t>
        </is>
      </c>
      <c r="BU288" s="31">
        <f>IF(BT288="Above 2",0,IF(BT288="Between 1.5 to 2",5,IF(BT288="Less than 1.5",10,0)))</f>
        <v/>
      </c>
      <c r="BV288" s="31" t="inlineStr">
        <is>
          <t>Above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IF(B289=0,"",RANK(B289,$B$2:$B$372,0))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3" t="inlineStr">
        <is>
          <t>AARTIPHARM</t>
        </is>
      </c>
      <c r="D289" s="33" t="inlineStr">
        <is>
          <t>Aarti Pharmalabs Ltd</t>
        </is>
      </c>
      <c r="E289" s="31" t="inlineStr">
        <is>
          <t>healthcare</t>
        </is>
      </c>
      <c r="F289" s="31" t="inlineStr">
        <is>
          <t>pharmaceuticals - indian - bulk drugs &amp; formln</t>
        </is>
      </c>
      <c r="G289" s="31" t="inlineStr">
        <is>
          <t>midcap</t>
        </is>
      </c>
      <c r="H289" s="32" t="n">
        <v>7571.31</v>
      </c>
      <c r="I289" s="32" t="n">
        <v>836.65</v>
      </c>
      <c r="J289" s="32" t="n">
        <v>0.2</v>
      </c>
      <c r="K289" s="32" t="n">
        <v>535350</v>
      </c>
      <c r="L289" s="31" t="n">
        <v>27</v>
      </c>
      <c r="M289" s="31" t="inlineStr">
        <is>
          <t>Underperforming</t>
        </is>
      </c>
      <c r="N289" s="32">
        <f>IF(M289="Underperforming",-5,IF(L289&gt;=95,15,IF(L289&gt;=90,10,IF(L289&gt;=80,5,0))))</f>
        <v/>
      </c>
      <c r="O289" s="32" t="n">
        <v>63.09</v>
      </c>
      <c r="P289" s="32" t="n">
        <v>16.09</v>
      </c>
      <c r="Q289" s="32" t="n">
        <v>645.67</v>
      </c>
      <c r="R289" s="31" t="inlineStr">
        <is>
          <t>Earnings / Momentum Support</t>
        </is>
      </c>
      <c r="S289" s="31" t="inlineStr">
        <is>
          <t>Nifty Pharma</t>
        </is>
      </c>
      <c r="T289" s="32" t="n">
        <v>22.12</v>
      </c>
      <c r="U289" s="32" t="n">
        <v>-0.08</v>
      </c>
      <c r="V289" s="32" t="n">
        <v>-18.17</v>
      </c>
      <c r="W289" s="32" t="n">
        <v>7.75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Too Many Players with High ROCE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Yes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Structural (10 Years Consistency)</t>
        </is>
      </c>
      <c r="AG289" s="31">
        <f>IF(AF289="Structural (10 Years Consistency)",10,IF(AF289="Shallow Cyclical (2 to 3 years growth)",5,0))</f>
        <v/>
      </c>
      <c r="AH289" s="31" t="inlineStr">
        <is>
          <t>No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Stable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No</t>
        </is>
      </c>
      <c r="AQ289" s="31">
        <f>IF(AP289="Yes",10,0)</f>
        <v/>
      </c>
      <c r="AR289" s="31" t="inlineStr">
        <is>
          <t>Higher Annuity, Lower One Time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Good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0 to 20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2</t>
        </is>
      </c>
      <c r="BC289" s="31">
        <f>IF(BB289="Stage 2",20,IF(BB289="Stage 1",0,IF(BB289="Stage 3",5,IF(BB289="Stage 4",-5,0))))</f>
        <v/>
      </c>
      <c r="BD289" s="31" t="inlineStr">
        <is>
          <t>Positive Trend</t>
        </is>
      </c>
      <c r="BE289" s="31">
        <f>IF(BD289="Positive Trend",20,IF(BD289="Negative Trend",-10,0))</f>
        <v/>
      </c>
      <c r="BF289" s="31" t="inlineStr">
        <is>
          <t>Uptrend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Close to 52 week high or retracement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Less than 1.5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Less than 15%</t>
        </is>
      </c>
      <c r="CC289" s="31">
        <f>IF(CB289="More than 15%",-10,IF(CB289="Less than 15%",10,0))</f>
        <v/>
      </c>
      <c r="CD289" s="31" t="inlineStr">
        <is>
          <t>No</t>
        </is>
      </c>
      <c r="CE289" s="31">
        <f>IF(CD289="Yes, more than 10%",-10,IF(CD289="No",10,0))</f>
        <v/>
      </c>
    </row>
    <row r="290">
      <c r="A290" s="31">
        <f>IF(B290=0,"",RANK(B290,$B$2:$B$372,0))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1" t="inlineStr">
        <is>
          <t>APOLLOPIPE</t>
        </is>
      </c>
      <c r="D290" s="31" t="inlineStr">
        <is>
          <t>Apollo Pipes Ltd</t>
        </is>
      </c>
      <c r="E290" s="31" t="inlineStr">
        <is>
          <t>plastic products</t>
        </is>
      </c>
      <c r="F290" s="31" t="inlineStr">
        <is>
          <t>plastics products</t>
        </is>
      </c>
      <c r="G290" s="31" t="inlineStr">
        <is>
          <t>smallcap</t>
        </is>
      </c>
      <c r="H290" s="32" t="n">
        <v>2923.7</v>
      </c>
      <c r="I290" s="32" t="n">
        <v>659.35</v>
      </c>
      <c r="J290" s="32" t="n">
        <v>-0.66</v>
      </c>
      <c r="K290" s="32" t="n">
        <v>549208</v>
      </c>
      <c r="L290" s="31" t="inlineStr"/>
      <c r="M290" s="31" t="inlineStr"/>
      <c r="N290" s="32">
        <f>IF(M290="Underperforming",-5,IF(L290&gt;=95,15,IF(L290&gt;=90,10,IF(L290&gt;=80,5,0))))</f>
        <v/>
      </c>
      <c r="O290" s="32" t="n">
        <v>79.76000000000001</v>
      </c>
      <c r="P290" s="32" t="n">
        <v>45.02</v>
      </c>
      <c r="Q290" s="32" t="n">
        <v>513.9400000000001</v>
      </c>
      <c r="R290" s="31" t="inlineStr">
        <is>
          <t>Volume Spike &amp; Near 52W High Breakout</t>
        </is>
      </c>
      <c r="S290" s="31" t="inlineStr">
        <is>
          <t>Nifty Infra</t>
        </is>
      </c>
      <c r="T290" s="32" t="inlineStr"/>
      <c r="U290" s="32" t="inlineStr"/>
      <c r="V290" s="32" t="inlineStr"/>
      <c r="W290" s="32" t="inlineStr"/>
      <c r="X290" s="31" t="inlineStr">
        <is>
          <t>Cyclical in an Upturn</t>
        </is>
      </c>
      <c r="Y290" s="31">
        <f>IF(X290="Growing Industry",10,IF(X290="Cyclical in an Upturn",5,0))</f>
        <v/>
      </c>
      <c r="Z290" s="31" t="inlineStr">
        <is>
          <t>Oligopoly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Cyclical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B2C</t>
        </is>
      </c>
      <c r="AO290" s="31">
        <f>IF(AN290="B2C",10,IF(AN290="B2B",5,0))</f>
        <v/>
      </c>
      <c r="AP290" s="31" t="inlineStr">
        <is>
          <t>Yes</t>
        </is>
      </c>
      <c r="AQ290" s="31">
        <f>IF(AP290="Yes",10,0)</f>
        <v/>
      </c>
      <c r="AR290" s="31" t="inlineStr">
        <is>
          <t>Fully One Time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Above 40</t>
        </is>
      </c>
      <c r="AY290" s="31">
        <f>IF(AX290="Above 40",20,IF(AX290="20 to 40",10,IF(AX290="0 to 20",-5,0)))</f>
        <v/>
      </c>
      <c r="AZ290" s="31" t="inlineStr">
        <is>
          <t>Above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Positive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More than 20%</t>
        </is>
      </c>
      <c r="BO290" s="31">
        <f>IF(BN290="More than 20%",10,IF(BN290="Between 12 to 20%",5,IF(BN290="Less than 12%",0,0)))</f>
        <v/>
      </c>
      <c r="BP290" s="31" t="inlineStr">
        <is>
          <t>Yes</t>
        </is>
      </c>
      <c r="BQ290" s="31">
        <f>IF(BP290="No",10,0)</f>
        <v/>
      </c>
      <c r="BR290" s="31" t="inlineStr">
        <is>
          <t>Yes</t>
        </is>
      </c>
      <c r="BS290" s="31">
        <f>IF(BR290="NO",5,0)</f>
        <v/>
      </c>
      <c r="BT290" s="31" t="inlineStr">
        <is>
          <t>Between 1.5 to 2</t>
        </is>
      </c>
      <c r="BU290" s="31">
        <f>IF(BT290="Above 2",0,IF(BT290="Between 1.5 to 2",5,IF(BT290="Less than 1.5",10,0)))</f>
        <v/>
      </c>
      <c r="BV290" s="31" t="inlineStr">
        <is>
          <t>Above 70%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Less than 0.7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IF(B291=0,"",RANK(B291,$B$2:$B$372,0))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TI</t>
        </is>
      </c>
      <c r="D291" s="31" t="inlineStr">
        <is>
          <t>Tilaknagar Industries Limited</t>
        </is>
      </c>
      <c r="E291" s="31" t="inlineStr">
        <is>
          <t>fmcg</t>
        </is>
      </c>
      <c r="F291" s="31" t="inlineStr">
        <is>
          <t>breweries &amp; distilleries</t>
        </is>
      </c>
      <c r="G291" s="31" t="inlineStr">
        <is>
          <t>midcap</t>
        </is>
      </c>
      <c r="H291" s="32" t="n">
        <v>14222.32</v>
      </c>
      <c r="I291" s="32" t="n">
        <v>562</v>
      </c>
      <c r="J291" s="32" t="n">
        <v>-2.21</v>
      </c>
      <c r="K291" s="32" t="n">
        <v>1273025</v>
      </c>
      <c r="L291" s="31" t="inlineStr"/>
      <c r="M291" s="31" t="inlineStr"/>
      <c r="N291" s="32">
        <f>IF(M291="Underperforming",-5,IF(L291&gt;=95,15,IF(L291&gt;=90,10,IF(L291&gt;=80,5,0))))</f>
        <v/>
      </c>
      <c r="O291" s="32" t="n">
        <v>69.23</v>
      </c>
      <c r="P291" s="32" t="n">
        <v>15.83</v>
      </c>
      <c r="Q291" s="32" t="n">
        <v>465.25</v>
      </c>
      <c r="R291" s="31" t="inlineStr">
        <is>
          <t>Near 52W High Breakout</t>
        </is>
      </c>
      <c r="S291" s="31" t="inlineStr">
        <is>
          <t>Nifty FMCG</t>
        </is>
      </c>
      <c r="T291" s="32" t="inlineStr"/>
      <c r="U291" s="32" t="inlineStr"/>
      <c r="V291" s="32" t="inlineStr"/>
      <c r="W291" s="32" t="inlineStr"/>
      <c r="X291" s="31" t="inlineStr">
        <is>
          <t>Growing Industry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B2C</t>
        </is>
      </c>
      <c r="AO291" s="31">
        <f>IF(AN291="B2C",10,IF(AN291="B2B",5,0))</f>
        <v/>
      </c>
      <c r="AP291" s="31" t="inlineStr">
        <is>
          <t>Yes</t>
        </is>
      </c>
      <c r="AQ291" s="31">
        <f>IF(AP291="Yes",10,0)</f>
        <v/>
      </c>
      <c r="AR291" s="31" t="inlineStr">
        <is>
          <t>Higher Annuity, Lower One Time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2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Blue sky scenario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Less than 12%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No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Above 70%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Between 0.7 to 1.2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IF(B292=0,"",RANK(B292,$B$2:$B$372,0))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PVP</t>
        </is>
      </c>
      <c r="D292" s="31" t="inlineStr">
        <is>
          <t>Pvp Ventures Limited</t>
        </is>
      </c>
      <c r="E292" s="31" t="inlineStr">
        <is>
          <t>realty</t>
        </is>
      </c>
      <c r="F292" s="31" t="inlineStr">
        <is>
          <t>construction</t>
        </is>
      </c>
      <c r="G292" s="31" t="inlineStr">
        <is>
          <t>smallcap</t>
        </is>
      </c>
      <c r="H292" s="32" t="n">
        <v>1337.17</v>
      </c>
      <c r="I292" s="32" t="n">
        <v>56.48</v>
      </c>
      <c r="J292" s="32" t="n">
        <v>9.99</v>
      </c>
      <c r="K292" s="32" t="n">
        <v>6202419</v>
      </c>
      <c r="L292" s="31" t="inlineStr"/>
      <c r="M292" s="31" t="inlineStr"/>
      <c r="N292" s="32">
        <f>IF(M292="Underperforming",-5,IF(L292&gt;=95,15,IF(L292&gt;=90,10,IF(L292&gt;=80,5,0))))</f>
        <v/>
      </c>
      <c r="O292" s="32" t="n">
        <v>78.94</v>
      </c>
      <c r="P292" s="32" t="n">
        <v>19.38</v>
      </c>
      <c r="Q292" s="32" t="n">
        <v>41.64</v>
      </c>
      <c r="R292" s="31" t="inlineStr">
        <is>
          <t>Volume Spike &amp; Near 52W High Breakout</t>
        </is>
      </c>
      <c r="S292" s="31" t="inlineStr">
        <is>
          <t>Nifty Realty</t>
        </is>
      </c>
      <c r="T292" s="32" t="inlineStr"/>
      <c r="U292" s="32" t="inlineStr"/>
      <c r="V292" s="32" t="inlineStr"/>
      <c r="W292" s="32" t="inlineStr"/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Too Many Players with High ROCE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Tailwind</t>
        </is>
      </c>
      <c r="AE292" s="31">
        <f>IF(AD292="Tailwind",10,0)</f>
        <v/>
      </c>
      <c r="AF292" s="31" t="inlineStr">
        <is>
          <t>Structural (10 Years Consistency)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Yes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0 to 20</t>
        </is>
      </c>
      <c r="AY292" s="31">
        <f>IF(AX292="Above 40",20,IF(AX292="20 to 40",10,IF(AX292="0 to 20",-5,0)))</f>
        <v/>
      </c>
      <c r="AZ292" s="31" t="inlineStr">
        <is>
          <t>Above 75</t>
        </is>
      </c>
      <c r="BA292" s="31">
        <f>IF(AZ292="Between 50 to 75",10,IF(AZ292="Above 75",0,0))</f>
        <v/>
      </c>
      <c r="BB292" s="31" t="inlineStr">
        <is>
          <t>Stage 2</t>
        </is>
      </c>
      <c r="BC292" s="31">
        <f>IF(BB292="Stage 2",20,IF(BB292="Stage 1",0,IF(BB292="Stage 3",5,IF(BB292="Stage 4",-5,0))))</f>
        <v/>
      </c>
      <c r="BD292" s="31" t="inlineStr">
        <is>
          <t>Positive Trend</t>
        </is>
      </c>
      <c r="BE292" s="31">
        <f>IF(BD292="Positive Trend",20,IF(BD292="Negative Trend",-10,0))</f>
        <v/>
      </c>
      <c r="BF292" s="31" t="inlineStr">
        <is>
          <t>Uptrend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Blue sky scenario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Yes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Above 2</t>
        </is>
      </c>
      <c r="BU292" s="31">
        <f>IF(BT292="Above 2",0,IF(BT292="Between 1.5 to 2",5,IF(BT292="Less than 1.5",10,0)))</f>
        <v/>
      </c>
      <c r="BV292" s="31" t="inlineStr">
        <is>
          <t>Above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IF(B293=0,"",RANK(B293,$B$2:$B$372,0))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UFLEX</t>
        </is>
      </c>
      <c r="D293" s="31" t="inlineStr">
        <is>
          <t>Uflex Limited</t>
        </is>
      </c>
      <c r="E293" s="31" t="inlineStr">
        <is>
          <t>industrials</t>
        </is>
      </c>
      <c r="F293" s="31" t="inlineStr">
        <is>
          <t>packaging</t>
        </is>
      </c>
      <c r="G293" s="31" t="inlineStr">
        <is>
          <t>smallcap</t>
        </is>
      </c>
      <c r="H293" s="32" t="n">
        <v>4378.54</v>
      </c>
      <c r="I293" s="32" t="n">
        <v>650.45</v>
      </c>
      <c r="J293" s="32" t="n">
        <v>7.27</v>
      </c>
      <c r="K293" s="32" t="n">
        <v>1512339</v>
      </c>
      <c r="L293" s="31" t="inlineStr"/>
      <c r="M293" s="31" t="inlineStr"/>
      <c r="N293" s="32">
        <f>IF(M293="Underperforming",-5,IF(L293&gt;=95,15,IF(L293&gt;=90,10,IF(L293&gt;=80,5,0))))</f>
        <v/>
      </c>
      <c r="O293" s="32" t="n">
        <v>77.97</v>
      </c>
      <c r="P293" s="32" t="n">
        <v>22.39</v>
      </c>
      <c r="Q293" s="32" t="n">
        <v>519.46</v>
      </c>
      <c r="R293" s="31" t="inlineStr">
        <is>
          <t>Near 52W High Breakout</t>
        </is>
      </c>
      <c r="S293" s="31" t="inlineStr">
        <is>
          <t>Nifty Infra</t>
        </is>
      </c>
      <c r="T293" s="32" t="inlineStr"/>
      <c r="U293" s="32" t="inlineStr"/>
      <c r="V293" s="32" t="inlineStr"/>
      <c r="W293" s="32" t="inlineStr"/>
      <c r="X293" s="31" t="inlineStr">
        <is>
          <t>Cyclical in an Upturn</t>
        </is>
      </c>
      <c r="Y293" s="31">
        <f>IF(X293="Growing Industry",10,IF(X293="Cyclical in an Upturn",5,0))</f>
        <v/>
      </c>
      <c r="Z293" s="31" t="inlineStr">
        <is>
          <t>Too Many Players with High ROCE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No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Structural (10 Years Consistency)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Stable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Yes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20 to 40</t>
        </is>
      </c>
      <c r="AY293" s="31">
        <f>IF(AX293="Above 40",20,IF(AX293="20 to 40",10,IF(AX293="0 to 20",-5,0)))</f>
        <v/>
      </c>
      <c r="AZ293" s="31" t="inlineStr">
        <is>
          <t>Above 75</t>
        </is>
      </c>
      <c r="BA293" s="31">
        <f>IF(AZ293="Between 50 to 75",10,IF(AZ293="Above 75",0,0))</f>
        <v/>
      </c>
      <c r="BB293" s="31" t="inlineStr">
        <is>
          <t>Stage 2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More than 20%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Less than 1.5</t>
        </is>
      </c>
      <c r="BU293" s="31">
        <f>IF(BT293="Above 2",0,IF(BT293="Between 1.5 to 2",5,IF(BT293="Less than 1.5",10,0)))</f>
        <v/>
      </c>
      <c r="BV293" s="31" t="inlineStr">
        <is>
          <t>Above 70%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More than 1.2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IF(B294=0,"",RANK(B294,$B$2:$B$372,0))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ASIANENE</t>
        </is>
      </c>
      <c r="D294" s="31" t="inlineStr">
        <is>
          <t>Asian Energy Services Ltd</t>
        </is>
      </c>
      <c r="E294" s="31" t="inlineStr">
        <is>
          <t>energy</t>
        </is>
      </c>
      <c r="F294" s="31" t="inlineStr">
        <is>
          <t>oil drilling / allied services</t>
        </is>
      </c>
      <c r="G294" s="31" t="inlineStr">
        <is>
          <t>smallcap</t>
        </is>
      </c>
      <c r="H294" s="32" t="n">
        <v>2195.14</v>
      </c>
      <c r="I294" s="32" t="n">
        <v>478.55</v>
      </c>
      <c r="J294" s="32" t="n">
        <v>6.01</v>
      </c>
      <c r="K294" s="32" t="n">
        <v>811523</v>
      </c>
      <c r="L294" s="31" t="inlineStr"/>
      <c r="M294" s="31" t="inlineStr"/>
      <c r="N294" s="32">
        <f>IF(M294="Underperforming",-5,IF(L294&gt;=95,15,IF(L294&gt;=90,10,IF(L294&gt;=80,5,0))))</f>
        <v/>
      </c>
      <c r="O294" s="32" t="n">
        <v>70.69</v>
      </c>
      <c r="P294" s="32" t="n">
        <v>20.07</v>
      </c>
      <c r="Q294" s="32" t="n">
        <v>350.16</v>
      </c>
      <c r="R294" s="31" t="inlineStr">
        <is>
          <t>Near 52W High Breakout</t>
        </is>
      </c>
      <c r="S294" s="31" t="inlineStr">
        <is>
          <t>Nifty Energy</t>
        </is>
      </c>
      <c r="T294" s="32" t="inlineStr"/>
      <c r="U294" s="32" t="inlineStr"/>
      <c r="V294" s="32" t="inlineStr"/>
      <c r="W294" s="32" t="inlineStr"/>
      <c r="X294" s="31" t="inlineStr">
        <is>
          <t>Cyclical in an Upturn</t>
        </is>
      </c>
      <c r="Y294" s="31">
        <f>IF(X294="Growing Industry",10,IF(X294="Cyclical in an Upturn",5,0))</f>
        <v/>
      </c>
      <c r="Z294" s="31" t="inlineStr">
        <is>
          <t>Oligopoly</t>
        </is>
      </c>
      <c r="AA294" s="31">
        <f>IF(Z294="Monopoly",10,IF(Z294="Oligopoly",5,IF(Z294="Duopoly that cooperate",10,IF(Z294="Duopoly that compete",5,IF(Z294="Too many players with High ROCE",5,0)))))</f>
        <v/>
      </c>
      <c r="AB294" s="31" t="inlineStr">
        <is>
          <t>Yes</t>
        </is>
      </c>
      <c r="AC294" s="31">
        <f>IF(AB294="No",5,0)</f>
        <v/>
      </c>
      <c r="AD294" s="31" t="inlineStr">
        <is>
          <t>Tailwind</t>
        </is>
      </c>
      <c r="AE294" s="31">
        <f>IF(AD294="Tailwind",10,0)</f>
        <v/>
      </c>
      <c r="AF294" s="31" t="inlineStr">
        <is>
          <t>Cyclical</t>
        </is>
      </c>
      <c r="AG294" s="31">
        <f>IF(AF294="Structural (10 Years Consistency)",10,IF(AF294="Shallow Cyclical (2 to 3 years growth)",5,0))</f>
        <v/>
      </c>
      <c r="AH294" s="31" t="inlineStr">
        <is>
          <t>No</t>
        </is>
      </c>
      <c r="AI294" s="31">
        <f>IF(AH294="Yes due to Product Mix change or Operating Leverage",10,IF(AH294="Yes, these are peak margins",-5,IF(AH294="No",5,0)))</f>
        <v/>
      </c>
      <c r="AJ294" s="31" t="inlineStr">
        <is>
          <t>Volatile</t>
        </is>
      </c>
      <c r="AK294" s="31">
        <f>IF(AJ294="Stable",10,0)</f>
        <v/>
      </c>
      <c r="AL294" s="31" t="inlineStr">
        <is>
          <t>Yes</t>
        </is>
      </c>
      <c r="AM294" s="31">
        <f>IF(AL294="Yes",10,0)</f>
        <v/>
      </c>
      <c r="AN294" s="31" t="inlineStr">
        <is>
          <t>B2B</t>
        </is>
      </c>
      <c r="AO294" s="31">
        <f>IF(AN294="B2C",10,IF(AN294="B2B",5,0))</f>
        <v/>
      </c>
      <c r="AP294" s="31" t="inlineStr">
        <is>
          <t>Yes</t>
        </is>
      </c>
      <c r="AQ294" s="31">
        <f>IF(AP294="Yes",10,0)</f>
        <v/>
      </c>
      <c r="AR294" s="31" t="inlineStr">
        <is>
          <t>Higher One Time, Lower Annuity</t>
        </is>
      </c>
      <c r="AS294" s="31">
        <f>IF(AR294="Fully Annuity",10,IF(AR294="Higher Annuity, Lower One Time",5,IF(AR294="Higher One Time, Lower Annuity",3,0)))</f>
        <v/>
      </c>
      <c r="AT294" s="31" t="inlineStr">
        <is>
          <t>Good</t>
        </is>
      </c>
      <c r="AU294" s="31">
        <f>IF(AT294="Good",10,0)</f>
        <v/>
      </c>
      <c r="AV294" s="31" t="inlineStr">
        <is>
          <t>Yes for more than 2 years</t>
        </is>
      </c>
      <c r="AW294" s="31">
        <f>IF(AV294="Yes for more than 2 years",10,IF(AV294="Yes only for next 1 to 2 years",5,0))</f>
        <v/>
      </c>
      <c r="AX294" s="31" t="inlineStr">
        <is>
          <t>20 to 40</t>
        </is>
      </c>
      <c r="AY294" s="31">
        <f>IF(AX294="Above 40",20,IF(AX294="20 to 40",10,IF(AX294="0 to 20",-5,0)))</f>
        <v/>
      </c>
      <c r="AZ294" s="31" t="inlineStr">
        <is>
          <t>Between 50 to 75</t>
        </is>
      </c>
      <c r="BA294" s="31">
        <f>IF(AZ294="Between 50 to 75",10,IF(AZ294="Above 75",0,0))</f>
        <v/>
      </c>
      <c r="BB294" s="31" t="inlineStr">
        <is>
          <t>Stage 2</t>
        </is>
      </c>
      <c r="BC294" s="31">
        <f>IF(BB294="Stage 2",20,IF(BB294="Stage 1",0,IF(BB294="Stage 3",5,IF(BB294="Stage 4",-5,0))))</f>
        <v/>
      </c>
      <c r="BD294" s="31" t="inlineStr">
        <is>
          <t>Positive Trend</t>
        </is>
      </c>
      <c r="BE294" s="31">
        <f>IF(BD294="Positive Trend",20,IF(BD294="Negative Trend",-10,0))</f>
        <v/>
      </c>
      <c r="BF294" s="31" t="inlineStr">
        <is>
          <t>Uptrend</t>
        </is>
      </c>
      <c r="BG294" s="31">
        <f>IF(BF294="Uptrend",10,IF(BF294="Sideways",5,0))</f>
        <v/>
      </c>
      <c r="BH294" s="31" t="inlineStr">
        <is>
          <t>Uptrend</t>
        </is>
      </c>
      <c r="BI294" s="31">
        <f>IF(BH294="Uptrend",10,IF(BH294="Sideways",5,0))</f>
        <v/>
      </c>
      <c r="BJ294" s="31" t="inlineStr">
        <is>
          <t>Blue sky scenario</t>
        </is>
      </c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inlineStr">
        <is>
          <t>Yes</t>
        </is>
      </c>
      <c r="BM294" s="31">
        <f>IF(BL294="Yes",10,0)</f>
        <v/>
      </c>
      <c r="BN294" s="31" t="inlineStr">
        <is>
          <t>More than 20%</t>
        </is>
      </c>
      <c r="BO294" s="31">
        <f>IF(BN294="More than 20%",10,IF(BN294="Between 12 to 20%",5,IF(BN294="Less than 12%",0,0)))</f>
        <v/>
      </c>
      <c r="BP294" s="31" t="inlineStr">
        <is>
          <t>No</t>
        </is>
      </c>
      <c r="BQ294" s="31">
        <f>IF(BP294="No",10,0)</f>
        <v/>
      </c>
      <c r="BR294" s="31" t="inlineStr">
        <is>
          <t>No</t>
        </is>
      </c>
      <c r="BS294" s="31">
        <f>IF(BR294="NO",5,0)</f>
        <v/>
      </c>
      <c r="BT294" s="31" t="inlineStr">
        <is>
          <t>Above 2</t>
        </is>
      </c>
      <c r="BU294" s="31">
        <f>IF(BT294="Above 2",0,IF(BT294="Between 1.5 to 2",5,IF(BT294="Less than 1.5",10,0)))</f>
        <v/>
      </c>
      <c r="BV294" s="31" t="inlineStr">
        <is>
          <t>Above 70%</t>
        </is>
      </c>
      <c r="BW294" s="31">
        <f>IF(BV294="Above 70%",10,IF(BV294="Between 50% to 70%",5,IF(BV294="Less than 50%",0,IF(BV294="Negative",-10,IF(BV294="Less than 50% and Borrowings are increasing",-5,0)))))</f>
        <v/>
      </c>
      <c r="BX294" s="31" t="inlineStr">
        <is>
          <t>Less than 0.7</t>
        </is>
      </c>
      <c r="BY294" s="31">
        <f>IF(BX294="More than 1.2",-10,IF(BX294="Between 0.7 to 1.2",0,IF(BX294="Less than 0.7",10,0)))</f>
        <v/>
      </c>
      <c r="BZ294" s="31" t="inlineStr">
        <is>
          <t>No</t>
        </is>
      </c>
      <c r="CA294" s="31">
        <f>IF(BZ294="Yes",-10,0)</f>
        <v/>
      </c>
      <c r="CB294" s="31" t="inlineStr">
        <is>
          <t>Less than 15%</t>
        </is>
      </c>
      <c r="CC294" s="31">
        <f>IF(CB294="More than 15%",-10,IF(CB294="Less than 15%",10,0))</f>
        <v/>
      </c>
      <c r="CD294" s="31" t="inlineStr">
        <is>
          <t>No</t>
        </is>
      </c>
      <c r="CE294" s="31">
        <f>IF(CD294="Yes, more than 10%",-10,IF(CD294="No",10,0))</f>
        <v/>
      </c>
    </row>
    <row r="295">
      <c r="A295" s="31">
        <f>IF(B295=0,"",RANK(B295,$B$2:$B$372,0))</f>
        <v/>
      </c>
      <c r="B295" s="32">
        <f>SUM(N295,Y295,AA295,AC295,AE295,AG295,AI295,AK295,AM295,AO295,AQ295,AS295,AU295,AW295,AY295,BA295,BC295,BE295,BG295,BI295,BK295,BM295,BO295,BQ295,BS295,BU295,BW295,BY295,CA295,CC295,CE295)</f>
        <v/>
      </c>
      <c r="C295" s="31" t="inlineStr">
        <is>
          <t>MAHASTEEL</t>
        </is>
      </c>
      <c r="D295" s="31" t="inlineStr">
        <is>
          <t>Mahamaya Steel Industries Limited</t>
        </is>
      </c>
      <c r="E295" s="31" t="inlineStr">
        <is>
          <t>metals &amp; mining</t>
        </is>
      </c>
      <c r="F295" s="31" t="inlineStr">
        <is>
          <t>steel - medium / small</t>
        </is>
      </c>
      <c r="G295" s="31" t="inlineStr">
        <is>
          <t>smallcap</t>
        </is>
      </c>
      <c r="H295" s="32" t="n">
        <v>1975.58</v>
      </c>
      <c r="I295" s="32" t="n">
        <v>1239</v>
      </c>
      <c r="J295" s="32" t="n">
        <v>3.07</v>
      </c>
      <c r="K295" s="32" t="n">
        <v>37632</v>
      </c>
      <c r="L295" s="31" t="inlineStr"/>
      <c r="M295" s="31" t="inlineStr"/>
      <c r="N295" s="32">
        <f>IF(M295="Underperforming",-5,IF(L295&gt;=95,15,IF(L295&gt;=90,10,IF(L295&gt;=80,5,0))))</f>
        <v/>
      </c>
      <c r="O295" s="32" t="n">
        <v>71.84</v>
      </c>
      <c r="P295" s="32" t="n">
        <v>20.21</v>
      </c>
      <c r="Q295" s="32" t="n">
        <v>923.96</v>
      </c>
      <c r="R295" s="31" t="inlineStr">
        <is>
          <t>Near 52W High Breakout</t>
        </is>
      </c>
      <c r="S295" s="31" t="inlineStr">
        <is>
          <t>Nifty Metal</t>
        </is>
      </c>
      <c r="T295" s="32" t="inlineStr"/>
      <c r="U295" s="32" t="inlineStr"/>
      <c r="V295" s="32" t="inlineStr"/>
      <c r="W295" s="32" t="inlineStr"/>
      <c r="X295" s="31" t="inlineStr">
        <is>
          <t>Cyclical in an Upturn</t>
        </is>
      </c>
      <c r="Y295" s="31">
        <f>IF(X295="Growing Industry",10,IF(X295="Cyclical in an Upturn",5,0))</f>
        <v/>
      </c>
      <c r="Z295" s="31" t="inlineStr">
        <is>
          <t>Too Many Players with High ROCE</t>
        </is>
      </c>
      <c r="AA295" s="31">
        <f>IF(Z295="Monopoly",10,IF(Z295="Oligopoly",5,IF(Z295="Duopoly that cooperate",10,IF(Z295="Duopoly that compete",5,IF(Z295="Too many players with High ROCE",5,0)))))</f>
        <v/>
      </c>
      <c r="AB295" s="31" t="inlineStr">
        <is>
          <t>No</t>
        </is>
      </c>
      <c r="AC295" s="31">
        <f>IF(AB295="No",5,0)</f>
        <v/>
      </c>
      <c r="AD295" s="31" t="inlineStr">
        <is>
          <t>Tailwind</t>
        </is>
      </c>
      <c r="AE295" s="31">
        <f>IF(AD295="Tailwind",10,0)</f>
        <v/>
      </c>
      <c r="AF295" s="31" t="inlineStr">
        <is>
          <t>Cyclical</t>
        </is>
      </c>
      <c r="AG295" s="31">
        <f>IF(AF295="Structural (10 Years Consistency)",10,IF(AF295="Shallow Cyclical (2 to 3 years growth)",5,0))</f>
        <v/>
      </c>
      <c r="AH295" s="31" t="inlineStr">
        <is>
          <t>No</t>
        </is>
      </c>
      <c r="AI295" s="31">
        <f>IF(AH295="Yes due to Product Mix change or Operating Leverage",10,IF(AH295="Yes, these are peak margins",-5,IF(AH295="No",5,0)))</f>
        <v/>
      </c>
      <c r="AJ295" s="31" t="inlineStr">
        <is>
          <t>Volatile</t>
        </is>
      </c>
      <c r="AK295" s="31">
        <f>IF(AJ295="Stable",10,0)</f>
        <v/>
      </c>
      <c r="AL295" s="31" t="inlineStr">
        <is>
          <t>Yes</t>
        </is>
      </c>
      <c r="AM295" s="31">
        <f>IF(AL295="Yes",10,0)</f>
        <v/>
      </c>
      <c r="AN295" s="31" t="inlineStr">
        <is>
          <t>B2B</t>
        </is>
      </c>
      <c r="AO295" s="31">
        <f>IF(AN295="B2C",10,IF(AN295="B2B",5,0))</f>
        <v/>
      </c>
      <c r="AP295" s="31" t="inlineStr">
        <is>
          <t>Yes</t>
        </is>
      </c>
      <c r="AQ295" s="31">
        <f>IF(AP295="Yes",10,0)</f>
        <v/>
      </c>
      <c r="AR295" s="31" t="inlineStr">
        <is>
          <t>Higher One Time, Lower Annuity</t>
        </is>
      </c>
      <c r="AS295" s="31">
        <f>IF(AR295="Fully Annuity",10,IF(AR295="Higher Annuity, Lower One Time",5,IF(AR295="Higher One Time, Lower Annuity",3,0)))</f>
        <v/>
      </c>
      <c r="AT295" s="31" t="inlineStr">
        <is>
          <t>Good</t>
        </is>
      </c>
      <c r="AU295" s="31">
        <f>IF(AT295="Good",10,0)</f>
        <v/>
      </c>
      <c r="AV295" s="31" t="inlineStr">
        <is>
          <t>Yes for more than 2 years</t>
        </is>
      </c>
      <c r="AW295" s="31">
        <f>IF(AV295="Yes for more than 2 years",10,IF(AV295="Yes only for next 1 to 2 years",5,0))</f>
        <v/>
      </c>
      <c r="AX295" s="31" t="inlineStr">
        <is>
          <t>20 to 40</t>
        </is>
      </c>
      <c r="AY295" s="31">
        <f>IF(AX295="Above 40",20,IF(AX295="20 to 40",10,IF(AX295="0 to 20",-5,0)))</f>
        <v/>
      </c>
      <c r="AZ295" s="31" t="inlineStr">
        <is>
          <t>Between 50 to 75</t>
        </is>
      </c>
      <c r="BA295" s="31">
        <f>IF(AZ295="Between 50 to 75",10,IF(AZ295="Above 75",0,0))</f>
        <v/>
      </c>
      <c r="BB295" s="31" t="inlineStr">
        <is>
          <t>Stage 2</t>
        </is>
      </c>
      <c r="BC295" s="31">
        <f>IF(BB295="Stage 2",20,IF(BB295="Stage 1",0,IF(BB295="Stage 3",5,IF(BB295="Stage 4",-5,0))))</f>
        <v/>
      </c>
      <c r="BD295" s="31" t="inlineStr">
        <is>
          <t>Positive Trend</t>
        </is>
      </c>
      <c r="BE295" s="31">
        <f>IF(BD295="Positive Trend",20,IF(BD295="Negative Trend",-10,0))</f>
        <v/>
      </c>
      <c r="BF295" s="31" t="inlineStr">
        <is>
          <t>Uptrend</t>
        </is>
      </c>
      <c r="BG295" s="31">
        <f>IF(BF295="Uptrend",10,IF(BF295="Sideways",5,0))</f>
        <v/>
      </c>
      <c r="BH295" s="31" t="inlineStr">
        <is>
          <t>Uptrend</t>
        </is>
      </c>
      <c r="BI295" s="31">
        <f>IF(BH295="Uptrend",10,IF(BH295="Sideways",5,0))</f>
        <v/>
      </c>
      <c r="BJ295" s="31" t="inlineStr">
        <is>
          <t>Blue sky scenario</t>
        </is>
      </c>
      <c r="BK295" s="31">
        <f>IF(BJ295="Overhead supply in last 2 years in last 2 years",-5,IF(BJ295="Close to 52 week high or retracement",5,IF(BJ295="Blue sky scenario",10,IF(BJ295="Long term Downtrend",-10,0))))</f>
        <v/>
      </c>
      <c r="BL295" s="31" t="inlineStr">
        <is>
          <t>Yes</t>
        </is>
      </c>
      <c r="BM295" s="31">
        <f>IF(BL295="Yes",10,0)</f>
        <v/>
      </c>
      <c r="BN295" s="31" t="inlineStr">
        <is>
          <t>More than 20%</t>
        </is>
      </c>
      <c r="BO295" s="31">
        <f>IF(BN295="More than 20%",10,IF(BN295="Between 12 to 20%",5,IF(BN295="Less than 12%",0,0)))</f>
        <v/>
      </c>
      <c r="BP295" s="31" t="inlineStr">
        <is>
          <t>No</t>
        </is>
      </c>
      <c r="BQ295" s="31">
        <f>IF(BP295="No",10,0)</f>
        <v/>
      </c>
      <c r="BR295" s="31" t="inlineStr">
        <is>
          <t>Yes</t>
        </is>
      </c>
      <c r="BS295" s="31">
        <f>IF(BR295="NO",5,0)</f>
        <v/>
      </c>
      <c r="BT295" s="31" t="inlineStr">
        <is>
          <t>Above 2</t>
        </is>
      </c>
      <c r="BU295" s="31">
        <f>IF(BT295="Above 2",0,IF(BT295="Between 1.5 to 2",5,IF(BT295="Less than 1.5",10,0)))</f>
        <v/>
      </c>
      <c r="BV295" s="31" t="inlineStr">
        <is>
          <t>Above 70%</t>
        </is>
      </c>
      <c r="BW295" s="31">
        <f>IF(BV295="Above 70%",10,IF(BV295="Between 50% to 70%",5,IF(BV295="Less than 50%",0,IF(BV295="Negative",-10,IF(BV295="Less than 50% and Borrowings are increasing",-5,0)))))</f>
        <v/>
      </c>
      <c r="BX295" s="31" t="inlineStr">
        <is>
          <t>Less than 0.7</t>
        </is>
      </c>
      <c r="BY295" s="31">
        <f>IF(BX295="More than 1.2",-10,IF(BX295="Between 0.7 to 1.2",0,IF(BX295="Less than 0.7",10,0)))</f>
        <v/>
      </c>
      <c r="BZ295" s="31" t="inlineStr">
        <is>
          <t>No</t>
        </is>
      </c>
      <c r="CA295" s="31">
        <f>IF(BZ295="Yes",-10,0)</f>
        <v/>
      </c>
      <c r="CB295" s="31" t="inlineStr">
        <is>
          <t>Less than 15%</t>
        </is>
      </c>
      <c r="CC295" s="31">
        <f>IF(CB295="More than 15%",-10,IF(CB295="Less than 15%",10,0))</f>
        <v/>
      </c>
      <c r="CD295" s="31" t="inlineStr">
        <is>
          <t>No</t>
        </is>
      </c>
      <c r="CE295" s="31">
        <f>IF(CD295="Yes, more than 10%",-10,IF(CD295="No",10,0))</f>
        <v/>
      </c>
    </row>
    <row r="296">
      <c r="A296" s="31">
        <f>IF(B296=0,"",RANK(B296,$B$2:$B$372,0))</f>
        <v/>
      </c>
      <c r="B296" s="32">
        <f>SUM(N296,Y296,AA296,AC296,AE296,AG296,AI296,AK296,AM296,AO296,AQ296,AS296,AU296,AW296,AY296,BA296,BC296,BE296,BG296,BI296,BK296,BM296,BO296,BQ296,BS296,BU296,BW296,BY296,CA296,CC296,CE296)</f>
        <v/>
      </c>
      <c r="C296" s="31" t="inlineStr">
        <is>
          <t>FMGOETZE</t>
        </is>
      </c>
      <c r="D296" s="31" t="inlineStr">
        <is>
          <t>Federal-mogul Goetze (india) Limited.</t>
        </is>
      </c>
      <c r="E296" s="31" t="inlineStr">
        <is>
          <t>auto</t>
        </is>
      </c>
      <c r="F296" s="31" t="inlineStr">
        <is>
          <t>auto ancillaries</t>
        </is>
      </c>
      <c r="G296" s="31" t="inlineStr">
        <is>
          <t>smallcap</t>
        </is>
      </c>
      <c r="H296" s="32" t="n">
        <v>2971.31</v>
      </c>
      <c r="I296" s="32" t="n">
        <v>548.7</v>
      </c>
      <c r="J296" s="32" t="n">
        <v>2.73</v>
      </c>
      <c r="K296" s="32" t="n">
        <v>20715021</v>
      </c>
      <c r="L296" s="31" t="inlineStr"/>
      <c r="M296" s="31" t="inlineStr"/>
      <c r="N296" s="32">
        <f>IF(M296="Underperforming",-5,IF(L296&gt;=95,15,IF(L296&gt;=90,10,IF(L296&gt;=80,5,0))))</f>
        <v/>
      </c>
      <c r="O296" s="32" t="n">
        <v>65.69</v>
      </c>
      <c r="P296" s="32" t="n">
        <v>16.73</v>
      </c>
      <c r="Q296" s="32" t="n">
        <v>423.71</v>
      </c>
      <c r="R296" s="31" t="inlineStr">
        <is>
          <t>Volume Spike &amp; Near 52W High Breakout</t>
        </is>
      </c>
      <c r="S296" s="31" t="inlineStr">
        <is>
          <t>Nifty Auto</t>
        </is>
      </c>
      <c r="T296" s="32" t="inlineStr"/>
      <c r="U296" s="32" t="inlineStr"/>
      <c r="V296" s="32" t="inlineStr"/>
      <c r="W296" s="32" t="inlineStr"/>
      <c r="X296" s="31" t="inlineStr">
        <is>
          <t>Growing Industry</t>
        </is>
      </c>
      <c r="Y296" s="31">
        <f>IF(X296="Growing Industry",10,IF(X296="Cyclical in an Upturn",5,0))</f>
        <v/>
      </c>
      <c r="Z296" s="31" t="inlineStr">
        <is>
          <t>Too Many Players with High ROCE</t>
        </is>
      </c>
      <c r="AA296" s="31">
        <f>IF(Z296="Monopoly",10,IF(Z296="Oligopoly",5,IF(Z296="Duopoly that cooperate",10,IF(Z296="Duopoly that compete",5,IF(Z296="Too many players with High ROCE",5,0)))))</f>
        <v/>
      </c>
      <c r="AB296" s="31" t="inlineStr">
        <is>
          <t>No</t>
        </is>
      </c>
      <c r="AC296" s="31">
        <f>IF(AB296="No",5,0)</f>
        <v/>
      </c>
      <c r="AD296" s="31" t="inlineStr">
        <is>
          <t>Tailwind</t>
        </is>
      </c>
      <c r="AE296" s="31">
        <f>IF(AD296="Tailwind",10,0)</f>
        <v/>
      </c>
      <c r="AF296" s="31" t="inlineStr">
        <is>
          <t>Structural (10 Years Consistency)</t>
        </is>
      </c>
      <c r="AG296" s="31">
        <f>IF(AF296="Structural (10 Years Consistency)",10,IF(AF296="Shallow Cyclical (2 to 3 years growth)",5,0))</f>
        <v/>
      </c>
      <c r="AH296" s="31" t="inlineStr">
        <is>
          <t>No</t>
        </is>
      </c>
      <c r="AI296" s="31">
        <f>IF(AH296="Yes due to Product Mix change or Operating Leverage",10,IF(AH296="Yes, these are peak margins",-5,IF(AH296="No",5,0)))</f>
        <v/>
      </c>
      <c r="AJ296" s="31" t="inlineStr">
        <is>
          <t>Stable</t>
        </is>
      </c>
      <c r="AK296" s="31">
        <f>IF(AJ296="Stable",10,0)</f>
        <v/>
      </c>
      <c r="AL296" s="31" t="inlineStr">
        <is>
          <t>Yes</t>
        </is>
      </c>
      <c r="AM296" s="31">
        <f>IF(AL296="Yes",10,0)</f>
        <v/>
      </c>
      <c r="AN296" s="31" t="inlineStr">
        <is>
          <t>B2B</t>
        </is>
      </c>
      <c r="AO296" s="31">
        <f>IF(AN296="B2C",10,IF(AN296="B2B",5,0))</f>
        <v/>
      </c>
      <c r="AP296" s="31" t="inlineStr">
        <is>
          <t>Yes</t>
        </is>
      </c>
      <c r="AQ296" s="31">
        <f>IF(AP296="Yes",10,0)</f>
        <v/>
      </c>
      <c r="AR296" s="31" t="inlineStr">
        <is>
          <t>Higher One Time, Lower Annuity</t>
        </is>
      </c>
      <c r="AS296" s="31">
        <f>IF(AR296="Fully Annuity",10,IF(AR296="Higher Annuity, Lower One Time",5,IF(AR296="Higher One Time, Lower Annuity",3,0)))</f>
        <v/>
      </c>
      <c r="AT296" s="31" t="inlineStr">
        <is>
          <t>Good</t>
        </is>
      </c>
      <c r="AU296" s="31">
        <f>IF(AT296="Good",10,0)</f>
        <v/>
      </c>
      <c r="AV296" s="31" t="inlineStr">
        <is>
          <t>Yes for more than 2 years</t>
        </is>
      </c>
      <c r="AW296" s="31">
        <f>IF(AV296="Yes for more than 2 years",10,IF(AV296="Yes only for next 1 to 2 years",5,0))</f>
        <v/>
      </c>
      <c r="AX296" s="31" t="inlineStr">
        <is>
          <t>0 to 20</t>
        </is>
      </c>
      <c r="AY296" s="31">
        <f>IF(AX296="Above 40",20,IF(AX296="20 to 40",10,IF(AX296="0 to 20",-5,0)))</f>
        <v/>
      </c>
      <c r="AZ296" s="31" t="inlineStr">
        <is>
          <t>Between 50 to 75</t>
        </is>
      </c>
      <c r="BA296" s="31">
        <f>IF(AZ296="Between 50 to 75",10,IF(AZ296="Above 75",0,0))</f>
        <v/>
      </c>
      <c r="BB296" s="31" t="inlineStr">
        <is>
          <t>Stage 2</t>
        </is>
      </c>
      <c r="BC296" s="31">
        <f>IF(BB296="Stage 2",20,IF(BB296="Stage 1",0,IF(BB296="Stage 3",5,IF(BB296="Stage 4",-5,0))))</f>
        <v/>
      </c>
      <c r="BD296" s="31" t="inlineStr">
        <is>
          <t>Positive Trend</t>
        </is>
      </c>
      <c r="BE296" s="31">
        <f>IF(BD296="Positive Trend",20,IF(BD296="Negative Trend",-10,0))</f>
        <v/>
      </c>
      <c r="BF296" s="31" t="inlineStr">
        <is>
          <t>Uptrend</t>
        </is>
      </c>
      <c r="BG296" s="31">
        <f>IF(BF296="Uptrend",10,IF(BF296="Sideways",5,0))</f>
        <v/>
      </c>
      <c r="BH296" s="31" t="inlineStr">
        <is>
          <t>Uptrend</t>
        </is>
      </c>
      <c r="BI296" s="31">
        <f>IF(BH296="Uptrend",10,IF(BH296="Sideways",5,0))</f>
        <v/>
      </c>
      <c r="BJ296" s="31" t="inlineStr">
        <is>
          <t>Close to 52 week high or retracement</t>
        </is>
      </c>
      <c r="BK296" s="31">
        <f>IF(BJ296="Overhead supply in last 2 years in last 2 years",-5,IF(BJ296="Close to 52 week high or retracement",5,IF(BJ296="Blue sky scenario",10,IF(BJ296="Long term Downtrend",-10,0))))</f>
        <v/>
      </c>
      <c r="BL296" s="31" t="inlineStr">
        <is>
          <t>Yes</t>
        </is>
      </c>
      <c r="BM296" s="31">
        <f>IF(BL296="Yes",10,0)</f>
        <v/>
      </c>
      <c r="BN296" s="31" t="inlineStr">
        <is>
          <t>Less than 12%</t>
        </is>
      </c>
      <c r="BO296" s="31">
        <f>IF(BN296="More than 20%",10,IF(BN296="Between 12 to 20%",5,IF(BN296="Less than 12%",0,0)))</f>
        <v/>
      </c>
      <c r="BP296" s="31" t="inlineStr">
        <is>
          <t>No</t>
        </is>
      </c>
      <c r="BQ296" s="31">
        <f>IF(BP296="No",10,0)</f>
        <v/>
      </c>
      <c r="BR296" s="31" t="inlineStr">
        <is>
          <t>No</t>
        </is>
      </c>
      <c r="BS296" s="31">
        <f>IF(BR296="NO",5,0)</f>
        <v/>
      </c>
      <c r="BT296" s="31" t="inlineStr">
        <is>
          <t>Above 2</t>
        </is>
      </c>
      <c r="BU296" s="31">
        <f>IF(BT296="Above 2",0,IF(BT296="Between 1.5 to 2",5,IF(BT296="Less than 1.5",10,0)))</f>
        <v/>
      </c>
      <c r="BV296" s="31" t="inlineStr">
        <is>
          <t>Above 70%</t>
        </is>
      </c>
      <c r="BW296" s="31">
        <f>IF(BV296="Above 70%",10,IF(BV296="Between 50% to 70%",5,IF(BV296="Less than 50%",0,IF(BV296="Negative",-10,IF(BV296="Less than 50% and Borrowings are increasing",-5,0)))))</f>
        <v/>
      </c>
      <c r="BX296" s="31" t="inlineStr">
        <is>
          <t>Less than 0.7</t>
        </is>
      </c>
      <c r="BY296" s="31">
        <f>IF(BX296="More than 1.2",-10,IF(BX296="Between 0.7 to 1.2",0,IF(BX296="Less than 0.7",10,0)))</f>
        <v/>
      </c>
      <c r="BZ296" s="31" t="inlineStr">
        <is>
          <t>No</t>
        </is>
      </c>
      <c r="CA296" s="31">
        <f>IF(BZ296="Yes",-10,0)</f>
        <v/>
      </c>
      <c r="CB296" s="31" t="inlineStr">
        <is>
          <t>Less than 15%</t>
        </is>
      </c>
      <c r="CC296" s="31">
        <f>IF(CB296="More than 15%",-10,IF(CB296="Less than 15%",10,0))</f>
        <v/>
      </c>
      <c r="CD296" s="31" t="inlineStr">
        <is>
          <t>No</t>
        </is>
      </c>
      <c r="CE296" s="31">
        <f>IF(CD296="Yes, more than 10%",-10,IF(CD296="No",10,0))</f>
        <v/>
      </c>
    </row>
    <row r="297">
      <c r="A297" s="31">
        <f>IF(B297=0,"",RANK(B297,$B$2:$B$372,0))</f>
        <v/>
      </c>
      <c r="B297" s="32">
        <f>SUM(N297,Y297,AA297,AC297,AE297,AG297,AI297,AK297,AM297,AO297,AQ297,AS297,AU297,AW297,AY297,BA297,BC297,BE297,BG297,BI297,BK297,BM297,BO297,BQ297,BS297,BU297,BW297,BY297,CA297,CC297,CE297)</f>
        <v/>
      </c>
      <c r="C297" s="33" t="inlineStr">
        <is>
          <t>MAZDOCK</t>
        </is>
      </c>
      <c r="D297" s="33" t="inlineStr">
        <is>
          <t>Mazagon Dock Shipbuilders Ltd</t>
        </is>
      </c>
      <c r="E297" s="31" t="inlineStr">
        <is>
          <t>aerospace &amp; defence</t>
        </is>
      </c>
      <c r="F297" s="31" t="inlineStr">
        <is>
          <t>miscellaneous</t>
        </is>
      </c>
      <c r="G297" s="31" t="inlineStr">
        <is>
          <t>largecap</t>
        </is>
      </c>
      <c r="H297" s="32" t="n">
        <v>105282.18</v>
      </c>
      <c r="I297" s="32" t="n">
        <v>2625</v>
      </c>
      <c r="J297" s="32" t="n">
        <v>0.57</v>
      </c>
      <c r="K297" s="32" t="n">
        <v>1698259</v>
      </c>
      <c r="L297" s="31" t="n">
        <v>7</v>
      </c>
      <c r="M297" s="31" t="inlineStr">
        <is>
          <t>Underperforming</t>
        </is>
      </c>
      <c r="N297" s="32">
        <f>IF(M297="Underperforming",-5,IF(L297&gt;=95,15,IF(L297&gt;=90,10,IF(L297&gt;=80,5,0))))</f>
        <v/>
      </c>
      <c r="O297" s="32" t="n">
        <v>56.81</v>
      </c>
      <c r="P297" s="32" t="n">
        <v>8.539999999999999</v>
      </c>
      <c r="Q297" s="32" t="n">
        <v>2162.05</v>
      </c>
      <c r="R297" s="31" t="inlineStr">
        <is>
          <t>Earnings / Momentum Support</t>
        </is>
      </c>
      <c r="S297" s="31" t="inlineStr">
        <is>
          <t>Nifty 500</t>
        </is>
      </c>
      <c r="T297" s="32" t="n">
        <v>4.88</v>
      </c>
      <c r="U297" s="32" t="n">
        <v>1.65</v>
      </c>
      <c r="V297" s="32" t="n">
        <v>-3.08</v>
      </c>
      <c r="W297" s="32" t="n">
        <v>2.21</v>
      </c>
      <c r="X297" s="31" t="inlineStr">
        <is>
          <t>Growing Industry</t>
        </is>
      </c>
      <c r="Y297" s="31">
        <f>IF(X297="Growing Industry",10,IF(X297="Cyclical in an Upturn",5,0))</f>
        <v/>
      </c>
      <c r="Z297" s="31" t="inlineStr">
        <is>
          <t>Too Many Players with High ROCE</t>
        </is>
      </c>
      <c r="AA297" s="31">
        <f>IF(Z297="Monopoly",10,IF(Z297="Oligopoly",5,IF(Z297="Duopoly that cooperate",10,IF(Z297="Duopoly that compete",5,IF(Z297="Too many players with High ROCE",5,0)))))</f>
        <v/>
      </c>
      <c r="AB297" s="31" t="inlineStr">
        <is>
          <t>No</t>
        </is>
      </c>
      <c r="AC297" s="31">
        <f>IF(AB297="No",5,0)</f>
        <v/>
      </c>
      <c r="AD297" s="31" t="inlineStr">
        <is>
          <t>Tailwind</t>
        </is>
      </c>
      <c r="AE297" s="31">
        <f>IF(AD297="Tailwind",10,0)</f>
        <v/>
      </c>
      <c r="AF297" s="31" t="inlineStr">
        <is>
          <t>Structural (10 Years Consistency)</t>
        </is>
      </c>
      <c r="AG297" s="31">
        <f>IF(AF297="Structural (10 Years Consistency)",10,IF(AF297="Shallow Cyclical (2 to 3 years growth)",5,0))</f>
        <v/>
      </c>
      <c r="AH297" s="31" t="inlineStr">
        <is>
          <t>No</t>
        </is>
      </c>
      <c r="AI297" s="31">
        <f>IF(AH297="Yes due to Product Mix change or Operating Leverage",10,IF(AH297="Yes, these are peak margins",-5,IF(AH297="No",5,0)))</f>
        <v/>
      </c>
      <c r="AJ297" s="31" t="inlineStr">
        <is>
          <t>Stable</t>
        </is>
      </c>
      <c r="AK297" s="31">
        <f>IF(AJ297="Stable",10,0)</f>
        <v/>
      </c>
      <c r="AL297" s="31" t="inlineStr">
        <is>
          <t>Yes</t>
        </is>
      </c>
      <c r="AM297" s="31">
        <f>IF(AL297="Yes",10,0)</f>
        <v/>
      </c>
      <c r="AN297" s="31" t="inlineStr">
        <is>
          <t>B2B</t>
        </is>
      </c>
      <c r="AO297" s="31">
        <f>IF(AN297="B2C",10,IF(AN297="B2B",5,0))</f>
        <v/>
      </c>
      <c r="AP297" s="31" t="inlineStr">
        <is>
          <t>No</t>
        </is>
      </c>
      <c r="AQ297" s="31">
        <f>IF(AP297="Yes",10,0)</f>
        <v/>
      </c>
      <c r="AR297" s="31" t="inlineStr">
        <is>
          <t>Higher One Time, Lower Annuity</t>
        </is>
      </c>
      <c r="AS297" s="31">
        <f>IF(AR297="Fully Annuity",10,IF(AR297="Higher Annuity, Lower One Time",5,IF(AR297="Higher One Time, Lower Annuity",3,0)))</f>
        <v/>
      </c>
      <c r="AT297" s="31" t="inlineStr">
        <is>
          <t>Good</t>
        </is>
      </c>
      <c r="AU297" s="31">
        <f>IF(AT297="Good",10,0)</f>
        <v/>
      </c>
      <c r="AV297" s="31" t="inlineStr">
        <is>
          <t>Yes for more than 2 years</t>
        </is>
      </c>
      <c r="AW297" s="31">
        <f>IF(AV297="Yes for more than 2 years",10,IF(AV297="Yes only for next 1 to 2 years",5,0))</f>
        <v/>
      </c>
      <c r="AX297" s="31" t="inlineStr">
        <is>
          <t>0 to 20</t>
        </is>
      </c>
      <c r="AY297" s="31">
        <f>IF(AX297="Above 40",20,IF(AX297="20 to 40",10,IF(AX297="0 to 20",-5,0)))</f>
        <v/>
      </c>
      <c r="AZ297" s="31" t="inlineStr">
        <is>
          <t>Between 50 to 75</t>
        </is>
      </c>
      <c r="BA297" s="31">
        <f>IF(AZ297="Between 50 to 75",10,IF(AZ297="Above 75",0,0))</f>
        <v/>
      </c>
      <c r="BB297" s="31" t="inlineStr">
        <is>
          <t>Stage 2</t>
        </is>
      </c>
      <c r="BC297" s="31">
        <f>IF(BB297="Stage 2",20,IF(BB297="Stage 1",0,IF(BB297="Stage 3",5,IF(BB297="Stage 4",-5,0))))</f>
        <v/>
      </c>
      <c r="BD297" s="31" t="inlineStr">
        <is>
          <t>Positive Trend</t>
        </is>
      </c>
      <c r="BE297" s="31">
        <f>IF(BD297="Positive Trend",20,IF(BD297="Negative Trend",-10,0))</f>
        <v/>
      </c>
      <c r="BF297" s="31" t="inlineStr">
        <is>
          <t>Uptrend</t>
        </is>
      </c>
      <c r="BG297" s="31">
        <f>IF(BF297="Uptrend",10,IF(BF297="Sideways",5,0))</f>
        <v/>
      </c>
      <c r="BH297" s="31" t="inlineStr">
        <is>
          <t>Uptrend</t>
        </is>
      </c>
      <c r="BI297" s="31">
        <f>IF(BH297="Uptrend",10,IF(BH297="Sideways",5,0))</f>
        <v/>
      </c>
      <c r="BJ297" s="31" t="inlineStr">
        <is>
          <t>Close to 52 week high or retracement</t>
        </is>
      </c>
      <c r="BK297" s="31">
        <f>IF(BJ297="Overhead supply in last 2 years in last 2 years",-5,IF(BJ297="Close to 52 week high or retracement",5,IF(BJ297="Blue sky scenario",10,IF(BJ297="Long term Downtrend",-10,0))))</f>
        <v/>
      </c>
      <c r="BL297" s="31" t="inlineStr">
        <is>
          <t>Yes</t>
        </is>
      </c>
      <c r="BM297" s="31">
        <f>IF(BL297="Yes",10,0)</f>
        <v/>
      </c>
      <c r="BN297" s="31" t="inlineStr">
        <is>
          <t>More than 20%</t>
        </is>
      </c>
      <c r="BO297" s="31">
        <f>IF(BN297="More than 20%",10,IF(BN297="Between 12 to 20%",5,IF(BN297="Less than 12%",0,0)))</f>
        <v/>
      </c>
      <c r="BP297" s="31" t="inlineStr">
        <is>
          <t>No</t>
        </is>
      </c>
      <c r="BQ297" s="31">
        <f>IF(BP297="No",10,0)</f>
        <v/>
      </c>
      <c r="BR297" s="31" t="inlineStr">
        <is>
          <t>No</t>
        </is>
      </c>
      <c r="BS297" s="31">
        <f>IF(BR297="NO",5,0)</f>
        <v/>
      </c>
      <c r="BT297" s="31" t="inlineStr">
        <is>
          <t>Between 1.5 to 2</t>
        </is>
      </c>
      <c r="BU297" s="31">
        <f>IF(BT297="Above 2",0,IF(BT297="Between 1.5 to 2",5,IF(BT297="Less than 1.5",10,0)))</f>
        <v/>
      </c>
      <c r="BV297" s="31" t="inlineStr">
        <is>
          <t>Above 70%</t>
        </is>
      </c>
      <c r="BW297" s="31">
        <f>IF(BV297="Above 70%",10,IF(BV297="Between 50% to 70%",5,IF(BV297="Less than 50%",0,IF(BV297="Negative",-10,IF(BV297="Less than 50% and Borrowings are increasing",-5,0)))))</f>
        <v/>
      </c>
      <c r="BX297" s="31" t="inlineStr">
        <is>
          <t>Less than 0.7</t>
        </is>
      </c>
      <c r="BY297" s="31">
        <f>IF(BX297="More than 1.2",-10,IF(BX297="Between 0.7 to 1.2",0,IF(BX297="Less than 0.7",10,0)))</f>
        <v/>
      </c>
      <c r="BZ297" s="31" t="inlineStr">
        <is>
          <t>No</t>
        </is>
      </c>
      <c r="CA297" s="31">
        <f>IF(BZ297="Yes",-10,0)</f>
        <v/>
      </c>
      <c r="CB297" s="31" t="inlineStr">
        <is>
          <t>Less than 15%</t>
        </is>
      </c>
      <c r="CC297" s="31">
        <f>IF(CB297="More than 15%",-10,IF(CB297="Less than 15%",10,0))</f>
        <v/>
      </c>
      <c r="CD297" s="31" t="inlineStr">
        <is>
          <t>No</t>
        </is>
      </c>
      <c r="CE297" s="31">
        <f>IF(CD297="Yes, more than 10%",-10,IF(CD297="No",10,0))</f>
        <v/>
      </c>
    </row>
    <row r="298">
      <c r="A298" s="31">
        <f>IF(B298=0,"",RANK(B298,$B$2:$B$372,0))</f>
        <v/>
      </c>
      <c r="B298" s="32">
        <f>SUM(N298,Y298,AA298,AC298,AE298,AG298,AI298,AK298,AM298,AO298,AQ298,AS298,AU298,AW298,AY298,BA298,BC298,BE298,BG298,BI298,BK298,BM298,BO298,BQ298,BS298,BU298,BW298,BY298,CA298,CC298,CE298)</f>
        <v/>
      </c>
      <c r="C298" s="31" t="inlineStr">
        <is>
          <t>UNOMINDA</t>
        </is>
      </c>
      <c r="D298" s="31" t="inlineStr">
        <is>
          <t>Uno Minda Ltd</t>
        </is>
      </c>
      <c r="E298" s="31" t="inlineStr">
        <is>
          <t>auto</t>
        </is>
      </c>
      <c r="F298" s="31" t="inlineStr">
        <is>
          <t>auto ancillaries</t>
        </is>
      </c>
      <c r="G298" s="31" t="inlineStr">
        <is>
          <t>largecap</t>
        </is>
      </c>
      <c r="H298" s="32" t="n">
        <v>72379.74000000001</v>
      </c>
      <c r="I298" s="32" t="n">
        <v>1260</v>
      </c>
      <c r="J298" s="32" t="n">
        <v>0.53</v>
      </c>
      <c r="K298" s="32" t="n">
        <v>788235</v>
      </c>
      <c r="L298" s="31" t="inlineStr"/>
      <c r="M298" s="31" t="inlineStr"/>
      <c r="N298" s="32">
        <f>IF(M298="Underperforming",-5,IF(L298&gt;=95,15,IF(L298&gt;=90,10,IF(L298&gt;=80,5,0))))</f>
        <v/>
      </c>
      <c r="O298" s="32" t="n">
        <v>59.86</v>
      </c>
      <c r="P298" s="32" t="n">
        <v>18.93</v>
      </c>
      <c r="Q298" s="32" t="n">
        <v>1065.39</v>
      </c>
      <c r="R298" s="31" t="inlineStr">
        <is>
          <t>Near 52W High Breakout</t>
        </is>
      </c>
      <c r="S298" s="31" t="inlineStr">
        <is>
          <t>Nifty Auto</t>
        </is>
      </c>
      <c r="T298" s="32" t="inlineStr"/>
      <c r="U298" s="32" t="inlineStr"/>
      <c r="V298" s="32" t="inlineStr"/>
      <c r="W298" s="32" t="inlineStr"/>
      <c r="X298" s="31" t="inlineStr">
        <is>
          <t>Growing Industry</t>
        </is>
      </c>
      <c r="Y298" s="31">
        <f>IF(X298="Growing Industry",10,IF(X298="Cyclical in an Upturn",5,0))</f>
        <v/>
      </c>
      <c r="Z298" s="31" t="inlineStr">
        <is>
          <t>Too Many Players with High ROCE</t>
        </is>
      </c>
      <c r="AA298" s="31">
        <f>IF(Z298="Monopoly",10,IF(Z298="Oligopoly",5,IF(Z298="Duopoly that cooperate",10,IF(Z298="Duopoly that compete",5,IF(Z298="Too many players with High ROCE",5,0)))))</f>
        <v/>
      </c>
      <c r="AB298" s="31" t="inlineStr">
        <is>
          <t>No</t>
        </is>
      </c>
      <c r="AC298" s="31">
        <f>IF(AB298="No",5,0)</f>
        <v/>
      </c>
      <c r="AD298" s="31" t="inlineStr">
        <is>
          <t>Tailwind</t>
        </is>
      </c>
      <c r="AE298" s="31">
        <f>IF(AD298="Tailwind",10,0)</f>
        <v/>
      </c>
      <c r="AF298" s="31" t="inlineStr">
        <is>
          <t>Structural (10 Years Consistency)</t>
        </is>
      </c>
      <c r="AG298" s="31">
        <f>IF(AF298="Structural (10 Years Consistency)",10,IF(AF298="Shallow Cyclical (2 to 3 years growth)",5,0))</f>
        <v/>
      </c>
      <c r="AH298" s="31" t="inlineStr">
        <is>
          <t>No</t>
        </is>
      </c>
      <c r="AI298" s="31">
        <f>IF(AH298="Yes due to Product Mix change or Operating Leverage",10,IF(AH298="Yes, these are peak margins",-5,IF(AH298="No",5,0)))</f>
        <v/>
      </c>
      <c r="AJ298" s="31" t="inlineStr">
        <is>
          <t>Stable</t>
        </is>
      </c>
      <c r="AK298" s="31">
        <f>IF(AJ298="Stable",10,0)</f>
        <v/>
      </c>
      <c r="AL298" s="31" t="inlineStr">
        <is>
          <t>Yes</t>
        </is>
      </c>
      <c r="AM298" s="31">
        <f>IF(AL298="Yes",10,0)</f>
        <v/>
      </c>
      <c r="AN298" s="31" t="inlineStr">
        <is>
          <t>B2B</t>
        </is>
      </c>
      <c r="AO298" s="31">
        <f>IF(AN298="B2C",10,IF(AN298="B2B",5,0))</f>
        <v/>
      </c>
      <c r="AP298" s="31" t="inlineStr">
        <is>
          <t>Yes</t>
        </is>
      </c>
      <c r="AQ298" s="31">
        <f>IF(AP298="Yes",10,0)</f>
        <v/>
      </c>
      <c r="AR298" s="31" t="inlineStr">
        <is>
          <t>Higher One Time, Lower Annuity</t>
        </is>
      </c>
      <c r="AS298" s="31">
        <f>IF(AR298="Fully Annuity",10,IF(AR298="Higher Annuity, Lower One Time",5,IF(AR298="Higher One Time, Lower Annuity",3,0)))</f>
        <v/>
      </c>
      <c r="AT298" s="31" t="inlineStr">
        <is>
          <t>Good</t>
        </is>
      </c>
      <c r="AU298" s="31">
        <f>IF(AT298="Good",10,0)</f>
        <v/>
      </c>
      <c r="AV298" s="31" t="inlineStr">
        <is>
          <t>Yes for more than 2 years</t>
        </is>
      </c>
      <c r="AW298" s="31">
        <f>IF(AV298="Yes for more than 2 years",10,IF(AV298="Yes only for next 1 to 2 years",5,0))</f>
        <v/>
      </c>
      <c r="AX298" s="31" t="inlineStr">
        <is>
          <t>0 to 20</t>
        </is>
      </c>
      <c r="AY298" s="31">
        <f>IF(AX298="Above 40",20,IF(AX298="20 to 40",10,IF(AX298="0 to 20",-5,0)))</f>
        <v/>
      </c>
      <c r="AZ298" s="31" t="inlineStr">
        <is>
          <t>Between 50 to 75</t>
        </is>
      </c>
      <c r="BA298" s="31">
        <f>IF(AZ298="Between 50 to 75",10,IF(AZ298="Above 75",0,0))</f>
        <v/>
      </c>
      <c r="BB298" s="31" t="inlineStr">
        <is>
          <t>Stage 2</t>
        </is>
      </c>
      <c r="BC298" s="31">
        <f>IF(BB298="Stage 2",20,IF(BB298="Stage 1",0,IF(BB298="Stage 3",5,IF(BB298="Stage 4",-5,0))))</f>
        <v/>
      </c>
      <c r="BD298" s="31" t="inlineStr">
        <is>
          <t>Positive Trend</t>
        </is>
      </c>
      <c r="BE298" s="31">
        <f>IF(BD298="Positive Trend",20,IF(BD298="Negative Trend",-10,0))</f>
        <v/>
      </c>
      <c r="BF298" s="31" t="inlineStr">
        <is>
          <t>Uptrend</t>
        </is>
      </c>
      <c r="BG298" s="31">
        <f>IF(BF298="Uptrend",10,IF(BF298="Sideways",5,0))</f>
        <v/>
      </c>
      <c r="BH298" s="31" t="inlineStr">
        <is>
          <t>Uptrend</t>
        </is>
      </c>
      <c r="BI298" s="31">
        <f>IF(BH298="Uptrend",10,IF(BH298="Sideways",5,0))</f>
        <v/>
      </c>
      <c r="BJ298" s="31" t="inlineStr">
        <is>
          <t>Blue sky scenario</t>
        </is>
      </c>
      <c r="BK298" s="31">
        <f>IF(BJ298="Overhead supply in last 2 years in last 2 years",-5,IF(BJ298="Close to 52 week high or retracement",5,IF(BJ298="Blue sky scenario",10,IF(BJ298="Long term Downtrend",-10,0))))</f>
        <v/>
      </c>
      <c r="BL298" s="31" t="inlineStr">
        <is>
          <t>Yes</t>
        </is>
      </c>
      <c r="BM298" s="31">
        <f>IF(BL298="Yes",10,0)</f>
        <v/>
      </c>
      <c r="BN298" s="31" t="inlineStr">
        <is>
          <t>Less than 12%</t>
        </is>
      </c>
      <c r="BO298" s="31">
        <f>IF(BN298="More than 20%",10,IF(BN298="Between 12 to 20%",5,IF(BN298="Less than 12%",0,0)))</f>
        <v/>
      </c>
      <c r="BP298" s="31" t="inlineStr">
        <is>
          <t>No</t>
        </is>
      </c>
      <c r="BQ298" s="31">
        <f>IF(BP298="No",10,0)</f>
        <v/>
      </c>
      <c r="BR298" s="31" t="inlineStr">
        <is>
          <t>Yes</t>
        </is>
      </c>
      <c r="BS298" s="31">
        <f>IF(BR298="NO",5,0)</f>
        <v/>
      </c>
      <c r="BT298" s="31" t="inlineStr">
        <is>
          <t>Above 2</t>
        </is>
      </c>
      <c r="BU298" s="31">
        <f>IF(BT298="Above 2",0,IF(BT298="Between 1.5 to 2",5,IF(BT298="Less than 1.5",10,0)))</f>
        <v/>
      </c>
      <c r="BV298" s="31" t="inlineStr">
        <is>
          <t>Above 70%</t>
        </is>
      </c>
      <c r="BW298" s="31">
        <f>IF(BV298="Above 70%",10,IF(BV298="Between 50% to 70%",5,IF(BV298="Less than 50%",0,IF(BV298="Negative",-10,IF(BV298="Less than 50% and Borrowings are increasing",-5,0)))))</f>
        <v/>
      </c>
      <c r="BX298" s="31" t="inlineStr">
        <is>
          <t>Less than 0.7</t>
        </is>
      </c>
      <c r="BY298" s="31">
        <f>IF(BX298="More than 1.2",-10,IF(BX298="Between 0.7 to 1.2",0,IF(BX298="Less than 0.7",10,0)))</f>
        <v/>
      </c>
      <c r="BZ298" s="31" t="inlineStr">
        <is>
          <t>No</t>
        </is>
      </c>
      <c r="CA298" s="31">
        <f>IF(BZ298="Yes",-10,0)</f>
        <v/>
      </c>
      <c r="CB298" s="31" t="inlineStr">
        <is>
          <t>Less than 15%</t>
        </is>
      </c>
      <c r="CC298" s="31">
        <f>IF(CB298="More than 15%",-10,IF(CB298="Less than 15%",10,0))</f>
        <v/>
      </c>
      <c r="CD298" s="31" t="inlineStr">
        <is>
          <t>No</t>
        </is>
      </c>
      <c r="CE298" s="31">
        <f>IF(CD298="Yes, more than 10%",-10,IF(CD298="No",10,0))</f>
        <v/>
      </c>
    </row>
    <row r="299">
      <c r="A299" s="31">
        <f>IF(B299=0,"",RANK(B299,$B$2:$B$372,0))</f>
        <v/>
      </c>
      <c r="B299" s="32">
        <f>SUM(N299,Y299,AA299,AC299,AE299,AG299,AI299,AK299,AM299,AO299,AQ299,AS299,AU299,AW299,AY299,BA299,BC299,BE299,BG299,BI299,BK299,BM299,BO299,BQ299,BS299,BU299,BW299,BY299,CA299,CC299,CE299)</f>
        <v/>
      </c>
      <c r="C299" s="31" t="inlineStr">
        <is>
          <t>NATIONALUM</t>
        </is>
      </c>
      <c r="D299" s="31" t="inlineStr">
        <is>
          <t>National Aluminium Company Limited</t>
        </is>
      </c>
      <c r="E299" s="31" t="inlineStr">
        <is>
          <t>metals &amp; mining</t>
        </is>
      </c>
      <c r="F299" s="31" t="inlineStr">
        <is>
          <t>aluminium and aluminium products</t>
        </is>
      </c>
      <c r="G299" s="31" t="inlineStr">
        <is>
          <t>largecap</t>
        </is>
      </c>
      <c r="H299" s="32" t="n">
        <v>73061.21000000001</v>
      </c>
      <c r="I299" s="32" t="n">
        <v>399.3</v>
      </c>
      <c r="J299" s="32" t="n">
        <v>0.38</v>
      </c>
      <c r="K299" s="32" t="n">
        <v>3062370</v>
      </c>
      <c r="L299" s="31" t="inlineStr"/>
      <c r="M299" s="31" t="inlineStr"/>
      <c r="N299" s="32">
        <f>IF(M299="Underperforming",-5,IF(L299&gt;=95,15,IF(L299&gt;=90,10,IF(L299&gt;=80,5,0))))</f>
        <v/>
      </c>
      <c r="O299" s="32" t="n">
        <v>59.62</v>
      </c>
      <c r="P299" s="32" t="n">
        <v>24.39</v>
      </c>
      <c r="Q299" s="32" t="n">
        <v>336.08</v>
      </c>
      <c r="R299" s="31" t="inlineStr">
        <is>
          <t>Earnings / Momentum Support</t>
        </is>
      </c>
      <c r="S299" s="31" t="inlineStr">
        <is>
          <t>Nifty Metal</t>
        </is>
      </c>
      <c r="T299" s="32" t="inlineStr"/>
      <c r="U299" s="32" t="inlineStr"/>
      <c r="V299" s="32" t="inlineStr"/>
      <c r="W299" s="32" t="inlineStr"/>
      <c r="X299" s="31" t="inlineStr">
        <is>
          <t>Cyclical in an Upturn</t>
        </is>
      </c>
      <c r="Y299" s="31">
        <f>IF(X299="Growing Industry",10,IF(X299="Cyclical in an Upturn",5,0))</f>
        <v/>
      </c>
      <c r="Z299" s="31" t="inlineStr">
        <is>
          <t>Too Many Players with High ROCE</t>
        </is>
      </c>
      <c r="AA299" s="31">
        <f>IF(Z299="Monopoly",10,IF(Z299="Oligopoly",5,IF(Z299="Duopoly that cooperate",10,IF(Z299="Duopoly that compete",5,IF(Z299="Too many players with High ROCE",5,0)))))</f>
        <v/>
      </c>
      <c r="AB299" s="31" t="inlineStr">
        <is>
          <t>No</t>
        </is>
      </c>
      <c r="AC299" s="31">
        <f>IF(AB299="No",5,0)</f>
        <v/>
      </c>
      <c r="AD299" s="31" t="inlineStr">
        <is>
          <t>Tailwind</t>
        </is>
      </c>
      <c r="AE299" s="31">
        <f>IF(AD299="Tailwind",10,0)</f>
        <v/>
      </c>
      <c r="AF299" s="31" t="inlineStr">
        <is>
          <t>Cyclical</t>
        </is>
      </c>
      <c r="AG299" s="31">
        <f>IF(AF299="Structural (10 Years Consistency)",10,IF(AF299="Shallow Cyclical (2 to 3 years growth)",5,0))</f>
        <v/>
      </c>
      <c r="AH299" s="31" t="inlineStr">
        <is>
          <t>No</t>
        </is>
      </c>
      <c r="AI299" s="31">
        <f>IF(AH299="Yes due to Product Mix change or Operating Leverage",10,IF(AH299="Yes, these are peak margins",-5,IF(AH299="No",5,0)))</f>
        <v/>
      </c>
      <c r="AJ299" s="31" t="inlineStr">
        <is>
          <t>Volatile</t>
        </is>
      </c>
      <c r="AK299" s="31">
        <f>IF(AJ299="Stable",10,0)</f>
        <v/>
      </c>
      <c r="AL299" s="31" t="inlineStr">
        <is>
          <t>Yes</t>
        </is>
      </c>
      <c r="AM299" s="31">
        <f>IF(AL299="Yes",10,0)</f>
        <v/>
      </c>
      <c r="AN299" s="31" t="inlineStr">
        <is>
          <t>B2B</t>
        </is>
      </c>
      <c r="AO299" s="31">
        <f>IF(AN299="B2C",10,IF(AN299="B2B",5,0))</f>
        <v/>
      </c>
      <c r="AP299" s="31" t="inlineStr">
        <is>
          <t>No</t>
        </is>
      </c>
      <c r="AQ299" s="31">
        <f>IF(AP299="Yes",10,0)</f>
        <v/>
      </c>
      <c r="AR299" s="31" t="inlineStr">
        <is>
          <t>Higher One Time, Lower Annuity</t>
        </is>
      </c>
      <c r="AS299" s="31">
        <f>IF(AR299="Fully Annuity",10,IF(AR299="Higher Annuity, Lower One Time",5,IF(AR299="Higher One Time, Lower Annuity",3,0)))</f>
        <v/>
      </c>
      <c r="AT299" s="31" t="inlineStr">
        <is>
          <t>Good</t>
        </is>
      </c>
      <c r="AU299" s="31">
        <f>IF(AT299="Good",10,0)</f>
        <v/>
      </c>
      <c r="AV299" s="31" t="inlineStr">
        <is>
          <t>Yes for more than 2 years</t>
        </is>
      </c>
      <c r="AW299" s="31">
        <f>IF(AV299="Yes for more than 2 years",10,IF(AV299="Yes only for next 1 to 2 years",5,0))</f>
        <v/>
      </c>
      <c r="AX299" s="31" t="inlineStr">
        <is>
          <t>20 to 40</t>
        </is>
      </c>
      <c r="AY299" s="31">
        <f>IF(AX299="Above 40",20,IF(AX299="20 to 40",10,IF(AX299="0 to 20",-5,0)))</f>
        <v/>
      </c>
      <c r="AZ299" s="31" t="inlineStr">
        <is>
          <t>Between 50 to 75</t>
        </is>
      </c>
      <c r="BA299" s="31">
        <f>IF(AZ299="Between 50 to 75",10,IF(AZ299="Above 75",0,0))</f>
        <v/>
      </c>
      <c r="BB299" s="31" t="inlineStr">
        <is>
          <t>Stage 2</t>
        </is>
      </c>
      <c r="BC299" s="31">
        <f>IF(BB299="Stage 2",20,IF(BB299="Stage 1",0,IF(BB299="Stage 3",5,IF(BB299="Stage 4",-5,0))))</f>
        <v/>
      </c>
      <c r="BD299" s="31" t="inlineStr">
        <is>
          <t>Positive Trend</t>
        </is>
      </c>
      <c r="BE299" s="31">
        <f>IF(BD299="Positive Trend",20,IF(BD299="Negative Trend",-10,0))</f>
        <v/>
      </c>
      <c r="BF299" s="31" t="inlineStr">
        <is>
          <t>Uptrend</t>
        </is>
      </c>
      <c r="BG299" s="31">
        <f>IF(BF299="Uptrend",10,IF(BF299="Sideways",5,0))</f>
        <v/>
      </c>
      <c r="BH299" s="31" t="inlineStr">
        <is>
          <t>Uptrend</t>
        </is>
      </c>
      <c r="BI299" s="31">
        <f>IF(BH299="Uptrend",10,IF(BH299="Sideways",5,0))</f>
        <v/>
      </c>
      <c r="BJ299" s="31" t="inlineStr">
        <is>
          <t>Close to 52 week high or retracement</t>
        </is>
      </c>
      <c r="BK299" s="31">
        <f>IF(BJ299="Overhead supply in last 2 years in last 2 years",-5,IF(BJ299="Close to 52 week high or retracement",5,IF(BJ299="Blue sky scenario",10,IF(BJ299="Long term Downtrend",-10,0))))</f>
        <v/>
      </c>
      <c r="BL299" s="31" t="inlineStr">
        <is>
          <t>Yes</t>
        </is>
      </c>
      <c r="BM299" s="31">
        <f>IF(BL299="Yes",10,0)</f>
        <v/>
      </c>
      <c r="BN299" s="31" t="inlineStr">
        <is>
          <t>More than 20%</t>
        </is>
      </c>
      <c r="BO299" s="31">
        <f>IF(BN299="More than 20%",10,IF(BN299="Between 12 to 20%",5,IF(BN299="Less than 12%",0,0)))</f>
        <v/>
      </c>
      <c r="BP299" s="31" t="inlineStr">
        <is>
          <t>No</t>
        </is>
      </c>
      <c r="BQ299" s="31">
        <f>IF(BP299="No",10,0)</f>
        <v/>
      </c>
      <c r="BR299" s="31" t="inlineStr">
        <is>
          <t>No</t>
        </is>
      </c>
      <c r="BS299" s="31">
        <f>IF(BR299="NO",5,0)</f>
        <v/>
      </c>
      <c r="BT299" s="31" t="inlineStr">
        <is>
          <t>Less than 1.5</t>
        </is>
      </c>
      <c r="BU299" s="31">
        <f>IF(BT299="Above 2",0,IF(BT299="Between 1.5 to 2",5,IF(BT299="Less than 1.5",10,0)))</f>
        <v/>
      </c>
      <c r="BV299" s="31" t="inlineStr">
        <is>
          <t>Above 70%</t>
        </is>
      </c>
      <c r="BW299" s="31">
        <f>IF(BV299="Above 70%",10,IF(BV299="Between 50% to 70%",5,IF(BV299="Less than 50%",0,IF(BV299="Negative",-10,IF(BV299="Less than 50% and Borrowings are increasing",-5,0)))))</f>
        <v/>
      </c>
      <c r="BX299" s="31" t="inlineStr">
        <is>
          <t>Less than 0.7</t>
        </is>
      </c>
      <c r="BY299" s="31">
        <f>IF(BX299="More than 1.2",-10,IF(BX299="Between 0.7 to 1.2",0,IF(BX299="Less than 0.7",10,0)))</f>
        <v/>
      </c>
      <c r="BZ299" s="31" t="inlineStr">
        <is>
          <t>No</t>
        </is>
      </c>
      <c r="CA299" s="31">
        <f>IF(BZ299="Yes",-10,0)</f>
        <v/>
      </c>
      <c r="CB299" s="31" t="inlineStr">
        <is>
          <t>Less than 15%</t>
        </is>
      </c>
      <c r="CC299" s="31">
        <f>IF(CB299="More than 15%",-10,IF(CB299="Less than 15%",10,0))</f>
        <v/>
      </c>
      <c r="CD299" s="31" t="inlineStr">
        <is>
          <t>No</t>
        </is>
      </c>
      <c r="CE299" s="31">
        <f>IF(CD299="Yes, more than 10%",-10,IF(CD299="No",10,0))</f>
        <v/>
      </c>
    </row>
    <row r="300">
      <c r="A300" s="31">
        <f>IF(B300=0,"",RANK(B300,$B$2:$B$372,0))</f>
        <v/>
      </c>
      <c r="B300" s="32">
        <f>SUM(N300,Y300,AA300,AC300,AE300,AG300,AI300,AK300,AM300,AO300,AQ300,AS300,AU300,AW300,AY300,BA300,BC300,BE300,BG300,BI300,BK300,BM300,BO300,BQ300,BS300,BU300,BW300,BY300,CA300,CC300,CE300)</f>
        <v/>
      </c>
      <c r="C300" s="31" t="inlineStr">
        <is>
          <t>MAXESTATES</t>
        </is>
      </c>
      <c r="D300" s="31" t="inlineStr">
        <is>
          <t>Max Estates Ltd</t>
        </is>
      </c>
      <c r="E300" s="31" t="inlineStr">
        <is>
          <t>realty</t>
        </is>
      </c>
      <c r="F300" s="31" t="inlineStr">
        <is>
          <t>construction</t>
        </is>
      </c>
      <c r="G300" s="31" t="inlineStr">
        <is>
          <t>midcap</t>
        </is>
      </c>
      <c r="H300" s="32" t="n">
        <v>9091.27</v>
      </c>
      <c r="I300" s="32" t="n">
        <v>558.05</v>
      </c>
      <c r="J300" s="32" t="n">
        <v>0.36</v>
      </c>
      <c r="K300" s="32" t="n">
        <v>707966</v>
      </c>
      <c r="L300" s="31" t="inlineStr"/>
      <c r="M300" s="31" t="inlineStr"/>
      <c r="N300" s="32">
        <f>IF(M300="Underperforming",-5,IF(L300&gt;=95,15,IF(L300&gt;=90,10,IF(L300&gt;=80,5,0))))</f>
        <v/>
      </c>
      <c r="O300" s="32" t="n">
        <v>71.06999999999999</v>
      </c>
      <c r="P300" s="32" t="n">
        <v>21.68</v>
      </c>
      <c r="Q300" s="32" t="n">
        <v>432.59</v>
      </c>
      <c r="R300" s="31" t="inlineStr">
        <is>
          <t>Volume Spike &amp; Near 52W High Breakout</t>
        </is>
      </c>
      <c r="S300" s="31" t="inlineStr">
        <is>
          <t>Nifty Realty</t>
        </is>
      </c>
      <c r="T300" s="32" t="inlineStr"/>
      <c r="U300" s="32" t="inlineStr"/>
      <c r="V300" s="32" t="inlineStr"/>
      <c r="W300" s="32" t="inlineStr"/>
      <c r="X300" s="31" t="inlineStr">
        <is>
          <t>Growing Industry</t>
        </is>
      </c>
      <c r="Y300" s="31">
        <f>IF(X300="Growing Industry",10,IF(X300="Cyclical in an Upturn",5,0))</f>
        <v/>
      </c>
      <c r="Z300" s="31" t="inlineStr">
        <is>
          <t>Too Many Players with High ROCE</t>
        </is>
      </c>
      <c r="AA300" s="31">
        <f>IF(Z300="Monopoly",10,IF(Z300="Oligopoly",5,IF(Z300="Duopoly that cooperate",10,IF(Z300="Duopoly that compete",5,IF(Z300="Too many players with High ROCE",5,0)))))</f>
        <v/>
      </c>
      <c r="AB300" s="31" t="inlineStr">
        <is>
          <t>No</t>
        </is>
      </c>
      <c r="AC300" s="31">
        <f>IF(AB300="No",5,0)</f>
        <v/>
      </c>
      <c r="AD300" s="31" t="inlineStr">
        <is>
          <t>Tailwind</t>
        </is>
      </c>
      <c r="AE300" s="31">
        <f>IF(AD300="Tailwind",10,0)</f>
        <v/>
      </c>
      <c r="AF300" s="31" t="inlineStr">
        <is>
          <t>Structural (10 Years Consistency)</t>
        </is>
      </c>
      <c r="AG300" s="31">
        <f>IF(AF300="Structural (10 Years Consistency)",10,IF(AF300="Shallow Cyclical (2 to 3 years growth)",5,0))</f>
        <v/>
      </c>
      <c r="AH300" s="31" t="inlineStr">
        <is>
          <t>No</t>
        </is>
      </c>
      <c r="AI300" s="31">
        <f>IF(AH300="Yes due to Product Mix change or Operating Leverage",10,IF(AH300="Yes, these are peak margins",-5,IF(AH300="No",5,0)))</f>
        <v/>
      </c>
      <c r="AJ300" s="31" t="inlineStr">
        <is>
          <t>Stable</t>
        </is>
      </c>
      <c r="AK300" s="31">
        <f>IF(AJ300="Stable",10,0)</f>
        <v/>
      </c>
      <c r="AL300" s="31" t="inlineStr">
        <is>
          <t>Yes</t>
        </is>
      </c>
      <c r="AM300" s="31">
        <f>IF(AL300="Yes",10,0)</f>
        <v/>
      </c>
      <c r="AN300" s="31" t="inlineStr">
        <is>
          <t>B2B</t>
        </is>
      </c>
      <c r="AO300" s="31">
        <f>IF(AN300="B2C",10,IF(AN300="B2B",5,0))</f>
        <v/>
      </c>
      <c r="AP300" s="31" t="inlineStr">
        <is>
          <t>Yes</t>
        </is>
      </c>
      <c r="AQ300" s="31">
        <f>IF(AP300="Yes",10,0)</f>
        <v/>
      </c>
      <c r="AR300" s="31" t="inlineStr">
        <is>
          <t>Higher One Time, Lower Annuity</t>
        </is>
      </c>
      <c r="AS300" s="31">
        <f>IF(AR300="Fully Annuity",10,IF(AR300="Higher Annuity, Lower One Time",5,IF(AR300="Higher One Time, Lower Annuity",3,0)))</f>
        <v/>
      </c>
      <c r="AT300" s="31" t="inlineStr">
        <is>
          <t>Good</t>
        </is>
      </c>
      <c r="AU300" s="31">
        <f>IF(AT300="Good",10,0)</f>
        <v/>
      </c>
      <c r="AV300" s="31" t="inlineStr">
        <is>
          <t>Yes for more than 2 years</t>
        </is>
      </c>
      <c r="AW300" s="31">
        <f>IF(AV300="Yes for more than 2 years",10,IF(AV300="Yes only for next 1 to 2 years",5,0))</f>
        <v/>
      </c>
      <c r="AX300" s="31" t="inlineStr">
        <is>
          <t>20 to 40</t>
        </is>
      </c>
      <c r="AY300" s="31">
        <f>IF(AX300="Above 40",20,IF(AX300="20 to 40",10,IF(AX300="0 to 20",-5,0)))</f>
        <v/>
      </c>
      <c r="AZ300" s="31" t="inlineStr">
        <is>
          <t>Between 50 to 75</t>
        </is>
      </c>
      <c r="BA300" s="31">
        <f>IF(AZ300="Between 50 to 75",10,IF(AZ300="Above 75",0,0))</f>
        <v/>
      </c>
      <c r="BB300" s="31" t="inlineStr">
        <is>
          <t>Stage 2</t>
        </is>
      </c>
      <c r="BC300" s="31">
        <f>IF(BB300="Stage 2",20,IF(BB300="Stage 1",0,IF(BB300="Stage 3",5,IF(BB300="Stage 4",-5,0))))</f>
        <v/>
      </c>
      <c r="BD300" s="31" t="inlineStr">
        <is>
          <t>Positive Trend</t>
        </is>
      </c>
      <c r="BE300" s="31">
        <f>IF(BD300="Positive Trend",20,IF(BD300="Negative Trend",-10,0))</f>
        <v/>
      </c>
      <c r="BF300" s="31" t="inlineStr">
        <is>
          <t>Uptrend</t>
        </is>
      </c>
      <c r="BG300" s="31">
        <f>IF(BF300="Uptrend",10,IF(BF300="Sideways",5,0))</f>
        <v/>
      </c>
      <c r="BH300" s="31" t="inlineStr">
        <is>
          <t>Uptrend</t>
        </is>
      </c>
      <c r="BI300" s="31">
        <f>IF(BH300="Uptrend",10,IF(BH300="Sideways",5,0))</f>
        <v/>
      </c>
      <c r="BJ300" s="31" t="inlineStr">
        <is>
          <t>Close to 52 week high or retracement</t>
        </is>
      </c>
      <c r="BK300" s="31">
        <f>IF(BJ300="Overhead supply in last 2 years in last 2 years",-5,IF(BJ300="Close to 52 week high or retracement",5,IF(BJ300="Blue sky scenario",10,IF(BJ300="Long term Downtrend",-10,0))))</f>
        <v/>
      </c>
      <c r="BL300" s="31" t="inlineStr">
        <is>
          <t>Yes</t>
        </is>
      </c>
      <c r="BM300" s="31">
        <f>IF(BL300="Yes",10,0)</f>
        <v/>
      </c>
      <c r="BN300" s="31" t="inlineStr">
        <is>
          <t>Less than 12%</t>
        </is>
      </c>
      <c r="BO300" s="31">
        <f>IF(BN300="More than 20%",10,IF(BN300="Between 12 to 20%",5,IF(BN300="Less than 12%",0,0)))</f>
        <v/>
      </c>
      <c r="BP300" s="31" t="inlineStr">
        <is>
          <t>No</t>
        </is>
      </c>
      <c r="BQ300" s="31">
        <f>IF(BP300="No",10,0)</f>
        <v/>
      </c>
      <c r="BR300" s="31" t="inlineStr">
        <is>
          <t>Yes</t>
        </is>
      </c>
      <c r="BS300" s="31">
        <f>IF(BR300="NO",5,0)</f>
        <v/>
      </c>
      <c r="BT300" s="31" t="inlineStr">
        <is>
          <t>Above 2</t>
        </is>
      </c>
      <c r="BU300" s="31">
        <f>IF(BT300="Above 2",0,IF(BT300="Between 1.5 to 2",5,IF(BT300="Less than 1.5",10,0)))</f>
        <v/>
      </c>
      <c r="BV300" s="31" t="inlineStr">
        <is>
          <t>Above 70%</t>
        </is>
      </c>
      <c r="BW300" s="31">
        <f>IF(BV300="Above 70%",10,IF(BV300="Between 50% to 70%",5,IF(BV300="Less than 50%",0,IF(BV300="Negative",-10,IF(BV300="Less than 50% and Borrowings are increasing",-5,0)))))</f>
        <v/>
      </c>
      <c r="BX300" s="31" t="inlineStr">
        <is>
          <t>Between 0.7 to 1.2</t>
        </is>
      </c>
      <c r="BY300" s="31">
        <f>IF(BX300="More than 1.2",-10,IF(BX300="Between 0.7 to 1.2",0,IF(BX300="Less than 0.7",10,0)))</f>
        <v/>
      </c>
      <c r="BZ300" s="31" t="inlineStr">
        <is>
          <t>No</t>
        </is>
      </c>
      <c r="CA300" s="31">
        <f>IF(BZ300="Yes",-10,0)</f>
        <v/>
      </c>
      <c r="CB300" s="31" t="inlineStr">
        <is>
          <t>Less than 15%</t>
        </is>
      </c>
      <c r="CC300" s="31">
        <f>IF(CB300="More than 15%",-10,IF(CB300="Less than 15%",10,0))</f>
        <v/>
      </c>
      <c r="CD300" s="31" t="inlineStr">
        <is>
          <t>No</t>
        </is>
      </c>
      <c r="CE300" s="31">
        <f>IF(CD300="Yes, more than 10%",-10,IF(CD300="No",10,0))</f>
        <v/>
      </c>
    </row>
    <row r="301">
      <c r="A301" s="31">
        <f>IF(B301=0,"",RANK(B301,$B$2:$B$372,0))</f>
        <v/>
      </c>
      <c r="B301" s="32">
        <f>SUM(N301,Y301,AA301,AC301,AE301,AG301,AI301,AK301,AM301,AO301,AQ301,AS301,AU301,AW301,AY301,BA301,BC301,BE301,BG301,BI301,BK301,BM301,BO301,BQ301,BS301,BU301,BW301,BY301,CA301,CC301,CE301)</f>
        <v/>
      </c>
      <c r="C301" s="33" t="inlineStr">
        <is>
          <t>UDS</t>
        </is>
      </c>
      <c r="D301" s="33" t="inlineStr">
        <is>
          <t>Updater Services Ltd</t>
        </is>
      </c>
      <c r="E301" s="31" t="inlineStr">
        <is>
          <t>miscellaneous</t>
        </is>
      </c>
      <c r="F301" s="31" t="inlineStr">
        <is>
          <t>miscellaneous</t>
        </is>
      </c>
      <c r="G301" s="31" t="inlineStr">
        <is>
          <t>smallcap</t>
        </is>
      </c>
      <c r="H301" s="32" t="n">
        <v>1486.36</v>
      </c>
      <c r="I301" s="32" t="n">
        <v>221.92</v>
      </c>
      <c r="J301" s="32" t="n">
        <v>-0.04</v>
      </c>
      <c r="K301" s="32" t="n">
        <v>623398</v>
      </c>
      <c r="L301" s="31" t="n">
        <v>20</v>
      </c>
      <c r="M301" s="31" t="inlineStr">
        <is>
          <t>Underperforming</t>
        </is>
      </c>
      <c r="N301" s="32">
        <f>IF(M301="Underperforming",-5,IF(L301&gt;=95,15,IF(L301&gt;=90,10,IF(L301&gt;=80,5,0))))</f>
        <v/>
      </c>
      <c r="O301" s="32" t="n">
        <v>68.65000000000001</v>
      </c>
      <c r="P301" s="32" t="n">
        <v>36.16</v>
      </c>
      <c r="Q301" s="32" t="n">
        <v>173.52</v>
      </c>
      <c r="R301" s="31" t="inlineStr">
        <is>
          <t>Earnings / Momentum Support</t>
        </is>
      </c>
      <c r="S301" s="31" t="inlineStr">
        <is>
          <t>Nifty 50</t>
        </is>
      </c>
      <c r="T301" s="32" t="n">
        <v>-0.9</v>
      </c>
      <c r="U301" s="32" t="n">
        <v>-8.24</v>
      </c>
      <c r="V301" s="32" t="n">
        <v>-7.41</v>
      </c>
      <c r="W301" s="32" t="n">
        <v>5.95</v>
      </c>
      <c r="X301" s="31" t="inlineStr">
        <is>
          <t>Growing Industry</t>
        </is>
      </c>
      <c r="Y301" s="31">
        <f>IF(X301="Growing Industry",10,IF(X301="Cyclical in an Upturn",5,0))</f>
        <v/>
      </c>
      <c r="Z301" s="31" t="inlineStr">
        <is>
          <t>Too Many Players with High ROCE</t>
        </is>
      </c>
      <c r="AA301" s="31">
        <f>IF(Z301="Monopoly",10,IF(Z301="Oligopoly",5,IF(Z301="Duopoly that cooperate",10,IF(Z301="Duopoly that compete",5,IF(Z301="Too many players with High ROCE",5,0)))))</f>
        <v/>
      </c>
      <c r="AB301" s="31" t="inlineStr">
        <is>
          <t>No</t>
        </is>
      </c>
      <c r="AC301" s="31">
        <f>IF(AB301="No",5,0)</f>
        <v/>
      </c>
      <c r="AD301" s="31" t="inlineStr">
        <is>
          <t>Tailwind</t>
        </is>
      </c>
      <c r="AE301" s="31">
        <f>IF(AD301="Tailwind",10,0)</f>
        <v/>
      </c>
      <c r="AF301" s="31" t="inlineStr">
        <is>
          <t>Structural (10 Years Consistency)</t>
        </is>
      </c>
      <c r="AG301" s="31">
        <f>IF(AF301="Structural (10 Years Consistency)",10,IF(AF301="Shallow Cyclical (2 to 3 years growth)",5,0))</f>
        <v/>
      </c>
      <c r="AH301" s="31" t="inlineStr">
        <is>
          <t>No</t>
        </is>
      </c>
      <c r="AI301" s="31">
        <f>IF(AH301="Yes due to Product Mix change or Operating Leverage",10,IF(AH301="Yes, these are peak margins",-5,IF(AH301="No",5,0)))</f>
        <v/>
      </c>
      <c r="AJ301" s="31" t="inlineStr">
        <is>
          <t>Stable</t>
        </is>
      </c>
      <c r="AK301" s="31">
        <f>IF(AJ301="Stable",10,0)</f>
        <v/>
      </c>
      <c r="AL301" s="31" t="inlineStr">
        <is>
          <t>Yes</t>
        </is>
      </c>
      <c r="AM301" s="31">
        <f>IF(AL301="Yes",10,0)</f>
        <v/>
      </c>
      <c r="AN301" s="31" t="inlineStr">
        <is>
          <t>B2B</t>
        </is>
      </c>
      <c r="AO301" s="31">
        <f>IF(AN301="B2C",10,IF(AN301="B2B",5,0))</f>
        <v/>
      </c>
      <c r="AP301" s="31" t="inlineStr">
        <is>
          <t>No</t>
        </is>
      </c>
      <c r="AQ301" s="31">
        <f>IF(AP301="Yes",10,0)</f>
        <v/>
      </c>
      <c r="AR301" s="31" t="inlineStr">
        <is>
          <t>Higher One Time, Lower Annuity</t>
        </is>
      </c>
      <c r="AS301" s="31">
        <f>IF(AR301="Fully Annuity",10,IF(AR301="Higher Annuity, Lower One Time",5,IF(AR301="Higher One Time, Lower Annuity",3,0)))</f>
        <v/>
      </c>
      <c r="AT301" s="31" t="inlineStr">
        <is>
          <t>Good</t>
        </is>
      </c>
      <c r="AU301" s="31">
        <f>IF(AT301="Good",10,0)</f>
        <v/>
      </c>
      <c r="AV301" s="31" t="inlineStr">
        <is>
          <t>Yes for more than 2 years</t>
        </is>
      </c>
      <c r="AW301" s="31">
        <f>IF(AV301="Yes for more than 2 years",10,IF(AV301="Yes only for next 1 to 2 years",5,0))</f>
        <v/>
      </c>
      <c r="AX301" s="31" t="inlineStr">
        <is>
          <t>20 to 40</t>
        </is>
      </c>
      <c r="AY301" s="31">
        <f>IF(AX301="Above 40",20,IF(AX301="20 to 40",10,IF(AX301="0 to 20",-5,0)))</f>
        <v/>
      </c>
      <c r="AZ301" s="31" t="inlineStr">
        <is>
          <t>Between 50 to 75</t>
        </is>
      </c>
      <c r="BA301" s="31">
        <f>IF(AZ301="Between 50 to 75",10,IF(AZ301="Above 75",0,0))</f>
        <v/>
      </c>
      <c r="BB301" s="31" t="inlineStr">
        <is>
          <t>Stage 2</t>
        </is>
      </c>
      <c r="BC301" s="31">
        <f>IF(BB301="Stage 2",20,IF(BB301="Stage 1",0,IF(BB301="Stage 3",5,IF(BB301="Stage 4",-5,0))))</f>
        <v/>
      </c>
      <c r="BD301" s="31" t="inlineStr">
        <is>
          <t>Positive Trend</t>
        </is>
      </c>
      <c r="BE301" s="31">
        <f>IF(BD301="Positive Trend",20,IF(BD301="Negative Trend",-10,0))</f>
        <v/>
      </c>
      <c r="BF301" s="31" t="inlineStr">
        <is>
          <t>Uptrend</t>
        </is>
      </c>
      <c r="BG301" s="31">
        <f>IF(BF301="Uptrend",10,IF(BF301="Sideways",5,0))</f>
        <v/>
      </c>
      <c r="BH301" s="31" t="inlineStr">
        <is>
          <t>Uptrend</t>
        </is>
      </c>
      <c r="BI301" s="31">
        <f>IF(BH301="Uptrend",10,IF(BH301="Sideways",5,0))</f>
        <v/>
      </c>
      <c r="BJ301" s="31" t="inlineStr">
        <is>
          <t>Close to 52 week high or retracement</t>
        </is>
      </c>
      <c r="BK301" s="31">
        <f>IF(BJ301="Overhead supply in last 2 years in last 2 years",-5,IF(BJ301="Close to 52 week high or retracement",5,IF(BJ301="Blue sky scenario",10,IF(BJ301="Long term Downtrend",-10,0))))</f>
        <v/>
      </c>
      <c r="BL301" s="31" t="inlineStr">
        <is>
          <t>Yes</t>
        </is>
      </c>
      <c r="BM301" s="31">
        <f>IF(BL301="Yes",10,0)</f>
        <v/>
      </c>
      <c r="BN301" s="31" t="inlineStr">
        <is>
          <t>Less than 12%</t>
        </is>
      </c>
      <c r="BO301" s="31">
        <f>IF(BN301="More than 20%",10,IF(BN301="Between 12 to 20%",5,IF(BN301="Less than 12%",0,0)))</f>
        <v/>
      </c>
      <c r="BP301" s="31" t="inlineStr">
        <is>
          <t>No</t>
        </is>
      </c>
      <c r="BQ301" s="31">
        <f>IF(BP301="No",10,0)</f>
        <v/>
      </c>
      <c r="BR301" s="31" t="inlineStr">
        <is>
          <t>No</t>
        </is>
      </c>
      <c r="BS301" s="31">
        <f>IF(BR301="NO",5,0)</f>
        <v/>
      </c>
      <c r="BT301" s="31" t="inlineStr">
        <is>
          <t>Above 2</t>
        </is>
      </c>
      <c r="BU301" s="31">
        <f>IF(BT301="Above 2",0,IF(BT301="Between 1.5 to 2",5,IF(BT301="Less than 1.5",10,0)))</f>
        <v/>
      </c>
      <c r="BV301" s="31" t="inlineStr">
        <is>
          <t>Above 70%</t>
        </is>
      </c>
      <c r="BW301" s="31">
        <f>IF(BV301="Above 70%",10,IF(BV301="Between 50% to 70%",5,IF(BV301="Less than 50%",0,IF(BV301="Negative",-10,IF(BV301="Less than 50% and Borrowings are increasing",-5,0)))))</f>
        <v/>
      </c>
      <c r="BX301" s="31" t="inlineStr">
        <is>
          <t>Less than 0.7</t>
        </is>
      </c>
      <c r="BY301" s="31">
        <f>IF(BX301="More than 1.2",-10,IF(BX301="Between 0.7 to 1.2",0,IF(BX301="Less than 0.7",10,0)))</f>
        <v/>
      </c>
      <c r="BZ301" s="31" t="inlineStr">
        <is>
          <t>No</t>
        </is>
      </c>
      <c r="CA301" s="31">
        <f>IF(BZ301="Yes",-10,0)</f>
        <v/>
      </c>
      <c r="CB301" s="31" t="inlineStr">
        <is>
          <t>Less than 15%</t>
        </is>
      </c>
      <c r="CC301" s="31">
        <f>IF(CB301="More than 15%",-10,IF(CB301="Less than 15%",10,0))</f>
        <v/>
      </c>
      <c r="CD301" s="31" t="inlineStr">
        <is>
          <t>No</t>
        </is>
      </c>
      <c r="CE301" s="31">
        <f>IF(CD301="Yes, more than 10%",-10,IF(CD301="No",10,0))</f>
        <v/>
      </c>
    </row>
    <row r="302">
      <c r="A302" s="31">
        <f>IF(B302=0,"",RANK(B302,$B$2:$B$372,0))</f>
        <v/>
      </c>
      <c r="B302" s="32">
        <f>SUM(N302,Y302,AA302,AC302,AE302,AG302,AI302,AK302,AM302,AO302,AQ302,AS302,AU302,AW302,AY302,BA302,BC302,BE302,BG302,BI302,BK302,BM302,BO302,BQ302,BS302,BU302,BW302,BY302,CA302,CC302,CE302)</f>
        <v/>
      </c>
      <c r="C302" s="31" t="inlineStr">
        <is>
          <t>ENDURANCE</t>
        </is>
      </c>
      <c r="D302" s="31" t="inlineStr">
        <is>
          <t>Endurance Technologies Limited</t>
        </is>
      </c>
      <c r="E302" s="31" t="inlineStr">
        <is>
          <t>auto</t>
        </is>
      </c>
      <c r="F302" s="31" t="inlineStr">
        <is>
          <t>auto ancillaries</t>
        </is>
      </c>
      <c r="G302" s="31" t="inlineStr">
        <is>
          <t>largecap</t>
        </is>
      </c>
      <c r="H302" s="32" t="n">
        <v>42023.03</v>
      </c>
      <c r="I302" s="32" t="n">
        <v>2986</v>
      </c>
      <c r="J302" s="32" t="n">
        <v>-0.05</v>
      </c>
      <c r="K302" s="32" t="n">
        <v>72821</v>
      </c>
      <c r="L302" s="31" t="inlineStr"/>
      <c r="M302" s="31" t="inlineStr"/>
      <c r="N302" s="32">
        <f>IF(M302="Underperforming",-5,IF(L302&gt;=95,15,IF(L302&gt;=90,10,IF(L302&gt;=80,5,0))))</f>
        <v/>
      </c>
      <c r="O302" s="32" t="n">
        <v>64.64</v>
      </c>
      <c r="P302" s="32" t="n">
        <v>19.42</v>
      </c>
      <c r="Q302" s="32" t="n">
        <v>2498.34</v>
      </c>
      <c r="R302" s="31" t="inlineStr">
        <is>
          <t>Near 52W High Breakout</t>
        </is>
      </c>
      <c r="S302" s="31" t="inlineStr">
        <is>
          <t>Nifty Auto</t>
        </is>
      </c>
      <c r="T302" s="32" t="inlineStr"/>
      <c r="U302" s="32" t="inlineStr"/>
      <c r="V302" s="32" t="inlineStr"/>
      <c r="W302" s="32" t="inlineStr"/>
      <c r="X302" s="31" t="inlineStr">
        <is>
          <t>Growing Industry</t>
        </is>
      </c>
      <c r="Y302" s="31">
        <f>IF(X302="Growing Industry",10,IF(X302="Cyclical in an Upturn",5,0))</f>
        <v/>
      </c>
      <c r="Z302" s="31" t="inlineStr">
        <is>
          <t>Too Many Players with High ROCE</t>
        </is>
      </c>
      <c r="AA302" s="31">
        <f>IF(Z302="Monopoly",10,IF(Z302="Oligopoly",5,IF(Z302="Duopoly that cooperate",10,IF(Z302="Duopoly that compete",5,IF(Z302="Too many players with High ROCE",5,0)))))</f>
        <v/>
      </c>
      <c r="AB302" s="31" t="inlineStr">
        <is>
          <t>No</t>
        </is>
      </c>
      <c r="AC302" s="31">
        <f>IF(AB302="No",5,0)</f>
        <v/>
      </c>
      <c r="AD302" s="31" t="inlineStr">
        <is>
          <t>Tailwind</t>
        </is>
      </c>
      <c r="AE302" s="31">
        <f>IF(AD302="Tailwind",10,0)</f>
        <v/>
      </c>
      <c r="AF302" s="31" t="inlineStr">
        <is>
          <t>Structural (10 Years Consistency)</t>
        </is>
      </c>
      <c r="AG302" s="31">
        <f>IF(AF302="Structural (10 Years Consistency)",10,IF(AF302="Shallow Cyclical (2 to 3 years growth)",5,0))</f>
        <v/>
      </c>
      <c r="AH302" s="31" t="inlineStr">
        <is>
          <t>No</t>
        </is>
      </c>
      <c r="AI302" s="31">
        <f>IF(AH302="Yes due to Product Mix change or Operating Leverage",10,IF(AH302="Yes, these are peak margins",-5,IF(AH302="No",5,0)))</f>
        <v/>
      </c>
      <c r="AJ302" s="31" t="inlineStr">
        <is>
          <t>Stable</t>
        </is>
      </c>
      <c r="AK302" s="31">
        <f>IF(AJ302="Stable",10,0)</f>
        <v/>
      </c>
      <c r="AL302" s="31" t="inlineStr">
        <is>
          <t>Yes</t>
        </is>
      </c>
      <c r="AM302" s="31">
        <f>IF(AL302="Yes",10,0)</f>
        <v/>
      </c>
      <c r="AN302" s="31" t="inlineStr">
        <is>
          <t>B2B</t>
        </is>
      </c>
      <c r="AO302" s="31">
        <f>IF(AN302="B2C",10,IF(AN302="B2B",5,0))</f>
        <v/>
      </c>
      <c r="AP302" s="31" t="inlineStr">
        <is>
          <t>Yes</t>
        </is>
      </c>
      <c r="AQ302" s="31">
        <f>IF(AP302="Yes",10,0)</f>
        <v/>
      </c>
      <c r="AR302" s="31" t="inlineStr">
        <is>
          <t>Higher One Time, Lower Annuity</t>
        </is>
      </c>
      <c r="AS302" s="31">
        <f>IF(AR302="Fully Annuity",10,IF(AR302="Higher Annuity, Lower One Time",5,IF(AR302="Higher One Time, Lower Annuity",3,0)))</f>
        <v/>
      </c>
      <c r="AT302" s="31" t="inlineStr">
        <is>
          <t>Good</t>
        </is>
      </c>
      <c r="AU302" s="31">
        <f>IF(AT302="Good",10,0)</f>
        <v/>
      </c>
      <c r="AV302" s="31" t="inlineStr">
        <is>
          <t>Yes for more than 2 years</t>
        </is>
      </c>
      <c r="AW302" s="31">
        <f>IF(AV302="Yes for more than 2 years",10,IF(AV302="Yes only for next 1 to 2 years",5,0))</f>
        <v/>
      </c>
      <c r="AX302" s="31" t="inlineStr">
        <is>
          <t>0 to 20</t>
        </is>
      </c>
      <c r="AY302" s="31">
        <f>IF(AX302="Above 40",20,IF(AX302="20 to 40",10,IF(AX302="0 to 20",-5,0)))</f>
        <v/>
      </c>
      <c r="AZ302" s="31" t="inlineStr">
        <is>
          <t>Between 50 to 75</t>
        </is>
      </c>
      <c r="BA302" s="31">
        <f>IF(AZ302="Between 50 to 75",10,IF(AZ302="Above 75",0,0))</f>
        <v/>
      </c>
      <c r="BB302" s="31" t="inlineStr">
        <is>
          <t>Stage 2</t>
        </is>
      </c>
      <c r="BC302" s="31">
        <f>IF(BB302="Stage 2",20,IF(BB302="Stage 1",0,IF(BB302="Stage 3",5,IF(BB302="Stage 4",-5,0))))</f>
        <v/>
      </c>
      <c r="BD302" s="31" t="inlineStr">
        <is>
          <t>Positive Trend</t>
        </is>
      </c>
      <c r="BE302" s="31">
        <f>IF(BD302="Positive Trend",20,IF(BD302="Negative Trend",-10,0))</f>
        <v/>
      </c>
      <c r="BF302" s="31" t="inlineStr">
        <is>
          <t>Uptrend</t>
        </is>
      </c>
      <c r="BG302" s="31">
        <f>IF(BF302="Uptrend",10,IF(BF302="Sideways",5,0))</f>
        <v/>
      </c>
      <c r="BH302" s="31" t="inlineStr">
        <is>
          <t>Uptrend</t>
        </is>
      </c>
      <c r="BI302" s="31">
        <f>IF(BH302="Uptrend",10,IF(BH302="Sideways",5,0))</f>
        <v/>
      </c>
      <c r="BJ302" s="31" t="inlineStr">
        <is>
          <t>Blue sky scenario</t>
        </is>
      </c>
      <c r="BK302" s="31">
        <f>IF(BJ302="Overhead supply in last 2 years in last 2 years",-5,IF(BJ302="Close to 52 week high or retracement",5,IF(BJ302="Blue sky scenario",10,IF(BJ302="Long term Downtrend",-10,0))))</f>
        <v/>
      </c>
      <c r="BL302" s="31" t="inlineStr">
        <is>
          <t>Yes</t>
        </is>
      </c>
      <c r="BM302" s="31">
        <f>IF(BL302="Yes",10,0)</f>
        <v/>
      </c>
      <c r="BN302" s="31" t="inlineStr">
        <is>
          <t>Less than 12%</t>
        </is>
      </c>
      <c r="BO302" s="31">
        <f>IF(BN302="More than 20%",10,IF(BN302="Between 12 to 20%",5,IF(BN302="Less than 12%",0,0)))</f>
        <v/>
      </c>
      <c r="BP302" s="31" t="inlineStr">
        <is>
          <t>No</t>
        </is>
      </c>
      <c r="BQ302" s="31">
        <f>IF(BP302="No",10,0)</f>
        <v/>
      </c>
      <c r="BR302" s="31" t="inlineStr">
        <is>
          <t>Yes</t>
        </is>
      </c>
      <c r="BS302" s="31">
        <f>IF(BR302="NO",5,0)</f>
        <v/>
      </c>
      <c r="BT302" s="31" t="inlineStr">
        <is>
          <t>Above 2</t>
        </is>
      </c>
      <c r="BU302" s="31">
        <f>IF(BT302="Above 2",0,IF(BT302="Between 1.5 to 2",5,IF(BT302="Less than 1.5",10,0)))</f>
        <v/>
      </c>
      <c r="BV302" s="31" t="inlineStr">
        <is>
          <t>Above 70%</t>
        </is>
      </c>
      <c r="BW302" s="31">
        <f>IF(BV302="Above 70%",10,IF(BV302="Between 50% to 70%",5,IF(BV302="Less than 50%",0,IF(BV302="Negative",-10,IF(BV302="Less than 50% and Borrowings are increasing",-5,0)))))</f>
        <v/>
      </c>
      <c r="BX302" s="31" t="inlineStr">
        <is>
          <t>Less than 0.7</t>
        </is>
      </c>
      <c r="BY302" s="31">
        <f>IF(BX302="More than 1.2",-10,IF(BX302="Between 0.7 to 1.2",0,IF(BX302="Less than 0.7",10,0)))</f>
        <v/>
      </c>
      <c r="BZ302" s="31" t="inlineStr">
        <is>
          <t>No</t>
        </is>
      </c>
      <c r="CA302" s="31">
        <f>IF(BZ302="Yes",-10,0)</f>
        <v/>
      </c>
      <c r="CB302" s="31" t="inlineStr">
        <is>
          <t>Less than 15%</t>
        </is>
      </c>
      <c r="CC302" s="31">
        <f>IF(CB302="More than 15%",-10,IF(CB302="Less than 15%",10,0))</f>
        <v/>
      </c>
      <c r="CD302" s="31" t="inlineStr">
        <is>
          <t>No</t>
        </is>
      </c>
      <c r="CE302" s="31">
        <f>IF(CD302="Yes, more than 10%",-10,IF(CD302="No",10,0))</f>
        <v/>
      </c>
    </row>
    <row r="303">
      <c r="A303" s="31">
        <f>IF(B303=0,"",RANK(B303,$B$2:$B$372,0))</f>
        <v/>
      </c>
      <c r="B303" s="32">
        <f>SUM(N303,Y303,AA303,AC303,AE303,AG303,AI303,AK303,AM303,AO303,AQ303,AS303,AU303,AW303,AY303,BA303,BC303,BE303,BG303,BI303,BK303,BM303,BO303,BQ303,BS303,BU303,BW303,BY303,CA303,CC303,CE303)</f>
        <v/>
      </c>
      <c r="C303" s="31" t="inlineStr">
        <is>
          <t>BRIGADE</t>
        </is>
      </c>
      <c r="D303" s="31" t="inlineStr">
        <is>
          <t>Brigade Enterprises Limited</t>
        </is>
      </c>
      <c r="E303" s="31" t="inlineStr">
        <is>
          <t>realty</t>
        </is>
      </c>
      <c r="F303" s="31" t="inlineStr">
        <is>
          <t>construction</t>
        </is>
      </c>
      <c r="G303" s="31" t="inlineStr">
        <is>
          <t>largecap</t>
        </is>
      </c>
      <c r="H303" s="32" t="n">
        <v>21556.07</v>
      </c>
      <c r="I303" s="32" t="n">
        <v>659.65</v>
      </c>
      <c r="J303" s="32" t="n">
        <v>-0.19</v>
      </c>
      <c r="K303" s="32" t="n">
        <v>480935</v>
      </c>
      <c r="L303" s="31" t="inlineStr"/>
      <c r="M303" s="31" t="inlineStr"/>
      <c r="N303" s="32">
        <f>IF(M303="Underperforming",-5,IF(L303&gt;=95,15,IF(L303&gt;=90,10,IF(L303&gt;=80,5,0))))</f>
        <v/>
      </c>
      <c r="O303" s="32" t="n">
        <v>63.24</v>
      </c>
      <c r="P303" s="32" t="n">
        <v>16.02</v>
      </c>
      <c r="Q303" s="32" t="n">
        <v>515</v>
      </c>
      <c r="R303" s="31" t="inlineStr">
        <is>
          <t>Earnings / Momentum Support</t>
        </is>
      </c>
      <c r="S303" s="31" t="inlineStr">
        <is>
          <t>Nifty Realty</t>
        </is>
      </c>
      <c r="T303" s="32" t="inlineStr"/>
      <c r="U303" s="32" t="inlineStr"/>
      <c r="V303" s="32" t="inlineStr"/>
      <c r="W303" s="32" t="inlineStr"/>
      <c r="X303" s="31" t="inlineStr">
        <is>
          <t>Growing Industry</t>
        </is>
      </c>
      <c r="Y303" s="31">
        <f>IF(X303="Growing Industry",10,IF(X303="Cyclical in an Upturn",5,0))</f>
        <v/>
      </c>
      <c r="Z303" s="31" t="inlineStr">
        <is>
          <t>Too Many Players with High ROCE</t>
        </is>
      </c>
      <c r="AA303" s="31">
        <f>IF(Z303="Monopoly",10,IF(Z303="Oligopoly",5,IF(Z303="Duopoly that cooperate",10,IF(Z303="Duopoly that compete",5,IF(Z303="Too many players with High ROCE",5,0)))))</f>
        <v/>
      </c>
      <c r="AB303" s="31" t="inlineStr">
        <is>
          <t>No</t>
        </is>
      </c>
      <c r="AC303" s="31">
        <f>IF(AB303="No",5,0)</f>
        <v/>
      </c>
      <c r="AD303" s="31" t="inlineStr">
        <is>
          <t>Tailwind</t>
        </is>
      </c>
      <c r="AE303" s="31">
        <f>IF(AD303="Tailwind",10,0)</f>
        <v/>
      </c>
      <c r="AF303" s="31" t="inlineStr">
        <is>
          <t>Structural (10 Years Consistency)</t>
        </is>
      </c>
      <c r="AG303" s="31">
        <f>IF(AF303="Structural (10 Years Consistency)",10,IF(AF303="Shallow Cyclical (2 to 3 years growth)",5,0))</f>
        <v/>
      </c>
      <c r="AH303" s="31" t="inlineStr">
        <is>
          <t>No</t>
        </is>
      </c>
      <c r="AI303" s="31">
        <f>IF(AH303="Yes due to Product Mix change or Operating Leverage",10,IF(AH303="Yes, these are peak margins",-5,IF(AH303="No",5,0)))</f>
        <v/>
      </c>
      <c r="AJ303" s="31" t="inlineStr">
        <is>
          <t>Stable</t>
        </is>
      </c>
      <c r="AK303" s="31">
        <f>IF(AJ303="Stable",10,0)</f>
        <v/>
      </c>
      <c r="AL303" s="31" t="inlineStr">
        <is>
          <t>Yes</t>
        </is>
      </c>
      <c r="AM303" s="31">
        <f>IF(AL303="Yes",10,0)</f>
        <v/>
      </c>
      <c r="AN303" s="31" t="inlineStr">
        <is>
          <t>B2B</t>
        </is>
      </c>
      <c r="AO303" s="31">
        <f>IF(AN303="B2C",10,IF(AN303="B2B",5,0))</f>
        <v/>
      </c>
      <c r="AP303" s="31" t="inlineStr">
        <is>
          <t>No</t>
        </is>
      </c>
      <c r="AQ303" s="31">
        <f>IF(AP303="Yes",10,0)</f>
        <v/>
      </c>
      <c r="AR303" s="31" t="inlineStr">
        <is>
          <t>Higher One Time, Lower Annuity</t>
        </is>
      </c>
      <c r="AS303" s="31">
        <f>IF(AR303="Fully Annuity",10,IF(AR303="Higher Annuity, Lower One Time",5,IF(AR303="Higher One Time, Lower Annuity",3,0)))</f>
        <v/>
      </c>
      <c r="AT303" s="31" t="inlineStr">
        <is>
          <t>Good</t>
        </is>
      </c>
      <c r="AU303" s="31">
        <f>IF(AT303="Good",10,0)</f>
        <v/>
      </c>
      <c r="AV303" s="31" t="inlineStr">
        <is>
          <t>Yes for more than 2 years</t>
        </is>
      </c>
      <c r="AW303" s="31">
        <f>IF(AV303="Yes for more than 2 years",10,IF(AV303="Yes only for next 1 to 2 years",5,0))</f>
        <v/>
      </c>
      <c r="AX303" s="31" t="inlineStr">
        <is>
          <t>0 to 20</t>
        </is>
      </c>
      <c r="AY303" s="31">
        <f>IF(AX303="Above 40",20,IF(AX303="20 to 40",10,IF(AX303="0 to 20",-5,0)))</f>
        <v/>
      </c>
      <c r="AZ303" s="31" t="inlineStr">
        <is>
          <t>Between 50 to 75</t>
        </is>
      </c>
      <c r="BA303" s="31">
        <f>IF(AZ303="Between 50 to 75",10,IF(AZ303="Above 75",0,0))</f>
        <v/>
      </c>
      <c r="BB303" s="31" t="inlineStr">
        <is>
          <t>Stage 2</t>
        </is>
      </c>
      <c r="BC303" s="31">
        <f>IF(BB303="Stage 2",20,IF(BB303="Stage 1",0,IF(BB303="Stage 3",5,IF(BB303="Stage 4",-5,0))))</f>
        <v/>
      </c>
      <c r="BD303" s="31" t="inlineStr">
        <is>
          <t>Positive Trend</t>
        </is>
      </c>
      <c r="BE303" s="31">
        <f>IF(BD303="Positive Trend",20,IF(BD303="Negative Trend",-10,0))</f>
        <v/>
      </c>
      <c r="BF303" s="31" t="inlineStr">
        <is>
          <t>Uptrend</t>
        </is>
      </c>
      <c r="BG303" s="31">
        <f>IF(BF303="Uptrend",10,IF(BF303="Sideways",5,0))</f>
        <v/>
      </c>
      <c r="BH303" s="31" t="inlineStr">
        <is>
          <t>Uptrend</t>
        </is>
      </c>
      <c r="BI303" s="31">
        <f>IF(BH303="Uptrend",10,IF(BH303="Sideways",5,0))</f>
        <v/>
      </c>
      <c r="BJ303" s="31" t="inlineStr">
        <is>
          <t>Close to 52 week high or retracement</t>
        </is>
      </c>
      <c r="BK303" s="31">
        <f>IF(BJ303="Overhead supply in last 2 years in last 2 years",-5,IF(BJ303="Close to 52 week high or retracement",5,IF(BJ303="Blue sky scenario",10,IF(BJ303="Long term Downtrend",-10,0))))</f>
        <v/>
      </c>
      <c r="BL303" s="31" t="inlineStr">
        <is>
          <t>Yes</t>
        </is>
      </c>
      <c r="BM303" s="31">
        <f>IF(BL303="Yes",10,0)</f>
        <v/>
      </c>
      <c r="BN303" s="31" t="inlineStr">
        <is>
          <t>More than 20%</t>
        </is>
      </c>
      <c r="BO303" s="31">
        <f>IF(BN303="More than 20%",10,IF(BN303="Between 12 to 20%",5,IF(BN303="Less than 12%",0,0)))</f>
        <v/>
      </c>
      <c r="BP303" s="31" t="inlineStr">
        <is>
          <t>No</t>
        </is>
      </c>
      <c r="BQ303" s="31">
        <f>IF(BP303="No",10,0)</f>
        <v/>
      </c>
      <c r="BR303" s="31" t="inlineStr">
        <is>
          <t>No</t>
        </is>
      </c>
      <c r="BS303" s="31">
        <f>IF(BR303="NO",5,0)</f>
        <v/>
      </c>
      <c r="BT303" s="31" t="inlineStr">
        <is>
          <t>Less than 1.5</t>
        </is>
      </c>
      <c r="BU303" s="31">
        <f>IF(BT303="Above 2",0,IF(BT303="Between 1.5 to 2",5,IF(BT303="Less than 1.5",10,0)))</f>
        <v/>
      </c>
      <c r="BV303" s="31" t="inlineStr">
        <is>
          <t>Above 70%</t>
        </is>
      </c>
      <c r="BW303" s="31">
        <f>IF(BV303="Above 70%",10,IF(BV303="Between 50% to 70%",5,IF(BV303="Less than 50%",0,IF(BV303="Negative",-10,IF(BV303="Less than 50% and Borrowings are increasing",-5,0)))))</f>
        <v/>
      </c>
      <c r="BX303" s="31" t="inlineStr">
        <is>
          <t>Between 0.7 to 1.2</t>
        </is>
      </c>
      <c r="BY303" s="31">
        <f>IF(BX303="More than 1.2",-10,IF(BX303="Between 0.7 to 1.2",0,IF(BX303="Less than 0.7",10,0)))</f>
        <v/>
      </c>
      <c r="BZ303" s="31" t="inlineStr">
        <is>
          <t>No</t>
        </is>
      </c>
      <c r="CA303" s="31">
        <f>IF(BZ303="Yes",-10,0)</f>
        <v/>
      </c>
      <c r="CB303" s="31" t="inlineStr">
        <is>
          <t>Less than 15%</t>
        </is>
      </c>
      <c r="CC303" s="31">
        <f>IF(CB303="More than 15%",-10,IF(CB303="Less than 15%",10,0))</f>
        <v/>
      </c>
      <c r="CD303" s="31" t="inlineStr">
        <is>
          <t>No</t>
        </is>
      </c>
      <c r="CE303" s="31">
        <f>IF(CD303="Yes, more than 10%",-10,IF(CD303="No",10,0))</f>
        <v/>
      </c>
    </row>
    <row r="304">
      <c r="A304" s="31">
        <f>IF(B304=0,"",RANK(B304,$B$2:$B$372,0))</f>
        <v/>
      </c>
      <c r="B304" s="32">
        <f>SUM(N304,Y304,AA304,AC304,AE304,AG304,AI304,AK304,AM304,AO304,AQ304,AS304,AU304,AW304,AY304,BA304,BC304,BE304,BG304,BI304,BK304,BM304,BO304,BQ304,BS304,BU304,BW304,BY304,CA304,CC304,CE304)</f>
        <v/>
      </c>
      <c r="C304" s="31" t="inlineStr">
        <is>
          <t>LUMAXTECH</t>
        </is>
      </c>
      <c r="D304" s="31" t="inlineStr">
        <is>
          <t>Lumax Auto Technologies Limited</t>
        </is>
      </c>
      <c r="E304" s="31" t="inlineStr">
        <is>
          <t>auto</t>
        </is>
      </c>
      <c r="F304" s="31" t="inlineStr">
        <is>
          <t>auto ancillaries</t>
        </is>
      </c>
      <c r="G304" s="31" t="inlineStr">
        <is>
          <t>midcap</t>
        </is>
      </c>
      <c r="H304" s="32" t="n">
        <v>13168.75</v>
      </c>
      <c r="I304" s="32" t="n">
        <v>1927.8</v>
      </c>
      <c r="J304" s="32" t="n">
        <v>-0.22</v>
      </c>
      <c r="K304" s="32" t="n">
        <v>79093</v>
      </c>
      <c r="L304" s="31" t="inlineStr"/>
      <c r="M304" s="31" t="inlineStr"/>
      <c r="N304" s="32">
        <f>IF(M304="Underperforming",-5,IF(L304&gt;=95,15,IF(L304&gt;=90,10,IF(L304&gt;=80,5,0))))</f>
        <v/>
      </c>
      <c r="O304" s="32" t="n">
        <v>62.44</v>
      </c>
      <c r="P304" s="32" t="n">
        <v>17.86</v>
      </c>
      <c r="Q304" s="32" t="n">
        <v>1542.46</v>
      </c>
      <c r="R304" s="31" t="inlineStr">
        <is>
          <t>Near 52W High Breakout</t>
        </is>
      </c>
      <c r="S304" s="31" t="inlineStr">
        <is>
          <t>Nifty Auto</t>
        </is>
      </c>
      <c r="T304" s="32" t="inlineStr"/>
      <c r="U304" s="32" t="inlineStr"/>
      <c r="V304" s="32" t="inlineStr"/>
      <c r="W304" s="32" t="inlineStr"/>
      <c r="X304" s="31" t="inlineStr">
        <is>
          <t>Growing Industry</t>
        </is>
      </c>
      <c r="Y304" s="31">
        <f>IF(X304="Growing Industry",10,IF(X304="Cyclical in an Upturn",5,0))</f>
        <v/>
      </c>
      <c r="Z304" s="31" t="inlineStr">
        <is>
          <t>Too Many Players with High ROCE</t>
        </is>
      </c>
      <c r="AA304" s="31">
        <f>IF(Z304="Monopoly",10,IF(Z304="Oligopoly",5,IF(Z304="Duopoly that cooperate",10,IF(Z304="Duopoly that compete",5,IF(Z304="Too many players with High ROCE",5,0)))))</f>
        <v/>
      </c>
      <c r="AB304" s="31" t="inlineStr">
        <is>
          <t>No</t>
        </is>
      </c>
      <c r="AC304" s="31">
        <f>IF(AB304="No",5,0)</f>
        <v/>
      </c>
      <c r="AD304" s="31" t="inlineStr">
        <is>
          <t>Tailwind</t>
        </is>
      </c>
      <c r="AE304" s="31">
        <f>IF(AD304="Tailwind",10,0)</f>
        <v/>
      </c>
      <c r="AF304" s="31" t="inlineStr">
        <is>
          <t>Structural (10 Years Consistency)</t>
        </is>
      </c>
      <c r="AG304" s="31">
        <f>IF(AF304="Structural (10 Years Consistency)",10,IF(AF304="Shallow Cyclical (2 to 3 years growth)",5,0))</f>
        <v/>
      </c>
      <c r="AH304" s="31" t="inlineStr">
        <is>
          <t>No</t>
        </is>
      </c>
      <c r="AI304" s="31">
        <f>IF(AH304="Yes due to Product Mix change or Operating Leverage",10,IF(AH304="Yes, these are peak margins",-5,IF(AH304="No",5,0)))</f>
        <v/>
      </c>
      <c r="AJ304" s="31" t="inlineStr">
        <is>
          <t>Stable</t>
        </is>
      </c>
      <c r="AK304" s="31">
        <f>IF(AJ304="Stable",10,0)</f>
        <v/>
      </c>
      <c r="AL304" s="31" t="inlineStr">
        <is>
          <t>Yes</t>
        </is>
      </c>
      <c r="AM304" s="31">
        <f>IF(AL304="Yes",10,0)</f>
        <v/>
      </c>
      <c r="AN304" s="31" t="inlineStr">
        <is>
          <t>B2B</t>
        </is>
      </c>
      <c r="AO304" s="31">
        <f>IF(AN304="B2C",10,IF(AN304="B2B",5,0))</f>
        <v/>
      </c>
      <c r="AP304" s="31" t="inlineStr">
        <is>
          <t>Yes</t>
        </is>
      </c>
      <c r="AQ304" s="31">
        <f>IF(AP304="Yes",10,0)</f>
        <v/>
      </c>
      <c r="AR304" s="31" t="inlineStr">
        <is>
          <t>Higher One Time, Lower Annuity</t>
        </is>
      </c>
      <c r="AS304" s="31">
        <f>IF(AR304="Fully Annuity",10,IF(AR304="Higher Annuity, Lower One Time",5,IF(AR304="Higher One Time, Lower Annuity",3,0)))</f>
        <v/>
      </c>
      <c r="AT304" s="31" t="inlineStr">
        <is>
          <t>Good</t>
        </is>
      </c>
      <c r="AU304" s="31">
        <f>IF(AT304="Good",10,0)</f>
        <v/>
      </c>
      <c r="AV304" s="31" t="inlineStr">
        <is>
          <t>Yes for more than 2 years</t>
        </is>
      </c>
      <c r="AW304" s="31">
        <f>IF(AV304="Yes for more than 2 years",10,IF(AV304="Yes only for next 1 to 2 years",5,0))</f>
        <v/>
      </c>
      <c r="AX304" s="31" t="inlineStr">
        <is>
          <t>0 to 20</t>
        </is>
      </c>
      <c r="AY304" s="31">
        <f>IF(AX304="Above 40",20,IF(AX304="20 to 40",10,IF(AX304="0 to 20",-5,0)))</f>
        <v/>
      </c>
      <c r="AZ304" s="31" t="inlineStr">
        <is>
          <t>Between 50 to 75</t>
        </is>
      </c>
      <c r="BA304" s="31">
        <f>IF(AZ304="Between 50 to 75",10,IF(AZ304="Above 75",0,0))</f>
        <v/>
      </c>
      <c r="BB304" s="31" t="inlineStr">
        <is>
          <t>Stage 2</t>
        </is>
      </c>
      <c r="BC304" s="31">
        <f>IF(BB304="Stage 2",20,IF(BB304="Stage 1",0,IF(BB304="Stage 3",5,IF(BB304="Stage 4",-5,0))))</f>
        <v/>
      </c>
      <c r="BD304" s="31" t="inlineStr">
        <is>
          <t>Positive Trend</t>
        </is>
      </c>
      <c r="BE304" s="31">
        <f>IF(BD304="Positive Trend",20,IF(BD304="Negative Trend",-10,0))</f>
        <v/>
      </c>
      <c r="BF304" s="31" t="inlineStr">
        <is>
          <t>Uptrend</t>
        </is>
      </c>
      <c r="BG304" s="31">
        <f>IF(BF304="Uptrend",10,IF(BF304="Sideways",5,0))</f>
        <v/>
      </c>
      <c r="BH304" s="31" t="inlineStr">
        <is>
          <t>Uptrend</t>
        </is>
      </c>
      <c r="BI304" s="31">
        <f>IF(BH304="Uptrend",10,IF(BH304="Sideways",5,0))</f>
        <v/>
      </c>
      <c r="BJ304" s="31" t="inlineStr">
        <is>
          <t>Blue sky scenario</t>
        </is>
      </c>
      <c r="BK304" s="31">
        <f>IF(BJ304="Overhead supply in last 2 years in last 2 years",-5,IF(BJ304="Close to 52 week high or retracement",5,IF(BJ304="Blue sky scenario",10,IF(BJ304="Long term Downtrend",-10,0))))</f>
        <v/>
      </c>
      <c r="BL304" s="31" t="inlineStr">
        <is>
          <t>Yes</t>
        </is>
      </c>
      <c r="BM304" s="31">
        <f>IF(BL304="Yes",10,0)</f>
        <v/>
      </c>
      <c r="BN304" s="31" t="inlineStr">
        <is>
          <t>More than 20%</t>
        </is>
      </c>
      <c r="BO304" s="31">
        <f>IF(BN304="More than 20%",10,IF(BN304="Between 12 to 20%",5,IF(BN304="Less than 12%",0,0)))</f>
        <v/>
      </c>
      <c r="BP304" s="31" t="inlineStr">
        <is>
          <t>No</t>
        </is>
      </c>
      <c r="BQ304" s="31">
        <f>IF(BP304="No",10,0)</f>
        <v/>
      </c>
      <c r="BR304" s="31" t="inlineStr">
        <is>
          <t>Yes</t>
        </is>
      </c>
      <c r="BS304" s="31">
        <f>IF(BR304="NO",5,0)</f>
        <v/>
      </c>
      <c r="BT304" s="31" t="inlineStr">
        <is>
          <t>Above 2</t>
        </is>
      </c>
      <c r="BU304" s="31">
        <f>IF(BT304="Above 2",0,IF(BT304="Between 1.5 to 2",5,IF(BT304="Less than 1.5",10,0)))</f>
        <v/>
      </c>
      <c r="BV304" s="31" t="inlineStr">
        <is>
          <t>Above 70%</t>
        </is>
      </c>
      <c r="BW304" s="31">
        <f>IF(BV304="Above 70%",10,IF(BV304="Between 50% to 70%",5,IF(BV304="Less than 50%",0,IF(BV304="Negative",-10,IF(BV304="Less than 50% and Borrowings are increasing",-5,0)))))</f>
        <v/>
      </c>
      <c r="BX304" s="31" t="inlineStr">
        <is>
          <t>Between 0.7 to 1.2</t>
        </is>
      </c>
      <c r="BY304" s="31">
        <f>IF(BX304="More than 1.2",-10,IF(BX304="Between 0.7 to 1.2",0,IF(BX304="Less than 0.7",10,0)))</f>
        <v/>
      </c>
      <c r="BZ304" s="31" t="inlineStr">
        <is>
          <t>No</t>
        </is>
      </c>
      <c r="CA304" s="31">
        <f>IF(BZ304="Yes",-10,0)</f>
        <v/>
      </c>
      <c r="CB304" s="31" t="inlineStr">
        <is>
          <t>Less than 15%</t>
        </is>
      </c>
      <c r="CC304" s="31">
        <f>IF(CB304="More than 15%",-10,IF(CB304="Less than 15%",10,0))</f>
        <v/>
      </c>
      <c r="CD304" s="31" t="inlineStr">
        <is>
          <t>No</t>
        </is>
      </c>
      <c r="CE304" s="31">
        <f>IF(CD304="Yes, more than 10%",-10,IF(CD304="No",10,0))</f>
        <v/>
      </c>
    </row>
    <row r="305">
      <c r="A305" s="31">
        <f>IF(B305=0,"",RANK(B305,$B$2:$B$372,0))</f>
        <v/>
      </c>
      <c r="B305" s="32">
        <f>SUM(N305,Y305,AA305,AC305,AE305,AG305,AI305,AK305,AM305,AO305,AQ305,AS305,AU305,AW305,AY305,BA305,BC305,BE305,BG305,BI305,BK305,BM305,BO305,BQ305,BS305,BU305,BW305,BY305,CA305,CC305,CE305)</f>
        <v/>
      </c>
      <c r="C305" s="31" t="inlineStr">
        <is>
          <t>ZENTEC</t>
        </is>
      </c>
      <c r="D305" s="31" t="inlineStr">
        <is>
          <t>Zen Technologies Limited</t>
        </is>
      </c>
      <c r="E305" s="31" t="inlineStr">
        <is>
          <t>aerospace &amp; defence</t>
        </is>
      </c>
      <c r="F305" s="31" t="inlineStr">
        <is>
          <t>miscellaneous</t>
        </is>
      </c>
      <c r="G305" s="31" t="inlineStr">
        <is>
          <t>midcap</t>
        </is>
      </c>
      <c r="H305" s="32" t="n">
        <v>16953.82</v>
      </c>
      <c r="I305" s="32" t="n">
        <v>1873.4</v>
      </c>
      <c r="J305" s="32" t="n">
        <v>-0.23</v>
      </c>
      <c r="K305" s="32" t="n">
        <v>309103</v>
      </c>
      <c r="L305" s="31" t="n">
        <v>29</v>
      </c>
      <c r="M305" s="31" t="inlineStr">
        <is>
          <t>Outperforming</t>
        </is>
      </c>
      <c r="N305" s="32">
        <f>IF(M305="Underperforming",-5,IF(L305&gt;=95,15,IF(L305&gt;=90,10,IF(L305&gt;=80,5,0))))</f>
        <v/>
      </c>
      <c r="O305" s="32" t="n">
        <v>58.54</v>
      </c>
      <c r="P305" s="32" t="n">
        <v>36</v>
      </c>
      <c r="Q305" s="32" t="n">
        <v>1546.67</v>
      </c>
      <c r="R305" s="31" t="inlineStr">
        <is>
          <t>Earnings / Momentum Support</t>
        </is>
      </c>
      <c r="S305" s="31" t="inlineStr">
        <is>
          <t>Nifty 50</t>
        </is>
      </c>
      <c r="T305" s="32" t="n">
        <v>-0.9</v>
      </c>
      <c r="U305" s="32" t="n">
        <v>28.42</v>
      </c>
      <c r="V305" s="32" t="n">
        <v>29.58</v>
      </c>
      <c r="W305" s="32" t="n">
        <v>8.130000000000001</v>
      </c>
      <c r="X305" s="31" t="inlineStr">
        <is>
          <t>Growing Industry</t>
        </is>
      </c>
      <c r="Y305" s="31">
        <f>IF(X305="Growing Industry",10,IF(X305="Cyclical in an Upturn",5,0))</f>
        <v/>
      </c>
      <c r="Z305" s="31" t="inlineStr">
        <is>
          <t>Too Many Players with High ROCE</t>
        </is>
      </c>
      <c r="AA305" s="31">
        <f>IF(Z305="Monopoly",10,IF(Z305="Oligopoly",5,IF(Z305="Duopoly that cooperate",10,IF(Z305="Duopoly that compete",5,IF(Z305="Too many players with High ROCE",5,0)))))</f>
        <v/>
      </c>
      <c r="AB305" s="31" t="inlineStr">
        <is>
          <t>No</t>
        </is>
      </c>
      <c r="AC305" s="31">
        <f>IF(AB305="No",5,0)</f>
        <v/>
      </c>
      <c r="AD305" s="31" t="inlineStr">
        <is>
          <t>Tailwind</t>
        </is>
      </c>
      <c r="AE305" s="31">
        <f>IF(AD305="Tailwind",10,0)</f>
        <v/>
      </c>
      <c r="AF305" s="31" t="inlineStr">
        <is>
          <t>Structural (10 Years Consistency)</t>
        </is>
      </c>
      <c r="AG305" s="31">
        <f>IF(AF305="Structural (10 Years Consistency)",10,IF(AF305="Shallow Cyclical (2 to 3 years growth)",5,0))</f>
        <v/>
      </c>
      <c r="AH305" s="31" t="inlineStr">
        <is>
          <t>No</t>
        </is>
      </c>
      <c r="AI305" s="31">
        <f>IF(AH305="Yes due to Product Mix change or Operating Leverage",10,IF(AH305="Yes, these are peak margins",-5,IF(AH305="No",5,0)))</f>
        <v/>
      </c>
      <c r="AJ305" s="31" t="inlineStr">
        <is>
          <t>Stable</t>
        </is>
      </c>
      <c r="AK305" s="31">
        <f>IF(AJ305="Stable",10,0)</f>
        <v/>
      </c>
      <c r="AL305" s="31" t="inlineStr">
        <is>
          <t>Yes</t>
        </is>
      </c>
      <c r="AM305" s="31">
        <f>IF(AL305="Yes",10,0)</f>
        <v/>
      </c>
      <c r="AN305" s="31" t="inlineStr">
        <is>
          <t>B2B</t>
        </is>
      </c>
      <c r="AO305" s="31">
        <f>IF(AN305="B2C",10,IF(AN305="B2B",5,0))</f>
        <v/>
      </c>
      <c r="AP305" s="31" t="inlineStr">
        <is>
          <t>No</t>
        </is>
      </c>
      <c r="AQ305" s="31">
        <f>IF(AP305="Yes",10,0)</f>
        <v/>
      </c>
      <c r="AR305" s="31" t="inlineStr">
        <is>
          <t>Higher One Time, Lower Annuity</t>
        </is>
      </c>
      <c r="AS305" s="31">
        <f>IF(AR305="Fully Annuity",10,IF(AR305="Higher Annuity, Lower One Time",5,IF(AR305="Higher One Time, Lower Annuity",3,0)))</f>
        <v/>
      </c>
      <c r="AT305" s="31" t="inlineStr">
        <is>
          <t>Good</t>
        </is>
      </c>
      <c r="AU305" s="31">
        <f>IF(AT305="Good",10,0)</f>
        <v/>
      </c>
      <c r="AV305" s="31" t="inlineStr">
        <is>
          <t>Yes for more than 2 years</t>
        </is>
      </c>
      <c r="AW305" s="31">
        <f>IF(AV305="Yes for more than 2 years",10,IF(AV305="Yes only for next 1 to 2 years",5,0))</f>
        <v/>
      </c>
      <c r="AX305" s="31" t="inlineStr">
        <is>
          <t>20 to 40</t>
        </is>
      </c>
      <c r="AY305" s="31">
        <f>IF(AX305="Above 40",20,IF(AX305="20 to 40",10,IF(AX305="0 to 20",-5,0)))</f>
        <v/>
      </c>
      <c r="AZ305" s="31" t="inlineStr">
        <is>
          <t>Between 50 to 75</t>
        </is>
      </c>
      <c r="BA305" s="31">
        <f>IF(AZ305="Between 50 to 75",10,IF(AZ305="Above 75",0,0))</f>
        <v/>
      </c>
      <c r="BB305" s="31" t="inlineStr">
        <is>
          <t>Stage 2</t>
        </is>
      </c>
      <c r="BC305" s="31">
        <f>IF(BB305="Stage 2",20,IF(BB305="Stage 1",0,IF(BB305="Stage 3",5,IF(BB305="Stage 4",-5,0))))</f>
        <v/>
      </c>
      <c r="BD305" s="31" t="inlineStr">
        <is>
          <t>Positive Trend</t>
        </is>
      </c>
      <c r="BE305" s="31">
        <f>IF(BD305="Positive Trend",20,IF(BD305="Negative Trend",-10,0))</f>
        <v/>
      </c>
      <c r="BF305" s="31" t="inlineStr">
        <is>
          <t>Uptrend</t>
        </is>
      </c>
      <c r="BG305" s="31">
        <f>IF(BF305="Uptrend",10,IF(BF305="Sideways",5,0))</f>
        <v/>
      </c>
      <c r="BH305" s="31" t="inlineStr">
        <is>
          <t>Uptrend</t>
        </is>
      </c>
      <c r="BI305" s="31">
        <f>IF(BH305="Uptrend",10,IF(BH305="Sideways",5,0))</f>
        <v/>
      </c>
      <c r="BJ305" s="31" t="inlineStr">
        <is>
          <t>Close to 52 week high or retracement</t>
        </is>
      </c>
      <c r="BK305" s="31">
        <f>IF(BJ305="Overhead supply in last 2 years in last 2 years",-5,IF(BJ305="Close to 52 week high or retracement",5,IF(BJ305="Blue sky scenario",10,IF(BJ305="Long term Downtrend",-10,0))))</f>
        <v/>
      </c>
      <c r="BL305" s="31" t="inlineStr">
        <is>
          <t>Yes</t>
        </is>
      </c>
      <c r="BM305" s="31">
        <f>IF(BL305="Yes",10,0)</f>
        <v/>
      </c>
      <c r="BN305" s="31" t="inlineStr">
        <is>
          <t>Less than 12%</t>
        </is>
      </c>
      <c r="BO305" s="31">
        <f>IF(BN305="More than 20%",10,IF(BN305="Between 12 to 20%",5,IF(BN305="Less than 12%",0,0)))</f>
        <v/>
      </c>
      <c r="BP305" s="31" t="inlineStr">
        <is>
          <t>No</t>
        </is>
      </c>
      <c r="BQ305" s="31">
        <f>IF(BP305="No",10,0)</f>
        <v/>
      </c>
      <c r="BR305" s="31" t="inlineStr">
        <is>
          <t>Yes</t>
        </is>
      </c>
      <c r="BS305" s="31">
        <f>IF(BR305="NO",5,0)</f>
        <v/>
      </c>
      <c r="BT305" s="31" t="inlineStr">
        <is>
          <t>Above 2</t>
        </is>
      </c>
      <c r="BU305" s="31">
        <f>IF(BT305="Above 2",0,IF(BT305="Between 1.5 to 2",5,IF(BT305="Less than 1.5",10,0)))</f>
        <v/>
      </c>
      <c r="BV305" s="31" t="inlineStr">
        <is>
          <t>Above 70%</t>
        </is>
      </c>
      <c r="BW305" s="31">
        <f>IF(BV305="Above 70%",10,IF(BV305="Between 50% to 70%",5,IF(BV305="Less than 50%",0,IF(BV305="Negative",-10,IF(BV305="Less than 50% and Borrowings are increasing",-5,0)))))</f>
        <v/>
      </c>
      <c r="BX305" s="31" t="inlineStr">
        <is>
          <t>Less than 0.7</t>
        </is>
      </c>
      <c r="BY305" s="31">
        <f>IF(BX305="More than 1.2",-10,IF(BX305="Between 0.7 to 1.2",0,IF(BX305="Less than 0.7",10,0)))</f>
        <v/>
      </c>
      <c r="BZ305" s="31" t="inlineStr">
        <is>
          <t>No</t>
        </is>
      </c>
      <c r="CA305" s="31">
        <f>IF(BZ305="Yes",-10,0)</f>
        <v/>
      </c>
      <c r="CB305" s="31" t="inlineStr">
        <is>
          <t>Less than 15%</t>
        </is>
      </c>
      <c r="CC305" s="31">
        <f>IF(CB305="More than 15%",-10,IF(CB305="Less than 15%",10,0))</f>
        <v/>
      </c>
      <c r="CD305" s="31" t="inlineStr">
        <is>
          <t>No</t>
        </is>
      </c>
      <c r="CE305" s="31">
        <f>IF(CD305="Yes, more than 10%",-10,IF(CD305="No",10,0))</f>
        <v/>
      </c>
    </row>
    <row r="306">
      <c r="A306" s="31">
        <f>IF(B306=0,"",RANK(B306,$B$2:$B$372,0))</f>
        <v/>
      </c>
      <c r="B306" s="32">
        <f>SUM(N306,Y306,AA306,AC306,AE306,AG306,AI306,AK306,AM306,AO306,AQ306,AS306,AU306,AW306,AY306,BA306,BC306,BE306,BG306,BI306,BK306,BM306,BO306,BQ306,BS306,BU306,BW306,BY306,CA306,CC306,CE306)</f>
        <v/>
      </c>
      <c r="C306" s="33" t="inlineStr">
        <is>
          <t>YUKEN</t>
        </is>
      </c>
      <c r="D306" s="33" t="inlineStr">
        <is>
          <t>Yuken India Ltd</t>
        </is>
      </c>
      <c r="E306" s="31" t="inlineStr">
        <is>
          <t>industrials</t>
        </is>
      </c>
      <c r="F306" s="31" t="inlineStr">
        <is>
          <t>engineering</t>
        </is>
      </c>
      <c r="G306" s="31" t="inlineStr">
        <is>
          <t>smallcap</t>
        </is>
      </c>
      <c r="H306" s="32" t="n">
        <v>1281.58</v>
      </c>
      <c r="I306" s="32" t="n">
        <v>938.75</v>
      </c>
      <c r="J306" s="32" t="n">
        <v>-0.5</v>
      </c>
      <c r="K306" s="32" t="n">
        <v>7859</v>
      </c>
      <c r="L306" s="31" t="n">
        <v>24</v>
      </c>
      <c r="M306" s="31" t="inlineStr">
        <is>
          <t>Underperforming</t>
        </is>
      </c>
      <c r="N306" s="32">
        <f>IF(M306="Underperforming",-5,IF(L306&gt;=95,15,IF(L306&gt;=90,10,IF(L306&gt;=80,5,0))))</f>
        <v/>
      </c>
      <c r="O306" s="32" t="n">
        <v>65.69</v>
      </c>
      <c r="P306" s="32" t="n">
        <v>20.61</v>
      </c>
      <c r="Q306" s="32" t="n">
        <v>755.7</v>
      </c>
      <c r="R306" s="31" t="inlineStr">
        <is>
          <t>Earnings / Momentum Support</t>
        </is>
      </c>
      <c r="S306" s="31" t="inlineStr">
        <is>
          <t>Nifty 50</t>
        </is>
      </c>
      <c r="T306" s="32" t="n">
        <v>-0.9</v>
      </c>
      <c r="U306" s="32" t="n">
        <v>-8.35</v>
      </c>
      <c r="V306" s="32" t="n">
        <v>-7.52</v>
      </c>
      <c r="W306" s="32" t="n">
        <v>6.72</v>
      </c>
      <c r="X306" s="31" t="inlineStr">
        <is>
          <t>Cyclical in an Upturn</t>
        </is>
      </c>
      <c r="Y306" s="31">
        <f>IF(X306="Growing Industry",10,IF(X306="Cyclical in an Upturn",5,0))</f>
        <v/>
      </c>
      <c r="Z306" s="31" t="inlineStr">
        <is>
          <t>Too Many Players with High ROCE</t>
        </is>
      </c>
      <c r="AA306" s="31">
        <f>IF(Z306="Monopoly",10,IF(Z306="Oligopoly",5,IF(Z306="Duopoly that cooperate",10,IF(Z306="Duopoly that compete",5,IF(Z306="Too many players with High ROCE",5,0)))))</f>
        <v/>
      </c>
      <c r="AB306" s="31" t="inlineStr">
        <is>
          <t>No</t>
        </is>
      </c>
      <c r="AC306" s="31">
        <f>IF(AB306="No",5,0)</f>
        <v/>
      </c>
      <c r="AD306" s="31" t="inlineStr">
        <is>
          <t>Tailwind</t>
        </is>
      </c>
      <c r="AE306" s="31">
        <f>IF(AD306="Tailwind",10,0)</f>
        <v/>
      </c>
      <c r="AF306" s="31" t="inlineStr">
        <is>
          <t>Structural (10 Years Consistency)</t>
        </is>
      </c>
      <c r="AG306" s="31">
        <f>IF(AF306="Structural (10 Years Consistency)",10,IF(AF306="Shallow Cyclical (2 to 3 years growth)",5,0))</f>
        <v/>
      </c>
      <c r="AH306" s="31" t="inlineStr">
        <is>
          <t>No</t>
        </is>
      </c>
      <c r="AI306" s="31">
        <f>IF(AH306="Yes due to Product Mix change or Operating Leverage",10,IF(AH306="Yes, these are peak margins",-5,IF(AH306="No",5,0)))</f>
        <v/>
      </c>
      <c r="AJ306" s="31" t="inlineStr">
        <is>
          <t>Stable</t>
        </is>
      </c>
      <c r="AK306" s="31">
        <f>IF(AJ306="Stable",10,0)</f>
        <v/>
      </c>
      <c r="AL306" s="31" t="inlineStr">
        <is>
          <t>Yes</t>
        </is>
      </c>
      <c r="AM306" s="31">
        <f>IF(AL306="Yes",10,0)</f>
        <v/>
      </c>
      <c r="AN306" s="31" t="inlineStr">
        <is>
          <t>B2B</t>
        </is>
      </c>
      <c r="AO306" s="31">
        <f>IF(AN306="B2C",10,IF(AN306="B2B",5,0))</f>
        <v/>
      </c>
      <c r="AP306" s="31" t="inlineStr">
        <is>
          <t>No</t>
        </is>
      </c>
      <c r="AQ306" s="31">
        <f>IF(AP306="Yes",10,0)</f>
        <v/>
      </c>
      <c r="AR306" s="31" t="inlineStr">
        <is>
          <t>Higher One Time, Lower Annuity</t>
        </is>
      </c>
      <c r="AS306" s="31">
        <f>IF(AR306="Fully Annuity",10,IF(AR306="Higher Annuity, Lower One Time",5,IF(AR306="Higher One Time, Lower Annuity",3,0)))</f>
        <v/>
      </c>
      <c r="AT306" s="31" t="inlineStr">
        <is>
          <t>Good</t>
        </is>
      </c>
      <c r="AU306" s="31">
        <f>IF(AT306="Good",10,0)</f>
        <v/>
      </c>
      <c r="AV306" s="31" t="inlineStr">
        <is>
          <t>Yes for more than 2 years</t>
        </is>
      </c>
      <c r="AW306" s="31">
        <f>IF(AV306="Yes for more than 2 years",10,IF(AV306="Yes only for next 1 to 2 years",5,0))</f>
        <v/>
      </c>
      <c r="AX306" s="31" t="inlineStr">
        <is>
          <t>20 to 40</t>
        </is>
      </c>
      <c r="AY306" s="31">
        <f>IF(AX306="Above 40",20,IF(AX306="20 to 40",10,IF(AX306="0 to 20",-5,0)))</f>
        <v/>
      </c>
      <c r="AZ306" s="31" t="inlineStr">
        <is>
          <t>Between 50 to 75</t>
        </is>
      </c>
      <c r="BA306" s="31">
        <f>IF(AZ306="Between 50 to 75",10,IF(AZ306="Above 75",0,0))</f>
        <v/>
      </c>
      <c r="BB306" s="31" t="inlineStr">
        <is>
          <t>Stage 2</t>
        </is>
      </c>
      <c r="BC306" s="31">
        <f>IF(BB306="Stage 2",20,IF(BB306="Stage 1",0,IF(BB306="Stage 3",5,IF(BB306="Stage 4",-5,0))))</f>
        <v/>
      </c>
      <c r="BD306" s="31" t="inlineStr">
        <is>
          <t>Positive Trend</t>
        </is>
      </c>
      <c r="BE306" s="31">
        <f>IF(BD306="Positive Trend",20,IF(BD306="Negative Trend",-10,0))</f>
        <v/>
      </c>
      <c r="BF306" s="31" t="inlineStr">
        <is>
          <t>Uptrend</t>
        </is>
      </c>
      <c r="BG306" s="31">
        <f>IF(BF306="Uptrend",10,IF(BF306="Sideways",5,0))</f>
        <v/>
      </c>
      <c r="BH306" s="31" t="inlineStr">
        <is>
          <t>Uptrend</t>
        </is>
      </c>
      <c r="BI306" s="31">
        <f>IF(BH306="Uptrend",10,IF(BH306="Sideways",5,0))</f>
        <v/>
      </c>
      <c r="BJ306" s="31" t="inlineStr">
        <is>
          <t>Close to 52 week high or retracement</t>
        </is>
      </c>
      <c r="BK306" s="31">
        <f>IF(BJ306="Overhead supply in last 2 years in last 2 years",-5,IF(BJ306="Close to 52 week high or retracement",5,IF(BJ306="Blue sky scenario",10,IF(BJ306="Long term Downtrend",-10,0))))</f>
        <v/>
      </c>
      <c r="BL306" s="31" t="inlineStr">
        <is>
          <t>Yes</t>
        </is>
      </c>
      <c r="BM306" s="31">
        <f>IF(BL306="Yes",10,0)</f>
        <v/>
      </c>
      <c r="BN306" s="31" t="inlineStr">
        <is>
          <t>More than 20%</t>
        </is>
      </c>
      <c r="BO306" s="31">
        <f>IF(BN306="More than 20%",10,IF(BN306="Between 12 to 20%",5,IF(BN306="Less than 12%",0,0)))</f>
        <v/>
      </c>
      <c r="BP306" s="31" t="inlineStr">
        <is>
          <t>No</t>
        </is>
      </c>
      <c r="BQ306" s="31">
        <f>IF(BP306="No",10,0)</f>
        <v/>
      </c>
      <c r="BR306" s="31" t="inlineStr">
        <is>
          <t>Yes</t>
        </is>
      </c>
      <c r="BS306" s="31">
        <f>IF(BR306="NO",5,0)</f>
        <v/>
      </c>
      <c r="BT306" s="31" t="inlineStr">
        <is>
          <t>Above 2</t>
        </is>
      </c>
      <c r="BU306" s="31">
        <f>IF(BT306="Above 2",0,IF(BT306="Between 1.5 to 2",5,IF(BT306="Less than 1.5",10,0)))</f>
        <v/>
      </c>
      <c r="BV306" s="31" t="inlineStr">
        <is>
          <t>Above 70%</t>
        </is>
      </c>
      <c r="BW306" s="31">
        <f>IF(BV306="Above 70%",10,IF(BV306="Between 50% to 70%",5,IF(BV306="Less than 50%",0,IF(BV306="Negative",-10,IF(BV306="Less than 50% and Borrowings are increasing",-5,0)))))</f>
        <v/>
      </c>
      <c r="BX306" s="31" t="inlineStr">
        <is>
          <t>Less than 0.7</t>
        </is>
      </c>
      <c r="BY306" s="31">
        <f>IF(BX306="More than 1.2",-10,IF(BX306="Between 0.7 to 1.2",0,IF(BX306="Less than 0.7",10,0)))</f>
        <v/>
      </c>
      <c r="BZ306" s="31" t="inlineStr">
        <is>
          <t>No</t>
        </is>
      </c>
      <c r="CA306" s="31">
        <f>IF(BZ306="Yes",-10,0)</f>
        <v/>
      </c>
      <c r="CB306" s="31" t="inlineStr">
        <is>
          <t>Less than 15%</t>
        </is>
      </c>
      <c r="CC306" s="31">
        <f>IF(CB306="More than 15%",-10,IF(CB306="Less than 15%",10,0))</f>
        <v/>
      </c>
      <c r="CD306" s="31" t="inlineStr">
        <is>
          <t>No</t>
        </is>
      </c>
      <c r="CE306" s="31">
        <f>IF(CD306="Yes, more than 10%",-10,IF(CD306="No",10,0))</f>
        <v/>
      </c>
    </row>
    <row r="307">
      <c r="A307" s="31">
        <f>IF(B307=0,"",RANK(B307,$B$2:$B$372,0))</f>
        <v/>
      </c>
      <c r="B307" s="32">
        <f>SUM(N307,Y307,AA307,AC307,AE307,AG307,AI307,AK307,AM307,AO307,AQ307,AS307,AU307,AW307,AY307,BA307,BC307,BE307,BG307,BI307,BK307,BM307,BO307,BQ307,BS307,BU307,BW307,BY307,CA307,CC307,CE307)</f>
        <v/>
      </c>
      <c r="C307" s="31" t="inlineStr">
        <is>
          <t>VALIANTLAB</t>
        </is>
      </c>
      <c r="D307" s="31" t="inlineStr">
        <is>
          <t>Valiant Laboratories Ltd</t>
        </is>
      </c>
      <c r="E307" s="31" t="inlineStr">
        <is>
          <t>healthcare</t>
        </is>
      </c>
      <c r="F307" s="31" t="inlineStr">
        <is>
          <t>pharmaceuticals - indian - bulk drugs &amp; formln</t>
        </is>
      </c>
      <c r="G307" s="31" t="inlineStr">
        <is>
          <t>smallcap</t>
        </is>
      </c>
      <c r="H307" s="32" t="n">
        <v>572.89</v>
      </c>
      <c r="I307" s="32" t="n">
        <v>107.87</v>
      </c>
      <c r="J307" s="32" t="n">
        <v>2.27</v>
      </c>
      <c r="K307" s="32" t="n">
        <v>509288</v>
      </c>
      <c r="L307" s="31" t="n">
        <v>59</v>
      </c>
      <c r="M307" s="31" t="inlineStr">
        <is>
          <t>Outperforming</t>
        </is>
      </c>
      <c r="N307" s="32">
        <f>IF(M307="Underperforming",-5,IF(L307&gt;=95,15,IF(L307&gt;=90,10,IF(L307&gt;=80,5,0))))</f>
        <v/>
      </c>
      <c r="O307" s="32" t="n">
        <v>76.18000000000001</v>
      </c>
      <c r="P307" s="32" t="n">
        <v>19.06</v>
      </c>
      <c r="Q307" s="32" t="n">
        <v>82.11</v>
      </c>
      <c r="R307" s="31" t="inlineStr">
        <is>
          <t>Volume Spike &amp; Near 52W High Breakout</t>
        </is>
      </c>
      <c r="S307" s="31" t="inlineStr">
        <is>
          <t>Nifty Pharma</t>
        </is>
      </c>
      <c r="T307" s="32" t="n">
        <v>22.12</v>
      </c>
      <c r="U307" s="32" t="n">
        <v>23.86</v>
      </c>
      <c r="V307" s="32" t="n">
        <v>1.43</v>
      </c>
      <c r="W307" s="32" t="n">
        <v>15.26</v>
      </c>
      <c r="X307" s="31" t="inlineStr">
        <is>
          <t>Growing Industry</t>
        </is>
      </c>
      <c r="Y307" s="31">
        <f>IF(X307="Growing Industry",10,IF(X307="Cyclical in an Upturn",5,0))</f>
        <v/>
      </c>
      <c r="Z307" s="31" t="inlineStr">
        <is>
          <t>Too Many Players with High ROCE</t>
        </is>
      </c>
      <c r="AA307" s="31">
        <f>IF(Z307="Monopoly",10,IF(Z307="Oligopoly",5,IF(Z307="Duopoly that cooperate",10,IF(Z307="Duopoly that compete",5,IF(Z307="Too many players with High ROCE",5,0)))))</f>
        <v/>
      </c>
      <c r="AB307" s="31" t="inlineStr">
        <is>
          <t>Yes</t>
        </is>
      </c>
      <c r="AC307" s="31">
        <f>IF(AB307="No",5,0)</f>
        <v/>
      </c>
      <c r="AD307" s="31" t="inlineStr">
        <is>
          <t>Tailwind</t>
        </is>
      </c>
      <c r="AE307" s="31">
        <f>IF(AD307="Tailwind",10,0)</f>
        <v/>
      </c>
      <c r="AF307" s="31" t="inlineStr">
        <is>
          <t>Structural (10 Years Consistency)</t>
        </is>
      </c>
      <c r="AG307" s="31">
        <f>IF(AF307="Structural (10 Years Consistency)",10,IF(AF307="Shallow Cyclical (2 to 3 years growth)",5,0))</f>
        <v/>
      </c>
      <c r="AH307" s="31" t="inlineStr">
        <is>
          <t>No</t>
        </is>
      </c>
      <c r="AI307" s="31">
        <f>IF(AH307="Yes due to Product Mix change or Operating Leverage",10,IF(AH307="Yes, these are peak margins",-5,IF(AH307="No",5,0)))</f>
        <v/>
      </c>
      <c r="AJ307" s="31" t="inlineStr">
        <is>
          <t>Stable</t>
        </is>
      </c>
      <c r="AK307" s="31">
        <f>IF(AJ307="Stable",10,0)</f>
        <v/>
      </c>
      <c r="AL307" s="31" t="inlineStr">
        <is>
          <t>Yes</t>
        </is>
      </c>
      <c r="AM307" s="31">
        <f>IF(AL307="Yes",10,0)</f>
        <v/>
      </c>
      <c r="AN307" s="31" t="inlineStr">
        <is>
          <t>B2B</t>
        </is>
      </c>
      <c r="AO307" s="31">
        <f>IF(AN307="B2C",10,IF(AN307="B2B",5,0))</f>
        <v/>
      </c>
      <c r="AP307" s="31" t="inlineStr">
        <is>
          <t>Yes</t>
        </is>
      </c>
      <c r="AQ307" s="31">
        <f>IF(AP307="Yes",10,0)</f>
        <v/>
      </c>
      <c r="AR307" s="31" t="inlineStr">
        <is>
          <t>Higher Annuity, Lower One Time</t>
        </is>
      </c>
      <c r="AS307" s="31">
        <f>IF(AR307="Fully Annuity",10,IF(AR307="Higher Annuity, Lower One Time",5,IF(AR307="Higher One Time, Lower Annuity",3,0)))</f>
        <v/>
      </c>
      <c r="AT307" s="31" t="inlineStr">
        <is>
          <t>Good</t>
        </is>
      </c>
      <c r="AU307" s="31">
        <f>IF(AT307="Good",10,0)</f>
        <v/>
      </c>
      <c r="AV307" s="31" t="inlineStr">
        <is>
          <t>Yes for more than 2 years</t>
        </is>
      </c>
      <c r="AW307" s="31">
        <f>IF(AV307="Yes for more than 2 years",10,IF(AV307="Yes only for next 1 to 2 years",5,0))</f>
        <v/>
      </c>
      <c r="AX307" s="31" t="inlineStr">
        <is>
          <t>0 to 20</t>
        </is>
      </c>
      <c r="AY307" s="31">
        <f>IF(AX307="Above 40",20,IF(AX307="20 to 40",10,IF(AX307="0 to 20",-5,0)))</f>
        <v/>
      </c>
      <c r="AZ307" s="31" t="inlineStr">
        <is>
          <t>Above 75</t>
        </is>
      </c>
      <c r="BA307" s="31">
        <f>IF(AZ307="Between 50 to 75",10,IF(AZ307="Above 75",0,0))</f>
        <v/>
      </c>
      <c r="BB307" s="31" t="inlineStr">
        <is>
          <t>Stage 2</t>
        </is>
      </c>
      <c r="BC307" s="31">
        <f>IF(BB307="Stage 2",20,IF(BB307="Stage 1",0,IF(BB307="Stage 3",5,IF(BB307="Stage 4",-5,0))))</f>
        <v/>
      </c>
      <c r="BD307" s="31" t="inlineStr">
        <is>
          <t>Positive Trend</t>
        </is>
      </c>
      <c r="BE307" s="31">
        <f>IF(BD307="Positive Trend",20,IF(BD307="Negative Trend",-10,0))</f>
        <v/>
      </c>
      <c r="BF307" s="31" t="inlineStr">
        <is>
          <t>Uptrend</t>
        </is>
      </c>
      <c r="BG307" s="31">
        <f>IF(BF307="Uptrend",10,IF(BF307="Sideways",5,0))</f>
        <v/>
      </c>
      <c r="BH307" s="31" t="inlineStr">
        <is>
          <t>Uptrend</t>
        </is>
      </c>
      <c r="BI307" s="31">
        <f>IF(BH307="Uptrend",10,IF(BH307="Sideways",5,0))</f>
        <v/>
      </c>
      <c r="BJ307" s="31" t="inlineStr">
        <is>
          <t>Close to 52 week high or retracement</t>
        </is>
      </c>
      <c r="BK307" s="31">
        <f>IF(BJ307="Overhead supply in last 2 years in last 2 years",-5,IF(BJ307="Close to 52 week high or retracement",5,IF(BJ307="Blue sky scenario",10,IF(BJ307="Long term Downtrend",-10,0))))</f>
        <v/>
      </c>
      <c r="BL307" s="31" t="inlineStr">
        <is>
          <t>Yes</t>
        </is>
      </c>
      <c r="BM307" s="31">
        <f>IF(BL307="Yes",10,0)</f>
        <v/>
      </c>
      <c r="BN307" s="31" t="inlineStr">
        <is>
          <t>More than 20%</t>
        </is>
      </c>
      <c r="BO307" s="31">
        <f>IF(BN307="More than 20%",10,IF(BN307="Between 12 to 20%",5,IF(BN307="Less than 12%",0,0)))</f>
        <v/>
      </c>
      <c r="BP307" s="31" t="inlineStr">
        <is>
          <t>No</t>
        </is>
      </c>
      <c r="BQ307" s="31">
        <f>IF(BP307="No",10,0)</f>
        <v/>
      </c>
      <c r="BR307" s="31" t="inlineStr">
        <is>
          <t>No</t>
        </is>
      </c>
      <c r="BS307" s="31">
        <f>IF(BR307="NO",5,0)</f>
        <v/>
      </c>
      <c r="BT307" s="31" t="inlineStr">
        <is>
          <t>Above 2</t>
        </is>
      </c>
      <c r="BU307" s="31">
        <f>IF(BT307="Above 2",0,IF(BT307="Between 1.5 to 2",5,IF(BT307="Less than 1.5",10,0)))</f>
        <v/>
      </c>
      <c r="BV307" s="31" t="inlineStr">
        <is>
          <t>Above 70%</t>
        </is>
      </c>
      <c r="BW307" s="31">
        <f>IF(BV307="Above 70%",10,IF(BV307="Between 50% to 70%",5,IF(BV307="Less than 50%",0,IF(BV307="Negative",-10,IF(BV307="Less than 50% and Borrowings are increasing",-5,0)))))</f>
        <v/>
      </c>
      <c r="BX307" s="31" t="inlineStr">
        <is>
          <t>Less than 0.7</t>
        </is>
      </c>
      <c r="BY307" s="31">
        <f>IF(BX307="More than 1.2",-10,IF(BX307="Between 0.7 to 1.2",0,IF(BX307="Less than 0.7",10,0)))</f>
        <v/>
      </c>
      <c r="BZ307" s="31" t="inlineStr">
        <is>
          <t>No</t>
        </is>
      </c>
      <c r="CA307" s="31">
        <f>IF(BZ307="Yes",-10,0)</f>
        <v/>
      </c>
      <c r="CB307" s="31" t="inlineStr">
        <is>
          <t>Less than 15%</t>
        </is>
      </c>
      <c r="CC307" s="31">
        <f>IF(CB307="More than 15%",-10,IF(CB307="Less than 15%",10,0))</f>
        <v/>
      </c>
      <c r="CD307" s="31" t="inlineStr">
        <is>
          <t>No</t>
        </is>
      </c>
      <c r="CE307" s="31">
        <f>IF(CD307="Yes, more than 10%",-10,IF(CD307="No",10,0))</f>
        <v/>
      </c>
    </row>
    <row r="308">
      <c r="A308" s="31">
        <f>IF(B308=0,"",RANK(B308,$B$2:$B$372,0))</f>
        <v/>
      </c>
      <c r="B308" s="32">
        <f>SUM(N308,Y308,AA308,AC308,AE308,AG308,AI308,AK308,AM308,AO308,AQ308,AS308,AU308,AW308,AY308,BA308,BC308,BE308,BG308,BI308,BK308,BM308,BO308,BQ308,BS308,BU308,BW308,BY308,CA308,CC308,CE308)</f>
        <v/>
      </c>
      <c r="C308" s="31" t="inlineStr">
        <is>
          <t>DHAMPURSUG</t>
        </is>
      </c>
      <c r="D308" s="31" t="inlineStr">
        <is>
          <t>Dhampur Sugar Mills Limited</t>
        </is>
      </c>
      <c r="E308" s="31" t="inlineStr">
        <is>
          <t>fmcg</t>
        </is>
      </c>
      <c r="F308" s="31" t="inlineStr">
        <is>
          <t>sugar</t>
        </is>
      </c>
      <c r="G308" s="31" t="inlineStr">
        <is>
          <t>smallcap</t>
        </is>
      </c>
      <c r="H308" s="32" t="n">
        <v>1155.72</v>
      </c>
      <c r="I308" s="32" t="n">
        <v>183.67</v>
      </c>
      <c r="J308" s="32" t="n">
        <v>2.2</v>
      </c>
      <c r="K308" s="32" t="n">
        <v>1239629</v>
      </c>
      <c r="L308" s="31" t="inlineStr"/>
      <c r="M308" s="31" t="inlineStr"/>
      <c r="N308" s="32">
        <f>IF(M308="Underperforming",-5,IF(L308&gt;=95,15,IF(L308&gt;=90,10,IF(L308&gt;=80,5,0))))</f>
        <v/>
      </c>
      <c r="O308" s="32" t="n">
        <v>74.44</v>
      </c>
      <c r="P308" s="32" t="n">
        <v>18.52</v>
      </c>
      <c r="Q308" s="32" t="n">
        <v>142.34</v>
      </c>
      <c r="R308" s="31" t="inlineStr">
        <is>
          <t>Volume Spike &amp; Near 52W High Breakout</t>
        </is>
      </c>
      <c r="S308" s="31" t="inlineStr">
        <is>
          <t>Nifty FMCG</t>
        </is>
      </c>
      <c r="T308" s="32" t="inlineStr"/>
      <c r="U308" s="32" t="inlineStr"/>
      <c r="V308" s="32" t="inlineStr"/>
      <c r="W308" s="32" t="inlineStr"/>
      <c r="X308" s="31" t="inlineStr">
        <is>
          <t>Growing Industry</t>
        </is>
      </c>
      <c r="Y308" s="31">
        <f>IF(X308="Growing Industry",10,IF(X308="Cyclical in an Upturn",5,0))</f>
        <v/>
      </c>
      <c r="Z308" s="31" t="inlineStr">
        <is>
          <t>Too Many Players with High ROCE</t>
        </is>
      </c>
      <c r="AA308" s="31">
        <f>IF(Z308="Monopoly",10,IF(Z308="Oligopoly",5,IF(Z308="Duopoly that cooperate",10,IF(Z308="Duopoly that compete",5,IF(Z308="Too many players with High ROCE",5,0)))))</f>
        <v/>
      </c>
      <c r="AB308" s="31" t="inlineStr">
        <is>
          <t>No</t>
        </is>
      </c>
      <c r="AC308" s="31">
        <f>IF(AB308="No",5,0)</f>
        <v/>
      </c>
      <c r="AD308" s="31" t="inlineStr">
        <is>
          <t>Tailwind</t>
        </is>
      </c>
      <c r="AE308" s="31">
        <f>IF(AD308="Tailwind",10,0)</f>
        <v/>
      </c>
      <c r="AF308" s="31" t="inlineStr">
        <is>
          <t>Structural (10 Years Consistency)</t>
        </is>
      </c>
      <c r="AG308" s="31">
        <f>IF(AF308="Structural (10 Years Consistency)",10,IF(AF308="Shallow Cyclical (2 to 3 years growth)",5,0))</f>
        <v/>
      </c>
      <c r="AH308" s="31" t="inlineStr">
        <is>
          <t>No</t>
        </is>
      </c>
      <c r="AI308" s="31">
        <f>IF(AH308="Yes due to Product Mix change or Operating Leverage",10,IF(AH308="Yes, these are peak margins",-5,IF(AH308="No",5,0)))</f>
        <v/>
      </c>
      <c r="AJ308" s="31" t="inlineStr">
        <is>
          <t>Stable</t>
        </is>
      </c>
      <c r="AK308" s="31">
        <f>IF(AJ308="Stable",10,0)</f>
        <v/>
      </c>
      <c r="AL308" s="31" t="inlineStr">
        <is>
          <t>Yes</t>
        </is>
      </c>
      <c r="AM308" s="31">
        <f>IF(AL308="Yes",10,0)</f>
        <v/>
      </c>
      <c r="AN308" s="31" t="inlineStr">
        <is>
          <t>B2C</t>
        </is>
      </c>
      <c r="AO308" s="31">
        <f>IF(AN308="B2C",10,IF(AN308="B2B",5,0))</f>
        <v/>
      </c>
      <c r="AP308" s="31" t="inlineStr">
        <is>
          <t>Yes</t>
        </is>
      </c>
      <c r="AQ308" s="31">
        <f>IF(AP308="Yes",10,0)</f>
        <v/>
      </c>
      <c r="AR308" s="31" t="inlineStr">
        <is>
          <t>Higher Annuity, Lower One Time</t>
        </is>
      </c>
      <c r="AS308" s="31">
        <f>IF(AR308="Fully Annuity",10,IF(AR308="Higher Annuity, Lower One Time",5,IF(AR308="Higher One Time, Lower Annuity",3,0)))</f>
        <v/>
      </c>
      <c r="AT308" s="31" t="inlineStr">
        <is>
          <t>Good</t>
        </is>
      </c>
      <c r="AU308" s="31">
        <f>IF(AT308="Good",10,0)</f>
        <v/>
      </c>
      <c r="AV308" s="31" t="inlineStr">
        <is>
          <t>Yes for more than 2 years</t>
        </is>
      </c>
      <c r="AW308" s="31">
        <f>IF(AV308="Yes for more than 2 years",10,IF(AV308="Yes only for next 1 to 2 years",5,0))</f>
        <v/>
      </c>
      <c r="AX308" s="31" t="inlineStr">
        <is>
          <t>0 to 20</t>
        </is>
      </c>
      <c r="AY308" s="31">
        <f>IF(AX308="Above 40",20,IF(AX308="20 to 40",10,IF(AX308="0 to 20",-5,0)))</f>
        <v/>
      </c>
      <c r="AZ308" s="31" t="inlineStr">
        <is>
          <t>Between 50 to 75</t>
        </is>
      </c>
      <c r="BA308" s="31">
        <f>IF(AZ308="Between 50 to 75",10,IF(AZ308="Above 75",0,0))</f>
        <v/>
      </c>
      <c r="BB308" s="31" t="inlineStr">
        <is>
          <t>Stage 2</t>
        </is>
      </c>
      <c r="BC308" s="31">
        <f>IF(BB308="Stage 2",20,IF(BB308="Stage 1",0,IF(BB308="Stage 3",5,IF(BB308="Stage 4",-5,0))))</f>
        <v/>
      </c>
      <c r="BD308" s="31" t="inlineStr">
        <is>
          <t>Positive Trend</t>
        </is>
      </c>
      <c r="BE308" s="31">
        <f>IF(BD308="Positive Trend",20,IF(BD308="Negative Trend",-10,0))</f>
        <v/>
      </c>
      <c r="BF308" s="31" t="inlineStr">
        <is>
          <t>Uptrend</t>
        </is>
      </c>
      <c r="BG308" s="31">
        <f>IF(BF308="Uptrend",10,IF(BF308="Sideways",5,0))</f>
        <v/>
      </c>
      <c r="BH308" s="31" t="inlineStr">
        <is>
          <t>Uptrend</t>
        </is>
      </c>
      <c r="BI308" s="31">
        <f>IF(BH308="Uptrend",10,IF(BH308="Sideways",5,0))</f>
        <v/>
      </c>
      <c r="BJ308" s="31" t="inlineStr">
        <is>
          <t>Close to 52 week high or retracement</t>
        </is>
      </c>
      <c r="BK308" s="31">
        <f>IF(BJ308="Overhead supply in last 2 years in last 2 years",-5,IF(BJ308="Close to 52 week high or retracement",5,IF(BJ308="Blue sky scenario",10,IF(BJ308="Long term Downtrend",-10,0))))</f>
        <v/>
      </c>
      <c r="BL308" s="31" t="inlineStr">
        <is>
          <t>Yes</t>
        </is>
      </c>
      <c r="BM308" s="31">
        <f>IF(BL308="Yes",10,0)</f>
        <v/>
      </c>
      <c r="BN308" s="31" t="inlineStr">
        <is>
          <t>Less than 12%</t>
        </is>
      </c>
      <c r="BO308" s="31">
        <f>IF(BN308="More than 20%",10,IF(BN308="Between 12 to 20%",5,IF(BN308="Less than 12%",0,0)))</f>
        <v/>
      </c>
      <c r="BP308" s="31" t="inlineStr">
        <is>
          <t>No</t>
        </is>
      </c>
      <c r="BQ308" s="31">
        <f>IF(BP308="No",10,0)</f>
        <v/>
      </c>
      <c r="BR308" s="31" t="inlineStr">
        <is>
          <t>No</t>
        </is>
      </c>
      <c r="BS308" s="31">
        <f>IF(BR308="NO",5,0)</f>
        <v/>
      </c>
      <c r="BT308" s="31" t="inlineStr">
        <is>
          <t>Above 2</t>
        </is>
      </c>
      <c r="BU308" s="31">
        <f>IF(BT308="Above 2",0,IF(BT308="Between 1.5 to 2",5,IF(BT308="Less than 1.5",10,0)))</f>
        <v/>
      </c>
      <c r="BV308" s="31" t="inlineStr">
        <is>
          <t>Above 70%</t>
        </is>
      </c>
      <c r="BW308" s="31">
        <f>IF(BV308="Above 70%",10,IF(BV308="Between 50% to 70%",5,IF(BV308="Less than 50%",0,IF(BV308="Negative",-10,IF(BV308="Less than 50% and Borrowings are increasing",-5,0)))))</f>
        <v/>
      </c>
      <c r="BX308" s="31" t="inlineStr">
        <is>
          <t>Between 0.7 to 1.2</t>
        </is>
      </c>
      <c r="BY308" s="31">
        <f>IF(BX308="More than 1.2",-10,IF(BX308="Between 0.7 to 1.2",0,IF(BX308="Less than 0.7",10,0)))</f>
        <v/>
      </c>
      <c r="BZ308" s="31" t="inlineStr">
        <is>
          <t>No</t>
        </is>
      </c>
      <c r="CA308" s="31">
        <f>IF(BZ308="Yes",-10,0)</f>
        <v/>
      </c>
      <c r="CB308" s="31" t="inlineStr">
        <is>
          <t>Less than 15%</t>
        </is>
      </c>
      <c r="CC308" s="31">
        <f>IF(CB308="More than 15%",-10,IF(CB308="Less than 15%",10,0))</f>
        <v/>
      </c>
      <c r="CD308" s="31" t="inlineStr">
        <is>
          <t>No</t>
        </is>
      </c>
      <c r="CE308" s="31">
        <f>IF(CD308="Yes, more than 10%",-10,IF(CD308="No",10,0))</f>
        <v/>
      </c>
    </row>
    <row r="309">
      <c r="A309" s="31">
        <f>IF(B309=0,"",RANK(B309,$B$2:$B$372,0))</f>
        <v/>
      </c>
      <c r="B309" s="32">
        <f>SUM(N309,Y309,AA309,AC309,AE309,AG309,AI309,AK309,AM309,AO309,AQ309,AS309,AU309,AW309,AY309,BA309,BC309,BE309,BG309,BI309,BK309,BM309,BO309,BQ309,BS309,BU309,BW309,BY309,CA309,CC309,CE309)</f>
        <v/>
      </c>
      <c r="C309" s="31" t="inlineStr">
        <is>
          <t>MUKKA</t>
        </is>
      </c>
      <c r="D309" s="31" t="inlineStr">
        <is>
          <t>Mukka Proteins Ltd</t>
        </is>
      </c>
      <c r="E309" s="31" t="inlineStr">
        <is>
          <t>fmcg</t>
        </is>
      </c>
      <c r="F309" s="31" t="inlineStr">
        <is>
          <t>food - processing - indian</t>
        </is>
      </c>
      <c r="G309" s="31" t="inlineStr">
        <is>
          <t>smallcap</t>
        </is>
      </c>
      <c r="H309" s="32" t="n">
        <v>773.4</v>
      </c>
      <c r="I309" s="32" t="n">
        <v>26</v>
      </c>
      <c r="J309" s="32" t="n">
        <v>0.85</v>
      </c>
      <c r="K309" s="32" t="n">
        <v>396325</v>
      </c>
      <c r="L309" s="31" t="inlineStr"/>
      <c r="M309" s="31" t="inlineStr"/>
      <c r="N309" s="32">
        <f>IF(M309="Underperforming",-5,IF(L309&gt;=95,15,IF(L309&gt;=90,10,IF(L309&gt;=80,5,0))))</f>
        <v/>
      </c>
      <c r="O309" s="32" t="n">
        <v>58.41</v>
      </c>
      <c r="P309" s="32" t="n">
        <v>10.63</v>
      </c>
      <c r="Q309" s="32" t="n">
        <v>20.46</v>
      </c>
      <c r="R309" s="31" t="inlineStr">
        <is>
          <t>Earnings / Momentum Support</t>
        </is>
      </c>
      <c r="S309" s="31" t="inlineStr">
        <is>
          <t>Nifty FMCG</t>
        </is>
      </c>
      <c r="T309" s="32" t="inlineStr"/>
      <c r="U309" s="32" t="inlineStr"/>
      <c r="V309" s="32" t="inlineStr"/>
      <c r="W309" s="32" t="inlineStr"/>
      <c r="X309" s="31" t="inlineStr">
        <is>
          <t>Growing Industry</t>
        </is>
      </c>
      <c r="Y309" s="31">
        <f>IF(X309="Growing Industry",10,IF(X309="Cyclical in an Upturn",5,0))</f>
        <v/>
      </c>
      <c r="Z309" s="31" t="inlineStr">
        <is>
          <t>Too Many Players with High ROCE</t>
        </is>
      </c>
      <c r="AA309" s="31">
        <f>IF(Z309="Monopoly",10,IF(Z309="Oligopoly",5,IF(Z309="Duopoly that cooperate",10,IF(Z309="Duopoly that compete",5,IF(Z309="Too many players with High ROCE",5,0)))))</f>
        <v/>
      </c>
      <c r="AB309" s="31" t="inlineStr">
        <is>
          <t>No</t>
        </is>
      </c>
      <c r="AC309" s="31">
        <f>IF(AB309="No",5,0)</f>
        <v/>
      </c>
      <c r="AD309" s="31" t="inlineStr">
        <is>
          <t>Tailwind</t>
        </is>
      </c>
      <c r="AE309" s="31">
        <f>IF(AD309="Tailwind",10,0)</f>
        <v/>
      </c>
      <c r="AF309" s="31" t="inlineStr">
        <is>
          <t>Structural (10 Years Consistency)</t>
        </is>
      </c>
      <c r="AG309" s="31">
        <f>IF(AF309="Structural (10 Years Consistency)",10,IF(AF309="Shallow Cyclical (2 to 3 years growth)",5,0))</f>
        <v/>
      </c>
      <c r="AH309" s="31" t="inlineStr">
        <is>
          <t>No</t>
        </is>
      </c>
      <c r="AI309" s="31">
        <f>IF(AH309="Yes due to Product Mix change or Operating Leverage",10,IF(AH309="Yes, these are peak margins",-5,IF(AH309="No",5,0)))</f>
        <v/>
      </c>
      <c r="AJ309" s="31" t="inlineStr">
        <is>
          <t>Stable</t>
        </is>
      </c>
      <c r="AK309" s="31">
        <f>IF(AJ309="Stable",10,0)</f>
        <v/>
      </c>
      <c r="AL309" s="31" t="inlineStr">
        <is>
          <t>Yes</t>
        </is>
      </c>
      <c r="AM309" s="31">
        <f>IF(AL309="Yes",10,0)</f>
        <v/>
      </c>
      <c r="AN309" s="31" t="inlineStr">
        <is>
          <t>B2C</t>
        </is>
      </c>
      <c r="AO309" s="31">
        <f>IF(AN309="B2C",10,IF(AN309="B2B",5,0))</f>
        <v/>
      </c>
      <c r="AP309" s="31" t="inlineStr">
        <is>
          <t>No</t>
        </is>
      </c>
      <c r="AQ309" s="31">
        <f>IF(AP309="Yes",10,0)</f>
        <v/>
      </c>
      <c r="AR309" s="31" t="inlineStr">
        <is>
          <t>Higher Annuity, Lower One Time</t>
        </is>
      </c>
      <c r="AS309" s="31">
        <f>IF(AR309="Fully Annuity",10,IF(AR309="Higher Annuity, Lower One Time",5,IF(AR309="Higher One Time, Lower Annuity",3,0)))</f>
        <v/>
      </c>
      <c r="AT309" s="31" t="inlineStr">
        <is>
          <t>Good</t>
        </is>
      </c>
      <c r="AU309" s="31">
        <f>IF(AT309="Good",10,0)</f>
        <v/>
      </c>
      <c r="AV309" s="31" t="inlineStr">
        <is>
          <t>Yes for more than 2 years</t>
        </is>
      </c>
      <c r="AW309" s="31">
        <f>IF(AV309="Yes for more than 2 years",10,IF(AV309="Yes only for next 1 to 2 years",5,0))</f>
        <v/>
      </c>
      <c r="AX309" s="31" t="inlineStr">
        <is>
          <t>0 to 20</t>
        </is>
      </c>
      <c r="AY309" s="31">
        <f>IF(AX309="Above 40",20,IF(AX309="20 to 40",10,IF(AX309="0 to 20",-5,0)))</f>
        <v/>
      </c>
      <c r="AZ309" s="31" t="inlineStr">
        <is>
          <t>Between 50 to 75</t>
        </is>
      </c>
      <c r="BA309" s="31">
        <f>IF(AZ309="Between 50 to 75",10,IF(AZ309="Above 75",0,0))</f>
        <v/>
      </c>
      <c r="BB309" s="31" t="inlineStr">
        <is>
          <t>Stage 2</t>
        </is>
      </c>
      <c r="BC309" s="31">
        <f>IF(BB309="Stage 2",20,IF(BB309="Stage 1",0,IF(BB309="Stage 3",5,IF(BB309="Stage 4",-5,0))))</f>
        <v/>
      </c>
      <c r="BD309" s="31" t="inlineStr">
        <is>
          <t>Positive Trend</t>
        </is>
      </c>
      <c r="BE309" s="31">
        <f>IF(BD309="Positive Trend",20,IF(BD309="Negative Trend",-10,0))</f>
        <v/>
      </c>
      <c r="BF309" s="31" t="inlineStr">
        <is>
          <t>Uptrend</t>
        </is>
      </c>
      <c r="BG309" s="31">
        <f>IF(BF309="Uptrend",10,IF(BF309="Sideways",5,0))</f>
        <v/>
      </c>
      <c r="BH309" s="31" t="inlineStr">
        <is>
          <t>Uptrend</t>
        </is>
      </c>
      <c r="BI309" s="31">
        <f>IF(BH309="Uptrend",10,IF(BH309="Sideways",5,0))</f>
        <v/>
      </c>
      <c r="BJ309" s="31" t="inlineStr">
        <is>
          <t>Close to 52 week high or retracement</t>
        </is>
      </c>
      <c r="BK309" s="31">
        <f>IF(BJ309="Overhead supply in last 2 years in last 2 years",-5,IF(BJ309="Close to 52 week high or retracement",5,IF(BJ309="Blue sky scenario",10,IF(BJ309="Long term Downtrend",-10,0))))</f>
        <v/>
      </c>
      <c r="BL309" s="31" t="inlineStr">
        <is>
          <t>Yes</t>
        </is>
      </c>
      <c r="BM309" s="31">
        <f>IF(BL309="Yes",10,0)</f>
        <v/>
      </c>
      <c r="BN309" s="31" t="inlineStr">
        <is>
          <t>More than 20%</t>
        </is>
      </c>
      <c r="BO309" s="31">
        <f>IF(BN309="More than 20%",10,IF(BN309="Between 12 to 20%",5,IF(BN309="Less than 12%",0,0)))</f>
        <v/>
      </c>
      <c r="BP309" s="31" t="inlineStr">
        <is>
          <t>No</t>
        </is>
      </c>
      <c r="BQ309" s="31">
        <f>IF(BP309="No",10,0)</f>
        <v/>
      </c>
      <c r="BR309" s="31" t="inlineStr">
        <is>
          <t>No</t>
        </is>
      </c>
      <c r="BS309" s="31">
        <f>IF(BR309="NO",5,0)</f>
        <v/>
      </c>
      <c r="BT309" s="31" t="inlineStr">
        <is>
          <t>Less than 1.5</t>
        </is>
      </c>
      <c r="BU309" s="31">
        <f>IF(BT309="Above 2",0,IF(BT309="Between 1.5 to 2",5,IF(BT309="Less than 1.5",10,0)))</f>
        <v/>
      </c>
      <c r="BV309" s="31" t="inlineStr">
        <is>
          <t>Above 70%</t>
        </is>
      </c>
      <c r="BW309" s="31">
        <f>IF(BV309="Above 70%",10,IF(BV309="Between 50% to 70%",5,IF(BV309="Less than 50%",0,IF(BV309="Negative",-10,IF(BV309="Less than 50% and Borrowings are increasing",-5,0)))))</f>
        <v/>
      </c>
      <c r="BX309" s="31" t="inlineStr">
        <is>
          <t>More than 1.2</t>
        </is>
      </c>
      <c r="BY309" s="31">
        <f>IF(BX309="More than 1.2",-10,IF(BX309="Between 0.7 to 1.2",0,IF(BX309="Less than 0.7",10,0)))</f>
        <v/>
      </c>
      <c r="BZ309" s="31" t="inlineStr">
        <is>
          <t>No</t>
        </is>
      </c>
      <c r="CA309" s="31">
        <f>IF(BZ309="Yes",-10,0)</f>
        <v/>
      </c>
      <c r="CB309" s="31" t="inlineStr">
        <is>
          <t>Less than 15%</t>
        </is>
      </c>
      <c r="CC309" s="31">
        <f>IF(CB309="More than 15%",-10,IF(CB309="Less than 15%",10,0))</f>
        <v/>
      </c>
      <c r="CD309" s="31" t="inlineStr">
        <is>
          <t>No</t>
        </is>
      </c>
      <c r="CE309" s="31">
        <f>IF(CD309="Yes, more than 10%",-10,IF(CD309="No",10,0))</f>
        <v/>
      </c>
    </row>
    <row r="310">
      <c r="A310" s="31">
        <f>IF(B310=0,"",RANK(B310,$B$2:$B$372,0))</f>
        <v/>
      </c>
      <c r="B310" s="32">
        <f>SUM(N310,Y310,AA310,AC310,AE310,AG310,AI310,AK310,AM310,AO310,AQ310,AS310,AU310,AW310,AY310,BA310,BC310,BE310,BG310,BI310,BK310,BM310,BO310,BQ310,BS310,BU310,BW310,BY310,CA310,CC310,CE310)</f>
        <v/>
      </c>
      <c r="C310" s="31" t="inlineStr">
        <is>
          <t>BCLIND</t>
        </is>
      </c>
      <c r="D310" s="31" t="inlineStr">
        <is>
          <t>BCL Industries Ltd</t>
        </is>
      </c>
      <c r="E310" s="31" t="inlineStr">
        <is>
          <t>fmcg</t>
        </is>
      </c>
      <c r="F310" s="31" t="inlineStr">
        <is>
          <t>breweries &amp; distilleries</t>
        </is>
      </c>
      <c r="G310" s="31" t="inlineStr">
        <is>
          <t>smallcap</t>
        </is>
      </c>
      <c r="H310" s="32" t="n">
        <v>1113.06</v>
      </c>
      <c r="I310" s="32" t="n">
        <v>37.61</v>
      </c>
      <c r="J310" s="32" t="n">
        <v>-0.27</v>
      </c>
      <c r="K310" s="32" t="n">
        <v>1684428</v>
      </c>
      <c r="L310" s="31" t="inlineStr"/>
      <c r="M310" s="31" t="inlineStr"/>
      <c r="N310" s="32">
        <f>IF(M310="Underperforming",-5,IF(L310&gt;=95,15,IF(L310&gt;=90,10,IF(L310&gt;=80,5,0))))</f>
        <v/>
      </c>
      <c r="O310" s="32" t="n">
        <v>57.6</v>
      </c>
      <c r="P310" s="32" t="n">
        <v>15.02</v>
      </c>
      <c r="Q310" s="32" t="n">
        <v>28.16</v>
      </c>
      <c r="R310" s="31" t="inlineStr">
        <is>
          <t>Earnings / Momentum Support</t>
        </is>
      </c>
      <c r="S310" s="31" t="inlineStr">
        <is>
          <t>Nifty FMCG</t>
        </is>
      </c>
      <c r="T310" s="32" t="inlineStr"/>
      <c r="U310" s="32" t="inlineStr"/>
      <c r="V310" s="32" t="inlineStr"/>
      <c r="W310" s="32" t="inlineStr"/>
      <c r="X310" s="31" t="inlineStr">
        <is>
          <t>Growing Industry</t>
        </is>
      </c>
      <c r="Y310" s="31">
        <f>IF(X310="Growing Industry",10,IF(X310="Cyclical in an Upturn",5,0))</f>
        <v/>
      </c>
      <c r="Z310" s="31" t="inlineStr">
        <is>
          <t>Too Many Players with High ROCE</t>
        </is>
      </c>
      <c r="AA310" s="31">
        <f>IF(Z310="Monopoly",10,IF(Z310="Oligopoly",5,IF(Z310="Duopoly that cooperate",10,IF(Z310="Duopoly that compete",5,IF(Z310="Too many players with High ROCE",5,0)))))</f>
        <v/>
      </c>
      <c r="AB310" s="31" t="inlineStr">
        <is>
          <t>No</t>
        </is>
      </c>
      <c r="AC310" s="31">
        <f>IF(AB310="No",5,0)</f>
        <v/>
      </c>
      <c r="AD310" s="31" t="inlineStr">
        <is>
          <t>Tailwind</t>
        </is>
      </c>
      <c r="AE310" s="31">
        <f>IF(AD310="Tailwind",10,0)</f>
        <v/>
      </c>
      <c r="AF310" s="31" t="inlineStr">
        <is>
          <t>Structural (10 Years Consistency)</t>
        </is>
      </c>
      <c r="AG310" s="31">
        <f>IF(AF310="Structural (10 Years Consistency)",10,IF(AF310="Shallow Cyclical (2 to 3 years growth)",5,0))</f>
        <v/>
      </c>
      <c r="AH310" s="31" t="inlineStr">
        <is>
          <t>No</t>
        </is>
      </c>
      <c r="AI310" s="31">
        <f>IF(AH310="Yes due to Product Mix change or Operating Leverage",10,IF(AH310="Yes, these are peak margins",-5,IF(AH310="No",5,0)))</f>
        <v/>
      </c>
      <c r="AJ310" s="31" t="inlineStr">
        <is>
          <t>Stable</t>
        </is>
      </c>
      <c r="AK310" s="31">
        <f>IF(AJ310="Stable",10,0)</f>
        <v/>
      </c>
      <c r="AL310" s="31" t="inlineStr">
        <is>
          <t>Yes</t>
        </is>
      </c>
      <c r="AM310" s="31">
        <f>IF(AL310="Yes",10,0)</f>
        <v/>
      </c>
      <c r="AN310" s="31" t="inlineStr">
        <is>
          <t>B2C</t>
        </is>
      </c>
      <c r="AO310" s="31">
        <f>IF(AN310="B2C",10,IF(AN310="B2B",5,0))</f>
        <v/>
      </c>
      <c r="AP310" s="31" t="inlineStr">
        <is>
          <t>No</t>
        </is>
      </c>
      <c r="AQ310" s="31">
        <f>IF(AP310="Yes",10,0)</f>
        <v/>
      </c>
      <c r="AR310" s="31" t="inlineStr">
        <is>
          <t>Higher Annuity, Lower One Time</t>
        </is>
      </c>
      <c r="AS310" s="31">
        <f>IF(AR310="Fully Annuity",10,IF(AR310="Higher Annuity, Lower One Time",5,IF(AR310="Higher One Time, Lower Annuity",3,0)))</f>
        <v/>
      </c>
      <c r="AT310" s="31" t="inlineStr">
        <is>
          <t>Good</t>
        </is>
      </c>
      <c r="AU310" s="31">
        <f>IF(AT310="Good",10,0)</f>
        <v/>
      </c>
      <c r="AV310" s="31" t="inlineStr">
        <is>
          <t>Yes for more than 2 years</t>
        </is>
      </c>
      <c r="AW310" s="31">
        <f>IF(AV310="Yes for more than 2 years",10,IF(AV310="Yes only for next 1 to 2 years",5,0))</f>
        <v/>
      </c>
      <c r="AX310" s="31" t="inlineStr">
        <is>
          <t>0 to 20</t>
        </is>
      </c>
      <c r="AY310" s="31">
        <f>IF(AX310="Above 40",20,IF(AX310="20 to 40",10,IF(AX310="0 to 20",-5,0)))</f>
        <v/>
      </c>
      <c r="AZ310" s="31" t="inlineStr">
        <is>
          <t>Between 50 to 75</t>
        </is>
      </c>
      <c r="BA310" s="31">
        <f>IF(AZ310="Between 50 to 75",10,IF(AZ310="Above 75",0,0))</f>
        <v/>
      </c>
      <c r="BB310" s="31" t="inlineStr">
        <is>
          <t>Stage 2</t>
        </is>
      </c>
      <c r="BC310" s="31">
        <f>IF(BB310="Stage 2",20,IF(BB310="Stage 1",0,IF(BB310="Stage 3",5,IF(BB310="Stage 4",-5,0))))</f>
        <v/>
      </c>
      <c r="BD310" s="31" t="inlineStr">
        <is>
          <t>Positive Trend</t>
        </is>
      </c>
      <c r="BE310" s="31">
        <f>IF(BD310="Positive Trend",20,IF(BD310="Negative Trend",-10,0))</f>
        <v/>
      </c>
      <c r="BF310" s="31" t="inlineStr">
        <is>
          <t>Uptrend</t>
        </is>
      </c>
      <c r="BG310" s="31">
        <f>IF(BF310="Uptrend",10,IF(BF310="Sideways",5,0))</f>
        <v/>
      </c>
      <c r="BH310" s="31" t="inlineStr">
        <is>
          <t>Uptrend</t>
        </is>
      </c>
      <c r="BI310" s="31">
        <f>IF(BH310="Uptrend",10,IF(BH310="Sideways",5,0))</f>
        <v/>
      </c>
      <c r="BJ310" s="31" t="inlineStr">
        <is>
          <t>Close to 52 week high or retracement</t>
        </is>
      </c>
      <c r="BK310" s="31">
        <f>IF(BJ310="Overhead supply in last 2 years in last 2 years",-5,IF(BJ310="Close to 52 week high or retracement",5,IF(BJ310="Blue sky scenario",10,IF(BJ310="Long term Downtrend",-10,0))))</f>
        <v/>
      </c>
      <c r="BL310" s="31" t="inlineStr">
        <is>
          <t>Yes</t>
        </is>
      </c>
      <c r="BM310" s="31">
        <f>IF(BL310="Yes",10,0)</f>
        <v/>
      </c>
      <c r="BN310" s="31" t="inlineStr">
        <is>
          <t>Less than 12%</t>
        </is>
      </c>
      <c r="BO310" s="31">
        <f>IF(BN310="More than 20%",10,IF(BN310="Between 12 to 20%",5,IF(BN310="Less than 12%",0,0)))</f>
        <v/>
      </c>
      <c r="BP310" s="31" t="inlineStr">
        <is>
          <t>No</t>
        </is>
      </c>
      <c r="BQ310" s="31">
        <f>IF(BP310="No",10,0)</f>
        <v/>
      </c>
      <c r="BR310" s="31" t="inlineStr">
        <is>
          <t>No</t>
        </is>
      </c>
      <c r="BS310" s="31">
        <f>IF(BR310="NO",5,0)</f>
        <v/>
      </c>
      <c r="BT310" s="31" t="inlineStr">
        <is>
          <t>Above 2</t>
        </is>
      </c>
      <c r="BU310" s="31">
        <f>IF(BT310="Above 2",0,IF(BT310="Between 1.5 to 2",5,IF(BT310="Less than 1.5",10,0)))</f>
        <v/>
      </c>
      <c r="BV310" s="31" t="inlineStr">
        <is>
          <t>Above 70%</t>
        </is>
      </c>
      <c r="BW310" s="31">
        <f>IF(BV310="Above 70%",10,IF(BV310="Between 50% to 70%",5,IF(BV310="Less than 50%",0,IF(BV310="Negative",-10,IF(BV310="Less than 50% and Borrowings are increasing",-5,0)))))</f>
        <v/>
      </c>
      <c r="BX310" s="31" t="inlineStr">
        <is>
          <t>Less than 0.7</t>
        </is>
      </c>
      <c r="BY310" s="31">
        <f>IF(BX310="More than 1.2",-10,IF(BX310="Between 0.7 to 1.2",0,IF(BX310="Less than 0.7",10,0)))</f>
        <v/>
      </c>
      <c r="BZ310" s="31" t="inlineStr">
        <is>
          <t>No</t>
        </is>
      </c>
      <c r="CA310" s="31">
        <f>IF(BZ310="Yes",-10,0)</f>
        <v/>
      </c>
      <c r="CB310" s="31" t="inlineStr">
        <is>
          <t>Less than 15%</t>
        </is>
      </c>
      <c r="CC310" s="31">
        <f>IF(CB310="More than 15%",-10,IF(CB310="Less than 15%",10,0))</f>
        <v/>
      </c>
      <c r="CD310" s="31" t="inlineStr">
        <is>
          <t>No</t>
        </is>
      </c>
      <c r="CE310" s="31">
        <f>IF(CD310="Yes, more than 10%",-10,IF(CD310="No",10,0))</f>
        <v/>
      </c>
    </row>
    <row r="311">
      <c r="A311" s="31">
        <f>IF(B311=0,"",RANK(B311,$B$2:$B$372,0))</f>
        <v/>
      </c>
      <c r="B311" s="32">
        <f>SUM(N311,Y311,AA311,AC311,AE311,AG311,AI311,AK311,AM311,AO311,AQ311,AS311,AU311,AW311,AY311,BA311,BC311,BE311,BG311,BI311,BK311,BM311,BO311,BQ311,BS311,BU311,BW311,BY311,CA311,CC311,CE311)</f>
        <v/>
      </c>
      <c r="C311" s="31" t="inlineStr">
        <is>
          <t>UTTAMSUGAR</t>
        </is>
      </c>
      <c r="D311" s="31" t="inlineStr">
        <is>
          <t>Uttam Sugar Mills Limited</t>
        </is>
      </c>
      <c r="E311" s="31" t="inlineStr">
        <is>
          <t>fmcg</t>
        </is>
      </c>
      <c r="F311" s="31" t="inlineStr">
        <is>
          <t>sugar</t>
        </is>
      </c>
      <c r="G311" s="31" t="inlineStr">
        <is>
          <t>smallcap</t>
        </is>
      </c>
      <c r="H311" s="32" t="n">
        <v>1232.36</v>
      </c>
      <c r="I311" s="32" t="n">
        <v>312.82</v>
      </c>
      <c r="J311" s="32" t="n">
        <v>-3.19</v>
      </c>
      <c r="K311" s="32" t="n">
        <v>687205</v>
      </c>
      <c r="L311" s="31" t="inlineStr"/>
      <c r="M311" s="31" t="inlineStr"/>
      <c r="N311" s="32">
        <f>IF(M311="Underperforming",-5,IF(L311&gt;=95,15,IF(L311&gt;=90,10,IF(L311&gt;=80,5,0))))</f>
        <v/>
      </c>
      <c r="O311" s="32" t="n">
        <v>68.23</v>
      </c>
      <c r="P311" s="32" t="n">
        <v>18.26</v>
      </c>
      <c r="Q311" s="32" t="n">
        <v>235.34</v>
      </c>
      <c r="R311" s="31" t="inlineStr">
        <is>
          <t>Volume Spike &amp; Near 52W High Breakout</t>
        </is>
      </c>
      <c r="S311" s="31" t="inlineStr">
        <is>
          <t>Nifty FMCG</t>
        </is>
      </c>
      <c r="T311" s="32" t="inlineStr"/>
      <c r="U311" s="32" t="inlineStr"/>
      <c r="V311" s="32" t="inlineStr"/>
      <c r="W311" s="32" t="inlineStr"/>
      <c r="X311" s="31" t="inlineStr">
        <is>
          <t>Growing Industry</t>
        </is>
      </c>
      <c r="Y311" s="31">
        <f>IF(X311="Growing Industry",10,IF(X311="Cyclical in an Upturn",5,0))</f>
        <v/>
      </c>
      <c r="Z311" s="31" t="inlineStr">
        <is>
          <t>Too Many Players with High ROCE</t>
        </is>
      </c>
      <c r="AA311" s="31">
        <f>IF(Z311="Monopoly",10,IF(Z311="Oligopoly",5,IF(Z311="Duopoly that cooperate",10,IF(Z311="Duopoly that compete",5,IF(Z311="Too many players with High ROCE",5,0)))))</f>
        <v/>
      </c>
      <c r="AB311" s="31" t="inlineStr">
        <is>
          <t>No</t>
        </is>
      </c>
      <c r="AC311" s="31">
        <f>IF(AB311="No",5,0)</f>
        <v/>
      </c>
      <c r="AD311" s="31" t="inlineStr">
        <is>
          <t>Tailwind</t>
        </is>
      </c>
      <c r="AE311" s="31">
        <f>IF(AD311="Tailwind",10,0)</f>
        <v/>
      </c>
      <c r="AF311" s="31" t="inlineStr">
        <is>
          <t>Structural (10 Years Consistency)</t>
        </is>
      </c>
      <c r="AG311" s="31">
        <f>IF(AF311="Structural (10 Years Consistency)",10,IF(AF311="Shallow Cyclical (2 to 3 years growth)",5,0))</f>
        <v/>
      </c>
      <c r="AH311" s="31" t="inlineStr">
        <is>
          <t>No</t>
        </is>
      </c>
      <c r="AI311" s="31">
        <f>IF(AH311="Yes due to Product Mix change or Operating Leverage",10,IF(AH311="Yes, these are peak margins",-5,IF(AH311="No",5,0)))</f>
        <v/>
      </c>
      <c r="AJ311" s="31" t="inlineStr">
        <is>
          <t>Stable</t>
        </is>
      </c>
      <c r="AK311" s="31">
        <f>IF(AJ311="Stable",10,0)</f>
        <v/>
      </c>
      <c r="AL311" s="31" t="inlineStr">
        <is>
          <t>Yes</t>
        </is>
      </c>
      <c r="AM311" s="31">
        <f>IF(AL311="Yes",10,0)</f>
        <v/>
      </c>
      <c r="AN311" s="31" t="inlineStr">
        <is>
          <t>B2C</t>
        </is>
      </c>
      <c r="AO311" s="31">
        <f>IF(AN311="B2C",10,IF(AN311="B2B",5,0))</f>
        <v/>
      </c>
      <c r="AP311" s="31" t="inlineStr">
        <is>
          <t>Yes</t>
        </is>
      </c>
      <c r="AQ311" s="31">
        <f>IF(AP311="Yes",10,0)</f>
        <v/>
      </c>
      <c r="AR311" s="31" t="inlineStr">
        <is>
          <t>Higher Annuity, Lower One Time</t>
        </is>
      </c>
      <c r="AS311" s="31">
        <f>IF(AR311="Fully Annuity",10,IF(AR311="Higher Annuity, Lower One Time",5,IF(AR311="Higher One Time, Lower Annuity",3,0)))</f>
        <v/>
      </c>
      <c r="AT311" s="31" t="inlineStr">
        <is>
          <t>Good</t>
        </is>
      </c>
      <c r="AU311" s="31">
        <f>IF(AT311="Good",10,0)</f>
        <v/>
      </c>
      <c r="AV311" s="31" t="inlineStr">
        <is>
          <t>Yes for more than 2 years</t>
        </is>
      </c>
      <c r="AW311" s="31">
        <f>IF(AV311="Yes for more than 2 years",10,IF(AV311="Yes only for next 1 to 2 years",5,0))</f>
        <v/>
      </c>
      <c r="AX311" s="31" t="inlineStr">
        <is>
          <t>0 to 20</t>
        </is>
      </c>
      <c r="AY311" s="31">
        <f>IF(AX311="Above 40",20,IF(AX311="20 to 40",10,IF(AX311="0 to 20",-5,0)))</f>
        <v/>
      </c>
      <c r="AZ311" s="31" t="inlineStr">
        <is>
          <t>Between 50 to 75</t>
        </is>
      </c>
      <c r="BA311" s="31">
        <f>IF(AZ311="Between 50 to 75",10,IF(AZ311="Above 75",0,0))</f>
        <v/>
      </c>
      <c r="BB311" s="31" t="inlineStr">
        <is>
          <t>Stage 2</t>
        </is>
      </c>
      <c r="BC311" s="31">
        <f>IF(BB311="Stage 2",20,IF(BB311="Stage 1",0,IF(BB311="Stage 3",5,IF(BB311="Stage 4",-5,0))))</f>
        <v/>
      </c>
      <c r="BD311" s="31" t="inlineStr">
        <is>
          <t>Positive Trend</t>
        </is>
      </c>
      <c r="BE311" s="31">
        <f>IF(BD311="Positive Trend",20,IF(BD311="Negative Trend",-10,0))</f>
        <v/>
      </c>
      <c r="BF311" s="31" t="inlineStr">
        <is>
          <t>Uptrend</t>
        </is>
      </c>
      <c r="BG311" s="31">
        <f>IF(BF311="Uptrend",10,IF(BF311="Sideways",5,0))</f>
        <v/>
      </c>
      <c r="BH311" s="31" t="inlineStr">
        <is>
          <t>Uptrend</t>
        </is>
      </c>
      <c r="BI311" s="31">
        <f>IF(BH311="Uptrend",10,IF(BH311="Sideways",5,0))</f>
        <v/>
      </c>
      <c r="BJ311" s="31" t="inlineStr">
        <is>
          <t>Close to 52 week high or retracement</t>
        </is>
      </c>
      <c r="BK311" s="31">
        <f>IF(BJ311="Overhead supply in last 2 years in last 2 years",-5,IF(BJ311="Close to 52 week high or retracement",5,IF(BJ311="Blue sky scenario",10,IF(BJ311="Long term Downtrend",-10,0))))</f>
        <v/>
      </c>
      <c r="BL311" s="31" t="inlineStr">
        <is>
          <t>Yes</t>
        </is>
      </c>
      <c r="BM311" s="31">
        <f>IF(BL311="Yes",10,0)</f>
        <v/>
      </c>
      <c r="BN311" s="31" t="inlineStr">
        <is>
          <t>Less than 12%</t>
        </is>
      </c>
      <c r="BO311" s="31">
        <f>IF(BN311="More than 20%",10,IF(BN311="Between 12 to 20%",5,IF(BN311="Less than 12%",0,0)))</f>
        <v/>
      </c>
      <c r="BP311" s="31" t="inlineStr">
        <is>
          <t>No</t>
        </is>
      </c>
      <c r="BQ311" s="31">
        <f>IF(BP311="No",10,0)</f>
        <v/>
      </c>
      <c r="BR311" s="31" t="inlineStr">
        <is>
          <t>No</t>
        </is>
      </c>
      <c r="BS311" s="31">
        <f>IF(BR311="NO",5,0)</f>
        <v/>
      </c>
      <c r="BT311" s="31" t="inlineStr">
        <is>
          <t>Above 2</t>
        </is>
      </c>
      <c r="BU311" s="31">
        <f>IF(BT311="Above 2",0,IF(BT311="Between 1.5 to 2",5,IF(BT311="Less than 1.5",10,0)))</f>
        <v/>
      </c>
      <c r="BV311" s="31" t="inlineStr">
        <is>
          <t>Above 70%</t>
        </is>
      </c>
      <c r="BW311" s="31">
        <f>IF(BV311="Above 70%",10,IF(BV311="Between 50% to 70%",5,IF(BV311="Less than 50%",0,IF(BV311="Negative",-10,IF(BV311="Less than 50% and Borrowings are increasing",-5,0)))))</f>
        <v/>
      </c>
      <c r="BX311" s="31" t="inlineStr">
        <is>
          <t>Between 0.7 to 1.2</t>
        </is>
      </c>
      <c r="BY311" s="31">
        <f>IF(BX311="More than 1.2",-10,IF(BX311="Between 0.7 to 1.2",0,IF(BX311="Less than 0.7",10,0)))</f>
        <v/>
      </c>
      <c r="BZ311" s="31" t="inlineStr">
        <is>
          <t>No</t>
        </is>
      </c>
      <c r="CA311" s="31">
        <f>IF(BZ311="Yes",-10,0)</f>
        <v/>
      </c>
      <c r="CB311" s="31" t="inlineStr">
        <is>
          <t>Less than 15%</t>
        </is>
      </c>
      <c r="CC311" s="31">
        <f>IF(CB311="More than 15%",-10,IF(CB311="Less than 15%",10,0))</f>
        <v/>
      </c>
      <c r="CD311" s="31" t="inlineStr">
        <is>
          <t>No</t>
        </is>
      </c>
      <c r="CE311" s="31">
        <f>IF(CD311="Yes, more than 10%",-10,IF(CD311="No",10,0))</f>
        <v/>
      </c>
    </row>
    <row r="312">
      <c r="A312" s="31">
        <f>IF(B312=0,"",RANK(B312,$B$2:$B$372,0))</f>
        <v/>
      </c>
      <c r="B312" s="32">
        <f>SUM(N312,Y312,AA312,AC312,AE312,AG312,AI312,AK312,AM312,AO312,AQ312,AS312,AU312,AW312,AY312,BA312,BC312,BE312,BG312,BI312,BK312,BM312,BO312,BQ312,BS312,BU312,BW312,BY312,CA312,CC312,CE312)</f>
        <v/>
      </c>
      <c r="C312" s="33" t="inlineStr">
        <is>
          <t>ALLCARGO</t>
        </is>
      </c>
      <c r="D312" s="33" t="inlineStr">
        <is>
          <t>Allcargo Logistics Limited</t>
        </is>
      </c>
      <c r="E312" s="31" t="inlineStr">
        <is>
          <t>transportation</t>
        </is>
      </c>
      <c r="F312" s="31" t="inlineStr">
        <is>
          <t>miscellaneous</t>
        </is>
      </c>
      <c r="G312" s="31" t="inlineStr">
        <is>
          <t>smallcap</t>
        </is>
      </c>
      <c r="H312" s="32" t="n">
        <v>1836.28</v>
      </c>
      <c r="I312" s="32" t="n">
        <v>13.32</v>
      </c>
      <c r="J312" s="32" t="n">
        <v>8.65</v>
      </c>
      <c r="K312" s="32" t="n">
        <v>76793112</v>
      </c>
      <c r="L312" s="31" t="n">
        <v>3</v>
      </c>
      <c r="M312" s="31" t="inlineStr">
        <is>
          <t>Underperforming</t>
        </is>
      </c>
      <c r="N312" s="32">
        <f>IF(M312="Underperforming",-5,IF(L312&gt;=95,15,IF(L312&gt;=90,10,IF(L312&gt;=80,5,0))))</f>
        <v/>
      </c>
      <c r="O312" s="32" t="n">
        <v>64.31999999999999</v>
      </c>
      <c r="P312" s="32" t="n">
        <v>26.49</v>
      </c>
      <c r="Q312" s="32" t="n">
        <v>9.35</v>
      </c>
      <c r="R312" s="31" t="inlineStr">
        <is>
          <t>Volume Spike / Accumulation</t>
        </is>
      </c>
      <c r="S312" s="31" t="inlineStr">
        <is>
          <t>Nifty 50</t>
        </is>
      </c>
      <c r="T312" s="32" t="n">
        <v>-0.9</v>
      </c>
      <c r="U312" s="32" t="n">
        <v>-57.34</v>
      </c>
      <c r="V312" s="32" t="n">
        <v>-56.95</v>
      </c>
      <c r="W312" s="32" t="n">
        <v>1.44</v>
      </c>
      <c r="X312" s="31" t="inlineStr">
        <is>
          <t>Growing Industry</t>
        </is>
      </c>
      <c r="Y312" s="31">
        <f>IF(X312="Growing Industry",10,IF(X312="Cyclical in an Upturn",5,0))</f>
        <v/>
      </c>
      <c r="Z312" s="31" t="inlineStr">
        <is>
          <t>Too Many Players with High ROCE</t>
        </is>
      </c>
      <c r="AA312" s="31">
        <f>IF(Z312="Monopoly",10,IF(Z312="Oligopoly",5,IF(Z312="Duopoly that cooperate",10,IF(Z312="Duopoly that compete",5,IF(Z312="Too many players with High ROCE",5,0)))))</f>
        <v/>
      </c>
      <c r="AB312" s="31" t="inlineStr">
        <is>
          <t>No</t>
        </is>
      </c>
      <c r="AC312" s="31">
        <f>IF(AB312="No",5,0)</f>
        <v/>
      </c>
      <c r="AD312" s="31" t="inlineStr">
        <is>
          <t>Tailwind</t>
        </is>
      </c>
      <c r="AE312" s="31">
        <f>IF(AD312="Tailwind",10,0)</f>
        <v/>
      </c>
      <c r="AF312" s="31" t="inlineStr">
        <is>
          <t>Structural (10 Years Consistency)</t>
        </is>
      </c>
      <c r="AG312" s="31">
        <f>IF(AF312="Structural (10 Years Consistency)",10,IF(AF312="Shallow Cyclical (2 to 3 years growth)",5,0))</f>
        <v/>
      </c>
      <c r="AH312" s="31" t="inlineStr">
        <is>
          <t>No</t>
        </is>
      </c>
      <c r="AI312" s="31">
        <f>IF(AH312="Yes due to Product Mix change or Operating Leverage",10,IF(AH312="Yes, these are peak margins",-5,IF(AH312="No",5,0)))</f>
        <v/>
      </c>
      <c r="AJ312" s="31" t="inlineStr">
        <is>
          <t>Stable</t>
        </is>
      </c>
      <c r="AK312" s="31">
        <f>IF(AJ312="Stable",10,0)</f>
        <v/>
      </c>
      <c r="AL312" s="31" t="inlineStr">
        <is>
          <t>Yes</t>
        </is>
      </c>
      <c r="AM312" s="31">
        <f>IF(AL312="Yes",10,0)</f>
        <v/>
      </c>
      <c r="AN312" s="31" t="inlineStr">
        <is>
          <t>B2B</t>
        </is>
      </c>
      <c r="AO312" s="31">
        <f>IF(AN312="B2C",10,IF(AN312="B2B",5,0))</f>
        <v/>
      </c>
      <c r="AP312" s="31" t="inlineStr">
        <is>
          <t>Yes</t>
        </is>
      </c>
      <c r="AQ312" s="31">
        <f>IF(AP312="Yes",10,0)</f>
        <v/>
      </c>
      <c r="AR312" s="31" t="inlineStr">
        <is>
          <t>Higher One Time, Lower Annuity</t>
        </is>
      </c>
      <c r="AS312" s="31">
        <f>IF(AR312="Fully Annuity",10,IF(AR312="Higher Annuity, Lower One Time",5,IF(AR312="Higher One Time, Lower Annuity",3,0)))</f>
        <v/>
      </c>
      <c r="AT312" s="31" t="inlineStr">
        <is>
          <t>Good</t>
        </is>
      </c>
      <c r="AU312" s="31">
        <f>IF(AT312="Good",10,0)</f>
        <v/>
      </c>
      <c r="AV312" s="31" t="inlineStr">
        <is>
          <t>Yes for more than 2 years</t>
        </is>
      </c>
      <c r="AW312" s="31">
        <f>IF(AV312="Yes for more than 2 years",10,IF(AV312="Yes only for next 1 to 2 years",5,0))</f>
        <v/>
      </c>
      <c r="AX312" s="31" t="inlineStr">
        <is>
          <t>20 to 40</t>
        </is>
      </c>
      <c r="AY312" s="31">
        <f>IF(AX312="Above 40",20,IF(AX312="20 to 40",10,IF(AX312="0 to 20",-5,0)))</f>
        <v/>
      </c>
      <c r="AZ312" s="31" t="inlineStr">
        <is>
          <t>Between 50 to 75</t>
        </is>
      </c>
      <c r="BA312" s="31">
        <f>IF(AZ312="Between 50 to 75",10,IF(AZ312="Above 75",0,0))</f>
        <v/>
      </c>
      <c r="BB312" s="31" t="inlineStr">
        <is>
          <t>Stage 2</t>
        </is>
      </c>
      <c r="BC312" s="31">
        <f>IF(BB312="Stage 2",20,IF(BB312="Stage 1",0,IF(BB312="Stage 3",5,IF(BB312="Stage 4",-5,0))))</f>
        <v/>
      </c>
      <c r="BD312" s="31" t="inlineStr">
        <is>
          <t>Positive Trend</t>
        </is>
      </c>
      <c r="BE312" s="31">
        <f>IF(BD312="Positive Trend",20,IF(BD312="Negative Trend",-10,0))</f>
        <v/>
      </c>
      <c r="BF312" s="31" t="inlineStr">
        <is>
          <t>Uptrend</t>
        </is>
      </c>
      <c r="BG312" s="31">
        <f>IF(BF312="Uptrend",10,IF(BF312="Sideways",5,0))</f>
        <v/>
      </c>
      <c r="BH312" s="31" t="inlineStr">
        <is>
          <t>Uptrend</t>
        </is>
      </c>
      <c r="BI312" s="31">
        <f>IF(BH312="Uptrend",10,IF(BH312="Sideways",5,0))</f>
        <v/>
      </c>
      <c r="BJ312" s="31" t="inlineStr">
        <is>
          <t>Close to 52 week high or retracement</t>
        </is>
      </c>
      <c r="BK312" s="31">
        <f>IF(BJ312="Overhead supply in last 2 years in last 2 years",-5,IF(BJ312="Close to 52 week high or retracement",5,IF(BJ312="Blue sky scenario",10,IF(BJ312="Long term Downtrend",-10,0))))</f>
        <v/>
      </c>
      <c r="BL312" s="31" t="inlineStr">
        <is>
          <t>Yes</t>
        </is>
      </c>
      <c r="BM312" s="31">
        <f>IF(BL312="Yes",10,0)</f>
        <v/>
      </c>
      <c r="BN312" s="31" t="inlineStr">
        <is>
          <t>More than 20%</t>
        </is>
      </c>
      <c r="BO312" s="31">
        <f>IF(BN312="More than 20%",10,IF(BN312="Between 12 to 20%",5,IF(BN312="Less than 12%",0,0)))</f>
        <v/>
      </c>
      <c r="BP312" s="31" t="inlineStr">
        <is>
          <t>No</t>
        </is>
      </c>
      <c r="BQ312" s="31">
        <f>IF(BP312="No",10,0)</f>
        <v/>
      </c>
      <c r="BR312" s="31" t="inlineStr">
        <is>
          <t>Yes</t>
        </is>
      </c>
      <c r="BS312" s="31">
        <f>IF(BR312="NO",5,0)</f>
        <v/>
      </c>
      <c r="BT312" s="31" t="inlineStr">
        <is>
          <t>Above 2</t>
        </is>
      </c>
      <c r="BU312" s="31">
        <f>IF(BT312="Above 2",0,IF(BT312="Between 1.5 to 2",5,IF(BT312="Less than 1.5",10,0)))</f>
        <v/>
      </c>
      <c r="BV312" s="31" t="inlineStr">
        <is>
          <t>Above 70%</t>
        </is>
      </c>
      <c r="BW312" s="31">
        <f>IF(BV312="Above 70%",10,IF(BV312="Between 50% to 70%",5,IF(BV312="Less than 50%",0,IF(BV312="Negative",-10,IF(BV312="Less than 50% and Borrowings are increasing",-5,0)))))</f>
        <v/>
      </c>
      <c r="BX312" s="31" t="inlineStr">
        <is>
          <t>More than 1.2</t>
        </is>
      </c>
      <c r="BY312" s="31">
        <f>IF(BX312="More than 1.2",-10,IF(BX312="Between 0.7 to 1.2",0,IF(BX312="Less than 0.7",10,0)))</f>
        <v/>
      </c>
      <c r="BZ312" s="31" t="inlineStr">
        <is>
          <t>No</t>
        </is>
      </c>
      <c r="CA312" s="31">
        <f>IF(BZ312="Yes",-10,0)</f>
        <v/>
      </c>
      <c r="CB312" s="31" t="inlineStr">
        <is>
          <t>Less than 15%</t>
        </is>
      </c>
      <c r="CC312" s="31">
        <f>IF(CB312="More than 15%",-10,IF(CB312="Less than 15%",10,0))</f>
        <v/>
      </c>
      <c r="CD312" s="31" t="inlineStr">
        <is>
          <t>No</t>
        </is>
      </c>
      <c r="CE312" s="31">
        <f>IF(CD312="Yes, more than 10%",-10,IF(CD312="No",10,0))</f>
        <v/>
      </c>
    </row>
    <row r="313">
      <c r="A313" s="31">
        <f>IF(B313=0,"",RANK(B313,$B$2:$B$372,0))</f>
        <v/>
      </c>
      <c r="B313" s="32">
        <f>SUM(N313,Y313,AA313,AC313,AE313,AG313,AI313,AK313,AM313,AO313,AQ313,AS313,AU313,AW313,AY313,BA313,BC313,BE313,BG313,BI313,BK313,BM313,BO313,BQ313,BS313,BU313,BW313,BY313,CA313,CC313,CE313)</f>
        <v/>
      </c>
      <c r="C313" s="31" t="inlineStr">
        <is>
          <t>RAMRAT</t>
        </is>
      </c>
      <c r="D313" s="31" t="inlineStr">
        <is>
          <t>Ram Ratna Wires Ltd</t>
        </is>
      </c>
      <c r="E313" s="31" t="inlineStr">
        <is>
          <t>metals &amp; mining</t>
        </is>
      </c>
      <c r="F313" s="31" t="inlineStr">
        <is>
          <t>mining / minerals / metals</t>
        </is>
      </c>
      <c r="G313" s="31" t="inlineStr">
        <is>
          <t>smallcap</t>
        </is>
      </c>
      <c r="H313" s="32" t="n">
        <v>4569.9</v>
      </c>
      <c r="I313" s="32" t="n">
        <v>524</v>
      </c>
      <c r="J313" s="32" t="n">
        <v>7.04</v>
      </c>
      <c r="K313" s="32" t="n">
        <v>925564</v>
      </c>
      <c r="L313" s="31" t="inlineStr"/>
      <c r="M313" s="31" t="inlineStr"/>
      <c r="N313" s="32">
        <f>IF(M313="Underperforming",-5,IF(L313&gt;=95,15,IF(L313&gt;=90,10,IF(L313&gt;=80,5,0))))</f>
        <v/>
      </c>
      <c r="O313" s="32" t="n">
        <v>75.7</v>
      </c>
      <c r="P313" s="32" t="n">
        <v>42.95</v>
      </c>
      <c r="Q313" s="32" t="n">
        <v>399.58</v>
      </c>
      <c r="R313" s="31" t="inlineStr">
        <is>
          <t>Near 52W High Breakout</t>
        </is>
      </c>
      <c r="S313" s="31" t="inlineStr">
        <is>
          <t>Nifty Metal</t>
        </is>
      </c>
      <c r="T313" s="32" t="inlineStr"/>
      <c r="U313" s="32" t="inlineStr"/>
      <c r="V313" s="32" t="inlineStr"/>
      <c r="W313" s="32" t="inlineStr"/>
      <c r="X313" s="31" t="inlineStr">
        <is>
          <t>Cyclical in an Upturn</t>
        </is>
      </c>
      <c r="Y313" s="31">
        <f>IF(X313="Growing Industry",10,IF(X313="Cyclical in an Upturn",5,0))</f>
        <v/>
      </c>
      <c r="Z313" s="31" t="inlineStr">
        <is>
          <t>Too Many Players with High ROCE</t>
        </is>
      </c>
      <c r="AA313" s="31">
        <f>IF(Z313="Monopoly",10,IF(Z313="Oligopoly",5,IF(Z313="Duopoly that cooperate",10,IF(Z313="Duopoly that compete",5,IF(Z313="Too many players with High ROCE",5,0)))))</f>
        <v/>
      </c>
      <c r="AB313" s="31" t="inlineStr">
        <is>
          <t>No</t>
        </is>
      </c>
      <c r="AC313" s="31">
        <f>IF(AB313="No",5,0)</f>
        <v/>
      </c>
      <c r="AD313" s="31" t="inlineStr">
        <is>
          <t>Tailwind</t>
        </is>
      </c>
      <c r="AE313" s="31">
        <f>IF(AD313="Tailwind",10,0)</f>
        <v/>
      </c>
      <c r="AF313" s="31" t="inlineStr">
        <is>
          <t>Cyclical</t>
        </is>
      </c>
      <c r="AG313" s="31">
        <f>IF(AF313="Structural (10 Years Consistency)",10,IF(AF313="Shallow Cyclical (2 to 3 years growth)",5,0))</f>
        <v/>
      </c>
      <c r="AH313" s="31" t="inlineStr">
        <is>
          <t>No</t>
        </is>
      </c>
      <c r="AI313" s="31">
        <f>IF(AH313="Yes due to Product Mix change or Operating Leverage",10,IF(AH313="Yes, these are peak margins",-5,IF(AH313="No",5,0)))</f>
        <v/>
      </c>
      <c r="AJ313" s="31" t="inlineStr">
        <is>
          <t>Volatile</t>
        </is>
      </c>
      <c r="AK313" s="31">
        <f>IF(AJ313="Stable",10,0)</f>
        <v/>
      </c>
      <c r="AL313" s="31" t="inlineStr">
        <is>
          <t>Yes</t>
        </is>
      </c>
      <c r="AM313" s="31">
        <f>IF(AL313="Yes",10,0)</f>
        <v/>
      </c>
      <c r="AN313" s="31" t="inlineStr">
        <is>
          <t>B2B</t>
        </is>
      </c>
      <c r="AO313" s="31">
        <f>IF(AN313="B2C",10,IF(AN313="B2B",5,0))</f>
        <v/>
      </c>
      <c r="AP313" s="31" t="inlineStr">
        <is>
          <t>Yes</t>
        </is>
      </c>
      <c r="AQ313" s="31">
        <f>IF(AP313="Yes",10,0)</f>
        <v/>
      </c>
      <c r="AR313" s="31" t="inlineStr">
        <is>
          <t>Higher One Time, Lower Annuity</t>
        </is>
      </c>
      <c r="AS313" s="31">
        <f>IF(AR313="Fully Annuity",10,IF(AR313="Higher Annuity, Lower One Time",5,IF(AR313="Higher One Time, Lower Annuity",3,0)))</f>
        <v/>
      </c>
      <c r="AT313" s="31" t="inlineStr">
        <is>
          <t>Good</t>
        </is>
      </c>
      <c r="AU313" s="31">
        <f>IF(AT313="Good",10,0)</f>
        <v/>
      </c>
      <c r="AV313" s="31" t="inlineStr">
        <is>
          <t>Yes for more than 2 years</t>
        </is>
      </c>
      <c r="AW313" s="31">
        <f>IF(AV313="Yes for more than 2 years",10,IF(AV313="Yes only for next 1 to 2 years",5,0))</f>
        <v/>
      </c>
      <c r="AX313" s="31" t="inlineStr">
        <is>
          <t>Above 40</t>
        </is>
      </c>
      <c r="AY313" s="31">
        <f>IF(AX313="Above 40",20,IF(AX313="20 to 40",10,IF(AX313="0 to 20",-5,0)))</f>
        <v/>
      </c>
      <c r="AZ313" s="31" t="inlineStr">
        <is>
          <t>Above 75</t>
        </is>
      </c>
      <c r="BA313" s="31">
        <f>IF(AZ313="Between 50 to 75",10,IF(AZ313="Above 75",0,0))</f>
        <v/>
      </c>
      <c r="BB313" s="31" t="inlineStr">
        <is>
          <t>Stage 2</t>
        </is>
      </c>
      <c r="BC313" s="31">
        <f>IF(BB313="Stage 2",20,IF(BB313="Stage 1",0,IF(BB313="Stage 3",5,IF(BB313="Stage 4",-5,0))))</f>
        <v/>
      </c>
      <c r="BD313" s="31" t="inlineStr">
        <is>
          <t>Positive Trend</t>
        </is>
      </c>
      <c r="BE313" s="31">
        <f>IF(BD313="Positive Trend",20,IF(BD313="Negative Trend",-10,0))</f>
        <v/>
      </c>
      <c r="BF313" s="31" t="inlineStr">
        <is>
          <t>Uptrend</t>
        </is>
      </c>
      <c r="BG313" s="31">
        <f>IF(BF313="Uptrend",10,IF(BF313="Sideways",5,0))</f>
        <v/>
      </c>
      <c r="BH313" s="31" t="inlineStr">
        <is>
          <t>Uptrend</t>
        </is>
      </c>
      <c r="BI313" s="31">
        <f>IF(BH313="Uptrend",10,IF(BH313="Sideways",5,0))</f>
        <v/>
      </c>
      <c r="BJ313" s="31" t="inlineStr">
        <is>
          <t>Blue sky scenario</t>
        </is>
      </c>
      <c r="BK313" s="31">
        <f>IF(BJ313="Overhead supply in last 2 years in last 2 years",-5,IF(BJ313="Close to 52 week high or retracement",5,IF(BJ313="Blue sky scenario",10,IF(BJ313="Long term Downtrend",-10,0))))</f>
        <v/>
      </c>
      <c r="BL313" s="31" t="inlineStr">
        <is>
          <t>Yes</t>
        </is>
      </c>
      <c r="BM313" s="31">
        <f>IF(BL313="Yes",10,0)</f>
        <v/>
      </c>
      <c r="BN313" s="31" t="inlineStr">
        <is>
          <t>More than 20%</t>
        </is>
      </c>
      <c r="BO313" s="31">
        <f>IF(BN313="More than 20%",10,IF(BN313="Between 12 to 20%",5,IF(BN313="Less than 12%",0,0)))</f>
        <v/>
      </c>
      <c r="BP313" s="31" t="inlineStr">
        <is>
          <t>No</t>
        </is>
      </c>
      <c r="BQ313" s="31">
        <f>IF(BP313="No",10,0)</f>
        <v/>
      </c>
      <c r="BR313" s="31" t="inlineStr">
        <is>
          <t>No</t>
        </is>
      </c>
      <c r="BS313" s="31">
        <f>IF(BR313="NO",5,0)</f>
        <v/>
      </c>
      <c r="BT313" s="31" t="inlineStr">
        <is>
          <t>Above 2</t>
        </is>
      </c>
      <c r="BU313" s="31">
        <f>IF(BT313="Above 2",0,IF(BT313="Between 1.5 to 2",5,IF(BT313="Less than 1.5",10,0)))</f>
        <v/>
      </c>
      <c r="BV313" s="31" t="inlineStr">
        <is>
          <t>Above 70%</t>
        </is>
      </c>
      <c r="BW313" s="31">
        <f>IF(BV313="Above 70%",10,IF(BV313="Between 50% to 70%",5,IF(BV313="Less than 50%",0,IF(BV313="Negative",-10,IF(BV313="Less than 50% and Borrowings are increasing",-5,0)))))</f>
        <v/>
      </c>
      <c r="BX313" s="31" t="inlineStr">
        <is>
          <t>Between 0.7 to 1.2</t>
        </is>
      </c>
      <c r="BY313" s="31">
        <f>IF(BX313="More than 1.2",-10,IF(BX313="Between 0.7 to 1.2",0,IF(BX313="Less than 0.7",10,0)))</f>
        <v/>
      </c>
      <c r="BZ313" s="31" t="inlineStr">
        <is>
          <t>No</t>
        </is>
      </c>
      <c r="CA313" s="31">
        <f>IF(BZ313="Yes",-10,0)</f>
        <v/>
      </c>
      <c r="CB313" s="31" t="inlineStr">
        <is>
          <t>Less than 15%</t>
        </is>
      </c>
      <c r="CC313" s="31">
        <f>IF(CB313="More than 15%",-10,IF(CB313="Less than 15%",10,0))</f>
        <v/>
      </c>
      <c r="CD313" s="31" t="inlineStr">
        <is>
          <t>No</t>
        </is>
      </c>
      <c r="CE313" s="31">
        <f>IF(CD313="Yes, more than 10%",-10,IF(CD313="No",10,0))</f>
        <v/>
      </c>
    </row>
    <row r="314">
      <c r="A314" s="31">
        <f>IF(B314=0,"",RANK(B314,$B$2:$B$372,0))</f>
        <v/>
      </c>
      <c r="B314" s="32">
        <f>SUM(N314,Y314,AA314,AC314,AE314,AG314,AI314,AK314,AM314,AO314,AQ314,AS314,AU314,AW314,AY314,BA314,BC314,BE314,BG314,BI314,BK314,BM314,BO314,BQ314,BS314,BU314,BW314,BY314,CA314,CC314,CE314)</f>
        <v/>
      </c>
      <c r="C314" s="31" t="inlineStr">
        <is>
          <t>RATNAVEER</t>
        </is>
      </c>
      <c r="D314" s="31" t="inlineStr">
        <is>
          <t>Ratnaveer Precision Engineering Ltd</t>
        </is>
      </c>
      <c r="E314" s="31" t="inlineStr">
        <is>
          <t>metals &amp; mining</t>
        </is>
      </c>
      <c r="F314" s="31" t="inlineStr">
        <is>
          <t>steel - medium / small</t>
        </is>
      </c>
      <c r="G314" s="31" t="inlineStr">
        <is>
          <t>smallcap</t>
        </is>
      </c>
      <c r="H314" s="32" t="n">
        <v>1881.59</v>
      </c>
      <c r="I314" s="32" t="n">
        <v>279.27</v>
      </c>
      <c r="J314" s="32" t="n">
        <v>6.01</v>
      </c>
      <c r="K314" s="32" t="n">
        <v>8840681</v>
      </c>
      <c r="L314" s="31" t="inlineStr"/>
      <c r="M314" s="31" t="inlineStr"/>
      <c r="N314" s="32">
        <f>IF(M314="Underperforming",-5,IF(L314&gt;=95,15,IF(L314&gt;=90,10,IF(L314&gt;=80,5,0))))</f>
        <v/>
      </c>
      <c r="O314" s="32" t="n">
        <v>80.41</v>
      </c>
      <c r="P314" s="32" t="n">
        <v>51.99</v>
      </c>
      <c r="Q314" s="32" t="n">
        <v>207.63</v>
      </c>
      <c r="R314" s="31" t="inlineStr">
        <is>
          <t>Near 52W High Breakout</t>
        </is>
      </c>
      <c r="S314" s="31" t="inlineStr">
        <is>
          <t>Nifty Metal</t>
        </is>
      </c>
      <c r="T314" s="32" t="inlineStr"/>
      <c r="U314" s="32" t="inlineStr"/>
      <c r="V314" s="32" t="inlineStr"/>
      <c r="W314" s="32" t="inlineStr"/>
      <c r="X314" s="31" t="inlineStr">
        <is>
          <t>Cyclical in an Upturn</t>
        </is>
      </c>
      <c r="Y314" s="31">
        <f>IF(X314="Growing Industry",10,IF(X314="Cyclical in an Upturn",5,0))</f>
        <v/>
      </c>
      <c r="Z314" s="31" t="inlineStr">
        <is>
          <t>Too Many Players with High ROCE</t>
        </is>
      </c>
      <c r="AA314" s="31">
        <f>IF(Z314="Monopoly",10,IF(Z314="Oligopoly",5,IF(Z314="Duopoly that cooperate",10,IF(Z314="Duopoly that compete",5,IF(Z314="Too many players with High ROCE",5,0)))))</f>
        <v/>
      </c>
      <c r="AB314" s="31" t="inlineStr">
        <is>
          <t>No</t>
        </is>
      </c>
      <c r="AC314" s="31">
        <f>IF(AB314="No",5,0)</f>
        <v/>
      </c>
      <c r="AD314" s="31" t="inlineStr">
        <is>
          <t>Tailwind</t>
        </is>
      </c>
      <c r="AE314" s="31">
        <f>IF(AD314="Tailwind",10,0)</f>
        <v/>
      </c>
      <c r="AF314" s="31" t="inlineStr">
        <is>
          <t>Cyclical</t>
        </is>
      </c>
      <c r="AG314" s="31">
        <f>IF(AF314="Structural (10 Years Consistency)",10,IF(AF314="Shallow Cyclical (2 to 3 years growth)",5,0))</f>
        <v/>
      </c>
      <c r="AH314" s="31" t="inlineStr">
        <is>
          <t>No</t>
        </is>
      </c>
      <c r="AI314" s="31">
        <f>IF(AH314="Yes due to Product Mix change or Operating Leverage",10,IF(AH314="Yes, these are peak margins",-5,IF(AH314="No",5,0)))</f>
        <v/>
      </c>
      <c r="AJ314" s="31" t="inlineStr">
        <is>
          <t>Volatile</t>
        </is>
      </c>
      <c r="AK314" s="31">
        <f>IF(AJ314="Stable",10,0)</f>
        <v/>
      </c>
      <c r="AL314" s="31" t="inlineStr">
        <is>
          <t>Yes</t>
        </is>
      </c>
      <c r="AM314" s="31">
        <f>IF(AL314="Yes",10,0)</f>
        <v/>
      </c>
      <c r="AN314" s="31" t="inlineStr">
        <is>
          <t>B2B</t>
        </is>
      </c>
      <c r="AO314" s="31">
        <f>IF(AN314="B2C",10,IF(AN314="B2B",5,0))</f>
        <v/>
      </c>
      <c r="AP314" s="31" t="inlineStr">
        <is>
          <t>Yes</t>
        </is>
      </c>
      <c r="AQ314" s="31">
        <f>IF(AP314="Yes",10,0)</f>
        <v/>
      </c>
      <c r="AR314" s="31" t="inlineStr">
        <is>
          <t>Higher One Time, Lower Annuity</t>
        </is>
      </c>
      <c r="AS314" s="31">
        <f>IF(AR314="Fully Annuity",10,IF(AR314="Higher Annuity, Lower One Time",5,IF(AR314="Higher One Time, Lower Annuity",3,0)))</f>
        <v/>
      </c>
      <c r="AT314" s="31" t="inlineStr">
        <is>
          <t>Good</t>
        </is>
      </c>
      <c r="AU314" s="31">
        <f>IF(AT314="Good",10,0)</f>
        <v/>
      </c>
      <c r="AV314" s="31" t="inlineStr">
        <is>
          <t>Yes for more than 2 years</t>
        </is>
      </c>
      <c r="AW314" s="31">
        <f>IF(AV314="Yes for more than 2 years",10,IF(AV314="Yes only for next 1 to 2 years",5,0))</f>
        <v/>
      </c>
      <c r="AX314" s="31" t="inlineStr">
        <is>
          <t>Above 40</t>
        </is>
      </c>
      <c r="AY314" s="31">
        <f>IF(AX314="Above 40",20,IF(AX314="20 to 40",10,IF(AX314="0 to 20",-5,0)))</f>
        <v/>
      </c>
      <c r="AZ314" s="31" t="inlineStr">
        <is>
          <t>Above 75</t>
        </is>
      </c>
      <c r="BA314" s="31">
        <f>IF(AZ314="Between 50 to 75",10,IF(AZ314="Above 75",0,0))</f>
        <v/>
      </c>
      <c r="BB314" s="31" t="inlineStr">
        <is>
          <t>Stage 2</t>
        </is>
      </c>
      <c r="BC314" s="31">
        <f>IF(BB314="Stage 2",20,IF(BB314="Stage 1",0,IF(BB314="Stage 3",5,IF(BB314="Stage 4",-5,0))))</f>
        <v/>
      </c>
      <c r="BD314" s="31" t="inlineStr">
        <is>
          <t>Positive Trend</t>
        </is>
      </c>
      <c r="BE314" s="31">
        <f>IF(BD314="Positive Trend",20,IF(BD314="Negative Trend",-10,0))</f>
        <v/>
      </c>
      <c r="BF314" s="31" t="inlineStr">
        <is>
          <t>Uptrend</t>
        </is>
      </c>
      <c r="BG314" s="31">
        <f>IF(BF314="Uptrend",10,IF(BF314="Sideways",5,0))</f>
        <v/>
      </c>
      <c r="BH314" s="31" t="inlineStr">
        <is>
          <t>Uptrend</t>
        </is>
      </c>
      <c r="BI314" s="31">
        <f>IF(BH314="Uptrend",10,IF(BH314="Sideways",5,0))</f>
        <v/>
      </c>
      <c r="BJ314" s="31" t="inlineStr">
        <is>
          <t>Blue sky scenario</t>
        </is>
      </c>
      <c r="BK314" s="31">
        <f>IF(BJ314="Overhead supply in last 2 years in last 2 years",-5,IF(BJ314="Close to 52 week high or retracement",5,IF(BJ314="Blue sky scenario",10,IF(BJ314="Long term Downtrend",-10,0))))</f>
        <v/>
      </c>
      <c r="BL314" s="31" t="inlineStr">
        <is>
          <t>Yes</t>
        </is>
      </c>
      <c r="BM314" s="31">
        <f>IF(BL314="Yes",10,0)</f>
        <v/>
      </c>
      <c r="BN314" s="31" t="inlineStr">
        <is>
          <t>Less than 12%</t>
        </is>
      </c>
      <c r="BO314" s="31">
        <f>IF(BN314="More than 20%",10,IF(BN314="Between 12 to 20%",5,IF(BN314="Less than 12%",0,0)))</f>
        <v/>
      </c>
      <c r="BP314" s="31" t="inlineStr">
        <is>
          <t>No</t>
        </is>
      </c>
      <c r="BQ314" s="31">
        <f>IF(BP314="No",10,0)</f>
        <v/>
      </c>
      <c r="BR314" s="31" t="inlineStr">
        <is>
          <t>No</t>
        </is>
      </c>
      <c r="BS314" s="31">
        <f>IF(BR314="NO",5,0)</f>
        <v/>
      </c>
      <c r="BT314" s="31" t="inlineStr">
        <is>
          <t>Above 2</t>
        </is>
      </c>
      <c r="BU314" s="31">
        <f>IF(BT314="Above 2",0,IF(BT314="Between 1.5 to 2",5,IF(BT314="Less than 1.5",10,0)))</f>
        <v/>
      </c>
      <c r="BV314" s="31" t="inlineStr">
        <is>
          <t>Above 70%</t>
        </is>
      </c>
      <c r="BW314" s="31">
        <f>IF(BV314="Above 70%",10,IF(BV314="Between 50% to 70%",5,IF(BV314="Less than 50%",0,IF(BV314="Negative",-10,IF(BV314="Less than 50% and Borrowings are increasing",-5,0)))))</f>
        <v/>
      </c>
      <c r="BX314" s="31" t="inlineStr">
        <is>
          <t>Less than 0.7</t>
        </is>
      </c>
      <c r="BY314" s="31">
        <f>IF(BX314="More than 1.2",-10,IF(BX314="Between 0.7 to 1.2",0,IF(BX314="Less than 0.7",10,0)))</f>
        <v/>
      </c>
      <c r="BZ314" s="31" t="inlineStr">
        <is>
          <t>No</t>
        </is>
      </c>
      <c r="CA314" s="31">
        <f>IF(BZ314="Yes",-10,0)</f>
        <v/>
      </c>
      <c r="CB314" s="31" t="inlineStr">
        <is>
          <t>Less than 15%</t>
        </is>
      </c>
      <c r="CC314" s="31">
        <f>IF(CB314="More than 15%",-10,IF(CB314="Less than 15%",10,0))</f>
        <v/>
      </c>
      <c r="CD314" s="31" t="inlineStr">
        <is>
          <t>No</t>
        </is>
      </c>
      <c r="CE314" s="31">
        <f>IF(CD314="Yes, more than 10%",-10,IF(CD314="No",10,0))</f>
        <v/>
      </c>
    </row>
    <row r="315">
      <c r="A315" s="31">
        <f>IF(B315=0,"",RANK(B315,$B$2:$B$372,0))</f>
        <v/>
      </c>
      <c r="B315" s="32">
        <f>SUM(N315,Y315,AA315,AC315,AE315,AG315,AI315,AK315,AM315,AO315,AQ315,AS315,AU315,AW315,AY315,BA315,BC315,BE315,BG315,BI315,BK315,BM315,BO315,BQ315,BS315,BU315,BW315,BY315,CA315,CC315,CE315)</f>
        <v/>
      </c>
      <c r="C315" s="31" t="inlineStr">
        <is>
          <t>NAVINFLUOR</t>
        </is>
      </c>
      <c r="D315" s="31" t="inlineStr">
        <is>
          <t>Navin Fluorine International Limited</t>
        </is>
      </c>
      <c r="E315" s="31" t="inlineStr">
        <is>
          <t>chemicals</t>
        </is>
      </c>
      <c r="F315" s="31" t="inlineStr">
        <is>
          <t>chemicals</t>
        </is>
      </c>
      <c r="G315" s="31" t="inlineStr">
        <is>
          <t>largecap</t>
        </is>
      </c>
      <c r="H315" s="32" t="n">
        <v>42104.91</v>
      </c>
      <c r="I315" s="32" t="n">
        <v>8553</v>
      </c>
      <c r="J315" s="32" t="n">
        <v>4.19</v>
      </c>
      <c r="K315" s="32" t="n">
        <v>217874</v>
      </c>
      <c r="L315" s="31" t="n">
        <v>65</v>
      </c>
      <c r="M315" s="31" t="inlineStr">
        <is>
          <t>Outperforming</t>
        </is>
      </c>
      <c r="N315" s="32">
        <f>IF(M315="Underperforming",-5,IF(L315&gt;=95,15,IF(L315&gt;=90,10,IF(L315&gt;=80,5,0))))</f>
        <v/>
      </c>
      <c r="O315" s="32" t="n">
        <v>77.98999999999999</v>
      </c>
      <c r="P315" s="32" t="n">
        <v>58.24</v>
      </c>
      <c r="Q315" s="32" t="n">
        <v>7136.14</v>
      </c>
      <c r="R315" s="31" t="inlineStr">
        <is>
          <t>Near 52W High Breakout</t>
        </is>
      </c>
      <c r="S315" s="31" t="inlineStr">
        <is>
          <t>Nifty 50</t>
        </is>
      </c>
      <c r="T315" s="32" t="n">
        <v>-0.9</v>
      </c>
      <c r="U315" s="32" t="n">
        <v>82.88</v>
      </c>
      <c r="V315" s="32" t="n">
        <v>84.53</v>
      </c>
      <c r="W315" s="32" t="n">
        <v>17.15</v>
      </c>
      <c r="X315" s="31" t="inlineStr">
        <is>
          <t>Growing Industry</t>
        </is>
      </c>
      <c r="Y315" s="31">
        <f>IF(X315="Growing Industry",10,IF(X315="Cyclical in an Upturn",5,0))</f>
        <v/>
      </c>
      <c r="Z315" s="31" t="inlineStr">
        <is>
          <t>Oligopoly</t>
        </is>
      </c>
      <c r="AA315" s="31">
        <f>IF(Z315="Monopoly",10,IF(Z315="Oligopoly",5,IF(Z315="Duopoly that cooperate",10,IF(Z315="Duopoly that compete",5,IF(Z315="Too many players with High ROCE",5,0)))))</f>
        <v/>
      </c>
      <c r="AB315" s="31" t="inlineStr">
        <is>
          <t>No</t>
        </is>
      </c>
      <c r="AC315" s="31">
        <f>IF(AB315="No",5,0)</f>
        <v/>
      </c>
      <c r="AD315" s="31" t="inlineStr">
        <is>
          <t>Tailwind</t>
        </is>
      </c>
      <c r="AE315" s="31">
        <f>IF(AD315="Tailwind",10,0)</f>
        <v/>
      </c>
      <c r="AF315" s="31" t="inlineStr">
        <is>
          <t>Shallow Cyclical (2 to 3 Years Growth)</t>
        </is>
      </c>
      <c r="AG315" s="31">
        <f>IF(AF315="Structural (10 Years Consistency)",10,IF(AF315="Shallow Cyclical (2 to 3 years growth)",5,0))</f>
        <v/>
      </c>
      <c r="AH315" s="31" t="inlineStr">
        <is>
          <t>No</t>
        </is>
      </c>
      <c r="AI315" s="31">
        <f>IF(AH315="Yes due to Product Mix change or Operating Leverage",10,IF(AH315="Yes, these are peak margins",-5,IF(AH315="No",5,0)))</f>
        <v/>
      </c>
      <c r="AJ315" s="31" t="inlineStr">
        <is>
          <t>Stable</t>
        </is>
      </c>
      <c r="AK315" s="31">
        <f>IF(AJ315="Stable",10,0)</f>
        <v/>
      </c>
      <c r="AL315" s="31" t="inlineStr">
        <is>
          <t>Yes</t>
        </is>
      </c>
      <c r="AM315" s="31">
        <f>IF(AL315="Yes",10,0)</f>
        <v/>
      </c>
      <c r="AN315" s="31" t="inlineStr">
        <is>
          <t>B2B</t>
        </is>
      </c>
      <c r="AO315" s="31">
        <f>IF(AN315="B2C",10,IF(AN315="B2B",5,0))</f>
        <v/>
      </c>
      <c r="AP315" s="31" t="inlineStr">
        <is>
          <t>Yes</t>
        </is>
      </c>
      <c r="AQ315" s="31">
        <f>IF(AP315="Yes",10,0)</f>
        <v/>
      </c>
      <c r="AR315" s="31" t="inlineStr">
        <is>
          <t>Higher One Time, Lower Annuity</t>
        </is>
      </c>
      <c r="AS315" s="31">
        <f>IF(AR315="Fully Annuity",10,IF(AR315="Higher Annuity, Lower One Time",5,IF(AR315="Higher One Time, Lower Annuity",3,0)))</f>
        <v/>
      </c>
      <c r="AT315" s="31" t="inlineStr">
        <is>
          <t>Good</t>
        </is>
      </c>
      <c r="AU315" s="31">
        <f>IF(AT315="Good",10,0)</f>
        <v/>
      </c>
      <c r="AV315" s="31" t="inlineStr">
        <is>
          <t>Yes for more than 2 years</t>
        </is>
      </c>
      <c r="AW315" s="31">
        <f>IF(AV315="Yes for more than 2 years",10,IF(AV315="Yes only for next 1 to 2 years",5,0))</f>
        <v/>
      </c>
      <c r="AX315" s="31" t="inlineStr">
        <is>
          <t>20 to 40</t>
        </is>
      </c>
      <c r="AY315" s="31">
        <f>IF(AX315="Above 40",20,IF(AX315="20 to 40",10,IF(AX315="0 to 20",-5,0)))</f>
        <v/>
      </c>
      <c r="AZ315" s="31" t="inlineStr">
        <is>
          <t>Between 50 to 75</t>
        </is>
      </c>
      <c r="BA315" s="31">
        <f>IF(AZ315="Between 50 to 75",10,IF(AZ315="Above 75",0,0))</f>
        <v/>
      </c>
      <c r="BB315" s="31" t="inlineStr">
        <is>
          <t>Stage 3</t>
        </is>
      </c>
      <c r="BC315" s="31">
        <f>IF(BB315="Stage 2",20,IF(BB315="Stage 1",0,IF(BB315="Stage 3",5,IF(BB315="Stage 4",-5,0))))</f>
        <v/>
      </c>
      <c r="BD315" s="31" t="inlineStr">
        <is>
          <t>Positive Trend</t>
        </is>
      </c>
      <c r="BE315" s="31">
        <f>IF(BD315="Positive Trend",20,IF(BD315="Negative Trend",-10,0))</f>
        <v/>
      </c>
      <c r="BF315" s="31" t="inlineStr">
        <is>
          <t>Uptrend</t>
        </is>
      </c>
      <c r="BG315" s="31">
        <f>IF(BF315="Uptrend",10,IF(BF315="Sideways",5,0))</f>
        <v/>
      </c>
      <c r="BH315" s="31" t="inlineStr">
        <is>
          <t>Uptrend</t>
        </is>
      </c>
      <c r="BI315" s="31">
        <f>IF(BH315="Uptrend",10,IF(BH315="Sideways",5,0))</f>
        <v/>
      </c>
      <c r="BJ315" s="31" t="inlineStr">
        <is>
          <t>Close to 52 week high or retracement</t>
        </is>
      </c>
      <c r="BK315" s="31">
        <f>IF(BJ315="Overhead supply in last 2 years in last 2 years",-5,IF(BJ315="Close to 52 week high or retracement",5,IF(BJ315="Blue sky scenario",10,IF(BJ315="Long term Downtrend",-10,0))))</f>
        <v/>
      </c>
      <c r="BL315" s="31" t="inlineStr">
        <is>
          <t>Yes</t>
        </is>
      </c>
      <c r="BM315" s="31">
        <f>IF(BL315="Yes",10,0)</f>
        <v/>
      </c>
      <c r="BN315" s="31" t="inlineStr">
        <is>
          <t>More than 20%</t>
        </is>
      </c>
      <c r="BO315" s="31">
        <f>IF(BN315="More than 20%",10,IF(BN315="Between 12 to 20%",5,IF(BN315="Less than 12%",0,0)))</f>
        <v/>
      </c>
      <c r="BP315" s="31" t="inlineStr">
        <is>
          <t>No</t>
        </is>
      </c>
      <c r="BQ315" s="31">
        <f>IF(BP315="No",10,0)</f>
        <v/>
      </c>
      <c r="BR315" s="31" t="inlineStr">
        <is>
          <t>Yes</t>
        </is>
      </c>
      <c r="BS315" s="31">
        <f>IF(BR315="NO",5,0)</f>
        <v/>
      </c>
      <c r="BT315" s="31" t="inlineStr">
        <is>
          <t>Above 2</t>
        </is>
      </c>
      <c r="BU315" s="31">
        <f>IF(BT315="Above 2",0,IF(BT315="Between 1.5 to 2",5,IF(BT315="Less than 1.5",10,0)))</f>
        <v/>
      </c>
      <c r="BV315" s="31" t="inlineStr">
        <is>
          <t>Between 50% to 70%</t>
        </is>
      </c>
      <c r="BW315" s="31">
        <f>IF(BV315="Above 70%",10,IF(BV315="Between 50% to 70%",5,IF(BV315="Less than 50%",0,IF(BV315="Negative",-10,IF(BV315="Less than 50% and Borrowings are increasing",-5,0)))))</f>
        <v/>
      </c>
      <c r="BX315" s="31" t="inlineStr">
        <is>
          <t>Less than 0.7</t>
        </is>
      </c>
      <c r="BY315" s="31">
        <f>IF(BX315="More than 1.2",-10,IF(BX315="Between 0.7 to 1.2",0,IF(BX315="Less than 0.7",10,0)))</f>
        <v/>
      </c>
      <c r="BZ315" s="31" t="inlineStr">
        <is>
          <t>No</t>
        </is>
      </c>
      <c r="CA315" s="31">
        <f>IF(BZ315="Yes",-10,0)</f>
        <v/>
      </c>
      <c r="CB315" s="31" t="inlineStr">
        <is>
          <t>Less than 15%</t>
        </is>
      </c>
      <c r="CC315" s="31">
        <f>IF(CB315="More than 15%",-10,IF(CB315="Less than 15%",10,0))</f>
        <v/>
      </c>
      <c r="CD315" s="31" t="inlineStr">
        <is>
          <t>No</t>
        </is>
      </c>
      <c r="CE315" s="31">
        <f>IF(CD315="Yes, more than 10%",-10,IF(CD315="No",10,0))</f>
        <v/>
      </c>
    </row>
    <row r="316">
      <c r="A316" s="31">
        <f>IF(B316=0,"",RANK(B316,$B$2:$B$372,0))</f>
        <v/>
      </c>
      <c r="B316" s="32">
        <f>SUM(N316,Y316,AA316,AC316,AE316,AG316,AI316,AK316,AM316,AO316,AQ316,AS316,AU316,AW316,AY316,BA316,BC316,BE316,BG316,BI316,BK316,BM316,BO316,BQ316,BS316,BU316,BW316,BY316,CA316,CC316,CE316)</f>
        <v/>
      </c>
      <c r="C316" s="33" t="inlineStr">
        <is>
          <t>PRINCEPIPE</t>
        </is>
      </c>
      <c r="D316" s="33" t="inlineStr">
        <is>
          <t>Prince Pipes &amp; Fittings Ltd</t>
        </is>
      </c>
      <c r="E316" s="31" t="inlineStr">
        <is>
          <t>plastic products</t>
        </is>
      </c>
      <c r="F316" s="31" t="inlineStr">
        <is>
          <t>plastics products</t>
        </is>
      </c>
      <c r="G316" s="31" t="inlineStr">
        <is>
          <t>smallcap</t>
        </is>
      </c>
      <c r="H316" s="32" t="n">
        <v>3174.21</v>
      </c>
      <c r="I316" s="32" t="n">
        <v>298.4</v>
      </c>
      <c r="J316" s="32" t="n">
        <v>3.94</v>
      </c>
      <c r="K316" s="32" t="n">
        <v>1035372</v>
      </c>
      <c r="L316" s="31" t="n">
        <v>5</v>
      </c>
      <c r="M316" s="31" t="inlineStr">
        <is>
          <t>Underperforming</t>
        </is>
      </c>
      <c r="N316" s="32">
        <f>IF(M316="Underperforming",-5,IF(L316&gt;=95,15,IF(L316&gt;=90,10,IF(L316&gt;=80,5,0))))</f>
        <v/>
      </c>
      <c r="O316" s="32" t="n">
        <v>62.92</v>
      </c>
      <c r="P316" s="32" t="n">
        <v>19.42</v>
      </c>
      <c r="Q316" s="32" t="n">
        <v>238.4</v>
      </c>
      <c r="R316" s="31" t="inlineStr">
        <is>
          <t>Earnings / Momentum Support</t>
        </is>
      </c>
      <c r="S316" s="31" t="inlineStr">
        <is>
          <t>Nifty 50</t>
        </is>
      </c>
      <c r="T316" s="32" t="n">
        <v>-0.9</v>
      </c>
      <c r="U316" s="32" t="n">
        <v>-6.21</v>
      </c>
      <c r="V316" s="32" t="n">
        <v>-5.36</v>
      </c>
      <c r="W316" s="32" t="n">
        <v>1.94</v>
      </c>
      <c r="X316" s="31" t="inlineStr">
        <is>
          <t>Growing Industry</t>
        </is>
      </c>
      <c r="Y316" s="31">
        <f>IF(X316="Growing Industry",10,IF(X316="Cyclical in an Upturn",5,0))</f>
        <v/>
      </c>
      <c r="Z316" s="31" t="inlineStr">
        <is>
          <t>Too Many Players with High ROCE</t>
        </is>
      </c>
      <c r="AA316" s="31">
        <f>IF(Z316="Monopoly",10,IF(Z316="Oligopoly",5,IF(Z316="Duopoly that cooperate",10,IF(Z316="Duopoly that compete",5,IF(Z316="Too many players with High ROCE",5,0)))))</f>
        <v/>
      </c>
      <c r="AB316" s="31" t="inlineStr">
        <is>
          <t>No</t>
        </is>
      </c>
      <c r="AC316" s="31">
        <f>IF(AB316="No",5,0)</f>
        <v/>
      </c>
      <c r="AD316" s="31" t="inlineStr">
        <is>
          <t>Tailwind</t>
        </is>
      </c>
      <c r="AE316" s="31">
        <f>IF(AD316="Tailwind",10,0)</f>
        <v/>
      </c>
      <c r="AF316" s="31" t="inlineStr">
        <is>
          <t>Structural (10 Years Consistency)</t>
        </is>
      </c>
      <c r="AG316" s="31">
        <f>IF(AF316="Structural (10 Years Consistency)",10,IF(AF316="Shallow Cyclical (2 to 3 years growth)",5,0))</f>
        <v/>
      </c>
      <c r="AH316" s="31" t="inlineStr">
        <is>
          <t>No</t>
        </is>
      </c>
      <c r="AI316" s="31">
        <f>IF(AH316="Yes due to Product Mix change or Operating Leverage",10,IF(AH316="Yes, these are peak margins",-5,IF(AH316="No",5,0)))</f>
        <v/>
      </c>
      <c r="AJ316" s="31" t="inlineStr">
        <is>
          <t>Stable</t>
        </is>
      </c>
      <c r="AK316" s="31">
        <f>IF(AJ316="Stable",10,0)</f>
        <v/>
      </c>
      <c r="AL316" s="31" t="inlineStr">
        <is>
          <t>Yes</t>
        </is>
      </c>
      <c r="AM316" s="31">
        <f>IF(AL316="Yes",10,0)</f>
        <v/>
      </c>
      <c r="AN316" s="31" t="inlineStr">
        <is>
          <t>B2B</t>
        </is>
      </c>
      <c r="AO316" s="31">
        <f>IF(AN316="B2C",10,IF(AN316="B2B",5,0))</f>
        <v/>
      </c>
      <c r="AP316" s="31" t="inlineStr">
        <is>
          <t>No</t>
        </is>
      </c>
      <c r="AQ316" s="31">
        <f>IF(AP316="Yes",10,0)</f>
        <v/>
      </c>
      <c r="AR316" s="31" t="inlineStr">
        <is>
          <t>Higher One Time, Lower Annuity</t>
        </is>
      </c>
      <c r="AS316" s="31">
        <f>IF(AR316="Fully Annuity",10,IF(AR316="Higher Annuity, Lower One Time",5,IF(AR316="Higher One Time, Lower Annuity",3,0)))</f>
        <v/>
      </c>
      <c r="AT316" s="31" t="inlineStr">
        <is>
          <t>Good</t>
        </is>
      </c>
      <c r="AU316" s="31">
        <f>IF(AT316="Good",10,0)</f>
        <v/>
      </c>
      <c r="AV316" s="31" t="inlineStr">
        <is>
          <t>Yes for more than 2 years</t>
        </is>
      </c>
      <c r="AW316" s="31">
        <f>IF(AV316="Yes for more than 2 years",10,IF(AV316="Yes only for next 1 to 2 years",5,0))</f>
        <v/>
      </c>
      <c r="AX316" s="31" t="inlineStr">
        <is>
          <t>0 to 20</t>
        </is>
      </c>
      <c r="AY316" s="31">
        <f>IF(AX316="Above 40",20,IF(AX316="20 to 40",10,IF(AX316="0 to 20",-5,0)))</f>
        <v/>
      </c>
      <c r="AZ316" s="31" t="inlineStr">
        <is>
          <t>Between 50 to 75</t>
        </is>
      </c>
      <c r="BA316" s="31">
        <f>IF(AZ316="Between 50 to 75",10,IF(AZ316="Above 75",0,0))</f>
        <v/>
      </c>
      <c r="BB316" s="31" t="inlineStr">
        <is>
          <t>Stage 2</t>
        </is>
      </c>
      <c r="BC316" s="31">
        <f>IF(BB316="Stage 2",20,IF(BB316="Stage 1",0,IF(BB316="Stage 3",5,IF(BB316="Stage 4",-5,0))))</f>
        <v/>
      </c>
      <c r="BD316" s="31" t="inlineStr">
        <is>
          <t>Positive Trend</t>
        </is>
      </c>
      <c r="BE316" s="31">
        <f>IF(BD316="Positive Trend",20,IF(BD316="Negative Trend",-10,0))</f>
        <v/>
      </c>
      <c r="BF316" s="31" t="inlineStr">
        <is>
          <t>Uptrend</t>
        </is>
      </c>
      <c r="BG316" s="31">
        <f>IF(BF316="Uptrend",10,IF(BF316="Sideways",5,0))</f>
        <v/>
      </c>
      <c r="BH316" s="31" t="inlineStr">
        <is>
          <t>Uptrend</t>
        </is>
      </c>
      <c r="BI316" s="31">
        <f>IF(BH316="Uptrend",10,IF(BH316="Sideways",5,0))</f>
        <v/>
      </c>
      <c r="BJ316" s="31" t="inlineStr">
        <is>
          <t>Close to 52 week high or retracement</t>
        </is>
      </c>
      <c r="BK316" s="31">
        <f>IF(BJ316="Overhead supply in last 2 years in last 2 years",-5,IF(BJ316="Close to 52 week high or retracement",5,IF(BJ316="Blue sky scenario",10,IF(BJ316="Long term Downtrend",-10,0))))</f>
        <v/>
      </c>
      <c r="BL316" s="31" t="inlineStr">
        <is>
          <t>Yes</t>
        </is>
      </c>
      <c r="BM316" s="31">
        <f>IF(BL316="Yes",10,0)</f>
        <v/>
      </c>
      <c r="BN316" s="31" t="inlineStr">
        <is>
          <t>More than 20%</t>
        </is>
      </c>
      <c r="BO316" s="31">
        <f>IF(BN316="More than 20%",10,IF(BN316="Between 12 to 20%",5,IF(BN316="Less than 12%",0,0)))</f>
        <v/>
      </c>
      <c r="BP316" s="31" t="inlineStr">
        <is>
          <t>No</t>
        </is>
      </c>
      <c r="BQ316" s="31">
        <f>IF(BP316="No",10,0)</f>
        <v/>
      </c>
      <c r="BR316" s="31" t="inlineStr">
        <is>
          <t>No</t>
        </is>
      </c>
      <c r="BS316" s="31">
        <f>IF(BR316="NO",5,0)</f>
        <v/>
      </c>
      <c r="BT316" s="31" t="inlineStr">
        <is>
          <t>Above 2</t>
        </is>
      </c>
      <c r="BU316" s="31">
        <f>IF(BT316="Above 2",0,IF(BT316="Between 1.5 to 2",5,IF(BT316="Less than 1.5",10,0)))</f>
        <v/>
      </c>
      <c r="BV316" s="31" t="inlineStr">
        <is>
          <t>Above 70%</t>
        </is>
      </c>
      <c r="BW316" s="31">
        <f>IF(BV316="Above 70%",10,IF(BV316="Between 50% to 70%",5,IF(BV316="Less than 50%",0,IF(BV316="Negative",-10,IF(BV316="Less than 50% and Borrowings are increasing",-5,0)))))</f>
        <v/>
      </c>
      <c r="BX316" s="31" t="inlineStr">
        <is>
          <t>Less than 0.7</t>
        </is>
      </c>
      <c r="BY316" s="31">
        <f>IF(BX316="More than 1.2",-10,IF(BX316="Between 0.7 to 1.2",0,IF(BX316="Less than 0.7",10,0)))</f>
        <v/>
      </c>
      <c r="BZ316" s="31" t="inlineStr">
        <is>
          <t>No</t>
        </is>
      </c>
      <c r="CA316" s="31">
        <f>IF(BZ316="Yes",-10,0)</f>
        <v/>
      </c>
      <c r="CB316" s="31" t="inlineStr">
        <is>
          <t>Less than 15%</t>
        </is>
      </c>
      <c r="CC316" s="31">
        <f>IF(CB316="More than 15%",-10,IF(CB316="Less than 15%",10,0))</f>
        <v/>
      </c>
      <c r="CD316" s="31" t="inlineStr">
        <is>
          <t>No</t>
        </is>
      </c>
      <c r="CE316" s="31">
        <f>IF(CD316="Yes, more than 10%",-10,IF(CD316="No",10,0))</f>
        <v/>
      </c>
    </row>
    <row r="317">
      <c r="A317" s="31">
        <f>IF(B317=0,"",RANK(B317,$B$2:$B$372,0))</f>
        <v/>
      </c>
      <c r="B317" s="32">
        <f>SUM(N317,Y317,AA317,AC317,AE317,AG317,AI317,AK317,AM317,AO317,AQ317,AS317,AU317,AW317,AY317,BA317,BC317,BE317,BG317,BI317,BK317,BM317,BO317,BQ317,BS317,BU317,BW317,BY317,CA317,CC317,CE317)</f>
        <v/>
      </c>
      <c r="C317" s="31" t="inlineStr">
        <is>
          <t>SOTL</t>
        </is>
      </c>
      <c r="D317" s="31" t="inlineStr">
        <is>
          <t>Savita Oil Technologies Limited</t>
        </is>
      </c>
      <c r="E317" s="31" t="inlineStr">
        <is>
          <t>energy</t>
        </is>
      </c>
      <c r="F317" s="31" t="inlineStr">
        <is>
          <t>petrochemicals</t>
        </is>
      </c>
      <c r="G317" s="31" t="inlineStr">
        <is>
          <t>smallcap</t>
        </is>
      </c>
      <c r="H317" s="32" t="n">
        <v>4618.57</v>
      </c>
      <c r="I317" s="32" t="n">
        <v>697.1</v>
      </c>
      <c r="J317" s="32" t="n">
        <v>3.48</v>
      </c>
      <c r="K317" s="32" t="n">
        <v>230464</v>
      </c>
      <c r="L317" s="31" t="inlineStr"/>
      <c r="M317" s="31" t="inlineStr"/>
      <c r="N317" s="32">
        <f>IF(M317="Underperforming",-5,IF(L317&gt;=95,15,IF(L317&gt;=90,10,IF(L317&gt;=80,5,0))))</f>
        <v/>
      </c>
      <c r="O317" s="32" t="n">
        <v>65.55</v>
      </c>
      <c r="P317" s="32" t="n">
        <v>54.44</v>
      </c>
      <c r="Q317" s="32" t="n">
        <v>552.0599999999999</v>
      </c>
      <c r="R317" s="31" t="inlineStr">
        <is>
          <t>Earnings / Momentum Support</t>
        </is>
      </c>
      <c r="S317" s="31" t="inlineStr">
        <is>
          <t>Nifty Energy</t>
        </is>
      </c>
      <c r="T317" s="32" t="inlineStr"/>
      <c r="U317" s="32" t="inlineStr"/>
      <c r="V317" s="32" t="inlineStr"/>
      <c r="W317" s="32" t="inlineStr"/>
      <c r="X317" s="31" t="inlineStr">
        <is>
          <t>Cyclical in an Upturn</t>
        </is>
      </c>
      <c r="Y317" s="31">
        <f>IF(X317="Growing Industry",10,IF(X317="Cyclical in an Upturn",5,0))</f>
        <v/>
      </c>
      <c r="Z317" s="31" t="inlineStr">
        <is>
          <t>Oligopoly</t>
        </is>
      </c>
      <c r="AA317" s="31">
        <f>IF(Z317="Monopoly",10,IF(Z317="Oligopoly",5,IF(Z317="Duopoly that cooperate",10,IF(Z317="Duopoly that compete",5,IF(Z317="Too many players with High ROCE",5,0)))))</f>
        <v/>
      </c>
      <c r="AB317" s="31" t="inlineStr">
        <is>
          <t>Yes</t>
        </is>
      </c>
      <c r="AC317" s="31">
        <f>IF(AB317="No",5,0)</f>
        <v/>
      </c>
      <c r="AD317" s="31" t="inlineStr">
        <is>
          <t>Tailwind</t>
        </is>
      </c>
      <c r="AE317" s="31">
        <f>IF(AD317="Tailwind",10,0)</f>
        <v/>
      </c>
      <c r="AF317" s="31" t="inlineStr">
        <is>
          <t>Cyclical</t>
        </is>
      </c>
      <c r="AG317" s="31">
        <f>IF(AF317="Structural (10 Years Consistency)",10,IF(AF317="Shallow Cyclical (2 to 3 years growth)",5,0))</f>
        <v/>
      </c>
      <c r="AH317" s="31" t="inlineStr">
        <is>
          <t>No</t>
        </is>
      </c>
      <c r="AI317" s="31">
        <f>IF(AH317="Yes due to Product Mix change or Operating Leverage",10,IF(AH317="Yes, these are peak margins",-5,IF(AH317="No",5,0)))</f>
        <v/>
      </c>
      <c r="AJ317" s="31" t="inlineStr">
        <is>
          <t>Volatile</t>
        </is>
      </c>
      <c r="AK317" s="31">
        <f>IF(AJ317="Stable",10,0)</f>
        <v/>
      </c>
      <c r="AL317" s="31" t="inlineStr">
        <is>
          <t>Yes</t>
        </is>
      </c>
      <c r="AM317" s="31">
        <f>IF(AL317="Yes",10,0)</f>
        <v/>
      </c>
      <c r="AN317" s="31" t="inlineStr">
        <is>
          <t>B2B</t>
        </is>
      </c>
      <c r="AO317" s="31">
        <f>IF(AN317="B2C",10,IF(AN317="B2B",5,0))</f>
        <v/>
      </c>
      <c r="AP317" s="31" t="inlineStr">
        <is>
          <t>No</t>
        </is>
      </c>
      <c r="AQ317" s="31">
        <f>IF(AP317="Yes",10,0)</f>
        <v/>
      </c>
      <c r="AR317" s="31" t="inlineStr">
        <is>
          <t>Higher One Time, Lower Annuity</t>
        </is>
      </c>
      <c r="AS317" s="31">
        <f>IF(AR317="Fully Annuity",10,IF(AR317="Higher Annuity, Lower One Time",5,IF(AR317="Higher One Time, Lower Annuity",3,0)))</f>
        <v/>
      </c>
      <c r="AT317" s="31" t="inlineStr">
        <is>
          <t>Good</t>
        </is>
      </c>
      <c r="AU317" s="31">
        <f>IF(AT317="Good",10,0)</f>
        <v/>
      </c>
      <c r="AV317" s="31" t="inlineStr">
        <is>
          <t>Yes for more than 2 years</t>
        </is>
      </c>
      <c r="AW317" s="31">
        <f>IF(AV317="Yes for more than 2 years",10,IF(AV317="Yes only for next 1 to 2 years",5,0))</f>
        <v/>
      </c>
      <c r="AX317" s="31" t="inlineStr">
        <is>
          <t>Above 40</t>
        </is>
      </c>
      <c r="AY317" s="31">
        <f>IF(AX317="Above 40",20,IF(AX317="20 to 40",10,IF(AX317="0 to 20",-5,0)))</f>
        <v/>
      </c>
      <c r="AZ317" s="31" t="inlineStr">
        <is>
          <t>Between 50 to 75</t>
        </is>
      </c>
      <c r="BA317" s="31">
        <f>IF(AZ317="Between 50 to 75",10,IF(AZ317="Above 75",0,0))</f>
        <v/>
      </c>
      <c r="BB317" s="31" t="inlineStr">
        <is>
          <t>Stage 2</t>
        </is>
      </c>
      <c r="BC317" s="31">
        <f>IF(BB317="Stage 2",20,IF(BB317="Stage 1",0,IF(BB317="Stage 3",5,IF(BB317="Stage 4",-5,0))))</f>
        <v/>
      </c>
      <c r="BD317" s="31" t="inlineStr">
        <is>
          <t>Positive Trend</t>
        </is>
      </c>
      <c r="BE317" s="31">
        <f>IF(BD317="Positive Trend",20,IF(BD317="Negative Trend",-10,0))</f>
        <v/>
      </c>
      <c r="BF317" s="31" t="inlineStr">
        <is>
          <t>Uptrend</t>
        </is>
      </c>
      <c r="BG317" s="31">
        <f>IF(BF317="Uptrend",10,IF(BF317="Sideways",5,0))</f>
        <v/>
      </c>
      <c r="BH317" s="31" t="inlineStr">
        <is>
          <t>Uptrend</t>
        </is>
      </c>
      <c r="BI317" s="31">
        <f>IF(BH317="Uptrend",10,IF(BH317="Sideways",5,0))</f>
        <v/>
      </c>
      <c r="BJ317" s="31" t="inlineStr">
        <is>
          <t>Close to 52 week high or retracement</t>
        </is>
      </c>
      <c r="BK317" s="31">
        <f>IF(BJ317="Overhead supply in last 2 years in last 2 years",-5,IF(BJ317="Close to 52 week high or retracement",5,IF(BJ317="Blue sky scenario",10,IF(BJ317="Long term Downtrend",-10,0))))</f>
        <v/>
      </c>
      <c r="BL317" s="31" t="inlineStr">
        <is>
          <t>Yes</t>
        </is>
      </c>
      <c r="BM317" s="31">
        <f>IF(BL317="Yes",10,0)</f>
        <v/>
      </c>
      <c r="BN317" s="31" t="inlineStr">
        <is>
          <t>More than 20%</t>
        </is>
      </c>
      <c r="BO317" s="31">
        <f>IF(BN317="More than 20%",10,IF(BN317="Between 12 to 20%",5,IF(BN317="Less than 12%",0,0)))</f>
        <v/>
      </c>
      <c r="BP317" s="31" t="inlineStr">
        <is>
          <t>No</t>
        </is>
      </c>
      <c r="BQ317" s="31">
        <f>IF(BP317="No",10,0)</f>
        <v/>
      </c>
      <c r="BR317" s="31" t="inlineStr">
        <is>
          <t>No</t>
        </is>
      </c>
      <c r="BS317" s="31">
        <f>IF(BR317="NO",5,0)</f>
        <v/>
      </c>
      <c r="BT317" s="31" t="inlineStr">
        <is>
          <t>Above 2</t>
        </is>
      </c>
      <c r="BU317" s="31">
        <f>IF(BT317="Above 2",0,IF(BT317="Between 1.5 to 2",5,IF(BT317="Less than 1.5",10,0)))</f>
        <v/>
      </c>
      <c r="BV317" s="31" t="inlineStr">
        <is>
          <t>Above 70%</t>
        </is>
      </c>
      <c r="BW317" s="31">
        <f>IF(BV317="Above 70%",10,IF(BV317="Between 50% to 70%",5,IF(BV317="Less than 50%",0,IF(BV317="Negative",-10,IF(BV317="Less than 50% and Borrowings are increasing",-5,0)))))</f>
        <v/>
      </c>
      <c r="BX317" s="31" t="inlineStr">
        <is>
          <t>Less than 0.7</t>
        </is>
      </c>
      <c r="BY317" s="31">
        <f>IF(BX317="More than 1.2",-10,IF(BX317="Between 0.7 to 1.2",0,IF(BX317="Less than 0.7",10,0)))</f>
        <v/>
      </c>
      <c r="BZ317" s="31" t="inlineStr">
        <is>
          <t>No</t>
        </is>
      </c>
      <c r="CA317" s="31">
        <f>IF(BZ317="Yes",-10,0)</f>
        <v/>
      </c>
      <c r="CB317" s="31" t="inlineStr">
        <is>
          <t>Less than 15%</t>
        </is>
      </c>
      <c r="CC317" s="31">
        <f>IF(CB317="More than 15%",-10,IF(CB317="Less than 15%",10,0))</f>
        <v/>
      </c>
      <c r="CD317" s="31" t="inlineStr">
        <is>
          <t>No</t>
        </is>
      </c>
      <c r="CE317" s="31">
        <f>IF(CD317="Yes, more than 10%",-10,IF(CD317="No",10,0))</f>
        <v/>
      </c>
    </row>
    <row r="318">
      <c r="A318" s="31">
        <f>IF(B318=0,"",RANK(B318,$B$2:$B$372,0))</f>
        <v/>
      </c>
      <c r="B318" s="32">
        <f>SUM(N318,Y318,AA318,AC318,AE318,AG318,AI318,AK318,AM318,AO318,AQ318,AS318,AU318,AW318,AY318,BA318,BC318,BE318,BG318,BI318,BK318,BM318,BO318,BQ318,BS318,BU318,BW318,BY318,CA318,CC318,CE318)</f>
        <v/>
      </c>
      <c r="C318" s="33" t="inlineStr">
        <is>
          <t>CHALET</t>
        </is>
      </c>
      <c r="D318" s="33" t="inlineStr">
        <is>
          <t>Chalet Hotels Ltd</t>
        </is>
      </c>
      <c r="E318" s="31" t="inlineStr">
        <is>
          <t>services</t>
        </is>
      </c>
      <c r="F318" s="31" t="inlineStr">
        <is>
          <t>hotels</t>
        </is>
      </c>
      <c r="G318" s="31" t="inlineStr">
        <is>
          <t>midcap</t>
        </is>
      </c>
      <c r="H318" s="32" t="n">
        <v>19579.17</v>
      </c>
      <c r="I318" s="32" t="n">
        <v>912.45</v>
      </c>
      <c r="J318" s="32" t="n">
        <v>2.06</v>
      </c>
      <c r="K318" s="32" t="n">
        <v>585806</v>
      </c>
      <c r="L318" s="31" t="n">
        <v>4</v>
      </c>
      <c r="M318" s="31" t="inlineStr">
        <is>
          <t>Underperforming</t>
        </is>
      </c>
      <c r="N318" s="32">
        <f>IF(M318="Underperforming",-5,IF(L318&gt;=95,15,IF(L318&gt;=90,10,IF(L318&gt;=80,5,0))))</f>
        <v/>
      </c>
      <c r="O318" s="32" t="n">
        <v>61.71</v>
      </c>
      <c r="P318" s="32" t="n">
        <v>11.41</v>
      </c>
      <c r="Q318" s="32" t="n">
        <v>744.3</v>
      </c>
      <c r="R318" s="31" t="inlineStr">
        <is>
          <t>Volume Spike / Accumulation</t>
        </is>
      </c>
      <c r="S318" s="31" t="inlineStr">
        <is>
          <t>Nifty 50</t>
        </is>
      </c>
      <c r="T318" s="32" t="n">
        <v>-0.9</v>
      </c>
      <c r="U318" s="32" t="n">
        <v>-9.59</v>
      </c>
      <c r="V318" s="32" t="n">
        <v>-8.77</v>
      </c>
      <c r="W318" s="32" t="n">
        <v>1.74</v>
      </c>
      <c r="X318" s="31" t="inlineStr">
        <is>
          <t>Growing Industry</t>
        </is>
      </c>
      <c r="Y318" s="31">
        <f>IF(X318="Growing Industry",10,IF(X318="Cyclical in an Upturn",5,0))</f>
        <v/>
      </c>
      <c r="Z318" s="31" t="inlineStr">
        <is>
          <t>Too Many Players with High ROCE</t>
        </is>
      </c>
      <c r="AA318" s="31">
        <f>IF(Z318="Monopoly",10,IF(Z318="Oligopoly",5,IF(Z318="Duopoly that cooperate",10,IF(Z318="Duopoly that compete",5,IF(Z318="Too many players with High ROCE",5,0)))))</f>
        <v/>
      </c>
      <c r="AB318" s="31" t="inlineStr">
        <is>
          <t>No</t>
        </is>
      </c>
      <c r="AC318" s="31">
        <f>IF(AB318="No",5,0)</f>
        <v/>
      </c>
      <c r="AD318" s="31" t="inlineStr">
        <is>
          <t>Tailwind</t>
        </is>
      </c>
      <c r="AE318" s="31">
        <f>IF(AD318="Tailwind",10,0)</f>
        <v/>
      </c>
      <c r="AF318" s="31" t="inlineStr">
        <is>
          <t>Structural (10 Years Consistency)</t>
        </is>
      </c>
      <c r="AG318" s="31">
        <f>IF(AF318="Structural (10 Years Consistency)",10,IF(AF318="Shallow Cyclical (2 to 3 years growth)",5,0))</f>
        <v/>
      </c>
      <c r="AH318" s="31" t="inlineStr">
        <is>
          <t>No</t>
        </is>
      </c>
      <c r="AI318" s="31">
        <f>IF(AH318="Yes due to Product Mix change or Operating Leverage",10,IF(AH318="Yes, these are peak margins",-5,IF(AH318="No",5,0)))</f>
        <v/>
      </c>
      <c r="AJ318" s="31" t="inlineStr">
        <is>
          <t>Stable</t>
        </is>
      </c>
      <c r="AK318" s="31">
        <f>IF(AJ318="Stable",10,0)</f>
        <v/>
      </c>
      <c r="AL318" s="31" t="inlineStr">
        <is>
          <t>Yes</t>
        </is>
      </c>
      <c r="AM318" s="31">
        <f>IF(AL318="Yes",10,0)</f>
        <v/>
      </c>
      <c r="AN318" s="31" t="inlineStr">
        <is>
          <t>B2B</t>
        </is>
      </c>
      <c r="AO318" s="31">
        <f>IF(AN318="B2C",10,IF(AN318="B2B",5,0))</f>
        <v/>
      </c>
      <c r="AP318" s="31" t="inlineStr">
        <is>
          <t>Yes</t>
        </is>
      </c>
      <c r="AQ318" s="31">
        <f>IF(AP318="Yes",10,0)</f>
        <v/>
      </c>
      <c r="AR318" s="31" t="inlineStr">
        <is>
          <t>Higher One Time, Lower Annuity</t>
        </is>
      </c>
      <c r="AS318" s="31">
        <f>IF(AR318="Fully Annuity",10,IF(AR318="Higher Annuity, Lower One Time",5,IF(AR318="Higher One Time, Lower Annuity",3,0)))</f>
        <v/>
      </c>
      <c r="AT318" s="31" t="inlineStr">
        <is>
          <t>Good</t>
        </is>
      </c>
      <c r="AU318" s="31">
        <f>IF(AT318="Good",10,0)</f>
        <v/>
      </c>
      <c r="AV318" s="31" t="inlineStr">
        <is>
          <t>Yes for more than 2 years</t>
        </is>
      </c>
      <c r="AW318" s="31">
        <f>IF(AV318="Yes for more than 2 years",10,IF(AV318="Yes only for next 1 to 2 years",5,0))</f>
        <v/>
      </c>
      <c r="AX318" s="31" t="inlineStr">
        <is>
          <t>0 to 20</t>
        </is>
      </c>
      <c r="AY318" s="31">
        <f>IF(AX318="Above 40",20,IF(AX318="20 to 40",10,IF(AX318="0 to 20",-5,0)))</f>
        <v/>
      </c>
      <c r="AZ318" s="31" t="inlineStr">
        <is>
          <t>Between 50 to 75</t>
        </is>
      </c>
      <c r="BA318" s="31">
        <f>IF(AZ318="Between 50 to 75",10,IF(AZ318="Above 75",0,0))</f>
        <v/>
      </c>
      <c r="BB318" s="31" t="inlineStr">
        <is>
          <t>Stage 2</t>
        </is>
      </c>
      <c r="BC318" s="31">
        <f>IF(BB318="Stage 2",20,IF(BB318="Stage 1",0,IF(BB318="Stage 3",5,IF(BB318="Stage 4",-5,0))))</f>
        <v/>
      </c>
      <c r="BD318" s="31" t="inlineStr">
        <is>
          <t>Positive Trend</t>
        </is>
      </c>
      <c r="BE318" s="31">
        <f>IF(BD318="Positive Trend",20,IF(BD318="Negative Trend",-10,0))</f>
        <v/>
      </c>
      <c r="BF318" s="31" t="inlineStr">
        <is>
          <t>Uptrend</t>
        </is>
      </c>
      <c r="BG318" s="31">
        <f>IF(BF318="Uptrend",10,IF(BF318="Sideways",5,0))</f>
        <v/>
      </c>
      <c r="BH318" s="31" t="inlineStr">
        <is>
          <t>Uptrend</t>
        </is>
      </c>
      <c r="BI318" s="31">
        <f>IF(BH318="Uptrend",10,IF(BH318="Sideways",5,0))</f>
        <v/>
      </c>
      <c r="BJ318" s="31" t="inlineStr">
        <is>
          <t>Close to 52 week high or retracement</t>
        </is>
      </c>
      <c r="BK318" s="31">
        <f>IF(BJ318="Overhead supply in last 2 years in last 2 years",-5,IF(BJ318="Close to 52 week high or retracement",5,IF(BJ318="Blue sky scenario",10,IF(BJ318="Long term Downtrend",-10,0))))</f>
        <v/>
      </c>
      <c r="BL318" s="31" t="inlineStr">
        <is>
          <t>Yes</t>
        </is>
      </c>
      <c r="BM318" s="31">
        <f>IF(BL318="Yes",10,0)</f>
        <v/>
      </c>
      <c r="BN318" s="31" t="inlineStr">
        <is>
          <t>Less than 12%</t>
        </is>
      </c>
      <c r="BO318" s="31">
        <f>IF(BN318="More than 20%",10,IF(BN318="Between 12 to 20%",5,IF(BN318="Less than 12%",0,0)))</f>
        <v/>
      </c>
      <c r="BP318" s="31" t="inlineStr">
        <is>
          <t>No</t>
        </is>
      </c>
      <c r="BQ318" s="31">
        <f>IF(BP318="No",10,0)</f>
        <v/>
      </c>
      <c r="BR318" s="31" t="inlineStr">
        <is>
          <t>No</t>
        </is>
      </c>
      <c r="BS318" s="31">
        <f>IF(BR318="NO",5,0)</f>
        <v/>
      </c>
      <c r="BT318" s="31" t="inlineStr">
        <is>
          <t>Above 2</t>
        </is>
      </c>
      <c r="BU318" s="31">
        <f>IF(BT318="Above 2",0,IF(BT318="Between 1.5 to 2",5,IF(BT318="Less than 1.5",10,0)))</f>
        <v/>
      </c>
      <c r="BV318" s="31" t="inlineStr">
        <is>
          <t>Above 70%</t>
        </is>
      </c>
      <c r="BW318" s="31">
        <f>IF(BV318="Above 70%",10,IF(BV318="Between 50% to 70%",5,IF(BV318="Less than 50%",0,IF(BV318="Negative",-10,IF(BV318="Less than 50% and Borrowings are increasing",-5,0)))))</f>
        <v/>
      </c>
      <c r="BX318" s="31" t="inlineStr">
        <is>
          <t>Less than 0.7</t>
        </is>
      </c>
      <c r="BY318" s="31">
        <f>IF(BX318="More than 1.2",-10,IF(BX318="Between 0.7 to 1.2",0,IF(BX318="Less than 0.7",10,0)))</f>
        <v/>
      </c>
      <c r="BZ318" s="31" t="inlineStr">
        <is>
          <t>No</t>
        </is>
      </c>
      <c r="CA318" s="31">
        <f>IF(BZ318="Yes",-10,0)</f>
        <v/>
      </c>
      <c r="CB318" s="31" t="inlineStr">
        <is>
          <t>Less than 15%</t>
        </is>
      </c>
      <c r="CC318" s="31">
        <f>IF(CB318="More than 15%",-10,IF(CB318="Less than 15%",10,0))</f>
        <v/>
      </c>
      <c r="CD318" s="31" t="inlineStr">
        <is>
          <t>No</t>
        </is>
      </c>
      <c r="CE318" s="31">
        <f>IF(CD318="Yes, more than 10%",-10,IF(CD318="No",10,0))</f>
        <v/>
      </c>
    </row>
    <row r="319">
      <c r="A319" s="31">
        <f>IF(B319=0,"",RANK(B319,$B$2:$B$372,0))</f>
        <v/>
      </c>
      <c r="B319" s="32">
        <f>SUM(N319,Y319,AA319,AC319,AE319,AG319,AI319,AK319,AM319,AO319,AQ319,AS319,AU319,AW319,AY319,BA319,BC319,BE319,BG319,BI319,BK319,BM319,BO319,BQ319,BS319,BU319,BW319,BY319,CA319,CC319,CE319)</f>
        <v/>
      </c>
      <c r="C319" s="31" t="inlineStr">
        <is>
          <t>JSWSTEEL</t>
        </is>
      </c>
      <c r="D319" s="31" t="inlineStr">
        <is>
          <t>Jsw Steel Limited</t>
        </is>
      </c>
      <c r="E319" s="31" t="inlineStr">
        <is>
          <t>metals &amp; mining</t>
        </is>
      </c>
      <c r="F319" s="31" t="inlineStr">
        <is>
          <t>steel - large</t>
        </is>
      </c>
      <c r="G319" s="31" t="inlineStr">
        <is>
          <t>largecap</t>
        </is>
      </c>
      <c r="H319" s="32" t="n">
        <v>322873.29</v>
      </c>
      <c r="I319" s="32" t="n">
        <v>1341</v>
      </c>
      <c r="J319" s="32" t="n">
        <v>1.57</v>
      </c>
      <c r="K319" s="32" t="n">
        <v>1853866</v>
      </c>
      <c r="L319" s="31" t="inlineStr"/>
      <c r="M319" s="31" t="inlineStr"/>
      <c r="N319" s="32">
        <f>IF(M319="Underperforming",-5,IF(L319&gt;=95,15,IF(L319&gt;=90,10,IF(L319&gt;=80,5,0))))</f>
        <v/>
      </c>
      <c r="O319" s="32" t="n">
        <v>65.5</v>
      </c>
      <c r="P319" s="32" t="n">
        <v>28.93</v>
      </c>
      <c r="Q319" s="32" t="n">
        <v>1171.49</v>
      </c>
      <c r="R319" s="31" t="inlineStr">
        <is>
          <t>Near 52W High Breakout</t>
        </is>
      </c>
      <c r="S319" s="31" t="inlineStr">
        <is>
          <t>Nifty Metal</t>
        </is>
      </c>
      <c r="T319" s="32" t="inlineStr"/>
      <c r="U319" s="32" t="inlineStr"/>
      <c r="V319" s="32" t="inlineStr"/>
      <c r="W319" s="32" t="inlineStr"/>
      <c r="X319" s="31" t="inlineStr">
        <is>
          <t>Cyclical in an Upturn</t>
        </is>
      </c>
      <c r="Y319" s="31">
        <f>IF(X319="Growing Industry",10,IF(X319="Cyclical in an Upturn",5,0))</f>
        <v/>
      </c>
      <c r="Z319" s="31" t="inlineStr">
        <is>
          <t>Too Many Players with High ROCE</t>
        </is>
      </c>
      <c r="AA319" s="31">
        <f>IF(Z319="Monopoly",10,IF(Z319="Oligopoly",5,IF(Z319="Duopoly that cooperate",10,IF(Z319="Duopoly that compete",5,IF(Z319="Too many players with High ROCE",5,0)))))</f>
        <v/>
      </c>
      <c r="AB319" s="31" t="inlineStr">
        <is>
          <t>No</t>
        </is>
      </c>
      <c r="AC319" s="31">
        <f>IF(AB319="No",5,0)</f>
        <v/>
      </c>
      <c r="AD319" s="31" t="inlineStr">
        <is>
          <t>Tailwind</t>
        </is>
      </c>
      <c r="AE319" s="31">
        <f>IF(AD319="Tailwind",10,0)</f>
        <v/>
      </c>
      <c r="AF319" s="31" t="inlineStr">
        <is>
          <t>Cyclical</t>
        </is>
      </c>
      <c r="AG319" s="31">
        <f>IF(AF319="Structural (10 Years Consistency)",10,IF(AF319="Shallow Cyclical (2 to 3 years growth)",5,0))</f>
        <v/>
      </c>
      <c r="AH319" s="31" t="inlineStr">
        <is>
          <t>No</t>
        </is>
      </c>
      <c r="AI319" s="31">
        <f>IF(AH319="Yes due to Product Mix change or Operating Leverage",10,IF(AH319="Yes, these are peak margins",-5,IF(AH319="No",5,0)))</f>
        <v/>
      </c>
      <c r="AJ319" s="31" t="inlineStr">
        <is>
          <t>Volatile</t>
        </is>
      </c>
      <c r="AK319" s="31">
        <f>IF(AJ319="Stable",10,0)</f>
        <v/>
      </c>
      <c r="AL319" s="31" t="inlineStr">
        <is>
          <t>Yes</t>
        </is>
      </c>
      <c r="AM319" s="31">
        <f>IF(AL319="Yes",10,0)</f>
        <v/>
      </c>
      <c r="AN319" s="31" t="inlineStr">
        <is>
          <t>B2B</t>
        </is>
      </c>
      <c r="AO319" s="31">
        <f>IF(AN319="B2C",10,IF(AN319="B2B",5,0))</f>
        <v/>
      </c>
      <c r="AP319" s="31" t="inlineStr">
        <is>
          <t>Yes</t>
        </is>
      </c>
      <c r="AQ319" s="31">
        <f>IF(AP319="Yes",10,0)</f>
        <v/>
      </c>
      <c r="AR319" s="31" t="inlineStr">
        <is>
          <t>Higher One Time, Lower Annuity</t>
        </is>
      </c>
      <c r="AS319" s="31">
        <f>IF(AR319="Fully Annuity",10,IF(AR319="Higher Annuity, Lower One Time",5,IF(AR319="Higher One Time, Lower Annuity",3,0)))</f>
        <v/>
      </c>
      <c r="AT319" s="31" t="inlineStr">
        <is>
          <t>Good</t>
        </is>
      </c>
      <c r="AU319" s="31">
        <f>IF(AT319="Good",10,0)</f>
        <v/>
      </c>
      <c r="AV319" s="31" t="inlineStr">
        <is>
          <t>Yes for more than 2 years</t>
        </is>
      </c>
      <c r="AW319" s="31">
        <f>IF(AV319="Yes for more than 2 years",10,IF(AV319="Yes only for next 1 to 2 years",5,0))</f>
        <v/>
      </c>
      <c r="AX319" s="31" t="inlineStr">
        <is>
          <t>20 to 40</t>
        </is>
      </c>
      <c r="AY319" s="31">
        <f>IF(AX319="Above 40",20,IF(AX319="20 to 40",10,IF(AX319="0 to 20",-5,0)))</f>
        <v/>
      </c>
      <c r="AZ319" s="31" t="inlineStr">
        <is>
          <t>Between 50 to 75</t>
        </is>
      </c>
      <c r="BA319" s="31">
        <f>IF(AZ319="Between 50 to 75",10,IF(AZ319="Above 75",0,0))</f>
        <v/>
      </c>
      <c r="BB319" s="31" t="inlineStr">
        <is>
          <t>Stage 2</t>
        </is>
      </c>
      <c r="BC319" s="31">
        <f>IF(BB319="Stage 2",20,IF(BB319="Stage 1",0,IF(BB319="Stage 3",5,IF(BB319="Stage 4",-5,0))))</f>
        <v/>
      </c>
      <c r="BD319" s="31" t="inlineStr">
        <is>
          <t>Positive Trend</t>
        </is>
      </c>
      <c r="BE319" s="31">
        <f>IF(BD319="Positive Trend",20,IF(BD319="Negative Trend",-10,0))</f>
        <v/>
      </c>
      <c r="BF319" s="31" t="inlineStr">
        <is>
          <t>Uptrend</t>
        </is>
      </c>
      <c r="BG319" s="31">
        <f>IF(BF319="Uptrend",10,IF(BF319="Sideways",5,0))</f>
        <v/>
      </c>
      <c r="BH319" s="31" t="inlineStr">
        <is>
          <t>Uptrend</t>
        </is>
      </c>
      <c r="BI319" s="31">
        <f>IF(BH319="Uptrend",10,IF(BH319="Sideways",5,0))</f>
        <v/>
      </c>
      <c r="BJ319" s="31" t="inlineStr">
        <is>
          <t>Blue sky scenario</t>
        </is>
      </c>
      <c r="BK319" s="31">
        <f>IF(BJ319="Overhead supply in last 2 years in last 2 years",-5,IF(BJ319="Close to 52 week high or retracement",5,IF(BJ319="Blue sky scenario",10,IF(BJ319="Long term Downtrend",-10,0))))</f>
        <v/>
      </c>
      <c r="BL319" s="31" t="inlineStr">
        <is>
          <t>Yes</t>
        </is>
      </c>
      <c r="BM319" s="31">
        <f>IF(BL319="Yes",10,0)</f>
        <v/>
      </c>
      <c r="BN319" s="31" t="inlineStr">
        <is>
          <t>More than 20%</t>
        </is>
      </c>
      <c r="BO319" s="31">
        <f>IF(BN319="More than 20%",10,IF(BN319="Between 12 to 20%",5,IF(BN319="Less than 12%",0,0)))</f>
        <v/>
      </c>
      <c r="BP319" s="31" t="inlineStr">
        <is>
          <t>No</t>
        </is>
      </c>
      <c r="BQ319" s="31">
        <f>IF(BP319="No",10,0)</f>
        <v/>
      </c>
      <c r="BR319" s="31" t="inlineStr">
        <is>
          <t>No</t>
        </is>
      </c>
      <c r="BS319" s="31">
        <f>IF(BR319="NO",5,0)</f>
        <v/>
      </c>
      <c r="BT319" s="31" t="inlineStr">
        <is>
          <t>Above 2</t>
        </is>
      </c>
      <c r="BU319" s="31">
        <f>IF(BT319="Above 2",0,IF(BT319="Between 1.5 to 2",5,IF(BT319="Less than 1.5",10,0)))</f>
        <v/>
      </c>
      <c r="BV319" s="31" t="inlineStr">
        <is>
          <t>Above 70%</t>
        </is>
      </c>
      <c r="BW319" s="31">
        <f>IF(BV319="Above 70%",10,IF(BV319="Between 50% to 70%",5,IF(BV319="Less than 50%",0,IF(BV319="Negative",-10,IF(BV319="Less than 50% and Borrowings are increasing",-5,0)))))</f>
        <v/>
      </c>
      <c r="BX319" s="31" t="inlineStr">
        <is>
          <t>Between 0.7 to 1.2</t>
        </is>
      </c>
      <c r="BY319" s="31">
        <f>IF(BX319="More than 1.2",-10,IF(BX319="Between 0.7 to 1.2",0,IF(BX319="Less than 0.7",10,0)))</f>
        <v/>
      </c>
      <c r="BZ319" s="31" t="inlineStr">
        <is>
          <t>No</t>
        </is>
      </c>
      <c r="CA319" s="31">
        <f>IF(BZ319="Yes",-10,0)</f>
        <v/>
      </c>
      <c r="CB319" s="31" t="inlineStr">
        <is>
          <t>Less than 15%</t>
        </is>
      </c>
      <c r="CC319" s="31">
        <f>IF(CB319="More than 15%",-10,IF(CB319="Less than 15%",10,0))</f>
        <v/>
      </c>
      <c r="CD319" s="31" t="inlineStr">
        <is>
          <t>No</t>
        </is>
      </c>
      <c r="CE319" s="31">
        <f>IF(CD319="Yes, more than 10%",-10,IF(CD319="No",10,0))</f>
        <v/>
      </c>
    </row>
    <row r="320">
      <c r="A320" s="31">
        <f>IF(B320=0,"",RANK(B320,$B$2:$B$372,0))</f>
        <v/>
      </c>
      <c r="B320" s="32">
        <f>SUM(N320,Y320,AA320,AC320,AE320,AG320,AI320,AK320,AM320,AO320,AQ320,AS320,AU320,AW320,AY320,BA320,BC320,BE320,BG320,BI320,BK320,BM320,BO320,BQ320,BS320,BU320,BW320,BY320,CA320,CC320,CE320)</f>
        <v/>
      </c>
      <c r="C320" s="31" t="inlineStr">
        <is>
          <t>IMAGICAA</t>
        </is>
      </c>
      <c r="D320" s="31" t="inlineStr">
        <is>
          <t>Imagicaaworld Entertainment Ltd</t>
        </is>
      </c>
      <c r="E320" s="31" t="inlineStr">
        <is>
          <t>media</t>
        </is>
      </c>
      <c r="F320" s="31" t="inlineStr">
        <is>
          <t>recreation / amusement parks</t>
        </is>
      </c>
      <c r="G320" s="31" t="inlineStr">
        <is>
          <t>smallcap</t>
        </is>
      </c>
      <c r="H320" s="32" t="n">
        <v>2817.42</v>
      </c>
      <c r="I320" s="32" t="n">
        <v>50.18</v>
      </c>
      <c r="J320" s="32" t="n">
        <v>0.78</v>
      </c>
      <c r="K320" s="32" t="n">
        <v>1351977</v>
      </c>
      <c r="L320" s="31" t="inlineStr"/>
      <c r="M320" s="31" t="inlineStr"/>
      <c r="N320" s="32">
        <f>IF(M320="Underperforming",-5,IF(L320&gt;=95,15,IF(L320&gt;=90,10,IF(L320&gt;=80,5,0))))</f>
        <v/>
      </c>
      <c r="O320" s="32" t="n">
        <v>55.19</v>
      </c>
      <c r="P320" s="32" t="n">
        <v>11.65</v>
      </c>
      <c r="Q320" s="32" t="n">
        <v>38.75</v>
      </c>
      <c r="R320" s="31" t="inlineStr">
        <is>
          <t>Earnings / Momentum Support</t>
        </is>
      </c>
      <c r="S320" s="31" t="inlineStr">
        <is>
          <t>Nifty Media</t>
        </is>
      </c>
      <c r="T320" s="32" t="inlineStr"/>
      <c r="U320" s="32" t="inlineStr"/>
      <c r="V320" s="32" t="inlineStr"/>
      <c r="W320" s="32" t="inlineStr"/>
      <c r="X320" s="31" t="inlineStr">
        <is>
          <t>Growing Industry</t>
        </is>
      </c>
      <c r="Y320" s="31">
        <f>IF(X320="Growing Industry",10,IF(X320="Cyclical in an Upturn",5,0))</f>
        <v/>
      </c>
      <c r="Z320" s="31" t="inlineStr">
        <is>
          <t>Too Many Players with High ROCE</t>
        </is>
      </c>
      <c r="AA320" s="31">
        <f>IF(Z320="Monopoly",10,IF(Z320="Oligopoly",5,IF(Z320="Duopoly that cooperate",10,IF(Z320="Duopoly that compete",5,IF(Z320="Too many players with High ROCE",5,0)))))</f>
        <v/>
      </c>
      <c r="AB320" s="31" t="inlineStr">
        <is>
          <t>No</t>
        </is>
      </c>
      <c r="AC320" s="31">
        <f>IF(AB320="No",5,0)</f>
        <v/>
      </c>
      <c r="AD320" s="31" t="inlineStr">
        <is>
          <t>Tailwind</t>
        </is>
      </c>
      <c r="AE320" s="31">
        <f>IF(AD320="Tailwind",10,0)</f>
        <v/>
      </c>
      <c r="AF320" s="31" t="inlineStr">
        <is>
          <t>Structural (10 Years Consistency)</t>
        </is>
      </c>
      <c r="AG320" s="31">
        <f>IF(AF320="Structural (10 Years Consistency)",10,IF(AF320="Shallow Cyclical (2 to 3 years growth)",5,0))</f>
        <v/>
      </c>
      <c r="AH320" s="31" t="inlineStr">
        <is>
          <t>No</t>
        </is>
      </c>
      <c r="AI320" s="31">
        <f>IF(AH320="Yes due to Product Mix change or Operating Leverage",10,IF(AH320="Yes, these are peak margins",-5,IF(AH320="No",5,0)))</f>
        <v/>
      </c>
      <c r="AJ320" s="31" t="inlineStr">
        <is>
          <t>Stable</t>
        </is>
      </c>
      <c r="AK320" s="31">
        <f>IF(AJ320="Stable",10,0)</f>
        <v/>
      </c>
      <c r="AL320" s="31" t="inlineStr">
        <is>
          <t>Yes</t>
        </is>
      </c>
      <c r="AM320" s="31">
        <f>IF(AL320="Yes",10,0)</f>
        <v/>
      </c>
      <c r="AN320" s="31" t="inlineStr">
        <is>
          <t>B2B</t>
        </is>
      </c>
      <c r="AO320" s="31">
        <f>IF(AN320="B2C",10,IF(AN320="B2B",5,0))</f>
        <v/>
      </c>
      <c r="AP320" s="31" t="inlineStr">
        <is>
          <t>No</t>
        </is>
      </c>
      <c r="AQ320" s="31">
        <f>IF(AP320="Yes",10,0)</f>
        <v/>
      </c>
      <c r="AR320" s="31" t="inlineStr">
        <is>
          <t>Higher One Time, Lower Annuity</t>
        </is>
      </c>
      <c r="AS320" s="31">
        <f>IF(AR320="Fully Annuity",10,IF(AR320="Higher Annuity, Lower One Time",5,IF(AR320="Higher One Time, Lower Annuity",3,0)))</f>
        <v/>
      </c>
      <c r="AT320" s="31" t="inlineStr">
        <is>
          <t>Good</t>
        </is>
      </c>
      <c r="AU320" s="31">
        <f>IF(AT320="Good",10,0)</f>
        <v/>
      </c>
      <c r="AV320" s="31" t="inlineStr">
        <is>
          <t>Yes for more than 2 years</t>
        </is>
      </c>
      <c r="AW320" s="31">
        <f>IF(AV320="Yes for more than 2 years",10,IF(AV320="Yes only for next 1 to 2 years",5,0))</f>
        <v/>
      </c>
      <c r="AX320" s="31" t="inlineStr">
        <is>
          <t>0 to 20</t>
        </is>
      </c>
      <c r="AY320" s="31">
        <f>IF(AX320="Above 40",20,IF(AX320="20 to 40",10,IF(AX320="0 to 20",-5,0)))</f>
        <v/>
      </c>
      <c r="AZ320" s="31" t="inlineStr">
        <is>
          <t>Between 50 to 75</t>
        </is>
      </c>
      <c r="BA320" s="31">
        <f>IF(AZ320="Between 50 to 75",10,IF(AZ320="Above 75",0,0))</f>
        <v/>
      </c>
      <c r="BB320" s="31" t="inlineStr">
        <is>
          <t>Stage 2</t>
        </is>
      </c>
      <c r="BC320" s="31">
        <f>IF(BB320="Stage 2",20,IF(BB320="Stage 1",0,IF(BB320="Stage 3",5,IF(BB320="Stage 4",-5,0))))</f>
        <v/>
      </c>
      <c r="BD320" s="31" t="inlineStr">
        <is>
          <t>Positive Trend</t>
        </is>
      </c>
      <c r="BE320" s="31">
        <f>IF(BD320="Positive Trend",20,IF(BD320="Negative Trend",-10,0))</f>
        <v/>
      </c>
      <c r="BF320" s="31" t="inlineStr">
        <is>
          <t>Uptrend</t>
        </is>
      </c>
      <c r="BG320" s="31">
        <f>IF(BF320="Uptrend",10,IF(BF320="Sideways",5,0))</f>
        <v/>
      </c>
      <c r="BH320" s="31" t="inlineStr">
        <is>
          <t>Uptrend</t>
        </is>
      </c>
      <c r="BI320" s="31">
        <f>IF(BH320="Uptrend",10,IF(BH320="Sideways",5,0))</f>
        <v/>
      </c>
      <c r="BJ320" s="31" t="inlineStr">
        <is>
          <t>Close to 52 week high or retracement</t>
        </is>
      </c>
      <c r="BK320" s="31">
        <f>IF(BJ320="Overhead supply in last 2 years in last 2 years",-5,IF(BJ320="Close to 52 week high or retracement",5,IF(BJ320="Blue sky scenario",10,IF(BJ320="Long term Downtrend",-10,0))))</f>
        <v/>
      </c>
      <c r="BL320" s="31" t="inlineStr">
        <is>
          <t>Yes</t>
        </is>
      </c>
      <c r="BM320" s="31">
        <f>IF(BL320="Yes",10,0)</f>
        <v/>
      </c>
      <c r="BN320" s="31" t="inlineStr">
        <is>
          <t>More than 20%</t>
        </is>
      </c>
      <c r="BO320" s="31">
        <f>IF(BN320="More than 20%",10,IF(BN320="Between 12 to 20%",5,IF(BN320="Less than 12%",0,0)))</f>
        <v/>
      </c>
      <c r="BP320" s="31" t="inlineStr">
        <is>
          <t>No</t>
        </is>
      </c>
      <c r="BQ320" s="31">
        <f>IF(BP320="No",10,0)</f>
        <v/>
      </c>
      <c r="BR320" s="31" t="inlineStr">
        <is>
          <t>Yes</t>
        </is>
      </c>
      <c r="BS320" s="31">
        <f>IF(BR320="NO",5,0)</f>
        <v/>
      </c>
      <c r="BT320" s="31" t="inlineStr">
        <is>
          <t>Above 2</t>
        </is>
      </c>
      <c r="BU320" s="31">
        <f>IF(BT320="Above 2",0,IF(BT320="Between 1.5 to 2",5,IF(BT320="Less than 1.5",10,0)))</f>
        <v/>
      </c>
      <c r="BV320" s="31" t="inlineStr">
        <is>
          <t>Above 70%</t>
        </is>
      </c>
      <c r="BW320" s="31">
        <f>IF(BV320="Above 70%",10,IF(BV320="Between 50% to 70%",5,IF(BV320="Less than 50%",0,IF(BV320="Negative",-10,IF(BV320="Less than 50% and Borrowings are increasing",-5,0)))))</f>
        <v/>
      </c>
      <c r="BX320" s="31" t="inlineStr">
        <is>
          <t>Less than 0.7</t>
        </is>
      </c>
      <c r="BY320" s="31">
        <f>IF(BX320="More than 1.2",-10,IF(BX320="Between 0.7 to 1.2",0,IF(BX320="Less than 0.7",10,0)))</f>
        <v/>
      </c>
      <c r="BZ320" s="31" t="inlineStr">
        <is>
          <t>No</t>
        </is>
      </c>
      <c r="CA320" s="31">
        <f>IF(BZ320="Yes",-10,0)</f>
        <v/>
      </c>
      <c r="CB320" s="31" t="inlineStr">
        <is>
          <t>Less than 15%</t>
        </is>
      </c>
      <c r="CC320" s="31">
        <f>IF(CB320="More than 15%",-10,IF(CB320="Less than 15%",10,0))</f>
        <v/>
      </c>
      <c r="CD320" s="31" t="inlineStr">
        <is>
          <t>No</t>
        </is>
      </c>
      <c r="CE320" s="31">
        <f>IF(CD320="Yes, more than 10%",-10,IF(CD320="No",10,0))</f>
        <v/>
      </c>
    </row>
    <row r="321">
      <c r="A321" s="31">
        <f>IF(B321=0,"",RANK(B321,$B$2:$B$372,0))</f>
        <v/>
      </c>
      <c r="B321" s="32">
        <f>SUM(N321,Y321,AA321,AC321,AE321,AG321,AI321,AK321,AM321,AO321,AQ321,AS321,AU321,AW321,AY321,BA321,BC321,BE321,BG321,BI321,BK321,BM321,BO321,BQ321,BS321,BU321,BW321,BY321,CA321,CC321,CE321)</f>
        <v/>
      </c>
      <c r="C321" s="31" t="inlineStr">
        <is>
          <t>BEML</t>
        </is>
      </c>
      <c r="D321" s="31" t="inlineStr">
        <is>
          <t>Beml Limited</t>
        </is>
      </c>
      <c r="E321" s="31" t="inlineStr">
        <is>
          <t>aerospace &amp; defence</t>
        </is>
      </c>
      <c r="F321" s="31" t="inlineStr">
        <is>
          <t>engineering</t>
        </is>
      </c>
      <c r="G321" s="31" t="inlineStr">
        <is>
          <t>midcap</t>
        </is>
      </c>
      <c r="H321" s="32" t="n">
        <v>16016.47</v>
      </c>
      <c r="I321" s="32" t="n">
        <v>1937.7</v>
      </c>
      <c r="J321" s="32" t="n">
        <v>0.76</v>
      </c>
      <c r="K321" s="32" t="n">
        <v>252178</v>
      </c>
      <c r="L321" s="31" t="n">
        <v>9</v>
      </c>
      <c r="M321" s="31" t="inlineStr">
        <is>
          <t>Outperforming</t>
        </is>
      </c>
      <c r="N321" s="32">
        <f>IF(M321="Underperforming",-5,IF(L321&gt;=95,15,IF(L321&gt;=90,10,IF(L321&gt;=80,5,0))))</f>
        <v/>
      </c>
      <c r="O321" s="32" t="n">
        <v>59.14</v>
      </c>
      <c r="P321" s="32" t="n">
        <v>12.55</v>
      </c>
      <c r="Q321" s="32" t="n">
        <v>1532.5</v>
      </c>
      <c r="R321" s="31" t="inlineStr">
        <is>
          <t>Earnings / Momentum Support</t>
        </is>
      </c>
      <c r="S321" s="31" t="inlineStr">
        <is>
          <t>Nifty 50</t>
        </is>
      </c>
      <c r="T321" s="32" t="n">
        <v>-0.9</v>
      </c>
      <c r="U321" s="32" t="n">
        <v>1.24</v>
      </c>
      <c r="V321" s="32" t="n">
        <v>2.16</v>
      </c>
      <c r="W321" s="32" t="n">
        <v>3.02</v>
      </c>
      <c r="X321" s="31" t="inlineStr">
        <is>
          <t>Growing Industry</t>
        </is>
      </c>
      <c r="Y321" s="31">
        <f>IF(X321="Growing Industry",10,IF(X321="Cyclical in an Upturn",5,0))</f>
        <v/>
      </c>
      <c r="Z321" s="31" t="inlineStr">
        <is>
          <t>Too Many Players with High ROCE</t>
        </is>
      </c>
      <c r="AA321" s="31">
        <f>IF(Z321="Monopoly",10,IF(Z321="Oligopoly",5,IF(Z321="Duopoly that cooperate",10,IF(Z321="Duopoly that compete",5,IF(Z321="Too many players with High ROCE",5,0)))))</f>
        <v/>
      </c>
      <c r="AB321" s="31" t="inlineStr">
        <is>
          <t>No</t>
        </is>
      </c>
      <c r="AC321" s="31">
        <f>IF(AB321="No",5,0)</f>
        <v/>
      </c>
      <c r="AD321" s="31" t="inlineStr">
        <is>
          <t>Tailwind</t>
        </is>
      </c>
      <c r="AE321" s="31">
        <f>IF(AD321="Tailwind",10,0)</f>
        <v/>
      </c>
      <c r="AF321" s="31" t="inlineStr">
        <is>
          <t>Structural (10 Years Consistency)</t>
        </is>
      </c>
      <c r="AG321" s="31">
        <f>IF(AF321="Structural (10 Years Consistency)",10,IF(AF321="Shallow Cyclical (2 to 3 years growth)",5,0))</f>
        <v/>
      </c>
      <c r="AH321" s="31" t="inlineStr">
        <is>
          <t>No</t>
        </is>
      </c>
      <c r="AI321" s="31">
        <f>IF(AH321="Yes due to Product Mix change or Operating Leverage",10,IF(AH321="Yes, these are peak margins",-5,IF(AH321="No",5,0)))</f>
        <v/>
      </c>
      <c r="AJ321" s="31" t="inlineStr">
        <is>
          <t>Stable</t>
        </is>
      </c>
      <c r="AK321" s="31">
        <f>IF(AJ321="Stable",10,0)</f>
        <v/>
      </c>
      <c r="AL321" s="31" t="inlineStr">
        <is>
          <t>Yes</t>
        </is>
      </c>
      <c r="AM321" s="31">
        <f>IF(AL321="Yes",10,0)</f>
        <v/>
      </c>
      <c r="AN321" s="31" t="inlineStr">
        <is>
          <t>B2B</t>
        </is>
      </c>
      <c r="AO321" s="31">
        <f>IF(AN321="B2C",10,IF(AN321="B2B",5,0))</f>
        <v/>
      </c>
      <c r="AP321" s="31" t="inlineStr">
        <is>
          <t>No</t>
        </is>
      </c>
      <c r="AQ321" s="31">
        <f>IF(AP321="Yes",10,0)</f>
        <v/>
      </c>
      <c r="AR321" s="31" t="inlineStr">
        <is>
          <t>Higher One Time, Lower Annuity</t>
        </is>
      </c>
      <c r="AS321" s="31">
        <f>IF(AR321="Fully Annuity",10,IF(AR321="Higher Annuity, Lower One Time",5,IF(AR321="Higher One Time, Lower Annuity",3,0)))</f>
        <v/>
      </c>
      <c r="AT321" s="31" t="inlineStr">
        <is>
          <t>Good</t>
        </is>
      </c>
      <c r="AU321" s="31">
        <f>IF(AT321="Good",10,0)</f>
        <v/>
      </c>
      <c r="AV321" s="31" t="inlineStr">
        <is>
          <t>Yes for more than 2 years</t>
        </is>
      </c>
      <c r="AW321" s="31">
        <f>IF(AV321="Yes for more than 2 years",10,IF(AV321="Yes only for next 1 to 2 years",5,0))</f>
        <v/>
      </c>
      <c r="AX321" s="31" t="inlineStr">
        <is>
          <t>0 to 20</t>
        </is>
      </c>
      <c r="AY321" s="31">
        <f>IF(AX321="Above 40",20,IF(AX321="20 to 40",10,IF(AX321="0 to 20",-5,0)))</f>
        <v/>
      </c>
      <c r="AZ321" s="31" t="inlineStr">
        <is>
          <t>Between 50 to 75</t>
        </is>
      </c>
      <c r="BA321" s="31">
        <f>IF(AZ321="Between 50 to 75",10,IF(AZ321="Above 75",0,0))</f>
        <v/>
      </c>
      <c r="BB321" s="31" t="inlineStr">
        <is>
          <t>Stage 2</t>
        </is>
      </c>
      <c r="BC321" s="31">
        <f>IF(BB321="Stage 2",20,IF(BB321="Stage 1",0,IF(BB321="Stage 3",5,IF(BB321="Stage 4",-5,0))))</f>
        <v/>
      </c>
      <c r="BD321" s="31" t="inlineStr">
        <is>
          <t>Positive Trend</t>
        </is>
      </c>
      <c r="BE321" s="31">
        <f>IF(BD321="Positive Trend",20,IF(BD321="Negative Trend",-10,0))</f>
        <v/>
      </c>
      <c r="BF321" s="31" t="inlineStr">
        <is>
          <t>Uptrend</t>
        </is>
      </c>
      <c r="BG321" s="31">
        <f>IF(BF321="Uptrend",10,IF(BF321="Sideways",5,0))</f>
        <v/>
      </c>
      <c r="BH321" s="31" t="inlineStr">
        <is>
          <t>Uptrend</t>
        </is>
      </c>
      <c r="BI321" s="31">
        <f>IF(BH321="Uptrend",10,IF(BH321="Sideways",5,0))</f>
        <v/>
      </c>
      <c r="BJ321" s="31" t="inlineStr">
        <is>
          <t>Close to 52 week high or retracement</t>
        </is>
      </c>
      <c r="BK321" s="31">
        <f>IF(BJ321="Overhead supply in last 2 years in last 2 years",-5,IF(BJ321="Close to 52 week high or retracement",5,IF(BJ321="Blue sky scenario",10,IF(BJ321="Long term Downtrend",-10,0))))</f>
        <v/>
      </c>
      <c r="BL321" s="31" t="inlineStr">
        <is>
          <t>Yes</t>
        </is>
      </c>
      <c r="BM321" s="31">
        <f>IF(BL321="Yes",10,0)</f>
        <v/>
      </c>
      <c r="BN321" s="31" t="inlineStr">
        <is>
          <t>More than 20%</t>
        </is>
      </c>
      <c r="BO321" s="31">
        <f>IF(BN321="More than 20%",10,IF(BN321="Between 12 to 20%",5,IF(BN321="Less than 12%",0,0)))</f>
        <v/>
      </c>
      <c r="BP321" s="31" t="inlineStr">
        <is>
          <t>No</t>
        </is>
      </c>
      <c r="BQ321" s="31">
        <f>IF(BP321="No",10,0)</f>
        <v/>
      </c>
      <c r="BR321" s="31" t="inlineStr">
        <is>
          <t>Yes</t>
        </is>
      </c>
      <c r="BS321" s="31">
        <f>IF(BR321="NO",5,0)</f>
        <v/>
      </c>
      <c r="BT321" s="31" t="inlineStr">
        <is>
          <t>Above 2</t>
        </is>
      </c>
      <c r="BU321" s="31">
        <f>IF(BT321="Above 2",0,IF(BT321="Between 1.5 to 2",5,IF(BT321="Less than 1.5",10,0)))</f>
        <v/>
      </c>
      <c r="BV321" s="31" t="inlineStr">
        <is>
          <t>Above 70%</t>
        </is>
      </c>
      <c r="BW321" s="31">
        <f>IF(BV321="Above 70%",10,IF(BV321="Between 50% to 70%",5,IF(BV321="Less than 50%",0,IF(BV321="Negative",-10,IF(BV321="Less than 50% and Borrowings are increasing",-5,0)))))</f>
        <v/>
      </c>
      <c r="BX321" s="31" t="inlineStr">
        <is>
          <t>Less than 0.7</t>
        </is>
      </c>
      <c r="BY321" s="31">
        <f>IF(BX321="More than 1.2",-10,IF(BX321="Between 0.7 to 1.2",0,IF(BX321="Less than 0.7",10,0)))</f>
        <v/>
      </c>
      <c r="BZ321" s="31" t="inlineStr">
        <is>
          <t>No</t>
        </is>
      </c>
      <c r="CA321" s="31">
        <f>IF(BZ321="Yes",-10,0)</f>
        <v/>
      </c>
      <c r="CB321" s="31" t="inlineStr">
        <is>
          <t>Less than 15%</t>
        </is>
      </c>
      <c r="CC321" s="31">
        <f>IF(CB321="More than 15%",-10,IF(CB321="Less than 15%",10,0))</f>
        <v/>
      </c>
      <c r="CD321" s="31" t="inlineStr">
        <is>
          <t>No</t>
        </is>
      </c>
      <c r="CE321" s="31">
        <f>IF(CD321="Yes, more than 10%",-10,IF(CD321="No",10,0))</f>
        <v/>
      </c>
    </row>
    <row r="322">
      <c r="A322" s="31">
        <f>IF(B322=0,"",RANK(B322,$B$2:$B$372,0))</f>
        <v/>
      </c>
      <c r="B322" s="32">
        <f>SUM(N322,Y322,AA322,AC322,AE322,AG322,AI322,AK322,AM322,AO322,AQ322,AS322,AU322,AW322,AY322,BA322,BC322,BE322,BG322,BI322,BK322,BM322,BO322,BQ322,BS322,BU322,BW322,BY322,CA322,CC322,CE322)</f>
        <v/>
      </c>
      <c r="C322" s="31" t="inlineStr">
        <is>
          <t>DOLPHIN</t>
        </is>
      </c>
      <c r="D322" s="31" t="inlineStr">
        <is>
          <t>Dolphin Offshore Enterprises (India) Ltd</t>
        </is>
      </c>
      <c r="E322" s="31" t="inlineStr">
        <is>
          <t>energy</t>
        </is>
      </c>
      <c r="F322" s="31" t="inlineStr">
        <is>
          <t>oil drilling / allied services</t>
        </is>
      </c>
      <c r="G322" s="31" t="inlineStr">
        <is>
          <t>smallcap</t>
        </is>
      </c>
      <c r="H322" s="32" t="n">
        <v>2441.28</v>
      </c>
      <c r="I322" s="32" t="n">
        <v>608.1</v>
      </c>
      <c r="J322" s="32" t="n">
        <v>-0.35</v>
      </c>
      <c r="K322" s="32" t="n">
        <v>73635</v>
      </c>
      <c r="L322" s="31" t="inlineStr"/>
      <c r="M322" s="31" t="inlineStr"/>
      <c r="N322" s="32">
        <f>IF(M322="Underperforming",-5,IF(L322&gt;=95,15,IF(L322&gt;=90,10,IF(L322&gt;=80,5,0))))</f>
        <v/>
      </c>
      <c r="O322" s="32" t="n">
        <v>75.31</v>
      </c>
      <c r="P322" s="32" t="n">
        <v>32.8</v>
      </c>
      <c r="Q322" s="32" t="n">
        <v>483.73</v>
      </c>
      <c r="R322" s="31" t="inlineStr">
        <is>
          <t>Near 52W High Breakout</t>
        </is>
      </c>
      <c r="S322" s="31" t="inlineStr">
        <is>
          <t>Nifty Energy</t>
        </is>
      </c>
      <c r="T322" s="32" t="inlineStr"/>
      <c r="U322" s="32" t="inlineStr"/>
      <c r="V322" s="32" t="inlineStr"/>
      <c r="W322" s="32" t="inlineStr"/>
      <c r="X322" s="31" t="inlineStr">
        <is>
          <t>Cyclical in an Upturn</t>
        </is>
      </c>
      <c r="Y322" s="31">
        <f>IF(X322="Growing Industry",10,IF(X322="Cyclical in an Upturn",5,0))</f>
        <v/>
      </c>
      <c r="Z322" s="31" t="inlineStr">
        <is>
          <t>Oligopoly</t>
        </is>
      </c>
      <c r="AA322" s="31">
        <f>IF(Z322="Monopoly",10,IF(Z322="Oligopoly",5,IF(Z322="Duopoly that cooperate",10,IF(Z322="Duopoly that compete",5,IF(Z322="Too many players with High ROCE",5,0)))))</f>
        <v/>
      </c>
      <c r="AB322" s="31" t="inlineStr">
        <is>
          <t>Yes</t>
        </is>
      </c>
      <c r="AC322" s="31">
        <f>IF(AB322="No",5,0)</f>
        <v/>
      </c>
      <c r="AD322" s="31" t="inlineStr">
        <is>
          <t>Tailwind</t>
        </is>
      </c>
      <c r="AE322" s="31">
        <f>IF(AD322="Tailwind",10,0)</f>
        <v/>
      </c>
      <c r="AF322" s="31" t="inlineStr">
        <is>
          <t>Cyclical</t>
        </is>
      </c>
      <c r="AG322" s="31">
        <f>IF(AF322="Structural (10 Years Consistency)",10,IF(AF322="Shallow Cyclical (2 to 3 years growth)",5,0))</f>
        <v/>
      </c>
      <c r="AH322" s="31" t="inlineStr">
        <is>
          <t>No</t>
        </is>
      </c>
      <c r="AI322" s="31">
        <f>IF(AH322="Yes due to Product Mix change or Operating Leverage",10,IF(AH322="Yes, these are peak margins",-5,IF(AH322="No",5,0)))</f>
        <v/>
      </c>
      <c r="AJ322" s="31" t="inlineStr">
        <is>
          <t>Volatile</t>
        </is>
      </c>
      <c r="AK322" s="31">
        <f>IF(AJ322="Stable",10,0)</f>
        <v/>
      </c>
      <c r="AL322" s="31" t="inlineStr">
        <is>
          <t>Yes</t>
        </is>
      </c>
      <c r="AM322" s="31">
        <f>IF(AL322="Yes",10,0)</f>
        <v/>
      </c>
      <c r="AN322" s="31" t="inlineStr">
        <is>
          <t>B2B</t>
        </is>
      </c>
      <c r="AO322" s="31">
        <f>IF(AN322="B2C",10,IF(AN322="B2B",5,0))</f>
        <v/>
      </c>
      <c r="AP322" s="31" t="inlineStr">
        <is>
          <t>Yes</t>
        </is>
      </c>
      <c r="AQ322" s="31">
        <f>IF(AP322="Yes",10,0)</f>
        <v/>
      </c>
      <c r="AR322" s="31" t="inlineStr">
        <is>
          <t>Higher One Time, Lower Annuity</t>
        </is>
      </c>
      <c r="AS322" s="31">
        <f>IF(AR322="Fully Annuity",10,IF(AR322="Higher Annuity, Lower One Time",5,IF(AR322="Higher One Time, Lower Annuity",3,0)))</f>
        <v/>
      </c>
      <c r="AT322" s="31" t="inlineStr">
        <is>
          <t>Good</t>
        </is>
      </c>
      <c r="AU322" s="31">
        <f>IF(AT322="Good",10,0)</f>
        <v/>
      </c>
      <c r="AV322" s="31" t="inlineStr">
        <is>
          <t>Yes for more than 2 years</t>
        </is>
      </c>
      <c r="AW322" s="31">
        <f>IF(AV322="Yes for more than 2 years",10,IF(AV322="Yes only for next 1 to 2 years",5,0))</f>
        <v/>
      </c>
      <c r="AX322" s="31" t="inlineStr">
        <is>
          <t>20 to 40</t>
        </is>
      </c>
      <c r="AY322" s="31">
        <f>IF(AX322="Above 40",20,IF(AX322="20 to 40",10,IF(AX322="0 to 20",-5,0)))</f>
        <v/>
      </c>
      <c r="AZ322" s="31" t="inlineStr">
        <is>
          <t>Above 75</t>
        </is>
      </c>
      <c r="BA322" s="31">
        <f>IF(AZ322="Between 50 to 75",10,IF(AZ322="Above 75",0,0))</f>
        <v/>
      </c>
      <c r="BB322" s="31" t="inlineStr">
        <is>
          <t>Stage 2</t>
        </is>
      </c>
      <c r="BC322" s="31">
        <f>IF(BB322="Stage 2",20,IF(BB322="Stage 1",0,IF(BB322="Stage 3",5,IF(BB322="Stage 4",-5,0))))</f>
        <v/>
      </c>
      <c r="BD322" s="31" t="inlineStr">
        <is>
          <t>Positive Trend</t>
        </is>
      </c>
      <c r="BE322" s="31">
        <f>IF(BD322="Positive Trend",20,IF(BD322="Negative Trend",-10,0))</f>
        <v/>
      </c>
      <c r="BF322" s="31" t="inlineStr">
        <is>
          <t>Uptrend</t>
        </is>
      </c>
      <c r="BG322" s="31">
        <f>IF(BF322="Uptrend",10,IF(BF322="Sideways",5,0))</f>
        <v/>
      </c>
      <c r="BH322" s="31" t="inlineStr">
        <is>
          <t>Uptrend</t>
        </is>
      </c>
      <c r="BI322" s="31">
        <f>IF(BH322="Uptrend",10,IF(BH322="Sideways",5,0))</f>
        <v/>
      </c>
      <c r="BJ322" s="31" t="inlineStr">
        <is>
          <t>Close to 52 week high or retracement</t>
        </is>
      </c>
      <c r="BK322" s="31">
        <f>IF(BJ322="Overhead supply in last 2 years in last 2 years",-5,IF(BJ322="Close to 52 week high or retracement",5,IF(BJ322="Blue sky scenario",10,IF(BJ322="Long term Downtrend",-10,0))))</f>
        <v/>
      </c>
      <c r="BL322" s="31" t="inlineStr">
        <is>
          <t>Yes</t>
        </is>
      </c>
      <c r="BM322" s="31">
        <f>IF(BL322="Yes",10,0)</f>
        <v/>
      </c>
      <c r="BN322" s="31" t="inlineStr">
        <is>
          <t>More than 20%</t>
        </is>
      </c>
      <c r="BO322" s="31">
        <f>IF(BN322="More than 20%",10,IF(BN322="Between 12 to 20%",5,IF(BN322="Less than 12%",0,0)))</f>
        <v/>
      </c>
      <c r="BP322" s="31" t="inlineStr">
        <is>
          <t>No</t>
        </is>
      </c>
      <c r="BQ322" s="31">
        <f>IF(BP322="No",10,0)</f>
        <v/>
      </c>
      <c r="BR322" s="31" t="inlineStr">
        <is>
          <t>No</t>
        </is>
      </c>
      <c r="BS322" s="31">
        <f>IF(BR322="NO",5,0)</f>
        <v/>
      </c>
      <c r="BT322" s="31" t="inlineStr">
        <is>
          <t>Less than 1.5</t>
        </is>
      </c>
      <c r="BU322" s="31">
        <f>IF(BT322="Above 2",0,IF(BT322="Between 1.5 to 2",5,IF(BT322="Less than 1.5",10,0)))</f>
        <v/>
      </c>
      <c r="BV322" s="31" t="inlineStr">
        <is>
          <t>Above 70%</t>
        </is>
      </c>
      <c r="BW322" s="31">
        <f>IF(BV322="Above 70%",10,IF(BV322="Between 50% to 70%",5,IF(BV322="Less than 50%",0,IF(BV322="Negative",-10,IF(BV322="Less than 50% and Borrowings are increasing",-5,0)))))</f>
        <v/>
      </c>
      <c r="BX322" s="31" t="inlineStr">
        <is>
          <t>Less than 0.7</t>
        </is>
      </c>
      <c r="BY322" s="31">
        <f>IF(BX322="More than 1.2",-10,IF(BX322="Between 0.7 to 1.2",0,IF(BX322="Less than 0.7",10,0)))</f>
        <v/>
      </c>
      <c r="BZ322" s="31" t="inlineStr">
        <is>
          <t>No</t>
        </is>
      </c>
      <c r="CA322" s="31">
        <f>IF(BZ322="Yes",-10,0)</f>
        <v/>
      </c>
      <c r="CB322" s="31" t="inlineStr">
        <is>
          <t>Less than 15%</t>
        </is>
      </c>
      <c r="CC322" s="31">
        <f>IF(CB322="More than 15%",-10,IF(CB322="Less than 15%",10,0))</f>
        <v/>
      </c>
      <c r="CD322" s="31" t="inlineStr">
        <is>
          <t>No</t>
        </is>
      </c>
      <c r="CE322" s="31">
        <f>IF(CD322="Yes, more than 10%",-10,IF(CD322="No",10,0))</f>
        <v/>
      </c>
    </row>
    <row r="323">
      <c r="A323" s="31">
        <f>IF(B323=0,"",RANK(B323,$B$2:$B$372,0))</f>
        <v/>
      </c>
      <c r="B323" s="32">
        <f>SUM(N323,Y323,AA323,AC323,AE323,AG323,AI323,AK323,AM323,AO323,AQ323,AS323,AU323,AW323,AY323,BA323,BC323,BE323,BG323,BI323,BK323,BM323,BO323,BQ323,BS323,BU323,BW323,BY323,CA323,CC323,CE323)</f>
        <v/>
      </c>
      <c r="C323" s="31" t="inlineStr">
        <is>
          <t>MANALIPETC</t>
        </is>
      </c>
      <c r="D323" s="31" t="inlineStr">
        <is>
          <t>Manali Petrochemicals Limited</t>
        </is>
      </c>
      <c r="E323" s="31" t="inlineStr">
        <is>
          <t>energy</t>
        </is>
      </c>
      <c r="F323" s="31" t="inlineStr">
        <is>
          <t>petrochemicals</t>
        </is>
      </c>
      <c r="G323" s="31" t="inlineStr">
        <is>
          <t>smallcap</t>
        </is>
      </c>
      <c r="H323" s="32" t="n">
        <v>1287.76</v>
      </c>
      <c r="I323" s="32" t="n">
        <v>74.26000000000001</v>
      </c>
      <c r="J323" s="32" t="n">
        <v>-0.8100000000000001</v>
      </c>
      <c r="K323" s="32" t="n">
        <v>685801</v>
      </c>
      <c r="L323" s="31" t="inlineStr"/>
      <c r="M323" s="31" t="inlineStr"/>
      <c r="N323" s="32">
        <f>IF(M323="Underperforming",-5,IF(L323&gt;=95,15,IF(L323&gt;=90,10,IF(L323&gt;=80,5,0))))</f>
        <v/>
      </c>
      <c r="O323" s="32" t="n">
        <v>67.55</v>
      </c>
      <c r="P323" s="32" t="n">
        <v>35.88</v>
      </c>
      <c r="Q323" s="32" t="n">
        <v>55.57</v>
      </c>
      <c r="R323" s="31" t="inlineStr">
        <is>
          <t>Near 52W High Breakout</t>
        </is>
      </c>
      <c r="S323" s="31" t="inlineStr">
        <is>
          <t>Nifty Energy</t>
        </is>
      </c>
      <c r="T323" s="32" t="inlineStr"/>
      <c r="U323" s="32" t="inlineStr"/>
      <c r="V323" s="32" t="inlineStr"/>
      <c r="W323" s="32" t="inlineStr"/>
      <c r="X323" s="31" t="inlineStr">
        <is>
          <t>Cyclical in an Upturn</t>
        </is>
      </c>
      <c r="Y323" s="31">
        <f>IF(X323="Growing Industry",10,IF(X323="Cyclical in an Upturn",5,0))</f>
        <v/>
      </c>
      <c r="Z323" s="31" t="inlineStr">
        <is>
          <t>Oligopoly</t>
        </is>
      </c>
      <c r="AA323" s="31">
        <f>IF(Z323="Monopoly",10,IF(Z323="Oligopoly",5,IF(Z323="Duopoly that cooperate",10,IF(Z323="Duopoly that compete",5,IF(Z323="Too many players with High ROCE",5,0)))))</f>
        <v/>
      </c>
      <c r="AB323" s="31" t="inlineStr">
        <is>
          <t>Yes</t>
        </is>
      </c>
      <c r="AC323" s="31">
        <f>IF(AB323="No",5,0)</f>
        <v/>
      </c>
      <c r="AD323" s="31" t="inlineStr">
        <is>
          <t>Tailwind</t>
        </is>
      </c>
      <c r="AE323" s="31">
        <f>IF(AD323="Tailwind",10,0)</f>
        <v/>
      </c>
      <c r="AF323" s="31" t="inlineStr">
        <is>
          <t>Cyclical</t>
        </is>
      </c>
      <c r="AG323" s="31">
        <f>IF(AF323="Structural (10 Years Consistency)",10,IF(AF323="Shallow Cyclical (2 to 3 years growth)",5,0))</f>
        <v/>
      </c>
      <c r="AH323" s="31" t="inlineStr">
        <is>
          <t>No</t>
        </is>
      </c>
      <c r="AI323" s="31">
        <f>IF(AH323="Yes due to Product Mix change or Operating Leverage",10,IF(AH323="Yes, these are peak margins",-5,IF(AH323="No",5,0)))</f>
        <v/>
      </c>
      <c r="AJ323" s="31" t="inlineStr">
        <is>
          <t>Volatile</t>
        </is>
      </c>
      <c r="AK323" s="31">
        <f>IF(AJ323="Stable",10,0)</f>
        <v/>
      </c>
      <c r="AL323" s="31" t="inlineStr">
        <is>
          <t>Yes</t>
        </is>
      </c>
      <c r="AM323" s="31">
        <f>IF(AL323="Yes",10,0)</f>
        <v/>
      </c>
      <c r="AN323" s="31" t="inlineStr">
        <is>
          <t>B2B</t>
        </is>
      </c>
      <c r="AO323" s="31">
        <f>IF(AN323="B2C",10,IF(AN323="B2B",5,0))</f>
        <v/>
      </c>
      <c r="AP323" s="31" t="inlineStr">
        <is>
          <t>Yes</t>
        </is>
      </c>
      <c r="AQ323" s="31">
        <f>IF(AP323="Yes",10,0)</f>
        <v/>
      </c>
      <c r="AR323" s="31" t="inlineStr">
        <is>
          <t>Higher One Time, Lower Annuity</t>
        </is>
      </c>
      <c r="AS323" s="31">
        <f>IF(AR323="Fully Annuity",10,IF(AR323="Higher Annuity, Lower One Time",5,IF(AR323="Higher One Time, Lower Annuity",3,0)))</f>
        <v/>
      </c>
      <c r="AT323" s="31" t="inlineStr">
        <is>
          <t>Good</t>
        </is>
      </c>
      <c r="AU323" s="31">
        <f>IF(AT323="Good",10,0)</f>
        <v/>
      </c>
      <c r="AV323" s="31" t="inlineStr">
        <is>
          <t>Yes for more than 2 years</t>
        </is>
      </c>
      <c r="AW323" s="31">
        <f>IF(AV323="Yes for more than 2 years",10,IF(AV323="Yes only for next 1 to 2 years",5,0))</f>
        <v/>
      </c>
      <c r="AX323" s="31" t="inlineStr">
        <is>
          <t>20 to 40</t>
        </is>
      </c>
      <c r="AY323" s="31">
        <f>IF(AX323="Above 40",20,IF(AX323="20 to 40",10,IF(AX323="0 to 20",-5,0)))</f>
        <v/>
      </c>
      <c r="AZ323" s="31" t="inlineStr">
        <is>
          <t>Between 50 to 75</t>
        </is>
      </c>
      <c r="BA323" s="31">
        <f>IF(AZ323="Between 50 to 75",10,IF(AZ323="Above 75",0,0))</f>
        <v/>
      </c>
      <c r="BB323" s="31" t="inlineStr">
        <is>
          <t>Stage 2</t>
        </is>
      </c>
      <c r="BC323" s="31">
        <f>IF(BB323="Stage 2",20,IF(BB323="Stage 1",0,IF(BB323="Stage 3",5,IF(BB323="Stage 4",-5,0))))</f>
        <v/>
      </c>
      <c r="BD323" s="31" t="inlineStr">
        <is>
          <t>Positive Trend</t>
        </is>
      </c>
      <c r="BE323" s="31">
        <f>IF(BD323="Positive Trend",20,IF(BD323="Negative Trend",-10,0))</f>
        <v/>
      </c>
      <c r="BF323" s="31" t="inlineStr">
        <is>
          <t>Uptrend</t>
        </is>
      </c>
      <c r="BG323" s="31">
        <f>IF(BF323="Uptrend",10,IF(BF323="Sideways",5,0))</f>
        <v/>
      </c>
      <c r="BH323" s="31" t="inlineStr">
        <is>
          <t>Uptrend</t>
        </is>
      </c>
      <c r="BI323" s="31">
        <f>IF(BH323="Uptrend",10,IF(BH323="Sideways",5,0))</f>
        <v/>
      </c>
      <c r="BJ323" s="31" t="inlineStr">
        <is>
          <t>Close to 52 week high or retracement</t>
        </is>
      </c>
      <c r="BK323" s="31">
        <f>IF(BJ323="Overhead supply in last 2 years in last 2 years",-5,IF(BJ323="Close to 52 week high or retracement",5,IF(BJ323="Blue sky scenario",10,IF(BJ323="Long term Downtrend",-10,0))))</f>
        <v/>
      </c>
      <c r="BL323" s="31" t="inlineStr">
        <is>
          <t>Yes</t>
        </is>
      </c>
      <c r="BM323" s="31">
        <f>IF(BL323="Yes",10,0)</f>
        <v/>
      </c>
      <c r="BN323" s="31" t="inlineStr">
        <is>
          <t>More than 20%</t>
        </is>
      </c>
      <c r="BO323" s="31">
        <f>IF(BN323="More than 20%",10,IF(BN323="Between 12 to 20%",5,IF(BN323="Less than 12%",0,0)))</f>
        <v/>
      </c>
      <c r="BP323" s="31" t="inlineStr">
        <is>
          <t>No</t>
        </is>
      </c>
      <c r="BQ323" s="31">
        <f>IF(BP323="No",10,0)</f>
        <v/>
      </c>
      <c r="BR323" s="31" t="inlineStr">
        <is>
          <t>No</t>
        </is>
      </c>
      <c r="BS323" s="31">
        <f>IF(BR323="NO",5,0)</f>
        <v/>
      </c>
      <c r="BT323" s="31" t="inlineStr">
        <is>
          <t>Above 2</t>
        </is>
      </c>
      <c r="BU323" s="31">
        <f>IF(BT323="Above 2",0,IF(BT323="Between 1.5 to 2",5,IF(BT323="Less than 1.5",10,0)))</f>
        <v/>
      </c>
      <c r="BV323" s="31" t="inlineStr">
        <is>
          <t>Above 70%</t>
        </is>
      </c>
      <c r="BW323" s="31">
        <f>IF(BV323="Above 70%",10,IF(BV323="Between 50% to 70%",5,IF(BV323="Less than 50%",0,IF(BV323="Negative",-10,IF(BV323="Less than 50% and Borrowings are increasing",-5,0)))))</f>
        <v/>
      </c>
      <c r="BX323" s="31" t="inlineStr">
        <is>
          <t>Less than 0.7</t>
        </is>
      </c>
      <c r="BY323" s="31">
        <f>IF(BX323="More than 1.2",-10,IF(BX323="Between 0.7 to 1.2",0,IF(BX323="Less than 0.7",10,0)))</f>
        <v/>
      </c>
      <c r="BZ323" s="31" t="inlineStr">
        <is>
          <t>No</t>
        </is>
      </c>
      <c r="CA323" s="31">
        <f>IF(BZ323="Yes",-10,0)</f>
        <v/>
      </c>
      <c r="CB323" s="31" t="inlineStr">
        <is>
          <t>Less than 15%</t>
        </is>
      </c>
      <c r="CC323" s="31">
        <f>IF(CB323="More than 15%",-10,IF(CB323="Less than 15%",10,0))</f>
        <v/>
      </c>
      <c r="CD323" s="31" t="inlineStr">
        <is>
          <t>No</t>
        </is>
      </c>
      <c r="CE323" s="31">
        <f>IF(CD323="Yes, more than 10%",-10,IF(CD323="No",10,0))</f>
        <v/>
      </c>
    </row>
    <row r="324">
      <c r="A324" s="31">
        <f>IF(B324=0,"",RANK(B324,$B$2:$B$372,0))</f>
        <v/>
      </c>
      <c r="B324" s="32">
        <f>SUM(N324,Y324,AA324,AC324,AE324,AG324,AI324,AK324,AM324,AO324,AQ324,AS324,AU324,AW324,AY324,BA324,BC324,BE324,BG324,BI324,BK324,BM324,BO324,BQ324,BS324,BU324,BW324,BY324,CA324,CC324,CE324)</f>
        <v/>
      </c>
      <c r="C324" s="31" t="inlineStr">
        <is>
          <t>QPOWER</t>
        </is>
      </c>
      <c r="D324" s="31" t="inlineStr">
        <is>
          <t>Quality Power Electrical Equipments Ltd</t>
        </is>
      </c>
      <c r="E324" s="31" t="inlineStr">
        <is>
          <t>industrials</t>
        </is>
      </c>
      <c r="F324" s="31" t="inlineStr">
        <is>
          <t>electric equipment</t>
        </is>
      </c>
      <c r="G324" s="31" t="inlineStr">
        <is>
          <t>midcap</t>
        </is>
      </c>
      <c r="H324" s="32" t="n">
        <v>10138.21</v>
      </c>
      <c r="I324" s="32" t="n">
        <v>1298.2</v>
      </c>
      <c r="J324" s="32" t="n">
        <v>-0.83</v>
      </c>
      <c r="K324" s="32" t="n">
        <v>309438</v>
      </c>
      <c r="L324" s="31" t="n">
        <v>62</v>
      </c>
      <c r="M324" s="31" t="inlineStr">
        <is>
          <t>Outperforming</t>
        </is>
      </c>
      <c r="N324" s="32">
        <f>IF(M324="Underperforming",-5,IF(L324&gt;=95,15,IF(L324&gt;=90,10,IF(L324&gt;=80,5,0))))</f>
        <v/>
      </c>
      <c r="O324" s="32" t="n">
        <v>60.52</v>
      </c>
      <c r="P324" s="32" t="n">
        <v>14.57</v>
      </c>
      <c r="Q324" s="32" t="n">
        <v>937.16</v>
      </c>
      <c r="R324" s="31" t="inlineStr">
        <is>
          <t>Earnings / Momentum Support</t>
        </is>
      </c>
      <c r="S324" s="31" t="inlineStr">
        <is>
          <t>Nifty 50</t>
        </is>
      </c>
      <c r="T324" s="32" t="n">
        <v>-0.9</v>
      </c>
      <c r="U324" s="32" t="n">
        <v>65.77</v>
      </c>
      <c r="V324" s="32" t="n">
        <v>67.27</v>
      </c>
      <c r="W324" s="32" t="n">
        <v>15.7</v>
      </c>
      <c r="X324" s="31" t="inlineStr">
        <is>
          <t>Cyclical in an Upturn</t>
        </is>
      </c>
      <c r="Y324" s="31">
        <f>IF(X324="Growing Industry",10,IF(X324="Cyclical in an Upturn",5,0))</f>
        <v/>
      </c>
      <c r="Z324" s="31" t="inlineStr">
        <is>
          <t>Too Many Players with High ROCE</t>
        </is>
      </c>
      <c r="AA324" s="31">
        <f>IF(Z324="Monopoly",10,IF(Z324="Oligopoly",5,IF(Z324="Duopoly that cooperate",10,IF(Z324="Duopoly that compete",5,IF(Z324="Too many players with High ROCE",5,0)))))</f>
        <v/>
      </c>
      <c r="AB324" s="31" t="inlineStr">
        <is>
          <t>No</t>
        </is>
      </c>
      <c r="AC324" s="31">
        <f>IF(AB324="No",5,0)</f>
        <v/>
      </c>
      <c r="AD324" s="31" t="inlineStr">
        <is>
          <t>Tailwind</t>
        </is>
      </c>
      <c r="AE324" s="31">
        <f>IF(AD324="Tailwind",10,0)</f>
        <v/>
      </c>
      <c r="AF324" s="31" t="inlineStr">
        <is>
          <t>Structural (10 Years Consistency)</t>
        </is>
      </c>
      <c r="AG324" s="31">
        <f>IF(AF324="Structural (10 Years Consistency)",10,IF(AF324="Shallow Cyclical (2 to 3 years growth)",5,0))</f>
        <v/>
      </c>
      <c r="AH324" s="31" t="inlineStr">
        <is>
          <t>No</t>
        </is>
      </c>
      <c r="AI324" s="31">
        <f>IF(AH324="Yes due to Product Mix change or Operating Leverage",10,IF(AH324="Yes, these are peak margins",-5,IF(AH324="No",5,0)))</f>
        <v/>
      </c>
      <c r="AJ324" s="31" t="inlineStr">
        <is>
          <t>Stable</t>
        </is>
      </c>
      <c r="AK324" s="31">
        <f>IF(AJ324="Stable",10,0)</f>
        <v/>
      </c>
      <c r="AL324" s="31" t="inlineStr">
        <is>
          <t>Yes</t>
        </is>
      </c>
      <c r="AM324" s="31">
        <f>IF(AL324="Yes",10,0)</f>
        <v/>
      </c>
      <c r="AN324" s="31" t="inlineStr">
        <is>
          <t>B2B</t>
        </is>
      </c>
      <c r="AO324" s="31">
        <f>IF(AN324="B2C",10,IF(AN324="B2B",5,0))</f>
        <v/>
      </c>
      <c r="AP324" s="31" t="inlineStr">
        <is>
          <t>No</t>
        </is>
      </c>
      <c r="AQ324" s="31">
        <f>IF(AP324="Yes",10,0)</f>
        <v/>
      </c>
      <c r="AR324" s="31" t="inlineStr">
        <is>
          <t>Higher One Time, Lower Annuity</t>
        </is>
      </c>
      <c r="AS324" s="31">
        <f>IF(AR324="Fully Annuity",10,IF(AR324="Higher Annuity, Lower One Time",5,IF(AR324="Higher One Time, Lower Annuity",3,0)))</f>
        <v/>
      </c>
      <c r="AT324" s="31" t="inlineStr">
        <is>
          <t>Good</t>
        </is>
      </c>
      <c r="AU324" s="31">
        <f>IF(AT324="Good",10,0)</f>
        <v/>
      </c>
      <c r="AV324" s="31" t="inlineStr">
        <is>
          <t>Yes for more than 2 years</t>
        </is>
      </c>
      <c r="AW324" s="31">
        <f>IF(AV324="Yes for more than 2 years",10,IF(AV324="Yes only for next 1 to 2 years",5,0))</f>
        <v/>
      </c>
      <c r="AX324" s="31" t="inlineStr">
        <is>
          <t>0 to 20</t>
        </is>
      </c>
      <c r="AY324" s="31">
        <f>IF(AX324="Above 40",20,IF(AX324="20 to 40",10,IF(AX324="0 to 20",-5,0)))</f>
        <v/>
      </c>
      <c r="AZ324" s="31" t="inlineStr">
        <is>
          <t>Between 50 to 75</t>
        </is>
      </c>
      <c r="BA324" s="31">
        <f>IF(AZ324="Between 50 to 75",10,IF(AZ324="Above 75",0,0))</f>
        <v/>
      </c>
      <c r="BB324" s="31" t="inlineStr">
        <is>
          <t>Stage 2</t>
        </is>
      </c>
      <c r="BC324" s="31">
        <f>IF(BB324="Stage 2",20,IF(BB324="Stage 1",0,IF(BB324="Stage 3",5,IF(BB324="Stage 4",-5,0))))</f>
        <v/>
      </c>
      <c r="BD324" s="31" t="inlineStr">
        <is>
          <t>Positive Trend</t>
        </is>
      </c>
      <c r="BE324" s="31">
        <f>IF(BD324="Positive Trend",20,IF(BD324="Negative Trend",-10,0))</f>
        <v/>
      </c>
      <c r="BF324" s="31" t="inlineStr">
        <is>
          <t>Uptrend</t>
        </is>
      </c>
      <c r="BG324" s="31">
        <f>IF(BF324="Uptrend",10,IF(BF324="Sideways",5,0))</f>
        <v/>
      </c>
      <c r="BH324" s="31" t="inlineStr">
        <is>
          <t>Uptrend</t>
        </is>
      </c>
      <c r="BI324" s="31">
        <f>IF(BH324="Uptrend",10,IF(BH324="Sideways",5,0))</f>
        <v/>
      </c>
      <c r="BJ324" s="31" t="inlineStr">
        <is>
          <t>Close to 52 week high or retracement</t>
        </is>
      </c>
      <c r="BK324" s="31">
        <f>IF(BJ324="Overhead supply in last 2 years in last 2 years",-5,IF(BJ324="Close to 52 week high or retracement",5,IF(BJ324="Blue sky scenario",10,IF(BJ324="Long term Downtrend",-10,0))))</f>
        <v/>
      </c>
      <c r="BL324" s="31" t="inlineStr">
        <is>
          <t>Yes</t>
        </is>
      </c>
      <c r="BM324" s="31">
        <f>IF(BL324="Yes",10,0)</f>
        <v/>
      </c>
      <c r="BN324" s="31" t="inlineStr">
        <is>
          <t>More than 20%</t>
        </is>
      </c>
      <c r="BO324" s="31">
        <f>IF(BN324="More than 20%",10,IF(BN324="Between 12 to 20%",5,IF(BN324="Less than 12%",0,0)))</f>
        <v/>
      </c>
      <c r="BP324" s="31" t="inlineStr">
        <is>
          <t>No</t>
        </is>
      </c>
      <c r="BQ324" s="31">
        <f>IF(BP324="No",10,0)</f>
        <v/>
      </c>
      <c r="BR324" s="31" t="inlineStr">
        <is>
          <t>Yes</t>
        </is>
      </c>
      <c r="BS324" s="31">
        <f>IF(BR324="NO",5,0)</f>
        <v/>
      </c>
      <c r="BT324" s="31" t="inlineStr">
        <is>
          <t>Between 1.5 to 2</t>
        </is>
      </c>
      <c r="BU324" s="31">
        <f>IF(BT324="Above 2",0,IF(BT324="Between 1.5 to 2",5,IF(BT324="Less than 1.5",10,0)))</f>
        <v/>
      </c>
      <c r="BV324" s="31" t="inlineStr">
        <is>
          <t>Above 70%</t>
        </is>
      </c>
      <c r="BW324" s="31">
        <f>IF(BV324="Above 70%",10,IF(BV324="Between 50% to 70%",5,IF(BV324="Less than 50%",0,IF(BV324="Negative",-10,IF(BV324="Less than 50% and Borrowings are increasing",-5,0)))))</f>
        <v/>
      </c>
      <c r="BX324" s="31" t="inlineStr">
        <is>
          <t>Less than 0.7</t>
        </is>
      </c>
      <c r="BY324" s="31">
        <f>IF(BX324="More than 1.2",-10,IF(BX324="Between 0.7 to 1.2",0,IF(BX324="Less than 0.7",10,0)))</f>
        <v/>
      </c>
      <c r="BZ324" s="31" t="inlineStr">
        <is>
          <t>No</t>
        </is>
      </c>
      <c r="CA324" s="31">
        <f>IF(BZ324="Yes",-10,0)</f>
        <v/>
      </c>
      <c r="CB324" s="31" t="inlineStr">
        <is>
          <t>Less than 15%</t>
        </is>
      </c>
      <c r="CC324" s="31">
        <f>IF(CB324="More than 15%",-10,IF(CB324="Less than 15%",10,0))</f>
        <v/>
      </c>
      <c r="CD324" s="31" t="inlineStr">
        <is>
          <t>No</t>
        </is>
      </c>
      <c r="CE324" s="31">
        <f>IF(CD324="Yes, more than 10%",-10,IF(CD324="No",10,0))</f>
        <v/>
      </c>
    </row>
    <row r="325">
      <c r="A325" s="31">
        <f>IF(B325=0,"",RANK(B325,$B$2:$B$372,0))</f>
        <v/>
      </c>
      <c r="B325" s="32">
        <f>SUM(N325,Y325,AA325,AC325,AE325,AG325,AI325,AK325,AM325,AO325,AQ325,AS325,AU325,AW325,AY325,BA325,BC325,BE325,BG325,BI325,BK325,BM325,BO325,BQ325,BS325,BU325,BW325,BY325,CA325,CC325,CE325)</f>
        <v/>
      </c>
      <c r="C325" s="31" t="inlineStr">
        <is>
          <t>EPL</t>
        </is>
      </c>
      <c r="D325" s="31" t="inlineStr">
        <is>
          <t>EPL Ltd</t>
        </is>
      </c>
      <c r="E325" s="31" t="inlineStr">
        <is>
          <t>industrials</t>
        </is>
      </c>
      <c r="F325" s="31" t="inlineStr">
        <is>
          <t>packaging</t>
        </is>
      </c>
      <c r="G325" s="31" t="inlineStr">
        <is>
          <t>midcap</t>
        </is>
      </c>
      <c r="H325" s="32" t="n">
        <v>8273.459999999999</v>
      </c>
      <c r="I325" s="32" t="n">
        <v>254.26</v>
      </c>
      <c r="J325" s="32" t="n">
        <v>-1.57</v>
      </c>
      <c r="K325" s="32" t="n">
        <v>1127818</v>
      </c>
      <c r="L325" s="31" t="n">
        <v>25</v>
      </c>
      <c r="M325" s="31" t="inlineStr">
        <is>
          <t>Outperforming</t>
        </is>
      </c>
      <c r="N325" s="32">
        <f>IF(M325="Underperforming",-5,IF(L325&gt;=95,15,IF(L325&gt;=90,10,IF(L325&gt;=80,5,0))))</f>
        <v/>
      </c>
      <c r="O325" s="32" t="n">
        <v>61.41</v>
      </c>
      <c r="P325" s="32" t="n">
        <v>15.18</v>
      </c>
      <c r="Q325" s="32" t="n">
        <v>210.3</v>
      </c>
      <c r="R325" s="31" t="inlineStr">
        <is>
          <t>Near 52W High Breakout</t>
        </is>
      </c>
      <c r="S325" s="31" t="inlineStr">
        <is>
          <t>Nifty 50</t>
        </is>
      </c>
      <c r="T325" s="32" t="n">
        <v>-0.9</v>
      </c>
      <c r="U325" s="32" t="n">
        <v>15.79</v>
      </c>
      <c r="V325" s="32" t="n">
        <v>16.83</v>
      </c>
      <c r="W325" s="32" t="n">
        <v>7.15</v>
      </c>
      <c r="X325" s="31" t="inlineStr">
        <is>
          <t>Cyclical in an Upturn</t>
        </is>
      </c>
      <c r="Y325" s="31">
        <f>IF(X325="Growing Industry",10,IF(X325="Cyclical in an Upturn",5,0))</f>
        <v/>
      </c>
      <c r="Z325" s="31" t="inlineStr">
        <is>
          <t>Too Many Players with High ROCE</t>
        </is>
      </c>
      <c r="AA325" s="31">
        <f>IF(Z325="Monopoly",10,IF(Z325="Oligopoly",5,IF(Z325="Duopoly that cooperate",10,IF(Z325="Duopoly that compete",5,IF(Z325="Too many players with High ROCE",5,0)))))</f>
        <v/>
      </c>
      <c r="AB325" s="31" t="inlineStr">
        <is>
          <t>No</t>
        </is>
      </c>
      <c r="AC325" s="31">
        <f>IF(AB325="No",5,0)</f>
        <v/>
      </c>
      <c r="AD325" s="31" t="inlineStr">
        <is>
          <t>Tailwind</t>
        </is>
      </c>
      <c r="AE325" s="31">
        <f>IF(AD325="Tailwind",10,0)</f>
        <v/>
      </c>
      <c r="AF325" s="31" t="inlineStr">
        <is>
          <t>Structural (10 Years Consistency)</t>
        </is>
      </c>
      <c r="AG325" s="31">
        <f>IF(AF325="Structural (10 Years Consistency)",10,IF(AF325="Shallow Cyclical (2 to 3 years growth)",5,0))</f>
        <v/>
      </c>
      <c r="AH325" s="31" t="inlineStr">
        <is>
          <t>No</t>
        </is>
      </c>
      <c r="AI325" s="31">
        <f>IF(AH325="Yes due to Product Mix change or Operating Leverage",10,IF(AH325="Yes, these are peak margins",-5,IF(AH325="No",5,0)))</f>
        <v/>
      </c>
      <c r="AJ325" s="31" t="inlineStr">
        <is>
          <t>Stable</t>
        </is>
      </c>
      <c r="AK325" s="31">
        <f>IF(AJ325="Stable",10,0)</f>
        <v/>
      </c>
      <c r="AL325" s="31" t="inlineStr">
        <is>
          <t>Yes</t>
        </is>
      </c>
      <c r="AM325" s="31">
        <f>IF(AL325="Yes",10,0)</f>
        <v/>
      </c>
      <c r="AN325" s="31" t="inlineStr">
        <is>
          <t>B2B</t>
        </is>
      </c>
      <c r="AO325" s="31">
        <f>IF(AN325="B2C",10,IF(AN325="B2B",5,0))</f>
        <v/>
      </c>
      <c r="AP325" s="31" t="inlineStr">
        <is>
          <t>Yes</t>
        </is>
      </c>
      <c r="AQ325" s="31">
        <f>IF(AP325="Yes",10,0)</f>
        <v/>
      </c>
      <c r="AR325" s="31" t="inlineStr">
        <is>
          <t>Higher One Time, Lower Annuity</t>
        </is>
      </c>
      <c r="AS325" s="31">
        <f>IF(AR325="Fully Annuity",10,IF(AR325="Higher Annuity, Lower One Time",5,IF(AR325="Higher One Time, Lower Annuity",3,0)))</f>
        <v/>
      </c>
      <c r="AT325" s="31" t="inlineStr">
        <is>
          <t>Good</t>
        </is>
      </c>
      <c r="AU325" s="31">
        <f>IF(AT325="Good",10,0)</f>
        <v/>
      </c>
      <c r="AV325" s="31" t="inlineStr">
        <is>
          <t>Yes for more than 2 years</t>
        </is>
      </c>
      <c r="AW325" s="31">
        <f>IF(AV325="Yes for more than 2 years",10,IF(AV325="Yes only for next 1 to 2 years",5,0))</f>
        <v/>
      </c>
      <c r="AX325" s="31" t="inlineStr">
        <is>
          <t>0 to 20</t>
        </is>
      </c>
      <c r="AY325" s="31">
        <f>IF(AX325="Above 40",20,IF(AX325="20 to 40",10,IF(AX325="0 to 20",-5,0)))</f>
        <v/>
      </c>
      <c r="AZ325" s="31" t="inlineStr">
        <is>
          <t>Between 50 to 75</t>
        </is>
      </c>
      <c r="BA325" s="31">
        <f>IF(AZ325="Between 50 to 75",10,IF(AZ325="Above 75",0,0))</f>
        <v/>
      </c>
      <c r="BB325" s="31" t="inlineStr">
        <is>
          <t>Stage 2</t>
        </is>
      </c>
      <c r="BC325" s="31">
        <f>IF(BB325="Stage 2",20,IF(BB325="Stage 1",0,IF(BB325="Stage 3",5,IF(BB325="Stage 4",-5,0))))</f>
        <v/>
      </c>
      <c r="BD325" s="31" t="inlineStr">
        <is>
          <t>Positive Trend</t>
        </is>
      </c>
      <c r="BE325" s="31">
        <f>IF(BD325="Positive Trend",20,IF(BD325="Negative Trend",-10,0))</f>
        <v/>
      </c>
      <c r="BF325" s="31" t="inlineStr">
        <is>
          <t>Uptrend</t>
        </is>
      </c>
      <c r="BG325" s="31">
        <f>IF(BF325="Uptrend",10,IF(BF325="Sideways",5,0))</f>
        <v/>
      </c>
      <c r="BH325" s="31" t="inlineStr">
        <is>
          <t>Uptrend</t>
        </is>
      </c>
      <c r="BI325" s="31">
        <f>IF(BH325="Uptrend",10,IF(BH325="Sideways",5,0))</f>
        <v/>
      </c>
      <c r="BJ325" s="31" t="inlineStr">
        <is>
          <t>Close to 52 week high or retracement</t>
        </is>
      </c>
      <c r="BK325" s="31">
        <f>IF(BJ325="Overhead supply in last 2 years in last 2 years",-5,IF(BJ325="Close to 52 week high or retracement",5,IF(BJ325="Blue sky scenario",10,IF(BJ325="Long term Downtrend",-10,0))))</f>
        <v/>
      </c>
      <c r="BL325" s="31" t="inlineStr">
        <is>
          <t>Yes</t>
        </is>
      </c>
      <c r="BM325" s="31">
        <f>IF(BL325="Yes",10,0)</f>
        <v/>
      </c>
      <c r="BN325" s="31" t="inlineStr">
        <is>
          <t>Less than 12%</t>
        </is>
      </c>
      <c r="BO325" s="31">
        <f>IF(BN325="More than 20%",10,IF(BN325="Between 12 to 20%",5,IF(BN325="Less than 12%",0,0)))</f>
        <v/>
      </c>
      <c r="BP325" s="31" t="inlineStr">
        <is>
          <t>No</t>
        </is>
      </c>
      <c r="BQ325" s="31">
        <f>IF(BP325="No",10,0)</f>
        <v/>
      </c>
      <c r="BR325" s="31" t="inlineStr">
        <is>
          <t>No</t>
        </is>
      </c>
      <c r="BS325" s="31">
        <f>IF(BR325="NO",5,0)</f>
        <v/>
      </c>
      <c r="BT325" s="31" t="inlineStr">
        <is>
          <t>Above 2</t>
        </is>
      </c>
      <c r="BU325" s="31">
        <f>IF(BT325="Above 2",0,IF(BT325="Between 1.5 to 2",5,IF(BT325="Less than 1.5",10,0)))</f>
        <v/>
      </c>
      <c r="BV325" s="31" t="inlineStr">
        <is>
          <t>Above 70%</t>
        </is>
      </c>
      <c r="BW325" s="31">
        <f>IF(BV325="Above 70%",10,IF(BV325="Between 50% to 70%",5,IF(BV325="Less than 50%",0,IF(BV325="Negative",-10,IF(BV325="Less than 50% and Borrowings are increasing",-5,0)))))</f>
        <v/>
      </c>
      <c r="BX325" s="31" t="inlineStr">
        <is>
          <t>Less than 0.7</t>
        </is>
      </c>
      <c r="BY325" s="31">
        <f>IF(BX325="More than 1.2",-10,IF(BX325="Between 0.7 to 1.2",0,IF(BX325="Less than 0.7",10,0)))</f>
        <v/>
      </c>
      <c r="BZ325" s="31" t="inlineStr">
        <is>
          <t>No</t>
        </is>
      </c>
      <c r="CA325" s="31">
        <f>IF(BZ325="Yes",-10,0)</f>
        <v/>
      </c>
      <c r="CB325" s="31" t="inlineStr">
        <is>
          <t>Less than 15%</t>
        </is>
      </c>
      <c r="CC325" s="31">
        <f>IF(CB325="More than 15%",-10,IF(CB325="Less than 15%",10,0))</f>
        <v/>
      </c>
      <c r="CD325" s="31" t="inlineStr">
        <is>
          <t>No</t>
        </is>
      </c>
      <c r="CE325" s="31">
        <f>IF(CD325="Yes, more than 10%",-10,IF(CD325="No",10,0))</f>
        <v/>
      </c>
    </row>
    <row r="326">
      <c r="A326" s="31">
        <f>IF(B326=0,"",RANK(B326,$B$2:$B$372,0))</f>
        <v/>
      </c>
      <c r="B326" s="32">
        <f>SUM(N326,Y326,AA326,AC326,AE326,AG326,AI326,AK326,AM326,AO326,AQ326,AS326,AU326,AW326,AY326,BA326,BC326,BE326,BG326,BI326,BK326,BM326,BO326,BQ326,BS326,BU326,BW326,BY326,CA326,CC326,CE326)</f>
        <v/>
      </c>
      <c r="C326" s="31" t="inlineStr">
        <is>
          <t>RITCO</t>
        </is>
      </c>
      <c r="D326" s="31" t="inlineStr">
        <is>
          <t>Ritco Logistics Ltd</t>
        </is>
      </c>
      <c r="E326" s="31" t="inlineStr">
        <is>
          <t>transportation</t>
        </is>
      </c>
      <c r="F326" s="31" t="inlineStr">
        <is>
          <t>miscellaneous</t>
        </is>
      </c>
      <c r="G326" s="31" t="inlineStr">
        <is>
          <t>smallcap</t>
        </is>
      </c>
      <c r="H326" s="32" t="n">
        <v>905.1900000000001</v>
      </c>
      <c r="I326" s="32" t="n">
        <v>309</v>
      </c>
      <c r="J326" s="32" t="n">
        <v>-2.29</v>
      </c>
      <c r="K326" s="32" t="n">
        <v>81648</v>
      </c>
      <c r="L326" s="31" t="n">
        <v>20</v>
      </c>
      <c r="M326" s="31" t="inlineStr">
        <is>
          <t>Outperforming</t>
        </is>
      </c>
      <c r="N326" s="32">
        <f>IF(M326="Underperforming",-5,IF(L326&gt;=95,15,IF(L326&gt;=90,10,IF(L326&gt;=80,5,0))))</f>
        <v/>
      </c>
      <c r="O326" s="32" t="n">
        <v>64.95999999999999</v>
      </c>
      <c r="P326" s="32" t="n">
        <v>37.3</v>
      </c>
      <c r="Q326" s="32" t="n">
        <v>238.32</v>
      </c>
      <c r="R326" s="31" t="inlineStr">
        <is>
          <t>Near 52W High Breakout</t>
        </is>
      </c>
      <c r="S326" s="31" t="inlineStr">
        <is>
          <t>Nifty 50</t>
        </is>
      </c>
      <c r="T326" s="32" t="n">
        <v>-0.9</v>
      </c>
      <c r="U326" s="32" t="n">
        <v>10.35</v>
      </c>
      <c r="V326" s="32" t="n">
        <v>11.35</v>
      </c>
      <c r="W326" s="32" t="n">
        <v>5.92</v>
      </c>
      <c r="X326" s="31" t="inlineStr">
        <is>
          <t>Growing Industry</t>
        </is>
      </c>
      <c r="Y326" s="31">
        <f>IF(X326="Growing Industry",10,IF(X326="Cyclical in an Upturn",5,0))</f>
        <v/>
      </c>
      <c r="Z326" s="31" t="inlineStr">
        <is>
          <t>Too Many Players with High ROCE</t>
        </is>
      </c>
      <c r="AA326" s="31">
        <f>IF(Z326="Monopoly",10,IF(Z326="Oligopoly",5,IF(Z326="Duopoly that cooperate",10,IF(Z326="Duopoly that compete",5,IF(Z326="Too many players with High ROCE",5,0)))))</f>
        <v/>
      </c>
      <c r="AB326" s="31" t="inlineStr">
        <is>
          <t>No</t>
        </is>
      </c>
      <c r="AC326" s="31">
        <f>IF(AB326="No",5,0)</f>
        <v/>
      </c>
      <c r="AD326" s="31" t="inlineStr">
        <is>
          <t>Tailwind</t>
        </is>
      </c>
      <c r="AE326" s="31">
        <f>IF(AD326="Tailwind",10,0)</f>
        <v/>
      </c>
      <c r="AF326" s="31" t="inlineStr">
        <is>
          <t>Structural (10 Years Consistency)</t>
        </is>
      </c>
      <c r="AG326" s="31">
        <f>IF(AF326="Structural (10 Years Consistency)",10,IF(AF326="Shallow Cyclical (2 to 3 years growth)",5,0))</f>
        <v/>
      </c>
      <c r="AH326" s="31" t="inlineStr">
        <is>
          <t>No</t>
        </is>
      </c>
      <c r="AI326" s="31">
        <f>IF(AH326="Yes due to Product Mix change or Operating Leverage",10,IF(AH326="Yes, these are peak margins",-5,IF(AH326="No",5,0)))</f>
        <v/>
      </c>
      <c r="AJ326" s="31" t="inlineStr">
        <is>
          <t>Stable</t>
        </is>
      </c>
      <c r="AK326" s="31">
        <f>IF(AJ326="Stable",10,0)</f>
        <v/>
      </c>
      <c r="AL326" s="31" t="inlineStr">
        <is>
          <t>Yes</t>
        </is>
      </c>
      <c r="AM326" s="31">
        <f>IF(AL326="Yes",10,0)</f>
        <v/>
      </c>
      <c r="AN326" s="31" t="inlineStr">
        <is>
          <t>B2B</t>
        </is>
      </c>
      <c r="AO326" s="31">
        <f>IF(AN326="B2C",10,IF(AN326="B2B",5,0))</f>
        <v/>
      </c>
      <c r="AP326" s="31" t="inlineStr">
        <is>
          <t>Yes</t>
        </is>
      </c>
      <c r="AQ326" s="31">
        <f>IF(AP326="Yes",10,0)</f>
        <v/>
      </c>
      <c r="AR326" s="31" t="inlineStr">
        <is>
          <t>Higher One Time, Lower Annuity</t>
        </is>
      </c>
      <c r="AS326" s="31">
        <f>IF(AR326="Fully Annuity",10,IF(AR326="Higher Annuity, Lower One Time",5,IF(AR326="Higher One Time, Lower Annuity",3,0)))</f>
        <v/>
      </c>
      <c r="AT326" s="31" t="inlineStr">
        <is>
          <t>Good</t>
        </is>
      </c>
      <c r="AU326" s="31">
        <f>IF(AT326="Good",10,0)</f>
        <v/>
      </c>
      <c r="AV326" s="31" t="inlineStr">
        <is>
          <t>Yes for more than 2 years</t>
        </is>
      </c>
      <c r="AW326" s="31">
        <f>IF(AV326="Yes for more than 2 years",10,IF(AV326="Yes only for next 1 to 2 years",5,0))</f>
        <v/>
      </c>
      <c r="AX326" s="31" t="inlineStr">
        <is>
          <t>20 to 40</t>
        </is>
      </c>
      <c r="AY326" s="31">
        <f>IF(AX326="Above 40",20,IF(AX326="20 to 40",10,IF(AX326="0 to 20",-5,0)))</f>
        <v/>
      </c>
      <c r="AZ326" s="31" t="inlineStr">
        <is>
          <t>Between 50 to 75</t>
        </is>
      </c>
      <c r="BA326" s="31">
        <f>IF(AZ326="Between 50 to 75",10,IF(AZ326="Above 75",0,0))</f>
        <v/>
      </c>
      <c r="BB326" s="31" t="inlineStr">
        <is>
          <t>Stage 2</t>
        </is>
      </c>
      <c r="BC326" s="31">
        <f>IF(BB326="Stage 2",20,IF(BB326="Stage 1",0,IF(BB326="Stage 3",5,IF(BB326="Stage 4",-5,0))))</f>
        <v/>
      </c>
      <c r="BD326" s="31" t="inlineStr">
        <is>
          <t>Positive Trend</t>
        </is>
      </c>
      <c r="BE326" s="31">
        <f>IF(BD326="Positive Trend",20,IF(BD326="Negative Trend",-10,0))</f>
        <v/>
      </c>
      <c r="BF326" s="31" t="inlineStr">
        <is>
          <t>Uptrend</t>
        </is>
      </c>
      <c r="BG326" s="31">
        <f>IF(BF326="Uptrend",10,IF(BF326="Sideways",5,0))</f>
        <v/>
      </c>
      <c r="BH326" s="31" t="inlineStr">
        <is>
          <t>Uptrend</t>
        </is>
      </c>
      <c r="BI326" s="31">
        <f>IF(BH326="Uptrend",10,IF(BH326="Sideways",5,0))</f>
        <v/>
      </c>
      <c r="BJ326" s="31" t="inlineStr">
        <is>
          <t>Close to 52 week high or retracement</t>
        </is>
      </c>
      <c r="BK326" s="31">
        <f>IF(BJ326="Overhead supply in last 2 years in last 2 years",-5,IF(BJ326="Close to 52 week high or retracement",5,IF(BJ326="Blue sky scenario",10,IF(BJ326="Long term Downtrend",-10,0))))</f>
        <v/>
      </c>
      <c r="BL326" s="31" t="inlineStr">
        <is>
          <t>Yes</t>
        </is>
      </c>
      <c r="BM326" s="31">
        <f>IF(BL326="Yes",10,0)</f>
        <v/>
      </c>
      <c r="BN326" s="31" t="inlineStr">
        <is>
          <t>Less than 12%</t>
        </is>
      </c>
      <c r="BO326" s="31">
        <f>IF(BN326="More than 20%",10,IF(BN326="Between 12 to 20%",5,IF(BN326="Less than 12%",0,0)))</f>
        <v/>
      </c>
      <c r="BP326" s="31" t="inlineStr">
        <is>
          <t>No</t>
        </is>
      </c>
      <c r="BQ326" s="31">
        <f>IF(BP326="No",10,0)</f>
        <v/>
      </c>
      <c r="BR326" s="31" t="inlineStr">
        <is>
          <t>No</t>
        </is>
      </c>
      <c r="BS326" s="31">
        <f>IF(BR326="NO",5,0)</f>
        <v/>
      </c>
      <c r="BT326" s="31" t="inlineStr">
        <is>
          <t>Above 2</t>
        </is>
      </c>
      <c r="BU326" s="31">
        <f>IF(BT326="Above 2",0,IF(BT326="Between 1.5 to 2",5,IF(BT326="Less than 1.5",10,0)))</f>
        <v/>
      </c>
      <c r="BV326" s="31" t="inlineStr">
        <is>
          <t>Above 70%</t>
        </is>
      </c>
      <c r="BW326" s="31">
        <f>IF(BV326="Above 70%",10,IF(BV326="Between 50% to 70%",5,IF(BV326="Less than 50%",0,IF(BV326="Negative",-10,IF(BV326="Less than 50% and Borrowings are increasing",-5,0)))))</f>
        <v/>
      </c>
      <c r="BX326" s="31" t="inlineStr">
        <is>
          <t>More than 1.2</t>
        </is>
      </c>
      <c r="BY326" s="31">
        <f>IF(BX326="More than 1.2",-10,IF(BX326="Between 0.7 to 1.2",0,IF(BX326="Less than 0.7",10,0)))</f>
        <v/>
      </c>
      <c r="BZ326" s="31" t="inlineStr">
        <is>
          <t>No</t>
        </is>
      </c>
      <c r="CA326" s="31">
        <f>IF(BZ326="Yes",-10,0)</f>
        <v/>
      </c>
      <c r="CB326" s="31" t="inlineStr">
        <is>
          <t>Less than 15%</t>
        </is>
      </c>
      <c r="CC326" s="31">
        <f>IF(CB326="More than 15%",-10,IF(CB326="Less than 15%",10,0))</f>
        <v/>
      </c>
      <c r="CD326" s="31" t="inlineStr">
        <is>
          <t>No</t>
        </is>
      </c>
      <c r="CE326" s="31">
        <f>IF(CD326="Yes, more than 10%",-10,IF(CD326="No",10,0))</f>
        <v/>
      </c>
    </row>
    <row r="327">
      <c r="A327" s="31">
        <f>IF(B327=0,"",RANK(B327,$B$2:$B$372,0))</f>
        <v/>
      </c>
      <c r="B327" s="32">
        <f>SUM(N327,Y327,AA327,AC327,AE327,AG327,AI327,AK327,AM327,AO327,AQ327,AS327,AU327,AW327,AY327,BA327,BC327,BE327,BG327,BI327,BK327,BM327,BO327,BQ327,BS327,BU327,BW327,BY327,CA327,CC327,CE327)</f>
        <v/>
      </c>
      <c r="C327" s="31" t="inlineStr">
        <is>
          <t>HATSUN</t>
        </is>
      </c>
      <c r="D327" s="31" t="inlineStr">
        <is>
          <t>Hatsun Agro Product Limited</t>
        </is>
      </c>
      <c r="E327" s="31" t="inlineStr">
        <is>
          <t>fmcg</t>
        </is>
      </c>
      <c r="F327" s="31" t="inlineStr">
        <is>
          <t>food - processing - indian</t>
        </is>
      </c>
      <c r="G327" s="31" t="inlineStr">
        <is>
          <t>largecap</t>
        </is>
      </c>
      <c r="H327" s="32" t="n">
        <v>22954.21</v>
      </c>
      <c r="I327" s="32" t="n">
        <v>1086.55</v>
      </c>
      <c r="J327" s="32" t="n">
        <v>5.44</v>
      </c>
      <c r="K327" s="32" t="n">
        <v>167529</v>
      </c>
      <c r="L327" s="31" t="inlineStr"/>
      <c r="M327" s="31" t="inlineStr"/>
      <c r="N327" s="32">
        <f>IF(M327="Underperforming",-5,IF(L327&gt;=95,15,IF(L327&gt;=90,10,IF(L327&gt;=80,5,0))))</f>
        <v/>
      </c>
      <c r="O327" s="32" t="n">
        <v>70.27</v>
      </c>
      <c r="P327" s="32" t="n">
        <v>14.08</v>
      </c>
      <c r="Q327" s="32" t="n">
        <v>903.83</v>
      </c>
      <c r="R327" s="31" t="inlineStr">
        <is>
          <t>Volume Spike &amp; Near 52W High Breakout</t>
        </is>
      </c>
      <c r="S327" s="31" t="inlineStr">
        <is>
          <t>Nifty FMCG</t>
        </is>
      </c>
      <c r="T327" s="32" t="inlineStr"/>
      <c r="U327" s="32" t="inlineStr"/>
      <c r="V327" s="32" t="inlineStr"/>
      <c r="W327" s="32" t="inlineStr"/>
      <c r="X327" s="31" t="inlineStr">
        <is>
          <t>Growing Industry</t>
        </is>
      </c>
      <c r="Y327" s="31">
        <f>IF(X327="Growing Industry",10,IF(X327="Cyclical in an Upturn",5,0))</f>
        <v/>
      </c>
      <c r="Z327" s="31" t="inlineStr">
        <is>
          <t>Too Many Players with High ROCE</t>
        </is>
      </c>
      <c r="AA327" s="31">
        <f>IF(Z327="Monopoly",10,IF(Z327="Oligopoly",5,IF(Z327="Duopoly that cooperate",10,IF(Z327="Duopoly that compete",5,IF(Z327="Too many players with High ROCE",5,0)))))</f>
        <v/>
      </c>
      <c r="AB327" s="31" t="inlineStr">
        <is>
          <t>No</t>
        </is>
      </c>
      <c r="AC327" s="31">
        <f>IF(AB327="No",5,0)</f>
        <v/>
      </c>
      <c r="AD327" s="31" t="inlineStr">
        <is>
          <t>Tailwind</t>
        </is>
      </c>
      <c r="AE327" s="31">
        <f>IF(AD327="Tailwind",10,0)</f>
        <v/>
      </c>
      <c r="AF327" s="31" t="inlineStr">
        <is>
          <t>Structural (10 Years Consistency)</t>
        </is>
      </c>
      <c r="AG327" s="31">
        <f>IF(AF327="Structural (10 Years Consistency)",10,IF(AF327="Shallow Cyclical (2 to 3 years growth)",5,0))</f>
        <v/>
      </c>
      <c r="AH327" s="31" t="inlineStr">
        <is>
          <t>No</t>
        </is>
      </c>
      <c r="AI327" s="31">
        <f>IF(AH327="Yes due to Product Mix change or Operating Leverage",10,IF(AH327="Yes, these are peak margins",-5,IF(AH327="No",5,0)))</f>
        <v/>
      </c>
      <c r="AJ327" s="31" t="inlineStr">
        <is>
          <t>Stable</t>
        </is>
      </c>
      <c r="AK327" s="31">
        <f>IF(AJ327="Stable",10,0)</f>
        <v/>
      </c>
      <c r="AL327" s="31" t="inlineStr">
        <is>
          <t>Yes</t>
        </is>
      </c>
      <c r="AM327" s="31">
        <f>IF(AL327="Yes",10,0)</f>
        <v/>
      </c>
      <c r="AN327" s="31" t="inlineStr">
        <is>
          <t>B2C</t>
        </is>
      </c>
      <c r="AO327" s="31">
        <f>IF(AN327="B2C",10,IF(AN327="B2B",5,0))</f>
        <v/>
      </c>
      <c r="AP327" s="31" t="inlineStr">
        <is>
          <t>Yes</t>
        </is>
      </c>
      <c r="AQ327" s="31">
        <f>IF(AP327="Yes",10,0)</f>
        <v/>
      </c>
      <c r="AR327" s="31" t="inlineStr">
        <is>
          <t>Higher Annuity, Lower One Time</t>
        </is>
      </c>
      <c r="AS327" s="31">
        <f>IF(AR327="Fully Annuity",10,IF(AR327="Higher Annuity, Lower One Time",5,IF(AR327="Higher One Time, Lower Annuity",3,0)))</f>
        <v/>
      </c>
      <c r="AT327" s="31" t="inlineStr">
        <is>
          <t>Good</t>
        </is>
      </c>
      <c r="AU327" s="31">
        <f>IF(AT327="Good",10,0)</f>
        <v/>
      </c>
      <c r="AV327" s="31" t="inlineStr">
        <is>
          <t>Yes for more than 2 years</t>
        </is>
      </c>
      <c r="AW327" s="31">
        <f>IF(AV327="Yes for more than 2 years",10,IF(AV327="Yes only for next 1 to 2 years",5,0))</f>
        <v/>
      </c>
      <c r="AX327" s="31" t="inlineStr">
        <is>
          <t>0 to 20</t>
        </is>
      </c>
      <c r="AY327" s="31">
        <f>IF(AX327="Above 40",20,IF(AX327="20 to 40",10,IF(AX327="0 to 20",-5,0)))</f>
        <v/>
      </c>
      <c r="AZ327" s="31" t="inlineStr">
        <is>
          <t>Between 50 to 75</t>
        </is>
      </c>
      <c r="BA327" s="31">
        <f>IF(AZ327="Between 50 to 75",10,IF(AZ327="Above 75",0,0))</f>
        <v/>
      </c>
      <c r="BB327" s="31" t="inlineStr">
        <is>
          <t>Stage 2</t>
        </is>
      </c>
      <c r="BC327" s="31">
        <f>IF(BB327="Stage 2",20,IF(BB327="Stage 1",0,IF(BB327="Stage 3",5,IF(BB327="Stage 4",-5,0))))</f>
        <v/>
      </c>
      <c r="BD327" s="31" t="inlineStr">
        <is>
          <t>Positive Trend</t>
        </is>
      </c>
      <c r="BE327" s="31">
        <f>IF(BD327="Positive Trend",20,IF(BD327="Negative Trend",-10,0))</f>
        <v/>
      </c>
      <c r="BF327" s="31" t="inlineStr">
        <is>
          <t>Uptrend</t>
        </is>
      </c>
      <c r="BG327" s="31">
        <f>IF(BF327="Uptrend",10,IF(BF327="Sideways",5,0))</f>
        <v/>
      </c>
      <c r="BH327" s="31" t="inlineStr">
        <is>
          <t>Uptrend</t>
        </is>
      </c>
      <c r="BI327" s="31">
        <f>IF(BH327="Uptrend",10,IF(BH327="Sideways",5,0))</f>
        <v/>
      </c>
      <c r="BJ327" s="31" t="inlineStr">
        <is>
          <t>Close to 52 week high or retracement</t>
        </is>
      </c>
      <c r="BK327" s="31">
        <f>IF(BJ327="Overhead supply in last 2 years in last 2 years",-5,IF(BJ327="Close to 52 week high or retracement",5,IF(BJ327="Blue sky scenario",10,IF(BJ327="Long term Downtrend",-10,0))))</f>
        <v/>
      </c>
      <c r="BL327" s="31" t="inlineStr">
        <is>
          <t>Yes</t>
        </is>
      </c>
      <c r="BM327" s="31">
        <f>IF(BL327="Yes",10,0)</f>
        <v/>
      </c>
      <c r="BN327" s="31" t="inlineStr">
        <is>
          <t>Less than 12%</t>
        </is>
      </c>
      <c r="BO327" s="31">
        <f>IF(BN327="More than 20%",10,IF(BN327="Between 12 to 20%",5,IF(BN327="Less than 12%",0,0)))</f>
        <v/>
      </c>
      <c r="BP327" s="31" t="inlineStr">
        <is>
          <t>No</t>
        </is>
      </c>
      <c r="BQ327" s="31">
        <f>IF(BP327="No",10,0)</f>
        <v/>
      </c>
      <c r="BR327" s="31" t="inlineStr">
        <is>
          <t>Yes</t>
        </is>
      </c>
      <c r="BS327" s="31">
        <f>IF(BR327="NO",5,0)</f>
        <v/>
      </c>
      <c r="BT327" s="31" t="inlineStr">
        <is>
          <t>Above 2</t>
        </is>
      </c>
      <c r="BU327" s="31">
        <f>IF(BT327="Above 2",0,IF(BT327="Between 1.5 to 2",5,IF(BT327="Less than 1.5",10,0)))</f>
        <v/>
      </c>
      <c r="BV327" s="31" t="inlineStr">
        <is>
          <t>Above 70%</t>
        </is>
      </c>
      <c r="BW327" s="31">
        <f>IF(BV327="Above 70%",10,IF(BV327="Between 50% to 70%",5,IF(BV327="Less than 50%",0,IF(BV327="Negative",-10,IF(BV327="Less than 50% and Borrowings are increasing",-5,0)))))</f>
        <v/>
      </c>
      <c r="BX327" s="31" t="inlineStr">
        <is>
          <t>Between 0.7 to 1.2</t>
        </is>
      </c>
      <c r="BY327" s="31">
        <f>IF(BX327="More than 1.2",-10,IF(BX327="Between 0.7 to 1.2",0,IF(BX327="Less than 0.7",10,0)))</f>
        <v/>
      </c>
      <c r="BZ327" s="31" t="inlineStr">
        <is>
          <t>No</t>
        </is>
      </c>
      <c r="CA327" s="31">
        <f>IF(BZ327="Yes",-10,0)</f>
        <v/>
      </c>
      <c r="CB327" s="31" t="inlineStr">
        <is>
          <t>Less than 15%</t>
        </is>
      </c>
      <c r="CC327" s="31">
        <f>IF(CB327="More than 15%",-10,IF(CB327="Less than 15%",10,0))</f>
        <v/>
      </c>
      <c r="CD327" s="31" t="inlineStr">
        <is>
          <t>No</t>
        </is>
      </c>
      <c r="CE327" s="31">
        <f>IF(CD327="Yes, more than 10%",-10,IF(CD327="No",10,0))</f>
        <v/>
      </c>
    </row>
    <row r="328">
      <c r="A328" s="31">
        <f>IF(B328=0,"",RANK(B328,$B$2:$B$372,0))</f>
        <v/>
      </c>
      <c r="B328" s="32">
        <f>SUM(N328,Y328,AA328,AC328,AE328,AG328,AI328,AK328,AM328,AO328,AQ328,AS328,AU328,AW328,AY328,BA328,BC328,BE328,BG328,BI328,BK328,BM328,BO328,BQ328,BS328,BU328,BW328,BY328,CA328,CC328,CE328)</f>
        <v/>
      </c>
      <c r="C328" s="33" t="inlineStr">
        <is>
          <t>INDGN</t>
        </is>
      </c>
      <c r="D328" s="33" t="inlineStr">
        <is>
          <t>Indegene Ltd</t>
        </is>
      </c>
      <c r="E328" s="31" t="inlineStr">
        <is>
          <t>healthcare</t>
        </is>
      </c>
      <c r="F328" s="31" t="inlineStr">
        <is>
          <t>miscellaneous</t>
        </is>
      </c>
      <c r="G328" s="31" t="inlineStr">
        <is>
          <t>midcap</t>
        </is>
      </c>
      <c r="H328" s="32" t="n">
        <v>13578.98</v>
      </c>
      <c r="I328" s="32" t="n">
        <v>569.7</v>
      </c>
      <c r="J328" s="32" t="n">
        <v>1.09</v>
      </c>
      <c r="K328" s="32" t="n">
        <v>431178</v>
      </c>
      <c r="L328" s="31" t="n">
        <v>10</v>
      </c>
      <c r="M328" s="31" t="inlineStr">
        <is>
          <t>Underperforming</t>
        </is>
      </c>
      <c r="N328" s="32">
        <f>IF(M328="Underperforming",-5,IF(L328&gt;=95,15,IF(L328&gt;=90,10,IF(L328&gt;=80,5,0))))</f>
        <v/>
      </c>
      <c r="O328" s="32" t="n">
        <v>65.01000000000001</v>
      </c>
      <c r="P328" s="32" t="n">
        <v>18.65</v>
      </c>
      <c r="Q328" s="32" t="n">
        <v>473.36</v>
      </c>
      <c r="R328" s="31" t="inlineStr">
        <is>
          <t>Near 52W High Breakout</t>
        </is>
      </c>
      <c r="S328" s="31" t="inlineStr">
        <is>
          <t>Nifty Pharma</t>
        </is>
      </c>
      <c r="T328" s="32" t="n">
        <v>22.12</v>
      </c>
      <c r="U328" s="32" t="n">
        <v>5.51</v>
      </c>
      <c r="V328" s="32" t="n">
        <v>-13.6</v>
      </c>
      <c r="W328" s="32" t="n">
        <v>3.18</v>
      </c>
      <c r="X328" s="31" t="inlineStr">
        <is>
          <t>Growing Industry</t>
        </is>
      </c>
      <c r="Y328" s="31">
        <f>IF(X328="Growing Industry",10,IF(X328="Cyclical in an Upturn",5,0))</f>
        <v/>
      </c>
      <c r="Z328" s="31" t="inlineStr">
        <is>
          <t>Too Many Players with High ROCE</t>
        </is>
      </c>
      <c r="AA328" s="31">
        <f>IF(Z328="Monopoly",10,IF(Z328="Oligopoly",5,IF(Z328="Duopoly that cooperate",10,IF(Z328="Duopoly that compete",5,IF(Z328="Too many players with High ROCE",5,0)))))</f>
        <v/>
      </c>
      <c r="AB328" s="31" t="inlineStr">
        <is>
          <t>Yes</t>
        </is>
      </c>
      <c r="AC328" s="31">
        <f>IF(AB328="No",5,0)</f>
        <v/>
      </c>
      <c r="AD328" s="31" t="inlineStr">
        <is>
          <t>Tailwind</t>
        </is>
      </c>
      <c r="AE328" s="31">
        <f>IF(AD328="Tailwind",10,0)</f>
        <v/>
      </c>
      <c r="AF328" s="31" t="inlineStr">
        <is>
          <t>Structural (10 Years Consistency)</t>
        </is>
      </c>
      <c r="AG328" s="31">
        <f>IF(AF328="Structural (10 Years Consistency)",10,IF(AF328="Shallow Cyclical (2 to 3 years growth)",5,0))</f>
        <v/>
      </c>
      <c r="AH328" s="31" t="inlineStr">
        <is>
          <t>No</t>
        </is>
      </c>
      <c r="AI328" s="31">
        <f>IF(AH328="Yes due to Product Mix change or Operating Leverage",10,IF(AH328="Yes, these are peak margins",-5,IF(AH328="No",5,0)))</f>
        <v/>
      </c>
      <c r="AJ328" s="31" t="inlineStr">
        <is>
          <t>Stable</t>
        </is>
      </c>
      <c r="AK328" s="31">
        <f>IF(AJ328="Stable",10,0)</f>
        <v/>
      </c>
      <c r="AL328" s="31" t="inlineStr">
        <is>
          <t>Yes</t>
        </is>
      </c>
      <c r="AM328" s="31">
        <f>IF(AL328="Yes",10,0)</f>
        <v/>
      </c>
      <c r="AN328" s="31" t="inlineStr">
        <is>
          <t>B2B</t>
        </is>
      </c>
      <c r="AO328" s="31">
        <f>IF(AN328="B2C",10,IF(AN328="B2B",5,0))</f>
        <v/>
      </c>
      <c r="AP328" s="31" t="inlineStr">
        <is>
          <t>Yes</t>
        </is>
      </c>
      <c r="AQ328" s="31">
        <f>IF(AP328="Yes",10,0)</f>
        <v/>
      </c>
      <c r="AR328" s="31" t="inlineStr">
        <is>
          <t>Higher Annuity, Lower One Time</t>
        </is>
      </c>
      <c r="AS328" s="31">
        <f>IF(AR328="Fully Annuity",10,IF(AR328="Higher Annuity, Lower One Time",5,IF(AR328="Higher One Time, Lower Annuity",3,0)))</f>
        <v/>
      </c>
      <c r="AT328" s="31" t="inlineStr">
        <is>
          <t>Good</t>
        </is>
      </c>
      <c r="AU328" s="31">
        <f>IF(AT328="Good",10,0)</f>
        <v/>
      </c>
      <c r="AV328" s="31" t="inlineStr">
        <is>
          <t>Yes for more than 2 years</t>
        </is>
      </c>
      <c r="AW328" s="31">
        <f>IF(AV328="Yes for more than 2 years",10,IF(AV328="Yes only for next 1 to 2 years",5,0))</f>
        <v/>
      </c>
      <c r="AX328" s="31" t="inlineStr">
        <is>
          <t>0 to 20</t>
        </is>
      </c>
      <c r="AY328" s="31">
        <f>IF(AX328="Above 40",20,IF(AX328="20 to 40",10,IF(AX328="0 to 20",-5,0)))</f>
        <v/>
      </c>
      <c r="AZ328" s="31" t="inlineStr">
        <is>
          <t>Between 50 to 75</t>
        </is>
      </c>
      <c r="BA328" s="31">
        <f>IF(AZ328="Between 50 to 75",10,IF(AZ328="Above 75",0,0))</f>
        <v/>
      </c>
      <c r="BB328" s="31" t="inlineStr">
        <is>
          <t>Stage 2</t>
        </is>
      </c>
      <c r="BC328" s="31">
        <f>IF(BB328="Stage 2",20,IF(BB328="Stage 1",0,IF(BB328="Stage 3",5,IF(BB328="Stage 4",-5,0))))</f>
        <v/>
      </c>
      <c r="BD328" s="31" t="inlineStr">
        <is>
          <t>Positive Trend</t>
        </is>
      </c>
      <c r="BE328" s="31">
        <f>IF(BD328="Positive Trend",20,IF(BD328="Negative Trend",-10,0))</f>
        <v/>
      </c>
      <c r="BF328" s="31" t="inlineStr">
        <is>
          <t>Uptrend</t>
        </is>
      </c>
      <c r="BG328" s="31">
        <f>IF(BF328="Uptrend",10,IF(BF328="Sideways",5,0))</f>
        <v/>
      </c>
      <c r="BH328" s="31" t="inlineStr">
        <is>
          <t>Uptrend</t>
        </is>
      </c>
      <c r="BI328" s="31">
        <f>IF(BH328="Uptrend",10,IF(BH328="Sideways",5,0))</f>
        <v/>
      </c>
      <c r="BJ328" s="31" t="inlineStr">
        <is>
          <t>Close to 52 week high or retracement</t>
        </is>
      </c>
      <c r="BK328" s="31">
        <f>IF(BJ328="Overhead supply in last 2 years in last 2 years",-5,IF(BJ328="Close to 52 week high or retracement",5,IF(BJ328="Blue sky scenario",10,IF(BJ328="Long term Downtrend",-10,0))))</f>
        <v/>
      </c>
      <c r="BL328" s="31" t="inlineStr">
        <is>
          <t>Yes</t>
        </is>
      </c>
      <c r="BM328" s="31">
        <f>IF(BL328="Yes",10,0)</f>
        <v/>
      </c>
      <c r="BN328" s="31" t="inlineStr">
        <is>
          <t>Less than 12%</t>
        </is>
      </c>
      <c r="BO328" s="31">
        <f>IF(BN328="More than 20%",10,IF(BN328="Between 12 to 20%",5,IF(BN328="Less than 12%",0,0)))</f>
        <v/>
      </c>
      <c r="BP328" s="31" t="inlineStr">
        <is>
          <t>No</t>
        </is>
      </c>
      <c r="BQ328" s="31">
        <f>IF(BP328="No",10,0)</f>
        <v/>
      </c>
      <c r="BR328" s="31" t="inlineStr">
        <is>
          <t>No</t>
        </is>
      </c>
      <c r="BS328" s="31">
        <f>IF(BR328="NO",5,0)</f>
        <v/>
      </c>
      <c r="BT328" s="31" t="inlineStr">
        <is>
          <t>Above 2</t>
        </is>
      </c>
      <c r="BU328" s="31">
        <f>IF(BT328="Above 2",0,IF(BT328="Between 1.5 to 2",5,IF(BT328="Less than 1.5",10,0)))</f>
        <v/>
      </c>
      <c r="BV328" s="31" t="inlineStr">
        <is>
          <t>Above 70%</t>
        </is>
      </c>
      <c r="BW328" s="31">
        <f>IF(BV328="Above 70%",10,IF(BV328="Between 50% to 70%",5,IF(BV328="Less than 50%",0,IF(BV328="Negative",-10,IF(BV328="Less than 50% and Borrowings are increasing",-5,0)))))</f>
        <v/>
      </c>
      <c r="BX328" s="31" t="inlineStr">
        <is>
          <t>Less than 0.7</t>
        </is>
      </c>
      <c r="BY328" s="31">
        <f>IF(BX328="More than 1.2",-10,IF(BX328="Between 0.7 to 1.2",0,IF(BX328="Less than 0.7",10,0)))</f>
        <v/>
      </c>
      <c r="BZ328" s="31" t="inlineStr">
        <is>
          <t>No</t>
        </is>
      </c>
      <c r="CA328" s="31">
        <f>IF(BZ328="Yes",-10,0)</f>
        <v/>
      </c>
      <c r="CB328" s="31" t="inlineStr">
        <is>
          <t>Less than 15%</t>
        </is>
      </c>
      <c r="CC328" s="31">
        <f>IF(CB328="More than 15%",-10,IF(CB328="Less than 15%",10,0))</f>
        <v/>
      </c>
      <c r="CD328" s="31" t="inlineStr">
        <is>
          <t>No</t>
        </is>
      </c>
      <c r="CE328" s="31">
        <f>IF(CD328="Yes, more than 10%",-10,IF(CD328="No",10,0))</f>
        <v/>
      </c>
    </row>
    <row r="329">
      <c r="A329" s="31">
        <f>IF(B329=0,"",RANK(B329,$B$2:$B$372,0))</f>
        <v/>
      </c>
      <c r="B329" s="32">
        <f>SUM(N329,Y329,AA329,AC329,AE329,AG329,AI329,AK329,AM329,AO329,AQ329,AS329,AU329,AW329,AY329,BA329,BC329,BE329,BG329,BI329,BK329,BM329,BO329,BQ329,BS329,BU329,BW329,BY329,CA329,CC329,CE329)</f>
        <v/>
      </c>
      <c r="C329" s="31" t="inlineStr">
        <is>
          <t>KSL</t>
        </is>
      </c>
      <c r="D329" s="31" t="inlineStr">
        <is>
          <t>Kalyani Steels Limited</t>
        </is>
      </c>
      <c r="E329" s="31" t="inlineStr">
        <is>
          <t>metals &amp; mining</t>
        </is>
      </c>
      <c r="F329" s="31" t="inlineStr">
        <is>
          <t>steel - medium / small</t>
        </is>
      </c>
      <c r="G329" s="31" t="inlineStr">
        <is>
          <t>smallcap</t>
        </is>
      </c>
      <c r="H329" s="32" t="n">
        <v>3816.15</v>
      </c>
      <c r="I329" s="32" t="n">
        <v>919.3</v>
      </c>
      <c r="J329" s="32" t="n">
        <v>5.16</v>
      </c>
      <c r="K329" s="32" t="n">
        <v>240636</v>
      </c>
      <c r="L329" s="31" t="inlineStr"/>
      <c r="M329" s="31" t="inlineStr"/>
      <c r="N329" s="32">
        <f>IF(M329="Underperforming",-5,IF(L329&gt;=95,15,IF(L329&gt;=90,10,IF(L329&gt;=80,5,0))))</f>
        <v/>
      </c>
      <c r="O329" s="32" t="n">
        <v>62.18</v>
      </c>
      <c r="P329" s="32" t="n">
        <v>23.12</v>
      </c>
      <c r="Q329" s="32" t="n">
        <v>754.1799999999999</v>
      </c>
      <c r="R329" s="31" t="inlineStr">
        <is>
          <t>Near 52W High Breakout</t>
        </is>
      </c>
      <c r="S329" s="31" t="inlineStr">
        <is>
          <t>Nifty Metal</t>
        </is>
      </c>
      <c r="T329" s="32" t="inlineStr"/>
      <c r="U329" s="32" t="inlineStr"/>
      <c r="V329" s="32" t="inlineStr"/>
      <c r="W329" s="32" t="inlineStr"/>
      <c r="X329" s="31" t="inlineStr">
        <is>
          <t>Cyclical in an Upturn</t>
        </is>
      </c>
      <c r="Y329" s="31">
        <f>IF(X329="Growing Industry",10,IF(X329="Cyclical in an Upturn",5,0))</f>
        <v/>
      </c>
      <c r="Z329" s="31" t="inlineStr">
        <is>
          <t>Too Many Players with High ROCE</t>
        </is>
      </c>
      <c r="AA329" s="31">
        <f>IF(Z329="Monopoly",10,IF(Z329="Oligopoly",5,IF(Z329="Duopoly that cooperate",10,IF(Z329="Duopoly that compete",5,IF(Z329="Too many players with High ROCE",5,0)))))</f>
        <v/>
      </c>
      <c r="AB329" s="31" t="inlineStr">
        <is>
          <t>No</t>
        </is>
      </c>
      <c r="AC329" s="31">
        <f>IF(AB329="No",5,0)</f>
        <v/>
      </c>
      <c r="AD329" s="31" t="inlineStr">
        <is>
          <t>Tailwind</t>
        </is>
      </c>
      <c r="AE329" s="31">
        <f>IF(AD329="Tailwind",10,0)</f>
        <v/>
      </c>
      <c r="AF329" s="31" t="inlineStr">
        <is>
          <t>Cyclical</t>
        </is>
      </c>
      <c r="AG329" s="31">
        <f>IF(AF329="Structural (10 Years Consistency)",10,IF(AF329="Shallow Cyclical (2 to 3 years growth)",5,0))</f>
        <v/>
      </c>
      <c r="AH329" s="31" t="inlineStr">
        <is>
          <t>No</t>
        </is>
      </c>
      <c r="AI329" s="31">
        <f>IF(AH329="Yes due to Product Mix change or Operating Leverage",10,IF(AH329="Yes, these are peak margins",-5,IF(AH329="No",5,0)))</f>
        <v/>
      </c>
      <c r="AJ329" s="31" t="inlineStr">
        <is>
          <t>Volatile</t>
        </is>
      </c>
      <c r="AK329" s="31">
        <f>IF(AJ329="Stable",10,0)</f>
        <v/>
      </c>
      <c r="AL329" s="31" t="inlineStr">
        <is>
          <t>Yes</t>
        </is>
      </c>
      <c r="AM329" s="31">
        <f>IF(AL329="Yes",10,0)</f>
        <v/>
      </c>
      <c r="AN329" s="31" t="inlineStr">
        <is>
          <t>B2B</t>
        </is>
      </c>
      <c r="AO329" s="31">
        <f>IF(AN329="B2C",10,IF(AN329="B2B",5,0))</f>
        <v/>
      </c>
      <c r="AP329" s="31" t="inlineStr">
        <is>
          <t>Yes</t>
        </is>
      </c>
      <c r="AQ329" s="31">
        <f>IF(AP329="Yes",10,0)</f>
        <v/>
      </c>
      <c r="AR329" s="31" t="inlineStr">
        <is>
          <t>Higher One Time, Lower Annuity</t>
        </is>
      </c>
      <c r="AS329" s="31">
        <f>IF(AR329="Fully Annuity",10,IF(AR329="Higher Annuity, Lower One Time",5,IF(AR329="Higher One Time, Lower Annuity",3,0)))</f>
        <v/>
      </c>
      <c r="AT329" s="31" t="inlineStr">
        <is>
          <t>Good</t>
        </is>
      </c>
      <c r="AU329" s="31">
        <f>IF(AT329="Good",10,0)</f>
        <v/>
      </c>
      <c r="AV329" s="31" t="inlineStr">
        <is>
          <t>Yes for more than 2 years</t>
        </is>
      </c>
      <c r="AW329" s="31">
        <f>IF(AV329="Yes for more than 2 years",10,IF(AV329="Yes only for next 1 to 2 years",5,0))</f>
        <v/>
      </c>
      <c r="AX329" s="31" t="inlineStr">
        <is>
          <t>20 to 40</t>
        </is>
      </c>
      <c r="AY329" s="31">
        <f>IF(AX329="Above 40",20,IF(AX329="20 to 40",10,IF(AX329="0 to 20",-5,0)))</f>
        <v/>
      </c>
      <c r="AZ329" s="31" t="inlineStr">
        <is>
          <t>Between 50 to 75</t>
        </is>
      </c>
      <c r="BA329" s="31">
        <f>IF(AZ329="Between 50 to 75",10,IF(AZ329="Above 75",0,0))</f>
        <v/>
      </c>
      <c r="BB329" s="31" t="inlineStr">
        <is>
          <t>Stage 2</t>
        </is>
      </c>
      <c r="BC329" s="31">
        <f>IF(BB329="Stage 2",20,IF(BB329="Stage 1",0,IF(BB329="Stage 3",5,IF(BB329="Stage 4",-5,0))))</f>
        <v/>
      </c>
      <c r="BD329" s="31" t="inlineStr">
        <is>
          <t>Positive Trend</t>
        </is>
      </c>
      <c r="BE329" s="31">
        <f>IF(BD329="Positive Trend",20,IF(BD329="Negative Trend",-10,0))</f>
        <v/>
      </c>
      <c r="BF329" s="31" t="inlineStr">
        <is>
          <t>Uptrend</t>
        </is>
      </c>
      <c r="BG329" s="31">
        <f>IF(BF329="Uptrend",10,IF(BF329="Sideways",5,0))</f>
        <v/>
      </c>
      <c r="BH329" s="31" t="inlineStr">
        <is>
          <t>Uptrend</t>
        </is>
      </c>
      <c r="BI329" s="31">
        <f>IF(BH329="Uptrend",10,IF(BH329="Sideways",5,0))</f>
        <v/>
      </c>
      <c r="BJ329" s="31" t="inlineStr">
        <is>
          <t>Close to 52 week high or retracement</t>
        </is>
      </c>
      <c r="BK329" s="31">
        <f>IF(BJ329="Overhead supply in last 2 years in last 2 years",-5,IF(BJ329="Close to 52 week high or retracement",5,IF(BJ329="Blue sky scenario",10,IF(BJ329="Long term Downtrend",-10,0))))</f>
        <v/>
      </c>
      <c r="BL329" s="31" t="inlineStr">
        <is>
          <t>Yes</t>
        </is>
      </c>
      <c r="BM329" s="31">
        <f>IF(BL329="Yes",10,0)</f>
        <v/>
      </c>
      <c r="BN329" s="31" t="inlineStr">
        <is>
          <t>Less than 12%</t>
        </is>
      </c>
      <c r="BO329" s="31">
        <f>IF(BN329="More than 20%",10,IF(BN329="Between 12 to 20%",5,IF(BN329="Less than 12%",0,0)))</f>
        <v/>
      </c>
      <c r="BP329" s="31" t="inlineStr">
        <is>
          <t>No</t>
        </is>
      </c>
      <c r="BQ329" s="31">
        <f>IF(BP329="No",10,0)</f>
        <v/>
      </c>
      <c r="BR329" s="31" t="inlineStr">
        <is>
          <t>No</t>
        </is>
      </c>
      <c r="BS329" s="31">
        <f>IF(BR329="NO",5,0)</f>
        <v/>
      </c>
      <c r="BT329" s="31" t="inlineStr">
        <is>
          <t>Above 2</t>
        </is>
      </c>
      <c r="BU329" s="31">
        <f>IF(BT329="Above 2",0,IF(BT329="Between 1.5 to 2",5,IF(BT329="Less than 1.5",10,0)))</f>
        <v/>
      </c>
      <c r="BV329" s="31" t="inlineStr">
        <is>
          <t>Above 70%</t>
        </is>
      </c>
      <c r="BW329" s="31">
        <f>IF(BV329="Above 70%",10,IF(BV329="Between 50% to 70%",5,IF(BV329="Less than 50%",0,IF(BV329="Negative",-10,IF(BV329="Less than 50% and Borrowings are increasing",-5,0)))))</f>
        <v/>
      </c>
      <c r="BX329" s="31" t="inlineStr">
        <is>
          <t>Less than 0.7</t>
        </is>
      </c>
      <c r="BY329" s="31">
        <f>IF(BX329="More than 1.2",-10,IF(BX329="Between 0.7 to 1.2",0,IF(BX329="Less than 0.7",10,0)))</f>
        <v/>
      </c>
      <c r="BZ329" s="31" t="inlineStr">
        <is>
          <t>No</t>
        </is>
      </c>
      <c r="CA329" s="31">
        <f>IF(BZ329="Yes",-10,0)</f>
        <v/>
      </c>
      <c r="CB329" s="31" t="inlineStr">
        <is>
          <t>Less than 15%</t>
        </is>
      </c>
      <c r="CC329" s="31">
        <f>IF(CB329="More than 15%",-10,IF(CB329="Less than 15%",10,0))</f>
        <v/>
      </c>
      <c r="CD329" s="31" t="inlineStr">
        <is>
          <t>No</t>
        </is>
      </c>
      <c r="CE329" s="31">
        <f>IF(CD329="Yes, more than 10%",-10,IF(CD329="No",10,0))</f>
        <v/>
      </c>
    </row>
    <row r="330">
      <c r="A330" s="31">
        <f>IF(B330=0,"",RANK(B330,$B$2:$B$372,0))</f>
        <v/>
      </c>
      <c r="B330" s="32">
        <f>SUM(N330,Y330,AA330,AC330,AE330,AG330,AI330,AK330,AM330,AO330,AQ330,AS330,AU330,AW330,AY330,BA330,BC330,BE330,BG330,BI330,BK330,BM330,BO330,BQ330,BS330,BU330,BW330,BY330,CA330,CC330,CE330)</f>
        <v/>
      </c>
      <c r="C330" s="31" t="inlineStr">
        <is>
          <t>NMDC</t>
        </is>
      </c>
      <c r="D330" s="31" t="inlineStr">
        <is>
          <t>Nmdc Limited</t>
        </is>
      </c>
      <c r="E330" s="31" t="inlineStr">
        <is>
          <t>metals &amp; mining</t>
        </is>
      </c>
      <c r="F330" s="31" t="inlineStr">
        <is>
          <t>mining / minerals / metals</t>
        </is>
      </c>
      <c r="G330" s="31" t="inlineStr">
        <is>
          <t>largecap</t>
        </is>
      </c>
      <c r="H330" s="32" t="n">
        <v>75556.88</v>
      </c>
      <c r="I330" s="32" t="n">
        <v>88.20999999999999</v>
      </c>
      <c r="J330" s="32" t="n">
        <v>2.64</v>
      </c>
      <c r="K330" s="32" t="n">
        <v>26104821</v>
      </c>
      <c r="L330" s="31" t="inlineStr"/>
      <c r="M330" s="31" t="inlineStr"/>
      <c r="N330" s="32">
        <f>IF(M330="Underperforming",-5,IF(L330&gt;=95,15,IF(L330&gt;=90,10,IF(L330&gt;=80,5,0))))</f>
        <v/>
      </c>
      <c r="O330" s="32" t="n">
        <v>57.98</v>
      </c>
      <c r="P330" s="32" t="n">
        <v>40.85</v>
      </c>
      <c r="Q330" s="32" t="n">
        <v>79.01000000000001</v>
      </c>
      <c r="R330" s="31" t="inlineStr">
        <is>
          <t>Earnings / Momentum Support</t>
        </is>
      </c>
      <c r="S330" s="31" t="inlineStr">
        <is>
          <t>Nifty Metal</t>
        </is>
      </c>
      <c r="T330" s="32" t="inlineStr"/>
      <c r="U330" s="32" t="inlineStr"/>
      <c r="V330" s="32" t="inlineStr"/>
      <c r="W330" s="32" t="inlineStr"/>
      <c r="X330" s="31" t="inlineStr">
        <is>
          <t>Cyclical in an Upturn</t>
        </is>
      </c>
      <c r="Y330" s="31">
        <f>IF(X330="Growing Industry",10,IF(X330="Cyclical in an Upturn",5,0))</f>
        <v/>
      </c>
      <c r="Z330" s="31" t="inlineStr">
        <is>
          <t>Too Many Players with High ROCE</t>
        </is>
      </c>
      <c r="AA330" s="31">
        <f>IF(Z330="Monopoly",10,IF(Z330="Oligopoly",5,IF(Z330="Duopoly that cooperate",10,IF(Z330="Duopoly that compete",5,IF(Z330="Too many players with High ROCE",5,0)))))</f>
        <v/>
      </c>
      <c r="AB330" s="31" t="inlineStr">
        <is>
          <t>No</t>
        </is>
      </c>
      <c r="AC330" s="31">
        <f>IF(AB330="No",5,0)</f>
        <v/>
      </c>
      <c r="AD330" s="31" t="inlineStr">
        <is>
          <t>Tailwind</t>
        </is>
      </c>
      <c r="AE330" s="31">
        <f>IF(AD330="Tailwind",10,0)</f>
        <v/>
      </c>
      <c r="AF330" s="31" t="inlineStr">
        <is>
          <t>Cyclical</t>
        </is>
      </c>
      <c r="AG330" s="31">
        <f>IF(AF330="Structural (10 Years Consistency)",10,IF(AF330="Shallow Cyclical (2 to 3 years growth)",5,0))</f>
        <v/>
      </c>
      <c r="AH330" s="31" t="inlineStr">
        <is>
          <t>No</t>
        </is>
      </c>
      <c r="AI330" s="31">
        <f>IF(AH330="Yes due to Product Mix change or Operating Leverage",10,IF(AH330="Yes, these are peak margins",-5,IF(AH330="No",5,0)))</f>
        <v/>
      </c>
      <c r="AJ330" s="31" t="inlineStr">
        <is>
          <t>Volatile</t>
        </is>
      </c>
      <c r="AK330" s="31">
        <f>IF(AJ330="Stable",10,0)</f>
        <v/>
      </c>
      <c r="AL330" s="31" t="inlineStr">
        <is>
          <t>Yes</t>
        </is>
      </c>
      <c r="AM330" s="31">
        <f>IF(AL330="Yes",10,0)</f>
        <v/>
      </c>
      <c r="AN330" s="31" t="inlineStr">
        <is>
          <t>B2B</t>
        </is>
      </c>
      <c r="AO330" s="31">
        <f>IF(AN330="B2C",10,IF(AN330="B2B",5,0))</f>
        <v/>
      </c>
      <c r="AP330" s="31" t="inlineStr">
        <is>
          <t>No</t>
        </is>
      </c>
      <c r="AQ330" s="31">
        <f>IF(AP330="Yes",10,0)</f>
        <v/>
      </c>
      <c r="AR330" s="31" t="inlineStr">
        <is>
          <t>Higher One Time, Lower Annuity</t>
        </is>
      </c>
      <c r="AS330" s="31">
        <f>IF(AR330="Fully Annuity",10,IF(AR330="Higher Annuity, Lower One Time",5,IF(AR330="Higher One Time, Lower Annuity",3,0)))</f>
        <v/>
      </c>
      <c r="AT330" s="31" t="inlineStr">
        <is>
          <t>Good</t>
        </is>
      </c>
      <c r="AU330" s="31">
        <f>IF(AT330="Good",10,0)</f>
        <v/>
      </c>
      <c r="AV330" s="31" t="inlineStr">
        <is>
          <t>Yes for more than 2 years</t>
        </is>
      </c>
      <c r="AW330" s="31">
        <f>IF(AV330="Yes for more than 2 years",10,IF(AV330="Yes only for next 1 to 2 years",5,0))</f>
        <v/>
      </c>
      <c r="AX330" s="31" t="inlineStr">
        <is>
          <t>Above 40</t>
        </is>
      </c>
      <c r="AY330" s="31">
        <f>IF(AX330="Above 40",20,IF(AX330="20 to 40",10,IF(AX330="0 to 20",-5,0)))</f>
        <v/>
      </c>
      <c r="AZ330" s="31" t="inlineStr">
        <is>
          <t>Between 50 to 75</t>
        </is>
      </c>
      <c r="BA330" s="31">
        <f>IF(AZ330="Between 50 to 75",10,IF(AZ330="Above 75",0,0))</f>
        <v/>
      </c>
      <c r="BB330" s="31" t="inlineStr">
        <is>
          <t>Stage 2</t>
        </is>
      </c>
      <c r="BC330" s="31">
        <f>IF(BB330="Stage 2",20,IF(BB330="Stage 1",0,IF(BB330="Stage 3",5,IF(BB330="Stage 4",-5,0))))</f>
        <v/>
      </c>
      <c r="BD330" s="31" t="inlineStr">
        <is>
          <t>Positive Trend</t>
        </is>
      </c>
      <c r="BE330" s="31">
        <f>IF(BD330="Positive Trend",20,IF(BD330="Negative Trend",-10,0))</f>
        <v/>
      </c>
      <c r="BF330" s="31" t="inlineStr">
        <is>
          <t>Uptrend</t>
        </is>
      </c>
      <c r="BG330" s="31">
        <f>IF(BF330="Uptrend",10,IF(BF330="Sideways",5,0))</f>
        <v/>
      </c>
      <c r="BH330" s="31" t="inlineStr">
        <is>
          <t>Uptrend</t>
        </is>
      </c>
      <c r="BI330" s="31">
        <f>IF(BH330="Uptrend",10,IF(BH330="Sideways",5,0))</f>
        <v/>
      </c>
      <c r="BJ330" s="31" t="inlineStr">
        <is>
          <t>Close to 52 week high or retracement</t>
        </is>
      </c>
      <c r="BK330" s="31">
        <f>IF(BJ330="Overhead supply in last 2 years in last 2 years",-5,IF(BJ330="Close to 52 week high or retracement",5,IF(BJ330="Blue sky scenario",10,IF(BJ330="Long term Downtrend",-10,0))))</f>
        <v/>
      </c>
      <c r="BL330" s="31" t="inlineStr">
        <is>
          <t>Yes</t>
        </is>
      </c>
      <c r="BM330" s="31">
        <f>IF(BL330="Yes",10,0)</f>
        <v/>
      </c>
      <c r="BN330" s="31" t="inlineStr">
        <is>
          <t>Less than 12%</t>
        </is>
      </c>
      <c r="BO330" s="31">
        <f>IF(BN330="More than 20%",10,IF(BN330="Between 12 to 20%",5,IF(BN330="Less than 12%",0,0)))</f>
        <v/>
      </c>
      <c r="BP330" s="31" t="inlineStr">
        <is>
          <t>No</t>
        </is>
      </c>
      <c r="BQ330" s="31">
        <f>IF(BP330="No",10,0)</f>
        <v/>
      </c>
      <c r="BR330" s="31" t="inlineStr">
        <is>
          <t>No</t>
        </is>
      </c>
      <c r="BS330" s="31">
        <f>IF(BR330="NO",5,0)</f>
        <v/>
      </c>
      <c r="BT330" s="31" t="inlineStr">
        <is>
          <t>Above 2</t>
        </is>
      </c>
      <c r="BU330" s="31">
        <f>IF(BT330="Above 2",0,IF(BT330="Between 1.5 to 2",5,IF(BT330="Less than 1.5",10,0)))</f>
        <v/>
      </c>
      <c r="BV330" s="31" t="inlineStr">
        <is>
          <t>Above 70%</t>
        </is>
      </c>
      <c r="BW330" s="31">
        <f>IF(BV330="Above 70%",10,IF(BV330="Between 50% to 70%",5,IF(BV330="Less than 50%",0,IF(BV330="Negative",-10,IF(BV330="Less than 50% and Borrowings are increasing",-5,0)))))</f>
        <v/>
      </c>
      <c r="BX330" s="31" t="inlineStr">
        <is>
          <t>Less than 0.7</t>
        </is>
      </c>
      <c r="BY330" s="31">
        <f>IF(BX330="More than 1.2",-10,IF(BX330="Between 0.7 to 1.2",0,IF(BX330="Less than 0.7",10,0)))</f>
        <v/>
      </c>
      <c r="BZ330" s="31" t="inlineStr">
        <is>
          <t>No</t>
        </is>
      </c>
      <c r="CA330" s="31">
        <f>IF(BZ330="Yes",-10,0)</f>
        <v/>
      </c>
      <c r="CB330" s="31" t="inlineStr">
        <is>
          <t>Less than 15%</t>
        </is>
      </c>
      <c r="CC330" s="31">
        <f>IF(CB330="More than 15%",-10,IF(CB330="Less than 15%",10,0))</f>
        <v/>
      </c>
      <c r="CD330" s="31" t="inlineStr">
        <is>
          <t>No</t>
        </is>
      </c>
      <c r="CE330" s="31">
        <f>IF(CD330="Yes, more than 10%",-10,IF(CD330="No",10,0))</f>
        <v/>
      </c>
    </row>
    <row r="331">
      <c r="A331" s="31">
        <f>IF(B331=0,"",RANK(B331,$B$2:$B$372,0))</f>
        <v/>
      </c>
      <c r="B331" s="32">
        <f>SUM(N331,Y331,AA331,AC331,AE331,AG331,AI331,AK331,AM331,AO331,AQ331,AS331,AU331,AW331,AY331,BA331,BC331,BE331,BG331,BI331,BK331,BM331,BO331,BQ331,BS331,BU331,BW331,BY331,CA331,CC331,CE331)</f>
        <v/>
      </c>
      <c r="C331" s="31" t="inlineStr">
        <is>
          <t>JYOTICNC</t>
        </is>
      </c>
      <c r="D331" s="31" t="inlineStr">
        <is>
          <t>Jyoti CNC Automation Ltd</t>
        </is>
      </c>
      <c r="E331" s="31" t="inlineStr">
        <is>
          <t>industrials</t>
        </is>
      </c>
      <c r="F331" s="31" t="inlineStr">
        <is>
          <t>engineering</t>
        </is>
      </c>
      <c r="G331" s="31" t="inlineStr">
        <is>
          <t>largecap</t>
        </is>
      </c>
      <c r="H331" s="32" t="n">
        <v>22513.75</v>
      </c>
      <c r="I331" s="32" t="n">
        <v>1012.7</v>
      </c>
      <c r="J331" s="32" t="n">
        <v>2.3</v>
      </c>
      <c r="K331" s="32" t="n">
        <v>1457691</v>
      </c>
      <c r="L331" s="31" t="n">
        <v>72</v>
      </c>
      <c r="M331" s="31" t="inlineStr">
        <is>
          <t>Outperforming</t>
        </is>
      </c>
      <c r="N331" s="32">
        <f>IF(M331="Underperforming",-5,IF(L331&gt;=95,15,IF(L331&gt;=90,10,IF(L331&gt;=80,5,0))))</f>
        <v/>
      </c>
      <c r="O331" s="32" t="n">
        <v>68.93000000000001</v>
      </c>
      <c r="P331" s="32" t="n">
        <v>18.28</v>
      </c>
      <c r="Q331" s="32" t="n">
        <v>784.7</v>
      </c>
      <c r="R331" s="31" t="inlineStr">
        <is>
          <t>Near 52W High Breakout</t>
        </is>
      </c>
      <c r="S331" s="31" t="inlineStr">
        <is>
          <t>Nifty 50</t>
        </is>
      </c>
      <c r="T331" s="32" t="n">
        <v>-0.9</v>
      </c>
      <c r="U331" s="32" t="n">
        <v>11.14</v>
      </c>
      <c r="V331" s="32" t="n">
        <v>12.15</v>
      </c>
      <c r="W331" s="32" t="n">
        <v>20.91</v>
      </c>
      <c r="X331" s="31" t="inlineStr">
        <is>
          <t>Cyclical in an Upturn</t>
        </is>
      </c>
      <c r="Y331" s="31">
        <f>IF(X331="Growing Industry",10,IF(X331="Cyclical in an Upturn",5,0))</f>
        <v/>
      </c>
      <c r="Z331" s="31" t="inlineStr">
        <is>
          <t>Too Many Players with High ROCE</t>
        </is>
      </c>
      <c r="AA331" s="31">
        <f>IF(Z331="Monopoly",10,IF(Z331="Oligopoly",5,IF(Z331="Duopoly that cooperate",10,IF(Z331="Duopoly that compete",5,IF(Z331="Too many players with High ROCE",5,0)))))</f>
        <v/>
      </c>
      <c r="AB331" s="31" t="inlineStr">
        <is>
          <t>No</t>
        </is>
      </c>
      <c r="AC331" s="31">
        <f>IF(AB331="No",5,0)</f>
        <v/>
      </c>
      <c r="AD331" s="31" t="inlineStr">
        <is>
          <t>Tailwind</t>
        </is>
      </c>
      <c r="AE331" s="31">
        <f>IF(AD331="Tailwind",10,0)</f>
        <v/>
      </c>
      <c r="AF331" s="31" t="inlineStr">
        <is>
          <t>Structural (10 Years Consistency)</t>
        </is>
      </c>
      <c r="AG331" s="31">
        <f>IF(AF331="Structural (10 Years Consistency)",10,IF(AF331="Shallow Cyclical (2 to 3 years growth)",5,0))</f>
        <v/>
      </c>
      <c r="AH331" s="31" t="inlineStr">
        <is>
          <t>No</t>
        </is>
      </c>
      <c r="AI331" s="31">
        <f>IF(AH331="Yes due to Product Mix change or Operating Leverage",10,IF(AH331="Yes, these are peak margins",-5,IF(AH331="No",5,0)))</f>
        <v/>
      </c>
      <c r="AJ331" s="31" t="inlineStr">
        <is>
          <t>Stable</t>
        </is>
      </c>
      <c r="AK331" s="31">
        <f>IF(AJ331="Stable",10,0)</f>
        <v/>
      </c>
      <c r="AL331" s="31" t="inlineStr">
        <is>
          <t>Yes</t>
        </is>
      </c>
      <c r="AM331" s="31">
        <f>IF(AL331="Yes",10,0)</f>
        <v/>
      </c>
      <c r="AN331" s="31" t="inlineStr">
        <is>
          <t>B2B</t>
        </is>
      </c>
      <c r="AO331" s="31">
        <f>IF(AN331="B2C",10,IF(AN331="B2B",5,0))</f>
        <v/>
      </c>
      <c r="AP331" s="31" t="inlineStr">
        <is>
          <t>Yes</t>
        </is>
      </c>
      <c r="AQ331" s="31">
        <f>IF(AP331="Yes",10,0)</f>
        <v/>
      </c>
      <c r="AR331" s="31" t="inlineStr">
        <is>
          <t>Higher One Time, Lower Annuity</t>
        </is>
      </c>
      <c r="AS331" s="31">
        <f>IF(AR331="Fully Annuity",10,IF(AR331="Higher Annuity, Lower One Time",5,IF(AR331="Higher One Time, Lower Annuity",3,0)))</f>
        <v/>
      </c>
      <c r="AT331" s="31" t="inlineStr">
        <is>
          <t>Good</t>
        </is>
      </c>
      <c r="AU331" s="31">
        <f>IF(AT331="Good",10,0)</f>
        <v/>
      </c>
      <c r="AV331" s="31" t="inlineStr">
        <is>
          <t>Yes for more than 2 years</t>
        </is>
      </c>
      <c r="AW331" s="31">
        <f>IF(AV331="Yes for more than 2 years",10,IF(AV331="Yes only for next 1 to 2 years",5,0))</f>
        <v/>
      </c>
      <c r="AX331" s="31" t="inlineStr">
        <is>
          <t>0 to 20</t>
        </is>
      </c>
      <c r="AY331" s="31">
        <f>IF(AX331="Above 40",20,IF(AX331="20 to 40",10,IF(AX331="0 to 20",-5,0)))</f>
        <v/>
      </c>
      <c r="AZ331" s="31" t="inlineStr">
        <is>
          <t>Between 50 to 75</t>
        </is>
      </c>
      <c r="BA331" s="31">
        <f>IF(AZ331="Between 50 to 75",10,IF(AZ331="Above 75",0,0))</f>
        <v/>
      </c>
      <c r="BB331" s="31" t="inlineStr">
        <is>
          <t>Stage 2</t>
        </is>
      </c>
      <c r="BC331" s="31">
        <f>IF(BB331="Stage 2",20,IF(BB331="Stage 1",0,IF(BB331="Stage 3",5,IF(BB331="Stage 4",-5,0))))</f>
        <v/>
      </c>
      <c r="BD331" s="31" t="inlineStr">
        <is>
          <t>Positive Trend</t>
        </is>
      </c>
      <c r="BE331" s="31">
        <f>IF(BD331="Positive Trend",20,IF(BD331="Negative Trend",-10,0))</f>
        <v/>
      </c>
      <c r="BF331" s="31" t="inlineStr">
        <is>
          <t>Uptrend</t>
        </is>
      </c>
      <c r="BG331" s="31">
        <f>IF(BF331="Uptrend",10,IF(BF331="Sideways",5,0))</f>
        <v/>
      </c>
      <c r="BH331" s="31" t="inlineStr">
        <is>
          <t>Uptrend</t>
        </is>
      </c>
      <c r="BI331" s="31">
        <f>IF(BH331="Uptrend",10,IF(BH331="Sideways",5,0))</f>
        <v/>
      </c>
      <c r="BJ331" s="31" t="inlineStr">
        <is>
          <t>Close to 52 week high or retracement</t>
        </is>
      </c>
      <c r="BK331" s="31">
        <f>IF(BJ331="Overhead supply in last 2 years in last 2 years",-5,IF(BJ331="Close to 52 week high or retracement",5,IF(BJ331="Blue sky scenario",10,IF(BJ331="Long term Downtrend",-10,0))))</f>
        <v/>
      </c>
      <c r="BL331" s="31" t="inlineStr">
        <is>
          <t>Yes</t>
        </is>
      </c>
      <c r="BM331" s="31">
        <f>IF(BL331="Yes",10,0)</f>
        <v/>
      </c>
      <c r="BN331" s="31" t="inlineStr">
        <is>
          <t>Less than 12%</t>
        </is>
      </c>
      <c r="BO331" s="31">
        <f>IF(BN331="More than 20%",10,IF(BN331="Between 12 to 20%",5,IF(BN331="Less than 12%",0,0)))</f>
        <v/>
      </c>
      <c r="BP331" s="31" t="inlineStr">
        <is>
          <t>No</t>
        </is>
      </c>
      <c r="BQ331" s="31">
        <f>IF(BP331="No",10,0)</f>
        <v/>
      </c>
      <c r="BR331" s="31" t="inlineStr">
        <is>
          <t>Yes</t>
        </is>
      </c>
      <c r="BS331" s="31">
        <f>IF(BR331="NO",5,0)</f>
        <v/>
      </c>
      <c r="BT331" s="31" t="inlineStr">
        <is>
          <t>Above 2</t>
        </is>
      </c>
      <c r="BU331" s="31">
        <f>IF(BT331="Above 2",0,IF(BT331="Between 1.5 to 2",5,IF(BT331="Less than 1.5",10,0)))</f>
        <v/>
      </c>
      <c r="BV331" s="31" t="inlineStr">
        <is>
          <t>Above 70%</t>
        </is>
      </c>
      <c r="BW331" s="31">
        <f>IF(BV331="Above 70%",10,IF(BV331="Between 50% to 70%",5,IF(BV331="Less than 50%",0,IF(BV331="Negative",-10,IF(BV331="Less than 50% and Borrowings are increasing",-5,0)))))</f>
        <v/>
      </c>
      <c r="BX331" s="31" t="inlineStr">
        <is>
          <t>Less than 0.7</t>
        </is>
      </c>
      <c r="BY331" s="31">
        <f>IF(BX331="More than 1.2",-10,IF(BX331="Between 0.7 to 1.2",0,IF(BX331="Less than 0.7",10,0)))</f>
        <v/>
      </c>
      <c r="BZ331" s="31" t="inlineStr">
        <is>
          <t>No</t>
        </is>
      </c>
      <c r="CA331" s="31">
        <f>IF(BZ331="Yes",-10,0)</f>
        <v/>
      </c>
      <c r="CB331" s="31" t="inlineStr">
        <is>
          <t>Less than 15%</t>
        </is>
      </c>
      <c r="CC331" s="31">
        <f>IF(CB331="More than 15%",-10,IF(CB331="Less than 15%",10,0))</f>
        <v/>
      </c>
      <c r="CD331" s="31" t="inlineStr">
        <is>
          <t>No</t>
        </is>
      </c>
      <c r="CE331" s="31">
        <f>IF(CD331="Yes, more than 10%",-10,IF(CD331="No",10,0))</f>
        <v/>
      </c>
    </row>
    <row r="332">
      <c r="A332" s="31">
        <f>IF(B332=0,"",RANK(B332,$B$2:$B$372,0))</f>
        <v/>
      </c>
      <c r="B332" s="32">
        <f>SUM(N332,Y332,AA332,AC332,AE332,AG332,AI332,AK332,AM332,AO332,AQ332,AS332,AU332,AW332,AY332,BA332,BC332,BE332,BG332,BI332,BK332,BM332,BO332,BQ332,BS332,BU332,BW332,BY332,CA332,CC332,CE332)</f>
        <v/>
      </c>
      <c r="C332" s="31" t="inlineStr">
        <is>
          <t>RKFORGE</t>
        </is>
      </c>
      <c r="D332" s="31" t="inlineStr">
        <is>
          <t>Ramkrishna Forgings Limited</t>
        </is>
      </c>
      <c r="E332" s="31" t="inlineStr">
        <is>
          <t>industrials</t>
        </is>
      </c>
      <c r="F332" s="31" t="inlineStr">
        <is>
          <t>castings &amp; forgings</t>
        </is>
      </c>
      <c r="G332" s="31" t="inlineStr">
        <is>
          <t>midcap</t>
        </is>
      </c>
      <c r="H332" s="32" t="n">
        <v>13136.28</v>
      </c>
      <c r="I332" s="32" t="n">
        <v>732</v>
      </c>
      <c r="J332" s="32" t="n">
        <v>1.51</v>
      </c>
      <c r="K332" s="32" t="n">
        <v>980866</v>
      </c>
      <c r="L332" s="31" t="n">
        <v>44</v>
      </c>
      <c r="M332" s="31" t="inlineStr">
        <is>
          <t>Outperforming</t>
        </is>
      </c>
      <c r="N332" s="32">
        <f>IF(M332="Underperforming",-5,IF(L332&gt;=95,15,IF(L332&gt;=90,10,IF(L332&gt;=80,5,0))))</f>
        <v/>
      </c>
      <c r="O332" s="32" t="n">
        <v>71.62</v>
      </c>
      <c r="P332" s="32" t="n">
        <v>17.84</v>
      </c>
      <c r="Q332" s="32" t="n">
        <v>602.61</v>
      </c>
      <c r="R332" s="31" t="inlineStr">
        <is>
          <t>Near 52W High Breakout</t>
        </is>
      </c>
      <c r="S332" s="31" t="inlineStr">
        <is>
          <t>Nifty 50</t>
        </is>
      </c>
      <c r="T332" s="32" t="n">
        <v>-0.9</v>
      </c>
      <c r="U332" s="32" t="n">
        <v>29.41</v>
      </c>
      <c r="V332" s="32" t="n">
        <v>30.58</v>
      </c>
      <c r="W332" s="32" t="n">
        <v>11.74</v>
      </c>
      <c r="X332" s="31" t="inlineStr">
        <is>
          <t>Cyclical in an Upturn</t>
        </is>
      </c>
      <c r="Y332" s="31">
        <f>IF(X332="Growing Industry",10,IF(X332="Cyclical in an Upturn",5,0))</f>
        <v/>
      </c>
      <c r="Z332" s="31" t="inlineStr">
        <is>
          <t>Too Many Players with High ROCE</t>
        </is>
      </c>
      <c r="AA332" s="31">
        <f>IF(Z332="Monopoly",10,IF(Z332="Oligopoly",5,IF(Z332="Duopoly that cooperate",10,IF(Z332="Duopoly that compete",5,IF(Z332="Too many players with High ROCE",5,0)))))</f>
        <v/>
      </c>
      <c r="AB332" s="31" t="inlineStr">
        <is>
          <t>No</t>
        </is>
      </c>
      <c r="AC332" s="31">
        <f>IF(AB332="No",5,0)</f>
        <v/>
      </c>
      <c r="AD332" s="31" t="inlineStr">
        <is>
          <t>Tailwind</t>
        </is>
      </c>
      <c r="AE332" s="31">
        <f>IF(AD332="Tailwind",10,0)</f>
        <v/>
      </c>
      <c r="AF332" s="31" t="inlineStr">
        <is>
          <t>Structural (10 Years Consistency)</t>
        </is>
      </c>
      <c r="AG332" s="31">
        <f>IF(AF332="Structural (10 Years Consistency)",10,IF(AF332="Shallow Cyclical (2 to 3 years growth)",5,0))</f>
        <v/>
      </c>
      <c r="AH332" s="31" t="inlineStr">
        <is>
          <t>No</t>
        </is>
      </c>
      <c r="AI332" s="31">
        <f>IF(AH332="Yes due to Product Mix change or Operating Leverage",10,IF(AH332="Yes, these are peak margins",-5,IF(AH332="No",5,0)))</f>
        <v/>
      </c>
      <c r="AJ332" s="31" t="inlineStr">
        <is>
          <t>Stable</t>
        </is>
      </c>
      <c r="AK332" s="31">
        <f>IF(AJ332="Stable",10,0)</f>
        <v/>
      </c>
      <c r="AL332" s="31" t="inlineStr">
        <is>
          <t>Yes</t>
        </is>
      </c>
      <c r="AM332" s="31">
        <f>IF(AL332="Yes",10,0)</f>
        <v/>
      </c>
      <c r="AN332" s="31" t="inlineStr">
        <is>
          <t>B2B</t>
        </is>
      </c>
      <c r="AO332" s="31">
        <f>IF(AN332="B2C",10,IF(AN332="B2B",5,0))</f>
        <v/>
      </c>
      <c r="AP332" s="31" t="inlineStr">
        <is>
          <t>Yes</t>
        </is>
      </c>
      <c r="AQ332" s="31">
        <f>IF(AP332="Yes",10,0)</f>
        <v/>
      </c>
      <c r="AR332" s="31" t="inlineStr">
        <is>
          <t>Higher One Time, Lower Annuity</t>
        </is>
      </c>
      <c r="AS332" s="31">
        <f>IF(AR332="Fully Annuity",10,IF(AR332="Higher Annuity, Lower One Time",5,IF(AR332="Higher One Time, Lower Annuity",3,0)))</f>
        <v/>
      </c>
      <c r="AT332" s="31" t="inlineStr">
        <is>
          <t>Good</t>
        </is>
      </c>
      <c r="AU332" s="31">
        <f>IF(AT332="Good",10,0)</f>
        <v/>
      </c>
      <c r="AV332" s="31" t="inlineStr">
        <is>
          <t>Yes for more than 2 years</t>
        </is>
      </c>
      <c r="AW332" s="31">
        <f>IF(AV332="Yes for more than 2 years",10,IF(AV332="Yes only for next 1 to 2 years",5,0))</f>
        <v/>
      </c>
      <c r="AX332" s="31" t="inlineStr">
        <is>
          <t>0 to 20</t>
        </is>
      </c>
      <c r="AY332" s="31">
        <f>IF(AX332="Above 40",20,IF(AX332="20 to 40",10,IF(AX332="0 to 20",-5,0)))</f>
        <v/>
      </c>
      <c r="AZ332" s="31" t="inlineStr">
        <is>
          <t>Between 50 to 75</t>
        </is>
      </c>
      <c r="BA332" s="31">
        <f>IF(AZ332="Between 50 to 75",10,IF(AZ332="Above 75",0,0))</f>
        <v/>
      </c>
      <c r="BB332" s="31" t="inlineStr">
        <is>
          <t>Stage 2</t>
        </is>
      </c>
      <c r="BC332" s="31">
        <f>IF(BB332="Stage 2",20,IF(BB332="Stage 1",0,IF(BB332="Stage 3",5,IF(BB332="Stage 4",-5,0))))</f>
        <v/>
      </c>
      <c r="BD332" s="31" t="inlineStr">
        <is>
          <t>Positive Trend</t>
        </is>
      </c>
      <c r="BE332" s="31">
        <f>IF(BD332="Positive Trend",20,IF(BD332="Negative Trend",-10,0))</f>
        <v/>
      </c>
      <c r="BF332" s="31" t="inlineStr">
        <is>
          <t>Uptrend</t>
        </is>
      </c>
      <c r="BG332" s="31">
        <f>IF(BF332="Uptrend",10,IF(BF332="Sideways",5,0))</f>
        <v/>
      </c>
      <c r="BH332" s="31" t="inlineStr">
        <is>
          <t>Uptrend</t>
        </is>
      </c>
      <c r="BI332" s="31">
        <f>IF(BH332="Uptrend",10,IF(BH332="Sideways",5,0))</f>
        <v/>
      </c>
      <c r="BJ332" s="31" t="inlineStr">
        <is>
          <t>Close to 52 week high or retracement</t>
        </is>
      </c>
      <c r="BK332" s="31">
        <f>IF(BJ332="Overhead supply in last 2 years in last 2 years",-5,IF(BJ332="Close to 52 week high or retracement",5,IF(BJ332="Blue sky scenario",10,IF(BJ332="Long term Downtrend",-10,0))))</f>
        <v/>
      </c>
      <c r="BL332" s="31" t="inlineStr">
        <is>
          <t>Yes</t>
        </is>
      </c>
      <c r="BM332" s="31">
        <f>IF(BL332="Yes",10,0)</f>
        <v/>
      </c>
      <c r="BN332" s="31" t="inlineStr">
        <is>
          <t>More than 20%</t>
        </is>
      </c>
      <c r="BO332" s="31">
        <f>IF(BN332="More than 20%",10,IF(BN332="Between 12 to 20%",5,IF(BN332="Less than 12%",0,0)))</f>
        <v/>
      </c>
      <c r="BP332" s="31" t="inlineStr">
        <is>
          <t>No</t>
        </is>
      </c>
      <c r="BQ332" s="31">
        <f>IF(BP332="No",10,0)</f>
        <v/>
      </c>
      <c r="BR332" s="31" t="inlineStr">
        <is>
          <t>Yes</t>
        </is>
      </c>
      <c r="BS332" s="31">
        <f>IF(BR332="NO",5,0)</f>
        <v/>
      </c>
      <c r="BT332" s="31" t="inlineStr">
        <is>
          <t>Above 2</t>
        </is>
      </c>
      <c r="BU332" s="31">
        <f>IF(BT332="Above 2",0,IF(BT332="Between 1.5 to 2",5,IF(BT332="Less than 1.5",10,0)))</f>
        <v/>
      </c>
      <c r="BV332" s="31" t="inlineStr">
        <is>
          <t>Above 70%</t>
        </is>
      </c>
      <c r="BW332" s="31">
        <f>IF(BV332="Above 70%",10,IF(BV332="Between 50% to 70%",5,IF(BV332="Less than 50%",0,IF(BV332="Negative",-10,IF(BV332="Less than 50% and Borrowings are increasing",-5,0)))))</f>
        <v/>
      </c>
      <c r="BX332" s="31" t="inlineStr">
        <is>
          <t>Between 0.7 to 1.2</t>
        </is>
      </c>
      <c r="BY332" s="31">
        <f>IF(BX332="More than 1.2",-10,IF(BX332="Between 0.7 to 1.2",0,IF(BX332="Less than 0.7",10,0)))</f>
        <v/>
      </c>
      <c r="BZ332" s="31" t="inlineStr">
        <is>
          <t>No</t>
        </is>
      </c>
      <c r="CA332" s="31">
        <f>IF(BZ332="Yes",-10,0)</f>
        <v/>
      </c>
      <c r="CB332" s="31" t="inlineStr">
        <is>
          <t>Less than 15%</t>
        </is>
      </c>
      <c r="CC332" s="31">
        <f>IF(CB332="More than 15%",-10,IF(CB332="Less than 15%",10,0))</f>
        <v/>
      </c>
      <c r="CD332" s="31" t="inlineStr">
        <is>
          <t>No</t>
        </is>
      </c>
      <c r="CE332" s="31">
        <f>IF(CD332="Yes, more than 10%",-10,IF(CD332="No",10,0))</f>
        <v/>
      </c>
    </row>
    <row r="333">
      <c r="A333" s="31">
        <f>IF(B333=0,"",RANK(B333,$B$2:$B$372,0))</f>
        <v/>
      </c>
      <c r="B333" s="32">
        <f>SUM(N333,Y333,AA333,AC333,AE333,AG333,AI333,AK333,AM333,AO333,AQ333,AS333,AU333,AW333,AY333,BA333,BC333,BE333,BG333,BI333,BK333,BM333,BO333,BQ333,BS333,BU333,BW333,BY333,CA333,CC333,CE333)</f>
        <v/>
      </c>
      <c r="C333" s="31" t="inlineStr">
        <is>
          <t>DICIND</t>
        </is>
      </c>
      <c r="D333" s="31" t="inlineStr">
        <is>
          <t>Dic India Limited</t>
        </is>
      </c>
      <c r="E333" s="31" t="inlineStr">
        <is>
          <t>chemicals</t>
        </is>
      </c>
      <c r="F333" s="31" t="inlineStr">
        <is>
          <t>chemicals</t>
        </is>
      </c>
      <c r="G333" s="31" t="inlineStr">
        <is>
          <t>smallcap</t>
        </is>
      </c>
      <c r="H333" s="32" t="n">
        <v>545.78</v>
      </c>
      <c r="I333" s="32" t="n">
        <v>603</v>
      </c>
      <c r="J333" s="32" t="n">
        <v>1.41</v>
      </c>
      <c r="K333" s="32" t="n">
        <v>1946</v>
      </c>
      <c r="L333" s="31" t="n">
        <v>17</v>
      </c>
      <c r="M333" s="31" t="inlineStr">
        <is>
          <t>Outperforming</t>
        </is>
      </c>
      <c r="N333" s="32">
        <f>IF(M333="Underperforming",-5,IF(L333&gt;=95,15,IF(L333&gt;=90,10,IF(L333&gt;=80,5,0))))</f>
        <v/>
      </c>
      <c r="O333" s="32" t="n">
        <v>68.61</v>
      </c>
      <c r="P333" s="32" t="n">
        <v>15.28</v>
      </c>
      <c r="Q333" s="32" t="n">
        <v>464.68</v>
      </c>
      <c r="R333" s="31" t="inlineStr">
        <is>
          <t>Near 52W High Breakout</t>
        </is>
      </c>
      <c r="S333" s="31" t="inlineStr">
        <is>
          <t>Nifty 50</t>
        </is>
      </c>
      <c r="T333" s="32" t="n">
        <v>-0.9</v>
      </c>
      <c r="U333" s="32" t="n">
        <v>3.3</v>
      </c>
      <c r="V333" s="32" t="n">
        <v>4.24</v>
      </c>
      <c r="W333" s="32" t="n">
        <v>5.25</v>
      </c>
      <c r="X333" s="31" t="inlineStr">
        <is>
          <t>Growing Industry</t>
        </is>
      </c>
      <c r="Y333" s="31">
        <f>IF(X333="Growing Industry",10,IF(X333="Cyclical in an Upturn",5,0))</f>
        <v/>
      </c>
      <c r="Z333" s="31" t="inlineStr">
        <is>
          <t>Too Many Players with High ROCE</t>
        </is>
      </c>
      <c r="AA333" s="31">
        <f>IF(Z333="Monopoly",10,IF(Z333="Oligopoly",5,IF(Z333="Duopoly that cooperate",10,IF(Z333="Duopoly that compete",5,IF(Z333="Too many players with High ROCE",5,0)))))</f>
        <v/>
      </c>
      <c r="AB333" s="31" t="inlineStr">
        <is>
          <t>No</t>
        </is>
      </c>
      <c r="AC333" s="31">
        <f>IF(AB333="No",5,0)</f>
        <v/>
      </c>
      <c r="AD333" s="31" t="inlineStr">
        <is>
          <t>Tailwind</t>
        </is>
      </c>
      <c r="AE333" s="31">
        <f>IF(AD333="Tailwind",10,0)</f>
        <v/>
      </c>
      <c r="AF333" s="31" t="inlineStr">
        <is>
          <t>Structural (10 Years Consistency)</t>
        </is>
      </c>
      <c r="AG333" s="31">
        <f>IF(AF333="Structural (10 Years Consistency)",10,IF(AF333="Shallow Cyclical (2 to 3 years growth)",5,0))</f>
        <v/>
      </c>
      <c r="AH333" s="31" t="inlineStr">
        <is>
          <t>No</t>
        </is>
      </c>
      <c r="AI333" s="31">
        <f>IF(AH333="Yes due to Product Mix change or Operating Leverage",10,IF(AH333="Yes, these are peak margins",-5,IF(AH333="No",5,0)))</f>
        <v/>
      </c>
      <c r="AJ333" s="31" t="inlineStr">
        <is>
          <t>Stable</t>
        </is>
      </c>
      <c r="AK333" s="31">
        <f>IF(AJ333="Stable",10,0)</f>
        <v/>
      </c>
      <c r="AL333" s="31" t="inlineStr">
        <is>
          <t>Yes</t>
        </is>
      </c>
      <c r="AM333" s="31">
        <f>IF(AL333="Yes",10,0)</f>
        <v/>
      </c>
      <c r="AN333" s="31" t="inlineStr">
        <is>
          <t>B2B</t>
        </is>
      </c>
      <c r="AO333" s="31">
        <f>IF(AN333="B2C",10,IF(AN333="B2B",5,0))</f>
        <v/>
      </c>
      <c r="AP333" s="31" t="inlineStr">
        <is>
          <t>Yes</t>
        </is>
      </c>
      <c r="AQ333" s="31">
        <f>IF(AP333="Yes",10,0)</f>
        <v/>
      </c>
      <c r="AR333" s="31" t="inlineStr">
        <is>
          <t>Higher One Time, Lower Annuity</t>
        </is>
      </c>
      <c r="AS333" s="31">
        <f>IF(AR333="Fully Annuity",10,IF(AR333="Higher Annuity, Lower One Time",5,IF(AR333="Higher One Time, Lower Annuity",3,0)))</f>
        <v/>
      </c>
      <c r="AT333" s="31" t="inlineStr">
        <is>
          <t>Good</t>
        </is>
      </c>
      <c r="AU333" s="31">
        <f>IF(AT333="Good",10,0)</f>
        <v/>
      </c>
      <c r="AV333" s="31" t="inlineStr">
        <is>
          <t>Yes for more than 2 years</t>
        </is>
      </c>
      <c r="AW333" s="31">
        <f>IF(AV333="Yes for more than 2 years",10,IF(AV333="Yes only for next 1 to 2 years",5,0))</f>
        <v/>
      </c>
      <c r="AX333" s="31" t="inlineStr">
        <is>
          <t>0 to 20</t>
        </is>
      </c>
      <c r="AY333" s="31">
        <f>IF(AX333="Above 40",20,IF(AX333="20 to 40",10,IF(AX333="0 to 20",-5,0)))</f>
        <v/>
      </c>
      <c r="AZ333" s="31" t="inlineStr">
        <is>
          <t>Between 50 to 75</t>
        </is>
      </c>
      <c r="BA333" s="31">
        <f>IF(AZ333="Between 50 to 75",10,IF(AZ333="Above 75",0,0))</f>
        <v/>
      </c>
      <c r="BB333" s="31" t="inlineStr">
        <is>
          <t>Stage 2</t>
        </is>
      </c>
      <c r="BC333" s="31">
        <f>IF(BB333="Stage 2",20,IF(BB333="Stage 1",0,IF(BB333="Stage 3",5,IF(BB333="Stage 4",-5,0))))</f>
        <v/>
      </c>
      <c r="BD333" s="31" t="inlineStr">
        <is>
          <t>Positive Trend</t>
        </is>
      </c>
      <c r="BE333" s="31">
        <f>IF(BD333="Positive Trend",20,IF(BD333="Negative Trend",-10,0))</f>
        <v/>
      </c>
      <c r="BF333" s="31" t="inlineStr">
        <is>
          <t>Uptrend</t>
        </is>
      </c>
      <c r="BG333" s="31">
        <f>IF(BF333="Uptrend",10,IF(BF333="Sideways",5,0))</f>
        <v/>
      </c>
      <c r="BH333" s="31" t="inlineStr">
        <is>
          <t>Uptrend</t>
        </is>
      </c>
      <c r="BI333" s="31">
        <f>IF(BH333="Uptrend",10,IF(BH333="Sideways",5,0))</f>
        <v/>
      </c>
      <c r="BJ333" s="31" t="inlineStr">
        <is>
          <t>Close to 52 week high or retracement</t>
        </is>
      </c>
      <c r="BK333" s="31">
        <f>IF(BJ333="Overhead supply in last 2 years in last 2 years",-5,IF(BJ333="Close to 52 week high or retracement",5,IF(BJ333="Blue sky scenario",10,IF(BJ333="Long term Downtrend",-10,0))))</f>
        <v/>
      </c>
      <c r="BL333" s="31" t="inlineStr">
        <is>
          <t>Yes</t>
        </is>
      </c>
      <c r="BM333" s="31">
        <f>IF(BL333="Yes",10,0)</f>
        <v/>
      </c>
      <c r="BN333" s="31" t="inlineStr">
        <is>
          <t>More than 20%</t>
        </is>
      </c>
      <c r="BO333" s="31">
        <f>IF(BN333="More than 20%",10,IF(BN333="Between 12 to 20%",5,IF(BN333="Less than 12%",0,0)))</f>
        <v/>
      </c>
      <c r="BP333" s="31" t="inlineStr">
        <is>
          <t>No</t>
        </is>
      </c>
      <c r="BQ333" s="31">
        <f>IF(BP333="No",10,0)</f>
        <v/>
      </c>
      <c r="BR333" s="31" t="inlineStr">
        <is>
          <t>No</t>
        </is>
      </c>
      <c r="BS333" s="31">
        <f>IF(BR333="NO",5,0)</f>
        <v/>
      </c>
      <c r="BT333" s="31" t="inlineStr">
        <is>
          <t>Above 2</t>
        </is>
      </c>
      <c r="BU333" s="31">
        <f>IF(BT333="Above 2",0,IF(BT333="Between 1.5 to 2",5,IF(BT333="Less than 1.5",10,0)))</f>
        <v/>
      </c>
      <c r="BV333" s="31" t="inlineStr">
        <is>
          <t>Negative</t>
        </is>
      </c>
      <c r="BW333" s="31">
        <f>IF(BV333="Above 70%",10,IF(BV333="Between 50% to 70%",5,IF(BV333="Less than 50%",0,IF(BV333="Negative",-10,IF(BV333="Less than 50% and Borrowings are increasing",-5,0)))))</f>
        <v/>
      </c>
      <c r="BX333" s="31" t="inlineStr">
        <is>
          <t>Less than 0.7</t>
        </is>
      </c>
      <c r="BY333" s="31">
        <f>IF(BX333="More than 1.2",-10,IF(BX333="Between 0.7 to 1.2",0,IF(BX333="Less than 0.7",10,0)))</f>
        <v/>
      </c>
      <c r="BZ333" s="31" t="inlineStr">
        <is>
          <t>No</t>
        </is>
      </c>
      <c r="CA333" s="31">
        <f>IF(BZ333="Yes",-10,0)</f>
        <v/>
      </c>
      <c r="CB333" s="31" t="inlineStr">
        <is>
          <t>Less than 15%</t>
        </is>
      </c>
      <c r="CC333" s="31">
        <f>IF(CB333="More than 15%",-10,IF(CB333="Less than 15%",10,0))</f>
        <v/>
      </c>
      <c r="CD333" s="31" t="inlineStr">
        <is>
          <t>No</t>
        </is>
      </c>
      <c r="CE333" s="31">
        <f>IF(CD333="Yes, more than 10%",-10,IF(CD333="No",10,0))</f>
        <v/>
      </c>
    </row>
    <row r="334">
      <c r="A334" s="31">
        <f>IF(B334=0,"",RANK(B334,$B$2:$B$372,0))</f>
        <v/>
      </c>
      <c r="B334" s="32">
        <f>SUM(N334,Y334,AA334,AC334,AE334,AG334,AI334,AK334,AM334,AO334,AQ334,AS334,AU334,AW334,AY334,BA334,BC334,BE334,BG334,BI334,BK334,BM334,BO334,BQ334,BS334,BU334,BW334,BY334,CA334,CC334,CE334)</f>
        <v/>
      </c>
      <c r="C334" s="33" t="inlineStr">
        <is>
          <t>BLACKBUCK</t>
        </is>
      </c>
      <c r="D334" s="33" t="inlineStr">
        <is>
          <t>BlackBuck Ltd</t>
        </is>
      </c>
      <c r="E334" s="31" t="inlineStr">
        <is>
          <t>transportation</t>
        </is>
      </c>
      <c r="F334" s="31" t="inlineStr">
        <is>
          <t>miscellaneous</t>
        </is>
      </c>
      <c r="G334" s="31" t="inlineStr">
        <is>
          <t>midcap</t>
        </is>
      </c>
      <c r="H334" s="32" t="n">
        <v>10951.08</v>
      </c>
      <c r="I334" s="32" t="n">
        <v>605.3</v>
      </c>
      <c r="J334" s="32" t="n">
        <v>0.67</v>
      </c>
      <c r="K334" s="32" t="n">
        <v>846183</v>
      </c>
      <c r="L334" s="31" t="n">
        <v>11</v>
      </c>
      <c r="M334" s="31" t="inlineStr">
        <is>
          <t>Underperforming</t>
        </is>
      </c>
      <c r="N334" s="32">
        <f>IF(M334="Underperforming",-5,IF(L334&gt;=95,15,IF(L334&gt;=90,10,IF(L334&gt;=80,5,0))))</f>
        <v/>
      </c>
      <c r="O334" s="32" t="n">
        <v>54.41</v>
      </c>
      <c r="P334" s="32" t="n">
        <v>9.199999999999999</v>
      </c>
      <c r="Q334" s="32" t="n">
        <v>483.56</v>
      </c>
      <c r="R334" s="31" t="inlineStr">
        <is>
          <t>Earnings / Momentum Support</t>
        </is>
      </c>
      <c r="S334" s="31" t="inlineStr">
        <is>
          <t>Nifty 50</t>
        </is>
      </c>
      <c r="T334" s="32" t="n">
        <v>-0.9</v>
      </c>
      <c r="U334" s="32" t="n">
        <v>-4.94</v>
      </c>
      <c r="V334" s="32" t="n">
        <v>-4.08</v>
      </c>
      <c r="W334" s="32" t="n">
        <v>3.37</v>
      </c>
      <c r="X334" s="31" t="inlineStr">
        <is>
          <t>Growing Industry</t>
        </is>
      </c>
      <c r="Y334" s="31">
        <f>IF(X334="Growing Industry",10,IF(X334="Cyclical in an Upturn",5,0))</f>
        <v/>
      </c>
      <c r="Z334" s="31" t="inlineStr">
        <is>
          <t>Too Many Players with High ROCE</t>
        </is>
      </c>
      <c r="AA334" s="31">
        <f>IF(Z334="Monopoly",10,IF(Z334="Oligopoly",5,IF(Z334="Duopoly that cooperate",10,IF(Z334="Duopoly that compete",5,IF(Z334="Too many players with High ROCE",5,0)))))</f>
        <v/>
      </c>
      <c r="AB334" s="31" t="inlineStr">
        <is>
          <t>No</t>
        </is>
      </c>
      <c r="AC334" s="31">
        <f>IF(AB334="No",5,0)</f>
        <v/>
      </c>
      <c r="AD334" s="31" t="inlineStr">
        <is>
          <t>Tailwind</t>
        </is>
      </c>
      <c r="AE334" s="31">
        <f>IF(AD334="Tailwind",10,0)</f>
        <v/>
      </c>
      <c r="AF334" s="31" t="inlineStr">
        <is>
          <t>Structural (10 Years Consistency)</t>
        </is>
      </c>
      <c r="AG334" s="31">
        <f>IF(AF334="Structural (10 Years Consistency)",10,IF(AF334="Shallow Cyclical (2 to 3 years growth)",5,0))</f>
        <v/>
      </c>
      <c r="AH334" s="31" t="inlineStr">
        <is>
          <t>No</t>
        </is>
      </c>
      <c r="AI334" s="31">
        <f>IF(AH334="Yes due to Product Mix change or Operating Leverage",10,IF(AH334="Yes, these are peak margins",-5,IF(AH334="No",5,0)))</f>
        <v/>
      </c>
      <c r="AJ334" s="31" t="inlineStr">
        <is>
          <t>Stable</t>
        </is>
      </c>
      <c r="AK334" s="31">
        <f>IF(AJ334="Stable",10,0)</f>
        <v/>
      </c>
      <c r="AL334" s="31" t="inlineStr">
        <is>
          <t>Yes</t>
        </is>
      </c>
      <c r="AM334" s="31">
        <f>IF(AL334="Yes",10,0)</f>
        <v/>
      </c>
      <c r="AN334" s="31" t="inlineStr">
        <is>
          <t>B2B</t>
        </is>
      </c>
      <c r="AO334" s="31">
        <f>IF(AN334="B2C",10,IF(AN334="B2B",5,0))</f>
        <v/>
      </c>
      <c r="AP334" s="31" t="inlineStr">
        <is>
          <t>No</t>
        </is>
      </c>
      <c r="AQ334" s="31">
        <f>IF(AP334="Yes",10,0)</f>
        <v/>
      </c>
      <c r="AR334" s="31" t="inlineStr">
        <is>
          <t>Higher One Time, Lower Annuity</t>
        </is>
      </c>
      <c r="AS334" s="31">
        <f>IF(AR334="Fully Annuity",10,IF(AR334="Higher Annuity, Lower One Time",5,IF(AR334="Higher One Time, Lower Annuity",3,0)))</f>
        <v/>
      </c>
      <c r="AT334" s="31" t="inlineStr">
        <is>
          <t>Good</t>
        </is>
      </c>
      <c r="AU334" s="31">
        <f>IF(AT334="Good",10,0)</f>
        <v/>
      </c>
      <c r="AV334" s="31" t="inlineStr">
        <is>
          <t>Yes for more than 2 years</t>
        </is>
      </c>
      <c r="AW334" s="31">
        <f>IF(AV334="Yes for more than 2 years",10,IF(AV334="Yes only for next 1 to 2 years",5,0))</f>
        <v/>
      </c>
      <c r="AX334" s="31" t="inlineStr">
        <is>
          <t>0 to 20</t>
        </is>
      </c>
      <c r="AY334" s="31">
        <f>IF(AX334="Above 40",20,IF(AX334="20 to 40",10,IF(AX334="0 to 20",-5,0)))</f>
        <v/>
      </c>
      <c r="AZ334" s="31" t="inlineStr">
        <is>
          <t>Between 50 to 75</t>
        </is>
      </c>
      <c r="BA334" s="31">
        <f>IF(AZ334="Between 50 to 75",10,IF(AZ334="Above 75",0,0))</f>
        <v/>
      </c>
      <c r="BB334" s="31" t="inlineStr">
        <is>
          <t>Stage 2</t>
        </is>
      </c>
      <c r="BC334" s="31">
        <f>IF(BB334="Stage 2",20,IF(BB334="Stage 1",0,IF(BB334="Stage 3",5,IF(BB334="Stage 4",-5,0))))</f>
        <v/>
      </c>
      <c r="BD334" s="31" t="inlineStr">
        <is>
          <t>Positive Trend</t>
        </is>
      </c>
      <c r="BE334" s="31">
        <f>IF(BD334="Positive Trend",20,IF(BD334="Negative Trend",-10,0))</f>
        <v/>
      </c>
      <c r="BF334" s="31" t="inlineStr">
        <is>
          <t>Uptrend</t>
        </is>
      </c>
      <c r="BG334" s="31">
        <f>IF(BF334="Uptrend",10,IF(BF334="Sideways",5,0))</f>
        <v/>
      </c>
      <c r="BH334" s="31" t="inlineStr">
        <is>
          <t>Uptrend</t>
        </is>
      </c>
      <c r="BI334" s="31">
        <f>IF(BH334="Uptrend",10,IF(BH334="Sideways",5,0))</f>
        <v/>
      </c>
      <c r="BJ334" s="31" t="inlineStr">
        <is>
          <t>Close to 52 week high or retracement</t>
        </is>
      </c>
      <c r="BK334" s="31">
        <f>IF(BJ334="Overhead supply in last 2 years in last 2 years",-5,IF(BJ334="Close to 52 week high or retracement",5,IF(BJ334="Blue sky scenario",10,IF(BJ334="Long term Downtrend",-10,0))))</f>
        <v/>
      </c>
      <c r="BL334" s="31" t="inlineStr">
        <is>
          <t>Yes</t>
        </is>
      </c>
      <c r="BM334" s="31">
        <f>IF(BL334="Yes",10,0)</f>
        <v/>
      </c>
      <c r="BN334" s="31" t="inlineStr">
        <is>
          <t>More than 20%</t>
        </is>
      </c>
      <c r="BO334" s="31">
        <f>IF(BN334="More than 20%",10,IF(BN334="Between 12 to 20%",5,IF(BN334="Less than 12%",0,0)))</f>
        <v/>
      </c>
      <c r="BP334" s="31" t="inlineStr">
        <is>
          <t>No</t>
        </is>
      </c>
      <c r="BQ334" s="31">
        <f>IF(BP334="No",10,0)</f>
        <v/>
      </c>
      <c r="BR334" s="31" t="inlineStr">
        <is>
          <t>Yes</t>
        </is>
      </c>
      <c r="BS334" s="31">
        <f>IF(BR334="NO",5,0)</f>
        <v/>
      </c>
      <c r="BT334" s="31" t="inlineStr">
        <is>
          <t>Above 2</t>
        </is>
      </c>
      <c r="BU334" s="31">
        <f>IF(BT334="Above 2",0,IF(BT334="Between 1.5 to 2",5,IF(BT334="Less than 1.5",10,0)))</f>
        <v/>
      </c>
      <c r="BV334" s="31" t="inlineStr">
        <is>
          <t>Above 70%</t>
        </is>
      </c>
      <c r="BW334" s="31">
        <f>IF(BV334="Above 70%",10,IF(BV334="Between 50% to 70%",5,IF(BV334="Less than 50%",0,IF(BV334="Negative",-10,IF(BV334="Less than 50% and Borrowings are increasing",-5,0)))))</f>
        <v/>
      </c>
      <c r="BX334" s="31" t="inlineStr">
        <is>
          <t>Less than 0.7</t>
        </is>
      </c>
      <c r="BY334" s="31">
        <f>IF(BX334="More than 1.2",-10,IF(BX334="Between 0.7 to 1.2",0,IF(BX334="Less than 0.7",10,0)))</f>
        <v/>
      </c>
      <c r="BZ334" s="31" t="inlineStr">
        <is>
          <t>No</t>
        </is>
      </c>
      <c r="CA334" s="31">
        <f>IF(BZ334="Yes",-10,0)</f>
        <v/>
      </c>
      <c r="CB334" s="31" t="inlineStr">
        <is>
          <t>Less than 15%</t>
        </is>
      </c>
      <c r="CC334" s="31">
        <f>IF(CB334="More than 15%",-10,IF(CB334="Less than 15%",10,0))</f>
        <v/>
      </c>
      <c r="CD334" s="31" t="inlineStr">
        <is>
          <t>No</t>
        </is>
      </c>
      <c r="CE334" s="31">
        <f>IF(CD334="Yes, more than 10%",-10,IF(CD334="No",10,0))</f>
        <v/>
      </c>
    </row>
    <row r="335">
      <c r="A335" s="31">
        <f>IF(B335=0,"",RANK(B335,$B$2:$B$372,0))</f>
        <v/>
      </c>
      <c r="B335" s="32">
        <f>SUM(N335,Y335,AA335,AC335,AE335,AG335,AI335,AK335,AM335,AO335,AQ335,AS335,AU335,AW335,AY335,BA335,BC335,BE335,BG335,BI335,BK335,BM335,BO335,BQ335,BS335,BU335,BW335,BY335,CA335,CC335,CE335)</f>
        <v/>
      </c>
      <c r="C335" s="31" t="inlineStr">
        <is>
          <t>HINDALCO</t>
        </is>
      </c>
      <c r="D335" s="31" t="inlineStr">
        <is>
          <t>Hindalco Industries Limited</t>
        </is>
      </c>
      <c r="E335" s="31" t="inlineStr">
        <is>
          <t>metals &amp; mining</t>
        </is>
      </c>
      <c r="F335" s="31" t="inlineStr">
        <is>
          <t>aluminium and aluminium products</t>
        </is>
      </c>
      <c r="G335" s="31" t="inlineStr">
        <is>
          <t>largecap</t>
        </is>
      </c>
      <c r="H335" s="32" t="n">
        <v>236194.74</v>
      </c>
      <c r="I335" s="32" t="n">
        <v>1053</v>
      </c>
      <c r="J335" s="32" t="n">
        <v>0.19</v>
      </c>
      <c r="K335" s="32" t="n">
        <v>2156881</v>
      </c>
      <c r="L335" s="31" t="inlineStr"/>
      <c r="M335" s="31" t="inlineStr"/>
      <c r="N335" s="32">
        <f>IF(M335="Underperforming",-5,IF(L335&gt;=95,15,IF(L335&gt;=90,10,IF(L335&gt;=80,5,0))))</f>
        <v/>
      </c>
      <c r="O335" s="32" t="n">
        <v>59.56</v>
      </c>
      <c r="P335" s="32" t="n">
        <v>30.85</v>
      </c>
      <c r="Q335" s="32" t="n">
        <v>949.37</v>
      </c>
      <c r="R335" s="31" t="inlineStr">
        <is>
          <t>Earnings / Momentum Support</t>
        </is>
      </c>
      <c r="S335" s="31" t="inlineStr">
        <is>
          <t>Nifty Metal</t>
        </is>
      </c>
      <c r="T335" s="32" t="inlineStr"/>
      <c r="U335" s="32" t="inlineStr"/>
      <c r="V335" s="32" t="inlineStr"/>
      <c r="W335" s="32" t="inlineStr"/>
      <c r="X335" s="31" t="inlineStr">
        <is>
          <t>Cyclical in an Upturn</t>
        </is>
      </c>
      <c r="Y335" s="31">
        <f>IF(X335="Growing Industry",10,IF(X335="Cyclical in an Upturn",5,0))</f>
        <v/>
      </c>
      <c r="Z335" s="31" t="inlineStr">
        <is>
          <t>Too Many Players with High ROCE</t>
        </is>
      </c>
      <c r="AA335" s="31">
        <f>IF(Z335="Monopoly",10,IF(Z335="Oligopoly",5,IF(Z335="Duopoly that cooperate",10,IF(Z335="Duopoly that compete",5,IF(Z335="Too many players with High ROCE",5,0)))))</f>
        <v/>
      </c>
      <c r="AB335" s="31" t="inlineStr">
        <is>
          <t>No</t>
        </is>
      </c>
      <c r="AC335" s="31">
        <f>IF(AB335="No",5,0)</f>
        <v/>
      </c>
      <c r="AD335" s="31" t="inlineStr">
        <is>
          <t>Tailwind</t>
        </is>
      </c>
      <c r="AE335" s="31">
        <f>IF(AD335="Tailwind",10,0)</f>
        <v/>
      </c>
      <c r="AF335" s="31" t="inlineStr">
        <is>
          <t>Cyclical</t>
        </is>
      </c>
      <c r="AG335" s="31">
        <f>IF(AF335="Structural (10 Years Consistency)",10,IF(AF335="Shallow Cyclical (2 to 3 years growth)",5,0))</f>
        <v/>
      </c>
      <c r="AH335" s="31" t="inlineStr">
        <is>
          <t>No</t>
        </is>
      </c>
      <c r="AI335" s="31">
        <f>IF(AH335="Yes due to Product Mix change or Operating Leverage",10,IF(AH335="Yes, these are peak margins",-5,IF(AH335="No",5,0)))</f>
        <v/>
      </c>
      <c r="AJ335" s="31" t="inlineStr">
        <is>
          <t>Volatile</t>
        </is>
      </c>
      <c r="AK335" s="31">
        <f>IF(AJ335="Stable",10,0)</f>
        <v/>
      </c>
      <c r="AL335" s="31" t="inlineStr">
        <is>
          <t>Yes</t>
        </is>
      </c>
      <c r="AM335" s="31">
        <f>IF(AL335="Yes",10,0)</f>
        <v/>
      </c>
      <c r="AN335" s="31" t="inlineStr">
        <is>
          <t>B2B</t>
        </is>
      </c>
      <c r="AO335" s="31">
        <f>IF(AN335="B2C",10,IF(AN335="B2B",5,0))</f>
        <v/>
      </c>
      <c r="AP335" s="31" t="inlineStr">
        <is>
          <t>No</t>
        </is>
      </c>
      <c r="AQ335" s="31">
        <f>IF(AP335="Yes",10,0)</f>
        <v/>
      </c>
      <c r="AR335" s="31" t="inlineStr">
        <is>
          <t>Higher One Time, Lower Annuity</t>
        </is>
      </c>
      <c r="AS335" s="31">
        <f>IF(AR335="Fully Annuity",10,IF(AR335="Higher Annuity, Lower One Time",5,IF(AR335="Higher One Time, Lower Annuity",3,0)))</f>
        <v/>
      </c>
      <c r="AT335" s="31" t="inlineStr">
        <is>
          <t>Good</t>
        </is>
      </c>
      <c r="AU335" s="31">
        <f>IF(AT335="Good",10,0)</f>
        <v/>
      </c>
      <c r="AV335" s="31" t="inlineStr">
        <is>
          <t>Yes for more than 2 years</t>
        </is>
      </c>
      <c r="AW335" s="31">
        <f>IF(AV335="Yes for more than 2 years",10,IF(AV335="Yes only for next 1 to 2 years",5,0))</f>
        <v/>
      </c>
      <c r="AX335" s="31" t="inlineStr">
        <is>
          <t>20 to 40</t>
        </is>
      </c>
      <c r="AY335" s="31">
        <f>IF(AX335="Above 40",20,IF(AX335="20 to 40",10,IF(AX335="0 to 20",-5,0)))</f>
        <v/>
      </c>
      <c r="AZ335" s="31" t="inlineStr">
        <is>
          <t>Between 50 to 75</t>
        </is>
      </c>
      <c r="BA335" s="31">
        <f>IF(AZ335="Between 50 to 75",10,IF(AZ335="Above 75",0,0))</f>
        <v/>
      </c>
      <c r="BB335" s="31" t="inlineStr">
        <is>
          <t>Stage 2</t>
        </is>
      </c>
      <c r="BC335" s="31">
        <f>IF(BB335="Stage 2",20,IF(BB335="Stage 1",0,IF(BB335="Stage 3",5,IF(BB335="Stage 4",-5,0))))</f>
        <v/>
      </c>
      <c r="BD335" s="31" t="inlineStr">
        <is>
          <t>Positive Trend</t>
        </is>
      </c>
      <c r="BE335" s="31">
        <f>IF(BD335="Positive Trend",20,IF(BD335="Negative Trend",-10,0))</f>
        <v/>
      </c>
      <c r="BF335" s="31" t="inlineStr">
        <is>
          <t>Uptrend</t>
        </is>
      </c>
      <c r="BG335" s="31">
        <f>IF(BF335="Uptrend",10,IF(BF335="Sideways",5,0))</f>
        <v/>
      </c>
      <c r="BH335" s="31" t="inlineStr">
        <is>
          <t>Uptrend</t>
        </is>
      </c>
      <c r="BI335" s="31">
        <f>IF(BH335="Uptrend",10,IF(BH335="Sideways",5,0))</f>
        <v/>
      </c>
      <c r="BJ335" s="31" t="inlineStr">
        <is>
          <t>Close to 52 week high or retracement</t>
        </is>
      </c>
      <c r="BK335" s="31">
        <f>IF(BJ335="Overhead supply in last 2 years in last 2 years",-5,IF(BJ335="Close to 52 week high or retracement",5,IF(BJ335="Blue sky scenario",10,IF(BJ335="Long term Downtrend",-10,0))))</f>
        <v/>
      </c>
      <c r="BL335" s="31" t="inlineStr">
        <is>
          <t>Yes</t>
        </is>
      </c>
      <c r="BM335" s="31">
        <f>IF(BL335="Yes",10,0)</f>
        <v/>
      </c>
      <c r="BN335" s="31" t="inlineStr">
        <is>
          <t>More than 20%</t>
        </is>
      </c>
      <c r="BO335" s="31">
        <f>IF(BN335="More than 20%",10,IF(BN335="Between 12 to 20%",5,IF(BN335="Less than 12%",0,0)))</f>
        <v/>
      </c>
      <c r="BP335" s="31" t="inlineStr">
        <is>
          <t>No</t>
        </is>
      </c>
      <c r="BQ335" s="31">
        <f>IF(BP335="No",10,0)</f>
        <v/>
      </c>
      <c r="BR335" s="31" t="inlineStr">
        <is>
          <t>No</t>
        </is>
      </c>
      <c r="BS335" s="31">
        <f>IF(BR335="NO",5,0)</f>
        <v/>
      </c>
      <c r="BT335" s="31" t="inlineStr">
        <is>
          <t>Less than 1.5</t>
        </is>
      </c>
      <c r="BU335" s="31">
        <f>IF(BT335="Above 2",0,IF(BT335="Between 1.5 to 2",5,IF(BT335="Less than 1.5",10,0)))</f>
        <v/>
      </c>
      <c r="BV335" s="31" t="inlineStr">
        <is>
          <t>Above 70%</t>
        </is>
      </c>
      <c r="BW335" s="31">
        <f>IF(BV335="Above 70%",10,IF(BV335="Between 50% to 70%",5,IF(BV335="Less than 50%",0,IF(BV335="Negative",-10,IF(BV335="Less than 50% and Borrowings are increasing",-5,0)))))</f>
        <v/>
      </c>
      <c r="BX335" s="31" t="inlineStr">
        <is>
          <t>Between 0.7 to 1.2</t>
        </is>
      </c>
      <c r="BY335" s="31">
        <f>IF(BX335="More than 1.2",-10,IF(BX335="Between 0.7 to 1.2",0,IF(BX335="Less than 0.7",10,0)))</f>
        <v/>
      </c>
      <c r="BZ335" s="31" t="inlineStr">
        <is>
          <t>No</t>
        </is>
      </c>
      <c r="CA335" s="31">
        <f>IF(BZ335="Yes",-10,0)</f>
        <v/>
      </c>
      <c r="CB335" s="31" t="inlineStr">
        <is>
          <t>Less than 15%</t>
        </is>
      </c>
      <c r="CC335" s="31">
        <f>IF(CB335="More than 15%",-10,IF(CB335="Less than 15%",10,0))</f>
        <v/>
      </c>
      <c r="CD335" s="31" t="inlineStr">
        <is>
          <t>No</t>
        </is>
      </c>
      <c r="CE335" s="31">
        <f>IF(CD335="Yes, more than 10%",-10,IF(CD335="No",10,0))</f>
        <v/>
      </c>
    </row>
    <row r="336">
      <c r="A336" s="31">
        <f>IF(B336=0,"",RANK(B336,$B$2:$B$372,0))</f>
        <v/>
      </c>
      <c r="B336" s="32">
        <f>SUM(N336,Y336,AA336,AC336,AE336,AG336,AI336,AK336,AM336,AO336,AQ336,AS336,AU336,AW336,AY336,BA336,BC336,BE336,BG336,BI336,BK336,BM336,BO336,BQ336,BS336,BU336,BW336,BY336,CA336,CC336,CE336)</f>
        <v/>
      </c>
      <c r="C336" s="31" t="inlineStr">
        <is>
          <t>KALYANKJIL</t>
        </is>
      </c>
      <c r="D336" s="31" t="inlineStr">
        <is>
          <t>Kalyan Jewellers India Ltd</t>
        </is>
      </c>
      <c r="E336" s="31" t="inlineStr">
        <is>
          <t>consumer discretionary</t>
        </is>
      </c>
      <c r="F336" s="31" t="inlineStr">
        <is>
          <t>diamond cutting / jewellery</t>
        </is>
      </c>
      <c r="G336" s="31" t="inlineStr">
        <is>
          <t>largecap</t>
        </is>
      </c>
      <c r="H336" s="32" t="n">
        <v>63265.67</v>
      </c>
      <c r="I336" s="32" t="n">
        <v>610.6</v>
      </c>
      <c r="J336" s="32" t="n">
        <v>-0.33</v>
      </c>
      <c r="K336" s="32" t="n">
        <v>4173127</v>
      </c>
      <c r="L336" s="31" t="n">
        <v>76</v>
      </c>
      <c r="M336" s="31" t="inlineStr">
        <is>
          <t>Outperforming</t>
        </is>
      </c>
      <c r="N336" s="32">
        <f>IF(M336="Underperforming",-5,IF(L336&gt;=95,15,IF(L336&gt;=90,10,IF(L336&gt;=80,5,0))))</f>
        <v/>
      </c>
      <c r="O336" s="32" t="n">
        <v>71.48</v>
      </c>
      <c r="P336" s="32" t="n">
        <v>36.81</v>
      </c>
      <c r="Q336" s="32" t="n">
        <v>472.93</v>
      </c>
      <c r="R336" s="31" t="inlineStr">
        <is>
          <t>Near 52W High Breakout</t>
        </is>
      </c>
      <c r="S336" s="31" t="inlineStr">
        <is>
          <t>Nifty 500</t>
        </is>
      </c>
      <c r="T336" s="32" t="n">
        <v>4.88</v>
      </c>
      <c r="U336" s="32" t="n">
        <v>21.47</v>
      </c>
      <c r="V336" s="32" t="n">
        <v>15.82</v>
      </c>
      <c r="W336" s="32" t="n">
        <v>22.44</v>
      </c>
      <c r="X336" s="31" t="inlineStr">
        <is>
          <t>Growing Industry</t>
        </is>
      </c>
      <c r="Y336" s="31">
        <f>IF(X336="Growing Industry",10,IF(X336="Cyclical in an Upturn",5,0))</f>
        <v/>
      </c>
      <c r="Z336" s="31" t="inlineStr">
        <is>
          <t>Too Many Players with High ROCE</t>
        </is>
      </c>
      <c r="AA336" s="31">
        <f>IF(Z336="Monopoly",10,IF(Z336="Oligopoly",5,IF(Z336="Duopoly that cooperate",10,IF(Z336="Duopoly that compete",5,IF(Z336="Too many players with High ROCE",5,0)))))</f>
        <v/>
      </c>
      <c r="AB336" s="31" t="inlineStr">
        <is>
          <t>No</t>
        </is>
      </c>
      <c r="AC336" s="31">
        <f>IF(AB336="No",5,0)</f>
        <v/>
      </c>
      <c r="AD336" s="31" t="inlineStr">
        <is>
          <t>Tailwind</t>
        </is>
      </c>
      <c r="AE336" s="31">
        <f>IF(AD336="Tailwind",10,0)</f>
        <v/>
      </c>
      <c r="AF336" s="31" t="inlineStr">
        <is>
          <t>Structural (10 Years Consistency)</t>
        </is>
      </c>
      <c r="AG336" s="31">
        <f>IF(AF336="Structural (10 Years Consistency)",10,IF(AF336="Shallow Cyclical (2 to 3 years growth)",5,0))</f>
        <v/>
      </c>
      <c r="AH336" s="31" t="inlineStr">
        <is>
          <t>No</t>
        </is>
      </c>
      <c r="AI336" s="31">
        <f>IF(AH336="Yes due to Product Mix change or Operating Leverage",10,IF(AH336="Yes, these are peak margins",-5,IF(AH336="No",5,0)))</f>
        <v/>
      </c>
      <c r="AJ336" s="31" t="inlineStr">
        <is>
          <t>Stable</t>
        </is>
      </c>
      <c r="AK336" s="31">
        <f>IF(AJ336="Stable",10,0)</f>
        <v/>
      </c>
      <c r="AL336" s="31" t="inlineStr">
        <is>
          <t>Yes</t>
        </is>
      </c>
      <c r="AM336" s="31">
        <f>IF(AL336="Yes",10,0)</f>
        <v/>
      </c>
      <c r="AN336" s="31" t="inlineStr">
        <is>
          <t>B2B</t>
        </is>
      </c>
      <c r="AO336" s="31">
        <f>IF(AN336="B2C",10,IF(AN336="B2B",5,0))</f>
        <v/>
      </c>
      <c r="AP336" s="31" t="inlineStr">
        <is>
          <t>Yes</t>
        </is>
      </c>
      <c r="AQ336" s="31">
        <f>IF(AP336="Yes",10,0)</f>
        <v/>
      </c>
      <c r="AR336" s="31" t="inlineStr">
        <is>
          <t>Higher One Time, Lower Annuity</t>
        </is>
      </c>
      <c r="AS336" s="31">
        <f>IF(AR336="Fully Annuity",10,IF(AR336="Higher Annuity, Lower One Time",5,IF(AR336="Higher One Time, Lower Annuity",3,0)))</f>
        <v/>
      </c>
      <c r="AT336" s="31" t="inlineStr">
        <is>
          <t>Good</t>
        </is>
      </c>
      <c r="AU336" s="31">
        <f>IF(AT336="Good",10,0)</f>
        <v/>
      </c>
      <c r="AV336" s="31" t="inlineStr">
        <is>
          <t>Yes for more than 2 years</t>
        </is>
      </c>
      <c r="AW336" s="31">
        <f>IF(AV336="Yes for more than 2 years",10,IF(AV336="Yes only for next 1 to 2 years",5,0))</f>
        <v/>
      </c>
      <c r="AX336" s="31" t="inlineStr">
        <is>
          <t>20 to 40</t>
        </is>
      </c>
      <c r="AY336" s="31">
        <f>IF(AX336="Above 40",20,IF(AX336="20 to 40",10,IF(AX336="0 to 20",-5,0)))</f>
        <v/>
      </c>
      <c r="AZ336" s="31" t="inlineStr">
        <is>
          <t>Between 50 to 75</t>
        </is>
      </c>
      <c r="BA336" s="31">
        <f>IF(AZ336="Between 50 to 75",10,IF(AZ336="Above 75",0,0))</f>
        <v/>
      </c>
      <c r="BB336" s="31" t="inlineStr">
        <is>
          <t>Stage 2</t>
        </is>
      </c>
      <c r="BC336" s="31">
        <f>IF(BB336="Stage 2",20,IF(BB336="Stage 1",0,IF(BB336="Stage 3",5,IF(BB336="Stage 4",-5,0))))</f>
        <v/>
      </c>
      <c r="BD336" s="31" t="inlineStr">
        <is>
          <t>Negative Trend</t>
        </is>
      </c>
      <c r="BE336" s="31">
        <f>IF(BD336="Positive Trend",20,IF(BD336="Negative Trend",-10,0))</f>
        <v/>
      </c>
      <c r="BF336" s="31" t="inlineStr">
        <is>
          <t>Uptrend</t>
        </is>
      </c>
      <c r="BG336" s="31">
        <f>IF(BF336="Uptrend",10,IF(BF336="Sideways",5,0))</f>
        <v/>
      </c>
      <c r="BH336" s="31" t="inlineStr">
        <is>
          <t>Uptrend</t>
        </is>
      </c>
      <c r="BI336" s="31">
        <f>IF(BH336="Uptrend",10,IF(BH336="Sideways",5,0))</f>
        <v/>
      </c>
      <c r="BJ336" s="31" t="inlineStr">
        <is>
          <t>Close to 52 week high or retracement</t>
        </is>
      </c>
      <c r="BK336" s="31">
        <f>IF(BJ336="Overhead supply in last 2 years in last 2 years",-5,IF(BJ336="Close to 52 week high or retracement",5,IF(BJ336="Blue sky scenario",10,IF(BJ336="Long term Downtrend",-10,0))))</f>
        <v/>
      </c>
      <c r="BL336" s="31" t="inlineStr">
        <is>
          <t>Yes</t>
        </is>
      </c>
      <c r="BM336" s="31">
        <f>IF(BL336="Yes",10,0)</f>
        <v/>
      </c>
      <c r="BN336" s="31" t="inlineStr">
        <is>
          <t>More than 20%</t>
        </is>
      </c>
      <c r="BO336" s="31">
        <f>IF(BN336="More than 20%",10,IF(BN336="Between 12 to 20%",5,IF(BN336="Less than 12%",0,0)))</f>
        <v/>
      </c>
      <c r="BP336" s="31" t="inlineStr">
        <is>
          <t>No</t>
        </is>
      </c>
      <c r="BQ336" s="31">
        <f>IF(BP336="No",10,0)</f>
        <v/>
      </c>
      <c r="BR336" s="31" t="inlineStr">
        <is>
          <t>Yes</t>
        </is>
      </c>
      <c r="BS336" s="31">
        <f>IF(BR336="NO",5,0)</f>
        <v/>
      </c>
      <c r="BT336" s="31" t="inlineStr">
        <is>
          <t>Less than 1.5</t>
        </is>
      </c>
      <c r="BU336" s="31">
        <f>IF(BT336="Above 2",0,IF(BT336="Between 1.5 to 2",5,IF(BT336="Less than 1.5",10,0)))</f>
        <v/>
      </c>
      <c r="BV336" s="31" t="inlineStr">
        <is>
          <t>Above 70%</t>
        </is>
      </c>
      <c r="BW336" s="31">
        <f>IF(BV336="Above 70%",10,IF(BV336="Between 50% to 70%",5,IF(BV336="Less than 50%",0,IF(BV336="Negative",-10,IF(BV336="Less than 50% and Borrowings are increasing",-5,0)))))</f>
        <v/>
      </c>
      <c r="BX336" s="31" t="inlineStr">
        <is>
          <t>Between 0.7 to 1.2</t>
        </is>
      </c>
      <c r="BY336" s="31">
        <f>IF(BX336="More than 1.2",-10,IF(BX336="Between 0.7 to 1.2",0,IF(BX336="Less than 0.7",10,0)))</f>
        <v/>
      </c>
      <c r="BZ336" s="31" t="inlineStr">
        <is>
          <t>No</t>
        </is>
      </c>
      <c r="CA336" s="31">
        <f>IF(BZ336="Yes",-10,0)</f>
        <v/>
      </c>
      <c r="CB336" s="31" t="inlineStr">
        <is>
          <t>Less than 15%</t>
        </is>
      </c>
      <c r="CC336" s="31">
        <f>IF(CB336="More than 15%",-10,IF(CB336="Less than 15%",10,0))</f>
        <v/>
      </c>
      <c r="CD336" s="31" t="inlineStr">
        <is>
          <t>No</t>
        </is>
      </c>
      <c r="CE336" s="31">
        <f>IF(CD336="Yes, more than 10%",-10,IF(CD336="No",10,0))</f>
        <v/>
      </c>
    </row>
    <row r="337">
      <c r="A337" s="31">
        <f>IF(B337=0,"",RANK(B337,$B$2:$B$372,0))</f>
        <v/>
      </c>
      <c r="B337" s="32">
        <f>SUM(N337,Y337,AA337,AC337,AE337,AG337,AI337,AK337,AM337,AO337,AQ337,AS337,AU337,AW337,AY337,BA337,BC337,BE337,BG337,BI337,BK337,BM337,BO337,BQ337,BS337,BU337,BW337,BY337,CA337,CC337,CE337)</f>
        <v/>
      </c>
      <c r="C337" s="31" t="inlineStr">
        <is>
          <t>SHANTIGEAR</t>
        </is>
      </c>
      <c r="D337" s="31" t="inlineStr">
        <is>
          <t>Shanthi Gears Limited</t>
        </is>
      </c>
      <c r="E337" s="31" t="inlineStr">
        <is>
          <t>industrials</t>
        </is>
      </c>
      <c r="F337" s="31" t="inlineStr">
        <is>
          <t>engineering</t>
        </is>
      </c>
      <c r="G337" s="31" t="inlineStr">
        <is>
          <t>smallcap</t>
        </is>
      </c>
      <c r="H337" s="32" t="n">
        <v>4279.98</v>
      </c>
      <c r="I337" s="32" t="n">
        <v>555.45</v>
      </c>
      <c r="J337" s="32" t="n">
        <v>-0.44</v>
      </c>
      <c r="K337" s="32" t="n">
        <v>1853384</v>
      </c>
      <c r="L337" s="31" t="n">
        <v>24</v>
      </c>
      <c r="M337" s="31" t="inlineStr">
        <is>
          <t>Outperforming</t>
        </is>
      </c>
      <c r="N337" s="32">
        <f>IF(M337="Underperforming",-5,IF(L337&gt;=95,15,IF(L337&gt;=90,10,IF(L337&gt;=80,5,0))))</f>
        <v/>
      </c>
      <c r="O337" s="32" t="n">
        <v>73.34</v>
      </c>
      <c r="P337" s="32" t="n">
        <v>18.55</v>
      </c>
      <c r="Q337" s="32" t="n">
        <v>459.67</v>
      </c>
      <c r="R337" s="31" t="inlineStr">
        <is>
          <t>Volume Spike &amp; Near 52W High Breakout</t>
        </is>
      </c>
      <c r="S337" s="31" t="inlineStr">
        <is>
          <t>Nifty 50</t>
        </is>
      </c>
      <c r="T337" s="32" t="n">
        <v>-0.9</v>
      </c>
      <c r="U337" s="32" t="n">
        <v>1.52</v>
      </c>
      <c r="V337" s="32" t="n">
        <v>2.44</v>
      </c>
      <c r="W337" s="32" t="n">
        <v>6.86</v>
      </c>
      <c r="X337" s="31" t="inlineStr">
        <is>
          <t>Cyclical in an Upturn</t>
        </is>
      </c>
      <c r="Y337" s="31">
        <f>IF(X337="Growing Industry",10,IF(X337="Cyclical in an Upturn",5,0))</f>
        <v/>
      </c>
      <c r="Z337" s="31" t="inlineStr">
        <is>
          <t>Too Many Players with High ROCE</t>
        </is>
      </c>
      <c r="AA337" s="31">
        <f>IF(Z337="Monopoly",10,IF(Z337="Oligopoly",5,IF(Z337="Duopoly that cooperate",10,IF(Z337="Duopoly that compete",5,IF(Z337="Too many players with High ROCE",5,0)))))</f>
        <v/>
      </c>
      <c r="AB337" s="31" t="inlineStr">
        <is>
          <t>No</t>
        </is>
      </c>
      <c r="AC337" s="31">
        <f>IF(AB337="No",5,0)</f>
        <v/>
      </c>
      <c r="AD337" s="31" t="inlineStr">
        <is>
          <t>Tailwind</t>
        </is>
      </c>
      <c r="AE337" s="31">
        <f>IF(AD337="Tailwind",10,0)</f>
        <v/>
      </c>
      <c r="AF337" s="31" t="inlineStr">
        <is>
          <t>Structural (10 Years Consistency)</t>
        </is>
      </c>
      <c r="AG337" s="31">
        <f>IF(AF337="Structural (10 Years Consistency)",10,IF(AF337="Shallow Cyclical (2 to 3 years growth)",5,0))</f>
        <v/>
      </c>
      <c r="AH337" s="31" t="inlineStr">
        <is>
          <t>No</t>
        </is>
      </c>
      <c r="AI337" s="31">
        <f>IF(AH337="Yes due to Product Mix change or Operating Leverage",10,IF(AH337="Yes, these are peak margins",-5,IF(AH337="No",5,0)))</f>
        <v/>
      </c>
      <c r="AJ337" s="31" t="inlineStr">
        <is>
          <t>Stable</t>
        </is>
      </c>
      <c r="AK337" s="31">
        <f>IF(AJ337="Stable",10,0)</f>
        <v/>
      </c>
      <c r="AL337" s="31" t="inlineStr">
        <is>
          <t>Yes</t>
        </is>
      </c>
      <c r="AM337" s="31">
        <f>IF(AL337="Yes",10,0)</f>
        <v/>
      </c>
      <c r="AN337" s="31" t="inlineStr">
        <is>
          <t>B2B</t>
        </is>
      </c>
      <c r="AO337" s="31">
        <f>IF(AN337="B2C",10,IF(AN337="B2B",5,0))</f>
        <v/>
      </c>
      <c r="AP337" s="31" t="inlineStr">
        <is>
          <t>Yes</t>
        </is>
      </c>
      <c r="AQ337" s="31">
        <f>IF(AP337="Yes",10,0)</f>
        <v/>
      </c>
      <c r="AR337" s="31" t="inlineStr">
        <is>
          <t>Higher One Time, Lower Annuity</t>
        </is>
      </c>
      <c r="AS337" s="31">
        <f>IF(AR337="Fully Annuity",10,IF(AR337="Higher Annuity, Lower One Time",5,IF(AR337="Higher One Time, Lower Annuity",3,0)))</f>
        <v/>
      </c>
      <c r="AT337" s="31" t="inlineStr">
        <is>
          <t>Good</t>
        </is>
      </c>
      <c r="AU337" s="31">
        <f>IF(AT337="Good",10,0)</f>
        <v/>
      </c>
      <c r="AV337" s="31" t="inlineStr">
        <is>
          <t>Yes for more than 2 years</t>
        </is>
      </c>
      <c r="AW337" s="31">
        <f>IF(AV337="Yes for more than 2 years",10,IF(AV337="Yes only for next 1 to 2 years",5,0))</f>
        <v/>
      </c>
      <c r="AX337" s="31" t="inlineStr">
        <is>
          <t>0 to 20</t>
        </is>
      </c>
      <c r="AY337" s="31">
        <f>IF(AX337="Above 40",20,IF(AX337="20 to 40",10,IF(AX337="0 to 20",-5,0)))</f>
        <v/>
      </c>
      <c r="AZ337" s="31" t="inlineStr">
        <is>
          <t>Between 50 to 75</t>
        </is>
      </c>
      <c r="BA337" s="31">
        <f>IF(AZ337="Between 50 to 75",10,IF(AZ337="Above 75",0,0))</f>
        <v/>
      </c>
      <c r="BB337" s="31" t="inlineStr">
        <is>
          <t>Stage 2</t>
        </is>
      </c>
      <c r="BC337" s="31">
        <f>IF(BB337="Stage 2",20,IF(BB337="Stage 1",0,IF(BB337="Stage 3",5,IF(BB337="Stage 4",-5,0))))</f>
        <v/>
      </c>
      <c r="BD337" s="31" t="inlineStr">
        <is>
          <t>Positive Trend</t>
        </is>
      </c>
      <c r="BE337" s="31">
        <f>IF(BD337="Positive Trend",20,IF(BD337="Negative Trend",-10,0))</f>
        <v/>
      </c>
      <c r="BF337" s="31" t="inlineStr">
        <is>
          <t>Uptrend</t>
        </is>
      </c>
      <c r="BG337" s="31">
        <f>IF(BF337="Uptrend",10,IF(BF337="Sideways",5,0))</f>
        <v/>
      </c>
      <c r="BH337" s="31" t="inlineStr">
        <is>
          <t>Uptrend</t>
        </is>
      </c>
      <c r="BI337" s="31">
        <f>IF(BH337="Uptrend",10,IF(BH337="Sideways",5,0))</f>
        <v/>
      </c>
      <c r="BJ337" s="31" t="inlineStr">
        <is>
          <t>Close to 52 week high or retracement</t>
        </is>
      </c>
      <c r="BK337" s="31">
        <f>IF(BJ337="Overhead supply in last 2 years in last 2 years",-5,IF(BJ337="Close to 52 week high or retracement",5,IF(BJ337="Blue sky scenario",10,IF(BJ337="Long term Downtrend",-10,0))))</f>
        <v/>
      </c>
      <c r="BL337" s="31" t="inlineStr">
        <is>
          <t>Yes</t>
        </is>
      </c>
      <c r="BM337" s="31">
        <f>IF(BL337="Yes",10,0)</f>
        <v/>
      </c>
      <c r="BN337" s="31" t="inlineStr">
        <is>
          <t>Less than 12%</t>
        </is>
      </c>
      <c r="BO337" s="31">
        <f>IF(BN337="More than 20%",10,IF(BN337="Between 12 to 20%",5,IF(BN337="Less than 12%",0,0)))</f>
        <v/>
      </c>
      <c r="BP337" s="31" t="inlineStr">
        <is>
          <t>No</t>
        </is>
      </c>
      <c r="BQ337" s="31">
        <f>IF(BP337="No",10,0)</f>
        <v/>
      </c>
      <c r="BR337" s="31" t="inlineStr">
        <is>
          <t>Yes</t>
        </is>
      </c>
      <c r="BS337" s="31">
        <f>IF(BR337="NO",5,0)</f>
        <v/>
      </c>
      <c r="BT337" s="31" t="inlineStr">
        <is>
          <t>Above 2</t>
        </is>
      </c>
      <c r="BU337" s="31">
        <f>IF(BT337="Above 2",0,IF(BT337="Between 1.5 to 2",5,IF(BT337="Less than 1.5",10,0)))</f>
        <v/>
      </c>
      <c r="BV337" s="31" t="inlineStr">
        <is>
          <t>Above 70%</t>
        </is>
      </c>
      <c r="BW337" s="31">
        <f>IF(BV337="Above 70%",10,IF(BV337="Between 50% to 70%",5,IF(BV337="Less than 50%",0,IF(BV337="Negative",-10,IF(BV337="Less than 50% and Borrowings are increasing",-5,0)))))</f>
        <v/>
      </c>
      <c r="BX337" s="31" t="inlineStr">
        <is>
          <t>Less than 0.7</t>
        </is>
      </c>
      <c r="BY337" s="31">
        <f>IF(BX337="More than 1.2",-10,IF(BX337="Between 0.7 to 1.2",0,IF(BX337="Less than 0.7",10,0)))</f>
        <v/>
      </c>
      <c r="BZ337" s="31" t="inlineStr">
        <is>
          <t>No</t>
        </is>
      </c>
      <c r="CA337" s="31">
        <f>IF(BZ337="Yes",-10,0)</f>
        <v/>
      </c>
      <c r="CB337" s="31" t="inlineStr">
        <is>
          <t>Less than 15%</t>
        </is>
      </c>
      <c r="CC337" s="31">
        <f>IF(CB337="More than 15%",-10,IF(CB337="Less than 15%",10,0))</f>
        <v/>
      </c>
      <c r="CD337" s="31" t="inlineStr">
        <is>
          <t>No</t>
        </is>
      </c>
      <c r="CE337" s="31">
        <f>IF(CD337="Yes, more than 10%",-10,IF(CD337="No",10,0))</f>
        <v/>
      </c>
    </row>
    <row r="338">
      <c r="A338" s="31">
        <f>IF(B338=0,"",RANK(B338,$B$2:$B$372,0))</f>
        <v/>
      </c>
      <c r="B338" s="32">
        <f>SUM(N338,Y338,AA338,AC338,AE338,AG338,AI338,AK338,AM338,AO338,AQ338,AS338,AU338,AW338,AY338,BA338,BC338,BE338,BG338,BI338,BK338,BM338,BO338,BQ338,BS338,BU338,BW338,BY338,CA338,CC338,CE338)</f>
        <v/>
      </c>
      <c r="C338" s="31" t="inlineStr">
        <is>
          <t>ASTRAL</t>
        </is>
      </c>
      <c r="D338" s="31" t="inlineStr">
        <is>
          <t>Astral Ltd</t>
        </is>
      </c>
      <c r="E338" s="31" t="inlineStr">
        <is>
          <t>plastic products</t>
        </is>
      </c>
      <c r="F338" s="31" t="inlineStr">
        <is>
          <t>plastics products</t>
        </is>
      </c>
      <c r="G338" s="31" t="inlineStr">
        <is>
          <t>largecap</t>
        </is>
      </c>
      <c r="H338" s="32" t="n">
        <v>41372.13</v>
      </c>
      <c r="I338" s="32" t="n">
        <v>1526.1</v>
      </c>
      <c r="J338" s="32" t="n">
        <v>-0.9</v>
      </c>
      <c r="K338" s="32" t="n">
        <v>405884</v>
      </c>
      <c r="L338" s="31" t="n">
        <v>6</v>
      </c>
      <c r="M338" s="31" t="inlineStr">
        <is>
          <t>Outperforming</t>
        </is>
      </c>
      <c r="N338" s="32">
        <f>IF(M338="Underperforming",-5,IF(L338&gt;=95,15,IF(L338&gt;=90,10,IF(L338&gt;=80,5,0))))</f>
        <v/>
      </c>
      <c r="O338" s="32" t="n">
        <v>52.4</v>
      </c>
      <c r="P338" s="32" t="n">
        <v>20.97</v>
      </c>
      <c r="Q338" s="32" t="n">
        <v>1299.42</v>
      </c>
      <c r="R338" s="31" t="inlineStr">
        <is>
          <t>Earnings / Momentum Support</t>
        </is>
      </c>
      <c r="S338" s="31" t="inlineStr">
        <is>
          <t>Nifty 500</t>
        </is>
      </c>
      <c r="T338" s="32" t="n">
        <v>4.88</v>
      </c>
      <c r="U338" s="32" t="n">
        <v>12.51</v>
      </c>
      <c r="V338" s="32" t="n">
        <v>7.28</v>
      </c>
      <c r="W338" s="32" t="n">
        <v>2.03</v>
      </c>
      <c r="X338" s="31" t="inlineStr">
        <is>
          <t>Growing Industry</t>
        </is>
      </c>
      <c r="Y338" s="31">
        <f>IF(X338="Growing Industry",10,IF(X338="Cyclical in an Upturn",5,0))</f>
        <v/>
      </c>
      <c r="Z338" s="31" t="inlineStr">
        <is>
          <t>Too Many Players with High ROCE</t>
        </is>
      </c>
      <c r="AA338" s="31">
        <f>IF(Z338="Monopoly",10,IF(Z338="Oligopoly",5,IF(Z338="Duopoly that cooperate",10,IF(Z338="Duopoly that compete",5,IF(Z338="Too many players with High ROCE",5,0)))))</f>
        <v/>
      </c>
      <c r="AB338" s="31" t="inlineStr">
        <is>
          <t>No</t>
        </is>
      </c>
      <c r="AC338" s="31">
        <f>IF(AB338="No",5,0)</f>
        <v/>
      </c>
      <c r="AD338" s="31" t="inlineStr">
        <is>
          <t>Headwind</t>
        </is>
      </c>
      <c r="AE338" s="31">
        <f>IF(AD338="Tailwind",10,0)</f>
        <v/>
      </c>
      <c r="AF338" s="31" t="inlineStr">
        <is>
          <t>Structural (10 Years Consistency)</t>
        </is>
      </c>
      <c r="AG338" s="31">
        <f>IF(AF338="Structural (10 Years Consistency)",10,IF(AF338="Shallow Cyclical (2 to 3 years growth)",5,0))</f>
        <v/>
      </c>
      <c r="AH338" s="31" t="inlineStr">
        <is>
          <t>No</t>
        </is>
      </c>
      <c r="AI338" s="31">
        <f>IF(AH338="Yes due to Product Mix change or Operating Leverage",10,IF(AH338="Yes, these are peak margins",-5,IF(AH338="No",5,0)))</f>
        <v/>
      </c>
      <c r="AJ338" s="31" t="inlineStr">
        <is>
          <t>Stable</t>
        </is>
      </c>
      <c r="AK338" s="31">
        <f>IF(AJ338="Stable",10,0)</f>
        <v/>
      </c>
      <c r="AL338" s="31" t="inlineStr">
        <is>
          <t>Yes</t>
        </is>
      </c>
      <c r="AM338" s="31">
        <f>IF(AL338="Yes",10,0)</f>
        <v/>
      </c>
      <c r="AN338" s="31" t="inlineStr">
        <is>
          <t>B2B</t>
        </is>
      </c>
      <c r="AO338" s="31">
        <f>IF(AN338="B2C",10,IF(AN338="B2B",5,0))</f>
        <v/>
      </c>
      <c r="AP338" s="31" t="inlineStr">
        <is>
          <t>No</t>
        </is>
      </c>
      <c r="AQ338" s="31">
        <f>IF(AP338="Yes",10,0)</f>
        <v/>
      </c>
      <c r="AR338" s="31" t="inlineStr">
        <is>
          <t>Higher One Time, Lower Annuity</t>
        </is>
      </c>
      <c r="AS338" s="31">
        <f>IF(AR338="Fully Annuity",10,IF(AR338="Higher Annuity, Lower One Time",5,IF(AR338="Higher One Time, Lower Annuity",3,0)))</f>
        <v/>
      </c>
      <c r="AT338" s="31" t="inlineStr">
        <is>
          <t>Good</t>
        </is>
      </c>
      <c r="AU338" s="31">
        <f>IF(AT338="Good",10,0)</f>
        <v/>
      </c>
      <c r="AV338" s="31" t="inlineStr">
        <is>
          <t>Yes for more than 2 years</t>
        </is>
      </c>
      <c r="AW338" s="31">
        <f>IF(AV338="Yes for more than 2 years",10,IF(AV338="Yes only for next 1 to 2 years",5,0))</f>
        <v/>
      </c>
      <c r="AX338" s="31" t="inlineStr">
        <is>
          <t>20 to 40</t>
        </is>
      </c>
      <c r="AY338" s="31">
        <f>IF(AX338="Above 40",20,IF(AX338="20 to 40",10,IF(AX338="0 to 20",-5,0)))</f>
        <v/>
      </c>
      <c r="AZ338" s="31" t="inlineStr">
        <is>
          <t>Between 50 to 75</t>
        </is>
      </c>
      <c r="BA338" s="31">
        <f>IF(AZ338="Between 50 to 75",10,IF(AZ338="Above 75",0,0))</f>
        <v/>
      </c>
      <c r="BB338" s="31" t="inlineStr">
        <is>
          <t>Stage 1</t>
        </is>
      </c>
      <c r="BC338" s="31">
        <f>IF(BB338="Stage 2",20,IF(BB338="Stage 1",0,IF(BB338="Stage 3",5,IF(BB338="Stage 4",-5,0))))</f>
        <v/>
      </c>
      <c r="BD338" s="31" t="inlineStr">
        <is>
          <t>Positive Trend</t>
        </is>
      </c>
      <c r="BE338" s="31">
        <f>IF(BD338="Positive Trend",20,IF(BD338="Negative Trend",-10,0))</f>
        <v/>
      </c>
      <c r="BF338" s="31" t="inlineStr">
        <is>
          <t>Uptrend</t>
        </is>
      </c>
      <c r="BG338" s="31">
        <f>IF(BF338="Uptrend",10,IF(BF338="Sideways",5,0))</f>
        <v/>
      </c>
      <c r="BH338" s="31" t="inlineStr">
        <is>
          <t>Uptrend</t>
        </is>
      </c>
      <c r="BI338" s="31">
        <f>IF(BH338="Uptrend",10,IF(BH338="Sideways",5,0))</f>
        <v/>
      </c>
      <c r="BJ338" s="31" t="inlineStr">
        <is>
          <t>Close to 52 week high or retracement</t>
        </is>
      </c>
      <c r="BK338" s="31">
        <f>IF(BJ338="Overhead supply in last 2 years in last 2 years",-5,IF(BJ338="Close to 52 week high or retracement",5,IF(BJ338="Blue sky scenario",10,IF(BJ338="Long term Downtrend",-10,0))))</f>
        <v/>
      </c>
      <c r="BL338" s="31" t="inlineStr">
        <is>
          <t>Yes</t>
        </is>
      </c>
      <c r="BM338" s="31">
        <f>IF(BL338="Yes",10,0)</f>
        <v/>
      </c>
      <c r="BN338" s="31" t="inlineStr">
        <is>
          <t>More than 20%</t>
        </is>
      </c>
      <c r="BO338" s="31">
        <f>IF(BN338="More than 20%",10,IF(BN338="Between 12 to 20%",5,IF(BN338="Less than 12%",0,0)))</f>
        <v/>
      </c>
      <c r="BP338" s="31" t="inlineStr">
        <is>
          <t>No</t>
        </is>
      </c>
      <c r="BQ338" s="31">
        <f>IF(BP338="No",10,0)</f>
        <v/>
      </c>
      <c r="BR338" s="31" t="inlineStr">
        <is>
          <t>Yes</t>
        </is>
      </c>
      <c r="BS338" s="31">
        <f>IF(BR338="NO",5,0)</f>
        <v/>
      </c>
      <c r="BT338" s="31" t="inlineStr">
        <is>
          <t>Less than 1.5</t>
        </is>
      </c>
      <c r="BU338" s="31">
        <f>IF(BT338="Above 2",0,IF(BT338="Between 1.5 to 2",5,IF(BT338="Less than 1.5",10,0)))</f>
        <v/>
      </c>
      <c r="BV338" s="31" t="inlineStr">
        <is>
          <t>Above 70%</t>
        </is>
      </c>
      <c r="BW338" s="31">
        <f>IF(BV338="Above 70%",10,IF(BV338="Between 50% to 70%",5,IF(BV338="Less than 50%",0,IF(BV338="Negative",-10,IF(BV338="Less than 50% and Borrowings are increasing",-5,0)))))</f>
        <v/>
      </c>
      <c r="BX338" s="31" t="inlineStr">
        <is>
          <t>Less than 0.7</t>
        </is>
      </c>
      <c r="BY338" s="31">
        <f>IF(BX338="More than 1.2",-10,IF(BX338="Between 0.7 to 1.2",0,IF(BX338="Less than 0.7",10,0)))</f>
        <v/>
      </c>
      <c r="BZ338" s="31" t="inlineStr">
        <is>
          <t>No</t>
        </is>
      </c>
      <c r="CA338" s="31">
        <f>IF(BZ338="Yes",-10,0)</f>
        <v/>
      </c>
      <c r="CB338" s="31" t="inlineStr">
        <is>
          <t>Less than 15%</t>
        </is>
      </c>
      <c r="CC338" s="31">
        <f>IF(CB338="More than 15%",-10,IF(CB338="Less than 15%",10,0))</f>
        <v/>
      </c>
      <c r="CD338" s="31" t="inlineStr">
        <is>
          <t>No</t>
        </is>
      </c>
      <c r="CE338" s="31">
        <f>IF(CD338="Yes, more than 10%",-10,IF(CD338="No",10,0))</f>
        <v/>
      </c>
    </row>
    <row r="339">
      <c r="A339" s="31">
        <f>IF(B339=0,"",RANK(B339,$B$2:$B$372,0))</f>
        <v/>
      </c>
      <c r="B339" s="32">
        <f>SUM(N339,Y339,AA339,AC339,AE339,AG339,AI339,AK339,AM339,AO339,AQ339,AS339,AU339,AW339,AY339,BA339,BC339,BE339,BG339,BI339,BK339,BM339,BO339,BQ339,BS339,BU339,BW339,BY339,CA339,CC339,CE339)</f>
        <v/>
      </c>
      <c r="C339" s="33" t="inlineStr">
        <is>
          <t>FACT</t>
        </is>
      </c>
      <c r="D339" s="33" t="inlineStr">
        <is>
          <t>Fertilizers And Chemicals Travancore Limited</t>
        </is>
      </c>
      <c r="E339" s="31" t="inlineStr">
        <is>
          <t>chemicals</t>
        </is>
      </c>
      <c r="F339" s="31" t="inlineStr">
        <is>
          <t>fertilizers</t>
        </is>
      </c>
      <c r="G339" s="31" t="inlineStr">
        <is>
          <t>largecap</t>
        </is>
      </c>
      <c r="H339" s="32" t="n">
        <v>56689.98</v>
      </c>
      <c r="I339" s="32" t="n">
        <v>866.25</v>
      </c>
      <c r="J339" s="32" t="n">
        <v>-1.12</v>
      </c>
      <c r="K339" s="32" t="n">
        <v>2244931</v>
      </c>
      <c r="L339" s="31" t="n">
        <v>1</v>
      </c>
      <c r="M339" s="31" t="inlineStr">
        <is>
          <t>Underperforming</t>
        </is>
      </c>
      <c r="N339" s="32">
        <f>IF(M339="Underperforming",-5,IF(L339&gt;=95,15,IF(L339&gt;=90,10,IF(L339&gt;=80,5,0))))</f>
        <v/>
      </c>
      <c r="O339" s="32" t="n">
        <v>52.62</v>
      </c>
      <c r="P339" s="32" t="n">
        <v>23.63</v>
      </c>
      <c r="Q339" s="32" t="n">
        <v>701.59</v>
      </c>
      <c r="R339" s="31" t="inlineStr">
        <is>
          <t>Volume Spike / Accumulation</t>
        </is>
      </c>
      <c r="S339" s="31" t="inlineStr">
        <is>
          <t>Nifty 50</t>
        </is>
      </c>
      <c r="T339" s="32" t="n">
        <v>-0.9</v>
      </c>
      <c r="U339" s="32" t="n">
        <v>-6.3</v>
      </c>
      <c r="V339" s="32" t="n">
        <v>-5.46</v>
      </c>
      <c r="W339" s="32" t="n">
        <v>-0.95</v>
      </c>
      <c r="X339" s="31" t="inlineStr">
        <is>
          <t>Growing Industry</t>
        </is>
      </c>
      <c r="Y339" s="31">
        <f>IF(X339="Growing Industry",10,IF(X339="Cyclical in an Upturn",5,0))</f>
        <v/>
      </c>
      <c r="Z339" s="31" t="inlineStr">
        <is>
          <t>Too Many Players with High ROCE</t>
        </is>
      </c>
      <c r="AA339" s="31">
        <f>IF(Z339="Monopoly",10,IF(Z339="Oligopoly",5,IF(Z339="Duopoly that cooperate",10,IF(Z339="Duopoly that compete",5,IF(Z339="Too many players with High ROCE",5,0)))))</f>
        <v/>
      </c>
      <c r="AB339" s="31" t="inlineStr">
        <is>
          <t>No</t>
        </is>
      </c>
      <c r="AC339" s="31">
        <f>IF(AB339="No",5,0)</f>
        <v/>
      </c>
      <c r="AD339" s="31" t="inlineStr">
        <is>
          <t>Tailwind</t>
        </is>
      </c>
      <c r="AE339" s="31">
        <f>IF(AD339="Tailwind",10,0)</f>
        <v/>
      </c>
      <c r="AF339" s="31" t="inlineStr">
        <is>
          <t>Structural (10 Years Consistency)</t>
        </is>
      </c>
      <c r="AG339" s="31">
        <f>IF(AF339="Structural (10 Years Consistency)",10,IF(AF339="Shallow Cyclical (2 to 3 years growth)",5,0))</f>
        <v/>
      </c>
      <c r="AH339" s="31" t="inlineStr">
        <is>
          <t>No</t>
        </is>
      </c>
      <c r="AI339" s="31">
        <f>IF(AH339="Yes due to Product Mix change or Operating Leverage",10,IF(AH339="Yes, these are peak margins",-5,IF(AH339="No",5,0)))</f>
        <v/>
      </c>
      <c r="AJ339" s="31" t="inlineStr">
        <is>
          <t>Stable</t>
        </is>
      </c>
      <c r="AK339" s="31">
        <f>IF(AJ339="Stable",10,0)</f>
        <v/>
      </c>
      <c r="AL339" s="31" t="inlineStr">
        <is>
          <t>Yes</t>
        </is>
      </c>
      <c r="AM339" s="31">
        <f>IF(AL339="Yes",10,0)</f>
        <v/>
      </c>
      <c r="AN339" s="31" t="inlineStr">
        <is>
          <t>B2B</t>
        </is>
      </c>
      <c r="AO339" s="31">
        <f>IF(AN339="B2C",10,IF(AN339="B2B",5,0))</f>
        <v/>
      </c>
      <c r="AP339" s="31" t="inlineStr">
        <is>
          <t>Yes</t>
        </is>
      </c>
      <c r="AQ339" s="31">
        <f>IF(AP339="Yes",10,0)</f>
        <v/>
      </c>
      <c r="AR339" s="31" t="inlineStr">
        <is>
          <t>Higher One Time, Lower Annuity</t>
        </is>
      </c>
      <c r="AS339" s="31">
        <f>IF(AR339="Fully Annuity",10,IF(AR339="Higher Annuity, Lower One Time",5,IF(AR339="Higher One Time, Lower Annuity",3,0)))</f>
        <v/>
      </c>
      <c r="AT339" s="31" t="inlineStr">
        <is>
          <t>Good</t>
        </is>
      </c>
      <c r="AU339" s="31">
        <f>IF(AT339="Good",10,0)</f>
        <v/>
      </c>
      <c r="AV339" s="31" t="inlineStr">
        <is>
          <t>Yes for more than 2 years</t>
        </is>
      </c>
      <c r="AW339" s="31">
        <f>IF(AV339="Yes for more than 2 years",10,IF(AV339="Yes only for next 1 to 2 years",5,0))</f>
        <v/>
      </c>
      <c r="AX339" s="31" t="inlineStr">
        <is>
          <t>20 to 40</t>
        </is>
      </c>
      <c r="AY339" s="31">
        <f>IF(AX339="Above 40",20,IF(AX339="20 to 40",10,IF(AX339="0 to 20",-5,0)))</f>
        <v/>
      </c>
      <c r="AZ339" s="31" t="inlineStr">
        <is>
          <t>Between 50 to 75</t>
        </is>
      </c>
      <c r="BA339" s="31">
        <f>IF(AZ339="Between 50 to 75",10,IF(AZ339="Above 75",0,0))</f>
        <v/>
      </c>
      <c r="BB339" s="31" t="inlineStr">
        <is>
          <t>Stage 1</t>
        </is>
      </c>
      <c r="BC339" s="31">
        <f>IF(BB339="Stage 2",20,IF(BB339="Stage 1",0,IF(BB339="Stage 3",5,IF(BB339="Stage 4",-5,0))))</f>
        <v/>
      </c>
      <c r="BD339" s="31" t="inlineStr">
        <is>
          <t>Positive Trend</t>
        </is>
      </c>
      <c r="BE339" s="31">
        <f>IF(BD339="Positive Trend",20,IF(BD339="Negative Trend",-10,0))</f>
        <v/>
      </c>
      <c r="BF339" s="31" t="inlineStr">
        <is>
          <t>Uptrend</t>
        </is>
      </c>
      <c r="BG339" s="31">
        <f>IF(BF339="Uptrend",10,IF(BF339="Sideways",5,0))</f>
        <v/>
      </c>
      <c r="BH339" s="31" t="inlineStr">
        <is>
          <t>Uptrend</t>
        </is>
      </c>
      <c r="BI339" s="31">
        <f>IF(BH339="Uptrend",10,IF(BH339="Sideways",5,0))</f>
        <v/>
      </c>
      <c r="BJ339" s="31" t="inlineStr">
        <is>
          <t>Close to 52 week high or retracement</t>
        </is>
      </c>
      <c r="BK339" s="31">
        <f>IF(BJ339="Overhead supply in last 2 years in last 2 years",-5,IF(BJ339="Close to 52 week high or retracement",5,IF(BJ339="Blue sky scenario",10,IF(BJ339="Long term Downtrend",-10,0))))</f>
        <v/>
      </c>
      <c r="BL339" s="31" t="inlineStr">
        <is>
          <t>Yes</t>
        </is>
      </c>
      <c r="BM339" s="31">
        <f>IF(BL339="Yes",10,0)</f>
        <v/>
      </c>
      <c r="BN339" s="31" t="inlineStr">
        <is>
          <t>More than 20%</t>
        </is>
      </c>
      <c r="BO339" s="31">
        <f>IF(BN339="More than 20%",10,IF(BN339="Between 12 to 20%",5,IF(BN339="Less than 12%",0,0)))</f>
        <v/>
      </c>
      <c r="BP339" s="31" t="inlineStr">
        <is>
          <t>No</t>
        </is>
      </c>
      <c r="BQ339" s="31">
        <f>IF(BP339="No",10,0)</f>
        <v/>
      </c>
      <c r="BR339" s="31" t="inlineStr">
        <is>
          <t>No</t>
        </is>
      </c>
      <c r="BS339" s="31">
        <f>IF(BR339="NO",5,0)</f>
        <v/>
      </c>
      <c r="BT339" s="31" t="inlineStr">
        <is>
          <t>Less than 1.5</t>
        </is>
      </c>
      <c r="BU339" s="31">
        <f>IF(BT339="Above 2",0,IF(BT339="Between 1.5 to 2",5,IF(BT339="Less than 1.5",10,0)))</f>
        <v/>
      </c>
      <c r="BV339" s="31" t="inlineStr">
        <is>
          <t>Above 70%</t>
        </is>
      </c>
      <c r="BW339" s="31">
        <f>IF(BV339="Above 70%",10,IF(BV339="Between 50% to 70%",5,IF(BV339="Less than 50%",0,IF(BV339="Negative",-10,IF(BV339="Less than 50% and Borrowings are increasing",-5,0)))))</f>
        <v/>
      </c>
      <c r="BX339" s="31" t="inlineStr">
        <is>
          <t>More than 1.2</t>
        </is>
      </c>
      <c r="BY339" s="31">
        <f>IF(BX339="More than 1.2",-10,IF(BX339="Between 0.7 to 1.2",0,IF(BX339="Less than 0.7",10,0)))</f>
        <v/>
      </c>
      <c r="BZ339" s="31" t="inlineStr">
        <is>
          <t>No</t>
        </is>
      </c>
      <c r="CA339" s="31">
        <f>IF(BZ339="Yes",-10,0)</f>
        <v/>
      </c>
      <c r="CB339" s="31" t="inlineStr">
        <is>
          <t>Less than 15%</t>
        </is>
      </c>
      <c r="CC339" s="31">
        <f>IF(CB339="More than 15%",-10,IF(CB339="Less than 15%",10,0))</f>
        <v/>
      </c>
      <c r="CD339" s="31" t="inlineStr">
        <is>
          <t>No</t>
        </is>
      </c>
      <c r="CE339" s="31">
        <f>IF(CD339="Yes, more than 10%",-10,IF(CD339="No",10,0))</f>
        <v/>
      </c>
    </row>
    <row r="340">
      <c r="A340" s="31">
        <f>IF(B340=0,"",RANK(B340,$B$2:$B$372,0))</f>
        <v/>
      </c>
      <c r="B340" s="32">
        <f>SUM(N340,Y340,AA340,AC340,AE340,AG340,AI340,AK340,AM340,AO340,AQ340,AS340,AU340,AW340,AY340,BA340,BC340,BE340,BG340,BI340,BK340,BM340,BO340,BQ340,BS340,BU340,BW340,BY340,CA340,CC340,CE340)</f>
        <v/>
      </c>
      <c r="C340" s="31" t="inlineStr">
        <is>
          <t>PERSISTENT</t>
        </is>
      </c>
      <c r="D340" s="31" t="inlineStr">
        <is>
          <t>Persistent Systems Limited</t>
        </is>
      </c>
      <c r="E340" s="31" t="inlineStr">
        <is>
          <t>i.t</t>
        </is>
      </c>
      <c r="F340" s="31" t="inlineStr">
        <is>
          <t>computers - software - large</t>
        </is>
      </c>
      <c r="G340" s="31" t="inlineStr">
        <is>
          <t>largecap</t>
        </is>
      </c>
      <c r="H340" s="32" t="n">
        <v>89207.63</v>
      </c>
      <c r="I340" s="32" t="n">
        <v>5590.5</v>
      </c>
      <c r="J340" s="32" t="n">
        <v>-1.14</v>
      </c>
      <c r="K340" s="32" t="n">
        <v>185206</v>
      </c>
      <c r="L340" s="31" t="n">
        <v>13</v>
      </c>
      <c r="M340" s="31" t="inlineStr">
        <is>
          <t>Outperforming</t>
        </is>
      </c>
      <c r="N340" s="32">
        <f>IF(M340="Underperforming",-5,IF(L340&gt;=95,15,IF(L340&gt;=90,10,IF(L340&gt;=80,5,0))))</f>
        <v/>
      </c>
      <c r="O340" s="32" t="n">
        <v>57.38</v>
      </c>
      <c r="P340" s="32" t="n">
        <v>10.36</v>
      </c>
      <c r="Q340" s="32" t="n">
        <v>4551</v>
      </c>
      <c r="R340" s="31" t="inlineStr">
        <is>
          <t>Earnings / Momentum Support</t>
        </is>
      </c>
      <c r="S340" s="31" t="inlineStr">
        <is>
          <t>Nifty IT</t>
        </is>
      </c>
      <c r="T340" s="32" t="n">
        <v>-13.82</v>
      </c>
      <c r="U340" s="32" t="n">
        <v>6.12</v>
      </c>
      <c r="V340" s="32" t="n">
        <v>23.14</v>
      </c>
      <c r="W340" s="32" t="n">
        <v>4.05</v>
      </c>
      <c r="X340" s="31" t="inlineStr">
        <is>
          <t>Growing Industry</t>
        </is>
      </c>
      <c r="Y340" s="31">
        <f>IF(X340="Growing Industry",10,IF(X340="Cyclical in an Upturn",5,0))</f>
        <v/>
      </c>
      <c r="Z340" s="31" t="inlineStr">
        <is>
          <t>Too Many Players with High ROCE</t>
        </is>
      </c>
      <c r="AA340" s="31">
        <f>IF(Z340="Monopoly",10,IF(Z340="Oligopoly",5,IF(Z340="Duopoly that cooperate",10,IF(Z340="Duopoly that compete",5,IF(Z340="Too many players with High ROCE",5,0)))))</f>
        <v/>
      </c>
      <c r="AB340" s="31" t="inlineStr">
        <is>
          <t>No</t>
        </is>
      </c>
      <c r="AC340" s="31">
        <f>IF(AB340="No",5,0)</f>
        <v/>
      </c>
      <c r="AD340" s="31" t="inlineStr">
        <is>
          <t>Tailwind</t>
        </is>
      </c>
      <c r="AE340" s="31">
        <f>IF(AD340="Tailwind",10,0)</f>
        <v/>
      </c>
      <c r="AF340" s="31" t="inlineStr">
        <is>
          <t>Structural (10 Years Consistency)</t>
        </is>
      </c>
      <c r="AG340" s="31">
        <f>IF(AF340="Structural (10 Years Consistency)",10,IF(AF340="Shallow Cyclical (2 to 3 years growth)",5,0))</f>
        <v/>
      </c>
      <c r="AH340" s="31" t="inlineStr">
        <is>
          <t>No</t>
        </is>
      </c>
      <c r="AI340" s="31">
        <f>IF(AH340="Yes due to Product Mix change or Operating Leverage",10,IF(AH340="Yes, these are peak margins",-5,IF(AH340="No",5,0)))</f>
        <v/>
      </c>
      <c r="AJ340" s="31" t="inlineStr">
        <is>
          <t>Stable</t>
        </is>
      </c>
      <c r="AK340" s="31">
        <f>IF(AJ340="Stable",10,0)</f>
        <v/>
      </c>
      <c r="AL340" s="31" t="inlineStr">
        <is>
          <t>Yes</t>
        </is>
      </c>
      <c r="AM340" s="31">
        <f>IF(AL340="Yes",10,0)</f>
        <v/>
      </c>
      <c r="AN340" s="31" t="inlineStr">
        <is>
          <t>B2B</t>
        </is>
      </c>
      <c r="AO340" s="31">
        <f>IF(AN340="B2C",10,IF(AN340="B2B",5,0))</f>
        <v/>
      </c>
      <c r="AP340" s="31" t="inlineStr">
        <is>
          <t>No</t>
        </is>
      </c>
      <c r="AQ340" s="31">
        <f>IF(AP340="Yes",10,0)</f>
        <v/>
      </c>
      <c r="AR340" s="31" t="inlineStr">
        <is>
          <t>Higher Annuity, Lower One Time</t>
        </is>
      </c>
      <c r="AS340" s="31">
        <f>IF(AR340="Fully Annuity",10,IF(AR340="Higher Annuity, Lower One Time",5,IF(AR340="Higher One Time, Lower Annuity",3,0)))</f>
        <v/>
      </c>
      <c r="AT340" s="31" t="inlineStr">
        <is>
          <t>Good</t>
        </is>
      </c>
      <c r="AU340" s="31">
        <f>IF(AT340="Good",10,0)</f>
        <v/>
      </c>
      <c r="AV340" s="31" t="inlineStr">
        <is>
          <t>Yes for more than 2 years</t>
        </is>
      </c>
      <c r="AW340" s="31">
        <f>IF(AV340="Yes for more than 2 years",10,IF(AV340="Yes only for next 1 to 2 years",5,0))</f>
        <v/>
      </c>
      <c r="AX340" s="31" t="inlineStr">
        <is>
          <t>0 to 20</t>
        </is>
      </c>
      <c r="AY340" s="31">
        <f>IF(AX340="Above 40",20,IF(AX340="20 to 40",10,IF(AX340="0 to 20",-5,0)))</f>
        <v/>
      </c>
      <c r="AZ340" s="31" t="inlineStr">
        <is>
          <t>Between 50 to 75</t>
        </is>
      </c>
      <c r="BA340" s="31">
        <f>IF(AZ340="Between 50 to 75",10,IF(AZ340="Above 75",0,0))</f>
        <v/>
      </c>
      <c r="BB340" s="31" t="inlineStr">
        <is>
          <t>Stage 2</t>
        </is>
      </c>
      <c r="BC340" s="31">
        <f>IF(BB340="Stage 2",20,IF(BB340="Stage 1",0,IF(BB340="Stage 3",5,IF(BB340="Stage 4",-5,0))))</f>
        <v/>
      </c>
      <c r="BD340" s="31" t="inlineStr">
        <is>
          <t>Positive Trend</t>
        </is>
      </c>
      <c r="BE340" s="31">
        <f>IF(BD340="Positive Trend",20,IF(BD340="Negative Trend",-10,0))</f>
        <v/>
      </c>
      <c r="BF340" s="31" t="inlineStr">
        <is>
          <t>Uptrend</t>
        </is>
      </c>
      <c r="BG340" s="31">
        <f>IF(BF340="Uptrend",10,IF(BF340="Sideways",5,0))</f>
        <v/>
      </c>
      <c r="BH340" s="31" t="inlineStr">
        <is>
          <t>Uptrend</t>
        </is>
      </c>
      <c r="BI340" s="31">
        <f>IF(BH340="Uptrend",10,IF(BH340="Sideways",5,0))</f>
        <v/>
      </c>
      <c r="BJ340" s="31" t="inlineStr">
        <is>
          <t>Close to 52 week high or retracement</t>
        </is>
      </c>
      <c r="BK340" s="31">
        <f>IF(BJ340="Overhead supply in last 2 years in last 2 years",-5,IF(BJ340="Close to 52 week high or retracement",5,IF(BJ340="Blue sky scenario",10,IF(BJ340="Long term Downtrend",-10,0))))</f>
        <v/>
      </c>
      <c r="BL340" s="31" t="inlineStr">
        <is>
          <t>Yes</t>
        </is>
      </c>
      <c r="BM340" s="31">
        <f>IF(BL340="Yes",10,0)</f>
        <v/>
      </c>
      <c r="BN340" s="31" t="inlineStr">
        <is>
          <t>Between 12 to 20%</t>
        </is>
      </c>
      <c r="BO340" s="31">
        <f>IF(BN340="More than 20%",10,IF(BN340="Between 12 to 20%",5,IF(BN340="Less than 12%",0,0)))</f>
        <v/>
      </c>
      <c r="BP340" s="31" t="inlineStr">
        <is>
          <t>No</t>
        </is>
      </c>
      <c r="BQ340" s="31">
        <f>IF(BP340="No",10,0)</f>
        <v/>
      </c>
      <c r="BR340" s="31" t="inlineStr">
        <is>
          <t>Yes</t>
        </is>
      </c>
      <c r="BS340" s="31">
        <f>IF(BR340="NO",5,0)</f>
        <v/>
      </c>
      <c r="BT340" s="31" t="inlineStr">
        <is>
          <t>Above 2</t>
        </is>
      </c>
      <c r="BU340" s="31">
        <f>IF(BT340="Above 2",0,IF(BT340="Between 1.5 to 2",5,IF(BT340="Less than 1.5",10,0)))</f>
        <v/>
      </c>
      <c r="BV340" s="31" t="inlineStr">
        <is>
          <t>Between 50% to 70%</t>
        </is>
      </c>
      <c r="BW340" s="31">
        <f>IF(BV340="Above 70%",10,IF(BV340="Between 50% to 70%",5,IF(BV340="Less than 50%",0,IF(BV340="Negative",-10,IF(BV340="Less than 50% and Borrowings are increasing",-5,0)))))</f>
        <v/>
      </c>
      <c r="BX340" s="31" t="inlineStr">
        <is>
          <t>Less than 0.7</t>
        </is>
      </c>
      <c r="BY340" s="31">
        <f>IF(BX340="More than 1.2",-10,IF(BX340="Between 0.7 to 1.2",0,IF(BX340="Less than 0.7",10,0)))</f>
        <v/>
      </c>
      <c r="BZ340" s="31" t="inlineStr">
        <is>
          <t>No</t>
        </is>
      </c>
      <c r="CA340" s="31">
        <f>IF(BZ340="Yes",-10,0)</f>
        <v/>
      </c>
      <c r="CB340" s="31" t="inlineStr">
        <is>
          <t>Less than 15%</t>
        </is>
      </c>
      <c r="CC340" s="31">
        <f>IF(CB340="More than 15%",-10,IF(CB340="Less than 15%",10,0))</f>
        <v/>
      </c>
      <c r="CD340" s="31" t="inlineStr">
        <is>
          <t>No</t>
        </is>
      </c>
      <c r="CE340" s="31">
        <f>IF(CD340="Yes, more than 10%",-10,IF(CD340="No",10,0))</f>
        <v/>
      </c>
    </row>
    <row r="341">
      <c r="A341" s="31">
        <f>IF(B341=0,"",RANK(B341,$B$2:$B$372,0))</f>
        <v/>
      </c>
      <c r="B341" s="32">
        <f>SUM(N341,Y341,AA341,AC341,AE341,AG341,AI341,AK341,AM341,AO341,AQ341,AS341,AU341,AW341,AY341,BA341,BC341,BE341,BG341,BI341,BK341,BM341,BO341,BQ341,BS341,BU341,BW341,BY341,CA341,CC341,CE341)</f>
        <v/>
      </c>
      <c r="C341" s="31" t="inlineStr">
        <is>
          <t>PRICOLLTD</t>
        </is>
      </c>
      <c r="D341" s="31" t="inlineStr">
        <is>
          <t>Pricol Ltd.</t>
        </is>
      </c>
      <c r="E341" s="31" t="inlineStr">
        <is>
          <t>auto</t>
        </is>
      </c>
      <c r="F341" s="31" t="inlineStr">
        <is>
          <t>auto ancillaries</t>
        </is>
      </c>
      <c r="G341" s="31" t="inlineStr">
        <is>
          <t>midcap</t>
        </is>
      </c>
      <c r="H341" s="32" t="n">
        <v>9634.73</v>
      </c>
      <c r="I341" s="32" t="n">
        <v>780.7</v>
      </c>
      <c r="J341" s="32" t="n">
        <v>-1.24</v>
      </c>
      <c r="K341" s="32" t="n">
        <v>340374</v>
      </c>
      <c r="L341" s="31" t="inlineStr"/>
      <c r="M341" s="31" t="inlineStr"/>
      <c r="N341" s="32">
        <f>IF(M341="Underperforming",-5,IF(L341&gt;=95,15,IF(L341&gt;=90,10,IF(L341&gt;=80,5,0))))</f>
        <v/>
      </c>
      <c r="O341" s="32" t="n">
        <v>72</v>
      </c>
      <c r="P341" s="32" t="n">
        <v>31.44</v>
      </c>
      <c r="Q341" s="32" t="n">
        <v>646.79</v>
      </c>
      <c r="R341" s="31" t="inlineStr">
        <is>
          <t>Near 52W High Breakout</t>
        </is>
      </c>
      <c r="S341" s="31" t="inlineStr">
        <is>
          <t>Nifty Auto</t>
        </is>
      </c>
      <c r="T341" s="32" t="inlineStr"/>
      <c r="U341" s="32" t="inlineStr"/>
      <c r="V341" s="32" t="inlineStr"/>
      <c r="W341" s="32" t="inlineStr"/>
      <c r="X341" s="31" t="inlineStr">
        <is>
          <t>Cyclical in an Upturn</t>
        </is>
      </c>
      <c r="Y341" s="31">
        <f>IF(X341="Growing Industry",10,IF(X341="Cyclical in an Upturn",5,0))</f>
        <v/>
      </c>
      <c r="Z341" s="31" t="inlineStr">
        <is>
          <t>Oligopoly</t>
        </is>
      </c>
      <c r="AA341" s="31">
        <f>IF(Z341="Monopoly",10,IF(Z341="Oligopoly",5,IF(Z341="Duopoly that cooperate",10,IF(Z341="Duopoly that compete",5,IF(Z341="Too many players with High ROCE",5,0)))))</f>
        <v/>
      </c>
      <c r="AB341" s="31" t="inlineStr">
        <is>
          <t>No</t>
        </is>
      </c>
      <c r="AC341" s="31">
        <f>IF(AB341="No",5,0)</f>
        <v/>
      </c>
      <c r="AD341" s="31" t="inlineStr">
        <is>
          <t>Tailwind</t>
        </is>
      </c>
      <c r="AE341" s="31">
        <f>IF(AD341="Tailwind",10,0)</f>
        <v/>
      </c>
      <c r="AF341" s="31" t="inlineStr">
        <is>
          <t>Shallow Cyclical (2 to 3 Years Growth)</t>
        </is>
      </c>
      <c r="AG341" s="31">
        <f>IF(AF341="Structural (10 Years Consistency)",10,IF(AF341="Shallow Cyclical (2 to 3 years growth)",5,0))</f>
        <v/>
      </c>
      <c r="AH341" s="31" t="inlineStr">
        <is>
          <t>No</t>
        </is>
      </c>
      <c r="AI341" s="31">
        <f>IF(AH341="Yes due to Product Mix change or Operating Leverage",10,IF(AH341="Yes, these are peak margins",-5,IF(AH341="No",5,0)))</f>
        <v/>
      </c>
      <c r="AJ341" s="31" t="inlineStr">
        <is>
          <t>Stable</t>
        </is>
      </c>
      <c r="AK341" s="31">
        <f>IF(AJ341="Stable",10,0)</f>
        <v/>
      </c>
      <c r="AL341" s="31" t="inlineStr">
        <is>
          <t>Yes</t>
        </is>
      </c>
      <c r="AM341" s="31">
        <f>IF(AL341="Yes",10,0)</f>
        <v/>
      </c>
      <c r="AN341" s="31" t="inlineStr">
        <is>
          <t>B2B</t>
        </is>
      </c>
      <c r="AO341" s="31">
        <f>IF(AN341="B2C",10,IF(AN341="B2B",5,0))</f>
        <v/>
      </c>
      <c r="AP341" s="31" t="inlineStr">
        <is>
          <t>Yes</t>
        </is>
      </c>
      <c r="AQ341" s="31">
        <f>IF(AP341="Yes",10,0)</f>
        <v/>
      </c>
      <c r="AR341" s="31" t="inlineStr">
        <is>
          <t>Fully One Time</t>
        </is>
      </c>
      <c r="AS341" s="31">
        <f>IF(AR341="Fully Annuity",10,IF(AR341="Higher Annuity, Lower One Time",5,IF(AR341="Higher One Time, Lower Annuity",3,0)))</f>
        <v/>
      </c>
      <c r="AT341" s="31" t="inlineStr">
        <is>
          <t>Allocated capital in Non-core Areas</t>
        </is>
      </c>
      <c r="AU341" s="31">
        <f>IF(AT341="Good",10,0)</f>
        <v/>
      </c>
      <c r="AV341" s="31" t="inlineStr">
        <is>
          <t>Yes only for next 1 to 2 years</t>
        </is>
      </c>
      <c r="AW341" s="31">
        <f>IF(AV341="Yes for more than 2 years",10,IF(AV341="Yes only for next 1 to 2 years",5,0))</f>
        <v/>
      </c>
      <c r="AX341" s="31" t="inlineStr">
        <is>
          <t>20 to 40</t>
        </is>
      </c>
      <c r="AY341" s="31">
        <f>IF(AX341="Above 40",20,IF(AX341="20 to 40",10,IF(AX341="0 to 20",-5,0)))</f>
        <v/>
      </c>
      <c r="AZ341" s="31" t="inlineStr">
        <is>
          <t>Between 50 to 75</t>
        </is>
      </c>
      <c r="BA341" s="31">
        <f>IF(AZ341="Between 50 to 75",10,IF(AZ341="Above 75",0,0))</f>
        <v/>
      </c>
      <c r="BB341" s="31" t="inlineStr">
        <is>
          <t>Stage 2</t>
        </is>
      </c>
      <c r="BC341" s="31">
        <f>IF(BB341="Stage 2",20,IF(BB341="Stage 1",0,IF(BB341="Stage 3",5,IF(BB341="Stage 4",-5,0))))</f>
        <v/>
      </c>
      <c r="BD341" s="31" t="inlineStr">
        <is>
          <t>Positive Trend</t>
        </is>
      </c>
      <c r="BE341" s="31">
        <f>IF(BD341="Positive Trend",20,IF(BD341="Negative Trend",-10,0))</f>
        <v/>
      </c>
      <c r="BF341" s="31" t="inlineStr">
        <is>
          <t>Uptrend</t>
        </is>
      </c>
      <c r="BG341" s="31">
        <f>IF(BF341="Uptrend",10,IF(BF341="Sideways",5,0))</f>
        <v/>
      </c>
      <c r="BH341" s="31" t="inlineStr">
        <is>
          <t>Uptrend</t>
        </is>
      </c>
      <c r="BI341" s="31">
        <f>IF(BH341="Uptrend",10,IF(BH341="Sideways",5,0))</f>
        <v/>
      </c>
      <c r="BJ341" s="31" t="inlineStr">
        <is>
          <t>Blue sky scenario</t>
        </is>
      </c>
      <c r="BK341" s="31">
        <f>IF(BJ341="Overhead supply in last 2 years in last 2 years",-5,IF(BJ341="Close to 52 week high or retracement",5,IF(BJ341="Blue sky scenario",10,IF(BJ341="Long term Downtrend",-10,0))))</f>
        <v/>
      </c>
      <c r="BL341" s="31" t="inlineStr">
        <is>
          <t>Yes</t>
        </is>
      </c>
      <c r="BM341" s="31">
        <f>IF(BL341="Yes",10,0)</f>
        <v/>
      </c>
      <c r="BN341" s="31" t="inlineStr">
        <is>
          <t>Between 12 to 20%</t>
        </is>
      </c>
      <c r="BO341" s="31">
        <f>IF(BN341="More than 20%",10,IF(BN341="Between 12 to 20%",5,IF(BN341="Less than 12%",0,0)))</f>
        <v/>
      </c>
      <c r="BP341" s="31" t="inlineStr">
        <is>
          <t>Yes</t>
        </is>
      </c>
      <c r="BQ341" s="31">
        <f>IF(BP341="No",10,0)</f>
        <v/>
      </c>
      <c r="BR341" s="31" t="inlineStr">
        <is>
          <t>No</t>
        </is>
      </c>
      <c r="BS341" s="31">
        <f>IF(BR341="NO",5,0)</f>
        <v/>
      </c>
      <c r="BT341" s="31" t="inlineStr">
        <is>
          <t>Between 1.5 to 2</t>
        </is>
      </c>
      <c r="BU341" s="31">
        <f>IF(BT341="Above 2",0,IF(BT341="Between 1.5 to 2",5,IF(BT341="Less than 1.5",10,0)))</f>
        <v/>
      </c>
      <c r="BV341" s="31" t="inlineStr">
        <is>
          <t>Between 50% to 70%</t>
        </is>
      </c>
      <c r="BW341" s="31">
        <f>IF(BV341="Above 70%",10,IF(BV341="Between 50% to 70%",5,IF(BV341="Less than 50%",0,IF(BV341="Negative",-10,IF(BV341="Less than 50% and Borrowings are increasing",-5,0)))))</f>
        <v/>
      </c>
      <c r="BX341" s="31" t="inlineStr">
        <is>
          <t>Less than 0.7</t>
        </is>
      </c>
      <c r="BY341" s="31">
        <f>IF(BX341="More than 1.2",-10,IF(BX341="Between 0.7 to 1.2",0,IF(BX341="Less than 0.7",10,0)))</f>
        <v/>
      </c>
      <c r="BZ341" s="31" t="inlineStr">
        <is>
          <t>No</t>
        </is>
      </c>
      <c r="CA341" s="31">
        <f>IF(BZ341="Yes",-10,0)</f>
        <v/>
      </c>
      <c r="CB341" s="31" t="inlineStr">
        <is>
          <t>Less than 15%</t>
        </is>
      </c>
      <c r="CC341" s="31">
        <f>IF(CB341="More than 15%",-10,IF(CB341="Less than 15%",10,0))</f>
        <v/>
      </c>
      <c r="CD341" s="31" t="inlineStr">
        <is>
          <t>No</t>
        </is>
      </c>
      <c r="CE341" s="31">
        <f>IF(CD341="Yes, more than 10%",-10,IF(CD341="No",10,0))</f>
        <v/>
      </c>
    </row>
    <row r="342">
      <c r="A342" s="31">
        <f>IF(B342=0,"",RANK(B342,$B$2:$B$372,0))</f>
        <v/>
      </c>
      <c r="B342" s="32">
        <f>SUM(N342,Y342,AA342,AC342,AE342,AG342,AI342,AK342,AM342,AO342,AQ342,AS342,AU342,AW342,AY342,BA342,BC342,BE342,BG342,BI342,BK342,BM342,BO342,BQ342,BS342,BU342,BW342,BY342,CA342,CC342,CE342)</f>
        <v/>
      </c>
      <c r="C342" s="31" t="inlineStr">
        <is>
          <t>HINDZINC</t>
        </is>
      </c>
      <c r="D342" s="31" t="inlineStr">
        <is>
          <t>Hindustan Zinc Limited</t>
        </is>
      </c>
      <c r="E342" s="31" t="inlineStr">
        <is>
          <t>metals &amp; mining</t>
        </is>
      </c>
      <c r="F342" s="31" t="inlineStr">
        <is>
          <t>mining / minerals / metals</t>
        </is>
      </c>
      <c r="G342" s="31" t="inlineStr">
        <is>
          <t>largecap</t>
        </is>
      </c>
      <c r="H342" s="32" t="n">
        <v>250392.4</v>
      </c>
      <c r="I342" s="32" t="n">
        <v>626.5</v>
      </c>
      <c r="J342" s="32" t="n">
        <v>5.72</v>
      </c>
      <c r="K342" s="32" t="n">
        <v>20142495</v>
      </c>
      <c r="L342" s="31" t="inlineStr"/>
      <c r="M342" s="31" t="inlineStr"/>
      <c r="N342" s="32">
        <f>IF(M342="Underperforming",-5,IF(L342&gt;=95,15,IF(L342&gt;=90,10,IF(L342&gt;=80,5,0))))</f>
        <v/>
      </c>
      <c r="O342" s="32" t="n">
        <v>59.29</v>
      </c>
      <c r="P342" s="32" t="n">
        <v>11.59</v>
      </c>
      <c r="Q342" s="32" t="n">
        <v>505.23</v>
      </c>
      <c r="R342" s="31" t="inlineStr">
        <is>
          <t>Volume Spike / Accumulation</t>
        </is>
      </c>
      <c r="S342" s="31" t="inlineStr">
        <is>
          <t>Nifty Metal</t>
        </is>
      </c>
      <c r="T342" s="32" t="inlineStr"/>
      <c r="U342" s="32" t="inlineStr"/>
      <c r="V342" s="32" t="inlineStr"/>
      <c r="W342" s="32" t="inlineStr"/>
      <c r="X342" s="31" t="inlineStr">
        <is>
          <t>Cyclical in an Upturn</t>
        </is>
      </c>
      <c r="Y342" s="31">
        <f>IF(X342="Growing Industry",10,IF(X342="Cyclical in an Upturn",5,0))</f>
        <v/>
      </c>
      <c r="Z342" s="31" t="inlineStr">
        <is>
          <t>Too Many Players with High ROCE</t>
        </is>
      </c>
      <c r="AA342" s="31">
        <f>IF(Z342="Monopoly",10,IF(Z342="Oligopoly",5,IF(Z342="Duopoly that cooperate",10,IF(Z342="Duopoly that compete",5,IF(Z342="Too many players with High ROCE",5,0)))))</f>
        <v/>
      </c>
      <c r="AB342" s="31" t="inlineStr">
        <is>
          <t>No</t>
        </is>
      </c>
      <c r="AC342" s="31">
        <f>IF(AB342="No",5,0)</f>
        <v/>
      </c>
      <c r="AD342" s="31" t="inlineStr">
        <is>
          <t>Tailwind</t>
        </is>
      </c>
      <c r="AE342" s="31">
        <f>IF(AD342="Tailwind",10,0)</f>
        <v/>
      </c>
      <c r="AF342" s="31" t="inlineStr">
        <is>
          <t>Cyclical</t>
        </is>
      </c>
      <c r="AG342" s="31">
        <f>IF(AF342="Structural (10 Years Consistency)",10,IF(AF342="Shallow Cyclical (2 to 3 years growth)",5,0))</f>
        <v/>
      </c>
      <c r="AH342" s="31" t="inlineStr">
        <is>
          <t>No</t>
        </is>
      </c>
      <c r="AI342" s="31">
        <f>IF(AH342="Yes due to Product Mix change or Operating Leverage",10,IF(AH342="Yes, these are peak margins",-5,IF(AH342="No",5,0)))</f>
        <v/>
      </c>
      <c r="AJ342" s="31" t="inlineStr">
        <is>
          <t>Volatile</t>
        </is>
      </c>
      <c r="AK342" s="31">
        <f>IF(AJ342="Stable",10,0)</f>
        <v/>
      </c>
      <c r="AL342" s="31" t="inlineStr">
        <is>
          <t>Yes</t>
        </is>
      </c>
      <c r="AM342" s="31">
        <f>IF(AL342="Yes",10,0)</f>
        <v/>
      </c>
      <c r="AN342" s="31" t="inlineStr">
        <is>
          <t>B2B</t>
        </is>
      </c>
      <c r="AO342" s="31">
        <f>IF(AN342="B2C",10,IF(AN342="B2B",5,0))</f>
        <v/>
      </c>
      <c r="AP342" s="31" t="inlineStr">
        <is>
          <t>Yes</t>
        </is>
      </c>
      <c r="AQ342" s="31">
        <f>IF(AP342="Yes",10,0)</f>
        <v/>
      </c>
      <c r="AR342" s="31" t="inlineStr">
        <is>
          <t>Higher One Time, Lower Annuity</t>
        </is>
      </c>
      <c r="AS342" s="31">
        <f>IF(AR342="Fully Annuity",10,IF(AR342="Higher Annuity, Lower One Time",5,IF(AR342="Higher One Time, Lower Annuity",3,0)))</f>
        <v/>
      </c>
      <c r="AT342" s="31" t="inlineStr">
        <is>
          <t>Good</t>
        </is>
      </c>
      <c r="AU342" s="31">
        <f>IF(AT342="Good",10,0)</f>
        <v/>
      </c>
      <c r="AV342" s="31" t="inlineStr">
        <is>
          <t>Yes for more than 2 years</t>
        </is>
      </c>
      <c r="AW342" s="31">
        <f>IF(AV342="Yes for more than 2 years",10,IF(AV342="Yes only for next 1 to 2 years",5,0))</f>
        <v/>
      </c>
      <c r="AX342" s="31" t="inlineStr">
        <is>
          <t>0 to 20</t>
        </is>
      </c>
      <c r="AY342" s="31">
        <f>IF(AX342="Above 40",20,IF(AX342="20 to 40",10,IF(AX342="0 to 20",-5,0)))</f>
        <v/>
      </c>
      <c r="AZ342" s="31" t="inlineStr">
        <is>
          <t>Between 50 to 75</t>
        </is>
      </c>
      <c r="BA342" s="31">
        <f>IF(AZ342="Between 50 to 75",10,IF(AZ342="Above 75",0,0))</f>
        <v/>
      </c>
      <c r="BB342" s="31" t="inlineStr">
        <is>
          <t>Stage 2</t>
        </is>
      </c>
      <c r="BC342" s="31">
        <f>IF(BB342="Stage 2",20,IF(BB342="Stage 1",0,IF(BB342="Stage 3",5,IF(BB342="Stage 4",-5,0))))</f>
        <v/>
      </c>
      <c r="BD342" s="31" t="inlineStr">
        <is>
          <t>Positive Trend</t>
        </is>
      </c>
      <c r="BE342" s="31">
        <f>IF(BD342="Positive Trend",20,IF(BD342="Negative Trend",-10,0))</f>
        <v/>
      </c>
      <c r="BF342" s="31" t="inlineStr">
        <is>
          <t>Uptrend</t>
        </is>
      </c>
      <c r="BG342" s="31">
        <f>IF(BF342="Uptrend",10,IF(BF342="Sideways",5,0))</f>
        <v/>
      </c>
      <c r="BH342" s="31" t="inlineStr">
        <is>
          <t>Uptrend</t>
        </is>
      </c>
      <c r="BI342" s="31">
        <f>IF(BH342="Uptrend",10,IF(BH342="Sideways",5,0))</f>
        <v/>
      </c>
      <c r="BJ342" s="31" t="inlineStr">
        <is>
          <t>Close to 52 week high or retracement</t>
        </is>
      </c>
      <c r="BK342" s="31">
        <f>IF(BJ342="Overhead supply in last 2 years in last 2 years",-5,IF(BJ342="Close to 52 week high or retracement",5,IF(BJ342="Blue sky scenario",10,IF(BJ342="Long term Downtrend",-10,0))))</f>
        <v/>
      </c>
      <c r="BL342" s="31" t="inlineStr">
        <is>
          <t>Yes</t>
        </is>
      </c>
      <c r="BM342" s="31">
        <f>IF(BL342="Yes",10,0)</f>
        <v/>
      </c>
      <c r="BN342" s="31" t="inlineStr">
        <is>
          <t>More than 20%</t>
        </is>
      </c>
      <c r="BO342" s="31">
        <f>IF(BN342="More than 20%",10,IF(BN342="Between 12 to 20%",5,IF(BN342="Less than 12%",0,0)))</f>
        <v/>
      </c>
      <c r="BP342" s="31" t="inlineStr">
        <is>
          <t>No</t>
        </is>
      </c>
      <c r="BQ342" s="31">
        <f>IF(BP342="No",10,0)</f>
        <v/>
      </c>
      <c r="BR342" s="31" t="inlineStr">
        <is>
          <t>No</t>
        </is>
      </c>
      <c r="BS342" s="31">
        <f>IF(BR342="NO",5,0)</f>
        <v/>
      </c>
      <c r="BT342" s="31" t="inlineStr">
        <is>
          <t>Above 2</t>
        </is>
      </c>
      <c r="BU342" s="31">
        <f>IF(BT342="Above 2",0,IF(BT342="Between 1.5 to 2",5,IF(BT342="Less than 1.5",10,0)))</f>
        <v/>
      </c>
      <c r="BV342" s="31" t="inlineStr">
        <is>
          <t>Above 70%</t>
        </is>
      </c>
      <c r="BW342" s="31">
        <f>IF(BV342="Above 70%",10,IF(BV342="Between 50% to 70%",5,IF(BV342="Less than 50%",0,IF(BV342="Negative",-10,IF(BV342="Less than 50% and Borrowings are increasing",-5,0)))))</f>
        <v/>
      </c>
      <c r="BX342" s="31" t="inlineStr">
        <is>
          <t>Less than 0.7</t>
        </is>
      </c>
      <c r="BY342" s="31">
        <f>IF(BX342="More than 1.2",-10,IF(BX342="Between 0.7 to 1.2",0,IF(BX342="Less than 0.7",10,0)))</f>
        <v/>
      </c>
      <c r="BZ342" s="31" t="inlineStr">
        <is>
          <t>No</t>
        </is>
      </c>
      <c r="CA342" s="31">
        <f>IF(BZ342="Yes",-10,0)</f>
        <v/>
      </c>
      <c r="CB342" s="31" t="inlineStr">
        <is>
          <t>Less than 15%</t>
        </is>
      </c>
      <c r="CC342" s="31">
        <f>IF(CB342="More than 15%",-10,IF(CB342="Less than 15%",10,0))</f>
        <v/>
      </c>
      <c r="CD342" s="31" t="inlineStr">
        <is>
          <t>No</t>
        </is>
      </c>
      <c r="CE342" s="31">
        <f>IF(CD342="Yes, more than 10%",-10,IF(CD342="No",10,0))</f>
        <v/>
      </c>
    </row>
    <row r="343">
      <c r="A343" s="31">
        <f>IF(B343=0,"",RANK(B343,$B$2:$B$372,0))</f>
        <v/>
      </c>
      <c r="B343" s="32">
        <f>SUM(N343,Y343,AA343,AC343,AE343,AG343,AI343,AK343,AM343,AO343,AQ343,AS343,AU343,AW343,AY343,BA343,BC343,BE343,BG343,BI343,BK343,BM343,BO343,BQ343,BS343,BU343,BW343,BY343,CA343,CC343,CE343)</f>
        <v/>
      </c>
      <c r="C343" s="31" t="inlineStr">
        <is>
          <t>JTLIND</t>
        </is>
      </c>
      <c r="D343" s="31" t="inlineStr">
        <is>
          <t>JTL Industries Ltd</t>
        </is>
      </c>
      <c r="E343" s="31" t="inlineStr">
        <is>
          <t>metals &amp; mining</t>
        </is>
      </c>
      <c r="F343" s="31" t="inlineStr">
        <is>
          <t>steel - medium / small</t>
        </is>
      </c>
      <c r="G343" s="31" t="inlineStr">
        <is>
          <t>smallcap</t>
        </is>
      </c>
      <c r="H343" s="32" t="n">
        <v>3098.27</v>
      </c>
      <c r="I343" s="32" t="n">
        <v>81.01000000000001</v>
      </c>
      <c r="J343" s="32" t="n">
        <v>2.78</v>
      </c>
      <c r="K343" s="32" t="n">
        <v>4315707</v>
      </c>
      <c r="L343" s="31" t="inlineStr"/>
      <c r="M343" s="31" t="inlineStr"/>
      <c r="N343" s="32">
        <f>IF(M343="Underperforming",-5,IF(L343&gt;=95,15,IF(L343&gt;=90,10,IF(L343&gt;=80,5,0))))</f>
        <v/>
      </c>
      <c r="O343" s="32" t="n">
        <v>58.24</v>
      </c>
      <c r="P343" s="32" t="n">
        <v>10.04</v>
      </c>
      <c r="Q343" s="32" t="n">
        <v>59.16</v>
      </c>
      <c r="R343" s="31" t="inlineStr">
        <is>
          <t>Near 52W High Breakout</t>
        </is>
      </c>
      <c r="S343" s="31" t="inlineStr">
        <is>
          <t>Nifty Metal</t>
        </is>
      </c>
      <c r="T343" s="32" t="inlineStr"/>
      <c r="U343" s="32" t="inlineStr"/>
      <c r="V343" s="32" t="inlineStr"/>
      <c r="W343" s="32" t="inlineStr"/>
      <c r="X343" s="31" t="inlineStr">
        <is>
          <t>Cyclical in an Upturn</t>
        </is>
      </c>
      <c r="Y343" s="31">
        <f>IF(X343="Growing Industry",10,IF(X343="Cyclical in an Upturn",5,0))</f>
        <v/>
      </c>
      <c r="Z343" s="31" t="inlineStr">
        <is>
          <t>Too Many Players with High ROCE</t>
        </is>
      </c>
      <c r="AA343" s="31">
        <f>IF(Z343="Monopoly",10,IF(Z343="Oligopoly",5,IF(Z343="Duopoly that cooperate",10,IF(Z343="Duopoly that compete",5,IF(Z343="Too many players with High ROCE",5,0)))))</f>
        <v/>
      </c>
      <c r="AB343" s="31" t="inlineStr">
        <is>
          <t>No</t>
        </is>
      </c>
      <c r="AC343" s="31">
        <f>IF(AB343="No",5,0)</f>
        <v/>
      </c>
      <c r="AD343" s="31" t="inlineStr">
        <is>
          <t>Tailwind</t>
        </is>
      </c>
      <c r="AE343" s="31">
        <f>IF(AD343="Tailwind",10,0)</f>
        <v/>
      </c>
      <c r="AF343" s="31" t="inlineStr">
        <is>
          <t>Cyclical</t>
        </is>
      </c>
      <c r="AG343" s="31">
        <f>IF(AF343="Structural (10 Years Consistency)",10,IF(AF343="Shallow Cyclical (2 to 3 years growth)",5,0))</f>
        <v/>
      </c>
      <c r="AH343" s="31" t="inlineStr">
        <is>
          <t>No</t>
        </is>
      </c>
      <c r="AI343" s="31">
        <f>IF(AH343="Yes due to Product Mix change or Operating Leverage",10,IF(AH343="Yes, these are peak margins",-5,IF(AH343="No",5,0)))</f>
        <v/>
      </c>
      <c r="AJ343" s="31" t="inlineStr">
        <is>
          <t>Volatile</t>
        </is>
      </c>
      <c r="AK343" s="31">
        <f>IF(AJ343="Stable",10,0)</f>
        <v/>
      </c>
      <c r="AL343" s="31" t="inlineStr">
        <is>
          <t>Yes</t>
        </is>
      </c>
      <c r="AM343" s="31">
        <f>IF(AL343="Yes",10,0)</f>
        <v/>
      </c>
      <c r="AN343" s="31" t="inlineStr">
        <is>
          <t>B2B</t>
        </is>
      </c>
      <c r="AO343" s="31">
        <f>IF(AN343="B2C",10,IF(AN343="B2B",5,0))</f>
        <v/>
      </c>
      <c r="AP343" s="31" t="inlineStr">
        <is>
          <t>Yes</t>
        </is>
      </c>
      <c r="AQ343" s="31">
        <f>IF(AP343="Yes",10,0)</f>
        <v/>
      </c>
      <c r="AR343" s="31" t="inlineStr">
        <is>
          <t>Higher One Time, Lower Annuity</t>
        </is>
      </c>
      <c r="AS343" s="31">
        <f>IF(AR343="Fully Annuity",10,IF(AR343="Higher Annuity, Lower One Time",5,IF(AR343="Higher One Time, Lower Annuity",3,0)))</f>
        <v/>
      </c>
      <c r="AT343" s="31" t="inlineStr">
        <is>
          <t>Good</t>
        </is>
      </c>
      <c r="AU343" s="31">
        <f>IF(AT343="Good",10,0)</f>
        <v/>
      </c>
      <c r="AV343" s="31" t="inlineStr">
        <is>
          <t>Yes for more than 2 years</t>
        </is>
      </c>
      <c r="AW343" s="31">
        <f>IF(AV343="Yes for more than 2 years",10,IF(AV343="Yes only for next 1 to 2 years",5,0))</f>
        <v/>
      </c>
      <c r="AX343" s="31" t="inlineStr">
        <is>
          <t>0 to 20</t>
        </is>
      </c>
      <c r="AY343" s="31">
        <f>IF(AX343="Above 40",20,IF(AX343="20 to 40",10,IF(AX343="0 to 20",-5,0)))</f>
        <v/>
      </c>
      <c r="AZ343" s="31" t="inlineStr">
        <is>
          <t>Between 50 to 75</t>
        </is>
      </c>
      <c r="BA343" s="31">
        <f>IF(AZ343="Between 50 to 75",10,IF(AZ343="Above 75",0,0))</f>
        <v/>
      </c>
      <c r="BB343" s="31" t="inlineStr">
        <is>
          <t>Stage 2</t>
        </is>
      </c>
      <c r="BC343" s="31">
        <f>IF(BB343="Stage 2",20,IF(BB343="Stage 1",0,IF(BB343="Stage 3",5,IF(BB343="Stage 4",-5,0))))</f>
        <v/>
      </c>
      <c r="BD343" s="31" t="inlineStr">
        <is>
          <t>Positive Trend</t>
        </is>
      </c>
      <c r="BE343" s="31">
        <f>IF(BD343="Positive Trend",20,IF(BD343="Negative Trend",-10,0))</f>
        <v/>
      </c>
      <c r="BF343" s="31" t="inlineStr">
        <is>
          <t>Uptrend</t>
        </is>
      </c>
      <c r="BG343" s="31">
        <f>IF(BF343="Uptrend",10,IF(BF343="Sideways",5,0))</f>
        <v/>
      </c>
      <c r="BH343" s="31" t="inlineStr">
        <is>
          <t>Uptrend</t>
        </is>
      </c>
      <c r="BI343" s="31">
        <f>IF(BH343="Uptrend",10,IF(BH343="Sideways",5,0))</f>
        <v/>
      </c>
      <c r="BJ343" s="31" t="inlineStr">
        <is>
          <t>Close to 52 week high or retracement</t>
        </is>
      </c>
      <c r="BK343" s="31">
        <f>IF(BJ343="Overhead supply in last 2 years in last 2 years",-5,IF(BJ343="Close to 52 week high or retracement",5,IF(BJ343="Blue sky scenario",10,IF(BJ343="Long term Downtrend",-10,0))))</f>
        <v/>
      </c>
      <c r="BL343" s="31" t="inlineStr">
        <is>
          <t>Yes</t>
        </is>
      </c>
      <c r="BM343" s="31">
        <f>IF(BL343="Yes",10,0)</f>
        <v/>
      </c>
      <c r="BN343" s="31" t="inlineStr">
        <is>
          <t>More than 20%</t>
        </is>
      </c>
      <c r="BO343" s="31">
        <f>IF(BN343="More than 20%",10,IF(BN343="Between 12 to 20%",5,IF(BN343="Less than 12%",0,0)))</f>
        <v/>
      </c>
      <c r="BP343" s="31" t="inlineStr">
        <is>
          <t>No</t>
        </is>
      </c>
      <c r="BQ343" s="31">
        <f>IF(BP343="No",10,0)</f>
        <v/>
      </c>
      <c r="BR343" s="31" t="inlineStr">
        <is>
          <t>No</t>
        </is>
      </c>
      <c r="BS343" s="31">
        <f>IF(BR343="NO",5,0)</f>
        <v/>
      </c>
      <c r="BT343" s="31" t="inlineStr">
        <is>
          <t>Above 2</t>
        </is>
      </c>
      <c r="BU343" s="31">
        <f>IF(BT343="Above 2",0,IF(BT343="Between 1.5 to 2",5,IF(BT343="Less than 1.5",10,0)))</f>
        <v/>
      </c>
      <c r="BV343" s="31" t="inlineStr">
        <is>
          <t>Above 70%</t>
        </is>
      </c>
      <c r="BW343" s="31">
        <f>IF(BV343="Above 70%",10,IF(BV343="Between 50% to 70%",5,IF(BV343="Less than 50%",0,IF(BV343="Negative",-10,IF(BV343="Less than 50% and Borrowings are increasing",-5,0)))))</f>
        <v/>
      </c>
      <c r="BX343" s="31" t="inlineStr">
        <is>
          <t>Less than 0.7</t>
        </is>
      </c>
      <c r="BY343" s="31">
        <f>IF(BX343="More than 1.2",-10,IF(BX343="Between 0.7 to 1.2",0,IF(BX343="Less than 0.7",10,0)))</f>
        <v/>
      </c>
      <c r="BZ343" s="31" t="inlineStr">
        <is>
          <t>No</t>
        </is>
      </c>
      <c r="CA343" s="31">
        <f>IF(BZ343="Yes",-10,0)</f>
        <v/>
      </c>
      <c r="CB343" s="31" t="inlineStr">
        <is>
          <t>Less than 15%</t>
        </is>
      </c>
      <c r="CC343" s="31">
        <f>IF(CB343="More than 15%",-10,IF(CB343="Less than 15%",10,0))</f>
        <v/>
      </c>
      <c r="CD343" s="31" t="inlineStr">
        <is>
          <t>No</t>
        </is>
      </c>
      <c r="CE343" s="31">
        <f>IF(CD343="Yes, more than 10%",-10,IF(CD343="No",10,0))</f>
        <v/>
      </c>
    </row>
    <row r="344">
      <c r="A344" s="31">
        <f>IF(B344=0,"",RANK(B344,$B$2:$B$372,0))</f>
        <v/>
      </c>
      <c r="B344" s="32">
        <f>SUM(N344,Y344,AA344,AC344,AE344,AG344,AI344,AK344,AM344,AO344,AQ344,AS344,AU344,AW344,AY344,BA344,BC344,BE344,BG344,BI344,BK344,BM344,BO344,BQ344,BS344,BU344,BW344,BY344,CA344,CC344,CE344)</f>
        <v/>
      </c>
      <c r="C344" s="31" t="inlineStr">
        <is>
          <t>JINDRILL</t>
        </is>
      </c>
      <c r="D344" s="31" t="inlineStr">
        <is>
          <t>Jindal Drilling And Industries Limited</t>
        </is>
      </c>
      <c r="E344" s="31" t="inlineStr">
        <is>
          <t>energy</t>
        </is>
      </c>
      <c r="F344" s="31" t="inlineStr">
        <is>
          <t>oil drilling / allied services</t>
        </is>
      </c>
      <c r="G344" s="31" t="inlineStr">
        <is>
          <t>smallcap</t>
        </is>
      </c>
      <c r="H344" s="32" t="n">
        <v>1784.95</v>
      </c>
      <c r="I344" s="32" t="n">
        <v>632.45</v>
      </c>
      <c r="J344" s="32" t="n">
        <v>2.69</v>
      </c>
      <c r="K344" s="32" t="n">
        <v>189191</v>
      </c>
      <c r="L344" s="31" t="inlineStr"/>
      <c r="M344" s="31" t="inlineStr"/>
      <c r="N344" s="32">
        <f>IF(M344="Underperforming",-5,IF(L344&gt;=95,15,IF(L344&gt;=90,10,IF(L344&gt;=80,5,0))))</f>
        <v/>
      </c>
      <c r="O344" s="32" t="n">
        <v>56.71</v>
      </c>
      <c r="P344" s="32" t="n">
        <v>46.04</v>
      </c>
      <c r="Q344" s="32" t="n">
        <v>464.72</v>
      </c>
      <c r="R344" s="31" t="inlineStr">
        <is>
          <t>Earnings / Momentum Support</t>
        </is>
      </c>
      <c r="S344" s="31" t="inlineStr">
        <is>
          <t>Nifty Energy</t>
        </is>
      </c>
      <c r="T344" s="32" t="inlineStr"/>
      <c r="U344" s="32" t="inlineStr"/>
      <c r="V344" s="32" t="inlineStr"/>
      <c r="W344" s="32" t="inlineStr"/>
      <c r="X344" s="31" t="inlineStr">
        <is>
          <t>Cyclical in an Upturn</t>
        </is>
      </c>
      <c r="Y344" s="31">
        <f>IF(X344="Growing Industry",10,IF(X344="Cyclical in an Upturn",5,0))</f>
        <v/>
      </c>
      <c r="Z344" s="31" t="inlineStr">
        <is>
          <t>Oligopoly</t>
        </is>
      </c>
      <c r="AA344" s="31">
        <f>IF(Z344="Monopoly",10,IF(Z344="Oligopoly",5,IF(Z344="Duopoly that cooperate",10,IF(Z344="Duopoly that compete",5,IF(Z344="Too many players with High ROCE",5,0)))))</f>
        <v/>
      </c>
      <c r="AB344" s="31" t="inlineStr">
        <is>
          <t>Yes</t>
        </is>
      </c>
      <c r="AC344" s="31">
        <f>IF(AB344="No",5,0)</f>
        <v/>
      </c>
      <c r="AD344" s="31" t="inlineStr">
        <is>
          <t>Tailwind</t>
        </is>
      </c>
      <c r="AE344" s="31">
        <f>IF(AD344="Tailwind",10,0)</f>
        <v/>
      </c>
      <c r="AF344" s="31" t="inlineStr">
        <is>
          <t>Cyclical</t>
        </is>
      </c>
      <c r="AG344" s="31">
        <f>IF(AF344="Structural (10 Years Consistency)",10,IF(AF344="Shallow Cyclical (2 to 3 years growth)",5,0))</f>
        <v/>
      </c>
      <c r="AH344" s="31" t="inlineStr">
        <is>
          <t>No</t>
        </is>
      </c>
      <c r="AI344" s="31">
        <f>IF(AH344="Yes due to Product Mix change or Operating Leverage",10,IF(AH344="Yes, these are peak margins",-5,IF(AH344="No",5,0)))</f>
        <v/>
      </c>
      <c r="AJ344" s="31" t="inlineStr">
        <is>
          <t>Volatile</t>
        </is>
      </c>
      <c r="AK344" s="31">
        <f>IF(AJ344="Stable",10,0)</f>
        <v/>
      </c>
      <c r="AL344" s="31" t="inlineStr">
        <is>
          <t>Yes</t>
        </is>
      </c>
      <c r="AM344" s="31">
        <f>IF(AL344="Yes",10,0)</f>
        <v/>
      </c>
      <c r="AN344" s="31" t="inlineStr">
        <is>
          <t>B2B</t>
        </is>
      </c>
      <c r="AO344" s="31">
        <f>IF(AN344="B2C",10,IF(AN344="B2B",5,0))</f>
        <v/>
      </c>
      <c r="AP344" s="31" t="inlineStr">
        <is>
          <t>No</t>
        </is>
      </c>
      <c r="AQ344" s="31">
        <f>IF(AP344="Yes",10,0)</f>
        <v/>
      </c>
      <c r="AR344" s="31" t="inlineStr">
        <is>
          <t>Higher One Time, Lower Annuity</t>
        </is>
      </c>
      <c r="AS344" s="31">
        <f>IF(AR344="Fully Annuity",10,IF(AR344="Higher Annuity, Lower One Time",5,IF(AR344="Higher One Time, Lower Annuity",3,0)))</f>
        <v/>
      </c>
      <c r="AT344" s="31" t="inlineStr">
        <is>
          <t>Good</t>
        </is>
      </c>
      <c r="AU344" s="31">
        <f>IF(AT344="Good",10,0)</f>
        <v/>
      </c>
      <c r="AV344" s="31" t="inlineStr">
        <is>
          <t>Yes for more than 2 years</t>
        </is>
      </c>
      <c r="AW344" s="31">
        <f>IF(AV344="Yes for more than 2 years",10,IF(AV344="Yes only for next 1 to 2 years",5,0))</f>
        <v/>
      </c>
      <c r="AX344" s="31" t="inlineStr">
        <is>
          <t>Above 40</t>
        </is>
      </c>
      <c r="AY344" s="31">
        <f>IF(AX344="Above 40",20,IF(AX344="20 to 40",10,IF(AX344="0 to 20",-5,0)))</f>
        <v/>
      </c>
      <c r="AZ344" s="31" t="inlineStr">
        <is>
          <t>Between 50 to 75</t>
        </is>
      </c>
      <c r="BA344" s="31">
        <f>IF(AZ344="Between 50 to 75",10,IF(AZ344="Above 75",0,0))</f>
        <v/>
      </c>
      <c r="BB344" s="31" t="inlineStr">
        <is>
          <t>Stage 2</t>
        </is>
      </c>
      <c r="BC344" s="31">
        <f>IF(BB344="Stage 2",20,IF(BB344="Stage 1",0,IF(BB344="Stage 3",5,IF(BB344="Stage 4",-5,0))))</f>
        <v/>
      </c>
      <c r="BD344" s="31" t="inlineStr">
        <is>
          <t>Positive Trend</t>
        </is>
      </c>
      <c r="BE344" s="31">
        <f>IF(BD344="Positive Trend",20,IF(BD344="Negative Trend",-10,0))</f>
        <v/>
      </c>
      <c r="BF344" s="31" t="inlineStr">
        <is>
          <t>Uptrend</t>
        </is>
      </c>
      <c r="BG344" s="31">
        <f>IF(BF344="Uptrend",10,IF(BF344="Sideways",5,0))</f>
        <v/>
      </c>
      <c r="BH344" s="31" t="inlineStr">
        <is>
          <t>Uptrend</t>
        </is>
      </c>
      <c r="BI344" s="31">
        <f>IF(BH344="Uptrend",10,IF(BH344="Sideways",5,0))</f>
        <v/>
      </c>
      <c r="BJ344" s="31" t="inlineStr">
        <is>
          <t>Close to 52 week high or retracement</t>
        </is>
      </c>
      <c r="BK344" s="31">
        <f>IF(BJ344="Overhead supply in last 2 years in last 2 years",-5,IF(BJ344="Close to 52 week high or retracement",5,IF(BJ344="Blue sky scenario",10,IF(BJ344="Long term Downtrend",-10,0))))</f>
        <v/>
      </c>
      <c r="BL344" s="31" t="inlineStr">
        <is>
          <t>Yes</t>
        </is>
      </c>
      <c r="BM344" s="31">
        <f>IF(BL344="Yes",10,0)</f>
        <v/>
      </c>
      <c r="BN344" s="31" t="inlineStr">
        <is>
          <t>Less than 12%</t>
        </is>
      </c>
      <c r="BO344" s="31">
        <f>IF(BN344="More than 20%",10,IF(BN344="Between 12 to 20%",5,IF(BN344="Less than 12%",0,0)))</f>
        <v/>
      </c>
      <c r="BP344" s="31" t="inlineStr">
        <is>
          <t>No</t>
        </is>
      </c>
      <c r="BQ344" s="31">
        <f>IF(BP344="No",10,0)</f>
        <v/>
      </c>
      <c r="BR344" s="31" t="inlineStr">
        <is>
          <t>No</t>
        </is>
      </c>
      <c r="BS344" s="31">
        <f>IF(BR344="NO",5,0)</f>
        <v/>
      </c>
      <c r="BT344" s="31" t="inlineStr">
        <is>
          <t>Above 2</t>
        </is>
      </c>
      <c r="BU344" s="31">
        <f>IF(BT344="Above 2",0,IF(BT344="Between 1.5 to 2",5,IF(BT344="Less than 1.5",10,0)))</f>
        <v/>
      </c>
      <c r="BV344" s="31" t="inlineStr">
        <is>
          <t>Above 70%</t>
        </is>
      </c>
      <c r="BW344" s="31">
        <f>IF(BV344="Above 70%",10,IF(BV344="Between 50% to 70%",5,IF(BV344="Less than 50%",0,IF(BV344="Negative",-10,IF(BV344="Less than 50% and Borrowings are increasing",-5,0)))))</f>
        <v/>
      </c>
      <c r="BX344" s="31" t="inlineStr">
        <is>
          <t>Less than 0.7</t>
        </is>
      </c>
      <c r="BY344" s="31">
        <f>IF(BX344="More than 1.2",-10,IF(BX344="Between 0.7 to 1.2",0,IF(BX344="Less than 0.7",10,0)))</f>
        <v/>
      </c>
      <c r="BZ344" s="31" t="inlineStr">
        <is>
          <t>No</t>
        </is>
      </c>
      <c r="CA344" s="31">
        <f>IF(BZ344="Yes",-10,0)</f>
        <v/>
      </c>
      <c r="CB344" s="31" t="inlineStr">
        <is>
          <t>Less than 15%</t>
        </is>
      </c>
      <c r="CC344" s="31">
        <f>IF(CB344="More than 15%",-10,IF(CB344="Less than 15%",10,0))</f>
        <v/>
      </c>
      <c r="CD344" s="31" t="inlineStr">
        <is>
          <t>No</t>
        </is>
      </c>
      <c r="CE344" s="31">
        <f>IF(CD344="Yes, more than 10%",-10,IF(CD344="No",10,0))</f>
        <v/>
      </c>
    </row>
    <row r="345">
      <c r="A345" s="31">
        <f>IF(B345=0,"",RANK(B345,$B$2:$B$372,0))</f>
        <v/>
      </c>
      <c r="B345" s="32">
        <f>SUM(N345,Y345,AA345,AC345,AE345,AG345,AI345,AK345,AM345,AO345,AQ345,AS345,AU345,AW345,AY345,BA345,BC345,BE345,BG345,BI345,BK345,BM345,BO345,BQ345,BS345,BU345,BW345,BY345,CA345,CC345,CE345)</f>
        <v/>
      </c>
      <c r="C345" s="31" t="inlineStr">
        <is>
          <t>BIL</t>
        </is>
      </c>
      <c r="D345" s="31" t="inlineStr">
        <is>
          <t>Bhartiya International Limited</t>
        </is>
      </c>
      <c r="E345" s="31" t="inlineStr">
        <is>
          <t>consumer discretionary</t>
        </is>
      </c>
      <c r="F345" s="31" t="inlineStr">
        <is>
          <t>leather / leather products</t>
        </is>
      </c>
      <c r="G345" s="31" t="inlineStr">
        <is>
          <t>smallcap</t>
        </is>
      </c>
      <c r="H345" s="32" t="n">
        <v>1134.19</v>
      </c>
      <c r="I345" s="32" t="n">
        <v>849.85</v>
      </c>
      <c r="J345" s="32" t="n">
        <v>0.48</v>
      </c>
      <c r="K345" s="32" t="n">
        <v>8497</v>
      </c>
      <c r="L345" s="31" t="n">
        <v>6</v>
      </c>
      <c r="M345" s="31" t="inlineStr">
        <is>
          <t>Outperforming</t>
        </is>
      </c>
      <c r="N345" s="32">
        <f>IF(M345="Underperforming",-5,IF(L345&gt;=95,15,IF(L345&gt;=90,10,IF(L345&gt;=80,5,0))))</f>
        <v/>
      </c>
      <c r="O345" s="32" t="n">
        <v>59.13</v>
      </c>
      <c r="P345" s="32" t="n">
        <v>16.17</v>
      </c>
      <c r="Q345" s="32" t="n">
        <v>610.01</v>
      </c>
      <c r="R345" s="31" t="inlineStr">
        <is>
          <t>Earnings / Momentum Support</t>
        </is>
      </c>
      <c r="S345" s="31" t="inlineStr">
        <is>
          <t>Nifty 50</t>
        </is>
      </c>
      <c r="T345" s="32" t="n">
        <v>-0.9</v>
      </c>
      <c r="U345" s="32" t="n">
        <v>0.42</v>
      </c>
      <c r="V345" s="32" t="n">
        <v>1.33</v>
      </c>
      <c r="W345" s="32" t="n">
        <v>2.07</v>
      </c>
      <c r="X345" s="31" t="inlineStr">
        <is>
          <t>Growing Industry</t>
        </is>
      </c>
      <c r="Y345" s="31">
        <f>IF(X345="Growing Industry",10,IF(X345="Cyclical in an Upturn",5,0))</f>
        <v/>
      </c>
      <c r="Z345" s="31" t="inlineStr">
        <is>
          <t>Too Many Players with High ROCE</t>
        </is>
      </c>
      <c r="AA345" s="31">
        <f>IF(Z345="Monopoly",10,IF(Z345="Oligopoly",5,IF(Z345="Duopoly that cooperate",10,IF(Z345="Duopoly that compete",5,IF(Z345="Too many players with High ROCE",5,0)))))</f>
        <v/>
      </c>
      <c r="AB345" s="31" t="inlineStr">
        <is>
          <t>No</t>
        </is>
      </c>
      <c r="AC345" s="31">
        <f>IF(AB345="No",5,0)</f>
        <v/>
      </c>
      <c r="AD345" s="31" t="inlineStr">
        <is>
          <t>Tailwind</t>
        </is>
      </c>
      <c r="AE345" s="31">
        <f>IF(AD345="Tailwind",10,0)</f>
        <v/>
      </c>
      <c r="AF345" s="31" t="inlineStr">
        <is>
          <t>Structural (10 Years Consistency)</t>
        </is>
      </c>
      <c r="AG345" s="31">
        <f>IF(AF345="Structural (10 Years Consistency)",10,IF(AF345="Shallow Cyclical (2 to 3 years growth)",5,0))</f>
        <v/>
      </c>
      <c r="AH345" s="31" t="inlineStr">
        <is>
          <t>No</t>
        </is>
      </c>
      <c r="AI345" s="31">
        <f>IF(AH345="Yes due to Product Mix change or Operating Leverage",10,IF(AH345="Yes, these are peak margins",-5,IF(AH345="No",5,0)))</f>
        <v/>
      </c>
      <c r="AJ345" s="31" t="inlineStr">
        <is>
          <t>Stable</t>
        </is>
      </c>
      <c r="AK345" s="31">
        <f>IF(AJ345="Stable",10,0)</f>
        <v/>
      </c>
      <c r="AL345" s="31" t="inlineStr">
        <is>
          <t>Yes</t>
        </is>
      </c>
      <c r="AM345" s="31">
        <f>IF(AL345="Yes",10,0)</f>
        <v/>
      </c>
      <c r="AN345" s="31" t="inlineStr">
        <is>
          <t>B2B</t>
        </is>
      </c>
      <c r="AO345" s="31">
        <f>IF(AN345="B2C",10,IF(AN345="B2B",5,0))</f>
        <v/>
      </c>
      <c r="AP345" s="31" t="inlineStr">
        <is>
          <t>No</t>
        </is>
      </c>
      <c r="AQ345" s="31">
        <f>IF(AP345="Yes",10,0)</f>
        <v/>
      </c>
      <c r="AR345" s="31" t="inlineStr">
        <is>
          <t>Higher One Time, Lower Annuity</t>
        </is>
      </c>
      <c r="AS345" s="31">
        <f>IF(AR345="Fully Annuity",10,IF(AR345="Higher Annuity, Lower One Time",5,IF(AR345="Higher One Time, Lower Annuity",3,0)))</f>
        <v/>
      </c>
      <c r="AT345" s="31" t="inlineStr">
        <is>
          <t>Good</t>
        </is>
      </c>
      <c r="AU345" s="31">
        <f>IF(AT345="Good",10,0)</f>
        <v/>
      </c>
      <c r="AV345" s="31" t="inlineStr">
        <is>
          <t>Yes for more than 2 years</t>
        </is>
      </c>
      <c r="AW345" s="31">
        <f>IF(AV345="Yes for more than 2 years",10,IF(AV345="Yes only for next 1 to 2 years",5,0))</f>
        <v/>
      </c>
      <c r="AX345" s="31" t="inlineStr">
        <is>
          <t>0 to 20</t>
        </is>
      </c>
      <c r="AY345" s="31">
        <f>IF(AX345="Above 40",20,IF(AX345="20 to 40",10,IF(AX345="0 to 20",-5,0)))</f>
        <v/>
      </c>
      <c r="AZ345" s="31" t="inlineStr">
        <is>
          <t>Between 50 to 75</t>
        </is>
      </c>
      <c r="BA345" s="31">
        <f>IF(AZ345="Between 50 to 75",10,IF(AZ345="Above 75",0,0))</f>
        <v/>
      </c>
      <c r="BB345" s="31" t="inlineStr">
        <is>
          <t>Stage 2</t>
        </is>
      </c>
      <c r="BC345" s="31">
        <f>IF(BB345="Stage 2",20,IF(BB345="Stage 1",0,IF(BB345="Stage 3",5,IF(BB345="Stage 4",-5,0))))</f>
        <v/>
      </c>
      <c r="BD345" s="31" t="inlineStr">
        <is>
          <t>Positive Trend</t>
        </is>
      </c>
      <c r="BE345" s="31">
        <f>IF(BD345="Positive Trend",20,IF(BD345="Negative Trend",-10,0))</f>
        <v/>
      </c>
      <c r="BF345" s="31" t="inlineStr">
        <is>
          <t>Uptrend</t>
        </is>
      </c>
      <c r="BG345" s="31">
        <f>IF(BF345="Uptrend",10,IF(BF345="Sideways",5,0))</f>
        <v/>
      </c>
      <c r="BH345" s="31" t="inlineStr">
        <is>
          <t>Uptrend</t>
        </is>
      </c>
      <c r="BI345" s="31">
        <f>IF(BH345="Uptrend",10,IF(BH345="Sideways",5,0))</f>
        <v/>
      </c>
      <c r="BJ345" s="31" t="inlineStr">
        <is>
          <t>Close to 52 week high or retracement</t>
        </is>
      </c>
      <c r="BK345" s="31">
        <f>IF(BJ345="Overhead supply in last 2 years in last 2 years",-5,IF(BJ345="Close to 52 week high or retracement",5,IF(BJ345="Blue sky scenario",10,IF(BJ345="Long term Downtrend",-10,0))))</f>
        <v/>
      </c>
      <c r="BL345" s="31" t="inlineStr">
        <is>
          <t>Yes</t>
        </is>
      </c>
      <c r="BM345" s="31">
        <f>IF(BL345="Yes",10,0)</f>
        <v/>
      </c>
      <c r="BN345" s="31" t="inlineStr">
        <is>
          <t>More than 20%</t>
        </is>
      </c>
      <c r="BO345" s="31">
        <f>IF(BN345="More than 20%",10,IF(BN345="Between 12 to 20%",5,IF(BN345="Less than 12%",0,0)))</f>
        <v/>
      </c>
      <c r="BP345" s="31" t="inlineStr">
        <is>
          <t>No</t>
        </is>
      </c>
      <c r="BQ345" s="31">
        <f>IF(BP345="No",10,0)</f>
        <v/>
      </c>
      <c r="BR345" s="31" t="inlineStr">
        <is>
          <t>Yes</t>
        </is>
      </c>
      <c r="BS345" s="31">
        <f>IF(BR345="NO",5,0)</f>
        <v/>
      </c>
      <c r="BT345" s="31" t="inlineStr">
        <is>
          <t>Above 2</t>
        </is>
      </c>
      <c r="BU345" s="31">
        <f>IF(BT345="Above 2",0,IF(BT345="Between 1.5 to 2",5,IF(BT345="Less than 1.5",10,0)))</f>
        <v/>
      </c>
      <c r="BV345" s="31" t="inlineStr">
        <is>
          <t>Above 70%</t>
        </is>
      </c>
      <c r="BW345" s="31">
        <f>IF(BV345="Above 70%",10,IF(BV345="Between 50% to 70%",5,IF(BV345="Less than 50%",0,IF(BV345="Negative",-10,IF(BV345="Less than 50% and Borrowings are increasing",-5,0)))))</f>
        <v/>
      </c>
      <c r="BX345" s="31" t="inlineStr">
        <is>
          <t>Between 0.7 to 1.2</t>
        </is>
      </c>
      <c r="BY345" s="31">
        <f>IF(BX345="More than 1.2",-10,IF(BX345="Between 0.7 to 1.2",0,IF(BX345="Less than 0.7",10,0)))</f>
        <v/>
      </c>
      <c r="BZ345" s="31" t="inlineStr">
        <is>
          <t>No</t>
        </is>
      </c>
      <c r="CA345" s="31">
        <f>IF(BZ345="Yes",-10,0)</f>
        <v/>
      </c>
      <c r="CB345" s="31" t="inlineStr">
        <is>
          <t>Less than 15%</t>
        </is>
      </c>
      <c r="CC345" s="31">
        <f>IF(CB345="More than 15%",-10,IF(CB345="Less than 15%",10,0))</f>
        <v/>
      </c>
      <c r="CD345" s="31" t="inlineStr">
        <is>
          <t>No</t>
        </is>
      </c>
      <c r="CE345" s="31">
        <f>IF(CD345="Yes, more than 10%",-10,IF(CD345="No",10,0))</f>
        <v/>
      </c>
    </row>
    <row r="346">
      <c r="A346" s="31">
        <f>IF(B346=0,"",RANK(B346,$B$2:$B$372,0))</f>
        <v/>
      </c>
      <c r="B346" s="32">
        <f>SUM(N346,Y346,AA346,AC346,AE346,AG346,AI346,AK346,AM346,AO346,AQ346,AS346,AU346,AW346,AY346,BA346,BC346,BE346,BG346,BI346,BK346,BM346,BO346,BQ346,BS346,BU346,BW346,BY346,CA346,CC346,CE346)</f>
        <v/>
      </c>
      <c r="C346" s="31" t="inlineStr">
        <is>
          <t>TNPETRO</t>
        </is>
      </c>
      <c r="D346" s="31" t="inlineStr">
        <is>
          <t>Tamilnadu Petroproducts Limited</t>
        </is>
      </c>
      <c r="E346" s="31" t="inlineStr">
        <is>
          <t>energy</t>
        </is>
      </c>
      <c r="F346" s="31" t="inlineStr">
        <is>
          <t>petrochemicals</t>
        </is>
      </c>
      <c r="G346" s="31" t="inlineStr">
        <is>
          <t>smallcap</t>
        </is>
      </c>
      <c r="H346" s="32" t="n">
        <v>1027.56</v>
      </c>
      <c r="I346" s="32" t="n">
        <v>113.27</v>
      </c>
      <c r="J346" s="32" t="n">
        <v>-0.82</v>
      </c>
      <c r="K346" s="32" t="n">
        <v>253480</v>
      </c>
      <c r="L346" s="31" t="inlineStr"/>
      <c r="M346" s="31" t="inlineStr"/>
      <c r="N346" s="32">
        <f>IF(M346="Underperforming",-5,IF(L346&gt;=95,15,IF(L346&gt;=90,10,IF(L346&gt;=80,5,0))))</f>
        <v/>
      </c>
      <c r="O346" s="32" t="n">
        <v>69.81999999999999</v>
      </c>
      <c r="P346" s="32" t="n">
        <v>27.61</v>
      </c>
      <c r="Q346" s="32" t="n">
        <v>90.84999999999999</v>
      </c>
      <c r="R346" s="31" t="inlineStr">
        <is>
          <t>Earnings / Momentum Support</t>
        </is>
      </c>
      <c r="S346" s="31" t="inlineStr">
        <is>
          <t>Nifty Energy</t>
        </is>
      </c>
      <c r="T346" s="32" t="inlineStr"/>
      <c r="U346" s="32" t="inlineStr"/>
      <c r="V346" s="32" t="inlineStr"/>
      <c r="W346" s="32" t="inlineStr"/>
      <c r="X346" s="31" t="inlineStr">
        <is>
          <t>Cyclical in an Upturn</t>
        </is>
      </c>
      <c r="Y346" s="31">
        <f>IF(X346="Growing Industry",10,IF(X346="Cyclical in an Upturn",5,0))</f>
        <v/>
      </c>
      <c r="Z346" s="31" t="inlineStr">
        <is>
          <t>Oligopoly</t>
        </is>
      </c>
      <c r="AA346" s="31">
        <f>IF(Z346="Monopoly",10,IF(Z346="Oligopoly",5,IF(Z346="Duopoly that cooperate",10,IF(Z346="Duopoly that compete",5,IF(Z346="Too many players with High ROCE",5,0)))))</f>
        <v/>
      </c>
      <c r="AB346" s="31" t="inlineStr">
        <is>
          <t>Yes</t>
        </is>
      </c>
      <c r="AC346" s="31">
        <f>IF(AB346="No",5,0)</f>
        <v/>
      </c>
      <c r="AD346" s="31" t="inlineStr">
        <is>
          <t>Tailwind</t>
        </is>
      </c>
      <c r="AE346" s="31">
        <f>IF(AD346="Tailwind",10,0)</f>
        <v/>
      </c>
      <c r="AF346" s="31" t="inlineStr">
        <is>
          <t>Cyclical</t>
        </is>
      </c>
      <c r="AG346" s="31">
        <f>IF(AF346="Structural (10 Years Consistency)",10,IF(AF346="Shallow Cyclical (2 to 3 years growth)",5,0))</f>
        <v/>
      </c>
      <c r="AH346" s="31" t="inlineStr">
        <is>
          <t>No</t>
        </is>
      </c>
      <c r="AI346" s="31">
        <f>IF(AH346="Yes due to Product Mix change or Operating Leverage",10,IF(AH346="Yes, these are peak margins",-5,IF(AH346="No",5,0)))</f>
        <v/>
      </c>
      <c r="AJ346" s="31" t="inlineStr">
        <is>
          <t>Volatile</t>
        </is>
      </c>
      <c r="AK346" s="31">
        <f>IF(AJ346="Stable",10,0)</f>
        <v/>
      </c>
      <c r="AL346" s="31" t="inlineStr">
        <is>
          <t>Yes</t>
        </is>
      </c>
      <c r="AM346" s="31">
        <f>IF(AL346="Yes",10,0)</f>
        <v/>
      </c>
      <c r="AN346" s="31" t="inlineStr">
        <is>
          <t>B2B</t>
        </is>
      </c>
      <c r="AO346" s="31">
        <f>IF(AN346="B2C",10,IF(AN346="B2B",5,0))</f>
        <v/>
      </c>
      <c r="AP346" s="31" t="inlineStr">
        <is>
          <t>No</t>
        </is>
      </c>
      <c r="AQ346" s="31">
        <f>IF(AP346="Yes",10,0)</f>
        <v/>
      </c>
      <c r="AR346" s="31" t="inlineStr">
        <is>
          <t>Higher One Time, Lower Annuity</t>
        </is>
      </c>
      <c r="AS346" s="31">
        <f>IF(AR346="Fully Annuity",10,IF(AR346="Higher Annuity, Lower One Time",5,IF(AR346="Higher One Time, Lower Annuity",3,0)))</f>
        <v/>
      </c>
      <c r="AT346" s="31" t="inlineStr">
        <is>
          <t>Good</t>
        </is>
      </c>
      <c r="AU346" s="31">
        <f>IF(AT346="Good",10,0)</f>
        <v/>
      </c>
      <c r="AV346" s="31" t="inlineStr">
        <is>
          <t>Yes for more than 2 years</t>
        </is>
      </c>
      <c r="AW346" s="31">
        <f>IF(AV346="Yes for more than 2 years",10,IF(AV346="Yes only for next 1 to 2 years",5,0))</f>
        <v/>
      </c>
      <c r="AX346" s="31" t="inlineStr">
        <is>
          <t>20 to 40</t>
        </is>
      </c>
      <c r="AY346" s="31">
        <f>IF(AX346="Above 40",20,IF(AX346="20 to 40",10,IF(AX346="0 to 20",-5,0)))</f>
        <v/>
      </c>
      <c r="AZ346" s="31" t="inlineStr">
        <is>
          <t>Between 50 to 75</t>
        </is>
      </c>
      <c r="BA346" s="31">
        <f>IF(AZ346="Between 50 to 75",10,IF(AZ346="Above 75",0,0))</f>
        <v/>
      </c>
      <c r="BB346" s="31" t="inlineStr">
        <is>
          <t>Stage 2</t>
        </is>
      </c>
      <c r="BC346" s="31">
        <f>IF(BB346="Stage 2",20,IF(BB346="Stage 1",0,IF(BB346="Stage 3",5,IF(BB346="Stage 4",-5,0))))</f>
        <v/>
      </c>
      <c r="BD346" s="31" t="inlineStr">
        <is>
          <t>Positive Trend</t>
        </is>
      </c>
      <c r="BE346" s="31">
        <f>IF(BD346="Positive Trend",20,IF(BD346="Negative Trend",-10,0))</f>
        <v/>
      </c>
      <c r="BF346" s="31" t="inlineStr">
        <is>
          <t>Uptrend</t>
        </is>
      </c>
      <c r="BG346" s="31">
        <f>IF(BF346="Uptrend",10,IF(BF346="Sideways",5,0))</f>
        <v/>
      </c>
      <c r="BH346" s="31" t="inlineStr">
        <is>
          <t>Uptrend</t>
        </is>
      </c>
      <c r="BI346" s="31">
        <f>IF(BH346="Uptrend",10,IF(BH346="Sideways",5,0))</f>
        <v/>
      </c>
      <c r="BJ346" s="31" t="inlineStr">
        <is>
          <t>Close to 52 week high or retracement</t>
        </is>
      </c>
      <c r="BK346" s="31">
        <f>IF(BJ346="Overhead supply in last 2 years in last 2 years",-5,IF(BJ346="Close to 52 week high or retracement",5,IF(BJ346="Blue sky scenario",10,IF(BJ346="Long term Downtrend",-10,0))))</f>
        <v/>
      </c>
      <c r="BL346" s="31" t="inlineStr">
        <is>
          <t>Yes</t>
        </is>
      </c>
      <c r="BM346" s="31">
        <f>IF(BL346="Yes",10,0)</f>
        <v/>
      </c>
      <c r="BN346" s="31" t="inlineStr">
        <is>
          <t>More than 20%</t>
        </is>
      </c>
      <c r="BO346" s="31">
        <f>IF(BN346="More than 20%",10,IF(BN346="Between 12 to 20%",5,IF(BN346="Less than 12%",0,0)))</f>
        <v/>
      </c>
      <c r="BP346" s="31" t="inlineStr">
        <is>
          <t>No</t>
        </is>
      </c>
      <c r="BQ346" s="31">
        <f>IF(BP346="No",10,0)</f>
        <v/>
      </c>
      <c r="BR346" s="31" t="inlineStr">
        <is>
          <t>No</t>
        </is>
      </c>
      <c r="BS346" s="31">
        <f>IF(BR346="NO",5,0)</f>
        <v/>
      </c>
      <c r="BT346" s="31" t="inlineStr">
        <is>
          <t>Above 2</t>
        </is>
      </c>
      <c r="BU346" s="31">
        <f>IF(BT346="Above 2",0,IF(BT346="Between 1.5 to 2",5,IF(BT346="Less than 1.5",10,0)))</f>
        <v/>
      </c>
      <c r="BV346" s="31" t="inlineStr">
        <is>
          <t>Above 70%</t>
        </is>
      </c>
      <c r="BW346" s="31">
        <f>IF(BV346="Above 70%",10,IF(BV346="Between 50% to 70%",5,IF(BV346="Less than 50%",0,IF(BV346="Negative",-10,IF(BV346="Less than 50% and Borrowings are increasing",-5,0)))))</f>
        <v/>
      </c>
      <c r="BX346" s="31" t="inlineStr">
        <is>
          <t>Less than 0.7</t>
        </is>
      </c>
      <c r="BY346" s="31">
        <f>IF(BX346="More than 1.2",-10,IF(BX346="Between 0.7 to 1.2",0,IF(BX346="Less than 0.7",10,0)))</f>
        <v/>
      </c>
      <c r="BZ346" s="31" t="inlineStr">
        <is>
          <t>No</t>
        </is>
      </c>
      <c r="CA346" s="31">
        <f>IF(BZ346="Yes",-10,0)</f>
        <v/>
      </c>
      <c r="CB346" s="31" t="inlineStr">
        <is>
          <t>Less than 15%</t>
        </is>
      </c>
      <c r="CC346" s="31">
        <f>IF(CB346="More than 15%",-10,IF(CB346="Less than 15%",10,0))</f>
        <v/>
      </c>
      <c r="CD346" s="31" t="inlineStr">
        <is>
          <t>No</t>
        </is>
      </c>
      <c r="CE346" s="31">
        <f>IF(CD346="Yes, more than 10%",-10,IF(CD346="No",10,0))</f>
        <v/>
      </c>
    </row>
    <row r="347">
      <c r="A347" s="31">
        <f>IF(B347=0,"",RANK(B347,$B$2:$B$372,0))</f>
        <v/>
      </c>
      <c r="B347" s="32">
        <f>SUM(N347,Y347,AA347,AC347,AE347,AG347,AI347,AK347,AM347,AO347,AQ347,AS347,AU347,AW347,AY347,BA347,BC347,BE347,BG347,BI347,BK347,BM347,BO347,BQ347,BS347,BU347,BW347,BY347,CA347,CC347,CE347)</f>
        <v/>
      </c>
      <c r="C347" s="31" t="inlineStr">
        <is>
          <t>KCP</t>
        </is>
      </c>
      <c r="D347" s="31" t="inlineStr">
        <is>
          <t>Kcp Limited</t>
        </is>
      </c>
      <c r="E347" s="31" t="inlineStr">
        <is>
          <t>building materials</t>
        </is>
      </c>
      <c r="F347" s="31" t="inlineStr">
        <is>
          <t>cement - south india</t>
        </is>
      </c>
      <c r="G347" s="31" t="inlineStr">
        <is>
          <t>smallcap</t>
        </is>
      </c>
      <c r="H347" s="32" t="n">
        <v>2282.68</v>
      </c>
      <c r="I347" s="32" t="n">
        <v>171.15</v>
      </c>
      <c r="J347" s="32" t="n">
        <v>-3.34</v>
      </c>
      <c r="K347" s="32" t="n">
        <v>200939</v>
      </c>
      <c r="L347" s="31" t="inlineStr"/>
      <c r="M347" s="31" t="inlineStr"/>
      <c r="N347" s="32">
        <f>IF(M347="Underperforming",-5,IF(L347&gt;=95,15,IF(L347&gt;=90,10,IF(L347&gt;=80,5,0))))</f>
        <v/>
      </c>
      <c r="O347" s="32" t="n">
        <v>55.3</v>
      </c>
      <c r="P347" s="32" t="n">
        <v>5.75</v>
      </c>
      <c r="Q347" s="32" t="n">
        <v>133.28</v>
      </c>
      <c r="R347" s="31" t="inlineStr">
        <is>
          <t>Volume Spike / Accumulation</t>
        </is>
      </c>
      <c r="S347" s="31" t="inlineStr">
        <is>
          <t>Nifty Infra</t>
        </is>
      </c>
      <c r="T347" s="32" t="inlineStr"/>
      <c r="U347" s="32" t="inlineStr"/>
      <c r="V347" s="32" t="inlineStr"/>
      <c r="W347" s="32" t="inlineStr"/>
      <c r="X347" s="31" t="inlineStr">
        <is>
          <t>Growing Industry</t>
        </is>
      </c>
      <c r="Y347" s="31">
        <f>IF(X347="Growing Industry",10,IF(X347="Cyclical in an Upturn",5,0))</f>
        <v/>
      </c>
      <c r="Z347" s="31" t="inlineStr">
        <is>
          <t>Too Many Players with High ROCE</t>
        </is>
      </c>
      <c r="AA347" s="31">
        <f>IF(Z347="Monopoly",10,IF(Z347="Oligopoly",5,IF(Z347="Duopoly that cooperate",10,IF(Z347="Duopoly that compete",5,IF(Z347="Too many players with High ROCE",5,0)))))</f>
        <v/>
      </c>
      <c r="AB347" s="31" t="inlineStr">
        <is>
          <t>No</t>
        </is>
      </c>
      <c r="AC347" s="31">
        <f>IF(AB347="No",5,0)</f>
        <v/>
      </c>
      <c r="AD347" s="31" t="inlineStr">
        <is>
          <t>Tailwind</t>
        </is>
      </c>
      <c r="AE347" s="31">
        <f>IF(AD347="Tailwind",10,0)</f>
        <v/>
      </c>
      <c r="AF347" s="31" t="inlineStr">
        <is>
          <t>Structural (10 Years Consistency)</t>
        </is>
      </c>
      <c r="AG347" s="31">
        <f>IF(AF347="Structural (10 Years Consistency)",10,IF(AF347="Shallow Cyclical (2 to 3 years growth)",5,0))</f>
        <v/>
      </c>
      <c r="AH347" s="31" t="inlineStr">
        <is>
          <t>No</t>
        </is>
      </c>
      <c r="AI347" s="31">
        <f>IF(AH347="Yes due to Product Mix change or Operating Leverage",10,IF(AH347="Yes, these are peak margins",-5,IF(AH347="No",5,0)))</f>
        <v/>
      </c>
      <c r="AJ347" s="31" t="inlineStr">
        <is>
          <t>Stable</t>
        </is>
      </c>
      <c r="AK347" s="31">
        <f>IF(AJ347="Stable",10,0)</f>
        <v/>
      </c>
      <c r="AL347" s="31" t="inlineStr">
        <is>
          <t>Yes</t>
        </is>
      </c>
      <c r="AM347" s="31">
        <f>IF(AL347="Yes",10,0)</f>
        <v/>
      </c>
      <c r="AN347" s="31" t="inlineStr">
        <is>
          <t>B2B</t>
        </is>
      </c>
      <c r="AO347" s="31">
        <f>IF(AN347="B2C",10,IF(AN347="B2B",5,0))</f>
        <v/>
      </c>
      <c r="AP347" s="31" t="inlineStr">
        <is>
          <t>Yes</t>
        </is>
      </c>
      <c r="AQ347" s="31">
        <f>IF(AP347="Yes",10,0)</f>
        <v/>
      </c>
      <c r="AR347" s="31" t="inlineStr">
        <is>
          <t>Higher One Time, Lower Annuity</t>
        </is>
      </c>
      <c r="AS347" s="31">
        <f>IF(AR347="Fully Annuity",10,IF(AR347="Higher Annuity, Lower One Time",5,IF(AR347="Higher One Time, Lower Annuity",3,0)))</f>
        <v/>
      </c>
      <c r="AT347" s="31" t="inlineStr">
        <is>
          <t>Good</t>
        </is>
      </c>
      <c r="AU347" s="31">
        <f>IF(AT347="Good",10,0)</f>
        <v/>
      </c>
      <c r="AV347" s="31" t="inlineStr">
        <is>
          <t>Yes for more than 2 years</t>
        </is>
      </c>
      <c r="AW347" s="31">
        <f>IF(AV347="Yes for more than 2 years",10,IF(AV347="Yes only for next 1 to 2 years",5,0))</f>
        <v/>
      </c>
      <c r="AX347" s="31" t="inlineStr">
        <is>
          <t>0 to 20</t>
        </is>
      </c>
      <c r="AY347" s="31">
        <f>IF(AX347="Above 40",20,IF(AX347="20 to 40",10,IF(AX347="0 to 20",-5,0)))</f>
        <v/>
      </c>
      <c r="AZ347" s="31" t="inlineStr">
        <is>
          <t>Between 50 to 75</t>
        </is>
      </c>
      <c r="BA347" s="31">
        <f>IF(AZ347="Between 50 to 75",10,IF(AZ347="Above 75",0,0))</f>
        <v/>
      </c>
      <c r="BB347" s="31" t="inlineStr">
        <is>
          <t>Stage 1</t>
        </is>
      </c>
      <c r="BC347" s="31">
        <f>IF(BB347="Stage 2",20,IF(BB347="Stage 1",0,IF(BB347="Stage 3",5,IF(BB347="Stage 4",-5,0))))</f>
        <v/>
      </c>
      <c r="BD347" s="31" t="inlineStr">
        <is>
          <t>Positive Trend</t>
        </is>
      </c>
      <c r="BE347" s="31">
        <f>IF(BD347="Positive Trend",20,IF(BD347="Negative Trend",-10,0))</f>
        <v/>
      </c>
      <c r="BF347" s="31" t="inlineStr">
        <is>
          <t>Uptrend</t>
        </is>
      </c>
      <c r="BG347" s="31">
        <f>IF(BF347="Uptrend",10,IF(BF347="Sideways",5,0))</f>
        <v/>
      </c>
      <c r="BH347" s="31" t="inlineStr">
        <is>
          <t>Uptrend</t>
        </is>
      </c>
      <c r="BI347" s="31">
        <f>IF(BH347="Uptrend",10,IF(BH347="Sideways",5,0))</f>
        <v/>
      </c>
      <c r="BJ347" s="31" t="inlineStr">
        <is>
          <t>Close to 52 week high or retracement</t>
        </is>
      </c>
      <c r="BK347" s="31">
        <f>IF(BJ347="Overhead supply in last 2 years in last 2 years",-5,IF(BJ347="Close to 52 week high or retracement",5,IF(BJ347="Blue sky scenario",10,IF(BJ347="Long term Downtrend",-10,0))))</f>
        <v/>
      </c>
      <c r="BL347" s="31" t="inlineStr">
        <is>
          <t>Yes</t>
        </is>
      </c>
      <c r="BM347" s="31">
        <f>IF(BL347="Yes",10,0)</f>
        <v/>
      </c>
      <c r="BN347" s="31" t="inlineStr">
        <is>
          <t>More than 20%</t>
        </is>
      </c>
      <c r="BO347" s="31">
        <f>IF(BN347="More than 20%",10,IF(BN347="Between 12 to 20%",5,IF(BN347="Less than 12%",0,0)))</f>
        <v/>
      </c>
      <c r="BP347" s="31" t="inlineStr">
        <is>
          <t>No</t>
        </is>
      </c>
      <c r="BQ347" s="31">
        <f>IF(BP347="No",10,0)</f>
        <v/>
      </c>
      <c r="BR347" s="31" t="inlineStr">
        <is>
          <t>No</t>
        </is>
      </c>
      <c r="BS347" s="31">
        <f>IF(BR347="NO",5,0)</f>
        <v/>
      </c>
      <c r="BT347" s="31" t="inlineStr">
        <is>
          <t>Above 2</t>
        </is>
      </c>
      <c r="BU347" s="31">
        <f>IF(BT347="Above 2",0,IF(BT347="Between 1.5 to 2",5,IF(BT347="Less than 1.5",10,0)))</f>
        <v/>
      </c>
      <c r="BV347" s="31" t="inlineStr">
        <is>
          <t>Between 50% to 70%</t>
        </is>
      </c>
      <c r="BW347" s="31">
        <f>IF(BV347="Above 70%",10,IF(BV347="Between 50% to 70%",5,IF(BV347="Less than 50%",0,IF(BV347="Negative",-10,IF(BV347="Less than 50% and Borrowings are increasing",-5,0)))))</f>
        <v/>
      </c>
      <c r="BX347" s="31" t="inlineStr">
        <is>
          <t>Less than 0.7</t>
        </is>
      </c>
      <c r="BY347" s="31">
        <f>IF(BX347="More than 1.2",-10,IF(BX347="Between 0.7 to 1.2",0,IF(BX347="Less than 0.7",10,0)))</f>
        <v/>
      </c>
      <c r="BZ347" s="31" t="inlineStr">
        <is>
          <t>No</t>
        </is>
      </c>
      <c r="CA347" s="31">
        <f>IF(BZ347="Yes",-10,0)</f>
        <v/>
      </c>
      <c r="CB347" s="31" t="inlineStr">
        <is>
          <t>Less than 15%</t>
        </is>
      </c>
      <c r="CC347" s="31">
        <f>IF(CB347="More than 15%",-10,IF(CB347="Less than 15%",10,0))</f>
        <v/>
      </c>
      <c r="CD347" s="31" t="inlineStr">
        <is>
          <t>No</t>
        </is>
      </c>
      <c r="CE347" s="31">
        <f>IF(CD347="Yes, more than 10%",-10,IF(CD347="No",10,0))</f>
        <v/>
      </c>
    </row>
    <row r="348">
      <c r="A348" s="31">
        <f>IF(B348=0,"",RANK(B348,$B$2:$B$372,0))</f>
        <v/>
      </c>
      <c r="B348" s="32">
        <f>SUM(N348,Y348,AA348,AC348,AE348,AG348,AI348,AK348,AM348,AO348,AQ348,AS348,AU348,AW348,AY348,BA348,BC348,BE348,BG348,BI348,BK348,BM348,BO348,BQ348,BS348,BU348,BW348,BY348,CA348,CC348,CE348)</f>
        <v/>
      </c>
      <c r="C348" s="31" t="inlineStr">
        <is>
          <t>CYIENT</t>
        </is>
      </c>
      <c r="D348" s="31" t="inlineStr">
        <is>
          <t>Cyient Limited</t>
        </is>
      </c>
      <c r="E348" s="31" t="inlineStr">
        <is>
          <t>i.t</t>
        </is>
      </c>
      <c r="F348" s="31" t="inlineStr">
        <is>
          <t>computers - software - medium / small</t>
        </is>
      </c>
      <c r="G348" s="31" t="inlineStr">
        <is>
          <t>midcap</t>
        </is>
      </c>
      <c r="H348" s="32" t="n">
        <v>10254.75</v>
      </c>
      <c r="I348" s="32" t="n">
        <v>1047.7</v>
      </c>
      <c r="J348" s="32" t="n">
        <v>7.01</v>
      </c>
      <c r="K348" s="32" t="n">
        <v>12441384</v>
      </c>
      <c r="L348" s="31" t="n">
        <v>5</v>
      </c>
      <c r="M348" s="31" t="inlineStr">
        <is>
          <t>Outperforming</t>
        </is>
      </c>
      <c r="N348" s="32">
        <f>IF(M348="Underperforming",-5,IF(L348&gt;=95,15,IF(L348&gt;=90,10,IF(L348&gt;=80,5,0))))</f>
        <v/>
      </c>
      <c r="O348" s="32" t="n">
        <v>63.9</v>
      </c>
      <c r="P348" s="32" t="n">
        <v>8.98</v>
      </c>
      <c r="Q348" s="32" t="n">
        <v>841.5</v>
      </c>
      <c r="R348" s="31" t="inlineStr">
        <is>
          <t>Volume Spike / Accumulation</t>
        </is>
      </c>
      <c r="S348" s="31" t="inlineStr">
        <is>
          <t>Nifty IT</t>
        </is>
      </c>
      <c r="T348" s="32" t="n">
        <v>-13.82</v>
      </c>
      <c r="U348" s="32" t="n">
        <v>-9.1</v>
      </c>
      <c r="V348" s="32" t="n">
        <v>5.48</v>
      </c>
      <c r="W348" s="32" t="n">
        <v>1.78</v>
      </c>
      <c r="X348" s="31" t="inlineStr">
        <is>
          <t>Growing Industry</t>
        </is>
      </c>
      <c r="Y348" s="31">
        <f>IF(X348="Growing Industry",10,IF(X348="Cyclical in an Upturn",5,0))</f>
        <v/>
      </c>
      <c r="Z348" s="31" t="inlineStr">
        <is>
          <t>Too Many Players with High ROCE</t>
        </is>
      </c>
      <c r="AA348" s="31">
        <f>IF(Z348="Monopoly",10,IF(Z348="Oligopoly",5,IF(Z348="Duopoly that cooperate",10,IF(Z348="Duopoly that compete",5,IF(Z348="Too many players with High ROCE",5,0)))))</f>
        <v/>
      </c>
      <c r="AB348" s="31" t="inlineStr">
        <is>
          <t>No</t>
        </is>
      </c>
      <c r="AC348" s="31">
        <f>IF(AB348="No",5,0)</f>
        <v/>
      </c>
      <c r="AD348" s="31" t="inlineStr">
        <is>
          <t>Tailwind</t>
        </is>
      </c>
      <c r="AE348" s="31">
        <f>IF(AD348="Tailwind",10,0)</f>
        <v/>
      </c>
      <c r="AF348" s="31" t="inlineStr">
        <is>
          <t>Structural (10 Years Consistency)</t>
        </is>
      </c>
      <c r="AG348" s="31">
        <f>IF(AF348="Structural (10 Years Consistency)",10,IF(AF348="Shallow Cyclical (2 to 3 years growth)",5,0))</f>
        <v/>
      </c>
      <c r="AH348" s="31" t="inlineStr">
        <is>
          <t>No</t>
        </is>
      </c>
      <c r="AI348" s="31">
        <f>IF(AH348="Yes due to Product Mix change or Operating Leverage",10,IF(AH348="Yes, these are peak margins",-5,IF(AH348="No",5,0)))</f>
        <v/>
      </c>
      <c r="AJ348" s="31" t="inlineStr">
        <is>
          <t>Stable</t>
        </is>
      </c>
      <c r="AK348" s="31">
        <f>IF(AJ348="Stable",10,0)</f>
        <v/>
      </c>
      <c r="AL348" s="31" t="inlineStr">
        <is>
          <t>Yes</t>
        </is>
      </c>
      <c r="AM348" s="31">
        <f>IF(AL348="Yes",10,0)</f>
        <v/>
      </c>
      <c r="AN348" s="31" t="inlineStr">
        <is>
          <t>B2B</t>
        </is>
      </c>
      <c r="AO348" s="31">
        <f>IF(AN348="B2C",10,IF(AN348="B2B",5,0))</f>
        <v/>
      </c>
      <c r="AP348" s="31" t="inlineStr">
        <is>
          <t>Yes</t>
        </is>
      </c>
      <c r="AQ348" s="31">
        <f>IF(AP348="Yes",10,0)</f>
        <v/>
      </c>
      <c r="AR348" s="31" t="inlineStr">
        <is>
          <t>Higher Annuity, Lower One Time</t>
        </is>
      </c>
      <c r="AS348" s="31">
        <f>IF(AR348="Fully Annuity",10,IF(AR348="Higher Annuity, Lower One Time",5,IF(AR348="Higher One Time, Lower Annuity",3,0)))</f>
        <v/>
      </c>
      <c r="AT348" s="31" t="inlineStr">
        <is>
          <t>Good</t>
        </is>
      </c>
      <c r="AU348" s="31">
        <f>IF(AT348="Good",10,0)</f>
        <v/>
      </c>
      <c r="AV348" s="31" t="inlineStr">
        <is>
          <t>Yes for more than 2 years</t>
        </is>
      </c>
      <c r="AW348" s="31">
        <f>IF(AV348="Yes for more than 2 years",10,IF(AV348="Yes only for next 1 to 2 years",5,0))</f>
        <v/>
      </c>
      <c r="AX348" s="31" t="inlineStr">
        <is>
          <t>0 to 20</t>
        </is>
      </c>
      <c r="AY348" s="31">
        <f>IF(AX348="Above 40",20,IF(AX348="20 to 40",10,IF(AX348="0 to 20",-5,0)))</f>
        <v/>
      </c>
      <c r="AZ348" s="31" t="inlineStr">
        <is>
          <t>Between 50 to 75</t>
        </is>
      </c>
      <c r="BA348" s="31">
        <f>IF(AZ348="Between 50 to 75",10,IF(AZ348="Above 75",0,0))</f>
        <v/>
      </c>
      <c r="BB348" s="31" t="inlineStr">
        <is>
          <t>Stage 1</t>
        </is>
      </c>
      <c r="BC348" s="31">
        <f>IF(BB348="Stage 2",20,IF(BB348="Stage 1",0,IF(BB348="Stage 3",5,IF(BB348="Stage 4",-5,0))))</f>
        <v/>
      </c>
      <c r="BD348" s="31" t="inlineStr">
        <is>
          <t>Positive Trend</t>
        </is>
      </c>
      <c r="BE348" s="31">
        <f>IF(BD348="Positive Trend",20,IF(BD348="Negative Trend",-10,0))</f>
        <v/>
      </c>
      <c r="BF348" s="31" t="inlineStr">
        <is>
          <t>Uptrend</t>
        </is>
      </c>
      <c r="BG348" s="31">
        <f>IF(BF348="Uptrend",10,IF(BF348="Sideways",5,0))</f>
        <v/>
      </c>
      <c r="BH348" s="31" t="inlineStr">
        <is>
          <t>Uptrend</t>
        </is>
      </c>
      <c r="BI348" s="31">
        <f>IF(BH348="Uptrend",10,IF(BH348="Sideways",5,0))</f>
        <v/>
      </c>
      <c r="BJ348" s="31" t="inlineStr">
        <is>
          <t>Close to 52 week high or retracement</t>
        </is>
      </c>
      <c r="BK348" s="31">
        <f>IF(BJ348="Overhead supply in last 2 years in last 2 years",-5,IF(BJ348="Close to 52 week high or retracement",5,IF(BJ348="Blue sky scenario",10,IF(BJ348="Long term Downtrend",-10,0))))</f>
        <v/>
      </c>
      <c r="BL348" s="31" t="inlineStr">
        <is>
          <t>Yes</t>
        </is>
      </c>
      <c r="BM348" s="31">
        <f>IF(BL348="Yes",10,0)</f>
        <v/>
      </c>
      <c r="BN348" s="31" t="inlineStr">
        <is>
          <t>Less than 12%</t>
        </is>
      </c>
      <c r="BO348" s="31">
        <f>IF(BN348="More than 20%",10,IF(BN348="Between 12 to 20%",5,IF(BN348="Less than 12%",0,0)))</f>
        <v/>
      </c>
      <c r="BP348" s="31" t="inlineStr">
        <is>
          <t>No</t>
        </is>
      </c>
      <c r="BQ348" s="31">
        <f>IF(BP348="No",10,0)</f>
        <v/>
      </c>
      <c r="BR348" s="31" t="inlineStr">
        <is>
          <t>No</t>
        </is>
      </c>
      <c r="BS348" s="31">
        <f>IF(BR348="NO",5,0)</f>
        <v/>
      </c>
      <c r="BT348" s="31" t="inlineStr">
        <is>
          <t>Above 2</t>
        </is>
      </c>
      <c r="BU348" s="31">
        <f>IF(BT348="Above 2",0,IF(BT348="Between 1.5 to 2",5,IF(BT348="Less than 1.5",10,0)))</f>
        <v/>
      </c>
      <c r="BV348" s="31" t="inlineStr">
        <is>
          <t>Above 70%</t>
        </is>
      </c>
      <c r="BW348" s="31">
        <f>IF(BV348="Above 70%",10,IF(BV348="Between 50% to 70%",5,IF(BV348="Less than 50%",0,IF(BV348="Negative",-10,IF(BV348="Less than 50% and Borrowings are increasing",-5,0)))))</f>
        <v/>
      </c>
      <c r="BX348" s="31" t="inlineStr">
        <is>
          <t>Less than 0.7</t>
        </is>
      </c>
      <c r="BY348" s="31">
        <f>IF(BX348="More than 1.2",-10,IF(BX348="Between 0.7 to 1.2",0,IF(BX348="Less than 0.7",10,0)))</f>
        <v/>
      </c>
      <c r="BZ348" s="31" t="inlineStr">
        <is>
          <t>No</t>
        </is>
      </c>
      <c r="CA348" s="31">
        <f>IF(BZ348="Yes",-10,0)</f>
        <v/>
      </c>
      <c r="CB348" s="31" t="inlineStr">
        <is>
          <t>Less than 15%</t>
        </is>
      </c>
      <c r="CC348" s="31">
        <f>IF(CB348="More than 15%",-10,IF(CB348="Less than 15%",10,0))</f>
        <v/>
      </c>
      <c r="CD348" s="31" t="inlineStr">
        <is>
          <t>No</t>
        </is>
      </c>
      <c r="CE348" s="31">
        <f>IF(CD348="Yes, more than 10%",-10,IF(CD348="No",10,0))</f>
        <v/>
      </c>
    </row>
    <row r="349">
      <c r="A349" s="31">
        <f>IF(B349=0,"",RANK(B349,$B$2:$B$372,0))</f>
        <v/>
      </c>
      <c r="B349" s="32">
        <f>SUM(N349,Y349,AA349,AC349,AE349,AG349,AI349,AK349,AM349,AO349,AQ349,AS349,AU349,AW349,AY349,BA349,BC349,BE349,BG349,BI349,BK349,BM349,BO349,BQ349,BS349,BU349,BW349,BY349,CA349,CC349,CE349)</f>
        <v/>
      </c>
      <c r="C349" s="31" t="inlineStr">
        <is>
          <t>STYLEBAAZA</t>
        </is>
      </c>
      <c r="D349" s="31" t="inlineStr">
        <is>
          <t>Baazar Style Retail Ltd</t>
        </is>
      </c>
      <c r="E349" s="31" t="inlineStr">
        <is>
          <t>consumer discretionary</t>
        </is>
      </c>
      <c r="F349" s="31" t="inlineStr">
        <is>
          <t>trading</t>
        </is>
      </c>
      <c r="G349" s="31" t="inlineStr">
        <is>
          <t>smallcap</t>
        </is>
      </c>
      <c r="H349" s="32" t="n">
        <v>3002.83</v>
      </c>
      <c r="I349" s="32" t="n">
        <v>408.9</v>
      </c>
      <c r="J349" s="32" t="n">
        <v>3.65</v>
      </c>
      <c r="K349" s="32" t="n">
        <v>3323689</v>
      </c>
      <c r="L349" s="31" t="n">
        <v>37</v>
      </c>
      <c r="M349" s="31" t="inlineStr">
        <is>
          <t>Outperforming</t>
        </is>
      </c>
      <c r="N349" s="32">
        <f>IF(M349="Underperforming",-5,IF(L349&gt;=95,15,IF(L349&gt;=90,10,IF(L349&gt;=80,5,0))))</f>
        <v/>
      </c>
      <c r="O349" s="32" t="n">
        <v>61.59</v>
      </c>
      <c r="P349" s="32" t="n">
        <v>13.44</v>
      </c>
      <c r="Q349" s="32" t="n">
        <v>284.99</v>
      </c>
      <c r="R349" s="31" t="inlineStr">
        <is>
          <t>Volume Spike &amp; Near 52W High Breakout</t>
        </is>
      </c>
      <c r="S349" s="31" t="inlineStr">
        <is>
          <t>Nifty 50</t>
        </is>
      </c>
      <c r="T349" s="32" t="n">
        <v>-0.9</v>
      </c>
      <c r="U349" s="32" t="n">
        <v>26.01</v>
      </c>
      <c r="V349" s="32" t="n">
        <v>27.15</v>
      </c>
      <c r="W349" s="32" t="n">
        <v>9.42</v>
      </c>
      <c r="X349" s="31" t="inlineStr">
        <is>
          <t>Growing Industry</t>
        </is>
      </c>
      <c r="Y349" s="31">
        <f>IF(X349="Growing Industry",10,IF(X349="Cyclical in an Upturn",5,0))</f>
        <v/>
      </c>
      <c r="Z349" s="31" t="inlineStr">
        <is>
          <t>Too Many Players with High ROCE</t>
        </is>
      </c>
      <c r="AA349" s="31">
        <f>IF(Z349="Monopoly",10,IF(Z349="Oligopoly",5,IF(Z349="Duopoly that cooperate",10,IF(Z349="Duopoly that compete",5,IF(Z349="Too many players with High ROCE",5,0)))))</f>
        <v/>
      </c>
      <c r="AB349" s="31" t="inlineStr">
        <is>
          <t>No</t>
        </is>
      </c>
      <c r="AC349" s="31">
        <f>IF(AB349="No",5,0)</f>
        <v/>
      </c>
      <c r="AD349" s="31" t="inlineStr">
        <is>
          <t>Tailwind</t>
        </is>
      </c>
      <c r="AE349" s="31">
        <f>IF(AD349="Tailwind",10,0)</f>
        <v/>
      </c>
      <c r="AF349" s="31" t="inlineStr">
        <is>
          <t>Structural (10 Years Consistency)</t>
        </is>
      </c>
      <c r="AG349" s="31">
        <f>IF(AF349="Structural (10 Years Consistency)",10,IF(AF349="Shallow Cyclical (2 to 3 years growth)",5,0))</f>
        <v/>
      </c>
      <c r="AH349" s="31" t="inlineStr">
        <is>
          <t>No</t>
        </is>
      </c>
      <c r="AI349" s="31">
        <f>IF(AH349="Yes due to Product Mix change or Operating Leverage",10,IF(AH349="Yes, these are peak margins",-5,IF(AH349="No",5,0)))</f>
        <v/>
      </c>
      <c r="AJ349" s="31" t="inlineStr">
        <is>
          <t>Stable</t>
        </is>
      </c>
      <c r="AK349" s="31">
        <f>IF(AJ349="Stable",10,0)</f>
        <v/>
      </c>
      <c r="AL349" s="31" t="inlineStr">
        <is>
          <t>Yes</t>
        </is>
      </c>
      <c r="AM349" s="31">
        <f>IF(AL349="Yes",10,0)</f>
        <v/>
      </c>
      <c r="AN349" s="31" t="inlineStr">
        <is>
          <t>B2B</t>
        </is>
      </c>
      <c r="AO349" s="31">
        <f>IF(AN349="B2C",10,IF(AN349="B2B",5,0))</f>
        <v/>
      </c>
      <c r="AP349" s="31" t="inlineStr">
        <is>
          <t>Yes</t>
        </is>
      </c>
      <c r="AQ349" s="31">
        <f>IF(AP349="Yes",10,0)</f>
        <v/>
      </c>
      <c r="AR349" s="31" t="inlineStr">
        <is>
          <t>Higher One Time, Lower Annuity</t>
        </is>
      </c>
      <c r="AS349" s="31">
        <f>IF(AR349="Fully Annuity",10,IF(AR349="Higher Annuity, Lower One Time",5,IF(AR349="Higher One Time, Lower Annuity",3,0)))</f>
        <v/>
      </c>
      <c r="AT349" s="31" t="inlineStr">
        <is>
          <t>Good</t>
        </is>
      </c>
      <c r="AU349" s="31">
        <f>IF(AT349="Good",10,0)</f>
        <v/>
      </c>
      <c r="AV349" s="31" t="inlineStr">
        <is>
          <t>Yes for more than 2 years</t>
        </is>
      </c>
      <c r="AW349" s="31">
        <f>IF(AV349="Yes for more than 2 years",10,IF(AV349="Yes only for next 1 to 2 years",5,0))</f>
        <v/>
      </c>
      <c r="AX349" s="31" t="inlineStr">
        <is>
          <t>0 to 20</t>
        </is>
      </c>
      <c r="AY349" s="31">
        <f>IF(AX349="Above 40",20,IF(AX349="20 to 40",10,IF(AX349="0 to 20",-5,0)))</f>
        <v/>
      </c>
      <c r="AZ349" s="31" t="inlineStr">
        <is>
          <t>Between 50 to 75</t>
        </is>
      </c>
      <c r="BA349" s="31">
        <f>IF(AZ349="Between 50 to 75",10,IF(AZ349="Above 75",0,0))</f>
        <v/>
      </c>
      <c r="BB349" s="31" t="inlineStr">
        <is>
          <t>Stage 2</t>
        </is>
      </c>
      <c r="BC349" s="31">
        <f>IF(BB349="Stage 2",20,IF(BB349="Stage 1",0,IF(BB349="Stage 3",5,IF(BB349="Stage 4",-5,0))))</f>
        <v/>
      </c>
      <c r="BD349" s="31" t="inlineStr">
        <is>
          <t>Positive Trend</t>
        </is>
      </c>
      <c r="BE349" s="31">
        <f>IF(BD349="Positive Trend",20,IF(BD349="Negative Trend",-10,0))</f>
        <v/>
      </c>
      <c r="BF349" s="31" t="inlineStr">
        <is>
          <t>Uptrend</t>
        </is>
      </c>
      <c r="BG349" s="31">
        <f>IF(BF349="Uptrend",10,IF(BF349="Sideways",5,0))</f>
        <v/>
      </c>
      <c r="BH349" s="31" t="inlineStr">
        <is>
          <t>Uptrend</t>
        </is>
      </c>
      <c r="BI349" s="31">
        <f>IF(BH349="Uptrend",10,IF(BH349="Sideways",5,0))</f>
        <v/>
      </c>
      <c r="BJ349" s="31" t="inlineStr">
        <is>
          <t>Blue sky scenario</t>
        </is>
      </c>
      <c r="BK349" s="31">
        <f>IF(BJ349="Overhead supply in last 2 years in last 2 years",-5,IF(BJ349="Close to 52 week high or retracement",5,IF(BJ349="Blue sky scenario",10,IF(BJ349="Long term Downtrend",-10,0))))</f>
        <v/>
      </c>
      <c r="BL349" s="31" t="inlineStr">
        <is>
          <t>Yes</t>
        </is>
      </c>
      <c r="BM349" s="31">
        <f>IF(BL349="Yes",10,0)</f>
        <v/>
      </c>
      <c r="BN349" s="31" t="inlineStr">
        <is>
          <t>Less than 12%</t>
        </is>
      </c>
      <c r="BO349" s="31">
        <f>IF(BN349="More than 20%",10,IF(BN349="Between 12 to 20%",5,IF(BN349="Less than 12%",0,0)))</f>
        <v/>
      </c>
      <c r="BP349" s="31" t="inlineStr">
        <is>
          <t>No</t>
        </is>
      </c>
      <c r="BQ349" s="31">
        <f>IF(BP349="No",10,0)</f>
        <v/>
      </c>
      <c r="BR349" s="31" t="inlineStr">
        <is>
          <t>Yes</t>
        </is>
      </c>
      <c r="BS349" s="31">
        <f>IF(BR349="NO",5,0)</f>
        <v/>
      </c>
      <c r="BT349" s="31" t="inlineStr">
        <is>
          <t>Above 2</t>
        </is>
      </c>
      <c r="BU349" s="31">
        <f>IF(BT349="Above 2",0,IF(BT349="Between 1.5 to 2",5,IF(BT349="Less than 1.5",10,0)))</f>
        <v/>
      </c>
      <c r="BV349" s="31" t="inlineStr">
        <is>
          <t>Above 70%</t>
        </is>
      </c>
      <c r="BW349" s="31">
        <f>IF(BV349="Above 70%",10,IF(BV349="Between 50% to 70%",5,IF(BV349="Less than 50%",0,IF(BV349="Negative",-10,IF(BV349="Less than 50% and Borrowings are increasing",-5,0)))))</f>
        <v/>
      </c>
      <c r="BX349" s="31" t="inlineStr">
        <is>
          <t>More than 1.2</t>
        </is>
      </c>
      <c r="BY349" s="31">
        <f>IF(BX349="More than 1.2",-10,IF(BX349="Between 0.7 to 1.2",0,IF(BX349="Less than 0.7",10,0)))</f>
        <v/>
      </c>
      <c r="BZ349" s="31" t="inlineStr">
        <is>
          <t>No</t>
        </is>
      </c>
      <c r="CA349" s="31">
        <f>IF(BZ349="Yes",-10,0)</f>
        <v/>
      </c>
      <c r="CB349" s="31" t="inlineStr">
        <is>
          <t>Less than 15%</t>
        </is>
      </c>
      <c r="CC349" s="31">
        <f>IF(CB349="More than 15%",-10,IF(CB349="Less than 15%",10,0))</f>
        <v/>
      </c>
      <c r="CD349" s="31" t="inlineStr">
        <is>
          <t>No</t>
        </is>
      </c>
      <c r="CE349" s="31">
        <f>IF(CD349="Yes, more than 10%",-10,IF(CD349="No",10,0))</f>
        <v/>
      </c>
    </row>
    <row r="350">
      <c r="A350" s="31">
        <f>IF(B350=0,"",RANK(B350,$B$2:$B$372,0))</f>
        <v/>
      </c>
      <c r="B350" s="32">
        <f>SUM(N350,Y350,AA350,AC350,AE350,AG350,AI350,AK350,AM350,AO350,AQ350,AS350,AU350,AW350,AY350,BA350,BC350,BE350,BG350,BI350,BK350,BM350,BO350,BQ350,BS350,BU350,BW350,BY350,CA350,CC350,CE350)</f>
        <v/>
      </c>
      <c r="C350" s="31" t="inlineStr">
        <is>
          <t>GRAVITA</t>
        </is>
      </c>
      <c r="D350" s="31" t="inlineStr">
        <is>
          <t>Gravita India Limited</t>
        </is>
      </c>
      <c r="E350" s="31" t="inlineStr">
        <is>
          <t>metals &amp; mining</t>
        </is>
      </c>
      <c r="F350" s="31" t="inlineStr">
        <is>
          <t>mining / minerals / metals</t>
        </is>
      </c>
      <c r="G350" s="31" t="inlineStr">
        <is>
          <t>midcap</t>
        </is>
      </c>
      <c r="H350" s="32" t="n">
        <v>13288.47</v>
      </c>
      <c r="I350" s="32" t="n">
        <v>1840.3</v>
      </c>
      <c r="J350" s="32" t="n">
        <v>2.22</v>
      </c>
      <c r="K350" s="32" t="n">
        <v>327209</v>
      </c>
      <c r="L350" s="31" t="inlineStr"/>
      <c r="M350" s="31" t="inlineStr"/>
      <c r="N350" s="32">
        <f>IF(M350="Underperforming",-5,IF(L350&gt;=95,15,IF(L350&gt;=90,10,IF(L350&gt;=80,5,0))))</f>
        <v/>
      </c>
      <c r="O350" s="32" t="n">
        <v>57.7</v>
      </c>
      <c r="P350" s="32" t="n">
        <v>15.1</v>
      </c>
      <c r="Q350" s="32" t="n">
        <v>1468.19</v>
      </c>
      <c r="R350" s="31" t="inlineStr">
        <is>
          <t>Near 52W High Breakout</t>
        </is>
      </c>
      <c r="S350" s="31" t="inlineStr">
        <is>
          <t>Nifty Metal</t>
        </is>
      </c>
      <c r="T350" s="32" t="inlineStr"/>
      <c r="U350" s="32" t="inlineStr"/>
      <c r="V350" s="32" t="inlineStr"/>
      <c r="W350" s="32" t="inlineStr"/>
      <c r="X350" s="31" t="inlineStr">
        <is>
          <t>Cyclical in an Upturn</t>
        </is>
      </c>
      <c r="Y350" s="31">
        <f>IF(X350="Growing Industry",10,IF(X350="Cyclical in an Upturn",5,0))</f>
        <v/>
      </c>
      <c r="Z350" s="31" t="inlineStr">
        <is>
          <t>Too Many Players with High ROCE</t>
        </is>
      </c>
      <c r="AA350" s="31">
        <f>IF(Z350="Monopoly",10,IF(Z350="Oligopoly",5,IF(Z350="Duopoly that cooperate",10,IF(Z350="Duopoly that compete",5,IF(Z350="Too many players with High ROCE",5,0)))))</f>
        <v/>
      </c>
      <c r="AB350" s="31" t="inlineStr">
        <is>
          <t>No</t>
        </is>
      </c>
      <c r="AC350" s="31">
        <f>IF(AB350="No",5,0)</f>
        <v/>
      </c>
      <c r="AD350" s="31" t="inlineStr">
        <is>
          <t>Tailwind</t>
        </is>
      </c>
      <c r="AE350" s="31">
        <f>IF(AD350="Tailwind",10,0)</f>
        <v/>
      </c>
      <c r="AF350" s="31" t="inlineStr">
        <is>
          <t>Cyclical</t>
        </is>
      </c>
      <c r="AG350" s="31">
        <f>IF(AF350="Structural (10 Years Consistency)",10,IF(AF350="Shallow Cyclical (2 to 3 years growth)",5,0))</f>
        <v/>
      </c>
      <c r="AH350" s="31" t="inlineStr">
        <is>
          <t>No</t>
        </is>
      </c>
      <c r="AI350" s="31">
        <f>IF(AH350="Yes due to Product Mix change or Operating Leverage",10,IF(AH350="Yes, these are peak margins",-5,IF(AH350="No",5,0)))</f>
        <v/>
      </c>
      <c r="AJ350" s="31" t="inlineStr">
        <is>
          <t>Volatile</t>
        </is>
      </c>
      <c r="AK350" s="31">
        <f>IF(AJ350="Stable",10,0)</f>
        <v/>
      </c>
      <c r="AL350" s="31" t="inlineStr">
        <is>
          <t>Yes</t>
        </is>
      </c>
      <c r="AM350" s="31">
        <f>IF(AL350="Yes",10,0)</f>
        <v/>
      </c>
      <c r="AN350" s="31" t="inlineStr">
        <is>
          <t>B2B</t>
        </is>
      </c>
      <c r="AO350" s="31">
        <f>IF(AN350="B2C",10,IF(AN350="B2B",5,0))</f>
        <v/>
      </c>
      <c r="AP350" s="31" t="inlineStr">
        <is>
          <t>Yes</t>
        </is>
      </c>
      <c r="AQ350" s="31">
        <f>IF(AP350="Yes",10,0)</f>
        <v/>
      </c>
      <c r="AR350" s="31" t="inlineStr">
        <is>
          <t>Higher One Time, Lower Annuity</t>
        </is>
      </c>
      <c r="AS350" s="31">
        <f>IF(AR350="Fully Annuity",10,IF(AR350="Higher Annuity, Lower One Time",5,IF(AR350="Higher One Time, Lower Annuity",3,0)))</f>
        <v/>
      </c>
      <c r="AT350" s="31" t="inlineStr">
        <is>
          <t>Good</t>
        </is>
      </c>
      <c r="AU350" s="31">
        <f>IF(AT350="Good",10,0)</f>
        <v/>
      </c>
      <c r="AV350" s="31" t="inlineStr">
        <is>
          <t>Yes for more than 2 years</t>
        </is>
      </c>
      <c r="AW350" s="31">
        <f>IF(AV350="Yes for more than 2 years",10,IF(AV350="Yes only for next 1 to 2 years",5,0))</f>
        <v/>
      </c>
      <c r="AX350" s="31" t="inlineStr">
        <is>
          <t>0 to 20</t>
        </is>
      </c>
      <c r="AY350" s="31">
        <f>IF(AX350="Above 40",20,IF(AX350="20 to 40",10,IF(AX350="0 to 20",-5,0)))</f>
        <v/>
      </c>
      <c r="AZ350" s="31" t="inlineStr">
        <is>
          <t>Between 50 to 75</t>
        </is>
      </c>
      <c r="BA350" s="31">
        <f>IF(AZ350="Between 50 to 75",10,IF(AZ350="Above 75",0,0))</f>
        <v/>
      </c>
      <c r="BB350" s="31" t="inlineStr">
        <is>
          <t>Stage 2</t>
        </is>
      </c>
      <c r="BC350" s="31">
        <f>IF(BB350="Stage 2",20,IF(BB350="Stage 1",0,IF(BB350="Stage 3",5,IF(BB350="Stage 4",-5,0))))</f>
        <v/>
      </c>
      <c r="BD350" s="31" t="inlineStr">
        <is>
          <t>Positive Trend</t>
        </is>
      </c>
      <c r="BE350" s="31">
        <f>IF(BD350="Positive Trend",20,IF(BD350="Negative Trend",-10,0))</f>
        <v/>
      </c>
      <c r="BF350" s="31" t="inlineStr">
        <is>
          <t>Uptrend</t>
        </is>
      </c>
      <c r="BG350" s="31">
        <f>IF(BF350="Uptrend",10,IF(BF350="Sideways",5,0))</f>
        <v/>
      </c>
      <c r="BH350" s="31" t="inlineStr">
        <is>
          <t>Uptrend</t>
        </is>
      </c>
      <c r="BI350" s="31">
        <f>IF(BH350="Uptrend",10,IF(BH350="Sideways",5,0))</f>
        <v/>
      </c>
      <c r="BJ350" s="31" t="inlineStr">
        <is>
          <t>Close to 52 week high or retracement</t>
        </is>
      </c>
      <c r="BK350" s="31">
        <f>IF(BJ350="Overhead supply in last 2 years in last 2 years",-5,IF(BJ350="Close to 52 week high or retracement",5,IF(BJ350="Blue sky scenario",10,IF(BJ350="Long term Downtrend",-10,0))))</f>
        <v/>
      </c>
      <c r="BL350" s="31" t="inlineStr">
        <is>
          <t>Yes</t>
        </is>
      </c>
      <c r="BM350" s="31">
        <f>IF(BL350="Yes",10,0)</f>
        <v/>
      </c>
      <c r="BN350" s="31" t="inlineStr">
        <is>
          <t>Between 12 to 20%</t>
        </is>
      </c>
      <c r="BO350" s="31">
        <f>IF(BN350="More than 20%",10,IF(BN350="Between 12 to 20%",5,IF(BN350="Less than 12%",0,0)))</f>
        <v/>
      </c>
      <c r="BP350" s="31" t="inlineStr">
        <is>
          <t>No</t>
        </is>
      </c>
      <c r="BQ350" s="31">
        <f>IF(BP350="No",10,0)</f>
        <v/>
      </c>
      <c r="BR350" s="31" t="inlineStr">
        <is>
          <t>No</t>
        </is>
      </c>
      <c r="BS350" s="31">
        <f>IF(BR350="NO",5,0)</f>
        <v/>
      </c>
      <c r="BT350" s="31" t="inlineStr">
        <is>
          <t>Above 2</t>
        </is>
      </c>
      <c r="BU350" s="31">
        <f>IF(BT350="Above 2",0,IF(BT350="Between 1.5 to 2",5,IF(BT350="Less than 1.5",10,0)))</f>
        <v/>
      </c>
      <c r="BV350" s="31" t="inlineStr">
        <is>
          <t>Above 70%</t>
        </is>
      </c>
      <c r="BW350" s="31">
        <f>IF(BV350="Above 70%",10,IF(BV350="Between 50% to 70%",5,IF(BV350="Less than 50%",0,IF(BV350="Negative",-10,IF(BV350="Less than 50% and Borrowings are increasing",-5,0)))))</f>
        <v/>
      </c>
      <c r="BX350" s="31" t="inlineStr">
        <is>
          <t>Less than 0.7</t>
        </is>
      </c>
      <c r="BY350" s="31">
        <f>IF(BX350="More than 1.2",-10,IF(BX350="Between 0.7 to 1.2",0,IF(BX350="Less than 0.7",10,0)))</f>
        <v/>
      </c>
      <c r="BZ350" s="31" t="inlineStr">
        <is>
          <t>No</t>
        </is>
      </c>
      <c r="CA350" s="31">
        <f>IF(BZ350="Yes",-10,0)</f>
        <v/>
      </c>
      <c r="CB350" s="31" t="inlineStr">
        <is>
          <t>Less than 15%</t>
        </is>
      </c>
      <c r="CC350" s="31">
        <f>IF(CB350="More than 15%",-10,IF(CB350="Less than 15%",10,0))</f>
        <v/>
      </c>
      <c r="CD350" s="31" t="inlineStr">
        <is>
          <t>No</t>
        </is>
      </c>
      <c r="CE350" s="31">
        <f>IF(CD350="Yes, more than 10%",-10,IF(CD350="No",10,0))</f>
        <v/>
      </c>
    </row>
    <row r="351">
      <c r="A351" s="31">
        <f>IF(B351=0,"",RANK(B351,$B$2:$B$372,0))</f>
        <v/>
      </c>
      <c r="B351" s="32">
        <f>SUM(N351,Y351,AA351,AC351,AE351,AG351,AI351,AK351,AM351,AO351,AQ351,AS351,AU351,AW351,AY351,BA351,BC351,BE351,BG351,BI351,BK351,BM351,BO351,BQ351,BS351,BU351,BW351,BY351,CA351,CC351,CE351)</f>
        <v/>
      </c>
      <c r="C351" s="31" t="inlineStr">
        <is>
          <t>LOTUSDEV</t>
        </is>
      </c>
      <c r="D351" s="31" t="inlineStr">
        <is>
          <t>Sri Lotus Developers &amp; Realty Ltd</t>
        </is>
      </c>
      <c r="E351" s="31" t="inlineStr">
        <is>
          <t>realty</t>
        </is>
      </c>
      <c r="F351" s="31" t="inlineStr">
        <is>
          <t>construction</t>
        </is>
      </c>
      <c r="G351" s="31" t="inlineStr">
        <is>
          <t>midcap</t>
        </is>
      </c>
      <c r="H351" s="32" t="n">
        <v>8873.27</v>
      </c>
      <c r="I351" s="32" t="n">
        <v>184.99</v>
      </c>
      <c r="J351" s="32" t="n">
        <v>1.89</v>
      </c>
      <c r="K351" s="32" t="n">
        <v>843036</v>
      </c>
      <c r="L351" s="31" t="inlineStr"/>
      <c r="M351" s="31" t="inlineStr"/>
      <c r="N351" s="32">
        <f>IF(M351="Underperforming",-5,IF(L351&gt;=95,15,IF(L351&gt;=90,10,IF(L351&gt;=80,5,0))))</f>
        <v/>
      </c>
      <c r="O351" s="32" t="n">
        <v>58.6</v>
      </c>
      <c r="P351" s="32" t="n">
        <v>17.53</v>
      </c>
      <c r="Q351" s="32" t="n">
        <v>150.49</v>
      </c>
      <c r="R351" s="31" t="inlineStr">
        <is>
          <t>Earnings / Momentum Support</t>
        </is>
      </c>
      <c r="S351" s="31" t="inlineStr">
        <is>
          <t>Nifty Realty</t>
        </is>
      </c>
      <c r="T351" s="32" t="inlineStr"/>
      <c r="U351" s="32" t="inlineStr"/>
      <c r="V351" s="32" t="inlineStr"/>
      <c r="W351" s="32" t="inlineStr"/>
      <c r="X351" s="31" t="inlineStr">
        <is>
          <t>Growing Industry</t>
        </is>
      </c>
      <c r="Y351" s="31">
        <f>IF(X351="Growing Industry",10,IF(X351="Cyclical in an Upturn",5,0))</f>
        <v/>
      </c>
      <c r="Z351" s="31" t="inlineStr">
        <is>
          <t>Too Many Players with High ROCE</t>
        </is>
      </c>
      <c r="AA351" s="31">
        <f>IF(Z351="Monopoly",10,IF(Z351="Oligopoly",5,IF(Z351="Duopoly that cooperate",10,IF(Z351="Duopoly that compete",5,IF(Z351="Too many players with High ROCE",5,0)))))</f>
        <v/>
      </c>
      <c r="AB351" s="31" t="inlineStr">
        <is>
          <t>No</t>
        </is>
      </c>
      <c r="AC351" s="31">
        <f>IF(AB351="No",5,0)</f>
        <v/>
      </c>
      <c r="AD351" s="31" t="inlineStr">
        <is>
          <t>Tailwind</t>
        </is>
      </c>
      <c r="AE351" s="31">
        <f>IF(AD351="Tailwind",10,0)</f>
        <v/>
      </c>
      <c r="AF351" s="31" t="inlineStr">
        <is>
          <t>Structural (10 Years Consistency)</t>
        </is>
      </c>
      <c r="AG351" s="31">
        <f>IF(AF351="Structural (10 Years Consistency)",10,IF(AF351="Shallow Cyclical (2 to 3 years growth)",5,0))</f>
        <v/>
      </c>
      <c r="AH351" s="31" t="inlineStr">
        <is>
          <t>No</t>
        </is>
      </c>
      <c r="AI351" s="31">
        <f>IF(AH351="Yes due to Product Mix change or Operating Leverage",10,IF(AH351="Yes, these are peak margins",-5,IF(AH351="No",5,0)))</f>
        <v/>
      </c>
      <c r="AJ351" s="31" t="inlineStr">
        <is>
          <t>Stable</t>
        </is>
      </c>
      <c r="AK351" s="31">
        <f>IF(AJ351="Stable",10,0)</f>
        <v/>
      </c>
      <c r="AL351" s="31" t="inlineStr">
        <is>
          <t>Yes</t>
        </is>
      </c>
      <c r="AM351" s="31">
        <f>IF(AL351="Yes",10,0)</f>
        <v/>
      </c>
      <c r="AN351" s="31" t="inlineStr">
        <is>
          <t>B2B</t>
        </is>
      </c>
      <c r="AO351" s="31">
        <f>IF(AN351="B2C",10,IF(AN351="B2B",5,0))</f>
        <v/>
      </c>
      <c r="AP351" s="31" t="inlineStr">
        <is>
          <t>No</t>
        </is>
      </c>
      <c r="AQ351" s="31">
        <f>IF(AP351="Yes",10,0)</f>
        <v/>
      </c>
      <c r="AR351" s="31" t="inlineStr">
        <is>
          <t>Higher One Time, Lower Annuity</t>
        </is>
      </c>
      <c r="AS351" s="31">
        <f>IF(AR351="Fully Annuity",10,IF(AR351="Higher Annuity, Lower One Time",5,IF(AR351="Higher One Time, Lower Annuity",3,0)))</f>
        <v/>
      </c>
      <c r="AT351" s="31" t="inlineStr">
        <is>
          <t>Good</t>
        </is>
      </c>
      <c r="AU351" s="31">
        <f>IF(AT351="Good",10,0)</f>
        <v/>
      </c>
      <c r="AV351" s="31" t="inlineStr">
        <is>
          <t>Yes for more than 2 years</t>
        </is>
      </c>
      <c r="AW351" s="31">
        <f>IF(AV351="Yes for more than 2 years",10,IF(AV351="Yes only for next 1 to 2 years",5,0))</f>
        <v/>
      </c>
      <c r="AX351" s="31" t="inlineStr">
        <is>
          <t>0 to 20</t>
        </is>
      </c>
      <c r="AY351" s="31">
        <f>IF(AX351="Above 40",20,IF(AX351="20 to 40",10,IF(AX351="0 to 20",-5,0)))</f>
        <v/>
      </c>
      <c r="AZ351" s="31" t="inlineStr">
        <is>
          <t>Between 50 to 75</t>
        </is>
      </c>
      <c r="BA351" s="31">
        <f>IF(AZ351="Between 50 to 75",10,IF(AZ351="Above 75",0,0))</f>
        <v/>
      </c>
      <c r="BB351" s="31" t="inlineStr">
        <is>
          <t>Stage 2</t>
        </is>
      </c>
      <c r="BC351" s="31">
        <f>IF(BB351="Stage 2",20,IF(BB351="Stage 1",0,IF(BB351="Stage 3",5,IF(BB351="Stage 4",-5,0))))</f>
        <v/>
      </c>
      <c r="BD351" s="31" t="inlineStr">
        <is>
          <t>Negative Trend</t>
        </is>
      </c>
      <c r="BE351" s="31">
        <f>IF(BD351="Positive Trend",20,IF(BD351="Negative Trend",-10,0))</f>
        <v/>
      </c>
      <c r="BF351" s="31" t="inlineStr">
        <is>
          <t>Uptrend</t>
        </is>
      </c>
      <c r="BG351" s="31">
        <f>IF(BF351="Uptrend",10,IF(BF351="Sideways",5,0))</f>
        <v/>
      </c>
      <c r="BH351" s="31" t="inlineStr">
        <is>
          <t>Uptrend</t>
        </is>
      </c>
      <c r="BI351" s="31">
        <f>IF(BH351="Uptrend",10,IF(BH351="Sideways",5,0))</f>
        <v/>
      </c>
      <c r="BJ351" s="31" t="inlineStr">
        <is>
          <t>Close to 52 week high or retracement</t>
        </is>
      </c>
      <c r="BK351" s="31">
        <f>IF(BJ351="Overhead supply in last 2 years in last 2 years",-5,IF(BJ351="Close to 52 week high or retracement",5,IF(BJ351="Blue sky scenario",10,IF(BJ351="Long term Downtrend",-10,0))))</f>
        <v/>
      </c>
      <c r="BL351" s="31" t="inlineStr">
        <is>
          <t>Yes</t>
        </is>
      </c>
      <c r="BM351" s="31">
        <f>IF(BL351="Yes",10,0)</f>
        <v/>
      </c>
      <c r="BN351" s="31" t="inlineStr">
        <is>
          <t>More than 20%</t>
        </is>
      </c>
      <c r="BO351" s="31">
        <f>IF(BN351="More than 20%",10,IF(BN351="Between 12 to 20%",5,IF(BN351="Less than 12%",0,0)))</f>
        <v/>
      </c>
      <c r="BP351" s="31" t="inlineStr">
        <is>
          <t>No</t>
        </is>
      </c>
      <c r="BQ351" s="31">
        <f>IF(BP351="No",10,0)</f>
        <v/>
      </c>
      <c r="BR351" s="31" t="inlineStr">
        <is>
          <t>No</t>
        </is>
      </c>
      <c r="BS351" s="31">
        <f>IF(BR351="NO",5,0)</f>
        <v/>
      </c>
      <c r="BT351" s="31" t="inlineStr">
        <is>
          <t>Less than 1.5</t>
        </is>
      </c>
      <c r="BU351" s="31">
        <f>IF(BT351="Above 2",0,IF(BT351="Between 1.5 to 2",5,IF(BT351="Less than 1.5",10,0)))</f>
        <v/>
      </c>
      <c r="BV351" s="31" t="inlineStr">
        <is>
          <t>Above 70%</t>
        </is>
      </c>
      <c r="BW351" s="31">
        <f>IF(BV351="Above 70%",10,IF(BV351="Between 50% to 70%",5,IF(BV351="Less than 50%",0,IF(BV351="Negative",-10,IF(BV351="Less than 50% and Borrowings are increasing",-5,0)))))</f>
        <v/>
      </c>
      <c r="BX351" s="31" t="inlineStr">
        <is>
          <t>Less than 0.7</t>
        </is>
      </c>
      <c r="BY351" s="31">
        <f>IF(BX351="More than 1.2",-10,IF(BX351="Between 0.7 to 1.2",0,IF(BX351="Less than 0.7",10,0)))</f>
        <v/>
      </c>
      <c r="BZ351" s="31" t="inlineStr">
        <is>
          <t>No</t>
        </is>
      </c>
      <c r="CA351" s="31">
        <f>IF(BZ351="Yes",-10,0)</f>
        <v/>
      </c>
      <c r="CB351" s="31" t="inlineStr">
        <is>
          <t>Less than 15%</t>
        </is>
      </c>
      <c r="CC351" s="31">
        <f>IF(CB351="More than 15%",-10,IF(CB351="Less than 15%",10,0))</f>
        <v/>
      </c>
      <c r="CD351" s="31" t="inlineStr">
        <is>
          <t>No</t>
        </is>
      </c>
      <c r="CE351" s="31">
        <f>IF(CD351="Yes, more than 10%",-10,IF(CD351="No",10,0))</f>
        <v/>
      </c>
    </row>
    <row r="352">
      <c r="A352" s="31">
        <f>IF(B352=0,"",RANK(B352,$B$2:$B$372,0))</f>
        <v/>
      </c>
      <c r="B352" s="32">
        <f>SUM(N352,Y352,AA352,AC352,AE352,AG352,AI352,AK352,AM352,AO352,AQ352,AS352,AU352,AW352,AY352,BA352,BC352,BE352,BG352,BI352,BK352,BM352,BO352,BQ352,BS352,BU352,BW352,BY352,CA352,CC352,CE352)</f>
        <v/>
      </c>
      <c r="C352" s="31" t="inlineStr">
        <is>
          <t>PETRONET</t>
        </is>
      </c>
      <c r="D352" s="31" t="inlineStr">
        <is>
          <t>Petronet Lng Limited</t>
        </is>
      </c>
      <c r="E352" s="31" t="inlineStr">
        <is>
          <t>energy</t>
        </is>
      </c>
      <c r="F352" s="31" t="inlineStr">
        <is>
          <t>miscellaneous</t>
        </is>
      </c>
      <c r="G352" s="31" t="inlineStr">
        <is>
          <t>largecap</t>
        </is>
      </c>
      <c r="H352" s="32" t="n">
        <v>43875</v>
      </c>
      <c r="I352" s="32" t="n">
        <v>289</v>
      </c>
      <c r="J352" s="32" t="n">
        <v>-1.2</v>
      </c>
      <c r="K352" s="32" t="n">
        <v>1528239</v>
      </c>
      <c r="L352" s="31" t="inlineStr"/>
      <c r="M352" s="31" t="inlineStr"/>
      <c r="N352" s="32">
        <f>IF(M352="Underperforming",-5,IF(L352&gt;=95,15,IF(L352&gt;=90,10,IF(L352&gt;=80,5,0))))</f>
        <v/>
      </c>
      <c r="O352" s="32" t="n">
        <v>56.33</v>
      </c>
      <c r="P352" s="32" t="n">
        <v>6.62</v>
      </c>
      <c r="Q352" s="32" t="n">
        <v>250.33</v>
      </c>
      <c r="R352" s="31" t="inlineStr">
        <is>
          <t>Earnings / Momentum Support</t>
        </is>
      </c>
      <c r="S352" s="31" t="inlineStr">
        <is>
          <t>Nifty Energy</t>
        </is>
      </c>
      <c r="T352" s="32" t="inlineStr"/>
      <c r="U352" s="32" t="inlineStr"/>
      <c r="V352" s="32" t="inlineStr"/>
      <c r="W352" s="32" t="inlineStr"/>
      <c r="X352" s="31" t="inlineStr">
        <is>
          <t>Cyclical in an Upturn</t>
        </is>
      </c>
      <c r="Y352" s="31">
        <f>IF(X352="Growing Industry",10,IF(X352="Cyclical in an Upturn",5,0))</f>
        <v/>
      </c>
      <c r="Z352" s="31" t="inlineStr">
        <is>
          <t>Oligopoly</t>
        </is>
      </c>
      <c r="AA352" s="31">
        <f>IF(Z352="Monopoly",10,IF(Z352="Oligopoly",5,IF(Z352="Duopoly that cooperate",10,IF(Z352="Duopoly that compete",5,IF(Z352="Too many players with High ROCE",5,0)))))</f>
        <v/>
      </c>
      <c r="AB352" s="31" t="inlineStr">
        <is>
          <t>Yes</t>
        </is>
      </c>
      <c r="AC352" s="31">
        <f>IF(AB352="No",5,0)</f>
        <v/>
      </c>
      <c r="AD352" s="31" t="inlineStr">
        <is>
          <t>Tailwind</t>
        </is>
      </c>
      <c r="AE352" s="31">
        <f>IF(AD352="Tailwind",10,0)</f>
        <v/>
      </c>
      <c r="AF352" s="31" t="inlineStr">
        <is>
          <t>Cyclical</t>
        </is>
      </c>
      <c r="AG352" s="31">
        <f>IF(AF352="Structural (10 Years Consistency)",10,IF(AF352="Shallow Cyclical (2 to 3 years growth)",5,0))</f>
        <v/>
      </c>
      <c r="AH352" s="31" t="inlineStr">
        <is>
          <t>No</t>
        </is>
      </c>
      <c r="AI352" s="31">
        <f>IF(AH352="Yes due to Product Mix change or Operating Leverage",10,IF(AH352="Yes, these are peak margins",-5,IF(AH352="No",5,0)))</f>
        <v/>
      </c>
      <c r="AJ352" s="31" t="inlineStr">
        <is>
          <t>Volatile</t>
        </is>
      </c>
      <c r="AK352" s="31">
        <f>IF(AJ352="Stable",10,0)</f>
        <v/>
      </c>
      <c r="AL352" s="31" t="inlineStr">
        <is>
          <t>Yes</t>
        </is>
      </c>
      <c r="AM352" s="31">
        <f>IF(AL352="Yes",10,0)</f>
        <v/>
      </c>
      <c r="AN352" s="31" t="inlineStr">
        <is>
          <t>B2B</t>
        </is>
      </c>
      <c r="AO352" s="31">
        <f>IF(AN352="B2C",10,IF(AN352="B2B",5,0))</f>
        <v/>
      </c>
      <c r="AP352" s="31" t="inlineStr">
        <is>
          <t>No</t>
        </is>
      </c>
      <c r="AQ352" s="31">
        <f>IF(AP352="Yes",10,0)</f>
        <v/>
      </c>
      <c r="AR352" s="31" t="inlineStr">
        <is>
          <t>Higher One Time, Lower Annuity</t>
        </is>
      </c>
      <c r="AS352" s="31">
        <f>IF(AR352="Fully Annuity",10,IF(AR352="Higher Annuity, Lower One Time",5,IF(AR352="Higher One Time, Lower Annuity",3,0)))</f>
        <v/>
      </c>
      <c r="AT352" s="31" t="inlineStr">
        <is>
          <t>Good</t>
        </is>
      </c>
      <c r="AU352" s="31">
        <f>IF(AT352="Good",10,0)</f>
        <v/>
      </c>
      <c r="AV352" s="31" t="inlineStr">
        <is>
          <t>Yes for more than 2 years</t>
        </is>
      </c>
      <c r="AW352" s="31">
        <f>IF(AV352="Yes for more than 2 years",10,IF(AV352="Yes only for next 1 to 2 years",5,0))</f>
        <v/>
      </c>
      <c r="AX352" s="31" t="inlineStr">
        <is>
          <t>0 to 20</t>
        </is>
      </c>
      <c r="AY352" s="31">
        <f>IF(AX352="Above 40",20,IF(AX352="20 to 40",10,IF(AX352="0 to 20",-5,0)))</f>
        <v/>
      </c>
      <c r="AZ352" s="31" t="inlineStr">
        <is>
          <t>Between 50 to 75</t>
        </is>
      </c>
      <c r="BA352" s="31">
        <f>IF(AZ352="Between 50 to 75",10,IF(AZ352="Above 75",0,0))</f>
        <v/>
      </c>
      <c r="BB352" s="31" t="inlineStr">
        <is>
          <t>Stage 2</t>
        </is>
      </c>
      <c r="BC352" s="31">
        <f>IF(BB352="Stage 2",20,IF(BB352="Stage 1",0,IF(BB352="Stage 3",5,IF(BB352="Stage 4",-5,0))))</f>
        <v/>
      </c>
      <c r="BD352" s="31" t="inlineStr">
        <is>
          <t>Positive Trend</t>
        </is>
      </c>
      <c r="BE352" s="31">
        <f>IF(BD352="Positive Trend",20,IF(BD352="Negative Trend",-10,0))</f>
        <v/>
      </c>
      <c r="BF352" s="31" t="inlineStr">
        <is>
          <t>Uptrend</t>
        </is>
      </c>
      <c r="BG352" s="31">
        <f>IF(BF352="Uptrend",10,IF(BF352="Sideways",5,0))</f>
        <v/>
      </c>
      <c r="BH352" s="31" t="inlineStr">
        <is>
          <t>Uptrend</t>
        </is>
      </c>
      <c r="BI352" s="31">
        <f>IF(BH352="Uptrend",10,IF(BH352="Sideways",5,0))</f>
        <v/>
      </c>
      <c r="BJ352" s="31" t="inlineStr">
        <is>
          <t>Close to 52 week high or retracement</t>
        </is>
      </c>
      <c r="BK352" s="31">
        <f>IF(BJ352="Overhead supply in last 2 years in last 2 years",-5,IF(BJ352="Close to 52 week high or retracement",5,IF(BJ352="Blue sky scenario",10,IF(BJ352="Long term Downtrend",-10,0))))</f>
        <v/>
      </c>
      <c r="BL352" s="31" t="inlineStr">
        <is>
          <t>Yes</t>
        </is>
      </c>
      <c r="BM352" s="31">
        <f>IF(BL352="Yes",10,0)</f>
        <v/>
      </c>
      <c r="BN352" s="31" t="inlineStr">
        <is>
          <t>More than 20%</t>
        </is>
      </c>
      <c r="BO352" s="31">
        <f>IF(BN352="More than 20%",10,IF(BN352="Between 12 to 20%",5,IF(BN352="Less than 12%",0,0)))</f>
        <v/>
      </c>
      <c r="BP352" s="31" t="inlineStr">
        <is>
          <t>No</t>
        </is>
      </c>
      <c r="BQ352" s="31">
        <f>IF(BP352="No",10,0)</f>
        <v/>
      </c>
      <c r="BR352" s="31" t="inlineStr">
        <is>
          <t>No</t>
        </is>
      </c>
      <c r="BS352" s="31">
        <f>IF(BR352="NO",5,0)</f>
        <v/>
      </c>
      <c r="BT352" s="31" t="inlineStr">
        <is>
          <t>Less than 1.5</t>
        </is>
      </c>
      <c r="BU352" s="31">
        <f>IF(BT352="Above 2",0,IF(BT352="Between 1.5 to 2",5,IF(BT352="Less than 1.5",10,0)))</f>
        <v/>
      </c>
      <c r="BV352" s="31" t="inlineStr">
        <is>
          <t>Above 70%</t>
        </is>
      </c>
      <c r="BW352" s="31">
        <f>IF(BV352="Above 70%",10,IF(BV352="Between 50% to 70%",5,IF(BV352="Less than 50%",0,IF(BV352="Negative",-10,IF(BV352="Less than 50% and Borrowings are increasing",-5,0)))))</f>
        <v/>
      </c>
      <c r="BX352" s="31" t="inlineStr">
        <is>
          <t>Less than 0.7</t>
        </is>
      </c>
      <c r="BY352" s="31">
        <f>IF(BX352="More than 1.2",-10,IF(BX352="Between 0.7 to 1.2",0,IF(BX352="Less than 0.7",10,0)))</f>
        <v/>
      </c>
      <c r="BZ352" s="31" t="inlineStr">
        <is>
          <t>No</t>
        </is>
      </c>
      <c r="CA352" s="31">
        <f>IF(BZ352="Yes",-10,0)</f>
        <v/>
      </c>
      <c r="CB352" s="31" t="inlineStr">
        <is>
          <t>Less than 15%</t>
        </is>
      </c>
      <c r="CC352" s="31">
        <f>IF(CB352="More than 15%",-10,IF(CB352="Less than 15%",10,0))</f>
        <v/>
      </c>
      <c r="CD352" s="31" t="inlineStr">
        <is>
          <t>No</t>
        </is>
      </c>
      <c r="CE352" s="31">
        <f>IF(CD352="Yes, more than 10%",-10,IF(CD352="No",10,0))</f>
        <v/>
      </c>
    </row>
    <row r="353">
      <c r="A353" s="31">
        <f>IF(B353=0,"",RANK(B353,$B$2:$B$372,0))</f>
        <v/>
      </c>
      <c r="B353" s="32">
        <f>SUM(N353,Y353,AA353,AC353,AE353,AG353,AI353,AK353,AM353,AO353,AQ353,AS353,AU353,AW353,AY353,BA353,BC353,BE353,BG353,BI353,BK353,BM353,BO353,BQ353,BS353,BU353,BW353,BY353,CA353,CC353,CE353)</f>
        <v/>
      </c>
      <c r="C353" s="31" t="inlineStr">
        <is>
          <t>GODREJAGRO</t>
        </is>
      </c>
      <c r="D353" s="31" t="inlineStr">
        <is>
          <t>Godrej Agrovet Ltd</t>
        </is>
      </c>
      <c r="E353" s="31" t="inlineStr">
        <is>
          <t>fmcg</t>
        </is>
      </c>
      <c r="F353" s="31" t="inlineStr">
        <is>
          <t>food - processing - indian</t>
        </is>
      </c>
      <c r="G353" s="31" t="inlineStr">
        <is>
          <t>midcap</t>
        </is>
      </c>
      <c r="H353" s="32" t="n">
        <v>11735.88</v>
      </c>
      <c r="I353" s="32" t="n">
        <v>625.75</v>
      </c>
      <c r="J353" s="32" t="n">
        <v>2.57</v>
      </c>
      <c r="K353" s="32" t="n">
        <v>589734</v>
      </c>
      <c r="L353" s="31" t="inlineStr"/>
      <c r="M353" s="31" t="inlineStr"/>
      <c r="N353" s="32">
        <f>IF(M353="Underperforming",-5,IF(L353&gt;=95,15,IF(L353&gt;=90,10,IF(L353&gt;=80,5,0))))</f>
        <v/>
      </c>
      <c r="O353" s="32" t="n">
        <v>61.61</v>
      </c>
      <c r="P353" s="32" t="n">
        <v>16.32</v>
      </c>
      <c r="Q353" s="32" t="n">
        <v>519.16</v>
      </c>
      <c r="R353" s="31" t="inlineStr">
        <is>
          <t>Volume Spike / Accumulation</t>
        </is>
      </c>
      <c r="S353" s="31" t="inlineStr">
        <is>
          <t>Nifty FMCG</t>
        </is>
      </c>
      <c r="T353" s="32" t="inlineStr"/>
      <c r="U353" s="32" t="inlineStr"/>
      <c r="V353" s="32" t="inlineStr"/>
      <c r="W353" s="32" t="inlineStr"/>
      <c r="X353" s="31" t="inlineStr">
        <is>
          <t>Growing Industry</t>
        </is>
      </c>
      <c r="Y353" s="31">
        <f>IF(X353="Growing Industry",10,IF(X353="Cyclical in an Upturn",5,0))</f>
        <v/>
      </c>
      <c r="Z353" s="31" t="inlineStr">
        <is>
          <t>Too Many Players with High ROCE</t>
        </is>
      </c>
      <c r="AA353" s="31">
        <f>IF(Z353="Monopoly",10,IF(Z353="Oligopoly",5,IF(Z353="Duopoly that cooperate",10,IF(Z353="Duopoly that compete",5,IF(Z353="Too many players with High ROCE",5,0)))))</f>
        <v/>
      </c>
      <c r="AB353" s="31" t="inlineStr">
        <is>
          <t>No</t>
        </is>
      </c>
      <c r="AC353" s="31">
        <f>IF(AB353="No",5,0)</f>
        <v/>
      </c>
      <c r="AD353" s="31" t="inlineStr">
        <is>
          <t>Tailwind</t>
        </is>
      </c>
      <c r="AE353" s="31">
        <f>IF(AD353="Tailwind",10,0)</f>
        <v/>
      </c>
      <c r="AF353" s="31" t="inlineStr">
        <is>
          <t>Structural (10 Years Consistency)</t>
        </is>
      </c>
      <c r="AG353" s="31">
        <f>IF(AF353="Structural (10 Years Consistency)",10,IF(AF353="Shallow Cyclical (2 to 3 years growth)",5,0))</f>
        <v/>
      </c>
      <c r="AH353" s="31" t="inlineStr">
        <is>
          <t>No</t>
        </is>
      </c>
      <c r="AI353" s="31">
        <f>IF(AH353="Yes due to Product Mix change or Operating Leverage",10,IF(AH353="Yes, these are peak margins",-5,IF(AH353="No",5,0)))</f>
        <v/>
      </c>
      <c r="AJ353" s="31" t="inlineStr">
        <is>
          <t>Stable</t>
        </is>
      </c>
      <c r="AK353" s="31">
        <f>IF(AJ353="Stable",10,0)</f>
        <v/>
      </c>
      <c r="AL353" s="31" t="inlineStr">
        <is>
          <t>Yes</t>
        </is>
      </c>
      <c r="AM353" s="31">
        <f>IF(AL353="Yes",10,0)</f>
        <v/>
      </c>
      <c r="AN353" s="31" t="inlineStr">
        <is>
          <t>B2C</t>
        </is>
      </c>
      <c r="AO353" s="31">
        <f>IF(AN353="B2C",10,IF(AN353="B2B",5,0))</f>
        <v/>
      </c>
      <c r="AP353" s="31" t="inlineStr">
        <is>
          <t>Yes</t>
        </is>
      </c>
      <c r="AQ353" s="31">
        <f>IF(AP353="Yes",10,0)</f>
        <v/>
      </c>
      <c r="AR353" s="31" t="inlineStr">
        <is>
          <t>Higher Annuity, Lower One Time</t>
        </is>
      </c>
      <c r="AS353" s="31">
        <f>IF(AR353="Fully Annuity",10,IF(AR353="Higher Annuity, Lower One Time",5,IF(AR353="Higher One Time, Lower Annuity",3,0)))</f>
        <v/>
      </c>
      <c r="AT353" s="31" t="inlineStr">
        <is>
          <t>Good</t>
        </is>
      </c>
      <c r="AU353" s="31">
        <f>IF(AT353="Good",10,0)</f>
        <v/>
      </c>
      <c r="AV353" s="31" t="inlineStr">
        <is>
          <t>Yes for more than 2 years</t>
        </is>
      </c>
      <c r="AW353" s="31">
        <f>IF(AV353="Yes for more than 2 years",10,IF(AV353="Yes only for next 1 to 2 years",5,0))</f>
        <v/>
      </c>
      <c r="AX353" s="31" t="inlineStr">
        <is>
          <t>0 to 20</t>
        </is>
      </c>
      <c r="AY353" s="31">
        <f>IF(AX353="Above 40",20,IF(AX353="20 to 40",10,IF(AX353="0 to 20",-5,0)))</f>
        <v/>
      </c>
      <c r="AZ353" s="31" t="inlineStr">
        <is>
          <t>Between 50 to 75</t>
        </is>
      </c>
      <c r="BA353" s="31">
        <f>IF(AZ353="Between 50 to 75",10,IF(AZ353="Above 75",0,0))</f>
        <v/>
      </c>
      <c r="BB353" s="31" t="inlineStr">
        <is>
          <t>Stage 1</t>
        </is>
      </c>
      <c r="BC353" s="31">
        <f>IF(BB353="Stage 2",20,IF(BB353="Stage 1",0,IF(BB353="Stage 3",5,IF(BB353="Stage 4",-5,0))))</f>
        <v/>
      </c>
      <c r="BD353" s="31" t="inlineStr">
        <is>
          <t>Positive Trend</t>
        </is>
      </c>
      <c r="BE353" s="31">
        <f>IF(BD353="Positive Trend",20,IF(BD353="Negative Trend",-10,0))</f>
        <v/>
      </c>
      <c r="BF353" s="31" t="inlineStr">
        <is>
          <t>Uptrend</t>
        </is>
      </c>
      <c r="BG353" s="31">
        <f>IF(BF353="Uptrend",10,IF(BF353="Sideways",5,0))</f>
        <v/>
      </c>
      <c r="BH353" s="31" t="inlineStr">
        <is>
          <t>Uptrend</t>
        </is>
      </c>
      <c r="BI353" s="31">
        <f>IF(BH353="Uptrend",10,IF(BH353="Sideways",5,0))</f>
        <v/>
      </c>
      <c r="BJ353" s="31" t="inlineStr">
        <is>
          <t>Close to 52 week high or retracement</t>
        </is>
      </c>
      <c r="BK353" s="31">
        <f>IF(BJ353="Overhead supply in last 2 years in last 2 years",-5,IF(BJ353="Close to 52 week high or retracement",5,IF(BJ353="Blue sky scenario",10,IF(BJ353="Long term Downtrend",-10,0))))</f>
        <v/>
      </c>
      <c r="BL353" s="31" t="inlineStr">
        <is>
          <t>Yes</t>
        </is>
      </c>
      <c r="BM353" s="31">
        <f>IF(BL353="Yes",10,0)</f>
        <v/>
      </c>
      <c r="BN353" s="31" t="inlineStr">
        <is>
          <t>Less than 12%</t>
        </is>
      </c>
      <c r="BO353" s="31">
        <f>IF(BN353="More than 20%",10,IF(BN353="Between 12 to 20%",5,IF(BN353="Less than 12%",0,0)))</f>
        <v/>
      </c>
      <c r="BP353" s="31" t="inlineStr">
        <is>
          <t>No</t>
        </is>
      </c>
      <c r="BQ353" s="31">
        <f>IF(BP353="No",10,0)</f>
        <v/>
      </c>
      <c r="BR353" s="31" t="inlineStr">
        <is>
          <t>No</t>
        </is>
      </c>
      <c r="BS353" s="31">
        <f>IF(BR353="NO",5,0)</f>
        <v/>
      </c>
      <c r="BT353" s="31" t="inlineStr">
        <is>
          <t>Above 2</t>
        </is>
      </c>
      <c r="BU353" s="31">
        <f>IF(BT353="Above 2",0,IF(BT353="Between 1.5 to 2",5,IF(BT353="Less than 1.5",10,0)))</f>
        <v/>
      </c>
      <c r="BV353" s="31" t="inlineStr">
        <is>
          <t>Above 70%</t>
        </is>
      </c>
      <c r="BW353" s="31">
        <f>IF(BV353="Above 70%",10,IF(BV353="Between 50% to 70%",5,IF(BV353="Less than 50%",0,IF(BV353="Negative",-10,IF(BV353="Less than 50% and Borrowings are increasing",-5,0)))))</f>
        <v/>
      </c>
      <c r="BX353" s="31" t="inlineStr">
        <is>
          <t>Between 0.7 to 1.2</t>
        </is>
      </c>
      <c r="BY353" s="31">
        <f>IF(BX353="More than 1.2",-10,IF(BX353="Between 0.7 to 1.2",0,IF(BX353="Less than 0.7",10,0)))</f>
        <v/>
      </c>
      <c r="BZ353" s="31" t="inlineStr">
        <is>
          <t>No</t>
        </is>
      </c>
      <c r="CA353" s="31">
        <f>IF(BZ353="Yes",-10,0)</f>
        <v/>
      </c>
      <c r="CB353" s="31" t="inlineStr">
        <is>
          <t>Less than 15%</t>
        </is>
      </c>
      <c r="CC353" s="31">
        <f>IF(CB353="More than 15%",-10,IF(CB353="Less than 15%",10,0))</f>
        <v/>
      </c>
      <c r="CD353" s="31" t="inlineStr">
        <is>
          <t>No</t>
        </is>
      </c>
      <c r="CE353" s="31">
        <f>IF(CD353="Yes, more than 10%",-10,IF(CD353="No",10,0))</f>
        <v/>
      </c>
    </row>
    <row r="354">
      <c r="A354" s="31">
        <f>IF(B354=0,"",RANK(B354,$B$2:$B$372,0))</f>
        <v/>
      </c>
      <c r="B354" s="32">
        <f>SUM(N354,Y354,AA354,AC354,AE354,AG354,AI354,AK354,AM354,AO354,AQ354,AS354,AU354,AW354,AY354,BA354,BC354,BE354,BG354,BI354,BK354,BM354,BO354,BQ354,BS354,BU354,BW354,BY354,CA354,CC354,CE354)</f>
        <v/>
      </c>
      <c r="C354" s="31" t="inlineStr">
        <is>
          <t>20MICRONS</t>
        </is>
      </c>
      <c r="D354" s="31" t="inlineStr">
        <is>
          <t>20 Microns Limited</t>
        </is>
      </c>
      <c r="E354" s="31" t="inlineStr">
        <is>
          <t>metals &amp; mining</t>
        </is>
      </c>
      <c r="F354" s="31" t="inlineStr">
        <is>
          <t>mining / minerals / metals</t>
        </is>
      </c>
      <c r="G354" s="31" t="inlineStr">
        <is>
          <t>smallcap</t>
        </is>
      </c>
      <c r="H354" s="32" t="n">
        <v>743.3099999999999</v>
      </c>
      <c r="I354" s="32" t="n">
        <v>223.63</v>
      </c>
      <c r="J354" s="32" t="n">
        <v>6.16</v>
      </c>
      <c r="K354" s="32" t="n">
        <v>1672293</v>
      </c>
      <c r="L354" s="31" t="inlineStr"/>
      <c r="M354" s="31" t="inlineStr"/>
      <c r="N354" s="32">
        <f>IF(M354="Underperforming",-5,IF(L354&gt;=95,15,IF(L354&gt;=90,10,IF(L354&gt;=80,5,0))))</f>
        <v/>
      </c>
      <c r="O354" s="32" t="n">
        <v>64.81</v>
      </c>
      <c r="P354" s="32" t="n">
        <v>15.39</v>
      </c>
      <c r="Q354" s="32" t="n">
        <v>167.4</v>
      </c>
      <c r="R354" s="31" t="inlineStr">
        <is>
          <t>Near 52W High Breakout</t>
        </is>
      </c>
      <c r="S354" s="31" t="inlineStr">
        <is>
          <t>Nifty Metal</t>
        </is>
      </c>
      <c r="T354" s="32" t="inlineStr"/>
      <c r="U354" s="32" t="inlineStr"/>
      <c r="V354" s="32" t="inlineStr"/>
      <c r="W354" s="32" t="inlineStr"/>
      <c r="X354" s="31" t="inlineStr">
        <is>
          <t>Cyclical in an Upturn</t>
        </is>
      </c>
      <c r="Y354" s="31">
        <f>IF(X354="Growing Industry",10,IF(X354="Cyclical in an Upturn",5,0))</f>
        <v/>
      </c>
      <c r="Z354" s="31" t="inlineStr">
        <is>
          <t>Too Many Players with High ROCE</t>
        </is>
      </c>
      <c r="AA354" s="31">
        <f>IF(Z354="Monopoly",10,IF(Z354="Oligopoly",5,IF(Z354="Duopoly that cooperate",10,IF(Z354="Duopoly that compete",5,IF(Z354="Too many players with High ROCE",5,0)))))</f>
        <v/>
      </c>
      <c r="AB354" s="31" t="inlineStr">
        <is>
          <t>No</t>
        </is>
      </c>
      <c r="AC354" s="31">
        <f>IF(AB354="No",5,0)</f>
        <v/>
      </c>
      <c r="AD354" s="31" t="inlineStr">
        <is>
          <t>Tailwind</t>
        </is>
      </c>
      <c r="AE354" s="31">
        <f>IF(AD354="Tailwind",10,0)</f>
        <v/>
      </c>
      <c r="AF354" s="31" t="inlineStr">
        <is>
          <t>Cyclical</t>
        </is>
      </c>
      <c r="AG354" s="31">
        <f>IF(AF354="Structural (10 Years Consistency)",10,IF(AF354="Shallow Cyclical (2 to 3 years growth)",5,0))</f>
        <v/>
      </c>
      <c r="AH354" s="31" t="inlineStr">
        <is>
          <t>No</t>
        </is>
      </c>
      <c r="AI354" s="31">
        <f>IF(AH354="Yes due to Product Mix change or Operating Leverage",10,IF(AH354="Yes, these are peak margins",-5,IF(AH354="No",5,0)))</f>
        <v/>
      </c>
      <c r="AJ354" s="31" t="inlineStr">
        <is>
          <t>Volatile</t>
        </is>
      </c>
      <c r="AK354" s="31">
        <f>IF(AJ354="Stable",10,0)</f>
        <v/>
      </c>
      <c r="AL354" s="31" t="inlineStr">
        <is>
          <t>Yes</t>
        </is>
      </c>
      <c r="AM354" s="31">
        <f>IF(AL354="Yes",10,0)</f>
        <v/>
      </c>
      <c r="AN354" s="31" t="inlineStr">
        <is>
          <t>B2B</t>
        </is>
      </c>
      <c r="AO354" s="31">
        <f>IF(AN354="B2C",10,IF(AN354="B2B",5,0))</f>
        <v/>
      </c>
      <c r="AP354" s="31" t="inlineStr">
        <is>
          <t>Yes</t>
        </is>
      </c>
      <c r="AQ354" s="31">
        <f>IF(AP354="Yes",10,0)</f>
        <v/>
      </c>
      <c r="AR354" s="31" t="inlineStr">
        <is>
          <t>Higher One Time, Lower Annuity</t>
        </is>
      </c>
      <c r="AS354" s="31">
        <f>IF(AR354="Fully Annuity",10,IF(AR354="Higher Annuity, Lower One Time",5,IF(AR354="Higher One Time, Lower Annuity",3,0)))</f>
        <v/>
      </c>
      <c r="AT354" s="31" t="inlineStr">
        <is>
          <t>Good</t>
        </is>
      </c>
      <c r="AU354" s="31">
        <f>IF(AT354="Good",10,0)</f>
        <v/>
      </c>
      <c r="AV354" s="31" t="inlineStr">
        <is>
          <t>Yes for more than 2 years</t>
        </is>
      </c>
      <c r="AW354" s="31">
        <f>IF(AV354="Yes for more than 2 years",10,IF(AV354="Yes only for next 1 to 2 years",5,0))</f>
        <v/>
      </c>
      <c r="AX354" s="31" t="inlineStr">
        <is>
          <t>0 to 20</t>
        </is>
      </c>
      <c r="AY354" s="31">
        <f>IF(AX354="Above 40",20,IF(AX354="20 to 40",10,IF(AX354="0 to 20",-5,0)))</f>
        <v/>
      </c>
      <c r="AZ354" s="31" t="inlineStr">
        <is>
          <t>Between 50 to 75</t>
        </is>
      </c>
      <c r="BA354" s="31">
        <f>IF(AZ354="Between 50 to 75",10,IF(AZ354="Above 75",0,0))</f>
        <v/>
      </c>
      <c r="BB354" s="31" t="inlineStr">
        <is>
          <t>Stage 2</t>
        </is>
      </c>
      <c r="BC354" s="31">
        <f>IF(BB354="Stage 2",20,IF(BB354="Stage 1",0,IF(BB354="Stage 3",5,IF(BB354="Stage 4",-5,0))))</f>
        <v/>
      </c>
      <c r="BD354" s="31" t="inlineStr">
        <is>
          <t>Positive Trend</t>
        </is>
      </c>
      <c r="BE354" s="31">
        <f>IF(BD354="Positive Trend",20,IF(BD354="Negative Trend",-10,0))</f>
        <v/>
      </c>
      <c r="BF354" s="31" t="inlineStr">
        <is>
          <t>Uptrend</t>
        </is>
      </c>
      <c r="BG354" s="31">
        <f>IF(BF354="Uptrend",10,IF(BF354="Sideways",5,0))</f>
        <v/>
      </c>
      <c r="BH354" s="31" t="inlineStr">
        <is>
          <t>Uptrend</t>
        </is>
      </c>
      <c r="BI354" s="31">
        <f>IF(BH354="Uptrend",10,IF(BH354="Sideways",5,0))</f>
        <v/>
      </c>
      <c r="BJ354" s="31" t="inlineStr">
        <is>
          <t>Close to 52 week high or retracement</t>
        </is>
      </c>
      <c r="BK354" s="31">
        <f>IF(BJ354="Overhead supply in last 2 years in last 2 years",-5,IF(BJ354="Close to 52 week high or retracement",5,IF(BJ354="Blue sky scenario",10,IF(BJ354="Long term Downtrend",-10,0))))</f>
        <v/>
      </c>
      <c r="BL354" s="31" t="inlineStr">
        <is>
          <t>Yes</t>
        </is>
      </c>
      <c r="BM354" s="31">
        <f>IF(BL354="Yes",10,0)</f>
        <v/>
      </c>
      <c r="BN354" s="31" t="inlineStr">
        <is>
          <t>Less than 12%</t>
        </is>
      </c>
      <c r="BO354" s="31">
        <f>IF(BN354="More than 20%",10,IF(BN354="Between 12 to 20%",5,IF(BN354="Less than 12%",0,0)))</f>
        <v/>
      </c>
      <c r="BP354" s="31" t="inlineStr">
        <is>
          <t>No</t>
        </is>
      </c>
      <c r="BQ354" s="31">
        <f>IF(BP354="No",10,0)</f>
        <v/>
      </c>
      <c r="BR354" s="31" t="inlineStr">
        <is>
          <t>No</t>
        </is>
      </c>
      <c r="BS354" s="31">
        <f>IF(BR354="NO",5,0)</f>
        <v/>
      </c>
      <c r="BT354" s="31" t="inlineStr">
        <is>
          <t>Above 2</t>
        </is>
      </c>
      <c r="BU354" s="31">
        <f>IF(BT354="Above 2",0,IF(BT354="Between 1.5 to 2",5,IF(BT354="Less than 1.5",10,0)))</f>
        <v/>
      </c>
      <c r="BV354" s="31" t="inlineStr">
        <is>
          <t>Above 70%</t>
        </is>
      </c>
      <c r="BW354" s="31">
        <f>IF(BV354="Above 70%",10,IF(BV354="Between 50% to 70%",5,IF(BV354="Less than 50%",0,IF(BV354="Negative",-10,IF(BV354="Less than 50% and Borrowings are increasing",-5,0)))))</f>
        <v/>
      </c>
      <c r="BX354" s="31" t="inlineStr">
        <is>
          <t>Less than 0.7</t>
        </is>
      </c>
      <c r="BY354" s="31">
        <f>IF(BX354="More than 1.2",-10,IF(BX354="Between 0.7 to 1.2",0,IF(BX354="Less than 0.7",10,0)))</f>
        <v/>
      </c>
      <c r="BZ354" s="31" t="inlineStr">
        <is>
          <t>No</t>
        </is>
      </c>
      <c r="CA354" s="31">
        <f>IF(BZ354="Yes",-10,0)</f>
        <v/>
      </c>
      <c r="CB354" s="31" t="inlineStr">
        <is>
          <t>Less than 15%</t>
        </is>
      </c>
      <c r="CC354" s="31">
        <f>IF(CB354="More than 15%",-10,IF(CB354="Less than 15%",10,0))</f>
        <v/>
      </c>
      <c r="CD354" s="31" t="inlineStr">
        <is>
          <t>No</t>
        </is>
      </c>
      <c r="CE354" s="31">
        <f>IF(CD354="Yes, more than 10%",-10,IF(CD354="No",10,0))</f>
        <v/>
      </c>
    </row>
    <row r="355">
      <c r="A355" s="31">
        <f>IF(B355=0,"",RANK(B355,$B$2:$B$372,0))</f>
        <v/>
      </c>
      <c r="B355" s="32">
        <f>SUM(N355,Y355,AA355,AC355,AE355,AG355,AI355,AK355,AM355,AO355,AQ355,AS355,AU355,AW355,AY355,BA355,BC355,BE355,BG355,BI355,BK355,BM355,BO355,BQ355,BS355,BU355,BW355,BY355,CA355,CC355,CE355)</f>
        <v/>
      </c>
      <c r="C355" s="31" t="inlineStr">
        <is>
          <t>CEIGALL</t>
        </is>
      </c>
      <c r="D355" s="31" t="inlineStr">
        <is>
          <t>Ceigall India Ltd</t>
        </is>
      </c>
      <c r="E355" s="31" t="inlineStr">
        <is>
          <t>realty</t>
        </is>
      </c>
      <c r="F355" s="31" t="inlineStr">
        <is>
          <t>construction</t>
        </is>
      </c>
      <c r="G355" s="31" t="inlineStr">
        <is>
          <t>midcap</t>
        </is>
      </c>
      <c r="H355" s="32" t="n">
        <v>5650.33</v>
      </c>
      <c r="I355" s="32" t="n">
        <v>337.85</v>
      </c>
      <c r="J355" s="32" t="n">
        <v>4.16</v>
      </c>
      <c r="K355" s="32" t="n">
        <v>1442003</v>
      </c>
      <c r="L355" s="31" t="inlineStr"/>
      <c r="M355" s="31" t="inlineStr"/>
      <c r="N355" s="32">
        <f>IF(M355="Underperforming",-5,IF(L355&gt;=95,15,IF(L355&gt;=90,10,IF(L355&gt;=80,5,0))))</f>
        <v/>
      </c>
      <c r="O355" s="32" t="n">
        <v>53.46</v>
      </c>
      <c r="P355" s="32" t="n">
        <v>34.7</v>
      </c>
      <c r="Q355" s="32" t="n">
        <v>300.95</v>
      </c>
      <c r="R355" s="31" t="inlineStr">
        <is>
          <t>Earnings / Momentum Support</t>
        </is>
      </c>
      <c r="S355" s="31" t="inlineStr">
        <is>
          <t>Nifty Realty</t>
        </is>
      </c>
      <c r="T355" s="32" t="inlineStr"/>
      <c r="U355" s="32" t="inlineStr"/>
      <c r="V355" s="32" t="inlineStr"/>
      <c r="W355" s="32" t="inlineStr"/>
      <c r="X355" s="31" t="inlineStr">
        <is>
          <t>Growing Industry</t>
        </is>
      </c>
      <c r="Y355" s="31">
        <f>IF(X355="Growing Industry",10,IF(X355="Cyclical in an Upturn",5,0))</f>
        <v/>
      </c>
      <c r="Z355" s="31" t="inlineStr">
        <is>
          <t>Too Many Players with High ROCE</t>
        </is>
      </c>
      <c r="AA355" s="31">
        <f>IF(Z355="Monopoly",10,IF(Z355="Oligopoly",5,IF(Z355="Duopoly that cooperate",10,IF(Z355="Duopoly that compete",5,IF(Z355="Too many players with High ROCE",5,0)))))</f>
        <v/>
      </c>
      <c r="AB355" s="31" t="inlineStr">
        <is>
          <t>No</t>
        </is>
      </c>
      <c r="AC355" s="31">
        <f>IF(AB355="No",5,0)</f>
        <v/>
      </c>
      <c r="AD355" s="31" t="inlineStr">
        <is>
          <t>Tailwind</t>
        </is>
      </c>
      <c r="AE355" s="31">
        <f>IF(AD355="Tailwind",10,0)</f>
        <v/>
      </c>
      <c r="AF355" s="31" t="inlineStr">
        <is>
          <t>Structural (10 Years Consistency)</t>
        </is>
      </c>
      <c r="AG355" s="31">
        <f>IF(AF355="Structural (10 Years Consistency)",10,IF(AF355="Shallow Cyclical (2 to 3 years growth)",5,0))</f>
        <v/>
      </c>
      <c r="AH355" s="31" t="inlineStr">
        <is>
          <t>No</t>
        </is>
      </c>
      <c r="AI355" s="31">
        <f>IF(AH355="Yes due to Product Mix change or Operating Leverage",10,IF(AH355="Yes, these are peak margins",-5,IF(AH355="No",5,0)))</f>
        <v/>
      </c>
      <c r="AJ355" s="31" t="inlineStr">
        <is>
          <t>Stable</t>
        </is>
      </c>
      <c r="AK355" s="31">
        <f>IF(AJ355="Stable",10,0)</f>
        <v/>
      </c>
      <c r="AL355" s="31" t="inlineStr">
        <is>
          <t>Yes</t>
        </is>
      </c>
      <c r="AM355" s="31">
        <f>IF(AL355="Yes",10,0)</f>
        <v/>
      </c>
      <c r="AN355" s="31" t="inlineStr">
        <is>
          <t>B2B</t>
        </is>
      </c>
      <c r="AO355" s="31">
        <f>IF(AN355="B2C",10,IF(AN355="B2B",5,0))</f>
        <v/>
      </c>
      <c r="AP355" s="31" t="inlineStr">
        <is>
          <t>No</t>
        </is>
      </c>
      <c r="AQ355" s="31">
        <f>IF(AP355="Yes",10,0)</f>
        <v/>
      </c>
      <c r="AR355" s="31" t="inlineStr">
        <is>
          <t>Higher One Time, Lower Annuity</t>
        </is>
      </c>
      <c r="AS355" s="31">
        <f>IF(AR355="Fully Annuity",10,IF(AR355="Higher Annuity, Lower One Time",5,IF(AR355="Higher One Time, Lower Annuity",3,0)))</f>
        <v/>
      </c>
      <c r="AT355" s="31" t="inlineStr">
        <is>
          <t>Good</t>
        </is>
      </c>
      <c r="AU355" s="31">
        <f>IF(AT355="Good",10,0)</f>
        <v/>
      </c>
      <c r="AV355" s="31" t="inlineStr">
        <is>
          <t>Yes for more than 2 years</t>
        </is>
      </c>
      <c r="AW355" s="31">
        <f>IF(AV355="Yes for more than 2 years",10,IF(AV355="Yes only for next 1 to 2 years",5,0))</f>
        <v/>
      </c>
      <c r="AX355" s="31" t="inlineStr">
        <is>
          <t>20 to 40</t>
        </is>
      </c>
      <c r="AY355" s="31">
        <f>IF(AX355="Above 40",20,IF(AX355="20 to 40",10,IF(AX355="0 to 20",-5,0)))</f>
        <v/>
      </c>
      <c r="AZ355" s="31" t="inlineStr">
        <is>
          <t>Between 50 to 75</t>
        </is>
      </c>
      <c r="BA355" s="31">
        <f>IF(AZ355="Between 50 to 75",10,IF(AZ355="Above 75",0,0))</f>
        <v/>
      </c>
      <c r="BB355" s="31" t="inlineStr">
        <is>
          <t>Stage 1</t>
        </is>
      </c>
      <c r="BC355" s="31">
        <f>IF(BB355="Stage 2",20,IF(BB355="Stage 1",0,IF(BB355="Stage 3",5,IF(BB355="Stage 4",-5,0))))</f>
        <v/>
      </c>
      <c r="BD355" s="31" t="inlineStr">
        <is>
          <t>Negative Trend</t>
        </is>
      </c>
      <c r="BE355" s="31">
        <f>IF(BD355="Positive Trend",20,IF(BD355="Negative Trend",-10,0))</f>
        <v/>
      </c>
      <c r="BF355" s="31" t="inlineStr">
        <is>
          <t>Uptrend</t>
        </is>
      </c>
      <c r="BG355" s="31">
        <f>IF(BF355="Uptrend",10,IF(BF355="Sideways",5,0))</f>
        <v/>
      </c>
      <c r="BH355" s="31" t="inlineStr">
        <is>
          <t>Uptrend</t>
        </is>
      </c>
      <c r="BI355" s="31">
        <f>IF(BH355="Uptrend",10,IF(BH355="Sideways",5,0))</f>
        <v/>
      </c>
      <c r="BJ355" s="31" t="inlineStr">
        <is>
          <t>Close to 52 week high or retracement</t>
        </is>
      </c>
      <c r="BK355" s="31">
        <f>IF(BJ355="Overhead supply in last 2 years in last 2 years",-5,IF(BJ355="Close to 52 week high or retracement",5,IF(BJ355="Blue sky scenario",10,IF(BJ355="Long term Downtrend",-10,0))))</f>
        <v/>
      </c>
      <c r="BL355" s="31" t="inlineStr">
        <is>
          <t>Yes</t>
        </is>
      </c>
      <c r="BM355" s="31">
        <f>IF(BL355="Yes",10,0)</f>
        <v/>
      </c>
      <c r="BN355" s="31" t="inlineStr">
        <is>
          <t>More than 20%</t>
        </is>
      </c>
      <c r="BO355" s="31">
        <f>IF(BN355="More than 20%",10,IF(BN355="Between 12 to 20%",5,IF(BN355="Less than 12%",0,0)))</f>
        <v/>
      </c>
      <c r="BP355" s="31" t="inlineStr">
        <is>
          <t>No</t>
        </is>
      </c>
      <c r="BQ355" s="31">
        <f>IF(BP355="No",10,0)</f>
        <v/>
      </c>
      <c r="BR355" s="31" t="inlineStr">
        <is>
          <t>No</t>
        </is>
      </c>
      <c r="BS355" s="31">
        <f>IF(BR355="NO",5,0)</f>
        <v/>
      </c>
      <c r="BT355" s="31" t="inlineStr">
        <is>
          <t>Less than 1.5</t>
        </is>
      </c>
      <c r="BU355" s="31">
        <f>IF(BT355="Above 2",0,IF(BT355="Between 1.5 to 2",5,IF(BT355="Less than 1.5",10,0)))</f>
        <v/>
      </c>
      <c r="BV355" s="31" t="inlineStr">
        <is>
          <t>Above 70%</t>
        </is>
      </c>
      <c r="BW355" s="31">
        <f>IF(BV355="Above 70%",10,IF(BV355="Between 50% to 70%",5,IF(BV355="Less than 50%",0,IF(BV355="Negative",-10,IF(BV355="Less than 50% and Borrowings are increasing",-5,0)))))</f>
        <v/>
      </c>
      <c r="BX355" s="31" t="inlineStr">
        <is>
          <t>Less than 0.7</t>
        </is>
      </c>
      <c r="BY355" s="31">
        <f>IF(BX355="More than 1.2",-10,IF(BX355="Between 0.7 to 1.2",0,IF(BX355="Less than 0.7",10,0)))</f>
        <v/>
      </c>
      <c r="BZ355" s="31" t="inlineStr">
        <is>
          <t>No</t>
        </is>
      </c>
      <c r="CA355" s="31">
        <f>IF(BZ355="Yes",-10,0)</f>
        <v/>
      </c>
      <c r="CB355" s="31" t="inlineStr">
        <is>
          <t>Less than 15%</t>
        </is>
      </c>
      <c r="CC355" s="31">
        <f>IF(CB355="More than 15%",-10,IF(CB355="Less than 15%",10,0))</f>
        <v/>
      </c>
      <c r="CD355" s="31" t="inlineStr">
        <is>
          <t>No</t>
        </is>
      </c>
      <c r="CE355" s="31">
        <f>IF(CD355="Yes, more than 10%",-10,IF(CD355="No",10,0))</f>
        <v/>
      </c>
    </row>
    <row r="356">
      <c r="A356" s="31">
        <f>IF(B356=0,"",RANK(B356,$B$2:$B$372,0))</f>
        <v/>
      </c>
      <c r="B356" s="32">
        <f>SUM(N356,Y356,AA356,AC356,AE356,AG356,AI356,AK356,AM356,AO356,AQ356,AS356,AU356,AW356,AY356,BA356,BC356,BE356,BG356,BI356,BK356,BM356,BO356,BQ356,BS356,BU356,BW356,BY356,CA356,CC356,CE356)</f>
        <v/>
      </c>
      <c r="C356" s="31" t="inlineStr">
        <is>
          <t>PFOCUS</t>
        </is>
      </c>
      <c r="D356" s="31" t="inlineStr">
        <is>
          <t>Prime Focus Limited</t>
        </is>
      </c>
      <c r="E356" s="31" t="inlineStr">
        <is>
          <t>realty</t>
        </is>
      </c>
      <c r="F356" s="31" t="inlineStr">
        <is>
          <t>miscellaneous</t>
        </is>
      </c>
      <c r="G356" s="31" t="inlineStr">
        <is>
          <t>largecap</t>
        </is>
      </c>
      <c r="H356" s="32" t="n">
        <v>23508.25</v>
      </c>
      <c r="I356" s="32" t="n">
        <v>302.55</v>
      </c>
      <c r="J356" s="32" t="n">
        <v>-0.07000000000000001</v>
      </c>
      <c r="K356" s="32" t="n">
        <v>439347</v>
      </c>
      <c r="L356" s="31" t="inlineStr"/>
      <c r="M356" s="31" t="inlineStr"/>
      <c r="N356" s="32">
        <f>IF(M356="Underperforming",-5,IF(L356&gt;=95,15,IF(L356&gt;=90,10,IF(L356&gt;=80,5,0))))</f>
        <v/>
      </c>
      <c r="O356" s="32" t="n">
        <v>60.2</v>
      </c>
      <c r="P356" s="32" t="n">
        <v>12.86</v>
      </c>
      <c r="Q356" s="32" t="n">
        <v>210.62</v>
      </c>
      <c r="R356" s="31" t="inlineStr">
        <is>
          <t>Earnings / Momentum Support</t>
        </is>
      </c>
      <c r="S356" s="31" t="inlineStr">
        <is>
          <t>Nifty Realty</t>
        </is>
      </c>
      <c r="T356" s="32" t="inlineStr"/>
      <c r="U356" s="32" t="inlineStr"/>
      <c r="V356" s="32" t="inlineStr"/>
      <c r="W356" s="32" t="inlineStr"/>
      <c r="X356" s="31" t="inlineStr">
        <is>
          <t>Growing Industry</t>
        </is>
      </c>
      <c r="Y356" s="31">
        <f>IF(X356="Growing Industry",10,IF(X356="Cyclical in an Upturn",5,0))</f>
        <v/>
      </c>
      <c r="Z356" s="31" t="inlineStr">
        <is>
          <t>Too Many Players with High ROCE</t>
        </is>
      </c>
      <c r="AA356" s="31">
        <f>IF(Z356="Monopoly",10,IF(Z356="Oligopoly",5,IF(Z356="Duopoly that cooperate",10,IF(Z356="Duopoly that compete",5,IF(Z356="Too many players with High ROCE",5,0)))))</f>
        <v/>
      </c>
      <c r="AB356" s="31" t="inlineStr">
        <is>
          <t>No</t>
        </is>
      </c>
      <c r="AC356" s="31">
        <f>IF(AB356="No",5,0)</f>
        <v/>
      </c>
      <c r="AD356" s="31" t="inlineStr">
        <is>
          <t>Tailwind</t>
        </is>
      </c>
      <c r="AE356" s="31">
        <f>IF(AD356="Tailwind",10,0)</f>
        <v/>
      </c>
      <c r="AF356" s="31" t="inlineStr">
        <is>
          <t>Structural (10 Years Consistency)</t>
        </is>
      </c>
      <c r="AG356" s="31">
        <f>IF(AF356="Structural (10 Years Consistency)",10,IF(AF356="Shallow Cyclical (2 to 3 years growth)",5,0))</f>
        <v/>
      </c>
      <c r="AH356" s="31" t="inlineStr">
        <is>
          <t>No</t>
        </is>
      </c>
      <c r="AI356" s="31">
        <f>IF(AH356="Yes due to Product Mix change or Operating Leverage",10,IF(AH356="Yes, these are peak margins",-5,IF(AH356="No",5,0)))</f>
        <v/>
      </c>
      <c r="AJ356" s="31" t="inlineStr">
        <is>
          <t>Stable</t>
        </is>
      </c>
      <c r="AK356" s="31">
        <f>IF(AJ356="Stable",10,0)</f>
        <v/>
      </c>
      <c r="AL356" s="31" t="inlineStr">
        <is>
          <t>Yes</t>
        </is>
      </c>
      <c r="AM356" s="31">
        <f>IF(AL356="Yes",10,0)</f>
        <v/>
      </c>
      <c r="AN356" s="31" t="inlineStr">
        <is>
          <t>B2B</t>
        </is>
      </c>
      <c r="AO356" s="31">
        <f>IF(AN356="B2C",10,IF(AN356="B2B",5,0))</f>
        <v/>
      </c>
      <c r="AP356" s="31" t="inlineStr">
        <is>
          <t>No</t>
        </is>
      </c>
      <c r="AQ356" s="31">
        <f>IF(AP356="Yes",10,0)</f>
        <v/>
      </c>
      <c r="AR356" s="31" t="inlineStr">
        <is>
          <t>Higher One Time, Lower Annuity</t>
        </is>
      </c>
      <c r="AS356" s="31">
        <f>IF(AR356="Fully Annuity",10,IF(AR356="Higher Annuity, Lower One Time",5,IF(AR356="Higher One Time, Lower Annuity",3,0)))</f>
        <v/>
      </c>
      <c r="AT356" s="31" t="inlineStr">
        <is>
          <t>Good</t>
        </is>
      </c>
      <c r="AU356" s="31">
        <f>IF(AT356="Good",10,0)</f>
        <v/>
      </c>
      <c r="AV356" s="31" t="inlineStr">
        <is>
          <t>Yes for more than 2 years</t>
        </is>
      </c>
      <c r="AW356" s="31">
        <f>IF(AV356="Yes for more than 2 years",10,IF(AV356="Yes only for next 1 to 2 years",5,0))</f>
        <v/>
      </c>
      <c r="AX356" s="31" t="inlineStr">
        <is>
          <t>0 to 20</t>
        </is>
      </c>
      <c r="AY356" s="31">
        <f>IF(AX356="Above 40",20,IF(AX356="20 to 40",10,IF(AX356="0 to 20",-5,0)))</f>
        <v/>
      </c>
      <c r="AZ356" s="31" t="inlineStr">
        <is>
          <t>Between 50 to 75</t>
        </is>
      </c>
      <c r="BA356" s="31">
        <f>IF(AZ356="Between 50 to 75",10,IF(AZ356="Above 75",0,0))</f>
        <v/>
      </c>
      <c r="BB356" s="31" t="inlineStr">
        <is>
          <t>Stage 2</t>
        </is>
      </c>
      <c r="BC356" s="31">
        <f>IF(BB356="Stage 2",20,IF(BB356="Stage 1",0,IF(BB356="Stage 3",5,IF(BB356="Stage 4",-5,0))))</f>
        <v/>
      </c>
      <c r="BD356" s="31" t="inlineStr">
        <is>
          <t>Positive Trend</t>
        </is>
      </c>
      <c r="BE356" s="31">
        <f>IF(BD356="Positive Trend",20,IF(BD356="Negative Trend",-10,0))</f>
        <v/>
      </c>
      <c r="BF356" s="31" t="inlineStr">
        <is>
          <t>Uptrend</t>
        </is>
      </c>
      <c r="BG356" s="31">
        <f>IF(BF356="Uptrend",10,IF(BF356="Sideways",5,0))</f>
        <v/>
      </c>
      <c r="BH356" s="31" t="inlineStr">
        <is>
          <t>Uptrend</t>
        </is>
      </c>
      <c r="BI356" s="31">
        <f>IF(BH356="Uptrend",10,IF(BH356="Sideways",5,0))</f>
        <v/>
      </c>
      <c r="BJ356" s="31" t="inlineStr">
        <is>
          <t>Close to 52 week high or retracement</t>
        </is>
      </c>
      <c r="BK356" s="31">
        <f>IF(BJ356="Overhead supply in last 2 years in last 2 years",-5,IF(BJ356="Close to 52 week high or retracement",5,IF(BJ356="Blue sky scenario",10,IF(BJ356="Long term Downtrend",-10,0))))</f>
        <v/>
      </c>
      <c r="BL356" s="31" t="inlineStr">
        <is>
          <t>Yes</t>
        </is>
      </c>
      <c r="BM356" s="31">
        <f>IF(BL356="Yes",10,0)</f>
        <v/>
      </c>
      <c r="BN356" s="31" t="inlineStr">
        <is>
          <t>More than 20%</t>
        </is>
      </c>
      <c r="BO356" s="31">
        <f>IF(BN356="More than 20%",10,IF(BN356="Between 12 to 20%",5,IF(BN356="Less than 12%",0,0)))</f>
        <v/>
      </c>
      <c r="BP356" s="31" t="inlineStr">
        <is>
          <t>No</t>
        </is>
      </c>
      <c r="BQ356" s="31">
        <f>IF(BP356="No",10,0)</f>
        <v/>
      </c>
      <c r="BR356" s="31" t="inlineStr">
        <is>
          <t>Yes</t>
        </is>
      </c>
      <c r="BS356" s="31">
        <f>IF(BR356="NO",5,0)</f>
        <v/>
      </c>
      <c r="BT356" s="31" t="inlineStr">
        <is>
          <t>Above 2</t>
        </is>
      </c>
      <c r="BU356" s="31">
        <f>IF(BT356="Above 2",0,IF(BT356="Between 1.5 to 2",5,IF(BT356="Less than 1.5",10,0)))</f>
        <v/>
      </c>
      <c r="BV356" s="31" t="inlineStr">
        <is>
          <t>Above 70%</t>
        </is>
      </c>
      <c r="BW356" s="31">
        <f>IF(BV356="Above 70%",10,IF(BV356="Between 50% to 70%",5,IF(BV356="Less than 50%",0,IF(BV356="Negative",-10,IF(BV356="Less than 50% and Borrowings are increasing",-5,0)))))</f>
        <v/>
      </c>
      <c r="BX356" s="31" t="inlineStr">
        <is>
          <t>More than 1.2</t>
        </is>
      </c>
      <c r="BY356" s="31">
        <f>IF(BX356="More than 1.2",-10,IF(BX356="Between 0.7 to 1.2",0,IF(BX356="Less than 0.7",10,0)))</f>
        <v/>
      </c>
      <c r="BZ356" s="31" t="inlineStr">
        <is>
          <t>No</t>
        </is>
      </c>
      <c r="CA356" s="31">
        <f>IF(BZ356="Yes",-10,0)</f>
        <v/>
      </c>
      <c r="CB356" s="31" t="inlineStr">
        <is>
          <t>Less than 15%</t>
        </is>
      </c>
      <c r="CC356" s="31">
        <f>IF(CB356="More than 15%",-10,IF(CB356="Less than 15%",10,0))</f>
        <v/>
      </c>
      <c r="CD356" s="31" t="inlineStr">
        <is>
          <t>No</t>
        </is>
      </c>
      <c r="CE356" s="31">
        <f>IF(CD356="Yes, more than 10%",-10,IF(CD356="No",10,0))</f>
        <v/>
      </c>
    </row>
    <row r="357">
      <c r="A357" s="31">
        <f>IF(B357=0,"",RANK(B357,$B$2:$B$372,0))</f>
        <v/>
      </c>
      <c r="B357" s="32">
        <f>SUM(N357,Y357,AA357,AC357,AE357,AG357,AI357,AK357,AM357,AO357,AQ357,AS357,AU357,AW357,AY357,BA357,BC357,BE357,BG357,BI357,BK357,BM357,BO357,BQ357,BS357,BU357,BW357,BY357,CA357,CC357,CE357)</f>
        <v/>
      </c>
      <c r="C357" s="31" t="inlineStr">
        <is>
          <t>LGBBROSLTD</t>
        </is>
      </c>
      <c r="D357" s="31" t="inlineStr">
        <is>
          <t>Lg Balakrishnan &amp; Bros Limited</t>
        </is>
      </c>
      <c r="E357" s="31" t="inlineStr">
        <is>
          <t>auto</t>
        </is>
      </c>
      <c r="F357" s="31" t="inlineStr">
        <is>
          <t>bearings</t>
        </is>
      </c>
      <c r="G357" s="31" t="inlineStr">
        <is>
          <t>midcap</t>
        </is>
      </c>
      <c r="H357" s="32" t="n">
        <v>5139.46</v>
      </c>
      <c r="I357" s="32" t="n">
        <v>1688.9</v>
      </c>
      <c r="J357" s="32" t="n">
        <v>4.8</v>
      </c>
      <c r="K357" s="32" t="n">
        <v>114138</v>
      </c>
      <c r="L357" s="31" t="inlineStr"/>
      <c r="M357" s="31" t="inlineStr"/>
      <c r="N357" s="32">
        <f>IF(M357="Underperforming",-5,IF(L357&gt;=95,15,IF(L357&gt;=90,10,IF(L357&gt;=80,5,0))))</f>
        <v/>
      </c>
      <c r="O357" s="32" t="n">
        <v>57.11</v>
      </c>
      <c r="P357" s="32" t="n">
        <v>7.67</v>
      </c>
      <c r="Q357" s="32" t="n">
        <v>1386.75</v>
      </c>
      <c r="R357" s="31" t="inlineStr">
        <is>
          <t>Earnings / Momentum Support</t>
        </is>
      </c>
      <c r="S357" s="31" t="inlineStr">
        <is>
          <t>Nifty Auto</t>
        </is>
      </c>
      <c r="T357" s="32" t="inlineStr"/>
      <c r="U357" s="32" t="inlineStr"/>
      <c r="V357" s="32" t="inlineStr"/>
      <c r="W357" s="32" t="inlineStr"/>
      <c r="X357" s="31" t="inlineStr">
        <is>
          <t>Growing Industry</t>
        </is>
      </c>
      <c r="Y357" s="31">
        <f>IF(X357="Growing Industry",10,IF(X357="Cyclical in an Upturn",5,0))</f>
        <v/>
      </c>
      <c r="Z357" s="31" t="inlineStr">
        <is>
          <t>Too Many Players with High ROCE</t>
        </is>
      </c>
      <c r="AA357" s="31">
        <f>IF(Z357="Monopoly",10,IF(Z357="Oligopoly",5,IF(Z357="Duopoly that cooperate",10,IF(Z357="Duopoly that compete",5,IF(Z357="Too many players with High ROCE",5,0)))))</f>
        <v/>
      </c>
      <c r="AB357" s="31" t="inlineStr">
        <is>
          <t>No</t>
        </is>
      </c>
      <c r="AC357" s="31">
        <f>IF(AB357="No",5,0)</f>
        <v/>
      </c>
      <c r="AD357" s="31" t="inlineStr">
        <is>
          <t>Headwind</t>
        </is>
      </c>
      <c r="AE357" s="31">
        <f>IF(AD357="Tailwind",10,0)</f>
        <v/>
      </c>
      <c r="AF357" s="31" t="inlineStr">
        <is>
          <t>Structural (10 Years Consistency)</t>
        </is>
      </c>
      <c r="AG357" s="31">
        <f>IF(AF357="Structural (10 Years Consistency)",10,IF(AF357="Shallow Cyclical (2 to 3 years growth)",5,0))</f>
        <v/>
      </c>
      <c r="AH357" s="31" t="inlineStr">
        <is>
          <t>No</t>
        </is>
      </c>
      <c r="AI357" s="31">
        <f>IF(AH357="Yes due to Product Mix change or Operating Leverage",10,IF(AH357="Yes, these are peak margins",-5,IF(AH357="No",5,0)))</f>
        <v/>
      </c>
      <c r="AJ357" s="31" t="inlineStr">
        <is>
          <t>Stable</t>
        </is>
      </c>
      <c r="AK357" s="31">
        <f>IF(AJ357="Stable",10,0)</f>
        <v/>
      </c>
      <c r="AL357" s="31" t="inlineStr">
        <is>
          <t>Yes</t>
        </is>
      </c>
      <c r="AM357" s="31">
        <f>IF(AL357="Yes",10,0)</f>
        <v/>
      </c>
      <c r="AN357" s="31" t="inlineStr">
        <is>
          <t>B2B</t>
        </is>
      </c>
      <c r="AO357" s="31">
        <f>IF(AN357="B2C",10,IF(AN357="B2B",5,0))</f>
        <v/>
      </c>
      <c r="AP357" s="31" t="inlineStr">
        <is>
          <t>No</t>
        </is>
      </c>
      <c r="AQ357" s="31">
        <f>IF(AP357="Yes",10,0)</f>
        <v/>
      </c>
      <c r="AR357" s="31" t="inlineStr">
        <is>
          <t>Higher One Time, Lower Annuity</t>
        </is>
      </c>
      <c r="AS357" s="31">
        <f>IF(AR357="Fully Annuity",10,IF(AR357="Higher Annuity, Lower One Time",5,IF(AR357="Higher One Time, Lower Annuity",3,0)))</f>
        <v/>
      </c>
      <c r="AT357" s="31" t="inlineStr">
        <is>
          <t>Good</t>
        </is>
      </c>
      <c r="AU357" s="31">
        <f>IF(AT357="Good",10,0)</f>
        <v/>
      </c>
      <c r="AV357" s="31" t="inlineStr">
        <is>
          <t>Yes for more than 2 years</t>
        </is>
      </c>
      <c r="AW357" s="31">
        <f>IF(AV357="Yes for more than 2 years",10,IF(AV357="Yes only for next 1 to 2 years",5,0))</f>
        <v/>
      </c>
      <c r="AX357" s="31" t="inlineStr">
        <is>
          <t>0 to 20</t>
        </is>
      </c>
      <c r="AY357" s="31">
        <f>IF(AX357="Above 40",20,IF(AX357="20 to 40",10,IF(AX357="0 to 20",-5,0)))</f>
        <v/>
      </c>
      <c r="AZ357" s="31" t="inlineStr">
        <is>
          <t>Between 50 to 75</t>
        </is>
      </c>
      <c r="BA357" s="31">
        <f>IF(AZ357="Between 50 to 75",10,IF(AZ357="Above 75",0,0))</f>
        <v/>
      </c>
      <c r="BB357" s="31" t="inlineStr">
        <is>
          <t>Stage 1</t>
        </is>
      </c>
      <c r="BC357" s="31">
        <f>IF(BB357="Stage 2",20,IF(BB357="Stage 1",0,IF(BB357="Stage 3",5,IF(BB357="Stage 4",-5,0))))</f>
        <v/>
      </c>
      <c r="BD357" s="31" t="inlineStr">
        <is>
          <t>Positive Trend</t>
        </is>
      </c>
      <c r="BE357" s="31">
        <f>IF(BD357="Positive Trend",20,IF(BD357="Negative Trend",-10,0))</f>
        <v/>
      </c>
      <c r="BF357" s="31" t="inlineStr">
        <is>
          <t>Uptrend</t>
        </is>
      </c>
      <c r="BG357" s="31">
        <f>IF(BF357="Uptrend",10,IF(BF357="Sideways",5,0))</f>
        <v/>
      </c>
      <c r="BH357" s="31" t="inlineStr">
        <is>
          <t>Uptrend</t>
        </is>
      </c>
      <c r="BI357" s="31">
        <f>IF(BH357="Uptrend",10,IF(BH357="Sideways",5,0))</f>
        <v/>
      </c>
      <c r="BJ357" s="31" t="inlineStr">
        <is>
          <t>Close to 52 week high or retracement</t>
        </is>
      </c>
      <c r="BK357" s="31">
        <f>IF(BJ357="Overhead supply in last 2 years in last 2 years",-5,IF(BJ357="Close to 52 week high or retracement",5,IF(BJ357="Blue sky scenario",10,IF(BJ357="Long term Downtrend",-10,0))))</f>
        <v/>
      </c>
      <c r="BL357" s="31" t="inlineStr">
        <is>
          <t>Yes</t>
        </is>
      </c>
      <c r="BM357" s="31">
        <f>IF(BL357="Yes",10,0)</f>
        <v/>
      </c>
      <c r="BN357" s="31" t="inlineStr">
        <is>
          <t>Less than 12%</t>
        </is>
      </c>
      <c r="BO357" s="31">
        <f>IF(BN357="More than 20%",10,IF(BN357="Between 12 to 20%",5,IF(BN357="Less than 12%",0,0)))</f>
        <v/>
      </c>
      <c r="BP357" s="31" t="inlineStr">
        <is>
          <t>No</t>
        </is>
      </c>
      <c r="BQ357" s="31">
        <f>IF(BP357="No",10,0)</f>
        <v/>
      </c>
      <c r="BR357" s="31" t="inlineStr">
        <is>
          <t>No</t>
        </is>
      </c>
      <c r="BS357" s="31">
        <f>IF(BR357="NO",5,0)</f>
        <v/>
      </c>
      <c r="BT357" s="31" t="inlineStr">
        <is>
          <t>Less than 1.5</t>
        </is>
      </c>
      <c r="BU357" s="31">
        <f>IF(BT357="Above 2",0,IF(BT357="Between 1.5 to 2",5,IF(BT357="Less than 1.5",10,0)))</f>
        <v/>
      </c>
      <c r="BV357" s="31" t="inlineStr">
        <is>
          <t>Above 70%</t>
        </is>
      </c>
      <c r="BW357" s="31">
        <f>IF(BV357="Above 70%",10,IF(BV357="Between 50% to 70%",5,IF(BV357="Less than 50%",0,IF(BV357="Negative",-10,IF(BV357="Less than 50% and Borrowings are increasing",-5,0)))))</f>
        <v/>
      </c>
      <c r="BX357" s="31" t="inlineStr">
        <is>
          <t>Less than 0.7</t>
        </is>
      </c>
      <c r="BY357" s="31">
        <f>IF(BX357="More than 1.2",-10,IF(BX357="Between 0.7 to 1.2",0,IF(BX357="Less than 0.7",10,0)))</f>
        <v/>
      </c>
      <c r="BZ357" s="31" t="inlineStr">
        <is>
          <t>No</t>
        </is>
      </c>
      <c r="CA357" s="31">
        <f>IF(BZ357="Yes",-10,0)</f>
        <v/>
      </c>
      <c r="CB357" s="31" t="inlineStr">
        <is>
          <t>Less than 15%</t>
        </is>
      </c>
      <c r="CC357" s="31">
        <f>IF(CB357="More than 15%",-10,IF(CB357="Less than 15%",10,0))</f>
        <v/>
      </c>
      <c r="CD357" s="31" t="inlineStr">
        <is>
          <t>No</t>
        </is>
      </c>
      <c r="CE357" s="31">
        <f>IF(CD357="Yes, more than 10%",-10,IF(CD357="No",10,0))</f>
        <v/>
      </c>
    </row>
    <row r="358">
      <c r="A358" s="31">
        <f>IF(B358=0,"",RANK(B358,$B$2:$B$372,0))</f>
        <v/>
      </c>
      <c r="B358" s="32">
        <f>SUM(N358,Y358,AA358,AC358,AE358,AG358,AI358,AK358,AM358,AO358,AQ358,AS358,AU358,AW358,AY358,BA358,BC358,BE358,BG358,BI358,BK358,BM358,BO358,BQ358,BS358,BU358,BW358,BY358,CA358,CC358,CE358)</f>
        <v/>
      </c>
      <c r="C358" s="33" t="inlineStr">
        <is>
          <t>BDL</t>
        </is>
      </c>
      <c r="D358" s="33" t="inlineStr">
        <is>
          <t>Bharat Dynamics Ltd</t>
        </is>
      </c>
      <c r="E358" s="31" t="inlineStr">
        <is>
          <t>aerospace &amp; defence</t>
        </is>
      </c>
      <c r="F358" s="31" t="inlineStr">
        <is>
          <t>engineering</t>
        </is>
      </c>
      <c r="G358" s="31" t="inlineStr">
        <is>
          <t>largecap</t>
        </is>
      </c>
      <c r="H358" s="32" t="n">
        <v>49848.83</v>
      </c>
      <c r="I358" s="32" t="n">
        <v>1363</v>
      </c>
      <c r="J358" s="32" t="n">
        <v>0.23</v>
      </c>
      <c r="K358" s="32" t="n">
        <v>1507611</v>
      </c>
      <c r="L358" s="31" t="n">
        <v>7</v>
      </c>
      <c r="M358" s="31" t="inlineStr">
        <is>
          <t>Underperforming</t>
        </is>
      </c>
      <c r="N358" s="32">
        <f>IF(M358="Underperforming",-5,IF(L358&gt;=95,15,IF(L358&gt;=90,10,IF(L358&gt;=80,5,0))))</f>
        <v/>
      </c>
      <c r="O358" s="32" t="n">
        <v>52.14</v>
      </c>
      <c r="P358" s="32" t="n">
        <v>10.51</v>
      </c>
      <c r="Q358" s="32" t="n">
        <v>1088.36</v>
      </c>
      <c r="R358" s="31" t="inlineStr">
        <is>
          <t>Earnings / Momentum Support</t>
        </is>
      </c>
      <c r="S358" s="31" t="inlineStr">
        <is>
          <t>Nifty 50</t>
        </is>
      </c>
      <c r="T358" s="32" t="n">
        <v>-0.9</v>
      </c>
      <c r="U358" s="32" t="n">
        <v>-4.69</v>
      </c>
      <c r="V358" s="32" t="n">
        <v>-3.82</v>
      </c>
      <c r="W358" s="32" t="n">
        <v>2.17</v>
      </c>
      <c r="X358" s="31" t="inlineStr">
        <is>
          <t>Growing Industry</t>
        </is>
      </c>
      <c r="Y358" s="31">
        <f>IF(X358="Growing Industry",10,IF(X358="Cyclical in an Upturn",5,0))</f>
        <v/>
      </c>
      <c r="Z358" s="31" t="inlineStr">
        <is>
          <t>Too Many Players with High ROCE</t>
        </is>
      </c>
      <c r="AA358" s="31">
        <f>IF(Z358="Monopoly",10,IF(Z358="Oligopoly",5,IF(Z358="Duopoly that cooperate",10,IF(Z358="Duopoly that compete",5,IF(Z358="Too many players with High ROCE",5,0)))))</f>
        <v/>
      </c>
      <c r="AB358" s="31" t="inlineStr">
        <is>
          <t>No</t>
        </is>
      </c>
      <c r="AC358" s="31">
        <f>IF(AB358="No",5,0)</f>
        <v/>
      </c>
      <c r="AD358" s="31" t="inlineStr">
        <is>
          <t>Tailwind</t>
        </is>
      </c>
      <c r="AE358" s="31">
        <f>IF(AD358="Tailwind",10,0)</f>
        <v/>
      </c>
      <c r="AF358" s="31" t="inlineStr">
        <is>
          <t>Structural (10 Years Consistency)</t>
        </is>
      </c>
      <c r="AG358" s="31">
        <f>IF(AF358="Structural (10 Years Consistency)",10,IF(AF358="Shallow Cyclical (2 to 3 years growth)",5,0))</f>
        <v/>
      </c>
      <c r="AH358" s="31" t="inlineStr">
        <is>
          <t>No</t>
        </is>
      </c>
      <c r="AI358" s="31">
        <f>IF(AH358="Yes due to Product Mix change or Operating Leverage",10,IF(AH358="Yes, these are peak margins",-5,IF(AH358="No",5,0)))</f>
        <v/>
      </c>
      <c r="AJ358" s="31" t="inlineStr">
        <is>
          <t>Stable</t>
        </is>
      </c>
      <c r="AK358" s="31">
        <f>IF(AJ358="Stable",10,0)</f>
        <v/>
      </c>
      <c r="AL358" s="31" t="inlineStr">
        <is>
          <t>Yes</t>
        </is>
      </c>
      <c r="AM358" s="31">
        <f>IF(AL358="Yes",10,0)</f>
        <v/>
      </c>
      <c r="AN358" s="31" t="inlineStr">
        <is>
          <t>B2B</t>
        </is>
      </c>
      <c r="AO358" s="31">
        <f>IF(AN358="B2C",10,IF(AN358="B2B",5,0))</f>
        <v/>
      </c>
      <c r="AP358" s="31" t="inlineStr">
        <is>
          <t>No</t>
        </is>
      </c>
      <c r="AQ358" s="31">
        <f>IF(AP358="Yes",10,0)</f>
        <v/>
      </c>
      <c r="AR358" s="31" t="inlineStr">
        <is>
          <t>Higher One Time, Lower Annuity</t>
        </is>
      </c>
      <c r="AS358" s="31">
        <f>IF(AR358="Fully Annuity",10,IF(AR358="Higher Annuity, Lower One Time",5,IF(AR358="Higher One Time, Lower Annuity",3,0)))</f>
        <v/>
      </c>
      <c r="AT358" s="31" t="inlineStr">
        <is>
          <t>Good</t>
        </is>
      </c>
      <c r="AU358" s="31">
        <f>IF(AT358="Good",10,0)</f>
        <v/>
      </c>
      <c r="AV358" s="31" t="inlineStr">
        <is>
          <t>Yes for more than 2 years</t>
        </is>
      </c>
      <c r="AW358" s="31">
        <f>IF(AV358="Yes for more than 2 years",10,IF(AV358="Yes only for next 1 to 2 years",5,0))</f>
        <v/>
      </c>
      <c r="AX358" s="31" t="inlineStr">
        <is>
          <t>0 to 20</t>
        </is>
      </c>
      <c r="AY358" s="31">
        <f>IF(AX358="Above 40",20,IF(AX358="20 to 40",10,IF(AX358="0 to 20",-5,0)))</f>
        <v/>
      </c>
      <c r="AZ358" s="31" t="inlineStr">
        <is>
          <t>Between 50 to 75</t>
        </is>
      </c>
      <c r="BA358" s="31">
        <f>IF(AZ358="Between 50 to 75",10,IF(AZ358="Above 75",0,0))</f>
        <v/>
      </c>
      <c r="BB358" s="31" t="inlineStr">
        <is>
          <t>Stage 1</t>
        </is>
      </c>
      <c r="BC358" s="31">
        <f>IF(BB358="Stage 2",20,IF(BB358="Stage 1",0,IF(BB358="Stage 3",5,IF(BB358="Stage 4",-5,0))))</f>
        <v/>
      </c>
      <c r="BD358" s="31" t="inlineStr">
        <is>
          <t>Positive Trend</t>
        </is>
      </c>
      <c r="BE358" s="31">
        <f>IF(BD358="Positive Trend",20,IF(BD358="Negative Trend",-10,0))</f>
        <v/>
      </c>
      <c r="BF358" s="31" t="inlineStr">
        <is>
          <t>Uptrend</t>
        </is>
      </c>
      <c r="BG358" s="31">
        <f>IF(BF358="Uptrend",10,IF(BF358="Sideways",5,0))</f>
        <v/>
      </c>
      <c r="BH358" s="31" t="inlineStr">
        <is>
          <t>Uptrend</t>
        </is>
      </c>
      <c r="BI358" s="31">
        <f>IF(BH358="Uptrend",10,IF(BH358="Sideways",5,0))</f>
        <v/>
      </c>
      <c r="BJ358" s="31" t="inlineStr">
        <is>
          <t>Close to 52 week high or retracement</t>
        </is>
      </c>
      <c r="BK358" s="31">
        <f>IF(BJ358="Overhead supply in last 2 years in last 2 years",-5,IF(BJ358="Close to 52 week high or retracement",5,IF(BJ358="Blue sky scenario",10,IF(BJ358="Long term Downtrend",-10,0))))</f>
        <v/>
      </c>
      <c r="BL358" s="31" t="inlineStr">
        <is>
          <t>Yes</t>
        </is>
      </c>
      <c r="BM358" s="31">
        <f>IF(BL358="Yes",10,0)</f>
        <v/>
      </c>
      <c r="BN358" s="31" t="inlineStr">
        <is>
          <t>More than 20%</t>
        </is>
      </c>
      <c r="BO358" s="31">
        <f>IF(BN358="More than 20%",10,IF(BN358="Between 12 to 20%",5,IF(BN358="Less than 12%",0,0)))</f>
        <v/>
      </c>
      <c r="BP358" s="31" t="inlineStr">
        <is>
          <t>No</t>
        </is>
      </c>
      <c r="BQ358" s="31">
        <f>IF(BP358="No",10,0)</f>
        <v/>
      </c>
      <c r="BR358" s="31" t="inlineStr">
        <is>
          <t>Yes</t>
        </is>
      </c>
      <c r="BS358" s="31">
        <f>IF(BR358="NO",5,0)</f>
        <v/>
      </c>
      <c r="BT358" s="31" t="inlineStr">
        <is>
          <t>Above 2</t>
        </is>
      </c>
      <c r="BU358" s="31">
        <f>IF(BT358="Above 2",0,IF(BT358="Between 1.5 to 2",5,IF(BT358="Less than 1.5",10,0)))</f>
        <v/>
      </c>
      <c r="BV358" s="31" t="inlineStr">
        <is>
          <t>Above 70%</t>
        </is>
      </c>
      <c r="BW358" s="31">
        <f>IF(BV358="Above 70%",10,IF(BV358="Between 50% to 70%",5,IF(BV358="Less than 50%",0,IF(BV358="Negative",-10,IF(BV358="Less than 50% and Borrowings are increasing",-5,0)))))</f>
        <v/>
      </c>
      <c r="BX358" s="31" t="inlineStr">
        <is>
          <t>Less than 0.7</t>
        </is>
      </c>
      <c r="BY358" s="31">
        <f>IF(BX358="More than 1.2",-10,IF(BX358="Between 0.7 to 1.2",0,IF(BX358="Less than 0.7",10,0)))</f>
        <v/>
      </c>
      <c r="BZ358" s="31" t="inlineStr">
        <is>
          <t>No</t>
        </is>
      </c>
      <c r="CA358" s="31">
        <f>IF(BZ358="Yes",-10,0)</f>
        <v/>
      </c>
      <c r="CB358" s="31" t="inlineStr">
        <is>
          <t>Less than 15%</t>
        </is>
      </c>
      <c r="CC358" s="31">
        <f>IF(CB358="More than 15%",-10,IF(CB358="Less than 15%",10,0))</f>
        <v/>
      </c>
      <c r="CD358" s="31" t="inlineStr">
        <is>
          <t>No</t>
        </is>
      </c>
      <c r="CE358" s="31">
        <f>IF(CD358="Yes, more than 10%",-10,IF(CD358="No",10,0))</f>
        <v/>
      </c>
    </row>
    <row r="359">
      <c r="A359" s="31">
        <f>IF(B359=0,"",RANK(B359,$B$2:$B$372,0))</f>
        <v/>
      </c>
      <c r="B359" s="32">
        <f>SUM(N359,Y359,AA359,AC359,AE359,AG359,AI359,AK359,AM359,AO359,AQ359,AS359,AU359,AW359,AY359,BA359,BC359,BE359,BG359,BI359,BK359,BM359,BO359,BQ359,BS359,BU359,BW359,BY359,CA359,CC359,CE359)</f>
        <v/>
      </c>
      <c r="C359" s="31" t="inlineStr">
        <is>
          <t>JAYNECOIND</t>
        </is>
      </c>
      <c r="D359" s="31" t="inlineStr">
        <is>
          <t>Jayaswal Neco Industries Limited</t>
        </is>
      </c>
      <c r="E359" s="31" t="inlineStr">
        <is>
          <t>metals &amp; mining</t>
        </is>
      </c>
      <c r="F359" s="31" t="inlineStr">
        <is>
          <t>steel - large</t>
        </is>
      </c>
      <c r="G359" s="31" t="inlineStr">
        <is>
          <t>midcap</t>
        </is>
      </c>
      <c r="H359" s="32" t="n">
        <v>9795.43</v>
      </c>
      <c r="I359" s="32" t="n">
        <v>102.23</v>
      </c>
      <c r="J359" s="32" t="n">
        <v>1.34</v>
      </c>
      <c r="K359" s="32" t="n">
        <v>6423368</v>
      </c>
      <c r="L359" s="31" t="inlineStr"/>
      <c r="M359" s="31" t="inlineStr"/>
      <c r="N359" s="32">
        <f>IF(M359="Underperforming",-5,IF(L359&gt;=95,15,IF(L359&gt;=90,10,IF(L359&gt;=80,5,0))))</f>
        <v/>
      </c>
      <c r="O359" s="32" t="n">
        <v>61.27</v>
      </c>
      <c r="P359" s="32" t="n">
        <v>8.1</v>
      </c>
      <c r="Q359" s="32" t="n">
        <v>77.22</v>
      </c>
      <c r="R359" s="31" t="inlineStr">
        <is>
          <t>Earnings / Momentum Support</t>
        </is>
      </c>
      <c r="S359" s="31" t="inlineStr">
        <is>
          <t>Nifty Metal</t>
        </is>
      </c>
      <c r="T359" s="32" t="inlineStr"/>
      <c r="U359" s="32" t="inlineStr"/>
      <c r="V359" s="32" t="inlineStr"/>
      <c r="W359" s="32" t="inlineStr"/>
      <c r="X359" s="31" t="inlineStr">
        <is>
          <t>Cyclical in an Upturn</t>
        </is>
      </c>
      <c r="Y359" s="31">
        <f>IF(X359="Growing Industry",10,IF(X359="Cyclical in an Upturn",5,0))</f>
        <v/>
      </c>
      <c r="Z359" s="31" t="inlineStr">
        <is>
          <t>Too Many Players with High ROCE</t>
        </is>
      </c>
      <c r="AA359" s="31">
        <f>IF(Z359="Monopoly",10,IF(Z359="Oligopoly",5,IF(Z359="Duopoly that cooperate",10,IF(Z359="Duopoly that compete",5,IF(Z359="Too many players with High ROCE",5,0)))))</f>
        <v/>
      </c>
      <c r="AB359" s="31" t="inlineStr">
        <is>
          <t>No</t>
        </is>
      </c>
      <c r="AC359" s="31">
        <f>IF(AB359="No",5,0)</f>
        <v/>
      </c>
      <c r="AD359" s="31" t="inlineStr">
        <is>
          <t>Tailwind</t>
        </is>
      </c>
      <c r="AE359" s="31">
        <f>IF(AD359="Tailwind",10,0)</f>
        <v/>
      </c>
      <c r="AF359" s="31" t="inlineStr">
        <is>
          <t>Cyclical</t>
        </is>
      </c>
      <c r="AG359" s="31">
        <f>IF(AF359="Structural (10 Years Consistency)",10,IF(AF359="Shallow Cyclical (2 to 3 years growth)",5,0))</f>
        <v/>
      </c>
      <c r="AH359" s="31" t="inlineStr">
        <is>
          <t>No</t>
        </is>
      </c>
      <c r="AI359" s="31">
        <f>IF(AH359="Yes due to Product Mix change or Operating Leverage",10,IF(AH359="Yes, these are peak margins",-5,IF(AH359="No",5,0)))</f>
        <v/>
      </c>
      <c r="AJ359" s="31" t="inlineStr">
        <is>
          <t>Volatile</t>
        </is>
      </c>
      <c r="AK359" s="31">
        <f>IF(AJ359="Stable",10,0)</f>
        <v/>
      </c>
      <c r="AL359" s="31" t="inlineStr">
        <is>
          <t>Yes</t>
        </is>
      </c>
      <c r="AM359" s="31">
        <f>IF(AL359="Yes",10,0)</f>
        <v/>
      </c>
      <c r="AN359" s="31" t="inlineStr">
        <is>
          <t>B2B</t>
        </is>
      </c>
      <c r="AO359" s="31">
        <f>IF(AN359="B2C",10,IF(AN359="B2B",5,0))</f>
        <v/>
      </c>
      <c r="AP359" s="31" t="inlineStr">
        <is>
          <t>No</t>
        </is>
      </c>
      <c r="AQ359" s="31">
        <f>IF(AP359="Yes",10,0)</f>
        <v/>
      </c>
      <c r="AR359" s="31" t="inlineStr">
        <is>
          <t>Higher One Time, Lower Annuity</t>
        </is>
      </c>
      <c r="AS359" s="31">
        <f>IF(AR359="Fully Annuity",10,IF(AR359="Higher Annuity, Lower One Time",5,IF(AR359="Higher One Time, Lower Annuity",3,0)))</f>
        <v/>
      </c>
      <c r="AT359" s="31" t="inlineStr">
        <is>
          <t>Good</t>
        </is>
      </c>
      <c r="AU359" s="31">
        <f>IF(AT359="Good",10,0)</f>
        <v/>
      </c>
      <c r="AV359" s="31" t="inlineStr">
        <is>
          <t>Yes for more than 2 years</t>
        </is>
      </c>
      <c r="AW359" s="31">
        <f>IF(AV359="Yes for more than 2 years",10,IF(AV359="Yes only for next 1 to 2 years",5,0))</f>
        <v/>
      </c>
      <c r="AX359" s="31" t="inlineStr">
        <is>
          <t>0 to 20</t>
        </is>
      </c>
      <c r="AY359" s="31">
        <f>IF(AX359="Above 40",20,IF(AX359="20 to 40",10,IF(AX359="0 to 20",-5,0)))</f>
        <v/>
      </c>
      <c r="AZ359" s="31" t="inlineStr">
        <is>
          <t>Between 50 to 75</t>
        </is>
      </c>
      <c r="BA359" s="31">
        <f>IF(AZ359="Between 50 to 75",10,IF(AZ359="Above 75",0,0))</f>
        <v/>
      </c>
      <c r="BB359" s="31" t="inlineStr">
        <is>
          <t>Stage 2</t>
        </is>
      </c>
      <c r="BC359" s="31">
        <f>IF(BB359="Stage 2",20,IF(BB359="Stage 1",0,IF(BB359="Stage 3",5,IF(BB359="Stage 4",-5,0))))</f>
        <v/>
      </c>
      <c r="BD359" s="31" t="inlineStr">
        <is>
          <t>Positive Trend</t>
        </is>
      </c>
      <c r="BE359" s="31">
        <f>IF(BD359="Positive Trend",20,IF(BD359="Negative Trend",-10,0))</f>
        <v/>
      </c>
      <c r="BF359" s="31" t="inlineStr">
        <is>
          <t>Uptrend</t>
        </is>
      </c>
      <c r="BG359" s="31">
        <f>IF(BF359="Uptrend",10,IF(BF359="Sideways",5,0))</f>
        <v/>
      </c>
      <c r="BH359" s="31" t="inlineStr">
        <is>
          <t>Uptrend</t>
        </is>
      </c>
      <c r="BI359" s="31">
        <f>IF(BH359="Uptrend",10,IF(BH359="Sideways",5,0))</f>
        <v/>
      </c>
      <c r="BJ359" s="31" t="inlineStr">
        <is>
          <t>Close to 52 week high or retracement</t>
        </is>
      </c>
      <c r="BK359" s="31">
        <f>IF(BJ359="Overhead supply in last 2 years in last 2 years",-5,IF(BJ359="Close to 52 week high or retracement",5,IF(BJ359="Blue sky scenario",10,IF(BJ359="Long term Downtrend",-10,0))))</f>
        <v/>
      </c>
      <c r="BL359" s="31" t="inlineStr">
        <is>
          <t>Yes</t>
        </is>
      </c>
      <c r="BM359" s="31">
        <f>IF(BL359="Yes",10,0)</f>
        <v/>
      </c>
      <c r="BN359" s="31" t="inlineStr">
        <is>
          <t>More than 20%</t>
        </is>
      </c>
      <c r="BO359" s="31">
        <f>IF(BN359="More than 20%",10,IF(BN359="Between 12 to 20%",5,IF(BN359="Less than 12%",0,0)))</f>
        <v/>
      </c>
      <c r="BP359" s="31" t="inlineStr">
        <is>
          <t>No</t>
        </is>
      </c>
      <c r="BQ359" s="31">
        <f>IF(BP359="No",10,0)</f>
        <v/>
      </c>
      <c r="BR359" s="31" t="inlineStr">
        <is>
          <t>No</t>
        </is>
      </c>
      <c r="BS359" s="31">
        <f>IF(BR359="NO",5,0)</f>
        <v/>
      </c>
      <c r="BT359" s="31" t="inlineStr">
        <is>
          <t>Above 2</t>
        </is>
      </c>
      <c r="BU359" s="31">
        <f>IF(BT359="Above 2",0,IF(BT359="Between 1.5 to 2",5,IF(BT359="Less than 1.5",10,0)))</f>
        <v/>
      </c>
      <c r="BV359" s="31" t="inlineStr">
        <is>
          <t>Above 70%</t>
        </is>
      </c>
      <c r="BW359" s="31">
        <f>IF(BV359="Above 70%",10,IF(BV359="Between 50% to 70%",5,IF(BV359="Less than 50%",0,IF(BV359="Negative",-10,IF(BV359="Less than 50% and Borrowings are increasing",-5,0)))))</f>
        <v/>
      </c>
      <c r="BX359" s="31" t="inlineStr">
        <is>
          <t>Between 0.7 to 1.2</t>
        </is>
      </c>
      <c r="BY359" s="31">
        <f>IF(BX359="More than 1.2",-10,IF(BX359="Between 0.7 to 1.2",0,IF(BX359="Less than 0.7",10,0)))</f>
        <v/>
      </c>
      <c r="BZ359" s="31" t="inlineStr">
        <is>
          <t>No</t>
        </is>
      </c>
      <c r="CA359" s="31">
        <f>IF(BZ359="Yes",-10,0)</f>
        <v/>
      </c>
      <c r="CB359" s="31" t="inlineStr">
        <is>
          <t>Less than 15%</t>
        </is>
      </c>
      <c r="CC359" s="31">
        <f>IF(CB359="More than 15%",-10,IF(CB359="Less than 15%",10,0))</f>
        <v/>
      </c>
      <c r="CD359" s="31" t="inlineStr">
        <is>
          <t>No</t>
        </is>
      </c>
      <c r="CE359" s="31">
        <f>IF(CD359="Yes, more than 10%",-10,IF(CD359="No",10,0))</f>
        <v/>
      </c>
    </row>
    <row r="360">
      <c r="A360" s="31">
        <f>IF(B360=0,"",RANK(B360,$B$2:$B$372,0))</f>
        <v/>
      </c>
      <c r="B360" s="32">
        <f>SUM(N360,Y360,AA360,AC360,AE360,AG360,AI360,AK360,AM360,AO360,AQ360,AS360,AU360,AW360,AY360,BA360,BC360,BE360,BG360,BI360,BK360,BM360,BO360,BQ360,BS360,BU360,BW360,BY360,CA360,CC360,CE360)</f>
        <v/>
      </c>
      <c r="C360" s="31" t="inlineStr">
        <is>
          <t>ANURAS</t>
        </is>
      </c>
      <c r="D360" s="31" t="inlineStr">
        <is>
          <t>Anupam Rasayan India Ltd</t>
        </is>
      </c>
      <c r="E360" s="31" t="inlineStr">
        <is>
          <t>chemicals</t>
        </is>
      </c>
      <c r="F360" s="31" t="inlineStr">
        <is>
          <t>chemicals</t>
        </is>
      </c>
      <c r="G360" s="31" t="inlineStr">
        <is>
          <t>midcap</t>
        </is>
      </c>
      <c r="H360" s="32" t="n">
        <v>14397.26</v>
      </c>
      <c r="I360" s="32" t="n">
        <v>1267.6</v>
      </c>
      <c r="J360" s="32" t="n">
        <v>0.24</v>
      </c>
      <c r="K360" s="32" t="n">
        <v>751443</v>
      </c>
      <c r="L360" s="31" t="n">
        <v>5</v>
      </c>
      <c r="M360" s="31" t="inlineStr">
        <is>
          <t>Outperforming</t>
        </is>
      </c>
      <c r="N360" s="32">
        <f>IF(M360="Underperforming",-5,IF(L360&gt;=95,15,IF(L360&gt;=90,10,IF(L360&gt;=80,5,0))))</f>
        <v/>
      </c>
      <c r="O360" s="32" t="n">
        <v>51.4</v>
      </c>
      <c r="P360" s="32" t="n">
        <v>8.210000000000001</v>
      </c>
      <c r="Q360" s="32" t="n">
        <v>1142.24</v>
      </c>
      <c r="R360" s="31" t="inlineStr">
        <is>
          <t>Earnings / Momentum Support</t>
        </is>
      </c>
      <c r="S360" s="31" t="inlineStr">
        <is>
          <t>Nifty 50</t>
        </is>
      </c>
      <c r="T360" s="32" t="n">
        <v>-0.9</v>
      </c>
      <c r="U360" s="32" t="n">
        <v>12.2</v>
      </c>
      <c r="V360" s="32" t="n">
        <v>13.21</v>
      </c>
      <c r="W360" s="32" t="n">
        <v>1.98</v>
      </c>
      <c r="X360" s="31" t="inlineStr">
        <is>
          <t>Growing Industry</t>
        </is>
      </c>
      <c r="Y360" s="31">
        <f>IF(X360="Growing Industry",10,IF(X360="Cyclical in an Upturn",5,0))</f>
        <v/>
      </c>
      <c r="Z360" s="31" t="inlineStr">
        <is>
          <t>Too Many Players with High ROCE</t>
        </is>
      </c>
      <c r="AA360" s="31">
        <f>IF(Z360="Monopoly",10,IF(Z360="Oligopoly",5,IF(Z360="Duopoly that cooperate",10,IF(Z360="Duopoly that compete",5,IF(Z360="Too many players with High ROCE",5,0)))))</f>
        <v/>
      </c>
      <c r="AB360" s="31" t="inlineStr">
        <is>
          <t>No</t>
        </is>
      </c>
      <c r="AC360" s="31">
        <f>IF(AB360="No",5,0)</f>
        <v/>
      </c>
      <c r="AD360" s="31" t="inlineStr">
        <is>
          <t>Tailwind</t>
        </is>
      </c>
      <c r="AE360" s="31">
        <f>IF(AD360="Tailwind",10,0)</f>
        <v/>
      </c>
      <c r="AF360" s="31" t="inlineStr">
        <is>
          <t>Structural (10 Years Consistency)</t>
        </is>
      </c>
      <c r="AG360" s="31">
        <f>IF(AF360="Structural (10 Years Consistency)",10,IF(AF360="Shallow Cyclical (2 to 3 years growth)",5,0))</f>
        <v/>
      </c>
      <c r="AH360" s="31" t="inlineStr">
        <is>
          <t>No</t>
        </is>
      </c>
      <c r="AI360" s="31">
        <f>IF(AH360="Yes due to Product Mix change or Operating Leverage",10,IF(AH360="Yes, these are peak margins",-5,IF(AH360="No",5,0)))</f>
        <v/>
      </c>
      <c r="AJ360" s="31" t="inlineStr">
        <is>
          <t>Stable</t>
        </is>
      </c>
      <c r="AK360" s="31">
        <f>IF(AJ360="Stable",10,0)</f>
        <v/>
      </c>
      <c r="AL360" s="31" t="inlineStr">
        <is>
          <t>Yes</t>
        </is>
      </c>
      <c r="AM360" s="31">
        <f>IF(AL360="Yes",10,0)</f>
        <v/>
      </c>
      <c r="AN360" s="31" t="inlineStr">
        <is>
          <t>B2B</t>
        </is>
      </c>
      <c r="AO360" s="31">
        <f>IF(AN360="B2C",10,IF(AN360="B2B",5,0))</f>
        <v/>
      </c>
      <c r="AP360" s="31" t="inlineStr">
        <is>
          <t>No</t>
        </is>
      </c>
      <c r="AQ360" s="31">
        <f>IF(AP360="Yes",10,0)</f>
        <v/>
      </c>
      <c r="AR360" s="31" t="inlineStr">
        <is>
          <t>Higher One Time, Lower Annuity</t>
        </is>
      </c>
      <c r="AS360" s="31">
        <f>IF(AR360="Fully Annuity",10,IF(AR360="Higher Annuity, Lower One Time",5,IF(AR360="Higher One Time, Lower Annuity",3,0)))</f>
        <v/>
      </c>
      <c r="AT360" s="31" t="inlineStr">
        <is>
          <t>Good</t>
        </is>
      </c>
      <c r="AU360" s="31">
        <f>IF(AT360="Good",10,0)</f>
        <v/>
      </c>
      <c r="AV360" s="31" t="inlineStr">
        <is>
          <t>Yes for more than 2 years</t>
        </is>
      </c>
      <c r="AW360" s="31">
        <f>IF(AV360="Yes for more than 2 years",10,IF(AV360="Yes only for next 1 to 2 years",5,0))</f>
        <v/>
      </c>
      <c r="AX360" s="31" t="inlineStr">
        <is>
          <t>0 to 20</t>
        </is>
      </c>
      <c r="AY360" s="31">
        <f>IF(AX360="Above 40",20,IF(AX360="20 to 40",10,IF(AX360="0 to 20",-5,0)))</f>
        <v/>
      </c>
      <c r="AZ360" s="31" t="inlineStr">
        <is>
          <t>Between 50 to 75</t>
        </is>
      </c>
      <c r="BA360" s="31">
        <f>IF(AZ360="Between 50 to 75",10,IF(AZ360="Above 75",0,0))</f>
        <v/>
      </c>
      <c r="BB360" s="31" t="inlineStr">
        <is>
          <t>Stage 1</t>
        </is>
      </c>
      <c r="BC360" s="31">
        <f>IF(BB360="Stage 2",20,IF(BB360="Stage 1",0,IF(BB360="Stage 3",5,IF(BB360="Stage 4",-5,0))))</f>
        <v/>
      </c>
      <c r="BD360" s="31" t="inlineStr">
        <is>
          <t>Positive Trend</t>
        </is>
      </c>
      <c r="BE360" s="31">
        <f>IF(BD360="Positive Trend",20,IF(BD360="Negative Trend",-10,0))</f>
        <v/>
      </c>
      <c r="BF360" s="31" t="inlineStr">
        <is>
          <t>Uptrend</t>
        </is>
      </c>
      <c r="BG360" s="31">
        <f>IF(BF360="Uptrend",10,IF(BF360="Sideways",5,0))</f>
        <v/>
      </c>
      <c r="BH360" s="31" t="inlineStr">
        <is>
          <t>Uptrend</t>
        </is>
      </c>
      <c r="BI360" s="31">
        <f>IF(BH360="Uptrend",10,IF(BH360="Sideways",5,0))</f>
        <v/>
      </c>
      <c r="BJ360" s="31" t="inlineStr">
        <is>
          <t>Close to 52 week high or retracement</t>
        </is>
      </c>
      <c r="BK360" s="31">
        <f>IF(BJ360="Overhead supply in last 2 years in last 2 years",-5,IF(BJ360="Close to 52 week high or retracement",5,IF(BJ360="Blue sky scenario",10,IF(BJ360="Long term Downtrend",-10,0))))</f>
        <v/>
      </c>
      <c r="BL360" s="31" t="inlineStr">
        <is>
          <t>Yes</t>
        </is>
      </c>
      <c r="BM360" s="31">
        <f>IF(BL360="Yes",10,0)</f>
        <v/>
      </c>
      <c r="BN360" s="31" t="inlineStr">
        <is>
          <t>Less than 12%</t>
        </is>
      </c>
      <c r="BO360" s="31">
        <f>IF(BN360="More than 20%",10,IF(BN360="Between 12 to 20%",5,IF(BN360="Less than 12%",0,0)))</f>
        <v/>
      </c>
      <c r="BP360" s="31" t="inlineStr">
        <is>
          <t>No</t>
        </is>
      </c>
      <c r="BQ360" s="31">
        <f>IF(BP360="No",10,0)</f>
        <v/>
      </c>
      <c r="BR360" s="31" t="inlineStr">
        <is>
          <t>Yes</t>
        </is>
      </c>
      <c r="BS360" s="31">
        <f>IF(BR360="NO",5,0)</f>
        <v/>
      </c>
      <c r="BT360" s="31" t="inlineStr">
        <is>
          <t>Above 2</t>
        </is>
      </c>
      <c r="BU360" s="31">
        <f>IF(BT360="Above 2",0,IF(BT360="Between 1.5 to 2",5,IF(BT360="Less than 1.5",10,0)))</f>
        <v/>
      </c>
      <c r="BV360" s="31" t="inlineStr">
        <is>
          <t>Above 70%</t>
        </is>
      </c>
      <c r="BW360" s="31">
        <f>IF(BV360="Above 70%",10,IF(BV360="Between 50% to 70%",5,IF(BV360="Less than 50%",0,IF(BV360="Negative",-10,IF(BV360="Less than 50% and Borrowings are increasing",-5,0)))))</f>
        <v/>
      </c>
      <c r="BX360" s="31" t="inlineStr">
        <is>
          <t>Less than 0.7</t>
        </is>
      </c>
      <c r="BY360" s="31">
        <f>IF(BX360="More than 1.2",-10,IF(BX360="Between 0.7 to 1.2",0,IF(BX360="Less than 0.7",10,0)))</f>
        <v/>
      </c>
      <c r="BZ360" s="31" t="inlineStr">
        <is>
          <t>No</t>
        </is>
      </c>
      <c r="CA360" s="31">
        <f>IF(BZ360="Yes",-10,0)</f>
        <v/>
      </c>
      <c r="CB360" s="31" t="inlineStr">
        <is>
          <t>Less than 15%</t>
        </is>
      </c>
      <c r="CC360" s="31">
        <f>IF(CB360="More than 15%",-10,IF(CB360="Less than 15%",10,0))</f>
        <v/>
      </c>
      <c r="CD360" s="31" t="inlineStr">
        <is>
          <t>No</t>
        </is>
      </c>
      <c r="CE360" s="31">
        <f>IF(CD360="Yes, more than 10%",-10,IF(CD360="No",10,0))</f>
        <v/>
      </c>
    </row>
    <row r="361">
      <c r="A361" s="31">
        <f>IF(B361=0,"",RANK(B361,$B$2:$B$372,0))</f>
        <v/>
      </c>
      <c r="B361" s="32">
        <f>SUM(N361,Y361,AA361,AC361,AE361,AG361,AI361,AK361,AM361,AO361,AQ361,AS361,AU361,AW361,AY361,BA361,BC361,BE361,BG361,BI361,BK361,BM361,BO361,BQ361,BS361,BU361,BW361,BY361,CA361,CC361,CE361)</f>
        <v/>
      </c>
      <c r="C361" s="31" t="inlineStr">
        <is>
          <t>SALSTEEL</t>
        </is>
      </c>
      <c r="D361" s="31" t="inlineStr">
        <is>
          <t>SAL Steel</t>
        </is>
      </c>
      <c r="E361" s="31" t="inlineStr">
        <is>
          <t>metals &amp; mining</t>
        </is>
      </c>
      <c r="F361" s="31" t="inlineStr">
        <is>
          <t>steel - sponge iron</t>
        </is>
      </c>
      <c r="G361" s="31" t="inlineStr">
        <is>
          <t>smallcap</t>
        </is>
      </c>
      <c r="H361" s="32" t="n">
        <v>1078.37</v>
      </c>
      <c r="I361" s="32" t="n">
        <v>71</v>
      </c>
      <c r="J361" s="32" t="n">
        <v>-4.69</v>
      </c>
      <c r="K361" s="32" t="n">
        <v>642340</v>
      </c>
      <c r="L361" s="31" t="inlineStr"/>
      <c r="M361" s="31" t="inlineStr"/>
      <c r="N361" s="32">
        <f>IF(M361="Underperforming",-5,IF(L361&gt;=95,15,IF(L361&gt;=90,10,IF(L361&gt;=80,5,0))))</f>
        <v/>
      </c>
      <c r="O361" s="32" t="n">
        <v>66.34999999999999</v>
      </c>
      <c r="P361" s="32" t="n">
        <v>26.56</v>
      </c>
      <c r="Q361" s="32" t="n">
        <v>55.02</v>
      </c>
      <c r="R361" s="31" t="inlineStr">
        <is>
          <t>Earnings / Momentum Support</t>
        </is>
      </c>
      <c r="S361" s="31" t="inlineStr">
        <is>
          <t>Nifty Metal</t>
        </is>
      </c>
      <c r="T361" s="32" t="inlineStr"/>
      <c r="U361" s="32" t="inlineStr"/>
      <c r="V361" s="32" t="inlineStr"/>
      <c r="W361" s="32" t="inlineStr"/>
      <c r="X361" s="31" t="inlineStr">
        <is>
          <t>Cyclical in an Upturn</t>
        </is>
      </c>
      <c r="Y361" s="31">
        <f>IF(X361="Growing Industry",10,IF(X361="Cyclical in an Upturn",5,0))</f>
        <v/>
      </c>
      <c r="Z361" s="31" t="inlineStr">
        <is>
          <t>Too Many Players with High ROCE</t>
        </is>
      </c>
      <c r="AA361" s="31">
        <f>IF(Z361="Monopoly",10,IF(Z361="Oligopoly",5,IF(Z361="Duopoly that cooperate",10,IF(Z361="Duopoly that compete",5,IF(Z361="Too many players with High ROCE",5,0)))))</f>
        <v/>
      </c>
      <c r="AB361" s="31" t="inlineStr">
        <is>
          <t>No</t>
        </is>
      </c>
      <c r="AC361" s="31">
        <f>IF(AB361="No",5,0)</f>
        <v/>
      </c>
      <c r="AD361" s="31" t="inlineStr">
        <is>
          <t>Tailwind</t>
        </is>
      </c>
      <c r="AE361" s="31">
        <f>IF(AD361="Tailwind",10,0)</f>
        <v/>
      </c>
      <c r="AF361" s="31" t="inlineStr">
        <is>
          <t>Cyclical</t>
        </is>
      </c>
      <c r="AG361" s="31">
        <f>IF(AF361="Structural (10 Years Consistency)",10,IF(AF361="Shallow Cyclical (2 to 3 years growth)",5,0))</f>
        <v/>
      </c>
      <c r="AH361" s="31" t="inlineStr">
        <is>
          <t>No</t>
        </is>
      </c>
      <c r="AI361" s="31">
        <f>IF(AH361="Yes due to Product Mix change or Operating Leverage",10,IF(AH361="Yes, these are peak margins",-5,IF(AH361="No",5,0)))</f>
        <v/>
      </c>
      <c r="AJ361" s="31" t="inlineStr">
        <is>
          <t>Volatile</t>
        </is>
      </c>
      <c r="AK361" s="31">
        <f>IF(AJ361="Stable",10,0)</f>
        <v/>
      </c>
      <c r="AL361" s="31" t="inlineStr">
        <is>
          <t>Yes</t>
        </is>
      </c>
      <c r="AM361" s="31">
        <f>IF(AL361="Yes",10,0)</f>
        <v/>
      </c>
      <c r="AN361" s="31" t="inlineStr">
        <is>
          <t>B2B</t>
        </is>
      </c>
      <c r="AO361" s="31">
        <f>IF(AN361="B2C",10,IF(AN361="B2B",5,0))</f>
        <v/>
      </c>
      <c r="AP361" s="31" t="inlineStr">
        <is>
          <t>No</t>
        </is>
      </c>
      <c r="AQ361" s="31">
        <f>IF(AP361="Yes",10,0)</f>
        <v/>
      </c>
      <c r="AR361" s="31" t="inlineStr">
        <is>
          <t>Higher One Time, Lower Annuity</t>
        </is>
      </c>
      <c r="AS361" s="31">
        <f>IF(AR361="Fully Annuity",10,IF(AR361="Higher Annuity, Lower One Time",5,IF(AR361="Higher One Time, Lower Annuity",3,0)))</f>
        <v/>
      </c>
      <c r="AT361" s="31" t="inlineStr">
        <is>
          <t>Good</t>
        </is>
      </c>
      <c r="AU361" s="31">
        <f>IF(AT361="Good",10,0)</f>
        <v/>
      </c>
      <c r="AV361" s="31" t="inlineStr">
        <is>
          <t>Yes for more than 2 years</t>
        </is>
      </c>
      <c r="AW361" s="31">
        <f>IF(AV361="Yes for more than 2 years",10,IF(AV361="Yes only for next 1 to 2 years",5,0))</f>
        <v/>
      </c>
      <c r="AX361" s="31" t="inlineStr">
        <is>
          <t>20 to 40</t>
        </is>
      </c>
      <c r="AY361" s="31">
        <f>IF(AX361="Above 40",20,IF(AX361="20 to 40",10,IF(AX361="0 to 20",-5,0)))</f>
        <v/>
      </c>
      <c r="AZ361" s="31" t="inlineStr">
        <is>
          <t>Between 50 to 75</t>
        </is>
      </c>
      <c r="BA361" s="31">
        <f>IF(AZ361="Between 50 to 75",10,IF(AZ361="Above 75",0,0))</f>
        <v/>
      </c>
      <c r="BB361" s="31" t="inlineStr">
        <is>
          <t>Stage 2</t>
        </is>
      </c>
      <c r="BC361" s="31">
        <f>IF(BB361="Stage 2",20,IF(BB361="Stage 1",0,IF(BB361="Stage 3",5,IF(BB361="Stage 4",-5,0))))</f>
        <v/>
      </c>
      <c r="BD361" s="31" t="inlineStr">
        <is>
          <t>Positive Trend</t>
        </is>
      </c>
      <c r="BE361" s="31">
        <f>IF(BD361="Positive Trend",20,IF(BD361="Negative Trend",-10,0))</f>
        <v/>
      </c>
      <c r="BF361" s="31" t="inlineStr">
        <is>
          <t>Uptrend</t>
        </is>
      </c>
      <c r="BG361" s="31">
        <f>IF(BF361="Uptrend",10,IF(BF361="Sideways",5,0))</f>
        <v/>
      </c>
      <c r="BH361" s="31" t="inlineStr">
        <is>
          <t>Uptrend</t>
        </is>
      </c>
      <c r="BI361" s="31">
        <f>IF(BH361="Uptrend",10,IF(BH361="Sideways",5,0))</f>
        <v/>
      </c>
      <c r="BJ361" s="31" t="inlineStr">
        <is>
          <t>Close to 52 week high or retracement</t>
        </is>
      </c>
      <c r="BK361" s="31">
        <f>IF(BJ361="Overhead supply in last 2 years in last 2 years",-5,IF(BJ361="Close to 52 week high or retracement",5,IF(BJ361="Blue sky scenario",10,IF(BJ361="Long term Downtrend",-10,0))))</f>
        <v/>
      </c>
      <c r="BL361" s="31" t="inlineStr">
        <is>
          <t>Yes</t>
        </is>
      </c>
      <c r="BM361" s="31">
        <f>IF(BL361="Yes",10,0)</f>
        <v/>
      </c>
      <c r="BN361" s="31" t="inlineStr">
        <is>
          <t>More than 20%</t>
        </is>
      </c>
      <c r="BO361" s="31">
        <f>IF(BN361="More than 20%",10,IF(BN361="Between 12 to 20%",5,IF(BN361="Less than 12%",0,0)))</f>
        <v/>
      </c>
      <c r="BP361" s="31" t="inlineStr">
        <is>
          <t>No</t>
        </is>
      </c>
      <c r="BQ361" s="31">
        <f>IF(BP361="No",10,0)</f>
        <v/>
      </c>
      <c r="BR361" s="31" t="inlineStr">
        <is>
          <t>Yes</t>
        </is>
      </c>
      <c r="BS361" s="31">
        <f>IF(BR361="NO",5,0)</f>
        <v/>
      </c>
      <c r="BT361" s="31" t="inlineStr">
        <is>
          <t>Above 2</t>
        </is>
      </c>
      <c r="BU361" s="31">
        <f>IF(BT361="Above 2",0,IF(BT361="Between 1.5 to 2",5,IF(BT361="Less than 1.5",10,0)))</f>
        <v/>
      </c>
      <c r="BV361" s="31" t="inlineStr">
        <is>
          <t>Above 70%</t>
        </is>
      </c>
      <c r="BW361" s="31">
        <f>IF(BV361="Above 70%",10,IF(BV361="Between 50% to 70%",5,IF(BV361="Less than 50%",0,IF(BV361="Negative",-10,IF(BV361="Less than 50% and Borrowings are increasing",-5,0)))))</f>
        <v/>
      </c>
      <c r="BX361" s="31" t="inlineStr">
        <is>
          <t>More than 1.2</t>
        </is>
      </c>
      <c r="BY361" s="31">
        <f>IF(BX361="More than 1.2",-10,IF(BX361="Between 0.7 to 1.2",0,IF(BX361="Less than 0.7",10,0)))</f>
        <v/>
      </c>
      <c r="BZ361" s="31" t="inlineStr">
        <is>
          <t>No</t>
        </is>
      </c>
      <c r="CA361" s="31">
        <f>IF(BZ361="Yes",-10,0)</f>
        <v/>
      </c>
      <c r="CB361" s="31" t="inlineStr">
        <is>
          <t>Less than 15%</t>
        </is>
      </c>
      <c r="CC361" s="31">
        <f>IF(CB361="More than 15%",-10,IF(CB361="Less than 15%",10,0))</f>
        <v/>
      </c>
      <c r="CD361" s="31" t="inlineStr">
        <is>
          <t>No</t>
        </is>
      </c>
      <c r="CE361" s="31">
        <f>IF(CD361="Yes, more than 10%",-10,IF(CD361="No",10,0))</f>
        <v/>
      </c>
    </row>
    <row r="362">
      <c r="A362" s="31">
        <f>IF(B362=0,"",RANK(B362,$B$2:$B$372,0))</f>
        <v/>
      </c>
      <c r="B362" s="32">
        <f>SUM(N362,Y362,AA362,AC362,AE362,AG362,AI362,AK362,AM362,AO362,AQ362,AS362,AU362,AW362,AY362,BA362,BC362,BE362,BG362,BI362,BK362,BM362,BO362,BQ362,BS362,BU362,BW362,BY362,CA362,CC362,CE362)</f>
        <v/>
      </c>
      <c r="C362" s="31" t="inlineStr">
        <is>
          <t>ASHOKLEY</t>
        </is>
      </c>
      <c r="D362" s="31" t="inlineStr">
        <is>
          <t>Ashok Leyland Limited</t>
        </is>
      </c>
      <c r="E362" s="31" t="inlineStr">
        <is>
          <t>auto</t>
        </is>
      </c>
      <c r="F362" s="31" t="inlineStr">
        <is>
          <t>automobiles - lcvs / hcvs</t>
        </is>
      </c>
      <c r="G362" s="31" t="inlineStr">
        <is>
          <t>largecap</t>
        </is>
      </c>
      <c r="H362" s="32" t="n">
        <v>102610.37</v>
      </c>
      <c r="I362" s="32" t="n">
        <v>179.05</v>
      </c>
      <c r="J362" s="32" t="n">
        <v>2.5</v>
      </c>
      <c r="K362" s="32" t="n">
        <v>17797516</v>
      </c>
      <c r="L362" s="31" t="inlineStr"/>
      <c r="M362" s="31" t="inlineStr"/>
      <c r="N362" s="32">
        <f>IF(M362="Underperforming",-5,IF(L362&gt;=95,15,IF(L362&gt;=90,10,IF(L362&gt;=80,5,0))))</f>
        <v/>
      </c>
      <c r="O362" s="32" t="n">
        <v>58.36</v>
      </c>
      <c r="P362" s="32" t="n">
        <v>14.27</v>
      </c>
      <c r="Q362" s="32" t="n">
        <v>143.8</v>
      </c>
      <c r="R362" s="31" t="inlineStr">
        <is>
          <t>Earnings / Momentum Support</t>
        </is>
      </c>
      <c r="S362" s="31" t="inlineStr">
        <is>
          <t>Nifty Auto</t>
        </is>
      </c>
      <c r="T362" s="32" t="inlineStr"/>
      <c r="U362" s="32" t="inlineStr"/>
      <c r="V362" s="32" t="inlineStr"/>
      <c r="W362" s="32" t="inlineStr"/>
      <c r="X362" s="31" t="inlineStr">
        <is>
          <t>Growing Industry</t>
        </is>
      </c>
      <c r="Y362" s="31">
        <f>IF(X362="Growing Industry",10,IF(X362="Cyclical in an Upturn",5,0))</f>
        <v/>
      </c>
      <c r="Z362" s="31" t="inlineStr">
        <is>
          <t>Too Many Players with High ROCE</t>
        </is>
      </c>
      <c r="AA362" s="31">
        <f>IF(Z362="Monopoly",10,IF(Z362="Oligopoly",5,IF(Z362="Duopoly that cooperate",10,IF(Z362="Duopoly that compete",5,IF(Z362="Too many players with High ROCE",5,0)))))</f>
        <v/>
      </c>
      <c r="AB362" s="31" t="inlineStr">
        <is>
          <t>No</t>
        </is>
      </c>
      <c r="AC362" s="31">
        <f>IF(AB362="No",5,0)</f>
        <v/>
      </c>
      <c r="AD362" s="31" t="inlineStr">
        <is>
          <t>Headwind</t>
        </is>
      </c>
      <c r="AE362" s="31">
        <f>IF(AD362="Tailwind",10,0)</f>
        <v/>
      </c>
      <c r="AF362" s="31" t="inlineStr">
        <is>
          <t>Structural (10 Years Consistency)</t>
        </is>
      </c>
      <c r="AG362" s="31">
        <f>IF(AF362="Structural (10 Years Consistency)",10,IF(AF362="Shallow Cyclical (2 to 3 years growth)",5,0))</f>
        <v/>
      </c>
      <c r="AH362" s="31" t="inlineStr">
        <is>
          <t>No</t>
        </is>
      </c>
      <c r="AI362" s="31">
        <f>IF(AH362="Yes due to Product Mix change or Operating Leverage",10,IF(AH362="Yes, these are peak margins",-5,IF(AH362="No",5,0)))</f>
        <v/>
      </c>
      <c r="AJ362" s="31" t="inlineStr">
        <is>
          <t>Stable</t>
        </is>
      </c>
      <c r="AK362" s="31">
        <f>IF(AJ362="Stable",10,0)</f>
        <v/>
      </c>
      <c r="AL362" s="31" t="inlineStr">
        <is>
          <t>Yes</t>
        </is>
      </c>
      <c r="AM362" s="31">
        <f>IF(AL362="Yes",10,0)</f>
        <v/>
      </c>
      <c r="AN362" s="31" t="inlineStr">
        <is>
          <t>B2B</t>
        </is>
      </c>
      <c r="AO362" s="31">
        <f>IF(AN362="B2C",10,IF(AN362="B2B",5,0))</f>
        <v/>
      </c>
      <c r="AP362" s="31" t="inlineStr">
        <is>
          <t>No</t>
        </is>
      </c>
      <c r="AQ362" s="31">
        <f>IF(AP362="Yes",10,0)</f>
        <v/>
      </c>
      <c r="AR362" s="31" t="inlineStr">
        <is>
          <t>Higher One Time, Lower Annuity</t>
        </is>
      </c>
      <c r="AS362" s="31">
        <f>IF(AR362="Fully Annuity",10,IF(AR362="Higher Annuity, Lower One Time",5,IF(AR362="Higher One Time, Lower Annuity",3,0)))</f>
        <v/>
      </c>
      <c r="AT362" s="31" t="inlineStr">
        <is>
          <t>Good</t>
        </is>
      </c>
      <c r="AU362" s="31">
        <f>IF(AT362="Good",10,0)</f>
        <v/>
      </c>
      <c r="AV362" s="31" t="inlineStr">
        <is>
          <t>Yes for more than 2 years</t>
        </is>
      </c>
      <c r="AW362" s="31">
        <f>IF(AV362="Yes for more than 2 years",10,IF(AV362="Yes only for next 1 to 2 years",5,0))</f>
        <v/>
      </c>
      <c r="AX362" s="31" t="inlineStr">
        <is>
          <t>0 to 20</t>
        </is>
      </c>
      <c r="AY362" s="31">
        <f>IF(AX362="Above 40",20,IF(AX362="20 to 40",10,IF(AX362="0 to 20",-5,0)))</f>
        <v/>
      </c>
      <c r="AZ362" s="31" t="inlineStr">
        <is>
          <t>Between 50 to 75</t>
        </is>
      </c>
      <c r="BA362" s="31">
        <f>IF(AZ362="Between 50 to 75",10,IF(AZ362="Above 75",0,0))</f>
        <v/>
      </c>
      <c r="BB362" s="31" t="inlineStr">
        <is>
          <t>Stage 2</t>
        </is>
      </c>
      <c r="BC362" s="31">
        <f>IF(BB362="Stage 2",20,IF(BB362="Stage 1",0,IF(BB362="Stage 3",5,IF(BB362="Stage 4",-5,0))))</f>
        <v/>
      </c>
      <c r="BD362" s="31" t="inlineStr">
        <is>
          <t>Positive Trend</t>
        </is>
      </c>
      <c r="BE362" s="31">
        <f>IF(BD362="Positive Trend",20,IF(BD362="Negative Trend",-10,0))</f>
        <v/>
      </c>
      <c r="BF362" s="31" t="inlineStr">
        <is>
          <t>Uptrend</t>
        </is>
      </c>
      <c r="BG362" s="31">
        <f>IF(BF362="Uptrend",10,IF(BF362="Sideways",5,0))</f>
        <v/>
      </c>
      <c r="BH362" s="31" t="inlineStr">
        <is>
          <t>Uptrend</t>
        </is>
      </c>
      <c r="BI362" s="31">
        <f>IF(BH362="Uptrend",10,IF(BH362="Sideways",5,0))</f>
        <v/>
      </c>
      <c r="BJ362" s="31" t="inlineStr">
        <is>
          <t>Close to 52 week high or retracement</t>
        </is>
      </c>
      <c r="BK362" s="31">
        <f>IF(BJ362="Overhead supply in last 2 years in last 2 years",-5,IF(BJ362="Close to 52 week high or retracement",5,IF(BJ362="Blue sky scenario",10,IF(BJ362="Long term Downtrend",-10,0))))</f>
        <v/>
      </c>
      <c r="BL362" s="31" t="inlineStr">
        <is>
          <t>Yes</t>
        </is>
      </c>
      <c r="BM362" s="31">
        <f>IF(BL362="Yes",10,0)</f>
        <v/>
      </c>
      <c r="BN362" s="31" t="inlineStr">
        <is>
          <t>Less than 12%</t>
        </is>
      </c>
      <c r="BO362" s="31">
        <f>IF(BN362="More than 20%",10,IF(BN362="Between 12 to 20%",5,IF(BN362="Less than 12%",0,0)))</f>
        <v/>
      </c>
      <c r="BP362" s="31" t="inlineStr">
        <is>
          <t>No</t>
        </is>
      </c>
      <c r="BQ362" s="31">
        <f>IF(BP362="No",10,0)</f>
        <v/>
      </c>
      <c r="BR362" s="31" t="inlineStr">
        <is>
          <t>No</t>
        </is>
      </c>
      <c r="BS362" s="31">
        <f>IF(BR362="NO",5,0)</f>
        <v/>
      </c>
      <c r="BT362" s="31" t="inlineStr">
        <is>
          <t>Above 2</t>
        </is>
      </c>
      <c r="BU362" s="31">
        <f>IF(BT362="Above 2",0,IF(BT362="Between 1.5 to 2",5,IF(BT362="Less than 1.5",10,0)))</f>
        <v/>
      </c>
      <c r="BV362" s="31" t="inlineStr">
        <is>
          <t>Above 70%</t>
        </is>
      </c>
      <c r="BW362" s="31">
        <f>IF(BV362="Above 70%",10,IF(BV362="Between 50% to 70%",5,IF(BV362="Less than 50%",0,IF(BV362="Negative",-10,IF(BV362="Less than 50% and Borrowings are increasing",-5,0)))))</f>
        <v/>
      </c>
      <c r="BX362" s="31" t="inlineStr">
        <is>
          <t>More than 1.2</t>
        </is>
      </c>
      <c r="BY362" s="31">
        <f>IF(BX362="More than 1.2",-10,IF(BX362="Between 0.7 to 1.2",0,IF(BX362="Less than 0.7",10,0)))</f>
        <v/>
      </c>
      <c r="BZ362" s="31" t="inlineStr">
        <is>
          <t>No</t>
        </is>
      </c>
      <c r="CA362" s="31">
        <f>IF(BZ362="Yes",-10,0)</f>
        <v/>
      </c>
      <c r="CB362" s="31" t="inlineStr">
        <is>
          <t>Less than 15%</t>
        </is>
      </c>
      <c r="CC362" s="31">
        <f>IF(CB362="More than 15%",-10,IF(CB362="Less than 15%",10,0))</f>
        <v/>
      </c>
      <c r="CD362" s="31" t="inlineStr">
        <is>
          <t>No</t>
        </is>
      </c>
      <c r="CE362" s="31">
        <f>IF(CD362="Yes, more than 10%",-10,IF(CD362="No",10,0))</f>
        <v/>
      </c>
    </row>
    <row r="363">
      <c r="A363" s="31">
        <f>IF(B363=0,"",RANK(B363,$B$2:$B$372,0))</f>
        <v/>
      </c>
      <c r="B363" s="32">
        <f>SUM(N363,Y363,AA363,AC363,AE363,AG363,AI363,AK363,AM363,AO363,AQ363,AS363,AU363,AW363,AY363,BA363,BC363,BE363,BG363,BI363,BK363,BM363,BO363,BQ363,BS363,BU363,BW363,BY363,CA363,CC363,CE363)</f>
        <v/>
      </c>
      <c r="C363" s="31" t="inlineStr">
        <is>
          <t>SMLMAH</t>
        </is>
      </c>
      <c r="D363" s="31" t="inlineStr">
        <is>
          <t>SML Mahindra Ltd</t>
        </is>
      </c>
      <c r="E363" s="31" t="inlineStr">
        <is>
          <t>auto</t>
        </is>
      </c>
      <c r="F363" s="31" t="inlineStr">
        <is>
          <t>automobiles - lcvs / hcvs</t>
        </is>
      </c>
      <c r="G363" s="31" t="inlineStr">
        <is>
          <t>midcap</t>
        </is>
      </c>
      <c r="H363" s="32" t="n">
        <v>7513.68</v>
      </c>
      <c r="I363" s="32" t="n">
        <v>5190.5</v>
      </c>
      <c r="J363" s="32" t="n">
        <v>-0.03</v>
      </c>
      <c r="K363" s="32" t="n">
        <v>55861</v>
      </c>
      <c r="L363" s="31" t="inlineStr"/>
      <c r="M363" s="31" t="inlineStr"/>
      <c r="N363" s="32">
        <f>IF(M363="Underperforming",-5,IF(L363&gt;=95,15,IF(L363&gt;=90,10,IF(L363&gt;=80,5,0))))</f>
        <v/>
      </c>
      <c r="O363" s="32" t="n">
        <v>61.63</v>
      </c>
      <c r="P363" s="32" t="n">
        <v>16.07</v>
      </c>
      <c r="Q363" s="32" t="n">
        <v>4146.21</v>
      </c>
      <c r="R363" s="31" t="inlineStr">
        <is>
          <t>Earnings / Momentum Support</t>
        </is>
      </c>
      <c r="S363" s="31" t="inlineStr">
        <is>
          <t>Nifty Auto</t>
        </is>
      </c>
      <c r="T363" s="32" t="inlineStr"/>
      <c r="U363" s="32" t="inlineStr"/>
      <c r="V363" s="32" t="inlineStr"/>
      <c r="W363" s="32" t="inlineStr"/>
      <c r="X363" s="31" t="inlineStr">
        <is>
          <t>Growing Industry</t>
        </is>
      </c>
      <c r="Y363" s="31">
        <f>IF(X363="Growing Industry",10,IF(X363="Cyclical in an Upturn",5,0))</f>
        <v/>
      </c>
      <c r="Z363" s="31" t="inlineStr">
        <is>
          <t>Too Many Players with High ROCE</t>
        </is>
      </c>
      <c r="AA363" s="31">
        <f>IF(Z363="Monopoly",10,IF(Z363="Oligopoly",5,IF(Z363="Duopoly that cooperate",10,IF(Z363="Duopoly that compete",5,IF(Z363="Too many players with High ROCE",5,0)))))</f>
        <v/>
      </c>
      <c r="AB363" s="31" t="inlineStr">
        <is>
          <t>No</t>
        </is>
      </c>
      <c r="AC363" s="31">
        <f>IF(AB363="No",5,0)</f>
        <v/>
      </c>
      <c r="AD363" s="31" t="inlineStr">
        <is>
          <t>Tailwind</t>
        </is>
      </c>
      <c r="AE363" s="31">
        <f>IF(AD363="Tailwind",10,0)</f>
        <v/>
      </c>
      <c r="AF363" s="31" t="inlineStr">
        <is>
          <t>Structural (10 Years Consistency)</t>
        </is>
      </c>
      <c r="AG363" s="31">
        <f>IF(AF363="Structural (10 Years Consistency)",10,IF(AF363="Shallow Cyclical (2 to 3 years growth)",5,0))</f>
        <v/>
      </c>
      <c r="AH363" s="31" t="inlineStr">
        <is>
          <t>No</t>
        </is>
      </c>
      <c r="AI363" s="31">
        <f>IF(AH363="Yes due to Product Mix change or Operating Leverage",10,IF(AH363="Yes, these are peak margins",-5,IF(AH363="No",5,0)))</f>
        <v/>
      </c>
      <c r="AJ363" s="31" t="inlineStr">
        <is>
          <t>Stable</t>
        </is>
      </c>
      <c r="AK363" s="31">
        <f>IF(AJ363="Stable",10,0)</f>
        <v/>
      </c>
      <c r="AL363" s="31" t="inlineStr">
        <is>
          <t>Yes</t>
        </is>
      </c>
      <c r="AM363" s="31">
        <f>IF(AL363="Yes",10,0)</f>
        <v/>
      </c>
      <c r="AN363" s="31" t="inlineStr">
        <is>
          <t>B2B</t>
        </is>
      </c>
      <c r="AO363" s="31">
        <f>IF(AN363="B2C",10,IF(AN363="B2B",5,0))</f>
        <v/>
      </c>
      <c r="AP363" s="31" t="inlineStr">
        <is>
          <t>No</t>
        </is>
      </c>
      <c r="AQ363" s="31">
        <f>IF(AP363="Yes",10,0)</f>
        <v/>
      </c>
      <c r="AR363" s="31" t="inlineStr">
        <is>
          <t>Higher One Time, Lower Annuity</t>
        </is>
      </c>
      <c r="AS363" s="31">
        <f>IF(AR363="Fully Annuity",10,IF(AR363="Higher Annuity, Lower One Time",5,IF(AR363="Higher One Time, Lower Annuity",3,0)))</f>
        <v/>
      </c>
      <c r="AT363" s="31" t="inlineStr">
        <is>
          <t>Good</t>
        </is>
      </c>
      <c r="AU363" s="31">
        <f>IF(AT363="Good",10,0)</f>
        <v/>
      </c>
      <c r="AV363" s="31" t="inlineStr">
        <is>
          <t>Yes for more than 2 years</t>
        </is>
      </c>
      <c r="AW363" s="31">
        <f>IF(AV363="Yes for more than 2 years",10,IF(AV363="Yes only for next 1 to 2 years",5,0))</f>
        <v/>
      </c>
      <c r="AX363" s="31" t="inlineStr">
        <is>
          <t>0 to 20</t>
        </is>
      </c>
      <c r="AY363" s="31">
        <f>IF(AX363="Above 40",20,IF(AX363="20 to 40",10,IF(AX363="0 to 20",-5,0)))</f>
        <v/>
      </c>
      <c r="AZ363" s="31" t="inlineStr">
        <is>
          <t>Between 50 to 75</t>
        </is>
      </c>
      <c r="BA363" s="31">
        <f>IF(AZ363="Between 50 to 75",10,IF(AZ363="Above 75",0,0))</f>
        <v/>
      </c>
      <c r="BB363" s="31" t="inlineStr">
        <is>
          <t>Stage 2</t>
        </is>
      </c>
      <c r="BC363" s="31">
        <f>IF(BB363="Stage 2",20,IF(BB363="Stage 1",0,IF(BB363="Stage 3",5,IF(BB363="Stage 4",-5,0))))</f>
        <v/>
      </c>
      <c r="BD363" s="31" t="inlineStr">
        <is>
          <t>Negative Trend</t>
        </is>
      </c>
      <c r="BE363" s="31">
        <f>IF(BD363="Positive Trend",20,IF(BD363="Negative Trend",-10,0))</f>
        <v/>
      </c>
      <c r="BF363" s="31" t="inlineStr">
        <is>
          <t>Uptrend</t>
        </is>
      </c>
      <c r="BG363" s="31">
        <f>IF(BF363="Uptrend",10,IF(BF363="Sideways",5,0))</f>
        <v/>
      </c>
      <c r="BH363" s="31" t="inlineStr">
        <is>
          <t>Uptrend</t>
        </is>
      </c>
      <c r="BI363" s="31">
        <f>IF(BH363="Uptrend",10,IF(BH363="Sideways",5,0))</f>
        <v/>
      </c>
      <c r="BJ363" s="31" t="inlineStr">
        <is>
          <t>Close to 52 week high or retracement</t>
        </is>
      </c>
      <c r="BK363" s="31">
        <f>IF(BJ363="Overhead supply in last 2 years in last 2 years",-5,IF(BJ363="Close to 52 week high or retracement",5,IF(BJ363="Blue sky scenario",10,IF(BJ363="Long term Downtrend",-10,0))))</f>
        <v/>
      </c>
      <c r="BL363" s="31" t="inlineStr">
        <is>
          <t>Yes</t>
        </is>
      </c>
      <c r="BM363" s="31">
        <f>IF(BL363="Yes",10,0)</f>
        <v/>
      </c>
      <c r="BN363" s="31" t="inlineStr">
        <is>
          <t>Less than 12%</t>
        </is>
      </c>
      <c r="BO363" s="31">
        <f>IF(BN363="More than 20%",10,IF(BN363="Between 12 to 20%",5,IF(BN363="Less than 12%",0,0)))</f>
        <v/>
      </c>
      <c r="BP363" s="31" t="inlineStr">
        <is>
          <t>No</t>
        </is>
      </c>
      <c r="BQ363" s="31">
        <f>IF(BP363="No",10,0)</f>
        <v/>
      </c>
      <c r="BR363" s="31" t="inlineStr">
        <is>
          <t>Yes</t>
        </is>
      </c>
      <c r="BS363" s="31">
        <f>IF(BR363="NO",5,0)</f>
        <v/>
      </c>
      <c r="BT363" s="31" t="inlineStr">
        <is>
          <t>Above 2</t>
        </is>
      </c>
      <c r="BU363" s="31">
        <f>IF(BT363="Above 2",0,IF(BT363="Between 1.5 to 2",5,IF(BT363="Less than 1.5",10,0)))</f>
        <v/>
      </c>
      <c r="BV363" s="31" t="inlineStr">
        <is>
          <t>Above 70%</t>
        </is>
      </c>
      <c r="BW363" s="31">
        <f>IF(BV363="Above 70%",10,IF(BV363="Between 50% to 70%",5,IF(BV363="Less than 50%",0,IF(BV363="Negative",-10,IF(BV363="Less than 50% and Borrowings are increasing",-5,0)))))</f>
        <v/>
      </c>
      <c r="BX363" s="31" t="inlineStr">
        <is>
          <t>Less than 0.7</t>
        </is>
      </c>
      <c r="BY363" s="31">
        <f>IF(BX363="More than 1.2",-10,IF(BX363="Between 0.7 to 1.2",0,IF(BX363="Less than 0.7",10,0)))</f>
        <v/>
      </c>
      <c r="BZ363" s="31" t="inlineStr">
        <is>
          <t>No</t>
        </is>
      </c>
      <c r="CA363" s="31">
        <f>IF(BZ363="Yes",-10,0)</f>
        <v/>
      </c>
      <c r="CB363" s="31" t="inlineStr">
        <is>
          <t>Less than 15%</t>
        </is>
      </c>
      <c r="CC363" s="31">
        <f>IF(CB363="More than 15%",-10,IF(CB363="Less than 15%",10,0))</f>
        <v/>
      </c>
      <c r="CD363" s="31" t="inlineStr">
        <is>
          <t>No</t>
        </is>
      </c>
      <c r="CE363" s="31">
        <f>IF(CD363="Yes, more than 10%",-10,IF(CD363="No",10,0))</f>
        <v/>
      </c>
    </row>
    <row r="364">
      <c r="A364" s="31">
        <f>IF(B364=0,"",RANK(B364,$B$2:$B$372,0))</f>
        <v/>
      </c>
      <c r="B364" s="32">
        <f>SUM(N364,Y364,AA364,AC364,AE364,AG364,AI364,AK364,AM364,AO364,AQ364,AS364,AU364,AW364,AY364,BA364,BC364,BE364,BG364,BI364,BK364,BM364,BO364,BQ364,BS364,BU364,BW364,BY364,CA364,CC364,CE364)</f>
        <v/>
      </c>
      <c r="C364" s="31" t="inlineStr">
        <is>
          <t>BALAMINES</t>
        </is>
      </c>
      <c r="D364" s="31" t="inlineStr">
        <is>
          <t>Balaji Amines Limited</t>
        </is>
      </c>
      <c r="E364" s="31" t="inlineStr">
        <is>
          <t>chemicals</t>
        </is>
      </c>
      <c r="F364" s="31" t="inlineStr">
        <is>
          <t>chemicals</t>
        </is>
      </c>
      <c r="G364" s="31" t="inlineStr">
        <is>
          <t>midcap</t>
        </is>
      </c>
      <c r="H364" s="32" t="n">
        <v>7593.5</v>
      </c>
      <c r="I364" s="32" t="n">
        <v>2437.2</v>
      </c>
      <c r="J364" s="32" t="n">
        <v>3.99</v>
      </c>
      <c r="K364" s="32" t="n">
        <v>519491</v>
      </c>
      <c r="L364" s="31" t="n">
        <v>76</v>
      </c>
      <c r="M364" s="31" t="inlineStr">
        <is>
          <t>Outperforming</t>
        </is>
      </c>
      <c r="N364" s="32">
        <f>IF(M364="Underperforming",-5,IF(L364&gt;=95,15,IF(L364&gt;=90,10,IF(L364&gt;=80,5,0))))</f>
        <v/>
      </c>
      <c r="O364" s="32" t="n">
        <v>69.64</v>
      </c>
      <c r="P364" s="32" t="n">
        <v>59.52</v>
      </c>
      <c r="Q364" s="32" t="n">
        <v>1769.58</v>
      </c>
      <c r="R364" s="31" t="inlineStr">
        <is>
          <t>Near 52W High Breakout</t>
        </is>
      </c>
      <c r="S364" s="31" t="inlineStr">
        <is>
          <t>Nifty 50</t>
        </is>
      </c>
      <c r="T364" s="32" t="n">
        <v>-0.9</v>
      </c>
      <c r="U364" s="32" t="n">
        <v>68.09999999999999</v>
      </c>
      <c r="V364" s="32" t="n">
        <v>69.63</v>
      </c>
      <c r="W364" s="32" t="n">
        <v>22.52</v>
      </c>
      <c r="X364" s="31" t="inlineStr">
        <is>
          <t>Growing Industry</t>
        </is>
      </c>
      <c r="Y364" s="31">
        <f>IF(X364="Growing Industry",10,IF(X364="Cyclical in an Upturn",5,0))</f>
        <v/>
      </c>
      <c r="Z364" s="31" t="inlineStr">
        <is>
          <t>Duopoly That Cooperate</t>
        </is>
      </c>
      <c r="AA364" s="31">
        <f>IF(Z364="Monopoly",10,IF(Z364="Oligopoly",5,IF(Z364="Duopoly that cooperate",10,IF(Z364="Duopoly that compete",5,IF(Z364="Too many players with High ROCE",5,0)))))</f>
        <v/>
      </c>
      <c r="AB364" s="31" t="inlineStr">
        <is>
          <t>No</t>
        </is>
      </c>
      <c r="AC364" s="31">
        <f>IF(AB364="No",5,0)</f>
        <v/>
      </c>
      <c r="AD364" s="31" t="inlineStr">
        <is>
          <t>Headwind</t>
        </is>
      </c>
      <c r="AE364" s="31">
        <f>IF(AD364="Tailwind",10,0)</f>
        <v/>
      </c>
      <c r="AF364" s="31" t="inlineStr">
        <is>
          <t>Shallow Cyclical (2 to 3 Years Growth)</t>
        </is>
      </c>
      <c r="AG364" s="31">
        <f>IF(AF364="Structural (10 Years Consistency)",10,IF(AF364="Shallow Cyclical (2 to 3 years growth)",5,0))</f>
        <v/>
      </c>
      <c r="AH364" s="31" t="inlineStr">
        <is>
          <t>No</t>
        </is>
      </c>
      <c r="AI364" s="31">
        <f>IF(AH364="Yes due to Product Mix change or Operating Leverage",10,IF(AH364="Yes, these are peak margins",-5,IF(AH364="No",5,0)))</f>
        <v/>
      </c>
      <c r="AJ364" s="31" t="inlineStr">
        <is>
          <t>Stable</t>
        </is>
      </c>
      <c r="AK364" s="31">
        <f>IF(AJ364="Stable",10,0)</f>
        <v/>
      </c>
      <c r="AL364" s="31" t="inlineStr">
        <is>
          <t>Yes</t>
        </is>
      </c>
      <c r="AM364" s="31">
        <f>IF(AL364="Yes",10,0)</f>
        <v/>
      </c>
      <c r="AN364" s="31" t="inlineStr">
        <is>
          <t>B2B</t>
        </is>
      </c>
      <c r="AO364" s="31">
        <f>IF(AN364="B2C",10,IF(AN364="B2B",5,0))</f>
        <v/>
      </c>
      <c r="AP364" s="31" t="inlineStr">
        <is>
          <t>Yes</t>
        </is>
      </c>
      <c r="AQ364" s="31">
        <f>IF(AP364="Yes",10,0)</f>
        <v/>
      </c>
      <c r="AR364" s="31" t="inlineStr">
        <is>
          <t>Higher One Time, Lower Annuity</t>
        </is>
      </c>
      <c r="AS364" s="31">
        <f>IF(AR364="Fully Annuity",10,IF(AR364="Higher Annuity, Lower One Time",5,IF(AR364="Higher One Time, Lower Annuity",3,0)))</f>
        <v/>
      </c>
      <c r="AT364" s="31" t="inlineStr">
        <is>
          <t>Good</t>
        </is>
      </c>
      <c r="AU364" s="31">
        <f>IF(AT364="Good",10,0)</f>
        <v/>
      </c>
      <c r="AV364" s="31" t="inlineStr">
        <is>
          <t>Yes for more than 2 years</t>
        </is>
      </c>
      <c r="AW364" s="31">
        <f>IF(AV364="Yes for more than 2 years",10,IF(AV364="Yes only for next 1 to 2 years",5,0))</f>
        <v/>
      </c>
      <c r="AX364" s="31" t="inlineStr">
        <is>
          <t>20 to 40</t>
        </is>
      </c>
      <c r="AY364" s="31">
        <f>IF(AX364="Above 40",20,IF(AX364="20 to 40",10,IF(AX364="0 to 20",-5,0)))</f>
        <v/>
      </c>
      <c r="AZ364" s="31" t="inlineStr">
        <is>
          <t>Between 50 to 75</t>
        </is>
      </c>
      <c r="BA364" s="31">
        <f>IF(AZ364="Between 50 to 75",10,IF(AZ364="Above 75",0,0))</f>
        <v/>
      </c>
      <c r="BB364" s="31" t="inlineStr">
        <is>
          <t>Stage 4</t>
        </is>
      </c>
      <c r="BC364" s="31">
        <f>IF(BB364="Stage 2",20,IF(BB364="Stage 1",0,IF(BB364="Stage 3",5,IF(BB364="Stage 4",-5,0))))</f>
        <v/>
      </c>
      <c r="BD364" s="31" t="inlineStr">
        <is>
          <t>Negative Trend</t>
        </is>
      </c>
      <c r="BE364" s="31">
        <f>IF(BD364="Positive Trend",20,IF(BD364="Negative Trend",-10,0))</f>
        <v/>
      </c>
      <c r="BF364" s="31" t="inlineStr">
        <is>
          <t>Downtrend</t>
        </is>
      </c>
      <c r="BG364" s="31">
        <f>IF(BF364="Uptrend",10,IF(BF364="Sideways",5,0))</f>
        <v/>
      </c>
      <c r="BH364" s="31" t="inlineStr">
        <is>
          <t>Uptrend</t>
        </is>
      </c>
      <c r="BI364" s="31">
        <f>IF(BH364="Uptrend",10,IF(BH364="Sideways",5,0))</f>
        <v/>
      </c>
      <c r="BJ364" s="31" t="inlineStr">
        <is>
          <t>Overhead supply in last 2 years in last 2 years</t>
        </is>
      </c>
      <c r="BK364" s="31">
        <f>IF(BJ364="Overhead supply in last 2 years in last 2 years",-5,IF(BJ364="Close to 52 week high or retracement",5,IF(BJ364="Blue sky scenario",10,IF(BJ364="Long term Downtrend",-10,0))))</f>
        <v/>
      </c>
      <c r="BL364" s="31" t="inlineStr">
        <is>
          <t>No</t>
        </is>
      </c>
      <c r="BM364" s="31">
        <f>IF(BL364="Yes",10,0)</f>
        <v/>
      </c>
      <c r="BN364" s="31" t="inlineStr">
        <is>
          <t>More than 20%</t>
        </is>
      </c>
      <c r="BO364" s="31">
        <f>IF(BN364="More than 20%",10,IF(BN364="Between 12 to 20%",5,IF(BN364="Less than 12%",0,0)))</f>
        <v/>
      </c>
      <c r="BP364" s="31" t="inlineStr">
        <is>
          <t>No</t>
        </is>
      </c>
      <c r="BQ364" s="31">
        <f>IF(BP364="No",10,0)</f>
        <v/>
      </c>
      <c r="BR364" s="31" t="inlineStr">
        <is>
          <t>No</t>
        </is>
      </c>
      <c r="BS364" s="31">
        <f>IF(BR364="NO",5,0)</f>
        <v/>
      </c>
      <c r="BT364" s="31" t="inlineStr">
        <is>
          <t>Less than 1.5</t>
        </is>
      </c>
      <c r="BU364" s="31">
        <f>IF(BT364="Above 2",0,IF(BT364="Between 1.5 to 2",5,IF(BT364="Less than 1.5",10,0)))</f>
        <v/>
      </c>
      <c r="BV364" s="31" t="inlineStr">
        <is>
          <t>Above 70%</t>
        </is>
      </c>
      <c r="BW364" s="31">
        <f>IF(BV364="Above 70%",10,IF(BV364="Between 50% to 70%",5,IF(BV364="Less than 50%",0,IF(BV364="Negative",-10,IF(BV364="Less than 50% and Borrowings are increasing",-5,0)))))</f>
        <v/>
      </c>
      <c r="BX364" s="31" t="inlineStr">
        <is>
          <t>Less than 0.7</t>
        </is>
      </c>
      <c r="BY364" s="31">
        <f>IF(BX364="More than 1.2",-10,IF(BX364="Between 0.7 to 1.2",0,IF(BX364="Less than 0.7",10,0)))</f>
        <v/>
      </c>
      <c r="BZ364" s="31" t="inlineStr">
        <is>
          <t>No</t>
        </is>
      </c>
      <c r="CA364" s="31">
        <f>IF(BZ364="Yes",-10,0)</f>
        <v/>
      </c>
      <c r="CB364" s="31" t="inlineStr">
        <is>
          <t>Less than 15%</t>
        </is>
      </c>
      <c r="CC364" s="31">
        <f>IF(CB364="More than 15%",-10,IF(CB364="Less than 15%",10,0))</f>
        <v/>
      </c>
      <c r="CD364" s="31" t="inlineStr">
        <is>
          <t>No</t>
        </is>
      </c>
      <c r="CE364" s="31">
        <f>IF(CD364="Yes, more than 10%",-10,IF(CD364="No",10,0))</f>
        <v/>
      </c>
    </row>
    <row r="365">
      <c r="A365" s="31">
        <f>IF(B365=0,"",RANK(B365,$B$2:$B$372,0))</f>
        <v/>
      </c>
      <c r="B365" s="32">
        <f>SUM(N365,Y365,AA365,AC365,AE365,AG365,AI365,AK365,AM365,AO365,AQ365,AS365,AU365,AW365,AY365,BA365,BC365,BE365,BG365,BI365,BK365,BM365,BO365,BQ365,BS365,BU365,BW365,BY365,CA365,CC365,CE365)</f>
        <v/>
      </c>
      <c r="C365" s="31" t="inlineStr">
        <is>
          <t>GIPCL</t>
        </is>
      </c>
      <c r="D365" s="31" t="inlineStr">
        <is>
          <t>Gujarat Industries Power Company Limited</t>
        </is>
      </c>
      <c r="E365" s="31" t="inlineStr">
        <is>
          <t>power &amp; utilities</t>
        </is>
      </c>
      <c r="F365" s="31" t="inlineStr">
        <is>
          <t>power generation and supply</t>
        </is>
      </c>
      <c r="G365" s="31" t="inlineStr">
        <is>
          <t>smallcap</t>
        </is>
      </c>
      <c r="H365" s="32" t="n">
        <v>2960.28</v>
      </c>
      <c r="I365" s="32" t="n">
        <v>201.47</v>
      </c>
      <c r="J365" s="32" t="n">
        <v>5.64</v>
      </c>
      <c r="K365" s="32" t="n">
        <v>3796524</v>
      </c>
      <c r="L365" s="31" t="n">
        <v>30</v>
      </c>
      <c r="M365" s="31" t="inlineStr">
        <is>
          <t>Outperforming</t>
        </is>
      </c>
      <c r="N365" s="32">
        <f>IF(M365="Underperforming",-5,IF(L365&gt;=95,15,IF(L365&gt;=90,10,IF(L365&gt;=80,5,0))))</f>
        <v/>
      </c>
      <c r="O365" s="32" t="n">
        <v>71.09</v>
      </c>
      <c r="P365" s="32" t="n">
        <v>16.59</v>
      </c>
      <c r="Q365" s="32" t="n">
        <v>162.94</v>
      </c>
      <c r="R365" s="31" t="inlineStr">
        <is>
          <t>Volume Spike &amp; Near 52W High Breakout</t>
        </is>
      </c>
      <c r="S365" s="31" t="inlineStr">
        <is>
          <t>Nifty IT</t>
        </is>
      </c>
      <c r="T365" s="32" t="n">
        <v>-13.82</v>
      </c>
      <c r="U365" s="32" t="n">
        <v>15.69</v>
      </c>
      <c r="V365" s="32" t="n">
        <v>34.25</v>
      </c>
      <c r="W365" s="32" t="n">
        <v>8.23</v>
      </c>
      <c r="X365" s="31" t="inlineStr">
        <is>
          <t>Growing Industry</t>
        </is>
      </c>
      <c r="Y365" s="31">
        <f>IF(X365="Growing Industry",10,IF(X365="Cyclical in an Upturn",5,0))</f>
        <v/>
      </c>
      <c r="Z365" s="31" t="inlineStr">
        <is>
          <t>Oligopoly</t>
        </is>
      </c>
      <c r="AA365" s="31">
        <f>IF(Z365="Monopoly",10,IF(Z365="Oligopoly",5,IF(Z365="Duopoly that cooperate",10,IF(Z365="Duopoly that compete",5,IF(Z365="Too many players with High ROCE",5,0)))))</f>
        <v/>
      </c>
      <c r="AB365" s="31" t="inlineStr">
        <is>
          <t>No</t>
        </is>
      </c>
      <c r="AC365" s="31">
        <f>IF(AB365="No",5,0)</f>
        <v/>
      </c>
      <c r="AD365" s="31" t="inlineStr">
        <is>
          <t>Tailwind</t>
        </is>
      </c>
      <c r="AE365" s="31">
        <f>IF(AD365="Tailwind",10,0)</f>
        <v/>
      </c>
      <c r="AF365" s="31" t="inlineStr">
        <is>
          <t>Shallow Cyclical (2 to 3 Years Growth)</t>
        </is>
      </c>
      <c r="AG365" s="31">
        <f>IF(AF365="Structural (10 Years Consistency)",10,IF(AF365="Shallow Cyclical (2 to 3 years growth)",5,0))</f>
        <v/>
      </c>
      <c r="AH365" s="31" t="inlineStr">
        <is>
          <t>Yes due to Product Mix change or Operating Leverage</t>
        </is>
      </c>
      <c r="AI365" s="31">
        <f>IF(AH365="Yes due to Product Mix change or Operating Leverage",10,IF(AH365="Yes, these are peak margins",-5,IF(AH365="No",5,0)))</f>
        <v/>
      </c>
      <c r="AJ365" s="31" t="inlineStr">
        <is>
          <t>Volatile</t>
        </is>
      </c>
      <c r="AK365" s="31">
        <f>IF(AJ365="Stable",10,0)</f>
        <v/>
      </c>
      <c r="AL365" s="31" t="inlineStr">
        <is>
          <t>Yes</t>
        </is>
      </c>
      <c r="AM365" s="31">
        <f>IF(AL365="Yes",10,0)</f>
        <v/>
      </c>
      <c r="AN365" s="31" t="inlineStr">
        <is>
          <t>B2B</t>
        </is>
      </c>
      <c r="AO365" s="31">
        <f>IF(AN365="B2C",10,IF(AN365="B2B",5,0))</f>
        <v/>
      </c>
      <c r="AP365" s="31" t="inlineStr">
        <is>
          <t>Yes</t>
        </is>
      </c>
      <c r="AQ365" s="31">
        <f>IF(AP365="Yes",10,0)</f>
        <v/>
      </c>
      <c r="AR365" s="31" t="inlineStr">
        <is>
          <t>Higher One Time, Lower Annuity</t>
        </is>
      </c>
      <c r="AS365" s="31">
        <f>IF(AR365="Fully Annuity",10,IF(AR365="Higher Annuity, Lower One Time",5,IF(AR365="Higher One Time, Lower Annuity",3,0)))</f>
        <v/>
      </c>
      <c r="AT365" s="31" t="inlineStr">
        <is>
          <t>Allocated capital in Non-core Areas</t>
        </is>
      </c>
      <c r="AU365" s="31">
        <f>IF(AT365="Good",10,0)</f>
        <v/>
      </c>
      <c r="AV365" s="31" t="inlineStr">
        <is>
          <t>Yes for more than 2 years</t>
        </is>
      </c>
      <c r="AW365" s="31">
        <f>IF(AV365="Yes for more than 2 years",10,IF(AV365="Yes only for next 1 to 2 years",5,0))</f>
        <v/>
      </c>
      <c r="AX365" s="31" t="inlineStr">
        <is>
          <t>Above 40</t>
        </is>
      </c>
      <c r="AY365" s="31">
        <f>IF(AX365="Above 40",20,IF(AX365="20 to 40",10,IF(AX365="0 to 20",-5,0)))</f>
        <v/>
      </c>
      <c r="AZ365" s="31" t="inlineStr">
        <is>
          <t>Between 50 to 75</t>
        </is>
      </c>
      <c r="BA365" s="31">
        <f>IF(AZ365="Between 50 to 75",10,IF(AZ365="Above 75",0,0))</f>
        <v/>
      </c>
      <c r="BB365" s="31" t="inlineStr">
        <is>
          <t>Stage 3</t>
        </is>
      </c>
      <c r="BC365" s="31">
        <f>IF(BB365="Stage 2",20,IF(BB365="Stage 1",0,IF(BB365="Stage 3",5,IF(BB365="Stage 4",-5,0))))</f>
        <v/>
      </c>
      <c r="BD365" s="31" t="inlineStr">
        <is>
          <t>Negative Trend</t>
        </is>
      </c>
      <c r="BE365" s="31">
        <f>IF(BD365="Positive Trend",20,IF(BD365="Negative Trend",-10,0))</f>
        <v/>
      </c>
      <c r="BF365" s="31" t="inlineStr">
        <is>
          <t>Sideways</t>
        </is>
      </c>
      <c r="BG365" s="31">
        <f>IF(BF365="Uptrend",10,IF(BF365="Sideways",5,0))</f>
        <v/>
      </c>
      <c r="BH365" s="31" t="inlineStr">
        <is>
          <t>Uptrend</t>
        </is>
      </c>
      <c r="BI365" s="31">
        <f>IF(BH365="Uptrend",10,IF(BH365="Sideways",5,0))</f>
        <v/>
      </c>
      <c r="BJ365" s="31" t="inlineStr">
        <is>
          <t>Overhead supply in last 2 years in last 2 years</t>
        </is>
      </c>
      <c r="BK365" s="31">
        <f>IF(BJ365="Overhead supply in last 2 years in last 2 years",-5,IF(BJ365="Close to 52 week high or retracement",5,IF(BJ365="Blue sky scenario",10,IF(BJ365="Long term Downtrend",-10,0))))</f>
        <v/>
      </c>
      <c r="BL365" s="31" t="inlineStr">
        <is>
          <t>Yes</t>
        </is>
      </c>
      <c r="BM365" s="31">
        <f>IF(BL365="Yes",10,0)</f>
        <v/>
      </c>
      <c r="BN365" s="31" t="inlineStr">
        <is>
          <t>More than 20%</t>
        </is>
      </c>
      <c r="BO365" s="31">
        <f>IF(BN365="More than 20%",10,IF(BN365="Between 12 to 20%",5,IF(BN365="Less than 12%",0,0)))</f>
        <v/>
      </c>
      <c r="BP365" s="31" t="inlineStr">
        <is>
          <t>No</t>
        </is>
      </c>
      <c r="BQ365" s="31">
        <f>IF(BP365="No",10,0)</f>
        <v/>
      </c>
      <c r="BR365" s="31" t="inlineStr">
        <is>
          <t>No</t>
        </is>
      </c>
      <c r="BS365" s="31">
        <f>IF(BR365="NO",5,0)</f>
        <v/>
      </c>
      <c r="BT365" s="31" t="inlineStr">
        <is>
          <t>Less than 1.5</t>
        </is>
      </c>
      <c r="BU365" s="31">
        <f>IF(BT365="Above 2",0,IF(BT365="Between 1.5 to 2",5,IF(BT365="Less than 1.5",10,0)))</f>
        <v/>
      </c>
      <c r="BV365" s="31" t="inlineStr">
        <is>
          <t>Above 70%</t>
        </is>
      </c>
      <c r="BW365" s="31">
        <f>IF(BV365="Above 70%",10,IF(BV365="Between 50% to 70%",5,IF(BV365="Less than 50%",0,IF(BV365="Negative",-10,IF(BV365="Less than 50% and Borrowings are increasing",-5,0)))))</f>
        <v/>
      </c>
      <c r="BX365" s="31" t="inlineStr">
        <is>
          <t>Less than 0.7</t>
        </is>
      </c>
      <c r="BY365" s="31">
        <f>IF(BX365="More than 1.2",-10,IF(BX365="Between 0.7 to 1.2",0,IF(BX365="Less than 0.7",10,0)))</f>
        <v/>
      </c>
      <c r="BZ365" s="31" t="inlineStr">
        <is>
          <t>No</t>
        </is>
      </c>
      <c r="CA365" s="31">
        <f>IF(BZ365="Yes",-10,0)</f>
        <v/>
      </c>
      <c r="CB365" s="31" t="inlineStr">
        <is>
          <t>More than 15%</t>
        </is>
      </c>
      <c r="CC365" s="31">
        <f>IF(CB365="More than 15%",-10,IF(CB365="Less than 15%",10,0))</f>
        <v/>
      </c>
      <c r="CD365" s="31" t="inlineStr">
        <is>
          <t>Yes Upto 10%</t>
        </is>
      </c>
      <c r="CE365" s="31">
        <f>IF(CD365="Yes, more than 10%",-10,IF(CD365="No",10,0))</f>
        <v/>
      </c>
    </row>
    <row r="366">
      <c r="A366" s="31">
        <f>IF(B366=0,"",RANK(B366,$B$2:$B$372,0))</f>
        <v/>
      </c>
      <c r="B366" s="32">
        <f>SUM(N366,Y366,AA366,AC366,AE366,AG366,AI366,AK366,AM366,AO366,AQ366,AS366,AU366,AW366,AY366,BA366,BC366,BE366,BG366,BI366,BK366,BM366,BO366,BQ366,BS366,BU366,BW366,BY366,CA366,CC366,CE366)</f>
        <v/>
      </c>
      <c r="C366" s="31" t="inlineStr">
        <is>
          <t>GPPL</t>
        </is>
      </c>
      <c r="D366" s="31" t="inlineStr">
        <is>
          <t>Gujarat Pipavav Port Limited</t>
        </is>
      </c>
      <c r="E366" s="31" t="inlineStr">
        <is>
          <t>transportation</t>
        </is>
      </c>
      <c r="F366" s="31" t="inlineStr">
        <is>
          <t>miscellaneous</t>
        </is>
      </c>
      <c r="G366" s="31" t="inlineStr">
        <is>
          <t>midcap</t>
        </is>
      </c>
      <c r="H366" s="32" t="n">
        <v>7953.07</v>
      </c>
      <c r="I366" s="32" t="n">
        <v>169.46</v>
      </c>
      <c r="J366" s="32" t="n">
        <v>3.01</v>
      </c>
      <c r="K366" s="32" t="n">
        <v>9434825</v>
      </c>
      <c r="L366" s="31" t="n">
        <v>18</v>
      </c>
      <c r="M366" s="31" t="inlineStr">
        <is>
          <t>Outperforming</t>
        </is>
      </c>
      <c r="N366" s="32">
        <f>IF(M366="Underperforming",-5,IF(L366&gt;=95,15,IF(L366&gt;=90,10,IF(L366&gt;=80,5,0))))</f>
        <v/>
      </c>
      <c r="O366" s="32" t="n">
        <v>62.34</v>
      </c>
      <c r="P366" s="32" t="n">
        <v>7.63</v>
      </c>
      <c r="Q366" s="32" t="n">
        <v>143.31</v>
      </c>
      <c r="R366" s="31" t="inlineStr">
        <is>
          <t>Earnings / Momentum Support</t>
        </is>
      </c>
      <c r="S366" s="31" t="inlineStr">
        <is>
          <t>Nifty 50</t>
        </is>
      </c>
      <c r="T366" s="32" t="n">
        <v>-0.9</v>
      </c>
      <c r="U366" s="32" t="n">
        <v>17.17</v>
      </c>
      <c r="V366" s="32" t="n">
        <v>18.23</v>
      </c>
      <c r="W366" s="32" t="n">
        <v>5.38</v>
      </c>
      <c r="X366" s="31" t="inlineStr">
        <is>
          <t>Growing Industry</t>
        </is>
      </c>
      <c r="Y366" s="31">
        <f>IF(X366="Growing Industry",10,IF(X366="Cyclical in an Upturn",5,0))</f>
        <v/>
      </c>
      <c r="Z366" s="31" t="inlineStr">
        <is>
          <t>Oligopoly</t>
        </is>
      </c>
      <c r="AA366" s="31">
        <f>IF(Z366="Monopoly",10,IF(Z366="Oligopoly",5,IF(Z366="Duopoly that cooperate",10,IF(Z366="Duopoly that compete",5,IF(Z366="Too many players with High ROCE",5,0)))))</f>
        <v/>
      </c>
      <c r="AB366" s="31" t="inlineStr">
        <is>
          <t>No</t>
        </is>
      </c>
      <c r="AC366" s="31">
        <f>IF(AB366="No",5,0)</f>
        <v/>
      </c>
      <c r="AD366" s="31" t="inlineStr">
        <is>
          <t>Tailwind</t>
        </is>
      </c>
      <c r="AE366" s="31">
        <f>IF(AD366="Tailwind",10,0)</f>
        <v/>
      </c>
      <c r="AF366" s="31" t="inlineStr">
        <is>
          <t>Shallow Cyclical (2 to 3 Years Growth)</t>
        </is>
      </c>
      <c r="AG366" s="31">
        <f>IF(AF366="Structural (10 Years Consistency)",10,IF(AF366="Shallow Cyclical (2 to 3 years growth)",5,0))</f>
        <v/>
      </c>
      <c r="AH366" s="31" t="inlineStr">
        <is>
          <t>Yes due to Product Mix change or Operating Leverage</t>
        </is>
      </c>
      <c r="AI366" s="31">
        <f>IF(AH366="Yes due to Product Mix change or Operating Leverage",10,IF(AH366="Yes, these are peak margins",-5,IF(AH366="No",5,0)))</f>
        <v/>
      </c>
      <c r="AJ366" s="31" t="inlineStr">
        <is>
          <t>Volatile</t>
        </is>
      </c>
      <c r="AK366" s="31">
        <f>IF(AJ366="Stable",10,0)</f>
        <v/>
      </c>
      <c r="AL366" s="31" t="inlineStr">
        <is>
          <t>Yes</t>
        </is>
      </c>
      <c r="AM366" s="31">
        <f>IF(AL366="Yes",10,0)</f>
        <v/>
      </c>
      <c r="AN366" s="31" t="inlineStr">
        <is>
          <t>B2B</t>
        </is>
      </c>
      <c r="AO366" s="31">
        <f>IF(AN366="B2C",10,IF(AN366="B2B",5,0))</f>
        <v/>
      </c>
      <c r="AP366" s="31" t="inlineStr">
        <is>
          <t>Yes</t>
        </is>
      </c>
      <c r="AQ366" s="31">
        <f>IF(AP366="Yes",10,0)</f>
        <v/>
      </c>
      <c r="AR366" s="31" t="inlineStr">
        <is>
          <t>Higher One Time, Lower Annuity</t>
        </is>
      </c>
      <c r="AS366" s="31">
        <f>IF(AR366="Fully Annuity",10,IF(AR366="Higher Annuity, Lower One Time",5,IF(AR366="Higher One Time, Lower Annuity",3,0)))</f>
        <v/>
      </c>
      <c r="AT366" s="31" t="inlineStr">
        <is>
          <t>Allocated capital in Non-core Areas</t>
        </is>
      </c>
      <c r="AU366" s="31">
        <f>IF(AT366="Good",10,0)</f>
        <v/>
      </c>
      <c r="AV366" s="31" t="inlineStr">
        <is>
          <t>Yes for more than 2 years</t>
        </is>
      </c>
      <c r="AW366" s="31">
        <f>IF(AV366="Yes for more than 2 years",10,IF(AV366="Yes only for next 1 to 2 years",5,0))</f>
        <v/>
      </c>
      <c r="AX366" s="31" t="inlineStr">
        <is>
          <t>Above 40</t>
        </is>
      </c>
      <c r="AY366" s="31">
        <f>IF(AX366="Above 40",20,IF(AX366="20 to 40",10,IF(AX366="0 to 20",-5,0)))</f>
        <v/>
      </c>
      <c r="AZ366" s="31" t="inlineStr">
        <is>
          <t>Between 50 to 75</t>
        </is>
      </c>
      <c r="BA366" s="31">
        <f>IF(AZ366="Between 50 to 75",10,IF(AZ366="Above 75",0,0))</f>
        <v/>
      </c>
      <c r="BB366" s="31" t="inlineStr">
        <is>
          <t>Stage 3</t>
        </is>
      </c>
      <c r="BC366" s="31">
        <f>IF(BB366="Stage 2",20,IF(BB366="Stage 1",0,IF(BB366="Stage 3",5,IF(BB366="Stage 4",-5,0))))</f>
        <v/>
      </c>
      <c r="BD366" s="31" t="inlineStr">
        <is>
          <t>Negative Trend</t>
        </is>
      </c>
      <c r="BE366" s="31">
        <f>IF(BD366="Positive Trend",20,IF(BD366="Negative Trend",-10,0))</f>
        <v/>
      </c>
      <c r="BF366" s="31" t="inlineStr">
        <is>
          <t>Sideways</t>
        </is>
      </c>
      <c r="BG366" s="31">
        <f>IF(BF366="Uptrend",10,IF(BF366="Sideways",5,0))</f>
        <v/>
      </c>
      <c r="BH366" s="31" t="inlineStr">
        <is>
          <t>Uptrend</t>
        </is>
      </c>
      <c r="BI366" s="31">
        <f>IF(BH366="Uptrend",10,IF(BH366="Sideways",5,0))</f>
        <v/>
      </c>
      <c r="BJ366" s="31" t="inlineStr">
        <is>
          <t>Overhead supply in last 2 years in last 2 years</t>
        </is>
      </c>
      <c r="BK366" s="31">
        <f>IF(BJ366="Overhead supply in last 2 years in last 2 years",-5,IF(BJ366="Close to 52 week high or retracement",5,IF(BJ366="Blue sky scenario",10,IF(BJ366="Long term Downtrend",-10,0))))</f>
        <v/>
      </c>
      <c r="BL366" s="31" t="inlineStr">
        <is>
          <t>Yes</t>
        </is>
      </c>
      <c r="BM366" s="31">
        <f>IF(BL366="Yes",10,0)</f>
        <v/>
      </c>
      <c r="BN366" s="31" t="inlineStr">
        <is>
          <t>More than 20%</t>
        </is>
      </c>
      <c r="BO366" s="31">
        <f>IF(BN366="More than 20%",10,IF(BN366="Between 12 to 20%",5,IF(BN366="Less than 12%",0,0)))</f>
        <v/>
      </c>
      <c r="BP366" s="31" t="inlineStr">
        <is>
          <t>No</t>
        </is>
      </c>
      <c r="BQ366" s="31">
        <f>IF(BP366="No",10,0)</f>
        <v/>
      </c>
      <c r="BR366" s="31" t="inlineStr">
        <is>
          <t>No</t>
        </is>
      </c>
      <c r="BS366" s="31">
        <f>IF(BR366="NO",5,0)</f>
        <v/>
      </c>
      <c r="BT366" s="31" t="inlineStr">
        <is>
          <t>Less than 1.5</t>
        </is>
      </c>
      <c r="BU366" s="31">
        <f>IF(BT366="Above 2",0,IF(BT366="Between 1.5 to 2",5,IF(BT366="Less than 1.5",10,0)))</f>
        <v/>
      </c>
      <c r="BV366" s="31" t="inlineStr">
        <is>
          <t>Above 70%</t>
        </is>
      </c>
      <c r="BW366" s="31">
        <f>IF(BV366="Above 70%",10,IF(BV366="Between 50% to 70%",5,IF(BV366="Less than 50%",0,IF(BV366="Negative",-10,IF(BV366="Less than 50% and Borrowings are increasing",-5,0)))))</f>
        <v/>
      </c>
      <c r="BX366" s="31" t="inlineStr">
        <is>
          <t>Less than 0.7</t>
        </is>
      </c>
      <c r="BY366" s="31">
        <f>IF(BX366="More than 1.2",-10,IF(BX366="Between 0.7 to 1.2",0,IF(BX366="Less than 0.7",10,0)))</f>
        <v/>
      </c>
      <c r="BZ366" s="31" t="inlineStr">
        <is>
          <t>No</t>
        </is>
      </c>
      <c r="CA366" s="31">
        <f>IF(BZ366="Yes",-10,0)</f>
        <v/>
      </c>
      <c r="CB366" s="31" t="inlineStr">
        <is>
          <t>More than 15%</t>
        </is>
      </c>
      <c r="CC366" s="31">
        <f>IF(CB366="More than 15%",-10,IF(CB366="Less than 15%",10,0))</f>
        <v/>
      </c>
      <c r="CD366" s="31" t="inlineStr">
        <is>
          <t>Yes Upto 10%</t>
        </is>
      </c>
      <c r="CE366" s="31">
        <f>IF(CD366="Yes, more than 10%",-10,IF(CD366="No",10,0))</f>
        <v/>
      </c>
    </row>
    <row r="367">
      <c r="A367" s="31">
        <f>IF(B367=0,"",RANK(B367,$B$2:$B$372,0))</f>
        <v/>
      </c>
      <c r="B367" s="32">
        <f>SUM(N367,Y367,AA367,AC367,AE367,AG367,AI367,AK367,AM367,AO367,AQ367,AS367,AU367,AW367,AY367,BA367,BC367,BE367,BG367,BI367,BK367,BM367,BO367,BQ367,BS367,BU367,BW367,BY367,CA367,CC367,CE367)</f>
        <v/>
      </c>
      <c r="C367" s="31" t="inlineStr">
        <is>
          <t>FLUOROCHEM</t>
        </is>
      </c>
      <c r="D367" s="31" t="inlineStr">
        <is>
          <t>Gujarat Fluorochemicals Ltd</t>
        </is>
      </c>
      <c r="E367" s="31" t="inlineStr">
        <is>
          <t>chemicals</t>
        </is>
      </c>
      <c r="F367" s="31" t="inlineStr">
        <is>
          <t>chemicals</t>
        </is>
      </c>
      <c r="G367" s="31" t="inlineStr">
        <is>
          <t>largecap</t>
        </is>
      </c>
      <c r="H367" s="32" t="n">
        <v>50599.11</v>
      </c>
      <c r="I367" s="32" t="n">
        <v>4732.1</v>
      </c>
      <c r="J367" s="32" t="n">
        <v>2.73</v>
      </c>
      <c r="K367" s="32" t="n">
        <v>156236</v>
      </c>
      <c r="L367" s="31" t="n">
        <v>51</v>
      </c>
      <c r="M367" s="31" t="inlineStr">
        <is>
          <t>Outperforming</t>
        </is>
      </c>
      <c r="N367" s="32">
        <f>IF(M367="Underperforming",-5,IF(L367&gt;=95,15,IF(L367&gt;=90,10,IF(L367&gt;=80,5,0))))</f>
        <v/>
      </c>
      <c r="O367" s="32" t="n">
        <v>70.04000000000001</v>
      </c>
      <c r="P367" s="32" t="n">
        <v>35.59</v>
      </c>
      <c r="Q367" s="32" t="n">
        <v>3908.79</v>
      </c>
      <c r="R367" s="31" t="inlineStr">
        <is>
          <t>Near 52W High Breakout</t>
        </is>
      </c>
      <c r="S367" s="31" t="inlineStr">
        <is>
          <t>Nifty 50</t>
        </is>
      </c>
      <c r="T367" s="32" t="n">
        <v>-0.9</v>
      </c>
      <c r="U367" s="32" t="n">
        <v>38.71</v>
      </c>
      <c r="V367" s="32" t="n">
        <v>39.97</v>
      </c>
      <c r="W367" s="32" t="n">
        <v>13.42</v>
      </c>
      <c r="X367" s="31" t="inlineStr">
        <is>
          <t>Growing Industry</t>
        </is>
      </c>
      <c r="Y367" s="31">
        <f>IF(X367="Growing Industry",10,IF(X367="Cyclical in an Upturn",5,0))</f>
        <v/>
      </c>
      <c r="Z367" s="31" t="inlineStr">
        <is>
          <t>Oligopoly</t>
        </is>
      </c>
      <c r="AA367" s="31">
        <f>IF(Z367="Monopoly",10,IF(Z367="Oligopoly",5,IF(Z367="Duopoly that cooperate",10,IF(Z367="Duopoly that compete",5,IF(Z367="Too many players with High ROCE",5,0)))))</f>
        <v/>
      </c>
      <c r="AB367" s="31" t="inlineStr">
        <is>
          <t>No</t>
        </is>
      </c>
      <c r="AC367" s="31">
        <f>IF(AB367="No",5,0)</f>
        <v/>
      </c>
      <c r="AD367" s="31" t="inlineStr">
        <is>
          <t>Tailwind</t>
        </is>
      </c>
      <c r="AE367" s="31">
        <f>IF(AD367="Tailwind",10,0)</f>
        <v/>
      </c>
      <c r="AF367" s="31" t="inlineStr">
        <is>
          <t>Shallow Cyclical (2 to 3 Years Growth)</t>
        </is>
      </c>
      <c r="AG367" s="31">
        <f>IF(AF367="Structural (10 Years Consistency)",10,IF(AF367="Shallow Cyclical (2 to 3 years growth)",5,0))</f>
        <v/>
      </c>
      <c r="AH367" s="31" t="inlineStr">
        <is>
          <t>Yes due to Product Mix change or Operating Leverage</t>
        </is>
      </c>
      <c r="AI367" s="31">
        <f>IF(AH367="Yes due to Product Mix change or Operating Leverage",10,IF(AH367="Yes, these are peak margins",-5,IF(AH367="No",5,0)))</f>
        <v/>
      </c>
      <c r="AJ367" s="31" t="inlineStr">
        <is>
          <t>Volatile</t>
        </is>
      </c>
      <c r="AK367" s="31">
        <f>IF(AJ367="Stable",10,0)</f>
        <v/>
      </c>
      <c r="AL367" s="31" t="inlineStr">
        <is>
          <t>Yes</t>
        </is>
      </c>
      <c r="AM367" s="31">
        <f>IF(AL367="Yes",10,0)</f>
        <v/>
      </c>
      <c r="AN367" s="31" t="inlineStr">
        <is>
          <t>B2B</t>
        </is>
      </c>
      <c r="AO367" s="31">
        <f>IF(AN367="B2C",10,IF(AN367="B2B",5,0))</f>
        <v/>
      </c>
      <c r="AP367" s="31" t="inlineStr">
        <is>
          <t>Yes</t>
        </is>
      </c>
      <c r="AQ367" s="31">
        <f>IF(AP367="Yes",10,0)</f>
        <v/>
      </c>
      <c r="AR367" s="31" t="inlineStr">
        <is>
          <t>Higher One Time, Lower Annuity</t>
        </is>
      </c>
      <c r="AS367" s="31">
        <f>IF(AR367="Fully Annuity",10,IF(AR367="Higher Annuity, Lower One Time",5,IF(AR367="Higher One Time, Lower Annuity",3,0)))</f>
        <v/>
      </c>
      <c r="AT367" s="31" t="inlineStr">
        <is>
          <t>Allocated capital in Non-core Areas</t>
        </is>
      </c>
      <c r="AU367" s="31">
        <f>IF(AT367="Good",10,0)</f>
        <v/>
      </c>
      <c r="AV367" s="31" t="inlineStr">
        <is>
          <t>Yes for more than 2 years</t>
        </is>
      </c>
      <c r="AW367" s="31">
        <f>IF(AV367="Yes for more than 2 years",10,IF(AV367="Yes only for next 1 to 2 years",5,0))</f>
        <v/>
      </c>
      <c r="AX367" s="31" t="inlineStr">
        <is>
          <t>Above 40</t>
        </is>
      </c>
      <c r="AY367" s="31">
        <f>IF(AX367="Above 40",20,IF(AX367="20 to 40",10,IF(AX367="0 to 20",-5,0)))</f>
        <v/>
      </c>
      <c r="AZ367" s="31" t="inlineStr">
        <is>
          <t>Between 50 to 75</t>
        </is>
      </c>
      <c r="BA367" s="31">
        <f>IF(AZ367="Between 50 to 75",10,IF(AZ367="Above 75",0,0))</f>
        <v/>
      </c>
      <c r="BB367" s="31" t="inlineStr">
        <is>
          <t>Stage 3</t>
        </is>
      </c>
      <c r="BC367" s="31">
        <f>IF(BB367="Stage 2",20,IF(BB367="Stage 1",0,IF(BB367="Stage 3",5,IF(BB367="Stage 4",-5,0))))</f>
        <v/>
      </c>
      <c r="BD367" s="31" t="inlineStr">
        <is>
          <t>Negative Trend</t>
        </is>
      </c>
      <c r="BE367" s="31">
        <f>IF(BD367="Positive Trend",20,IF(BD367="Negative Trend",-10,0))</f>
        <v/>
      </c>
      <c r="BF367" s="31" t="inlineStr">
        <is>
          <t>Sideways</t>
        </is>
      </c>
      <c r="BG367" s="31">
        <f>IF(BF367="Uptrend",10,IF(BF367="Sideways",5,0))</f>
        <v/>
      </c>
      <c r="BH367" s="31" t="inlineStr">
        <is>
          <t>Uptrend</t>
        </is>
      </c>
      <c r="BI367" s="31">
        <f>IF(BH367="Uptrend",10,IF(BH367="Sideways",5,0))</f>
        <v/>
      </c>
      <c r="BJ367" s="31" t="inlineStr">
        <is>
          <t>Overhead supply in last 2 years in last 2 years</t>
        </is>
      </c>
      <c r="BK367" s="31">
        <f>IF(BJ367="Overhead supply in last 2 years in last 2 years",-5,IF(BJ367="Close to 52 week high or retracement",5,IF(BJ367="Blue sky scenario",10,IF(BJ367="Long term Downtrend",-10,0))))</f>
        <v/>
      </c>
      <c r="BL367" s="31" t="inlineStr">
        <is>
          <t>Yes</t>
        </is>
      </c>
      <c r="BM367" s="31">
        <f>IF(BL367="Yes",10,0)</f>
        <v/>
      </c>
      <c r="BN367" s="31" t="inlineStr">
        <is>
          <t>More than 20%</t>
        </is>
      </c>
      <c r="BO367" s="31">
        <f>IF(BN367="More than 20%",10,IF(BN367="Between 12 to 20%",5,IF(BN367="Less than 12%",0,0)))</f>
        <v/>
      </c>
      <c r="BP367" s="31" t="inlineStr">
        <is>
          <t>No</t>
        </is>
      </c>
      <c r="BQ367" s="31">
        <f>IF(BP367="No",10,0)</f>
        <v/>
      </c>
      <c r="BR367" s="31" t="inlineStr">
        <is>
          <t>No</t>
        </is>
      </c>
      <c r="BS367" s="31">
        <f>IF(BR367="NO",5,0)</f>
        <v/>
      </c>
      <c r="BT367" s="31" t="inlineStr">
        <is>
          <t>Less than 1.5</t>
        </is>
      </c>
      <c r="BU367" s="31">
        <f>IF(BT367="Above 2",0,IF(BT367="Between 1.5 to 2",5,IF(BT367="Less than 1.5",10,0)))</f>
        <v/>
      </c>
      <c r="BV367" s="31" t="inlineStr">
        <is>
          <t>Above 70%</t>
        </is>
      </c>
      <c r="BW367" s="31">
        <f>IF(BV367="Above 70%",10,IF(BV367="Between 50% to 70%",5,IF(BV367="Less than 50%",0,IF(BV367="Negative",-10,IF(BV367="Less than 50% and Borrowings are increasing",-5,0)))))</f>
        <v/>
      </c>
      <c r="BX367" s="31" t="inlineStr">
        <is>
          <t>Less than 0.7</t>
        </is>
      </c>
      <c r="BY367" s="31">
        <f>IF(BX367="More than 1.2",-10,IF(BX367="Between 0.7 to 1.2",0,IF(BX367="Less than 0.7",10,0)))</f>
        <v/>
      </c>
      <c r="BZ367" s="31" t="inlineStr">
        <is>
          <t>No</t>
        </is>
      </c>
      <c r="CA367" s="31">
        <f>IF(BZ367="Yes",-10,0)</f>
        <v/>
      </c>
      <c r="CB367" s="31" t="inlineStr">
        <is>
          <t>More than 15%</t>
        </is>
      </c>
      <c r="CC367" s="31">
        <f>IF(CB367="More than 15%",-10,IF(CB367="Less than 15%",10,0))</f>
        <v/>
      </c>
      <c r="CD367" s="31" t="inlineStr">
        <is>
          <t>Yes Upto 10%</t>
        </is>
      </c>
      <c r="CE367" s="31">
        <f>IF(CD367="Yes, more than 10%",-10,IF(CD367="No",10,0))</f>
        <v/>
      </c>
    </row>
    <row r="368">
      <c r="A368" s="31">
        <f>IF(B368=0,"",RANK(B368,$B$2:$B$372,0))</f>
        <v/>
      </c>
      <c r="B368" s="32">
        <f>SUM(N368,Y368,AA368,AC368,AE368,AG368,AI368,AK368,AM368,AO368,AQ368,AS368,AU368,AW368,AY368,BA368,BC368,BE368,BG368,BI368,BK368,BM368,BO368,BQ368,BS368,BU368,BW368,BY368,CA368,CC368,CE368)</f>
        <v/>
      </c>
      <c r="C368" s="31" t="inlineStr">
        <is>
          <t>GNFC</t>
        </is>
      </c>
      <c r="D368" s="31" t="inlineStr">
        <is>
          <t>Gujarat Narmada Valley Fertilizers And Chemicals Limited</t>
        </is>
      </c>
      <c r="E368" s="31" t="inlineStr">
        <is>
          <t>chemicals</t>
        </is>
      </c>
      <c r="F368" s="31" t="inlineStr">
        <is>
          <t>chemicals</t>
        </is>
      </c>
      <c r="G368" s="31" t="inlineStr">
        <is>
          <t>midcap</t>
        </is>
      </c>
      <c r="H368" s="32" t="n">
        <v>8640.110000000001</v>
      </c>
      <c r="I368" s="32" t="n">
        <v>584.25</v>
      </c>
      <c r="J368" s="32" t="n">
        <v>-0.64</v>
      </c>
      <c r="K368" s="32" t="n">
        <v>298084</v>
      </c>
      <c r="L368" s="31" t="n">
        <v>22</v>
      </c>
      <c r="M368" s="31" t="inlineStr">
        <is>
          <t>Outperforming</t>
        </is>
      </c>
      <c r="N368" s="32">
        <f>IF(M368="Underperforming",-5,IF(L368&gt;=95,15,IF(L368&gt;=90,10,IF(L368&gt;=80,5,0))))</f>
        <v/>
      </c>
      <c r="O368" s="32" t="n">
        <v>67.58</v>
      </c>
      <c r="P368" s="32" t="n">
        <v>35.46</v>
      </c>
      <c r="Q368" s="32" t="n">
        <v>475.58</v>
      </c>
      <c r="R368" s="31" t="inlineStr">
        <is>
          <t>Near 52W High Breakout</t>
        </is>
      </c>
      <c r="S368" s="31" t="inlineStr">
        <is>
          <t>Nifty 50</t>
        </is>
      </c>
      <c r="T368" s="32" t="n">
        <v>-0.9</v>
      </c>
      <c r="U368" s="32" t="n">
        <v>15.64</v>
      </c>
      <c r="V368" s="32" t="n">
        <v>16.68</v>
      </c>
      <c r="W368" s="32" t="n">
        <v>6.5</v>
      </c>
      <c r="X368" s="31" t="inlineStr">
        <is>
          <t>Growing Industry</t>
        </is>
      </c>
      <c r="Y368" s="31">
        <f>IF(X368="Growing Industry",10,IF(X368="Cyclical in an Upturn",5,0))</f>
        <v/>
      </c>
      <c r="Z368" s="31" t="inlineStr">
        <is>
          <t>Oligopoly</t>
        </is>
      </c>
      <c r="AA368" s="31">
        <f>IF(Z368="Monopoly",10,IF(Z368="Oligopoly",5,IF(Z368="Duopoly that cooperate",10,IF(Z368="Duopoly that compete",5,IF(Z368="Too many players with High ROCE",5,0)))))</f>
        <v/>
      </c>
      <c r="AB368" s="31" t="inlineStr">
        <is>
          <t>No</t>
        </is>
      </c>
      <c r="AC368" s="31">
        <f>IF(AB368="No",5,0)</f>
        <v/>
      </c>
      <c r="AD368" s="31" t="inlineStr">
        <is>
          <t>Tailwind</t>
        </is>
      </c>
      <c r="AE368" s="31">
        <f>IF(AD368="Tailwind",10,0)</f>
        <v/>
      </c>
      <c r="AF368" s="31" t="inlineStr">
        <is>
          <t>Shallow Cyclical (2 to 3 Years Growth)</t>
        </is>
      </c>
      <c r="AG368" s="31">
        <f>IF(AF368="Structural (10 Years Consistency)",10,IF(AF368="Shallow Cyclical (2 to 3 years growth)",5,0))</f>
        <v/>
      </c>
      <c r="AH368" s="31" t="inlineStr">
        <is>
          <t>Yes due to Product Mix change or Operating Leverage</t>
        </is>
      </c>
      <c r="AI368" s="31">
        <f>IF(AH368="Yes due to Product Mix change or Operating Leverage",10,IF(AH368="Yes, these are peak margins",-5,IF(AH368="No",5,0)))</f>
        <v/>
      </c>
      <c r="AJ368" s="31" t="inlineStr">
        <is>
          <t>Volatile</t>
        </is>
      </c>
      <c r="AK368" s="31">
        <f>IF(AJ368="Stable",10,0)</f>
        <v/>
      </c>
      <c r="AL368" s="31" t="inlineStr">
        <is>
          <t>Yes</t>
        </is>
      </c>
      <c r="AM368" s="31">
        <f>IF(AL368="Yes",10,0)</f>
        <v/>
      </c>
      <c r="AN368" s="31" t="inlineStr">
        <is>
          <t>B2B</t>
        </is>
      </c>
      <c r="AO368" s="31">
        <f>IF(AN368="B2C",10,IF(AN368="B2B",5,0))</f>
        <v/>
      </c>
      <c r="AP368" s="31" t="inlineStr">
        <is>
          <t>Yes</t>
        </is>
      </c>
      <c r="AQ368" s="31">
        <f>IF(AP368="Yes",10,0)</f>
        <v/>
      </c>
      <c r="AR368" s="31" t="inlineStr">
        <is>
          <t>Higher One Time, Lower Annuity</t>
        </is>
      </c>
      <c r="AS368" s="31">
        <f>IF(AR368="Fully Annuity",10,IF(AR368="Higher Annuity, Lower One Time",5,IF(AR368="Higher One Time, Lower Annuity",3,0)))</f>
        <v/>
      </c>
      <c r="AT368" s="31" t="inlineStr">
        <is>
          <t>Allocated capital in Non-core Areas</t>
        </is>
      </c>
      <c r="AU368" s="31">
        <f>IF(AT368="Good",10,0)</f>
        <v/>
      </c>
      <c r="AV368" s="31" t="inlineStr">
        <is>
          <t>Yes for more than 2 years</t>
        </is>
      </c>
      <c r="AW368" s="31">
        <f>IF(AV368="Yes for more than 2 years",10,IF(AV368="Yes only for next 1 to 2 years",5,0))</f>
        <v/>
      </c>
      <c r="AX368" s="31" t="inlineStr">
        <is>
          <t>Above 40</t>
        </is>
      </c>
      <c r="AY368" s="31">
        <f>IF(AX368="Above 40",20,IF(AX368="20 to 40",10,IF(AX368="0 to 20",-5,0)))</f>
        <v/>
      </c>
      <c r="AZ368" s="31" t="inlineStr">
        <is>
          <t>Between 50 to 75</t>
        </is>
      </c>
      <c r="BA368" s="31">
        <f>IF(AZ368="Between 50 to 75",10,IF(AZ368="Above 75",0,0))</f>
        <v/>
      </c>
      <c r="BB368" s="31" t="inlineStr">
        <is>
          <t>Stage 3</t>
        </is>
      </c>
      <c r="BC368" s="31">
        <f>IF(BB368="Stage 2",20,IF(BB368="Stage 1",0,IF(BB368="Stage 3",5,IF(BB368="Stage 4",-5,0))))</f>
        <v/>
      </c>
      <c r="BD368" s="31" t="inlineStr">
        <is>
          <t>Negative Trend</t>
        </is>
      </c>
      <c r="BE368" s="31">
        <f>IF(BD368="Positive Trend",20,IF(BD368="Negative Trend",-10,0))</f>
        <v/>
      </c>
      <c r="BF368" s="31" t="inlineStr">
        <is>
          <t>Sideways</t>
        </is>
      </c>
      <c r="BG368" s="31">
        <f>IF(BF368="Uptrend",10,IF(BF368="Sideways",5,0))</f>
        <v/>
      </c>
      <c r="BH368" s="31" t="inlineStr">
        <is>
          <t>Uptrend</t>
        </is>
      </c>
      <c r="BI368" s="31">
        <f>IF(BH368="Uptrend",10,IF(BH368="Sideways",5,0))</f>
        <v/>
      </c>
      <c r="BJ368" s="31" t="inlineStr">
        <is>
          <t>Overhead supply in last 2 years in last 2 years</t>
        </is>
      </c>
      <c r="BK368" s="31">
        <f>IF(BJ368="Overhead supply in last 2 years in last 2 years",-5,IF(BJ368="Close to 52 week high or retracement",5,IF(BJ368="Blue sky scenario",10,IF(BJ368="Long term Downtrend",-10,0))))</f>
        <v/>
      </c>
      <c r="BL368" s="31" t="inlineStr">
        <is>
          <t>Yes</t>
        </is>
      </c>
      <c r="BM368" s="31">
        <f>IF(BL368="Yes",10,0)</f>
        <v/>
      </c>
      <c r="BN368" s="31" t="inlineStr">
        <is>
          <t>More than 20%</t>
        </is>
      </c>
      <c r="BO368" s="31">
        <f>IF(BN368="More than 20%",10,IF(BN368="Between 12 to 20%",5,IF(BN368="Less than 12%",0,0)))</f>
        <v/>
      </c>
      <c r="BP368" s="31" t="inlineStr">
        <is>
          <t>No</t>
        </is>
      </c>
      <c r="BQ368" s="31">
        <f>IF(BP368="No",10,0)</f>
        <v/>
      </c>
      <c r="BR368" s="31" t="inlineStr">
        <is>
          <t>No</t>
        </is>
      </c>
      <c r="BS368" s="31">
        <f>IF(BR368="NO",5,0)</f>
        <v/>
      </c>
      <c r="BT368" s="31" t="inlineStr">
        <is>
          <t>Less than 1.5</t>
        </is>
      </c>
      <c r="BU368" s="31">
        <f>IF(BT368="Above 2",0,IF(BT368="Between 1.5 to 2",5,IF(BT368="Less than 1.5",10,0)))</f>
        <v/>
      </c>
      <c r="BV368" s="31" t="inlineStr">
        <is>
          <t>Above 70%</t>
        </is>
      </c>
      <c r="BW368" s="31">
        <f>IF(BV368="Above 70%",10,IF(BV368="Between 50% to 70%",5,IF(BV368="Less than 50%",0,IF(BV368="Negative",-10,IF(BV368="Less than 50% and Borrowings are increasing",-5,0)))))</f>
        <v/>
      </c>
      <c r="BX368" s="31" t="inlineStr">
        <is>
          <t>Less than 0.7</t>
        </is>
      </c>
      <c r="BY368" s="31">
        <f>IF(BX368="More than 1.2",-10,IF(BX368="Between 0.7 to 1.2",0,IF(BX368="Less than 0.7",10,0)))</f>
        <v/>
      </c>
      <c r="BZ368" s="31" t="inlineStr">
        <is>
          <t>No</t>
        </is>
      </c>
      <c r="CA368" s="31">
        <f>IF(BZ368="Yes",-10,0)</f>
        <v/>
      </c>
      <c r="CB368" s="31" t="inlineStr">
        <is>
          <t>More than 15%</t>
        </is>
      </c>
      <c r="CC368" s="31">
        <f>IF(CB368="More than 15%",-10,IF(CB368="Less than 15%",10,0))</f>
        <v/>
      </c>
      <c r="CD368" s="31" t="inlineStr">
        <is>
          <t>Yes Upto 10%</t>
        </is>
      </c>
      <c r="CE368" s="31">
        <f>IF(CD368="Yes, more than 10%",-10,IF(CD368="No",10,0))</f>
        <v/>
      </c>
    </row>
    <row r="369">
      <c r="A369" s="31">
        <f>IF(B369=0,"",RANK(B369,$B$2:$B$372,0))</f>
        <v/>
      </c>
      <c r="B369" s="32">
        <f>SUM(N369,Y369,AA369,AC369,AE369,AG369,AI369,AK369,AM369,AO369,AQ369,AS369,AU369,AW369,AY369,BA369,BC369,BE369,BG369,BI369,BK369,BM369,BO369,BQ369,BS369,BU369,BW369,BY369,CA369,CC369,CE369)</f>
        <v/>
      </c>
      <c r="C369" s="31" t="inlineStr">
        <is>
          <t>GUJALKALI</t>
        </is>
      </c>
      <c r="D369" s="31" t="inlineStr">
        <is>
          <t>Gujarat Alkalies And Chemicals Limited</t>
        </is>
      </c>
      <c r="E369" s="31" t="inlineStr">
        <is>
          <t>chemicals</t>
        </is>
      </c>
      <c r="F369" s="31" t="inlineStr">
        <is>
          <t>chemicals</t>
        </is>
      </c>
      <c r="G369" s="31" t="inlineStr">
        <is>
          <t>midcap</t>
        </is>
      </c>
      <c r="H369" s="32" t="n">
        <v>5336.66</v>
      </c>
      <c r="I369" s="32" t="n">
        <v>719.85</v>
      </c>
      <c r="J369" s="32" t="n">
        <v>-0.9399999999999999</v>
      </c>
      <c r="K369" s="32" t="n">
        <v>103326</v>
      </c>
      <c r="L369" s="31" t="n">
        <v>29</v>
      </c>
      <c r="M369" s="31" t="inlineStr">
        <is>
          <t>Outperforming</t>
        </is>
      </c>
      <c r="N369" s="32">
        <f>IF(M369="Underperforming",-5,IF(L369&gt;=95,15,IF(L369&gt;=90,10,IF(L369&gt;=80,5,0))))</f>
        <v/>
      </c>
      <c r="O369" s="32" t="n">
        <v>62.82</v>
      </c>
      <c r="P369" s="32" t="n">
        <v>28.18</v>
      </c>
      <c r="Q369" s="32" t="n">
        <v>544.41</v>
      </c>
      <c r="R369" s="31" t="inlineStr">
        <is>
          <t>Volume Spike / Accumulation</t>
        </is>
      </c>
      <c r="S369" s="31" t="inlineStr">
        <is>
          <t>Nifty 50</t>
        </is>
      </c>
      <c r="T369" s="32" t="n">
        <v>-0.9</v>
      </c>
      <c r="U369" s="32" t="n">
        <v>30.93</v>
      </c>
      <c r="V369" s="32" t="n">
        <v>32.11</v>
      </c>
      <c r="W369" s="32" t="n">
        <v>8.130000000000001</v>
      </c>
      <c r="X369" s="31" t="inlineStr">
        <is>
          <t>Growing Industry</t>
        </is>
      </c>
      <c r="Y369" s="31">
        <f>IF(X369="Growing Industry",10,IF(X369="Cyclical in an Upturn",5,0))</f>
        <v/>
      </c>
      <c r="Z369" s="31" t="inlineStr">
        <is>
          <t>Oligopoly</t>
        </is>
      </c>
      <c r="AA369" s="31">
        <f>IF(Z369="Monopoly",10,IF(Z369="Oligopoly",5,IF(Z369="Duopoly that cooperate",10,IF(Z369="Duopoly that compete",5,IF(Z369="Too many players with High ROCE",5,0)))))</f>
        <v/>
      </c>
      <c r="AB369" s="31" t="inlineStr">
        <is>
          <t>No</t>
        </is>
      </c>
      <c r="AC369" s="31">
        <f>IF(AB369="No",5,0)</f>
        <v/>
      </c>
      <c r="AD369" s="31" t="inlineStr">
        <is>
          <t>Tailwind</t>
        </is>
      </c>
      <c r="AE369" s="31">
        <f>IF(AD369="Tailwind",10,0)</f>
        <v/>
      </c>
      <c r="AF369" s="31" t="inlineStr">
        <is>
          <t>Shallow Cyclical (2 to 3 Years Growth)</t>
        </is>
      </c>
      <c r="AG369" s="31">
        <f>IF(AF369="Structural (10 Years Consistency)",10,IF(AF369="Shallow Cyclical (2 to 3 years growth)",5,0))</f>
        <v/>
      </c>
      <c r="AH369" s="31" t="inlineStr">
        <is>
          <t>Yes due to Product Mix change or Operating Leverage</t>
        </is>
      </c>
      <c r="AI369" s="31">
        <f>IF(AH369="Yes due to Product Mix change or Operating Leverage",10,IF(AH369="Yes, these are peak margins",-5,IF(AH369="No",5,0)))</f>
        <v/>
      </c>
      <c r="AJ369" s="31" t="inlineStr">
        <is>
          <t>Volatile</t>
        </is>
      </c>
      <c r="AK369" s="31">
        <f>IF(AJ369="Stable",10,0)</f>
        <v/>
      </c>
      <c r="AL369" s="31" t="inlineStr">
        <is>
          <t>Yes</t>
        </is>
      </c>
      <c r="AM369" s="31">
        <f>IF(AL369="Yes",10,0)</f>
        <v/>
      </c>
      <c r="AN369" s="31" t="inlineStr">
        <is>
          <t>B2B</t>
        </is>
      </c>
      <c r="AO369" s="31">
        <f>IF(AN369="B2C",10,IF(AN369="B2B",5,0))</f>
        <v/>
      </c>
      <c r="AP369" s="31" t="inlineStr">
        <is>
          <t>Yes</t>
        </is>
      </c>
      <c r="AQ369" s="31">
        <f>IF(AP369="Yes",10,0)</f>
        <v/>
      </c>
      <c r="AR369" s="31" t="inlineStr">
        <is>
          <t>Higher One Time, Lower Annuity</t>
        </is>
      </c>
      <c r="AS369" s="31">
        <f>IF(AR369="Fully Annuity",10,IF(AR369="Higher Annuity, Lower One Time",5,IF(AR369="Higher One Time, Lower Annuity",3,0)))</f>
        <v/>
      </c>
      <c r="AT369" s="31" t="inlineStr">
        <is>
          <t>Allocated capital in Non-core Areas</t>
        </is>
      </c>
      <c r="AU369" s="31">
        <f>IF(AT369="Good",10,0)</f>
        <v/>
      </c>
      <c r="AV369" s="31" t="inlineStr">
        <is>
          <t>Yes for more than 2 years</t>
        </is>
      </c>
      <c r="AW369" s="31">
        <f>IF(AV369="Yes for more than 2 years",10,IF(AV369="Yes only for next 1 to 2 years",5,0))</f>
        <v/>
      </c>
      <c r="AX369" s="31" t="inlineStr">
        <is>
          <t>Above 40</t>
        </is>
      </c>
      <c r="AY369" s="31">
        <f>IF(AX369="Above 40",20,IF(AX369="20 to 40",10,IF(AX369="0 to 20",-5,0)))</f>
        <v/>
      </c>
      <c r="AZ369" s="31" t="inlineStr">
        <is>
          <t>Between 50 to 75</t>
        </is>
      </c>
      <c r="BA369" s="31">
        <f>IF(AZ369="Between 50 to 75",10,IF(AZ369="Above 75",0,0))</f>
        <v/>
      </c>
      <c r="BB369" s="31" t="inlineStr">
        <is>
          <t>Stage 3</t>
        </is>
      </c>
      <c r="BC369" s="31">
        <f>IF(BB369="Stage 2",20,IF(BB369="Stage 1",0,IF(BB369="Stage 3",5,IF(BB369="Stage 4",-5,0))))</f>
        <v/>
      </c>
      <c r="BD369" s="31" t="inlineStr">
        <is>
          <t>Negative Trend</t>
        </is>
      </c>
      <c r="BE369" s="31">
        <f>IF(BD369="Positive Trend",20,IF(BD369="Negative Trend",-10,0))</f>
        <v/>
      </c>
      <c r="BF369" s="31" t="inlineStr">
        <is>
          <t>Sideways</t>
        </is>
      </c>
      <c r="BG369" s="31">
        <f>IF(BF369="Uptrend",10,IF(BF369="Sideways",5,0))</f>
        <v/>
      </c>
      <c r="BH369" s="31" t="inlineStr">
        <is>
          <t>Uptrend</t>
        </is>
      </c>
      <c r="BI369" s="31">
        <f>IF(BH369="Uptrend",10,IF(BH369="Sideways",5,0))</f>
        <v/>
      </c>
      <c r="BJ369" s="31" t="inlineStr">
        <is>
          <t>Overhead supply in last 2 years in last 2 years</t>
        </is>
      </c>
      <c r="BK369" s="31">
        <f>IF(BJ369="Overhead supply in last 2 years in last 2 years",-5,IF(BJ369="Close to 52 week high or retracement",5,IF(BJ369="Blue sky scenario",10,IF(BJ369="Long term Downtrend",-10,0))))</f>
        <v/>
      </c>
      <c r="BL369" s="31" t="inlineStr">
        <is>
          <t>Yes</t>
        </is>
      </c>
      <c r="BM369" s="31">
        <f>IF(BL369="Yes",10,0)</f>
        <v/>
      </c>
      <c r="BN369" s="31" t="inlineStr">
        <is>
          <t>More than 20%</t>
        </is>
      </c>
      <c r="BO369" s="31">
        <f>IF(BN369="More than 20%",10,IF(BN369="Between 12 to 20%",5,IF(BN369="Less than 12%",0,0)))</f>
        <v/>
      </c>
      <c r="BP369" s="31" t="inlineStr">
        <is>
          <t>No</t>
        </is>
      </c>
      <c r="BQ369" s="31">
        <f>IF(BP369="No",10,0)</f>
        <v/>
      </c>
      <c r="BR369" s="31" t="inlineStr">
        <is>
          <t>No</t>
        </is>
      </c>
      <c r="BS369" s="31">
        <f>IF(BR369="NO",5,0)</f>
        <v/>
      </c>
      <c r="BT369" s="31" t="inlineStr">
        <is>
          <t>Less than 1.5</t>
        </is>
      </c>
      <c r="BU369" s="31">
        <f>IF(BT369="Above 2",0,IF(BT369="Between 1.5 to 2",5,IF(BT369="Less than 1.5",10,0)))</f>
        <v/>
      </c>
      <c r="BV369" s="31" t="inlineStr">
        <is>
          <t>Above 70%</t>
        </is>
      </c>
      <c r="BW369" s="31">
        <f>IF(BV369="Above 70%",10,IF(BV369="Between 50% to 70%",5,IF(BV369="Less than 50%",0,IF(BV369="Negative",-10,IF(BV369="Less than 50% and Borrowings are increasing",-5,0)))))</f>
        <v/>
      </c>
      <c r="BX369" s="31" t="inlineStr">
        <is>
          <t>Less than 0.7</t>
        </is>
      </c>
      <c r="BY369" s="31">
        <f>IF(BX369="More than 1.2",-10,IF(BX369="Between 0.7 to 1.2",0,IF(BX369="Less than 0.7",10,0)))</f>
        <v/>
      </c>
      <c r="BZ369" s="31" t="inlineStr">
        <is>
          <t>No</t>
        </is>
      </c>
      <c r="CA369" s="31">
        <f>IF(BZ369="Yes",-10,0)</f>
        <v/>
      </c>
      <c r="CB369" s="31" t="inlineStr">
        <is>
          <t>More than 15%</t>
        </is>
      </c>
      <c r="CC369" s="31">
        <f>IF(CB369="More than 15%",-10,IF(CB369="Less than 15%",10,0))</f>
        <v/>
      </c>
      <c r="CD369" s="31" t="inlineStr">
        <is>
          <t>Yes Upto 10%</t>
        </is>
      </c>
      <c r="CE369" s="31">
        <f>IF(CD369="Yes, more than 10%",-10,IF(CD369="No",10,0))</f>
        <v/>
      </c>
    </row>
    <row r="370">
      <c r="A370" s="31">
        <f>IF(B370=0,"",RANK(B370,$B$2:$B$372,0))</f>
        <v/>
      </c>
      <c r="B370" s="32">
        <f>SUM(N370,Y370,AA370,AC370,AE370,AG370,AI370,AK370,AM370,AO370,AQ370,AS370,AU370,AW370,AY370,BA370,BC370,BE370,BG370,BI370,BK370,BM370,BO370,BQ370,BS370,BU370,BW370,BY370,CA370,CC370,CE370)</f>
        <v/>
      </c>
      <c r="C370" s="31" t="inlineStr">
        <is>
          <t>POLICYBZR</t>
        </is>
      </c>
      <c r="D370" s="31" t="inlineStr">
        <is>
          <t>PB Fintech Ltd</t>
        </is>
      </c>
      <c r="E370" s="31" t="inlineStr">
        <is>
          <t>i.t</t>
        </is>
      </c>
      <c r="F370" s="31" t="inlineStr">
        <is>
          <t>miscellaneous</t>
        </is>
      </c>
      <c r="G370" s="31" t="inlineStr">
        <is>
          <t>largecap</t>
        </is>
      </c>
      <c r="H370" s="32" t="n">
        <v>83206.42</v>
      </c>
      <c r="I370" s="32" t="n">
        <v>1840</v>
      </c>
      <c r="J370" s="32" t="n">
        <v>2.32</v>
      </c>
      <c r="K370" s="32" t="n">
        <v>2206492</v>
      </c>
      <c r="L370" s="31" t="n">
        <v>9</v>
      </c>
      <c r="M370" s="31" t="inlineStr">
        <is>
          <t>Outperforming</t>
        </is>
      </c>
      <c r="N370" s="32">
        <f>IF(M370="Underperforming",-5,IF(L370&gt;=95,15,IF(L370&gt;=90,10,IF(L370&gt;=80,5,0))))</f>
        <v/>
      </c>
      <c r="O370" s="32" t="n">
        <v>63.7</v>
      </c>
      <c r="P370" s="32" t="n">
        <v>9.48</v>
      </c>
      <c r="Q370" s="32" t="n">
        <v>1501.22</v>
      </c>
      <c r="R370" s="31" t="inlineStr">
        <is>
          <t>Near 52W High Breakout</t>
        </is>
      </c>
      <c r="S370" s="31" t="inlineStr">
        <is>
          <t>Nifty IT</t>
        </is>
      </c>
      <c r="T370" s="32" t="n">
        <v>-13.82</v>
      </c>
      <c r="U370" s="32" t="n">
        <v>3.91</v>
      </c>
      <c r="V370" s="32" t="n">
        <v>20.57</v>
      </c>
      <c r="W370" s="32" t="n">
        <v>3.05</v>
      </c>
      <c r="X370" s="31" t="inlineStr">
        <is>
          <t>Growing Industry</t>
        </is>
      </c>
      <c r="Y370" s="31">
        <f>IF(X370="Growing Industry",10,IF(X370="Cyclical in an Upturn",5,0))</f>
        <v/>
      </c>
      <c r="Z370" s="31" t="inlineStr">
        <is>
          <t>Monopoly</t>
        </is>
      </c>
      <c r="AA370" s="31">
        <f>IF(Z370="Monopoly",10,IF(Z370="Oligopoly",5,IF(Z370="Duopoly that cooperate",10,IF(Z370="Duopoly that compete",5,IF(Z370="Too many players with High ROCE",5,0)))))</f>
        <v/>
      </c>
      <c r="AB370" s="31" t="inlineStr">
        <is>
          <t>Yes</t>
        </is>
      </c>
      <c r="AC370" s="31">
        <f>IF(AB370="No",5,0)</f>
        <v/>
      </c>
      <c r="AD370" s="31" t="inlineStr">
        <is>
          <t>Tailwind</t>
        </is>
      </c>
      <c r="AE370" s="31">
        <f>IF(AD370="Tailwind",10,0)</f>
        <v/>
      </c>
      <c r="AF370" s="31" t="inlineStr">
        <is>
          <t>Structural (10 Years Consistency)</t>
        </is>
      </c>
      <c r="AG370" s="31">
        <f>IF(AF370="Structural (10 Years Consistency)",10,IF(AF370="Shallow Cyclical (2 to 3 years growth)",5,0))</f>
        <v/>
      </c>
      <c r="AH370" s="31" t="inlineStr">
        <is>
          <t>No</t>
        </is>
      </c>
      <c r="AI370" s="31">
        <f>IF(AH370="Yes due to Product Mix change or Operating Leverage",10,IF(AH370="Yes, these are peak margins",-5,IF(AH370="No",5,0)))</f>
        <v/>
      </c>
      <c r="AJ370" s="31" t="inlineStr">
        <is>
          <t>Volatile</t>
        </is>
      </c>
      <c r="AK370" s="31">
        <f>IF(AJ370="Stable",10,0)</f>
        <v/>
      </c>
      <c r="AL370" s="31" t="inlineStr">
        <is>
          <t>Yes</t>
        </is>
      </c>
      <c r="AM370" s="31">
        <f>IF(AL370="Yes",10,0)</f>
        <v/>
      </c>
      <c r="AN370" s="31" t="inlineStr">
        <is>
          <t>B2C</t>
        </is>
      </c>
      <c r="AO370" s="31">
        <f>IF(AN370="B2C",10,IF(AN370="B2B",5,0))</f>
        <v/>
      </c>
      <c r="AP370" s="31" t="inlineStr">
        <is>
          <t>Yes</t>
        </is>
      </c>
      <c r="AQ370" s="31">
        <f>IF(AP370="Yes",10,0)</f>
        <v/>
      </c>
      <c r="AR370" s="31" t="inlineStr">
        <is>
          <t>Fully Annuity</t>
        </is>
      </c>
      <c r="AS370" s="31">
        <f>IF(AR370="Fully Annuity",10,IF(AR370="Higher Annuity, Lower One Time",5,IF(AR370="Higher One Time, Lower Annuity",3,0)))</f>
        <v/>
      </c>
      <c r="AT370" s="31" t="inlineStr">
        <is>
          <t>Allocated capital in Non-core Areas</t>
        </is>
      </c>
      <c r="AU370" s="31">
        <f>IF(AT370="Good",10,0)</f>
        <v/>
      </c>
      <c r="AV370" s="31" t="inlineStr">
        <is>
          <t>Yes for more than 2 years</t>
        </is>
      </c>
      <c r="AW370" s="31">
        <f>IF(AV370="Yes for more than 2 years",10,IF(AV370="Yes only for next 1 to 2 years",5,0))</f>
        <v/>
      </c>
      <c r="AX370" s="31" t="inlineStr">
        <is>
          <t>20 to 40</t>
        </is>
      </c>
      <c r="AY370" s="31">
        <f>IF(AX370="Above 40",20,IF(AX370="20 to 40",10,IF(AX370="0 to 20",-5,0)))</f>
        <v/>
      </c>
      <c r="AZ370" s="31" t="inlineStr">
        <is>
          <t>Below 45</t>
        </is>
      </c>
      <c r="BA370" s="31">
        <f>IF(AZ370="Between 50 to 75",10,IF(AZ370="Above 75",0,0))</f>
        <v/>
      </c>
      <c r="BB370" s="31" t="inlineStr">
        <is>
          <t>Stage 1</t>
        </is>
      </c>
      <c r="BC370" s="31">
        <f>IF(BB370="Stage 2",20,IF(BB370="Stage 1",0,IF(BB370="Stage 3",5,IF(BB370="Stage 4",-5,0))))</f>
        <v/>
      </c>
      <c r="BD370" s="31" t="inlineStr">
        <is>
          <t>Positive Trend</t>
        </is>
      </c>
      <c r="BE370" s="31">
        <f>IF(BD370="Positive Trend",20,IF(BD370="Negative Trend",-10,0))</f>
        <v/>
      </c>
      <c r="BF370" s="31" t="inlineStr">
        <is>
          <t>Downtrend</t>
        </is>
      </c>
      <c r="BG370" s="31">
        <f>IF(BF370="Uptrend",10,IF(BF370="Sideways",5,0))</f>
        <v/>
      </c>
      <c r="BH370" s="31" t="inlineStr">
        <is>
          <t>Downtrend</t>
        </is>
      </c>
      <c r="BI370" s="31">
        <f>IF(BH370="Uptrend",10,IF(BH370="Sideways",5,0))</f>
        <v/>
      </c>
      <c r="BJ370" s="31" t="inlineStr">
        <is>
          <t>Overhead supply in last 2 years in last 2 years</t>
        </is>
      </c>
      <c r="BK370" s="31">
        <f>IF(BJ370="Overhead supply in last 2 years in last 2 years",-5,IF(BJ370="Close to 52 week high or retracement",5,IF(BJ370="Blue sky scenario",10,IF(BJ370="Long term Downtrend",-10,0))))</f>
        <v/>
      </c>
      <c r="BL370" s="31" t="inlineStr">
        <is>
          <t>Yes</t>
        </is>
      </c>
      <c r="BM370" s="31">
        <f>IF(BL370="Yes",10,0)</f>
        <v/>
      </c>
      <c r="BN370" s="31" t="inlineStr">
        <is>
          <t>Less than 12%</t>
        </is>
      </c>
      <c r="BO370" s="31">
        <f>IF(BN370="More than 20%",10,IF(BN370="Between 12 to 20%",5,IF(BN370="Less than 12%",0,0)))</f>
        <v/>
      </c>
      <c r="BP370" s="31" t="inlineStr">
        <is>
          <t>Yes</t>
        </is>
      </c>
      <c r="BQ370" s="31">
        <f>IF(BP370="No",10,0)</f>
        <v/>
      </c>
      <c r="BR370" s="31" t="inlineStr">
        <is>
          <t>Yes</t>
        </is>
      </c>
      <c r="BS370" s="31">
        <f>IF(BR370="NO",5,0)</f>
        <v/>
      </c>
      <c r="BT370" s="31" t="inlineStr">
        <is>
          <t>Above 2</t>
        </is>
      </c>
      <c r="BU370" s="31">
        <f>IF(BT370="Above 2",0,IF(BT370="Between 1.5 to 2",5,IF(BT370="Less than 1.5",10,0)))</f>
        <v/>
      </c>
      <c r="BV370" s="31" t="inlineStr">
        <is>
          <t>Above 70%</t>
        </is>
      </c>
      <c r="BW370" s="31">
        <f>IF(BV370="Above 70%",10,IF(BV370="Between 50% to 70%",5,IF(BV370="Less than 50%",0,IF(BV370="Negative",-10,IF(BV370="Less than 50% and Borrowings are increasing",-5,0)))))</f>
        <v/>
      </c>
      <c r="BX370" s="31" t="inlineStr">
        <is>
          <t>Less than 0.7</t>
        </is>
      </c>
      <c r="BY370" s="31">
        <f>IF(BX370="More than 1.2",-10,IF(BX370="Between 0.7 to 1.2",0,IF(BX370="Less than 0.7",10,0)))</f>
        <v/>
      </c>
      <c r="BZ370" s="31" t="inlineStr">
        <is>
          <t>No</t>
        </is>
      </c>
      <c r="CA370" s="31">
        <f>IF(BZ370="Yes",-10,0)</f>
        <v/>
      </c>
      <c r="CB370" s="31" t="inlineStr">
        <is>
          <t>Less than 15%</t>
        </is>
      </c>
      <c r="CC370" s="31">
        <f>IF(CB370="More than 15%",-10,IF(CB370="Less than 15%",10,0))</f>
        <v/>
      </c>
      <c r="CD370" s="31" t="inlineStr">
        <is>
          <t>No</t>
        </is>
      </c>
      <c r="CE370" s="31">
        <f>IF(CD370="Yes, more than 10%",-10,IF(CD370="No",10,0))</f>
        <v/>
      </c>
    </row>
    <row r="371">
      <c r="A371" s="31">
        <f>IF(B371=0,"",RANK(B371,$B$2:$B$372,0))</f>
        <v/>
      </c>
      <c r="B371" s="32">
        <f>SUM(N371,Y371,AA371,AC371,AE371,AG371,AI371,AK371,AM371,AO371,AQ371,AS371,AU371,AW371,AY371,BA371,BC371,BE371,BG371,BI371,BK371,BM371,BO371,BQ371,BS371,BU371,BW371,BY371,CA371,CC371,CE371)</f>
        <v/>
      </c>
      <c r="C371" s="33" t="inlineStr">
        <is>
          <t>GUJTHEM</t>
        </is>
      </c>
      <c r="D371" s="33" t="inlineStr">
        <is>
          <t>Gujarat Themis Biosyn Ltd</t>
        </is>
      </c>
      <c r="E371" s="31" t="inlineStr">
        <is>
          <t>healthcare</t>
        </is>
      </c>
      <c r="F371" s="31" t="inlineStr">
        <is>
          <t>pharmaceuticals - indian - bulk drugs</t>
        </is>
      </c>
      <c r="G371" s="31" t="inlineStr">
        <is>
          <t>smallcap</t>
        </is>
      </c>
      <c r="H371" s="32" t="n">
        <v>4409.82</v>
      </c>
      <c r="I371" s="32" t="n">
        <v>420.75</v>
      </c>
      <c r="J371" s="32" t="n">
        <v>3.97</v>
      </c>
      <c r="K371" s="32" t="n">
        <v>1078635</v>
      </c>
      <c r="L371" s="31" t="n">
        <v>15</v>
      </c>
      <c r="M371" s="31" t="inlineStr">
        <is>
          <t>Underperforming</t>
        </is>
      </c>
      <c r="N371" s="32">
        <f>IF(M371="Underperforming",-5,IF(L371&gt;=95,15,IF(L371&gt;=90,10,IF(L371&gt;=80,5,0))))</f>
        <v/>
      </c>
      <c r="O371" s="32" t="n">
        <v>62.67</v>
      </c>
      <c r="P371" s="32" t="n">
        <v>23.36</v>
      </c>
      <c r="Q371" s="32" t="n">
        <v>307.78</v>
      </c>
      <c r="R371" s="31" t="inlineStr">
        <is>
          <t>Volume Spike / Accumulation</t>
        </is>
      </c>
      <c r="S371" s="31" t="inlineStr">
        <is>
          <t>Nifty Pharma</t>
        </is>
      </c>
      <c r="T371" s="32" t="n">
        <v>22.12</v>
      </c>
      <c r="U371" s="32" t="n">
        <v>11.25</v>
      </c>
      <c r="V371" s="32" t="n">
        <v>-8.9</v>
      </c>
      <c r="W371" s="32" t="n">
        <v>4.54</v>
      </c>
      <c r="X371" s="31" t="inlineStr">
        <is>
          <t>Growing Industry</t>
        </is>
      </c>
      <c r="Y371" s="31">
        <f>IF(X371="Growing Industry",10,IF(X371="Cyclical in an Upturn",5,0))</f>
        <v/>
      </c>
      <c r="Z371" s="31" t="inlineStr">
        <is>
          <t>Oligopoly</t>
        </is>
      </c>
      <c r="AA371" s="31">
        <f>IF(Z371="Monopoly",10,IF(Z371="Oligopoly",5,IF(Z371="Duopoly that cooperate",10,IF(Z371="Duopoly that compete",5,IF(Z371="Too many players with High ROCE",5,0)))))</f>
        <v/>
      </c>
      <c r="AB371" s="31" t="inlineStr">
        <is>
          <t>No</t>
        </is>
      </c>
      <c r="AC371" s="31">
        <f>IF(AB371="No",5,0)</f>
        <v/>
      </c>
      <c r="AD371" s="31" t="inlineStr">
        <is>
          <t>Tailwind</t>
        </is>
      </c>
      <c r="AE371" s="31">
        <f>IF(AD371="Tailwind",10,0)</f>
        <v/>
      </c>
      <c r="AF371" s="31" t="inlineStr">
        <is>
          <t>Shallow Cyclical (2 to 3 Years Growth)</t>
        </is>
      </c>
      <c r="AG371" s="31">
        <f>IF(AF371="Structural (10 Years Consistency)",10,IF(AF371="Shallow Cyclical (2 to 3 years growth)",5,0))</f>
        <v/>
      </c>
      <c r="AH371" s="31" t="inlineStr">
        <is>
          <t>Yes due to Product Mix change or Operating Leverage</t>
        </is>
      </c>
      <c r="AI371" s="31">
        <f>IF(AH371="Yes due to Product Mix change or Operating Leverage",10,IF(AH371="Yes, these are peak margins",-5,IF(AH371="No",5,0)))</f>
        <v/>
      </c>
      <c r="AJ371" s="31" t="inlineStr">
        <is>
          <t>Volatile</t>
        </is>
      </c>
      <c r="AK371" s="31">
        <f>IF(AJ371="Stable",10,0)</f>
        <v/>
      </c>
      <c r="AL371" s="31" t="inlineStr">
        <is>
          <t>Yes</t>
        </is>
      </c>
      <c r="AM371" s="31">
        <f>IF(AL371="Yes",10,0)</f>
        <v/>
      </c>
      <c r="AN371" s="31" t="inlineStr">
        <is>
          <t>B2B</t>
        </is>
      </c>
      <c r="AO371" s="31">
        <f>IF(AN371="B2C",10,IF(AN371="B2B",5,0))</f>
        <v/>
      </c>
      <c r="AP371" s="31" t="inlineStr">
        <is>
          <t>Yes</t>
        </is>
      </c>
      <c r="AQ371" s="31">
        <f>IF(AP371="Yes",10,0)</f>
        <v/>
      </c>
      <c r="AR371" s="31" t="inlineStr">
        <is>
          <t>Higher One Time, Lower Annuity</t>
        </is>
      </c>
      <c r="AS371" s="31">
        <f>IF(AR371="Fully Annuity",10,IF(AR371="Higher Annuity, Lower One Time",5,IF(AR371="Higher One Time, Lower Annuity",3,0)))</f>
        <v/>
      </c>
      <c r="AT371" s="31" t="inlineStr">
        <is>
          <t>Allocated capital in Non-core Areas</t>
        </is>
      </c>
      <c r="AU371" s="31">
        <f>IF(AT371="Good",10,0)</f>
        <v/>
      </c>
      <c r="AV371" s="31" t="inlineStr">
        <is>
          <t>Yes for more than 2 years</t>
        </is>
      </c>
      <c r="AW371" s="31">
        <f>IF(AV371="Yes for more than 2 years",10,IF(AV371="Yes only for next 1 to 2 years",5,0))</f>
        <v/>
      </c>
      <c r="AX371" s="31" t="inlineStr">
        <is>
          <t>Above 40</t>
        </is>
      </c>
      <c r="AY371" s="31">
        <f>IF(AX371="Above 40",20,IF(AX371="20 to 40",10,IF(AX371="0 to 20",-5,0)))</f>
        <v/>
      </c>
      <c r="AZ371" s="31" t="inlineStr">
        <is>
          <t>Between 50 to 75</t>
        </is>
      </c>
      <c r="BA371" s="31">
        <f>IF(AZ371="Between 50 to 75",10,IF(AZ371="Above 75",0,0))</f>
        <v/>
      </c>
      <c r="BB371" s="31" t="inlineStr">
        <is>
          <t>Stage 3</t>
        </is>
      </c>
      <c r="BC371" s="31">
        <f>IF(BB371="Stage 2",20,IF(BB371="Stage 1",0,IF(BB371="Stage 3",5,IF(BB371="Stage 4",-5,0))))</f>
        <v/>
      </c>
      <c r="BD371" s="31" t="inlineStr">
        <is>
          <t>Negative Trend</t>
        </is>
      </c>
      <c r="BE371" s="31">
        <f>IF(BD371="Positive Trend",20,IF(BD371="Negative Trend",-10,0))</f>
        <v/>
      </c>
      <c r="BF371" s="31" t="inlineStr">
        <is>
          <t>Sideways</t>
        </is>
      </c>
      <c r="BG371" s="31">
        <f>IF(BF371="Uptrend",10,IF(BF371="Sideways",5,0))</f>
        <v/>
      </c>
      <c r="BH371" s="31" t="inlineStr">
        <is>
          <t>Uptrend</t>
        </is>
      </c>
      <c r="BI371" s="31">
        <f>IF(BH371="Uptrend",10,IF(BH371="Sideways",5,0))</f>
        <v/>
      </c>
      <c r="BJ371" s="31" t="inlineStr">
        <is>
          <t>Overhead supply in last 2 years in last 2 years</t>
        </is>
      </c>
      <c r="BK371" s="31">
        <f>IF(BJ371="Overhead supply in last 2 years in last 2 years",-5,IF(BJ371="Close to 52 week high or retracement",5,IF(BJ371="Blue sky scenario",10,IF(BJ371="Long term Downtrend",-10,0))))</f>
        <v/>
      </c>
      <c r="BL371" s="31" t="inlineStr">
        <is>
          <t>Yes</t>
        </is>
      </c>
      <c r="BM371" s="31">
        <f>IF(BL371="Yes",10,0)</f>
        <v/>
      </c>
      <c r="BN371" s="31" t="inlineStr">
        <is>
          <t>More than 20%</t>
        </is>
      </c>
      <c r="BO371" s="31">
        <f>IF(BN371="More than 20%",10,IF(BN371="Between 12 to 20%",5,IF(BN371="Less than 12%",0,0)))</f>
        <v/>
      </c>
      <c r="BP371" s="31" t="inlineStr">
        <is>
          <t>No</t>
        </is>
      </c>
      <c r="BQ371" s="31">
        <f>IF(BP371="No",10,0)</f>
        <v/>
      </c>
      <c r="BR371" s="31" t="inlineStr">
        <is>
          <t>No</t>
        </is>
      </c>
      <c r="BS371" s="31">
        <f>IF(BR371="NO",5,0)</f>
        <v/>
      </c>
      <c r="BT371" s="31" t="inlineStr">
        <is>
          <t>Less than 1.5</t>
        </is>
      </c>
      <c r="BU371" s="31">
        <f>IF(BT371="Above 2",0,IF(BT371="Between 1.5 to 2",5,IF(BT371="Less than 1.5",10,0)))</f>
        <v/>
      </c>
      <c r="BV371" s="31" t="inlineStr">
        <is>
          <t>Above 70%</t>
        </is>
      </c>
      <c r="BW371" s="31">
        <f>IF(BV371="Above 70%",10,IF(BV371="Between 50% to 70%",5,IF(BV371="Less than 50%",0,IF(BV371="Negative",-10,IF(BV371="Less than 50% and Borrowings are increasing",-5,0)))))</f>
        <v/>
      </c>
      <c r="BX371" s="31" t="inlineStr">
        <is>
          <t>Less than 0.7</t>
        </is>
      </c>
      <c r="BY371" s="31">
        <f>IF(BX371="More than 1.2",-10,IF(BX371="Between 0.7 to 1.2",0,IF(BX371="Less than 0.7",10,0)))</f>
        <v/>
      </c>
      <c r="BZ371" s="31" t="inlineStr">
        <is>
          <t>No</t>
        </is>
      </c>
      <c r="CA371" s="31">
        <f>IF(BZ371="Yes",-10,0)</f>
        <v/>
      </c>
      <c r="CB371" s="31" t="inlineStr">
        <is>
          <t>More than 15%</t>
        </is>
      </c>
      <c r="CC371" s="31">
        <f>IF(CB371="More than 15%",-10,IF(CB371="Less than 15%",10,0))</f>
        <v/>
      </c>
      <c r="CD371" s="31" t="inlineStr">
        <is>
          <t>Yes Upto 10%</t>
        </is>
      </c>
      <c r="CE371" s="31">
        <f>IF(CD371="Yes, more than 10%",-10,IF(CD371="No",10,0))</f>
        <v/>
      </c>
    </row>
    <row r="372">
      <c r="A372" s="31">
        <f>IF(B372=0,"",RANK(B372,$B$2:$B$372,0))</f>
        <v/>
      </c>
      <c r="B372" s="32">
        <f>SUM(N372,Y372,AA372,AC372,AE372,AG372,AI372,AK372,AM372,AO372,AQ372,AS372,AU372,AW372,AY372,BA372,BC372,BE372,BG372,BI372,BK372,BM372,BO372,BQ372,BS372,BU372,BW372,BY372,CA372,CC372,CE372)</f>
        <v/>
      </c>
      <c r="C372" s="31" t="inlineStr">
        <is>
          <t>JINDALSTEL</t>
        </is>
      </c>
      <c r="D372" s="31" t="inlineStr">
        <is>
          <t>Jindal Steel Ltd</t>
        </is>
      </c>
      <c r="E372" s="31" t="inlineStr">
        <is>
          <t>metals &amp; mining</t>
        </is>
      </c>
      <c r="F372" s="31" t="inlineStr">
        <is>
          <t>steel - large</t>
        </is>
      </c>
      <c r="G372" s="31" t="inlineStr">
        <is>
          <t>largecap</t>
        </is>
      </c>
      <c r="H372" s="32" t="n">
        <v>117728.37</v>
      </c>
      <c r="I372" s="32" t="n">
        <v>1175.4</v>
      </c>
      <c r="J372" s="32" t="n">
        <v>1.85</v>
      </c>
      <c r="K372" s="32" t="n">
        <v>882287</v>
      </c>
      <c r="L372" s="31" t="inlineStr"/>
      <c r="M372" s="31" t="inlineStr"/>
      <c r="N372" s="32">
        <f>IF(M372="Underperforming",-5,IF(L372&gt;=95,15,IF(L372&gt;=90,10,IF(L372&gt;=80,5,0))))</f>
        <v/>
      </c>
      <c r="O372" s="32" t="n">
        <v>57.18</v>
      </c>
      <c r="P372" s="32" t="n">
        <v>14.7</v>
      </c>
      <c r="Q372" s="32" t="n">
        <v>1022.48</v>
      </c>
      <c r="R372" s="31" t="inlineStr">
        <is>
          <t>Earnings / Momentum Support</t>
        </is>
      </c>
      <c r="S372" s="31" t="inlineStr">
        <is>
          <t>Nifty Metal</t>
        </is>
      </c>
      <c r="T372" s="32" t="inlineStr"/>
      <c r="U372" s="32" t="inlineStr"/>
      <c r="V372" s="32" t="inlineStr"/>
      <c r="W372" s="32" t="inlineStr"/>
      <c r="X372" s="31" t="inlineStr">
        <is>
          <t>Cyclical in an Upturn</t>
        </is>
      </c>
      <c r="Y372" s="31">
        <f>IF(X372="Growing Industry",10,IF(X372="Cyclical in an Upturn",5,0))</f>
        <v/>
      </c>
      <c r="Z372" s="31" t="inlineStr">
        <is>
          <t>Too Many Players with High ROCE</t>
        </is>
      </c>
      <c r="AA372" s="31">
        <f>IF(Z372="Monopoly",10,IF(Z372="Oligopoly",5,IF(Z372="Duopoly that cooperate",10,IF(Z372="Duopoly that compete",5,IF(Z372="Too many players with High ROCE",5,0)))))</f>
        <v/>
      </c>
      <c r="AB372" s="31" t="inlineStr">
        <is>
          <t>No</t>
        </is>
      </c>
      <c r="AC372" s="31">
        <f>IF(AB372="No",5,0)</f>
        <v/>
      </c>
      <c r="AD372" s="31" t="inlineStr">
        <is>
          <t>Headwind</t>
        </is>
      </c>
      <c r="AE372" s="31">
        <f>IF(AD372="Tailwind",10,0)</f>
        <v/>
      </c>
      <c r="AF372" s="31" t="inlineStr">
        <is>
          <t>Cyclical</t>
        </is>
      </c>
      <c r="AG372" s="31">
        <f>IF(AF372="Structural (10 Years Consistency)",10,IF(AF372="Shallow Cyclical (2 to 3 years growth)",5,0))</f>
        <v/>
      </c>
      <c r="AH372" s="31" t="inlineStr">
        <is>
          <t>No</t>
        </is>
      </c>
      <c r="AI372" s="31">
        <f>IF(AH372="Yes due to Product Mix change or Operating Leverage",10,IF(AH372="Yes, these are peak margins",-5,IF(AH372="No",5,0)))</f>
        <v/>
      </c>
      <c r="AJ372" s="31" t="inlineStr">
        <is>
          <t>Volatile</t>
        </is>
      </c>
      <c r="AK372" s="31">
        <f>IF(AJ372="Stable",10,0)</f>
        <v/>
      </c>
      <c r="AL372" s="31" t="inlineStr">
        <is>
          <t>Yes</t>
        </is>
      </c>
      <c r="AM372" s="31">
        <f>IF(AL372="Yes",10,0)</f>
        <v/>
      </c>
      <c r="AN372" s="31" t="inlineStr">
        <is>
          <t>B2B</t>
        </is>
      </c>
      <c r="AO372" s="31">
        <f>IF(AN372="B2C",10,IF(AN372="B2B",5,0))</f>
        <v/>
      </c>
      <c r="AP372" s="31" t="inlineStr">
        <is>
          <t>No</t>
        </is>
      </c>
      <c r="AQ372" s="31">
        <f>IF(AP372="Yes",10,0)</f>
        <v/>
      </c>
      <c r="AR372" s="31" t="inlineStr">
        <is>
          <t>Higher One Time, Lower Annuity</t>
        </is>
      </c>
      <c r="AS372" s="31">
        <f>IF(AR372="Fully Annuity",10,IF(AR372="Higher Annuity, Lower One Time",5,IF(AR372="Higher One Time, Lower Annuity",3,0)))</f>
        <v/>
      </c>
      <c r="AT372" s="31" t="inlineStr">
        <is>
          <t>Good</t>
        </is>
      </c>
      <c r="AU372" s="31">
        <f>IF(AT372="Good",10,0)</f>
        <v/>
      </c>
      <c r="AV372" s="31" t="inlineStr">
        <is>
          <t>Yes for more than 2 years</t>
        </is>
      </c>
      <c r="AW372" s="31">
        <f>IF(AV372="Yes for more than 2 years",10,IF(AV372="Yes only for next 1 to 2 years",5,0))</f>
        <v/>
      </c>
      <c r="AX372" s="31" t="inlineStr">
        <is>
          <t>0 to 20</t>
        </is>
      </c>
      <c r="AY372" s="31">
        <f>IF(AX372="Above 40",20,IF(AX372="20 to 40",10,IF(AX372="0 to 20",-5,0)))</f>
        <v/>
      </c>
      <c r="AZ372" s="31" t="inlineStr">
        <is>
          <t>Between 50 to 75</t>
        </is>
      </c>
      <c r="BA372" s="31">
        <f>IF(AZ372="Between 50 to 75",10,IF(AZ372="Above 75",0,0))</f>
        <v/>
      </c>
      <c r="BB372" s="31" t="inlineStr">
        <is>
          <t>Stage 1</t>
        </is>
      </c>
      <c r="BC372" s="31">
        <f>IF(BB372="Stage 2",20,IF(BB372="Stage 1",0,IF(BB372="Stage 3",5,IF(BB372="Stage 4",-5,0))))</f>
        <v/>
      </c>
      <c r="BD372" s="31" t="inlineStr">
        <is>
          <t>Positive Trend</t>
        </is>
      </c>
      <c r="BE372" s="31">
        <f>IF(BD372="Positive Trend",20,IF(BD372="Negative Trend",-10,0))</f>
        <v/>
      </c>
      <c r="BF372" s="31" t="inlineStr">
        <is>
          <t>Uptrend</t>
        </is>
      </c>
      <c r="BG372" s="31">
        <f>IF(BF372="Uptrend",10,IF(BF372="Sideways",5,0))</f>
        <v/>
      </c>
      <c r="BH372" s="31" t="inlineStr">
        <is>
          <t>Uptrend</t>
        </is>
      </c>
      <c r="BI372" s="31">
        <f>IF(BH372="Uptrend",10,IF(BH372="Sideways",5,0))</f>
        <v/>
      </c>
      <c r="BJ372" s="31" t="inlineStr">
        <is>
          <t>Close to 52 week high or retracement</t>
        </is>
      </c>
      <c r="BK372" s="31">
        <f>IF(BJ372="Overhead supply in last 2 years in last 2 years",-5,IF(BJ372="Close to 52 week high or retracement",5,IF(BJ372="Blue sky scenario",10,IF(BJ372="Long term Downtrend",-10,0))))</f>
        <v/>
      </c>
      <c r="BL372" s="31" t="inlineStr">
        <is>
          <t>Yes</t>
        </is>
      </c>
      <c r="BM372" s="31">
        <f>IF(BL372="Yes",10,0)</f>
        <v/>
      </c>
      <c r="BN372" s="31" t="inlineStr">
        <is>
          <t>Less than 12%</t>
        </is>
      </c>
      <c r="BO372" s="31">
        <f>IF(BN372="More than 20%",10,IF(BN372="Between 12 to 20%",5,IF(BN372="Less than 12%",0,0)))</f>
        <v/>
      </c>
      <c r="BP372" s="31" t="inlineStr">
        <is>
          <t>No</t>
        </is>
      </c>
      <c r="BQ372" s="31">
        <f>IF(BP372="No",10,0)</f>
        <v/>
      </c>
      <c r="BR372" s="31" t="inlineStr">
        <is>
          <t>Yes</t>
        </is>
      </c>
      <c r="BS372" s="31">
        <f>IF(BR372="NO",5,0)</f>
        <v/>
      </c>
      <c r="BT372" s="31" t="inlineStr">
        <is>
          <t>Above 2</t>
        </is>
      </c>
      <c r="BU372" s="31">
        <f>IF(BT372="Above 2",0,IF(BT372="Between 1.5 to 2",5,IF(BT372="Less than 1.5",10,0)))</f>
        <v/>
      </c>
      <c r="BV372" s="31" t="inlineStr">
        <is>
          <t>Above 70%</t>
        </is>
      </c>
      <c r="BW372" s="31">
        <f>IF(BV372="Above 70%",10,IF(BV372="Between 50% to 70%",5,IF(BV372="Less than 50%",0,IF(BV372="Negative",-10,IF(BV372="Less than 50% and Borrowings are increasing",-5,0)))))</f>
        <v/>
      </c>
      <c r="BX372" s="31" t="inlineStr">
        <is>
          <t>Less than 0.7</t>
        </is>
      </c>
      <c r="BY372" s="31">
        <f>IF(BX372="More than 1.2",-10,IF(BX372="Between 0.7 to 1.2",0,IF(BX372="Less than 0.7",10,0)))</f>
        <v/>
      </c>
      <c r="BZ372" s="31" t="inlineStr">
        <is>
          <t>No</t>
        </is>
      </c>
      <c r="CA372" s="31">
        <f>IF(BZ372="Yes",-10,0)</f>
        <v/>
      </c>
      <c r="CB372" s="31" t="inlineStr">
        <is>
          <t>Less than 15%</t>
        </is>
      </c>
      <c r="CC372" s="31">
        <f>IF(CB372="More than 15%",-10,IF(CB372="Less than 15%",10,0))</f>
        <v/>
      </c>
      <c r="CD372" s="31" t="inlineStr">
        <is>
          <t>No</t>
        </is>
      </c>
      <c r="CE372" s="31">
        <f>IF(CD372="Yes, more than 10%",-10,IF(CD372="No",10,0))</f>
        <v/>
      </c>
    </row>
  </sheetData>
  <autoFilter ref="A1:CE372"/>
  <conditionalFormatting sqref="B2:B37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7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7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7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7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7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7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7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7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7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7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7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7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7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7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7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7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7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7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7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7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7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7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7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7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7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7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7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7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7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7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7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72">
    <cfRule type="cellIs" priority="36" operator="equal" dxfId="3" stopIfTrue="1">
      <formula>"Underperforming"</formula>
    </cfRule>
  </conditionalFormatting>
  <conditionalFormatting sqref="N2:N372">
    <cfRule type="cellIs" priority="37" operator="equal" dxfId="3" stopIfTrue="1">
      <formula>-5</formula>
    </cfRule>
  </conditionalFormatting>
  <conditionalFormatting sqref="Q2:Q372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372" showDropDown="0" showInputMessage="0" showErrorMessage="0" allowBlank="1" type="list">
      <formula1>"Growing Industry,Stagnant Industry,Cyclical in an Upturn"</formula1>
    </dataValidation>
    <dataValidation sqref="Z2:Z37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72" showDropDown="0" showInputMessage="0" showErrorMessage="0" allowBlank="1" type="list">
      <formula1>"Yes,No"</formula1>
    </dataValidation>
    <dataValidation sqref="AD2:AD372" showDropDown="0" showInputMessage="0" showErrorMessage="0" allowBlank="1" type="list">
      <formula1>"Tailwind,Headwind"</formula1>
    </dataValidation>
    <dataValidation sqref="AF2:AF372" showDropDown="0" showInputMessage="0" showErrorMessage="0" allowBlank="1" type="list">
      <formula1>"Structural (10 Years Consistency),Shallow Cyclical (2 to 3 Years Growth),Cyclical"</formula1>
    </dataValidation>
    <dataValidation sqref="AH2:AH372" showDropDown="0" showInputMessage="0" showErrorMessage="0" allowBlank="1" type="list">
      <formula1>"Yes due to Product Mix change or Operating Leverage,Yes, these are peak margins,No"</formula1>
    </dataValidation>
    <dataValidation sqref="AJ2:AJ372" showDropDown="0" showInputMessage="0" showErrorMessage="0" allowBlank="1" type="list">
      <formula1>"Stable,Volatile"</formula1>
    </dataValidation>
    <dataValidation sqref="AL2:AL372" showDropDown="0" showInputMessage="0" showErrorMessage="0" allowBlank="1" type="list">
      <formula1>"Yes,No"</formula1>
    </dataValidation>
    <dataValidation sqref="AN2:AN372" showDropDown="0" showInputMessage="0" showErrorMessage="0" allowBlank="1" type="list">
      <formula1>"B2C,B2B,B2G"</formula1>
    </dataValidation>
    <dataValidation sqref="AP2:AP372" showDropDown="0" showInputMessage="0" showErrorMessage="0" allowBlank="1" type="list">
      <formula1>"Yes,No"</formula1>
    </dataValidation>
    <dataValidation sqref="AR2:AR372" showDropDown="0" showInputMessage="0" showErrorMessage="0" allowBlank="1" type="list">
      <formula1>"Fully Annuity,Higher Annuity, Lower One time,Higher One Time, Lower Annuity,Fully One Time"</formula1>
    </dataValidation>
    <dataValidation sqref="AT2:AT372" showDropDown="0" showInputMessage="0" showErrorMessage="0" allowBlank="1" type="list">
      <formula1>"Good,Allocated capital in Non-core Areas"</formula1>
    </dataValidation>
    <dataValidation sqref="AV2:AV372" showDropDown="0" showInputMessage="0" showErrorMessage="0" allowBlank="1" type="list">
      <formula1>"Yes for more than 2 years,Yes only for next 1 to 2 years,No"</formula1>
    </dataValidation>
    <dataValidation sqref="AX2:AX372" showDropDown="0" showInputMessage="0" showErrorMessage="0" allowBlank="1" type="list">
      <formula1>"Above 40,20 to 40,0 to 20"</formula1>
    </dataValidation>
    <dataValidation sqref="AZ2:AZ372" showDropDown="0" showInputMessage="0" showErrorMessage="0" allowBlank="1" type="list">
      <formula1>"Between 50 to 75,Above 75,Below 45"</formula1>
    </dataValidation>
    <dataValidation sqref="BB2:BB372" showDropDown="0" showInputMessage="0" showErrorMessage="0" allowBlank="1" type="list">
      <formula1>"Stage 1,Stage 2,Stage 3,Stage 4"</formula1>
    </dataValidation>
    <dataValidation sqref="BD2:BD372" showDropDown="0" showInputMessage="0" showErrorMessage="0" allowBlank="1" type="list">
      <formula1>"Positive Trend,Negative Trend"</formula1>
    </dataValidation>
    <dataValidation sqref="BF2:BF372" showDropDown="0" showInputMessage="0" showErrorMessage="0" allowBlank="1" type="list">
      <formula1>"Uptrend,Sideways,Downtrend"</formula1>
    </dataValidation>
    <dataValidation sqref="BH2:BH372" showDropDown="0" showInputMessage="0" showErrorMessage="0" allowBlank="1" type="list">
      <formula1>"Uptrend,Sideways,Downtrend"</formula1>
    </dataValidation>
    <dataValidation sqref="BJ2:BJ37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72" showDropDown="0" showInputMessage="0" showErrorMessage="0" allowBlank="1" type="list">
      <formula1>"Yes,No"</formula1>
    </dataValidation>
    <dataValidation sqref="BN2:BN372" showDropDown="0" showInputMessage="0" showErrorMessage="0" allowBlank="1" type="list">
      <formula1>"More than 20%,Between 12 to 20%,Less than 12%"</formula1>
    </dataValidation>
    <dataValidation sqref="BP2:BP372" showDropDown="0" showInputMessage="0" showErrorMessage="0" allowBlank="1" type="list">
      <formula1>"Yes,No"</formula1>
    </dataValidation>
    <dataValidation sqref="BR2:BR372" showDropDown="0" showInputMessage="0" showErrorMessage="0" allowBlank="1" type="list">
      <formula1>"Yes,No"</formula1>
    </dataValidation>
    <dataValidation sqref="BT2:BT372" showDropDown="0" showInputMessage="0" showErrorMessage="0" allowBlank="1" type="list">
      <formula1>"Above 2,Between 1.5 to 2,Less than 1.5"</formula1>
    </dataValidation>
    <dataValidation sqref="BV2:BV372" showDropDown="0" showInputMessage="0" showErrorMessage="0" allowBlank="1" type="list">
      <formula1>"Above 70%,Between 50% to 70%,Less than 50%,Less than 50% and Borrowings are increasing,Negative"</formula1>
    </dataValidation>
    <dataValidation sqref="BX2:BX372" showDropDown="0" showInputMessage="0" showErrorMessage="0" allowBlank="1" type="list">
      <formula1>"More than 1.2,Between 0.7 to 1.2,Less than 0.7"</formula1>
    </dataValidation>
    <dataValidation sqref="BZ2:BZ372" showDropDown="0" showInputMessage="0" showErrorMessage="0" allowBlank="1" type="list">
      <formula1>"Yes,No"</formula1>
    </dataValidation>
    <dataValidation sqref="CB2:CB372" showDropDown="0" showInputMessage="0" showErrorMessage="0" allowBlank="1" type="list">
      <formula1>"More than 15%,Less than 15%"</formula1>
    </dataValidation>
    <dataValidation sqref="CD2:CD37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IF(B2=0,"",RANK(B2,$B$2:$B$47,0))</f>
        <v/>
      </c>
      <c r="B2" s="32">
        <f>SUM(N2,Y2,AA2,AC2,AE2,AG2,AI2,AK2,AM2,AO2,AQ2,AS2,AU2,AW2,AY2,BA2,BC2,BE2,BG2,BI2,BK2,BM2,BO2,BQ2,BS2,BU2,BW2,BY2,CA2)</f>
        <v/>
      </c>
      <c r="C2" s="31" t="inlineStr">
        <is>
          <t>TMB</t>
        </is>
      </c>
      <c r="D2" s="31" t="inlineStr">
        <is>
          <t>Tamilnad Mercantile Bank Ltd</t>
        </is>
      </c>
      <c r="E2" s="31" t="inlineStr">
        <is>
          <t>bank</t>
        </is>
      </c>
      <c r="F2" s="31" t="inlineStr">
        <is>
          <t>banks - private sector</t>
        </is>
      </c>
      <c r="G2" s="31" t="inlineStr">
        <is>
          <t>midcap</t>
        </is>
      </c>
      <c r="H2" s="32" t="n">
        <v>13799.54</v>
      </c>
      <c r="I2" s="32" t="n">
        <v>897.6</v>
      </c>
      <c r="J2" s="32" t="n">
        <v>3</v>
      </c>
      <c r="K2" s="32" t="n">
        <v>242451</v>
      </c>
      <c r="L2" s="31" t="n">
        <v>81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72.26000000000001</v>
      </c>
      <c r="P2" s="32" t="n">
        <v>40.42</v>
      </c>
      <c r="Q2" s="32" t="n">
        <v>728.51</v>
      </c>
      <c r="R2" s="31" t="inlineStr">
        <is>
          <t>Near 52W High Breakout</t>
        </is>
      </c>
      <c r="S2" s="31" t="inlineStr">
        <is>
          <t>Nifty Bank</t>
        </is>
      </c>
      <c r="T2" s="32" t="n">
        <v>7.69</v>
      </c>
      <c r="U2" s="32" t="n">
        <v>115.51</v>
      </c>
      <c r="V2" s="32" t="n">
        <v>100.11</v>
      </c>
      <c r="W2" s="32" t="n">
        <v>23.74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IF(B3=0,"",RANK(B3,$B$2:$B$47,0))</f>
        <v/>
      </c>
      <c r="B3" s="32">
        <f>SUM(N3,Y3,AA3,AC3,AE3,AG3,AI3,AK3,AM3,AO3,AQ3,AS3,AU3,AW3,AY3,BA3,BC3,BE3,BG3,BI3,BK3,BM3,BO3,BQ3,BS3,BU3,BW3,BY3,CA3)</f>
        <v/>
      </c>
      <c r="C3" s="31" t="inlineStr">
        <is>
          <t>WELINV</t>
        </is>
      </c>
      <c r="D3" s="31" t="inlineStr">
        <is>
          <t>Welspun Investments And Commercials Limited</t>
        </is>
      </c>
      <c r="E3" s="31" t="inlineStr">
        <is>
          <t>financials</t>
        </is>
      </c>
      <c r="F3" s="31" t="inlineStr">
        <is>
          <t>finance &amp; investments</t>
        </is>
      </c>
      <c r="G3" s="31" t="inlineStr">
        <is>
          <t>smallcap</t>
        </is>
      </c>
      <c r="H3" s="32" t="n">
        <v>814.66</v>
      </c>
      <c r="I3" s="32" t="n">
        <v>2340.6</v>
      </c>
      <c r="J3" s="32" t="n">
        <v>5</v>
      </c>
      <c r="K3" s="32" t="n">
        <v>2626</v>
      </c>
      <c r="L3" s="31" t="n">
        <v>86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84.45</v>
      </c>
      <c r="P3" s="32" t="n">
        <v>55.24</v>
      </c>
      <c r="Q3" s="32" t="n">
        <v>1812.37</v>
      </c>
      <c r="R3" s="31" t="inlineStr">
        <is>
          <t>Near 52W High Breakout</t>
        </is>
      </c>
      <c r="S3" s="31" t="inlineStr">
        <is>
          <t>Nifty Bank</t>
        </is>
      </c>
      <c r="T3" s="32" t="n">
        <v>7.69</v>
      </c>
      <c r="U3" s="32" t="n">
        <v>149.24</v>
      </c>
      <c r="V3" s="32" t="n">
        <v>131.43</v>
      </c>
      <c r="W3" s="32" t="n">
        <v>26.46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IF(B4=0,"",RANK(B4,$B$2:$B$47,0))</f>
        <v/>
      </c>
      <c r="B4" s="32">
        <f>SUM(N4,Y4,AA4,AC4,AE4,AG4,AI4,AK4,AM4,AO4,AQ4,AS4,AU4,AW4,AY4,BA4,BC4,BE4,BG4,BI4,BK4,BM4,BO4,BQ4,BS4,BU4,BW4,BY4,CA4)</f>
        <v/>
      </c>
      <c r="C4" s="31" t="inlineStr">
        <is>
          <t>TFCILTD</t>
        </is>
      </c>
      <c r="D4" s="31" t="inlineStr">
        <is>
          <t>Tourism Finance Corporation Of India Limited</t>
        </is>
      </c>
      <c r="E4" s="31" t="inlineStr">
        <is>
          <t>financials</t>
        </is>
      </c>
      <c r="F4" s="31" t="inlineStr">
        <is>
          <t>finance - term-lending institutions</t>
        </is>
      </c>
      <c r="G4" s="31" t="inlineStr">
        <is>
          <t>midcap</t>
        </is>
      </c>
      <c r="H4" s="32" t="n">
        <v>6343.71</v>
      </c>
      <c r="I4" s="32" t="n">
        <v>140.99</v>
      </c>
      <c r="J4" s="32" t="n">
        <v>2.9</v>
      </c>
      <c r="K4" s="32" t="n">
        <v>18972111</v>
      </c>
      <c r="L4" s="31" t="n">
        <v>96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85.59999999999999</v>
      </c>
      <c r="P4" s="32" t="n">
        <v>58.44</v>
      </c>
      <c r="Q4" s="32" t="n">
        <v>112.49</v>
      </c>
      <c r="R4" s="31" t="inlineStr">
        <is>
          <t>Near 52W High Breakout</t>
        </is>
      </c>
      <c r="S4" s="31" t="inlineStr">
        <is>
          <t>Nifty Bank</t>
        </is>
      </c>
      <c r="T4" s="32" t="n">
        <v>7.69</v>
      </c>
      <c r="U4" s="32" t="n">
        <v>135.39</v>
      </c>
      <c r="V4" s="32" t="n">
        <v>118.57</v>
      </c>
      <c r="W4" s="32" t="n">
        <v>41.89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IF(B5=0,"",RANK(B5,$B$2:$B$47,0))</f>
        <v/>
      </c>
      <c r="B5" s="32">
        <f>SUM(N5,Y5,AA5,AC5,AE5,AG5,AI5,AK5,AM5,AO5,AQ5,AS5,AU5,AW5,AY5,BA5,BC5,BE5,BG5,BI5,BK5,BM5,BO5,BQ5,BS5,BU5,BW5,BY5,CA5)</f>
        <v/>
      </c>
      <c r="C5" s="31" t="inlineStr">
        <is>
          <t>DCBBANK</t>
        </is>
      </c>
      <c r="D5" s="31" t="inlineStr">
        <is>
          <t>Dcb Bank Limited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midcap</t>
        </is>
      </c>
      <c r="H5" s="32" t="n">
        <v>6678.92</v>
      </c>
      <c r="I5" s="32" t="n">
        <v>213.83</v>
      </c>
      <c r="J5" s="32" t="n">
        <v>3.12</v>
      </c>
      <c r="K5" s="32" t="n">
        <v>11998101</v>
      </c>
      <c r="L5" s="31" t="n">
        <v>67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68.87</v>
      </c>
      <c r="P5" s="32" t="n">
        <v>26.75</v>
      </c>
      <c r="Q5" s="32" t="n">
        <v>172.26</v>
      </c>
      <c r="R5" s="31" t="inlineStr">
        <is>
          <t>Volume Spike &amp; Near 52W High Breakout</t>
        </is>
      </c>
      <c r="S5" s="31" t="inlineStr">
        <is>
          <t>Nifty Bank</t>
        </is>
      </c>
      <c r="T5" s="32" t="n">
        <v>7.69</v>
      </c>
      <c r="U5" s="32" t="n">
        <v>76.20999999999999</v>
      </c>
      <c r="V5" s="32" t="n">
        <v>63.62</v>
      </c>
      <c r="W5" s="32" t="n">
        <v>18.31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IF(B6=0,"",RANK(B6,$B$2:$B$47,0))</f>
        <v/>
      </c>
      <c r="B6" s="32">
        <f>SUM(N6,Y6,AA6,AC6,AE6,AG6,AI6,AK6,AM6,AO6,AQ6,AS6,AU6,AW6,AY6,BA6,BC6,BE6,BG6,BI6,BK6,BM6,BO6,BQ6,BS6,BU6,BW6,BY6,CA6)</f>
        <v/>
      </c>
      <c r="C6" s="31" t="inlineStr">
        <is>
          <t>KARURVYSYA</t>
        </is>
      </c>
      <c r="D6" s="31" t="inlineStr">
        <is>
          <t>Karur Vysya Bank Limited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largecap</t>
        </is>
      </c>
      <c r="H6" s="32" t="n">
        <v>33446.74</v>
      </c>
      <c r="I6" s="32" t="n">
        <v>354.35</v>
      </c>
      <c r="J6" s="32" t="n">
        <v>2.41</v>
      </c>
      <c r="K6" s="32" t="n">
        <v>4434922</v>
      </c>
      <c r="L6" s="31" t="n">
        <v>64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70.68000000000001</v>
      </c>
      <c r="P6" s="32" t="n">
        <v>24.17</v>
      </c>
      <c r="Q6" s="32" t="n">
        <v>295.49</v>
      </c>
      <c r="R6" s="31" t="inlineStr">
        <is>
          <t>Near 52W High Breakout</t>
        </is>
      </c>
      <c r="S6" s="31" t="inlineStr">
        <is>
          <t>Nifty Bank</t>
        </is>
      </c>
      <c r="T6" s="32" t="n">
        <v>7.69</v>
      </c>
      <c r="U6" s="32" t="n">
        <v>66.83</v>
      </c>
      <c r="V6" s="32" t="n">
        <v>54.91</v>
      </c>
      <c r="W6" s="32" t="n">
        <v>16.65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IF(B7=0,"",RANK(B7,$B$2:$B$47,0))</f>
        <v/>
      </c>
      <c r="B7" s="32">
        <f>SUM(N7,Y7,AA7,AC7,AE7,AG7,AI7,AK7,AM7,AO7,AQ7,AS7,AU7,AW7,AY7,BA7,BC7,BE7,BG7,BI7,BK7,BM7,BO7,BQ7,BS7,BU7,BW7,BY7,CA7)</f>
        <v/>
      </c>
      <c r="C7" s="31" t="inlineStr">
        <is>
          <t>CUB</t>
        </is>
      </c>
      <c r="D7" s="31" t="inlineStr">
        <is>
          <t>City Union Bank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largecap</t>
        </is>
      </c>
      <c r="H7" s="32" t="n">
        <v>21955.85</v>
      </c>
      <c r="I7" s="32" t="n">
        <v>226.8</v>
      </c>
      <c r="J7" s="32" t="n">
        <v>2.35</v>
      </c>
      <c r="K7" s="32" t="n">
        <v>2696192</v>
      </c>
      <c r="L7" s="31" t="n">
        <v>57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61.9</v>
      </c>
      <c r="P7" s="32" t="n">
        <v>32.69</v>
      </c>
      <c r="Q7" s="32" t="n">
        <v>176.02</v>
      </c>
      <c r="R7" s="31" t="inlineStr">
        <is>
          <t>Near 52W High Breakout</t>
        </is>
      </c>
      <c r="S7" s="31" t="inlineStr">
        <is>
          <t>Nifty Bank</t>
        </is>
      </c>
      <c r="T7" s="32" t="n">
        <v>7.69</v>
      </c>
      <c r="U7" s="32" t="n">
        <v>55.69</v>
      </c>
      <c r="V7" s="32" t="n">
        <v>44.57</v>
      </c>
      <c r="W7" s="32" t="n">
        <v>14.38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Blue sky scenario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IF(B8=0,"",RANK(B8,$B$2:$B$47,0))</f>
        <v/>
      </c>
      <c r="B8" s="32">
        <f>SUM(N8,Y8,AA8,AC8,AE8,AG8,AI8,AK8,AM8,AO8,AQ8,AS8,AU8,AW8,AY8,BA8,BC8,BE8,BG8,BI8,BK8,BM8,BO8,BQ8,BS8,BU8,BW8,BY8,CA8)</f>
        <v/>
      </c>
      <c r="C8" s="31" t="inlineStr">
        <is>
          <t>KTKBANK</t>
        </is>
      </c>
      <c r="D8" s="31" t="inlineStr">
        <is>
          <t>The Karnataka Bank Limited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midcap</t>
        </is>
      </c>
      <c r="H8" s="32" t="n">
        <v>12654.68</v>
      </c>
      <c r="I8" s="32" t="n">
        <v>337.7</v>
      </c>
      <c r="J8" s="32" t="n">
        <v>0.93</v>
      </c>
      <c r="K8" s="32" t="n">
        <v>4342407</v>
      </c>
      <c r="L8" s="31" t="n">
        <v>73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79.81</v>
      </c>
      <c r="P8" s="32" t="n">
        <v>48.11</v>
      </c>
      <c r="Q8" s="32" t="n">
        <v>280.51</v>
      </c>
      <c r="R8" s="31" t="inlineStr">
        <is>
          <t>Near 52W High Breakout</t>
        </is>
      </c>
      <c r="S8" s="31" t="inlineStr">
        <is>
          <t>Nifty Bank</t>
        </is>
      </c>
      <c r="T8" s="32" t="n">
        <v>7.69</v>
      </c>
      <c r="U8" s="32" t="n">
        <v>102.34</v>
      </c>
      <c r="V8" s="32" t="n">
        <v>87.88</v>
      </c>
      <c r="W8" s="32" t="n">
        <v>21.25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Above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IF(B9=0,"",RANK(B9,$B$2:$B$47,0))</f>
        <v/>
      </c>
      <c r="B9" s="32">
        <f>SUM(N9,Y9,AA9,AC9,AE9,AG9,AI9,AK9,AM9,AO9,AQ9,AS9,AU9,AW9,AY9,BA9,BC9,BE9,BG9,BI9,BK9,BM9,BO9,BQ9,BS9,BU9,BW9,BY9,CA9)</f>
        <v/>
      </c>
      <c r="C9" s="31" t="inlineStr">
        <is>
          <t>FEDFINA</t>
        </is>
      </c>
      <c r="D9" s="31" t="inlineStr">
        <is>
          <t>Fedbank Financial Services Ltd</t>
        </is>
      </c>
      <c r="E9" s="31" t="inlineStr">
        <is>
          <t>financials</t>
        </is>
      </c>
      <c r="F9" s="31" t="inlineStr">
        <is>
          <t>finance &amp; investments</t>
        </is>
      </c>
      <c r="G9" s="31" t="inlineStr">
        <is>
          <t>midcap</t>
        </is>
      </c>
      <c r="H9" s="32" t="n">
        <v>5961.76</v>
      </c>
      <c r="I9" s="32" t="n">
        <v>160.15</v>
      </c>
      <c r="J9" s="32" t="n">
        <v>0.71</v>
      </c>
      <c r="K9" s="32" t="n">
        <v>1041834</v>
      </c>
      <c r="L9" s="31" t="n">
        <v>12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58.82</v>
      </c>
      <c r="P9" s="32" t="n">
        <v>28.48</v>
      </c>
      <c r="Q9" s="32" t="n">
        <v>126.88</v>
      </c>
      <c r="R9" s="31" t="inlineStr">
        <is>
          <t>Near 52W High Breakout</t>
        </is>
      </c>
      <c r="S9" s="31" t="inlineStr">
        <is>
          <t>Nifty Bank</t>
        </is>
      </c>
      <c r="T9" s="32" t="n">
        <v>7.69</v>
      </c>
      <c r="U9" s="32" t="n">
        <v>18.05</v>
      </c>
      <c r="V9" s="32" t="n">
        <v>9.619999999999999</v>
      </c>
      <c r="W9" s="32" t="n">
        <v>3.8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IF(B10=0,"",RANK(B10,$B$2:$B$47,0))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SGFIN</t>
        </is>
      </c>
      <c r="D10" s="31" t="inlineStr">
        <is>
          <t>SG Finserve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smallcap</t>
        </is>
      </c>
      <c r="H10" s="32" t="n">
        <v>4615.94</v>
      </c>
      <c r="I10" s="32" t="n">
        <v>692.2</v>
      </c>
      <c r="J10" s="32" t="n">
        <v>-1.18</v>
      </c>
      <c r="K10" s="32" t="n">
        <v>173682</v>
      </c>
      <c r="L10" s="31" t="n">
        <v>68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67.29000000000001</v>
      </c>
      <c r="P10" s="32" t="n">
        <v>51.35</v>
      </c>
      <c r="Q10" s="32" t="n">
        <v>526.96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7.69</v>
      </c>
      <c r="U10" s="32" t="n">
        <v>82.93000000000001</v>
      </c>
      <c r="V10" s="32" t="n">
        <v>69.86</v>
      </c>
      <c r="W10" s="32" t="n">
        <v>18.62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between 2.5x to 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IF(B11=0,"",RANK(B11,$B$2:$B$47,0))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IIFL</t>
        </is>
      </c>
      <c r="D11" s="31" t="inlineStr">
        <is>
          <t>IIFL Finance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largecap</t>
        </is>
      </c>
      <c r="H11" s="32" t="n">
        <v>28337.28</v>
      </c>
      <c r="I11" s="32" t="n">
        <v>654.05</v>
      </c>
      <c r="J11" s="32" t="n">
        <v>-1.83</v>
      </c>
      <c r="K11" s="32" t="n">
        <v>2419370</v>
      </c>
      <c r="L11" s="31" t="n">
        <v>70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69.43000000000001</v>
      </c>
      <c r="P11" s="32" t="n">
        <v>25.29</v>
      </c>
      <c r="Q11" s="32" t="n">
        <v>545.55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7.69</v>
      </c>
      <c r="U11" s="32" t="n">
        <v>54.09</v>
      </c>
      <c r="V11" s="32" t="n">
        <v>43.08</v>
      </c>
      <c r="W11" s="32" t="n">
        <v>19.2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IF(B12=0,"",RANK(B12,$B$2:$B$47,0))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MAHABANK</t>
        </is>
      </c>
      <c r="D12" s="31" t="inlineStr">
        <is>
          <t>Bank Of Maharashtra Ltd</t>
        </is>
      </c>
      <c r="E12" s="31" t="inlineStr">
        <is>
          <t>bank</t>
        </is>
      </c>
      <c r="F12" s="31" t="inlineStr">
        <is>
          <t>banks - public sector</t>
        </is>
      </c>
      <c r="G12" s="31" t="inlineStr">
        <is>
          <t>largecap</t>
        </is>
      </c>
      <c r="H12" s="32" t="n">
        <v>62840</v>
      </c>
      <c r="I12" s="32" t="n">
        <v>85.59999999999999</v>
      </c>
      <c r="J12" s="32" t="n">
        <v>4.77</v>
      </c>
      <c r="K12" s="32" t="n">
        <v>116724721</v>
      </c>
      <c r="L12" s="31" t="n">
        <v>51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62.33</v>
      </c>
      <c r="P12" s="32" t="n">
        <v>42.56</v>
      </c>
      <c r="Q12" s="32" t="n">
        <v>74.3</v>
      </c>
      <c r="R12" s="31" t="inlineStr">
        <is>
          <t>Earnings / Momentum Support</t>
        </is>
      </c>
      <c r="S12" s="31" t="inlineStr">
        <is>
          <t>Nifty Bank</t>
        </is>
      </c>
      <c r="T12" s="32" t="n">
        <v>7.69</v>
      </c>
      <c r="U12" s="32" t="n">
        <v>69.83</v>
      </c>
      <c r="V12" s="32" t="n">
        <v>57.7</v>
      </c>
      <c r="W12" s="32" t="n">
        <v>13.53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Above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IF(B13=0,"",RANK(B13,$B$2:$B$47,0))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ESAFSFB</t>
        </is>
      </c>
      <c r="D13" s="31" t="inlineStr">
        <is>
          <t>ESAF Small Finance Bank Ltd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smallcap</t>
        </is>
      </c>
      <c r="H13" s="32" t="n">
        <v>2234.07</v>
      </c>
      <c r="I13" s="32" t="n">
        <v>44.16</v>
      </c>
      <c r="J13" s="32" t="n">
        <v>1.99</v>
      </c>
      <c r="K13" s="32" t="n">
        <v>973281</v>
      </c>
      <c r="L13" s="31" t="n">
        <v>74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70.56</v>
      </c>
      <c r="P13" s="32" t="n">
        <v>36.39</v>
      </c>
      <c r="Q13" s="32" t="n">
        <v>33.19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7.69</v>
      </c>
      <c r="U13" s="32" t="n">
        <v>53.92</v>
      </c>
      <c r="V13" s="32" t="n">
        <v>42.93</v>
      </c>
      <c r="W13" s="32" t="n">
        <v>21.76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IF(B14=0,"",RANK(B14,$B$2:$B$47,0))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CGCL</t>
        </is>
      </c>
      <c r="D14" s="31" t="inlineStr">
        <is>
          <t>Capri Global Capital Limited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largecap</t>
        </is>
      </c>
      <c r="H14" s="32" t="n">
        <v>23059.94</v>
      </c>
      <c r="I14" s="32" t="n">
        <v>256.35</v>
      </c>
      <c r="J14" s="32" t="n">
        <v>6.96</v>
      </c>
      <c r="K14" s="32" t="n">
        <v>32877661</v>
      </c>
      <c r="L14" s="31" t="n">
        <v>54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68.84</v>
      </c>
      <c r="P14" s="32" t="n">
        <v>38.11</v>
      </c>
      <c r="Q14" s="32" t="n">
        <v>202.17</v>
      </c>
      <c r="R14" s="31" t="inlineStr">
        <is>
          <t>Volume Spike &amp; Near 52W High Breakout</t>
        </is>
      </c>
      <c r="S14" s="31" t="inlineStr">
        <is>
          <t>Nifty Bank</t>
        </is>
      </c>
      <c r="T14" s="32" t="n">
        <v>7.69</v>
      </c>
      <c r="U14" s="32" t="n">
        <v>38.45</v>
      </c>
      <c r="V14" s="32" t="n">
        <v>28.56</v>
      </c>
      <c r="W14" s="32" t="n">
        <v>13.83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between 2.5x to 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IF(B15=0,"",RANK(B15,$B$2:$B$47,0))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LTF</t>
        </is>
      </c>
      <c r="D15" s="31" t="inlineStr">
        <is>
          <t>L&amp;T Finance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largecap</t>
        </is>
      </c>
      <c r="H15" s="32" t="n">
        <v>80050.92</v>
      </c>
      <c r="I15" s="32" t="n">
        <v>322.2</v>
      </c>
      <c r="J15" s="32" t="n">
        <v>0.85</v>
      </c>
      <c r="K15" s="32" t="n">
        <v>3586070</v>
      </c>
      <c r="L15" s="31" t="n">
        <v>45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60.43</v>
      </c>
      <c r="P15" s="32" t="n">
        <v>27.47</v>
      </c>
      <c r="Q15" s="32" t="n">
        <v>266.24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7.69</v>
      </c>
      <c r="U15" s="32" t="n">
        <v>49.9</v>
      </c>
      <c r="V15" s="32" t="n">
        <v>39.19</v>
      </c>
      <c r="W15" s="32" t="n">
        <v>12.31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between 2.5x to 5x and Growth more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IF(B16=0,"",RANK(B16,$B$2:$B$47,0))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MUFIN</t>
        </is>
      </c>
      <c r="D16" s="31" t="inlineStr">
        <is>
          <t>Mufin Green Finance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smallcap</t>
        </is>
      </c>
      <c r="H16" s="32" t="n">
        <v>2735.03</v>
      </c>
      <c r="I16" s="32" t="n">
        <v>136.75</v>
      </c>
      <c r="J16" s="32" t="n">
        <v>-0.92</v>
      </c>
      <c r="K16" s="32" t="n">
        <v>635389</v>
      </c>
      <c r="L16" s="31" t="n">
        <v>47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62.59</v>
      </c>
      <c r="P16" s="32" t="n">
        <v>37.78</v>
      </c>
      <c r="Q16" s="32" t="n">
        <v>115.04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7.69</v>
      </c>
      <c r="U16" s="32" t="n">
        <v>59.68</v>
      </c>
      <c r="V16" s="32" t="n">
        <v>48.27</v>
      </c>
      <c r="W16" s="32" t="n">
        <v>12.47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IF(B17=0,"",RANK(B17,$B$2:$B$47,0))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AUBANK</t>
        </is>
      </c>
      <c r="D17" s="31" t="inlineStr">
        <is>
          <t>AU Small Finance Bank Ltd</t>
        </is>
      </c>
      <c r="E17" s="31" t="inlineStr">
        <is>
          <t>bank</t>
        </is>
      </c>
      <c r="F17" s="31" t="inlineStr">
        <is>
          <t>banks - private sector</t>
        </is>
      </c>
      <c r="G17" s="31" t="inlineStr">
        <is>
          <t>largecap</t>
        </is>
      </c>
      <c r="H17" s="32" t="n">
        <v>84528.98</v>
      </c>
      <c r="I17" s="32" t="n">
        <v>1113.5</v>
      </c>
      <c r="J17" s="32" t="n">
        <v>-1.34</v>
      </c>
      <c r="K17" s="32" t="n">
        <v>594040</v>
      </c>
      <c r="L17" s="31" t="n">
        <v>47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64.29000000000001</v>
      </c>
      <c r="P17" s="32" t="n">
        <v>25.05</v>
      </c>
      <c r="Q17" s="32" t="n">
        <v>937.33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7.69</v>
      </c>
      <c r="U17" s="32" t="n">
        <v>55.22</v>
      </c>
      <c r="V17" s="32" t="n">
        <v>44.13</v>
      </c>
      <c r="W17" s="32" t="n">
        <v>12.5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between 2.5x to 5x and Growth more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IF(B18=0,"",RANK(B18,$B$2:$B$47,0))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SHRIRAMFIN</t>
        </is>
      </c>
      <c r="D18" s="31" t="inlineStr">
        <is>
          <t>Shriram Finance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largecap</t>
        </is>
      </c>
      <c r="H18" s="32" t="n">
        <v>267879.39</v>
      </c>
      <c r="I18" s="32" t="n">
        <v>1117.5</v>
      </c>
      <c r="J18" s="32" t="n">
        <v>-1.84</v>
      </c>
      <c r="K18" s="32" t="n">
        <v>3687302</v>
      </c>
      <c r="L18" s="31" t="n">
        <v>71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63.76</v>
      </c>
      <c r="P18" s="32" t="n">
        <v>20.24</v>
      </c>
      <c r="Q18" s="32" t="n">
        <v>933.66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7.69</v>
      </c>
      <c r="U18" s="32" t="n">
        <v>94.86</v>
      </c>
      <c r="V18" s="32" t="n">
        <v>80.94</v>
      </c>
      <c r="W18" s="32" t="n">
        <v>19.89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between 2.5x to 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IF(B19=0,"",RANK(B19,$B$2:$B$47,0))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IFCI</t>
        </is>
      </c>
      <c r="D19" s="31" t="inlineStr">
        <is>
          <t>Ifci Limited</t>
        </is>
      </c>
      <c r="E19" s="31" t="inlineStr">
        <is>
          <t>financials</t>
        </is>
      </c>
      <c r="F19" s="31" t="inlineStr">
        <is>
          <t>finance - term-lending institutions</t>
        </is>
      </c>
      <c r="G19" s="31" t="inlineStr">
        <is>
          <t>largecap</t>
        </is>
      </c>
      <c r="H19" s="32" t="n">
        <v>22430.17</v>
      </c>
      <c r="I19" s="32" t="n">
        <v>85.44</v>
      </c>
      <c r="J19" s="32" t="n">
        <v>2.63</v>
      </c>
      <c r="K19" s="32" t="n">
        <v>61000099</v>
      </c>
      <c r="L19" s="31" t="n">
        <v>63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65.09</v>
      </c>
      <c r="P19" s="32" t="n">
        <v>45.1</v>
      </c>
      <c r="Q19" s="32" t="n">
        <v>63.83</v>
      </c>
      <c r="R19" s="31" t="inlineStr">
        <is>
          <t>Near 52W High Breakout</t>
        </is>
      </c>
      <c r="S19" s="31" t="inlineStr">
        <is>
          <t>Nifty Bank</t>
        </is>
      </c>
      <c r="T19" s="32" t="n">
        <v>7.69</v>
      </c>
      <c r="U19" s="32" t="n">
        <v>67.27</v>
      </c>
      <c r="V19" s="32" t="n">
        <v>55.32</v>
      </c>
      <c r="W19" s="32" t="n">
        <v>16.22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between 2.5x to 5x and Growth less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Above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Blue sky scenario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IF(B20=0,"",RANK(B20,$B$2:$B$47,0))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ANANDRATHI</t>
        </is>
      </c>
      <c r="D20" s="31" t="inlineStr">
        <is>
          <t>Anand Rathi Wealth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largecap</t>
        </is>
      </c>
      <c r="H20" s="32" t="n">
        <v>35937.97</v>
      </c>
      <c r="I20" s="32" t="n">
        <v>2179.3</v>
      </c>
      <c r="J20" s="32" t="n">
        <v>0.6899999999999999</v>
      </c>
      <c r="K20" s="32" t="n">
        <v>97204</v>
      </c>
      <c r="L20" s="31" t="n">
        <v>59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74.56</v>
      </c>
      <c r="P20" s="32" t="n">
        <v>54.63</v>
      </c>
      <c r="Q20" s="32" t="n">
        <v>1892.58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7.69</v>
      </c>
      <c r="U20" s="32" t="n">
        <v>56.62</v>
      </c>
      <c r="V20" s="32" t="n">
        <v>45.43</v>
      </c>
      <c r="W20" s="32" t="n">
        <v>15.02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above 5x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Above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IF(B21=0,"",RANK(B21,$B$2:$B$47,0))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UNIONBANK</t>
        </is>
      </c>
      <c r="D21" s="31" t="inlineStr">
        <is>
          <t>Union Bank Of India Ltd</t>
        </is>
      </c>
      <c r="E21" s="31" t="inlineStr">
        <is>
          <t>bank</t>
        </is>
      </c>
      <c r="F21" s="31" t="inlineStr">
        <is>
          <t>banks - public sector</t>
        </is>
      </c>
      <c r="G21" s="31" t="inlineStr">
        <is>
          <t>largecap</t>
        </is>
      </c>
      <c r="H21" s="32" t="n">
        <v>142733.16</v>
      </c>
      <c r="I21" s="32" t="n">
        <v>187.52</v>
      </c>
      <c r="J21" s="32" t="n">
        <v>0.29</v>
      </c>
      <c r="K21" s="32" t="n">
        <v>13851903</v>
      </c>
      <c r="L21" s="31" t="n">
        <v>51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63.88</v>
      </c>
      <c r="P21" s="32" t="n">
        <v>20.78</v>
      </c>
      <c r="Q21" s="32" t="n">
        <v>155.23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7.69</v>
      </c>
      <c r="U21" s="32" t="n">
        <v>54.67</v>
      </c>
      <c r="V21" s="32" t="n">
        <v>43.62</v>
      </c>
      <c r="W21" s="32" t="n">
        <v>13.55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less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Blue sky scenario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IF(B22=0,"",RANK(B22,$B$2:$B$47,0))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STEL</t>
        </is>
      </c>
      <c r="D22" s="31" t="inlineStr">
        <is>
          <t>Stel Holdings Limited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smallcap</t>
        </is>
      </c>
      <c r="H22" s="32" t="n">
        <v>1132.05</v>
      </c>
      <c r="I22" s="32" t="n">
        <v>615</v>
      </c>
      <c r="J22" s="32" t="n">
        <v>0.26</v>
      </c>
      <c r="K22" s="32" t="n">
        <v>7002</v>
      </c>
      <c r="L22" s="31" t="n">
        <v>60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66</v>
      </c>
      <c r="P22" s="32" t="n">
        <v>21.96</v>
      </c>
      <c r="Q22" s="32" t="n">
        <v>469.15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7.69</v>
      </c>
      <c r="U22" s="32" t="n">
        <v>34.41</v>
      </c>
      <c r="V22" s="32" t="n">
        <v>24.81</v>
      </c>
      <c r="W22" s="32" t="n">
        <v>15.41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less than 2.5x and Growth less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IF(B23=0,"",RANK(B23,$B$2:$B$47,0))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PNBHOUSING</t>
        </is>
      </c>
      <c r="D23" s="31" t="inlineStr">
        <is>
          <t>Pnb Housing Finance Limited</t>
        </is>
      </c>
      <c r="E23" s="31" t="inlineStr">
        <is>
          <t>financials</t>
        </is>
      </c>
      <c r="F23" s="31" t="inlineStr">
        <is>
          <t>finance - housing</t>
        </is>
      </c>
      <c r="G23" s="31" t="inlineStr">
        <is>
          <t>largecap</t>
        </is>
      </c>
      <c r="H23" s="32" t="n">
        <v>30801.73</v>
      </c>
      <c r="I23" s="32" t="n">
        <v>1185</v>
      </c>
      <c r="J23" s="32" t="n">
        <v>0.25</v>
      </c>
      <c r="K23" s="32" t="n">
        <v>898000</v>
      </c>
      <c r="L23" s="31" t="n">
        <v>52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70.28</v>
      </c>
      <c r="P23" s="32" t="n">
        <v>34.5</v>
      </c>
      <c r="Q23" s="32" t="n">
        <v>983.63</v>
      </c>
      <c r="R23" s="31" t="inlineStr">
        <is>
          <t>Near 52W High Breakout</t>
        </is>
      </c>
      <c r="S23" s="31" t="inlineStr">
        <is>
          <t>Nifty Bank</t>
        </is>
      </c>
      <c r="T23" s="32" t="n">
        <v>7.69</v>
      </c>
      <c r="U23" s="32" t="n">
        <v>58.47</v>
      </c>
      <c r="V23" s="32" t="n">
        <v>47.15</v>
      </c>
      <c r="W23" s="32" t="n">
        <v>13.59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Blue sky scenario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IF(B24=0,"",RANK(B24,$B$2:$B$47,0))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OFSS</t>
        </is>
      </c>
      <c r="D24" s="31" t="inlineStr">
        <is>
          <t>Oracle Financial Services Software Limited</t>
        </is>
      </c>
      <c r="E24" s="31" t="inlineStr">
        <is>
          <t>i.t</t>
        </is>
      </c>
      <c r="F24" s="31" t="inlineStr">
        <is>
          <t>computers - software - large</t>
        </is>
      </c>
      <c r="G24" s="31" t="inlineStr">
        <is>
          <t>largecap</t>
        </is>
      </c>
      <c r="H24" s="32" t="n">
        <v>102126.91</v>
      </c>
      <c r="I24" s="32" t="n">
        <v>11800</v>
      </c>
      <c r="J24" s="32" t="n">
        <v>0.61</v>
      </c>
      <c r="K24" s="32" t="n">
        <v>290056</v>
      </c>
      <c r="L24" s="31" t="n">
        <v>54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68.36</v>
      </c>
      <c r="P24" s="32" t="n">
        <v>29.24</v>
      </c>
      <c r="Q24" s="32" t="n">
        <v>9501.66</v>
      </c>
      <c r="R24" s="31" t="inlineStr">
        <is>
          <t>Near 52W High Breakout</t>
        </is>
      </c>
      <c r="S24" s="31" t="inlineStr">
        <is>
          <t>Nifty IT</t>
        </is>
      </c>
      <c r="T24" s="32" t="n">
        <v>-13.82</v>
      </c>
      <c r="U24" s="32" t="n">
        <v>48.63</v>
      </c>
      <c r="V24" s="32" t="n">
        <v>72.45999999999999</v>
      </c>
      <c r="W24" s="32" t="n">
        <v>13.9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above 5x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Blue sky scenario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IF(B25=0,"",RANK(B25,$B$2:$B$47,0))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MCX</t>
        </is>
      </c>
      <c r="D25" s="31" t="inlineStr">
        <is>
          <t>Multi Commodity Exchange Of India Limited</t>
        </is>
      </c>
      <c r="E25" s="31" t="inlineStr">
        <is>
          <t>financials</t>
        </is>
      </c>
      <c r="F25" s="31" t="inlineStr">
        <is>
          <t>miscellaneous</t>
        </is>
      </c>
      <c r="G25" s="31" t="inlineStr">
        <is>
          <t>largecap</t>
        </is>
      </c>
      <c r="H25" s="32" t="n">
        <v>83637.33</v>
      </c>
      <c r="I25" s="32" t="n">
        <v>3350</v>
      </c>
      <c r="J25" s="32" t="n">
        <v>2.13</v>
      </c>
      <c r="K25" s="32" t="n">
        <v>2302290</v>
      </c>
      <c r="L25" s="31" t="n">
        <v>73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69.93000000000001</v>
      </c>
      <c r="P25" s="32" t="n">
        <v>20.99</v>
      </c>
      <c r="Q25" s="32" t="n">
        <v>2678.02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7.69</v>
      </c>
      <c r="U25" s="32" t="n">
        <v>126.66</v>
      </c>
      <c r="V25" s="32" t="n">
        <v>110.47</v>
      </c>
      <c r="W25" s="32" t="n">
        <v>21.06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above 5x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Blue sky scenario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IF(B26=0,"",RANK(B26,$B$2:$B$47,0))</f>
        <v/>
      </c>
      <c r="B26" s="32">
        <f>SUM(N26,Y26,AA26,AC26,AE26,AG26,AI26,AK26,AM26,AO26,AQ26,AS26,AU26,AW26,AY26,BA26,BC26,BE26,BG26,BI26,BK26,BM26,BO26,BQ26,BS26,BU26,BW26,BY26,CA26)</f>
        <v/>
      </c>
      <c r="C26" s="33" t="inlineStr">
        <is>
          <t>INDOSTAR</t>
        </is>
      </c>
      <c r="D26" s="33" t="inlineStr">
        <is>
          <t>Indostar Capital Finance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smallcap</t>
        </is>
      </c>
      <c r="H26" s="32" t="n">
        <v>4161.62</v>
      </c>
      <c r="I26" s="32" t="n">
        <v>259.5</v>
      </c>
      <c r="J26" s="32" t="n">
        <v>0.76</v>
      </c>
      <c r="K26" s="32" t="n">
        <v>88759</v>
      </c>
      <c r="L26" s="31" t="n">
        <v>7</v>
      </c>
      <c r="M26" s="31" t="inlineStr">
        <is>
          <t>Underperforming</t>
        </is>
      </c>
      <c r="N26" s="32">
        <f>IF(M26="Underperforming",-5,IF(L26&gt;=95,15,IF(L26&gt;=90,10,IF(L26&gt;=80,5,0))))</f>
        <v/>
      </c>
      <c r="O26" s="32" t="n">
        <v>56.43</v>
      </c>
      <c r="P26" s="32" t="n">
        <v>20.55</v>
      </c>
      <c r="Q26" s="32" t="n">
        <v>197.49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7.69</v>
      </c>
      <c r="U26" s="32" t="n">
        <v>0.6</v>
      </c>
      <c r="V26" s="32" t="n">
        <v>-6.59</v>
      </c>
      <c r="W26" s="32" t="n">
        <v>2.32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less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20 to 40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IF(B27=0,"",RANK(B27,$B$2:$B$47,0))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PRUDENT</t>
        </is>
      </c>
      <c r="D27" s="31" t="inlineStr">
        <is>
          <t>Prudent Corporate Advisory Services Ltd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midcap</t>
        </is>
      </c>
      <c r="H27" s="32" t="n">
        <v>13813.27</v>
      </c>
      <c r="I27" s="32" t="n">
        <v>3343</v>
      </c>
      <c r="J27" s="32" t="n">
        <v>0.21</v>
      </c>
      <c r="K27" s="32" t="n">
        <v>17193</v>
      </c>
      <c r="L27" s="31" t="n">
        <v>34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67.03</v>
      </c>
      <c r="P27" s="32" t="n">
        <v>31.57</v>
      </c>
      <c r="Q27" s="32" t="n">
        <v>2732.15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7.69</v>
      </c>
      <c r="U27" s="32" t="n">
        <v>19.49</v>
      </c>
      <c r="V27" s="32" t="n">
        <v>10.95</v>
      </c>
      <c r="W27" s="32" t="n">
        <v>9.050000000000001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above 5x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20 to 40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Blue sky scenario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IF(B28=0,"",RANK(B28,$B$2:$B$47,0))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NAM-INDIA</t>
        </is>
      </c>
      <c r="D28" s="31" t="inlineStr">
        <is>
          <t>Nippon Life India Asset Management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largecap</t>
        </is>
      </c>
      <c r="H28" s="32" t="n">
        <v>78275.39</v>
      </c>
      <c r="I28" s="32" t="n">
        <v>1223</v>
      </c>
      <c r="J28" s="32" t="n">
        <v>-0.11</v>
      </c>
      <c r="K28" s="32" t="n">
        <v>449394</v>
      </c>
      <c r="L28" s="31" t="n">
        <v>46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63.89</v>
      </c>
      <c r="P28" s="32" t="n">
        <v>39.78</v>
      </c>
      <c r="Q28" s="32" t="n">
        <v>1020</v>
      </c>
      <c r="R28" s="31" t="inlineStr">
        <is>
          <t>Near 52W High Breakout</t>
        </is>
      </c>
      <c r="S28" s="31" t="inlineStr">
        <is>
          <t>Nifty Bank</t>
        </is>
      </c>
      <c r="T28" s="32" t="n">
        <v>7.69</v>
      </c>
      <c r="U28" s="32" t="n">
        <v>59.17</v>
      </c>
      <c r="V28" s="32" t="n">
        <v>47.8</v>
      </c>
      <c r="W28" s="32" t="n">
        <v>12.4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above 5x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Blue sky scenario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IF(B29=0,"",RANK(B29,$B$2:$B$47,0))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EDELWEISS</t>
        </is>
      </c>
      <c r="D29" s="31" t="inlineStr">
        <is>
          <t>Edelweiss Financial Services Limited</t>
        </is>
      </c>
      <c r="E29" s="31" t="inlineStr">
        <is>
          <t>financials</t>
        </is>
      </c>
      <c r="F29" s="31" t="inlineStr">
        <is>
          <t>finance &amp; investments</t>
        </is>
      </c>
      <c r="G29" s="31" t="inlineStr">
        <is>
          <t>midcap</t>
        </is>
      </c>
      <c r="H29" s="32" t="n">
        <v>12129.8</v>
      </c>
      <c r="I29" s="32" t="n">
        <v>127.47</v>
      </c>
      <c r="J29" s="32" t="n">
        <v>-0.53</v>
      </c>
      <c r="K29" s="32" t="n">
        <v>2310477</v>
      </c>
      <c r="L29" s="31" t="n">
        <v>23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59.44</v>
      </c>
      <c r="P29" s="32" t="n">
        <v>12.46</v>
      </c>
      <c r="Q29" s="32" t="n">
        <v>98.20999999999999</v>
      </c>
      <c r="R29" s="31" t="inlineStr">
        <is>
          <t>Near 52W High Breakout</t>
        </is>
      </c>
      <c r="S29" s="31" t="inlineStr">
        <is>
          <t>Nifty Bank</t>
        </is>
      </c>
      <c r="T29" s="32" t="n">
        <v>7.69</v>
      </c>
      <c r="U29" s="32" t="n">
        <v>20.52</v>
      </c>
      <c r="V29" s="32" t="n">
        <v>11.91</v>
      </c>
      <c r="W29" s="32" t="n">
        <v>6.52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between 2.5x to 5x and Growth more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0 to 20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IF(B30=0,"",RANK(B30,$B$2:$B$47,0))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MANAPPURAM</t>
        </is>
      </c>
      <c r="D30" s="31" t="inlineStr">
        <is>
          <t>Manappuram Finance Limited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largecap</t>
        </is>
      </c>
      <c r="H30" s="32" t="n">
        <v>34515.91</v>
      </c>
      <c r="I30" s="32" t="n">
        <v>365.4</v>
      </c>
      <c r="J30" s="32" t="n">
        <v>-0.5600000000000001</v>
      </c>
      <c r="K30" s="32" t="n">
        <v>3974025</v>
      </c>
      <c r="L30" s="31" t="n">
        <v>37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64.22</v>
      </c>
      <c r="P30" s="32" t="n">
        <v>20.54</v>
      </c>
      <c r="Q30" s="32" t="n">
        <v>302.29</v>
      </c>
      <c r="R30" s="31" t="inlineStr">
        <is>
          <t>Near 52W High Breakout</t>
        </is>
      </c>
      <c r="S30" s="31" t="inlineStr">
        <is>
          <t>Nifty Bank</t>
        </is>
      </c>
      <c r="T30" s="32" t="n">
        <v>7.69</v>
      </c>
      <c r="U30" s="32" t="n">
        <v>40.88</v>
      </c>
      <c r="V30" s="32" t="n">
        <v>30.81</v>
      </c>
      <c r="W30" s="32" t="n">
        <v>9.81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20 to 40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Negative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Blue sky scenario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IF(B31=0,"",RANK(B31,$B$2:$B$47,0))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GEOJITFSL</t>
        </is>
      </c>
      <c r="D31" s="31" t="inlineStr">
        <is>
          <t>Geojit Financial Services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smallcap</t>
        </is>
      </c>
      <c r="H31" s="32" t="n">
        <v>2250.56</v>
      </c>
      <c r="I31" s="32" t="n">
        <v>81.39</v>
      </c>
      <c r="J31" s="32" t="n">
        <v>0.9399999999999999</v>
      </c>
      <c r="K31" s="32" t="n">
        <v>211740</v>
      </c>
      <c r="L31" s="31" t="n">
        <v>21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63.09</v>
      </c>
      <c r="P31" s="32" t="n">
        <v>13.48</v>
      </c>
      <c r="Q31" s="32" t="n">
        <v>63.88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7.69</v>
      </c>
      <c r="U31" s="32" t="n">
        <v>15.61</v>
      </c>
      <c r="V31" s="32" t="n">
        <v>7.36</v>
      </c>
      <c r="W31" s="32" t="n">
        <v>6.13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less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IF(B32=0,"",RANK(B32,$B$2:$B$47,0))</f>
        <v/>
      </c>
      <c r="B32" s="32">
        <f>SUM(N32,Y32,AA32,AC32,AE32,AG32,AI32,AK32,AM32,AO32,AQ32,AS32,AU32,AW32,AY32,BA32,BC32,BE32,BG32,BI32,BK32,BM32,BO32,BQ32,BS32,BU32,BW32,BY32,CA32)</f>
        <v/>
      </c>
      <c r="C32" s="33" t="inlineStr">
        <is>
          <t>NIACL</t>
        </is>
      </c>
      <c r="D32" s="33" t="inlineStr">
        <is>
          <t>New India Assurance Company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largecap</t>
        </is>
      </c>
      <c r="H32" s="32" t="n">
        <v>30865.39</v>
      </c>
      <c r="I32" s="32" t="n">
        <v>187.2</v>
      </c>
      <c r="J32" s="32" t="n">
        <v>-0.05</v>
      </c>
      <c r="K32" s="32" t="n">
        <v>1599083</v>
      </c>
      <c r="L32" s="31" t="n">
        <v>16</v>
      </c>
      <c r="M32" s="31" t="inlineStr">
        <is>
          <t>Underperforming</t>
        </is>
      </c>
      <c r="N32" s="32">
        <f>IF(M32="Underperforming",-5,IF(L32&gt;=95,15,IF(L32&gt;=90,10,IF(L32&gt;=80,5,0))))</f>
        <v/>
      </c>
      <c r="O32" s="32" t="n">
        <v>60.69</v>
      </c>
      <c r="P32" s="32" t="n">
        <v>26.49</v>
      </c>
      <c r="Q32" s="32" t="n">
        <v>156.71</v>
      </c>
      <c r="R32" s="31" t="inlineStr">
        <is>
          <t>Earnings / Momentum Support</t>
        </is>
      </c>
      <c r="S32" s="31" t="inlineStr">
        <is>
          <t>Nifty Bank</t>
        </is>
      </c>
      <c r="T32" s="32" t="n">
        <v>7.69</v>
      </c>
      <c r="U32" s="32" t="n">
        <v>1.11</v>
      </c>
      <c r="V32" s="32" t="n">
        <v>-6.12</v>
      </c>
      <c r="W32" s="32" t="n">
        <v>4.86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No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less than 2.5x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20 to 40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IF(B33=0,"",RANK(B33,$B$2:$B$47,0))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MOTILALOFS</t>
        </is>
      </c>
      <c r="D33" s="31" t="inlineStr">
        <is>
          <t>Motilal Oswal Financial Services Limited</t>
        </is>
      </c>
      <c r="E33" s="31" t="inlineStr">
        <is>
          <t>financials</t>
        </is>
      </c>
      <c r="F33" s="31" t="inlineStr">
        <is>
          <t>finance &amp; investments</t>
        </is>
      </c>
      <c r="G33" s="31" t="inlineStr">
        <is>
          <t>largecap</t>
        </is>
      </c>
      <c r="H33" s="32" t="n">
        <v>60907.14</v>
      </c>
      <c r="I33" s="32" t="n">
        <v>1040</v>
      </c>
      <c r="J33" s="32" t="n">
        <v>2.82</v>
      </c>
      <c r="K33" s="32" t="n">
        <v>1934495</v>
      </c>
      <c r="L33" s="31" t="n">
        <v>35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65.91</v>
      </c>
      <c r="P33" s="32" t="n">
        <v>16.92</v>
      </c>
      <c r="Q33" s="32" t="n">
        <v>846.04</v>
      </c>
      <c r="R33" s="31" t="inlineStr">
        <is>
          <t>Near 52W High Breakout</t>
        </is>
      </c>
      <c r="S33" s="31" t="inlineStr">
        <is>
          <t>Nifty Bank</t>
        </is>
      </c>
      <c r="T33" s="32" t="n">
        <v>7.69</v>
      </c>
      <c r="U33" s="32" t="n">
        <v>22.29</v>
      </c>
      <c r="V33" s="32" t="n">
        <v>13.55</v>
      </c>
      <c r="W33" s="32" t="n">
        <v>9.18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between 2.5x to 5x and Growth less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Blue sky scenario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IF(B34=0,"",RANK(B34,$B$2:$B$47,0))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BANKINDIA</t>
        </is>
      </c>
      <c r="D34" s="31" t="inlineStr">
        <is>
          <t>Bank Of India Ltd</t>
        </is>
      </c>
      <c r="E34" s="31" t="inlineStr">
        <is>
          <t>bank</t>
        </is>
      </c>
      <c r="F34" s="31" t="inlineStr">
        <is>
          <t>banks - public sector</t>
        </is>
      </c>
      <c r="G34" s="31" t="inlineStr">
        <is>
          <t>largecap</t>
        </is>
      </c>
      <c r="H34" s="32" t="n">
        <v>65553.86</v>
      </c>
      <c r="I34" s="32" t="n">
        <v>145.95</v>
      </c>
      <c r="J34" s="32" t="n">
        <v>1.36</v>
      </c>
      <c r="K34" s="32" t="n">
        <v>10182362</v>
      </c>
      <c r="L34" s="31" t="n">
        <v>33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54.29</v>
      </c>
      <c r="P34" s="32" t="n">
        <v>6.66</v>
      </c>
      <c r="Q34" s="32" t="n">
        <v>121.92</v>
      </c>
      <c r="R34" s="31" t="inlineStr">
        <is>
          <t>Earnings / Momentum Support</t>
        </is>
      </c>
      <c r="S34" s="31" t="inlineStr">
        <is>
          <t>Nifty Bank</t>
        </is>
      </c>
      <c r="T34" s="32" t="n">
        <v>7.69</v>
      </c>
      <c r="U34" s="32" t="n">
        <v>36.66</v>
      </c>
      <c r="V34" s="32" t="n">
        <v>26.89</v>
      </c>
      <c r="W34" s="32" t="n">
        <v>8.75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Headwind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less than 2.5x and Growth more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IF(B35=0,"",RANK(B35,$B$2:$B$47,0))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INDIANB</t>
        </is>
      </c>
      <c r="D35" s="31" t="inlineStr">
        <is>
          <t>Indian Bank Ltd</t>
        </is>
      </c>
      <c r="E35" s="31" t="inlineStr">
        <is>
          <t>bank</t>
        </is>
      </c>
      <c r="F35" s="31" t="inlineStr">
        <is>
          <t>banks - public sector</t>
        </is>
      </c>
      <c r="G35" s="31" t="inlineStr">
        <is>
          <t>largecap</t>
        </is>
      </c>
      <c r="H35" s="32" t="n">
        <v>118263.44</v>
      </c>
      <c r="I35" s="32" t="n">
        <v>889</v>
      </c>
      <c r="J35" s="32" t="n">
        <v>1.25</v>
      </c>
      <c r="K35" s="32" t="n">
        <v>959313</v>
      </c>
      <c r="L35" s="31" t="n">
        <v>38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55.82</v>
      </c>
      <c r="P35" s="32" t="n">
        <v>11.15</v>
      </c>
      <c r="Q35" s="32" t="n">
        <v>736.35</v>
      </c>
      <c r="R35" s="31" t="inlineStr">
        <is>
          <t>Earnings / Momentum Support</t>
        </is>
      </c>
      <c r="S35" s="31" t="inlineStr">
        <is>
          <t>Nifty Bank</t>
        </is>
      </c>
      <c r="T35" s="32" t="n">
        <v>7.69</v>
      </c>
      <c r="U35" s="32" t="n">
        <v>39.02</v>
      </c>
      <c r="V35" s="32" t="n">
        <v>29.09</v>
      </c>
      <c r="W35" s="32" t="n">
        <v>9.83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less than 2.5x and Growth more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IF(B36=0,"",RANK(B36,$B$2:$B$47,0))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PNB</t>
        </is>
      </c>
      <c r="D36" s="31" t="inlineStr">
        <is>
          <t>Punjab National Bank Ltd</t>
        </is>
      </c>
      <c r="E36" s="31" t="inlineStr">
        <is>
          <t>bank</t>
        </is>
      </c>
      <c r="F36" s="31" t="inlineStr">
        <is>
          <t>banks - public sector</t>
        </is>
      </c>
      <c r="G36" s="31" t="inlineStr">
        <is>
          <t>largecap</t>
        </is>
      </c>
      <c r="H36" s="32" t="n">
        <v>133237.69</v>
      </c>
      <c r="I36" s="32" t="n">
        <v>116.7</v>
      </c>
      <c r="J36" s="32" t="n">
        <v>0.66</v>
      </c>
      <c r="K36" s="32" t="n">
        <v>7613332</v>
      </c>
      <c r="L36" s="31" t="n">
        <v>25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59.34</v>
      </c>
      <c r="P36" s="32" t="n">
        <v>9.49</v>
      </c>
      <c r="Q36" s="32" t="n">
        <v>101.96</v>
      </c>
      <c r="R36" s="31" t="inlineStr">
        <is>
          <t>Earnings / Momentum Support</t>
        </is>
      </c>
      <c r="S36" s="31" t="inlineStr">
        <is>
          <t>Nifty Bank</t>
        </is>
      </c>
      <c r="T36" s="32" t="n">
        <v>7.69</v>
      </c>
      <c r="U36" s="32" t="n">
        <v>19.05</v>
      </c>
      <c r="V36" s="32" t="n">
        <v>10.54</v>
      </c>
      <c r="W36" s="32" t="n">
        <v>7.16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less than 2.5x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IF(B37=0,"",RANK(B37,$B$2:$B$47,0))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360ONE</t>
        </is>
      </c>
      <c r="D37" s="31" t="inlineStr">
        <is>
          <t>360 ONE WAM Ltd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largecap</t>
        </is>
      </c>
      <c r="H37" s="32" t="n">
        <v>49208.89</v>
      </c>
      <c r="I37" s="32" t="n">
        <v>1197.2</v>
      </c>
      <c r="J37" s="32" t="n">
        <v>-1.06</v>
      </c>
      <c r="K37" s="32" t="n">
        <v>319024</v>
      </c>
      <c r="L37" s="31" t="n">
        <v>19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60.46</v>
      </c>
      <c r="P37" s="32" t="n">
        <v>16.39</v>
      </c>
      <c r="Q37" s="32" t="n">
        <v>991.49</v>
      </c>
      <c r="R37" s="31" t="inlineStr">
        <is>
          <t>Near 52W High Breakout</t>
        </is>
      </c>
      <c r="S37" s="31" t="inlineStr">
        <is>
          <t>Nifty Bank</t>
        </is>
      </c>
      <c r="T37" s="32" t="n">
        <v>7.69</v>
      </c>
      <c r="U37" s="32" t="n">
        <v>18.88</v>
      </c>
      <c r="V37" s="32" t="n">
        <v>10.38</v>
      </c>
      <c r="W37" s="32" t="n">
        <v>5.51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between 2.5x to 5x and Growth less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IF(B38=0,"",RANK(B38,$B$2:$B$47,0))</f>
        <v/>
      </c>
      <c r="B38" s="32">
        <f>SUM(N38,Y38,AA38,AC38,AE38,AG38,AI38,AK38,AM38,AO38,AQ38,AS38,AU38,AW38,AY38,BA38,BC38,BE38,BG38,BI38,BK38,BM38,BO38,BQ38,BS38,BU38,BW38,BY38,CA38)</f>
        <v/>
      </c>
      <c r="C38" s="33" t="inlineStr">
        <is>
          <t>BAJAJHLDNG</t>
        </is>
      </c>
      <c r="D38" s="33" t="inlineStr">
        <is>
          <t>Bajaj Holdings &amp; Investment Limited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largecap</t>
        </is>
      </c>
      <c r="H38" s="32" t="n">
        <v>125650.37</v>
      </c>
      <c r="I38" s="32" t="n">
        <v>11540</v>
      </c>
      <c r="J38" s="32" t="n">
        <v>2.21</v>
      </c>
      <c r="K38" s="32" t="n">
        <v>32638</v>
      </c>
      <c r="L38" s="31" t="n">
        <v>3</v>
      </c>
      <c r="M38" s="31" t="inlineStr">
        <is>
          <t>Underperforming</t>
        </is>
      </c>
      <c r="N38" s="32">
        <f>IF(M38="Underperforming",-5,IF(L38&gt;=95,15,IF(L38&gt;=90,10,IF(L38&gt;=80,5,0))))</f>
        <v/>
      </c>
      <c r="O38" s="32" t="n">
        <v>60.03</v>
      </c>
      <c r="P38" s="32" t="n">
        <v>14.91</v>
      </c>
      <c r="Q38" s="32" t="n">
        <v>9705.09</v>
      </c>
      <c r="R38" s="31" t="inlineStr">
        <is>
          <t>Earnings / Momentum Support</t>
        </is>
      </c>
      <c r="S38" s="31" t="inlineStr">
        <is>
          <t>Nifty Bank</t>
        </is>
      </c>
      <c r="T38" s="32" t="n">
        <v>7.69</v>
      </c>
      <c r="U38" s="32" t="n">
        <v>-8.06</v>
      </c>
      <c r="V38" s="32" t="n">
        <v>-14.62</v>
      </c>
      <c r="W38" s="32" t="n">
        <v>1.17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less than 2.5x and Growth less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IF(B39=0,"",RANK(B39,$B$2:$B$47,0))</f>
        <v/>
      </c>
      <c r="B39" s="32">
        <f>SUM(N39,Y39,AA39,AC39,AE39,AG39,AI39,AK39,AM39,AO39,AQ39,AS39,AU39,AW39,AY39,BA39,BC39,BE39,BG39,BI39,BK39,BM39,BO39,BQ39,BS39,BU39,BW39,BY39,CA39)</f>
        <v/>
      </c>
      <c r="C39" s="33" t="inlineStr">
        <is>
          <t>SBFC</t>
        </is>
      </c>
      <c r="D39" s="33" t="inlineStr">
        <is>
          <t>SBFC Finance Ltd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midcap</t>
        </is>
      </c>
      <c r="H39" s="32" t="n">
        <v>10272.48</v>
      </c>
      <c r="I39" s="32" t="n">
        <v>101.14</v>
      </c>
      <c r="J39" s="32" t="n">
        <v>9.02</v>
      </c>
      <c r="K39" s="32" t="n">
        <v>19087017</v>
      </c>
      <c r="L39" s="31" t="n">
        <v>2</v>
      </c>
      <c r="M39" s="31" t="inlineStr">
        <is>
          <t>Underperforming</t>
        </is>
      </c>
      <c r="N39" s="32">
        <f>IF(M39="Underperforming",-5,IF(L39&gt;=95,15,IF(L39&gt;=90,10,IF(L39&gt;=80,5,0))))</f>
        <v/>
      </c>
      <c r="O39" s="32" t="n">
        <v>58.41</v>
      </c>
      <c r="P39" s="32" t="n">
        <v>11.01</v>
      </c>
      <c r="Q39" s="32" t="n">
        <v>82.53</v>
      </c>
      <c r="R39" s="31" t="inlineStr">
        <is>
          <t>Volume Spike / Accumulation</t>
        </is>
      </c>
      <c r="S39" s="31" t="inlineStr">
        <is>
          <t>Nifty Bank</t>
        </is>
      </c>
      <c r="T39" s="32" t="n">
        <v>7.69</v>
      </c>
      <c r="U39" s="32" t="n">
        <v>-4.22</v>
      </c>
      <c r="V39" s="32" t="n">
        <v>-11.07</v>
      </c>
      <c r="W39" s="32" t="n">
        <v>0.87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between 2.5x to 5x and Growth more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1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IF(B40=0,"",RANK(B40,$B$2:$B$47,0))</f>
        <v/>
      </c>
      <c r="B40" s="32">
        <f>SUM(N40,Y40,AA40,AC40,AE40,AG40,AI40,AK40,AM40,AO40,AQ40,AS40,AU40,AW40,AY40,BA40,BC40,BE40,BG40,BI40,BK40,BM40,BO40,BQ40,BS40,BU40,BW40,BY40,CA40)</f>
        <v/>
      </c>
      <c r="C40" s="33" t="inlineStr">
        <is>
          <t>KOTAKBANK</t>
        </is>
      </c>
      <c r="D40" s="33" t="inlineStr">
        <is>
          <t>Kotak Mahindra Bank Limited</t>
        </is>
      </c>
      <c r="E40" s="31" t="inlineStr">
        <is>
          <t>bank</t>
        </is>
      </c>
      <c r="F40" s="31" t="inlineStr">
        <is>
          <t>banks - private sector</t>
        </is>
      </c>
      <c r="G40" s="31" t="inlineStr">
        <is>
          <t>largecap</t>
        </is>
      </c>
      <c r="H40" s="32" t="n">
        <v>399459.84</v>
      </c>
      <c r="I40" s="32" t="n">
        <v>416.7</v>
      </c>
      <c r="J40" s="32" t="n">
        <v>3.76</v>
      </c>
      <c r="K40" s="32" t="n">
        <v>19852974</v>
      </c>
      <c r="L40" s="31" t="n">
        <v>10</v>
      </c>
      <c r="M40" s="31" t="inlineStr">
        <is>
          <t>Underperforming</t>
        </is>
      </c>
      <c r="N40" s="32">
        <f>IF(M40="Underperforming",-5,IF(L40&gt;=95,15,IF(L40&gt;=90,10,IF(L40&gt;=80,5,0))))</f>
        <v/>
      </c>
      <c r="O40" s="32" t="n">
        <v>59.74</v>
      </c>
      <c r="P40" s="32" t="n">
        <v>9.69</v>
      </c>
      <c r="Q40" s="32" t="n">
        <v>365.3</v>
      </c>
      <c r="R40" s="31" t="inlineStr">
        <is>
          <t>Earnings / Momentum Support</t>
        </is>
      </c>
      <c r="S40" s="31" t="inlineStr">
        <is>
          <t>Nifty Bank</t>
        </is>
      </c>
      <c r="T40" s="32" t="n">
        <v>7.69</v>
      </c>
      <c r="U40" s="32" t="n">
        <v>6.47</v>
      </c>
      <c r="V40" s="32" t="n">
        <v>-1.14</v>
      </c>
      <c r="W40" s="32" t="n">
        <v>3.18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less than 2.5x and Growth more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1</t>
        </is>
      </c>
      <c r="BQ40" s="31">
        <f>IF(BP40="Stage 2",20,IF(BP40="Stage 1",0,IF(BP40="Stage 3",5,IF(BP40="Stage 4",-5,0))))</f>
        <v/>
      </c>
      <c r="BR40" s="31" t="inlineStr">
        <is>
          <t>Positive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IF(B41=0,"",RANK(B41,$B$2:$B$47,0))</f>
        <v/>
      </c>
      <c r="B41" s="32">
        <f>SUM(N41,Y41,AA41,AC41,AE41,AG41,AI41,AK41,AM41,AO41,AQ41,AS41,AU41,AW41,AY41,BA41,BC41,BE41,BG41,BI41,BK41,BM41,BO41,BQ41,BS41,BU41,BW41,BY41,CA41)</f>
        <v/>
      </c>
      <c r="C41" s="33" t="inlineStr">
        <is>
          <t>CDSL</t>
        </is>
      </c>
      <c r="D41" s="33" t="inlineStr">
        <is>
          <t>Central Depository Services Ltd</t>
        </is>
      </c>
      <c r="E41" s="31" t="inlineStr">
        <is>
          <t>financials</t>
        </is>
      </c>
      <c r="F41" s="31" t="inlineStr">
        <is>
          <t>miscellaneous</t>
        </is>
      </c>
      <c r="G41" s="31" t="inlineStr">
        <is>
          <t>largecap</t>
        </is>
      </c>
      <c r="H41" s="32" t="n">
        <v>29151.32</v>
      </c>
      <c r="I41" s="32" t="n">
        <v>1434</v>
      </c>
      <c r="J41" s="32" t="n">
        <v>2.81</v>
      </c>
      <c r="K41" s="32" t="n">
        <v>3845569</v>
      </c>
      <c r="L41" s="31" t="n">
        <v>15</v>
      </c>
      <c r="M41" s="31" t="inlineStr">
        <is>
          <t>Underperforming</t>
        </is>
      </c>
      <c r="N41" s="32">
        <f>IF(M41="Underperforming",-5,IF(L41&gt;=95,15,IF(L41&gt;=90,10,IF(L41&gt;=80,5,0))))</f>
        <v/>
      </c>
      <c r="O41" s="32" t="n">
        <v>58.99</v>
      </c>
      <c r="P41" s="32" t="n">
        <v>11.64</v>
      </c>
      <c r="Q41" s="32" t="n">
        <v>1186.25</v>
      </c>
      <c r="R41" s="31" t="inlineStr">
        <is>
          <t>Earnings / Momentum Support</t>
        </is>
      </c>
      <c r="S41" s="31" t="inlineStr">
        <is>
          <t>Nifty Bank</t>
        </is>
      </c>
      <c r="T41" s="32" t="n">
        <v>7.69</v>
      </c>
      <c r="U41" s="32" t="n">
        <v>1.59</v>
      </c>
      <c r="V41" s="32" t="n">
        <v>-5.67</v>
      </c>
      <c r="W41" s="32" t="n">
        <v>4.51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above 5x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2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IF(B42=0,"",RANK(B42,$B$2:$B$47,0))</f>
        <v/>
      </c>
      <c r="B42" s="32">
        <f>SUM(N42,Y42,AA42,AC42,AE42,AG42,AI42,AK42,AM42,AO42,AQ42,AS42,AU42,AW42,AY42,BA42,BC42,BE42,BG42,BI42,BK42,BM42,BO42,BQ42,BS42,BU42,BW42,BY42,CA42)</f>
        <v/>
      </c>
      <c r="C42" s="33" t="inlineStr">
        <is>
          <t>KFINTECH</t>
        </is>
      </c>
      <c r="D42" s="33" t="inlineStr">
        <is>
          <t>KFin Technologies Ltd</t>
        </is>
      </c>
      <c r="E42" s="31" t="inlineStr">
        <is>
          <t>financials</t>
        </is>
      </c>
      <c r="F42" s="31" t="inlineStr">
        <is>
          <t>miscellaneous</t>
        </is>
      </c>
      <c r="G42" s="31" t="inlineStr">
        <is>
          <t>midcap</t>
        </is>
      </c>
      <c r="H42" s="32" t="n">
        <v>16695.15</v>
      </c>
      <c r="I42" s="32" t="n">
        <v>976.5</v>
      </c>
      <c r="J42" s="32" t="n">
        <v>1.09</v>
      </c>
      <c r="K42" s="32" t="n">
        <v>1117449</v>
      </c>
      <c r="L42" s="31" t="n">
        <v>8</v>
      </c>
      <c r="M42" s="31" t="inlineStr">
        <is>
          <t>Underperforming</t>
        </is>
      </c>
      <c r="N42" s="32">
        <f>IF(M42="Underperforming",-5,IF(L42&gt;=95,15,IF(L42&gt;=90,10,IF(L42&gt;=80,5,0))))</f>
        <v/>
      </c>
      <c r="O42" s="32" t="n">
        <v>57.01</v>
      </c>
      <c r="P42" s="32" t="n">
        <v>16.76</v>
      </c>
      <c r="Q42" s="32" t="n">
        <v>786.13</v>
      </c>
      <c r="R42" s="31" t="inlineStr">
        <is>
          <t>Earnings / Momentum Support</t>
        </is>
      </c>
      <c r="S42" s="31" t="inlineStr">
        <is>
          <t>Nifty Bank</t>
        </is>
      </c>
      <c r="T42" s="32" t="n">
        <v>7.69</v>
      </c>
      <c r="U42" s="32" t="n">
        <v>-3.08</v>
      </c>
      <c r="V42" s="32" t="n">
        <v>-10.01</v>
      </c>
      <c r="W42" s="32" t="n">
        <v>2.89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above 5x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2</t>
        </is>
      </c>
      <c r="BQ42" s="31">
        <f>IF(BP42="Stage 2",20,IF(BP42="Stage 1",0,IF(BP42="Stage 3",5,IF(BP42="Stage 4",-5,0))))</f>
        <v/>
      </c>
      <c r="BR42" s="31" t="inlineStr">
        <is>
          <t>Positive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IF(B43=0,"",RANK(B43,$B$2:$B$47,0))</f>
        <v/>
      </c>
      <c r="B43" s="32">
        <f>SUM(N43,Y43,AA43,AC43,AE43,AG43,AI43,AK43,AM43,AO43,AQ43,AS43,AU43,AW43,AY43,BA43,BC43,BE43,BG43,BI43,BK43,BM43,BO43,BQ43,BS43,BU43,BW43,BY43,CA43)</f>
        <v/>
      </c>
      <c r="C43" s="33" t="inlineStr">
        <is>
          <t>CRISIL</t>
        </is>
      </c>
      <c r="D43" s="33" t="inlineStr">
        <is>
          <t>Crisil Limited</t>
        </is>
      </c>
      <c r="E43" s="31" t="inlineStr">
        <is>
          <t>financials</t>
        </is>
      </c>
      <c r="F43" s="31" t="inlineStr">
        <is>
          <t>miscellaneous</t>
        </is>
      </c>
      <c r="G43" s="31" t="inlineStr">
        <is>
          <t>largecap</t>
        </is>
      </c>
      <c r="H43" s="32" t="n">
        <v>32762.25</v>
      </c>
      <c r="I43" s="32" t="n">
        <v>4519</v>
      </c>
      <c r="J43" s="32" t="n">
        <v>0.87</v>
      </c>
      <c r="K43" s="32" t="n">
        <v>24096</v>
      </c>
      <c r="L43" s="31" t="n">
        <v>4</v>
      </c>
      <c r="M43" s="31" t="inlineStr">
        <is>
          <t>Underperforming</t>
        </is>
      </c>
      <c r="N43" s="32">
        <f>IF(M43="Underperforming",-5,IF(L43&gt;=95,15,IF(L43&gt;=90,10,IF(L43&gt;=80,5,0))))</f>
        <v/>
      </c>
      <c r="O43" s="32" t="n">
        <v>57.94</v>
      </c>
      <c r="P43" s="32" t="n">
        <v>13.72</v>
      </c>
      <c r="Q43" s="32" t="n">
        <v>3874.69</v>
      </c>
      <c r="R43" s="31" t="inlineStr">
        <is>
          <t>Earnings / Momentum Support</t>
        </is>
      </c>
      <c r="S43" s="31" t="inlineStr">
        <is>
          <t>Nifty Bank</t>
        </is>
      </c>
      <c r="T43" s="32" t="n">
        <v>7.69</v>
      </c>
      <c r="U43" s="32" t="n">
        <v>-8.109999999999999</v>
      </c>
      <c r="V43" s="32" t="n">
        <v>-14.68</v>
      </c>
      <c r="W43" s="32" t="n">
        <v>1.63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No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above 5x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0 to 20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2</t>
        </is>
      </c>
      <c r="BQ43" s="31">
        <f>IF(BP43="Stage 2",20,IF(BP43="Stage 1",0,IF(BP43="Stage 3",5,IF(BP43="Stage 4",-5,0))))</f>
        <v/>
      </c>
      <c r="BR43" s="31" t="inlineStr">
        <is>
          <t>Positive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IF(B44=0,"",RANK(B44,$B$2:$B$47,0))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IDBI</t>
        </is>
      </c>
      <c r="D44" s="31" t="inlineStr">
        <is>
          <t>Idbi Bank Limited</t>
        </is>
      </c>
      <c r="E44" s="31" t="inlineStr">
        <is>
          <t>bank</t>
        </is>
      </c>
      <c r="F44" s="31" t="inlineStr">
        <is>
          <t>banks - private sector</t>
        </is>
      </c>
      <c r="G44" s="31" t="inlineStr">
        <is>
          <t>largecap</t>
        </is>
      </c>
      <c r="H44" s="32" t="n">
        <v>94954.46000000001</v>
      </c>
      <c r="I44" s="32" t="n">
        <v>94.75</v>
      </c>
      <c r="J44" s="32" t="n">
        <v>7.29</v>
      </c>
      <c r="K44" s="32" t="n">
        <v>65166925</v>
      </c>
      <c r="L44" s="31" t="n">
        <v>40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60.47</v>
      </c>
      <c r="P44" s="32" t="n">
        <v>11.98</v>
      </c>
      <c r="Q44" s="32" t="n">
        <v>74.47</v>
      </c>
      <c r="R44" s="31" t="inlineStr">
        <is>
          <t>Volume Spike / Accumulation</t>
        </is>
      </c>
      <c r="S44" s="31" t="inlineStr">
        <is>
          <t>Nifty Bank</t>
        </is>
      </c>
      <c r="T44" s="32" t="n">
        <v>7.69</v>
      </c>
      <c r="U44" s="32" t="n">
        <v>10.6</v>
      </c>
      <c r="V44" s="32" t="n">
        <v>2.7</v>
      </c>
      <c r="W44" s="32" t="n">
        <v>10.61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Yes</t>
        </is>
      </c>
      <c r="AC44" s="31">
        <f>IF(AB44="No",5,0)</f>
        <v/>
      </c>
      <c r="AD44" s="31" t="inlineStr">
        <is>
          <t>Headwind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Yes</t>
        </is>
      </c>
      <c r="AK44" s="31">
        <f>IF(AJ44="Yes",10,0)</f>
        <v/>
      </c>
      <c r="AL44" s="31" t="n"/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less than 2.5x and Growth less than 20%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0 to 20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1</t>
        </is>
      </c>
      <c r="BQ44" s="31">
        <f>IF(BP44="Stage 2",20,IF(BP44="Stage 1",0,IF(BP44="Stage 3",5,IF(BP44="Stage 4",-5,0))))</f>
        <v/>
      </c>
      <c r="BR44" s="31" t="inlineStr">
        <is>
          <t>Positive Trend</t>
        </is>
      </c>
      <c r="BS44" s="31">
        <f>IF(BR44="Positive Trend",20,IF(BR44="Negative Trend",-10,0))</f>
        <v/>
      </c>
      <c r="BT44" s="31" t="inlineStr">
        <is>
          <t>Uptrend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IF(B45=0,"",RANK(B45,$B$2:$B$47,0))</f>
        <v/>
      </c>
      <c r="B45" s="32">
        <f>SUM(N45,Y45,AA45,AC45,AE45,AG45,AI45,AK45,AM45,AO45,AQ45,AS45,AU45,AW45,AY45,BA45,BC45,BE45,BG45,BI45,BK45,BM45,BO45,BQ45,BS45,BU45,BW45,BY45,CA45)</f>
        <v/>
      </c>
      <c r="C45" s="33" t="inlineStr">
        <is>
          <t>HDFCAMC</t>
        </is>
      </c>
      <c r="D45" s="33" t="inlineStr">
        <is>
          <t>HDFC Asset Management Company Ltd</t>
        </is>
      </c>
      <c r="E45" s="31" t="inlineStr">
        <is>
          <t>financials</t>
        </is>
      </c>
      <c r="F45" s="31" t="inlineStr">
        <is>
          <t>finance &amp; investments</t>
        </is>
      </c>
      <c r="G45" s="31" t="inlineStr">
        <is>
          <t>largecap</t>
        </is>
      </c>
      <c r="H45" s="32" t="n">
        <v>115650.65</v>
      </c>
      <c r="I45" s="32" t="n">
        <v>2667.9</v>
      </c>
      <c r="J45" s="32" t="n">
        <v>-1.12</v>
      </c>
      <c r="K45" s="32" t="n">
        <v>596170</v>
      </c>
      <c r="L45" s="31" t="n">
        <v>2</v>
      </c>
      <c r="M45" s="31" t="inlineStr">
        <is>
          <t>Underperforming</t>
        </is>
      </c>
      <c r="N45" s="32">
        <f>IF(M45="Underperforming",-5,IF(L45&gt;=95,15,IF(L45&gt;=90,10,IF(L45&gt;=80,5,0))))</f>
        <v/>
      </c>
      <c r="O45" s="32" t="n">
        <v>52.75</v>
      </c>
      <c r="P45" s="32" t="n">
        <v>7.63</v>
      </c>
      <c r="Q45" s="32" t="n">
        <v>2310.64</v>
      </c>
      <c r="R45" s="31" t="inlineStr">
        <is>
          <t>Earnings / Momentum Support</t>
        </is>
      </c>
      <c r="S45" s="31" t="inlineStr">
        <is>
          <t>Nifty Bank</t>
        </is>
      </c>
      <c r="T45" s="32" t="n">
        <v>7.69</v>
      </c>
      <c r="U45" s="32" t="n">
        <v>-0.19</v>
      </c>
      <c r="V45" s="32" t="n">
        <v>-7.32</v>
      </c>
      <c r="W45" s="32" t="n">
        <v>0.36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No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above 5x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0 to 20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1</t>
        </is>
      </c>
      <c r="BQ45" s="31">
        <f>IF(BP45="Stage 2",20,IF(BP45="Stage 1",0,IF(BP45="Stage 3",5,IF(BP45="Stage 4",-5,0))))</f>
        <v/>
      </c>
      <c r="BR45" s="31" t="inlineStr">
        <is>
          <t>Positive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IF(B46=0,"",RANK(B46,$B$2:$B$47,0))</f>
        <v/>
      </c>
      <c r="B46" s="32">
        <f>SUM(N46,Y46,AA46,AC46,AE46,AG46,AI46,AK46,AM46,AO46,AQ46,AS46,AU46,AW46,AY46,BA46,BC46,BE46,BG46,BI46,BK46,BM46,BO46,BQ46,BS46,BU46,BW46,BY46,CA46)</f>
        <v/>
      </c>
      <c r="C46" s="33" t="inlineStr">
        <is>
          <t>MFSL</t>
        </is>
      </c>
      <c r="D46" s="33" t="inlineStr">
        <is>
          <t>Max Financial Services Limited</t>
        </is>
      </c>
      <c r="E46" s="31" t="inlineStr">
        <is>
          <t>financials</t>
        </is>
      </c>
      <c r="F46" s="31" t="inlineStr">
        <is>
          <t>finance &amp; investments</t>
        </is>
      </c>
      <c r="G46" s="31" t="inlineStr">
        <is>
          <t>largecap</t>
        </is>
      </c>
      <c r="H46" s="32" t="n">
        <v>54959.53</v>
      </c>
      <c r="I46" s="32" t="n">
        <v>1600</v>
      </c>
      <c r="J46" s="32" t="n">
        <v>0.47</v>
      </c>
      <c r="K46" s="32" t="n">
        <v>150582</v>
      </c>
      <c r="L46" s="31" t="n">
        <v>1</v>
      </c>
      <c r="M46" s="31" t="inlineStr">
        <is>
          <t>Underperforming</t>
        </is>
      </c>
      <c r="N46" s="32">
        <f>IF(M46="Underperforming",-5,IF(L46&gt;=95,15,IF(L46&gt;=90,10,IF(L46&gt;=80,5,0))))</f>
        <v/>
      </c>
      <c r="O46" s="32" t="n">
        <v>50.42</v>
      </c>
      <c r="P46" s="32" t="n">
        <v>4.69</v>
      </c>
      <c r="Q46" s="32" t="n">
        <v>1400.78</v>
      </c>
      <c r="R46" s="31" t="inlineStr">
        <is>
          <t>Earnings / Momentum Support</t>
        </is>
      </c>
      <c r="S46" s="31" t="inlineStr">
        <is>
          <t>Nifty Bank</t>
        </is>
      </c>
      <c r="T46" s="32" t="n">
        <v>7.69</v>
      </c>
      <c r="U46" s="32" t="n">
        <v>-0.14</v>
      </c>
      <c r="V46" s="32" t="n">
        <v>-7.27</v>
      </c>
      <c r="W46" s="32" t="n">
        <v>-0.75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Headwind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No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above 5x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0 to 20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1</t>
        </is>
      </c>
      <c r="BQ46" s="31">
        <f>IF(BP46="Stage 2",20,IF(BP46="Stage 1",0,IF(BP46="Stage 3",5,IF(BP46="Stage 4",-5,0))))</f>
        <v/>
      </c>
      <c r="BR46" s="31" t="inlineStr">
        <is>
          <t>Positive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IF(B47=0,"",RANK(B47,$B$2:$B$47,0))</f>
        <v/>
      </c>
      <c r="B47" s="32">
        <f>SUM(N47,Y47,AA47,AC47,AE47,AG47,AI47,AK47,AM47,AO47,AQ47,AS47,AU47,AW47,AY47,BA47,BC47,BE47,BG47,BI47,BK47,BM47,BO47,BQ47,BS47,BU47,BW47,BY47,CA47)</f>
        <v/>
      </c>
      <c r="C47" s="33" t="inlineStr">
        <is>
          <t>BAJAJFINSV</t>
        </is>
      </c>
      <c r="D47" s="33" t="inlineStr">
        <is>
          <t>Bajaj Finserv Limited</t>
        </is>
      </c>
      <c r="E47" s="31" t="inlineStr">
        <is>
          <t>financials</t>
        </is>
      </c>
      <c r="F47" s="31" t="inlineStr">
        <is>
          <t>finance &amp; investments</t>
        </is>
      </c>
      <c r="G47" s="31" t="inlineStr">
        <is>
          <t>largecap</t>
        </is>
      </c>
      <c r="H47" s="32" t="n">
        <v>320750.22</v>
      </c>
      <c r="I47" s="32" t="n">
        <v>2010</v>
      </c>
      <c r="J47" s="32" t="n">
        <v>0.3</v>
      </c>
      <c r="K47" s="32" t="n">
        <v>542797</v>
      </c>
      <c r="L47" s="31" t="n">
        <v>13</v>
      </c>
      <c r="M47" s="31" t="inlineStr">
        <is>
          <t>Underperforming</t>
        </is>
      </c>
      <c r="N47" s="32">
        <f>IF(M47="Underperforming",-5,IF(L47&gt;=95,15,IF(L47&gt;=90,10,IF(L47&gt;=80,5,0))))</f>
        <v/>
      </c>
      <c r="O47" s="32" t="n">
        <v>59.08</v>
      </c>
      <c r="P47" s="32" t="n">
        <v>18.47</v>
      </c>
      <c r="Q47" s="32" t="n">
        <v>1759.88</v>
      </c>
      <c r="R47" s="31" t="inlineStr">
        <is>
          <t>Earnings / Momentum Support</t>
        </is>
      </c>
      <c r="S47" s="31" t="inlineStr">
        <is>
          <t>Nifty Bank</t>
        </is>
      </c>
      <c r="T47" s="32" t="n">
        <v>7.69</v>
      </c>
      <c r="U47" s="32" t="n">
        <v>5.13</v>
      </c>
      <c r="V47" s="32" t="n">
        <v>-2.38</v>
      </c>
      <c r="W47" s="32" t="n">
        <v>3.94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No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between 2.5x to 5x and Growth less than 20%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2</t>
        </is>
      </c>
      <c r="BQ47" s="31">
        <f>IF(BP47="Stage 2",20,IF(BP47="Stage 1",0,IF(BP47="Stage 3",5,IF(BP47="Stage 4",-5,0))))</f>
        <v/>
      </c>
      <c r="BR47" s="31" t="inlineStr">
        <is>
          <t>Negative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Close to 52 week high or retracement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</sheetData>
  <autoFilter ref="A1:CA47"/>
  <conditionalFormatting sqref="B2:B4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7">
    <cfRule type="cellIs" priority="34" operator="equal" dxfId="3" stopIfTrue="1">
      <formula>"Underperforming"</formula>
    </cfRule>
  </conditionalFormatting>
  <conditionalFormatting sqref="N2:N47">
    <cfRule type="cellIs" priority="35" operator="equal" dxfId="3" stopIfTrue="1">
      <formula>-5</formula>
    </cfRule>
  </conditionalFormatting>
  <conditionalFormatting sqref="Q2:Q47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7" showDropDown="0" showInputMessage="0" showErrorMessage="0" allowBlank="1" type="list">
      <formula1>"Growing Industry,Stagnant Industry,Cyclical in an Upturn"</formula1>
    </dataValidation>
    <dataValidation sqref="Z2:Z47" showDropDown="0" showInputMessage="0" showErrorMessage="0" allowBlank="1" type="list">
      <formula1>"Fragmented with Low ROE,Fragmented with High ROE,Highly Cyclical"</formula1>
    </dataValidation>
    <dataValidation sqref="AB2:AB47" showDropDown="0" showInputMessage="0" showErrorMessage="0" allowBlank="1" type="list">
      <formula1>"Yes,No"</formula1>
    </dataValidation>
    <dataValidation sqref="AD2:AD47" showDropDown="0" showInputMessage="0" showErrorMessage="0" allowBlank="1" type="list">
      <formula1>"Tailwind,Headwind"</formula1>
    </dataValidation>
    <dataValidation sqref="AF2:AF4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7" showDropDown="0" showInputMessage="0" showErrorMessage="0" allowBlank="1" type="list">
      <formula1>"Yes,No"</formula1>
    </dataValidation>
    <dataValidation sqref="AJ2:AJ47" showDropDown="0" showInputMessage="0" showErrorMessage="0" allowBlank="1" type="list">
      <formula1>"Yes,No,Not Applicable"</formula1>
    </dataValidation>
    <dataValidation sqref="AL2:AL47" showDropDown="0" showInputMessage="0" showErrorMessage="0" allowBlank="1" type="list">
      <formula1>"Yes,No"</formula1>
    </dataValidation>
    <dataValidation sqref="AN2:AN47" showDropDown="0" showInputMessage="0" showErrorMessage="0" allowBlank="1" type="list">
      <formula1>"Yes,No"</formula1>
    </dataValidation>
    <dataValidation sqref="AP2:AP47" showDropDown="0" showInputMessage="0" showErrorMessage="0" allowBlank="1" type="list">
      <formula1>"Yes,No"</formula1>
    </dataValidation>
    <dataValidation sqref="AR2:AR47" showDropDown="0" showInputMessage="0" showErrorMessage="0" allowBlank="1" type="list">
      <formula1>"Yes,No"</formula1>
    </dataValidation>
    <dataValidation sqref="AT2:AT47" showDropDown="0" showInputMessage="0" showErrorMessage="0" allowBlank="1" type="list">
      <formula1>"No,Yes"</formula1>
    </dataValidation>
    <dataValidation sqref="AV2:AV47" showDropDown="0" showInputMessage="0" showErrorMessage="0" allowBlank="1" type="list">
      <formula1>"No,Yes"</formula1>
    </dataValidation>
    <dataValidation sqref="AX2:AX47" showDropDown="0" showInputMessage="0" showErrorMessage="0" allowBlank="1" type="list">
      <formula1>"No,Yes CEO Resignation,Yes CEO Retirement"</formula1>
    </dataValidation>
    <dataValidation sqref="AZ2:AZ47" showDropDown="0" showInputMessage="0" showErrorMessage="0" allowBlank="1" type="list">
      <formula1>"No,Yes"</formula1>
    </dataValidation>
    <dataValidation sqref="BB2:BB47" showDropDown="0" showInputMessage="0" showErrorMessage="0" allowBlank="1" type="list">
      <formula1>"No,Yes"</formula1>
    </dataValidation>
    <dataValidation sqref="BD2:BD47" showDropDown="0" showInputMessage="0" showErrorMessage="0" allowBlank="1" type="list">
      <formula1>"Yes,No"</formula1>
    </dataValidation>
    <dataValidation sqref="BF2:BF47" showDropDown="0" showInputMessage="0" showErrorMessage="0" allowBlank="1" type="list">
      <formula1>"Yes,No"</formula1>
    </dataValidation>
    <dataValidation sqref="BH2:BH47" showDropDown="0" showInputMessage="0" showErrorMessage="0" allowBlank="1" type="list">
      <formula1>"Yes,No"</formula1>
    </dataValidation>
    <dataValidation sqref="BJ2:BJ4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7" showDropDown="0" showInputMessage="0" showErrorMessage="0" allowBlank="1" type="list">
      <formula1>"Above 40,20 to 40,0 to 20"</formula1>
    </dataValidation>
    <dataValidation sqref="BN2:BN47" showDropDown="0" showInputMessage="0" showErrorMessage="0" allowBlank="1" type="list">
      <formula1>"Between 50 to 75,Above 75,Below 45"</formula1>
    </dataValidation>
    <dataValidation sqref="BP2:BP47" showDropDown="0" showInputMessage="0" showErrorMessage="0" allowBlank="1" type="list">
      <formula1>"Stage 1,Stage 2,Stage 3,Stage 4"</formula1>
    </dataValidation>
    <dataValidation sqref="BR2:BR47" showDropDown="0" showInputMessage="0" showErrorMessage="0" allowBlank="1" type="list">
      <formula1>"Positive Trend,Negative Trend"</formula1>
    </dataValidation>
    <dataValidation sqref="BT2:BT47" showDropDown="0" showInputMessage="0" showErrorMessage="0" allowBlank="1" type="list">
      <formula1>"Uptrend,Sideways,Downtrend"</formula1>
    </dataValidation>
    <dataValidation sqref="BV2:BV47" showDropDown="0" showInputMessage="0" showErrorMessage="0" allowBlank="1" type="list">
      <formula1>"Uptrend,Sideways,Downtrend"</formula1>
    </dataValidation>
    <dataValidation sqref="BX2:BX4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0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IF(B2=0,"",RANK(B2,$B$2:$B$20,0))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139.1</v>
      </c>
      <c r="E2" s="32" t="inlineStr">
        <is>
          <t>5%</t>
        </is>
      </c>
      <c r="F2" s="32" t="n">
        <v>50000</v>
      </c>
      <c r="G2" s="32" t="n">
        <v>268</v>
      </c>
      <c r="H2" s="31" t="inlineStr">
        <is>
          <t>IOLCP</t>
        </is>
      </c>
      <c r="I2" s="31" t="inlineStr">
        <is>
          <t>Iol Chemicals And Pharmaceuticals Limited</t>
        </is>
      </c>
      <c r="J2" s="31" t="inlineStr">
        <is>
          <t>healthcare</t>
        </is>
      </c>
      <c r="K2" s="31" t="inlineStr">
        <is>
          <t>pharmaceuticals - indian - bulk drugs &amp; formln</t>
        </is>
      </c>
      <c r="L2" s="31" t="inlineStr">
        <is>
          <t>midcap</t>
        </is>
      </c>
      <c r="M2" s="32" t="n">
        <v>5059.53</v>
      </c>
      <c r="N2" s="32" t="n">
        <v>186.01</v>
      </c>
      <c r="O2" s="32" t="n">
        <v>7.91</v>
      </c>
      <c r="P2" s="32" t="n">
        <v>18086861</v>
      </c>
      <c r="Q2" s="31" t="n">
        <v>90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76.59</v>
      </c>
      <c r="U2" s="32" t="n">
        <v>79.3</v>
      </c>
      <c r="V2" s="32" t="n">
        <v>136.24</v>
      </c>
      <c r="W2" s="31" t="inlineStr">
        <is>
          <t>Near 52W High Breakout</t>
        </is>
      </c>
      <c r="X2" s="31" t="inlineStr">
        <is>
          <t>Nifty Pharma</t>
        </is>
      </c>
      <c r="Y2" s="32" t="n">
        <v>22.12</v>
      </c>
      <c r="Z2" s="32" t="n">
        <v>107.77</v>
      </c>
      <c r="AA2" s="32" t="n">
        <v>70.14</v>
      </c>
      <c r="AB2" s="32" t="n">
        <v>29.29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IF(B3=0,"",RANK(B3,$B$2:$B$20,0))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140</v>
      </c>
      <c r="E3" s="32" t="inlineStr">
        <is>
          <t>5%</t>
        </is>
      </c>
      <c r="F3" s="32" t="n">
        <v>50000</v>
      </c>
      <c r="G3" s="32" t="n">
        <v>151</v>
      </c>
      <c r="H3" s="31" t="inlineStr">
        <is>
          <t>SETL</t>
        </is>
      </c>
      <c r="I3" s="31" t="inlineStr">
        <is>
          <t>Standard Enginnering Technology Ltd</t>
        </is>
      </c>
      <c r="J3" s="31" t="inlineStr">
        <is>
          <t>industrials</t>
        </is>
      </c>
      <c r="K3" s="31" t="inlineStr">
        <is>
          <t>engineering</t>
        </is>
      </c>
      <c r="L3" s="31" t="inlineStr">
        <is>
          <t>midcap</t>
        </is>
      </c>
      <c r="M3" s="32" t="n">
        <v>6279</v>
      </c>
      <c r="N3" s="32" t="n">
        <v>330.4</v>
      </c>
      <c r="O3" s="32" t="n">
        <v>4.97</v>
      </c>
      <c r="P3" s="32" t="n">
        <v>2719497</v>
      </c>
      <c r="Q3" s="31" t="n">
        <v>98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84.56999999999999</v>
      </c>
      <c r="U3" s="32" t="n">
        <v>57.11</v>
      </c>
      <c r="V3" s="32" t="n">
        <v>254.48</v>
      </c>
      <c r="W3" s="31" t="inlineStr">
        <is>
          <t>Near 52W High Breakout</t>
        </is>
      </c>
      <c r="X3" s="31" t="inlineStr">
        <is>
          <t>Nifty 50</t>
        </is>
      </c>
      <c r="Y3" s="32" t="n">
        <v>-0.9</v>
      </c>
      <c r="Z3" s="32" t="n">
        <v>84.98999999999999</v>
      </c>
      <c r="AA3" s="32" t="n">
        <v>86.67</v>
      </c>
      <c r="AB3" s="32" t="n">
        <v>53.97</v>
      </c>
      <c r="AC3" s="31" t="inlineStr">
        <is>
          <t>Cyclical in an Upturn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Above 2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IF(B4=0,"",RANK(B4,$B$2:$B$20,0))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139.4</v>
      </c>
      <c r="E4" s="32" t="inlineStr">
        <is>
          <t>5%</t>
        </is>
      </c>
      <c r="F4" s="32" t="n">
        <v>50000</v>
      </c>
      <c r="G4" s="32" t="n">
        <v>23</v>
      </c>
      <c r="H4" s="31" t="inlineStr">
        <is>
          <t>NILKAMAL</t>
        </is>
      </c>
      <c r="I4" s="31" t="inlineStr">
        <is>
          <t>Nilkamal Limited</t>
        </is>
      </c>
      <c r="J4" s="31" t="inlineStr">
        <is>
          <t>plastic products</t>
        </is>
      </c>
      <c r="K4" s="31" t="inlineStr">
        <is>
          <t>plastics products</t>
        </is>
      </c>
      <c r="L4" s="31" t="inlineStr">
        <is>
          <t>smallcap</t>
        </is>
      </c>
      <c r="M4" s="32" t="n">
        <v>3008.23</v>
      </c>
      <c r="N4" s="32" t="n">
        <v>2096.8</v>
      </c>
      <c r="O4" s="32" t="n">
        <v>4.01</v>
      </c>
      <c r="P4" s="32" t="n">
        <v>69877</v>
      </c>
      <c r="Q4" s="31" t="n">
        <v>78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82.52</v>
      </c>
      <c r="U4" s="32" t="n">
        <v>38.67</v>
      </c>
      <c r="V4" s="32" t="n">
        <v>1674.91</v>
      </c>
      <c r="W4" s="31" t="inlineStr">
        <is>
          <t>Near 52W High Breakout</t>
        </is>
      </c>
      <c r="X4" s="31" t="inlineStr">
        <is>
          <t>Nifty 50</t>
        </is>
      </c>
      <c r="Y4" s="32" t="n">
        <v>-0.9</v>
      </c>
      <c r="Z4" s="32" t="n">
        <v>36.57</v>
      </c>
      <c r="AA4" s="32" t="n">
        <v>37.81</v>
      </c>
      <c r="AB4" s="32" t="n">
        <v>22.78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20 to 40</t>
        </is>
      </c>
      <c r="BD4" s="31">
        <f>IF(BC4="Above 40",20,IF(BC4="20 to 40",10,IF(BC4="0 to 20",-5,0)))</f>
        <v/>
      </c>
      <c r="BE4" s="31" t="inlineStr">
        <is>
          <t>Above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IF(B5=0,"",RANK(B5,$B$2:$B$20,0))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139.3</v>
      </c>
      <c r="E5" s="32" t="inlineStr">
        <is>
          <t>5%</t>
        </is>
      </c>
      <c r="F5" s="32" t="n">
        <v>50000</v>
      </c>
      <c r="G5" s="32" t="n">
        <v>28</v>
      </c>
      <c r="H5" s="31" t="inlineStr">
        <is>
          <t>RPEL</t>
        </is>
      </c>
      <c r="I5" s="31" t="inlineStr">
        <is>
          <t>Raghav Productivity Enhancers Ltd</t>
        </is>
      </c>
      <c r="J5" s="31" t="inlineStr">
        <is>
          <t>building materials</t>
        </is>
      </c>
      <c r="K5" s="31" t="inlineStr">
        <is>
          <t>refractories / intermediates</t>
        </is>
      </c>
      <c r="L5" s="31" t="inlineStr">
        <is>
          <t>midcap</t>
        </is>
      </c>
      <c r="M5" s="32" t="n">
        <v>7361.75</v>
      </c>
      <c r="N5" s="32" t="n">
        <v>1736.7</v>
      </c>
      <c r="O5" s="32" t="n">
        <v>8.33</v>
      </c>
      <c r="P5" s="32" t="n">
        <v>163910</v>
      </c>
      <c r="Q5" s="31" t="inlineStr"/>
      <c r="R5" s="31" t="inlineStr"/>
      <c r="S5" s="32">
        <f>IF(R5="Underperforming",-5,IF(Q5&gt;=95,15,IF(Q5&gt;=90,10,IF(Q5&gt;=80,5,0))))</f>
        <v/>
      </c>
      <c r="T5" s="32" t="n">
        <v>83.44</v>
      </c>
      <c r="U5" s="32" t="n">
        <v>59.38</v>
      </c>
      <c r="V5" s="32" t="n">
        <v>1367.56</v>
      </c>
      <c r="W5" s="31" t="inlineStr">
        <is>
          <t>Near 52W High Breakout</t>
        </is>
      </c>
      <c r="X5" s="31" t="inlineStr">
        <is>
          <t>Nifty Infra</t>
        </is>
      </c>
      <c r="Y5" s="32" t="inlineStr"/>
      <c r="Z5" s="32" t="inlineStr"/>
      <c r="AA5" s="32" t="inlineStr"/>
      <c r="AB5" s="32" t="inlineStr"/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Between 1.5 to 2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IF(B6=0,"",RANK(B6,$B$2:$B$20,0))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139.4</v>
      </c>
      <c r="E6" s="32" t="inlineStr">
        <is>
          <t>5%</t>
        </is>
      </c>
      <c r="F6" s="32" t="n">
        <v>50000</v>
      </c>
      <c r="G6" s="32" t="n">
        <v>26</v>
      </c>
      <c r="H6" s="31" t="inlineStr">
        <is>
          <t>LAURUSLABS</t>
        </is>
      </c>
      <c r="I6" s="31" t="inlineStr">
        <is>
          <t>Laurus Labs Limited</t>
        </is>
      </c>
      <c r="J6" s="31" t="inlineStr">
        <is>
          <t>healthcare</t>
        </is>
      </c>
      <c r="K6" s="31" t="inlineStr">
        <is>
          <t>pharmaceuticals - indian - bulk drugs &amp; formln</t>
        </is>
      </c>
      <c r="L6" s="31" t="inlineStr">
        <is>
          <t>largecap</t>
        </is>
      </c>
      <c r="M6" s="32" t="n">
        <v>100821.38</v>
      </c>
      <c r="N6" s="32" t="n">
        <v>1887</v>
      </c>
      <c r="O6" s="32" t="n">
        <v>1.11</v>
      </c>
      <c r="P6" s="32" t="n">
        <v>3314356</v>
      </c>
      <c r="Q6" s="31" t="n">
        <v>84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82.38</v>
      </c>
      <c r="U6" s="32" t="n">
        <v>68.20999999999999</v>
      </c>
      <c r="V6" s="32" t="n">
        <v>1623.23</v>
      </c>
      <c r="W6" s="31" t="inlineStr">
        <is>
          <t>Near 52W High Breakout</t>
        </is>
      </c>
      <c r="X6" s="31" t="inlineStr">
        <is>
          <t>Nifty Pharma</t>
        </is>
      </c>
      <c r="Y6" s="32" t="n">
        <v>22.12</v>
      </c>
      <c r="Z6" s="32" t="n">
        <v>120.61</v>
      </c>
      <c r="AA6" s="32" t="n">
        <v>80.66</v>
      </c>
      <c r="AB6" s="32" t="n">
        <v>25.72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Yes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Annuity, Lower One Time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IF(B7=0,"",RANK(B7,$B$2:$B$20,0))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138.9</v>
      </c>
      <c r="E7" s="32" t="inlineStr">
        <is>
          <t>5%</t>
        </is>
      </c>
      <c r="F7" s="32" t="n">
        <v>50000</v>
      </c>
      <c r="G7" s="32" t="n">
        <v>30</v>
      </c>
      <c r="H7" s="31" t="inlineStr">
        <is>
          <t>ENTERO</t>
        </is>
      </c>
      <c r="I7" s="31" t="inlineStr">
        <is>
          <t>Entero Healthcare Solutions Ltd</t>
        </is>
      </c>
      <c r="J7" s="31" t="inlineStr">
        <is>
          <t>healthcare</t>
        </is>
      </c>
      <c r="K7" s="31" t="inlineStr">
        <is>
          <t>trading</t>
        </is>
      </c>
      <c r="L7" s="31" t="inlineStr">
        <is>
          <t>midcap</t>
        </is>
      </c>
      <c r="M7" s="32" t="n">
        <v>7107.32</v>
      </c>
      <c r="N7" s="32" t="n">
        <v>1648</v>
      </c>
      <c r="O7" s="32" t="n">
        <v>0.92</v>
      </c>
      <c r="P7" s="32" t="n">
        <v>412213</v>
      </c>
      <c r="Q7" s="31" t="n">
        <v>62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73.95999999999999</v>
      </c>
      <c r="U7" s="32" t="n">
        <v>29.18</v>
      </c>
      <c r="V7" s="32" t="n">
        <v>1296.69</v>
      </c>
      <c r="W7" s="31" t="inlineStr">
        <is>
          <t>Volume Spike &amp; Near 52W High Breakout</t>
        </is>
      </c>
      <c r="X7" s="31" t="inlineStr">
        <is>
          <t>Nifty Pharma</t>
        </is>
      </c>
      <c r="Y7" s="32" t="n">
        <v>22.12</v>
      </c>
      <c r="Z7" s="32" t="n">
        <v>39.42</v>
      </c>
      <c r="AA7" s="32" t="n">
        <v>14.17</v>
      </c>
      <c r="AB7" s="32" t="n">
        <v>15.7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Yes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Annuity, Lower One Time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Between 50 to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Between 1.5 to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IF(B8=0,"",RANK(B8,$B$2:$B$20,0))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139.5</v>
      </c>
      <c r="E8" s="32" t="inlineStr">
        <is>
          <t>5%</t>
        </is>
      </c>
      <c r="F8" s="32" t="n">
        <v>50000</v>
      </c>
      <c r="G8" s="32" t="n">
        <v>243</v>
      </c>
      <c r="H8" s="31" t="inlineStr">
        <is>
          <t>KRISHANA</t>
        </is>
      </c>
      <c r="I8" s="31" t="inlineStr">
        <is>
          <t>Krishana Phoschem Ltd</t>
        </is>
      </c>
      <c r="J8" s="31" t="inlineStr">
        <is>
          <t>chemicals</t>
        </is>
      </c>
      <c r="K8" s="31" t="inlineStr">
        <is>
          <t>fertilizers</t>
        </is>
      </c>
      <c r="L8" s="31" t="inlineStr">
        <is>
          <t>smallcap</t>
        </is>
      </c>
      <c r="M8" s="32" t="n">
        <v>1247.19</v>
      </c>
      <c r="N8" s="32" t="n">
        <v>204</v>
      </c>
      <c r="O8" s="32" t="n">
        <v>1.13</v>
      </c>
      <c r="P8" s="32" t="n">
        <v>1823822</v>
      </c>
      <c r="Q8" s="31" t="n">
        <v>84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80.88</v>
      </c>
      <c r="U8" s="32" t="n">
        <v>50.35</v>
      </c>
      <c r="V8" s="32" t="n">
        <v>162.89</v>
      </c>
      <c r="W8" s="31" t="inlineStr">
        <is>
          <t>Near 52W High Breakout</t>
        </is>
      </c>
      <c r="X8" s="31" t="inlineStr">
        <is>
          <t>Nifty 50</t>
        </is>
      </c>
      <c r="Y8" s="32" t="n">
        <v>-0.9</v>
      </c>
      <c r="Z8" s="32" t="n">
        <v>77.70999999999999</v>
      </c>
      <c r="AA8" s="32" t="n">
        <v>79.31999999999999</v>
      </c>
      <c r="AB8" s="32" t="n">
        <v>25.73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More than 1.2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IF(B9=0,"",RANK(B9,$B$2:$B$20,0))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</v>
      </c>
      <c r="E9" s="32" t="inlineStr">
        <is>
          <t>5%</t>
        </is>
      </c>
      <c r="F9" s="32" t="n">
        <v>50000</v>
      </c>
      <c r="G9" s="32" t="n">
        <v>11</v>
      </c>
      <c r="H9" s="31" t="inlineStr">
        <is>
          <t>KENNAMET</t>
        </is>
      </c>
      <c r="I9" s="31" t="inlineStr">
        <is>
          <t>Kennametal India Ltd</t>
        </is>
      </c>
      <c r="J9" s="31" t="inlineStr">
        <is>
          <t>industrials</t>
        </is>
      </c>
      <c r="K9" s="31" t="inlineStr">
        <is>
          <t>castings &amp; forgings</t>
        </is>
      </c>
      <c r="L9" s="31" t="inlineStr">
        <is>
          <t>midcap</t>
        </is>
      </c>
      <c r="M9" s="32" t="n">
        <v>9081.629999999999</v>
      </c>
      <c r="N9" s="32" t="n">
        <v>4352</v>
      </c>
      <c r="O9" s="32" t="n">
        <v>5.32</v>
      </c>
      <c r="P9" s="32" t="n">
        <v>91211</v>
      </c>
      <c r="Q9" s="31" t="n">
        <v>85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82.84</v>
      </c>
      <c r="U9" s="32" t="n">
        <v>45.24</v>
      </c>
      <c r="V9" s="32" t="n">
        <v>3446.38</v>
      </c>
      <c r="W9" s="31" t="inlineStr">
        <is>
          <t>Near 52W High Breakout</t>
        </is>
      </c>
      <c r="X9" s="31" t="inlineStr">
        <is>
          <t>Nifty 50</t>
        </is>
      </c>
      <c r="Y9" s="32" t="n">
        <v>-0.9</v>
      </c>
      <c r="Z9" s="32" t="n">
        <v>98.84999999999999</v>
      </c>
      <c r="AA9" s="32" t="n">
        <v>100.65</v>
      </c>
      <c r="AB9" s="32" t="n">
        <v>25.75</v>
      </c>
      <c r="AC9" s="31" t="inlineStr">
        <is>
          <t>Cyclical in an Upturn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Above 2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IF(B10=0,"",RANK(B10,$B$2:$B$20,0))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139.8</v>
      </c>
      <c r="E10" s="32" t="inlineStr">
        <is>
          <t>5%</t>
        </is>
      </c>
      <c r="F10" s="32" t="n">
        <v>50000</v>
      </c>
      <c r="G10" s="32" t="n">
        <v>5</v>
      </c>
      <c r="H10" s="31" t="inlineStr">
        <is>
          <t>DIVISLAB</t>
        </is>
      </c>
      <c r="I10" s="31" t="inlineStr">
        <is>
          <t>Divi's Laboratories Limited</t>
        </is>
      </c>
      <c r="J10" s="31" t="inlineStr">
        <is>
          <t>healthcare</t>
        </is>
      </c>
      <c r="K10" s="31" t="inlineStr">
        <is>
          <t>pharmaceuticals - indian - bulk drugs</t>
        </is>
      </c>
      <c r="L10" s="31" t="inlineStr">
        <is>
          <t>largecap</t>
        </is>
      </c>
      <c r="M10" s="32" t="n">
        <v>232139</v>
      </c>
      <c r="N10" s="32" t="n">
        <v>9025</v>
      </c>
      <c r="O10" s="32" t="n">
        <v>3.21</v>
      </c>
      <c r="P10" s="32" t="n">
        <v>700482</v>
      </c>
      <c r="Q10" s="31" t="n">
        <v>62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86.92</v>
      </c>
      <c r="U10" s="32" t="n">
        <v>37.12</v>
      </c>
      <c r="V10" s="32" t="n">
        <v>7904.89</v>
      </c>
      <c r="W10" s="31" t="inlineStr">
        <is>
          <t>Near 52W High Breakout</t>
        </is>
      </c>
      <c r="X10" s="31" t="inlineStr">
        <is>
          <t>Nifty Pharma</t>
        </is>
      </c>
      <c r="Y10" s="32" t="n">
        <v>22.12</v>
      </c>
      <c r="Z10" s="32" t="n">
        <v>47.8</v>
      </c>
      <c r="AA10" s="32" t="n">
        <v>21.03</v>
      </c>
      <c r="AB10" s="32" t="n">
        <v>16.09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Less than 1.5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IF(B11=0,"",RANK(B11,$B$2:$B$20,0))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</v>
      </c>
      <c r="E11" s="32" t="inlineStr">
        <is>
          <t>5%</t>
        </is>
      </c>
      <c r="F11" s="32" t="n">
        <v>50000</v>
      </c>
      <c r="G11" s="32" t="n">
        <v>72</v>
      </c>
      <c r="H11" s="31" t="inlineStr">
        <is>
          <t>WELENT</t>
        </is>
      </c>
      <c r="I11" s="31" t="inlineStr">
        <is>
          <t>Welspun Enterprises Limited</t>
        </is>
      </c>
      <c r="J11" s="31" t="inlineStr">
        <is>
          <t>realty</t>
        </is>
      </c>
      <c r="K11" s="31" t="inlineStr">
        <is>
          <t>construction</t>
        </is>
      </c>
      <c r="L11" s="31" t="inlineStr">
        <is>
          <t>midcap</t>
        </is>
      </c>
      <c r="M11" s="32" t="n">
        <v>9149.15</v>
      </c>
      <c r="N11" s="32" t="n">
        <v>692.85</v>
      </c>
      <c r="O11" s="32" t="n">
        <v>4.82</v>
      </c>
      <c r="P11" s="32" t="n">
        <v>1379989</v>
      </c>
      <c r="Q11" s="31" t="inlineStr"/>
      <c r="R11" s="31" t="inlineStr"/>
      <c r="S11" s="32">
        <f>IF(R11="Underperforming",-5,IF(Q11&gt;=95,15,IF(Q11&gt;=90,10,IF(Q11&gt;=80,5,0))))</f>
        <v/>
      </c>
      <c r="T11" s="32" t="n">
        <v>72.68000000000001</v>
      </c>
      <c r="U11" s="32" t="n">
        <v>23.45</v>
      </c>
      <c r="V11" s="32" t="n">
        <v>553.4</v>
      </c>
      <c r="W11" s="31" t="inlineStr">
        <is>
          <t>Near 52W High Breakout</t>
        </is>
      </c>
      <c r="X11" s="31" t="inlineStr">
        <is>
          <t>Nifty Realty</t>
        </is>
      </c>
      <c r="Y11" s="32" t="inlineStr"/>
      <c r="Z11" s="32" t="inlineStr"/>
      <c r="AA11" s="32" t="inlineStr"/>
      <c r="AB11" s="32" t="inlineStr"/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20 to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Less than 12%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IF(B12=0,"",RANK(B12,$B$2:$B$20,0))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139.6</v>
      </c>
      <c r="E12" s="32" t="inlineStr">
        <is>
          <t>5%</t>
        </is>
      </c>
      <c r="F12" s="32" t="n">
        <v>50000</v>
      </c>
      <c r="G12" s="32" t="n">
        <v>54</v>
      </c>
      <c r="H12" s="33" t="inlineStr">
        <is>
          <t>ANTHEM</t>
        </is>
      </c>
      <c r="I12" s="33" t="inlineStr">
        <is>
          <t>Anthem Biosciences Ltd</t>
        </is>
      </c>
      <c r="J12" s="31" t="inlineStr">
        <is>
          <t>healthcare</t>
        </is>
      </c>
      <c r="K12" s="31" t="inlineStr">
        <is>
          <t>pharmaceuticals - indian - bulk drugs &amp; formln</t>
        </is>
      </c>
      <c r="L12" s="31" t="inlineStr">
        <is>
          <t>largecap</t>
        </is>
      </c>
      <c r="M12" s="32" t="n">
        <v>49279.27</v>
      </c>
      <c r="N12" s="32" t="n">
        <v>923.05</v>
      </c>
      <c r="O12" s="32" t="n">
        <v>5.53</v>
      </c>
      <c r="P12" s="32" t="n">
        <v>2269975</v>
      </c>
      <c r="Q12" s="31" t="n">
        <v>28</v>
      </c>
      <c r="R12" s="31" t="inlineStr">
        <is>
          <t>Underperforming</t>
        </is>
      </c>
      <c r="S12" s="32">
        <f>IF(R12="Underperforming",-5,IF(Q12&gt;=95,15,IF(Q12&gt;=90,10,IF(Q12&gt;=80,5,0))))</f>
        <v/>
      </c>
      <c r="T12" s="32" t="n">
        <v>71.45999999999999</v>
      </c>
      <c r="U12" s="32" t="n">
        <v>40.03</v>
      </c>
      <c r="V12" s="32" t="n">
        <v>779.17</v>
      </c>
      <c r="W12" s="31" t="inlineStr">
        <is>
          <t>Near 52W High Breakout</t>
        </is>
      </c>
      <c r="X12" s="31" t="inlineStr">
        <is>
          <t>Nifty Pharma</t>
        </is>
      </c>
      <c r="Y12" s="32" t="n">
        <v>22.12</v>
      </c>
      <c r="Z12" s="32" t="n">
        <v>13.13</v>
      </c>
      <c r="AA12" s="32" t="n">
        <v>-7.36</v>
      </c>
      <c r="AB12" s="32" t="n">
        <v>8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Yes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Annuity, Lower One Time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Less than 12%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IF(B13=0,"",RANK(B13,$B$2:$B$20,0))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139.1</v>
      </c>
      <c r="E13" s="32" t="inlineStr">
        <is>
          <t>5%</t>
        </is>
      </c>
      <c r="F13" s="32" t="n">
        <v>50000</v>
      </c>
      <c r="G13" s="32" t="n">
        <v>9</v>
      </c>
      <c r="H13" s="31" t="inlineStr">
        <is>
          <t>TVSSRICHAK</t>
        </is>
      </c>
      <c r="I13" s="31" t="inlineStr">
        <is>
          <t>Tvs Srichakra Limited</t>
        </is>
      </c>
      <c r="J13" s="31" t="inlineStr">
        <is>
          <t>auto</t>
        </is>
      </c>
      <c r="K13" s="31" t="inlineStr">
        <is>
          <t>tyres</t>
        </is>
      </c>
      <c r="L13" s="31" t="inlineStr">
        <is>
          <t>smallcap</t>
        </is>
      </c>
      <c r="M13" s="32" t="n">
        <v>3684.57</v>
      </c>
      <c r="N13" s="32" t="n">
        <v>5311.8</v>
      </c>
      <c r="O13" s="32" t="n">
        <v>10.39</v>
      </c>
      <c r="P13" s="32" t="n">
        <v>307139</v>
      </c>
      <c r="Q13" s="31" t="inlineStr"/>
      <c r="R13" s="31" t="inlineStr"/>
      <c r="S13" s="32">
        <f>IF(R13="Underperforming",-5,IF(Q13&gt;=95,15,IF(Q13&gt;=90,10,IF(Q13&gt;=80,5,0))))</f>
        <v/>
      </c>
      <c r="T13" s="32" t="n">
        <v>75.06999999999999</v>
      </c>
      <c r="U13" s="32" t="n">
        <v>25.99</v>
      </c>
      <c r="V13" s="32" t="n">
        <v>4209.87</v>
      </c>
      <c r="W13" s="31" t="inlineStr">
        <is>
          <t>Volume Spike &amp; Near 52W High Breakout</t>
        </is>
      </c>
      <c r="X13" s="31" t="inlineStr">
        <is>
          <t>Nifty Auto</t>
        </is>
      </c>
      <c r="Y13" s="32" t="inlineStr"/>
      <c r="Z13" s="32" t="inlineStr"/>
      <c r="AA13" s="32" t="inlineStr"/>
      <c r="AB13" s="32" t="inlineStr"/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IF(B14=0,"",RANK(B14,$B$2:$B$20,0))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139.3</v>
      </c>
      <c r="E14" s="32" t="inlineStr">
        <is>
          <t>5%</t>
        </is>
      </c>
      <c r="F14" s="32" t="n">
        <v>50000</v>
      </c>
      <c r="G14" s="32" t="n">
        <v>51</v>
      </c>
      <c r="H14" s="31" t="inlineStr">
        <is>
          <t>YATHARTH</t>
        </is>
      </c>
      <c r="I14" s="31" t="inlineStr">
        <is>
          <t>Yatharth Hospital &amp; Trauma Care Services Ltd</t>
        </is>
      </c>
      <c r="J14" s="31" t="inlineStr">
        <is>
          <t>healthcare</t>
        </is>
      </c>
      <c r="K14" s="31" t="inlineStr">
        <is>
          <t>healthcare</t>
        </is>
      </c>
      <c r="L14" s="31" t="inlineStr">
        <is>
          <t>midcap</t>
        </is>
      </c>
      <c r="M14" s="32" t="n">
        <v>8893.99</v>
      </c>
      <c r="N14" s="32" t="n">
        <v>965.3</v>
      </c>
      <c r="O14" s="32" t="n">
        <v>4.58</v>
      </c>
      <c r="P14" s="32" t="n">
        <v>768000</v>
      </c>
      <c r="Q14" s="31" t="n">
        <v>44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67.72</v>
      </c>
      <c r="U14" s="32" t="n">
        <v>36.24</v>
      </c>
      <c r="V14" s="32" t="n">
        <v>772.59</v>
      </c>
      <c r="W14" s="31" t="inlineStr">
        <is>
          <t>Volume Spike &amp; Near 52W High Breakout</t>
        </is>
      </c>
      <c r="X14" s="31" t="inlineStr">
        <is>
          <t>Nifty Pharma</t>
        </is>
      </c>
      <c r="Y14" s="32" t="n">
        <v>22.12</v>
      </c>
      <c r="Z14" s="32" t="n">
        <v>38.96</v>
      </c>
      <c r="AA14" s="32" t="n">
        <v>13.8</v>
      </c>
      <c r="AB14" s="32" t="n">
        <v>11.37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Yes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Annuity, Lower One Time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Less than 12%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IF(B15=0,"",RANK(B15,$B$2:$B$20,0))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139</v>
      </c>
      <c r="E15" s="32" t="inlineStr">
        <is>
          <t>5%</t>
        </is>
      </c>
      <c r="F15" s="32" t="n">
        <v>50000</v>
      </c>
      <c r="G15" s="32" t="n">
        <v>93</v>
      </c>
      <c r="H15" s="31" t="inlineStr">
        <is>
          <t>AEROFLEX</t>
        </is>
      </c>
      <c r="I15" s="31" t="inlineStr">
        <is>
          <t>Aeroflex Industries Ltd</t>
        </is>
      </c>
      <c r="J15" s="31" t="inlineStr">
        <is>
          <t>metals &amp; mining</t>
        </is>
      </c>
      <c r="K15" s="31" t="inlineStr">
        <is>
          <t>steel - medium / small</t>
        </is>
      </c>
      <c r="L15" s="31" t="inlineStr">
        <is>
          <t>midcap</t>
        </is>
      </c>
      <c r="M15" s="32" t="n">
        <v>6560.3</v>
      </c>
      <c r="N15" s="32" t="n">
        <v>536.35</v>
      </c>
      <c r="O15" s="32" t="n">
        <v>8.19</v>
      </c>
      <c r="P15" s="32" t="n">
        <v>4177634</v>
      </c>
      <c r="Q15" s="31" t="inlineStr"/>
      <c r="R15" s="31" t="inlineStr"/>
      <c r="S15" s="32">
        <f>IF(R15="Underperforming",-5,IF(Q15&gt;=95,15,IF(Q15&gt;=90,10,IF(Q15&gt;=80,5,0))))</f>
        <v/>
      </c>
      <c r="T15" s="32" t="n">
        <v>71.92</v>
      </c>
      <c r="U15" s="32" t="n">
        <v>63.13</v>
      </c>
      <c r="V15" s="32" t="n">
        <v>385.88</v>
      </c>
      <c r="W15" s="31" t="inlineStr">
        <is>
          <t>Near 52W High Breakout</t>
        </is>
      </c>
      <c r="X15" s="31" t="inlineStr">
        <is>
          <t>Nifty Metal</t>
        </is>
      </c>
      <c r="Y15" s="32" t="inlineStr"/>
      <c r="Z15" s="32" t="inlineStr"/>
      <c r="AA15" s="32" t="inlineStr"/>
      <c r="AB15" s="32" t="inlineStr"/>
      <c r="AC15" s="31" t="inlineStr">
        <is>
          <t>Cyclical in an Upturn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Cyclical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Volatile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Between 50 to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IF(B16=0,"",RANK(B16,$B$2:$B$20,0))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139.4</v>
      </c>
      <c r="E16" s="32" t="inlineStr">
        <is>
          <t>5%</t>
        </is>
      </c>
      <c r="F16" s="32" t="n">
        <v>50000</v>
      </c>
      <c r="G16" s="32" t="n">
        <v>1</v>
      </c>
      <c r="H16" s="31" t="inlineStr">
        <is>
          <t>BOSCHLTD</t>
        </is>
      </c>
      <c r="I16" s="31" t="inlineStr">
        <is>
          <t>Bosch Limited</t>
        </is>
      </c>
      <c r="J16" s="31" t="inlineStr">
        <is>
          <t>auto</t>
        </is>
      </c>
      <c r="K16" s="31" t="inlineStr">
        <is>
          <t>auto ancillaries</t>
        </is>
      </c>
      <c r="L16" s="31" t="inlineStr">
        <is>
          <t>largecap</t>
        </is>
      </c>
      <c r="M16" s="32" t="n">
        <v>143587.01</v>
      </c>
      <c r="N16" s="32" t="n">
        <v>48895</v>
      </c>
      <c r="O16" s="32" t="n">
        <v>0.44</v>
      </c>
      <c r="P16" s="32" t="n">
        <v>28440</v>
      </c>
      <c r="Q16" s="31" t="inlineStr"/>
      <c r="R16" s="31" t="inlineStr"/>
      <c r="S16" s="32">
        <f>IF(R16="Underperforming",-5,IF(Q16&gt;=95,15,IF(Q16&gt;=90,10,IF(Q16&gt;=80,5,0))))</f>
        <v/>
      </c>
      <c r="T16" s="32" t="n">
        <v>75.92</v>
      </c>
      <c r="U16" s="32" t="n">
        <v>36.87</v>
      </c>
      <c r="V16" s="32" t="n">
        <v>41824.25</v>
      </c>
      <c r="W16" s="31" t="inlineStr">
        <is>
          <t>Near 52W High Breakout</t>
        </is>
      </c>
      <c r="X16" s="31" t="inlineStr">
        <is>
          <t>Nifty Auto</t>
        </is>
      </c>
      <c r="Y16" s="32" t="inlineStr"/>
      <c r="Z16" s="32" t="inlineStr"/>
      <c r="AA16" s="32" t="inlineStr"/>
      <c r="AB16" s="32" t="inlineStr"/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Less than 12%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IF(B17=0,"",RANK(B17,$B$2:$B$20,0))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140</v>
      </c>
      <c r="E17" s="32" t="inlineStr">
        <is>
          <t>5%</t>
        </is>
      </c>
      <c r="F17" s="32" t="n">
        <v>50000</v>
      </c>
      <c r="G17" s="32" t="n">
        <v>885</v>
      </c>
      <c r="H17" s="31" t="inlineStr">
        <is>
          <t>PVP</t>
        </is>
      </c>
      <c r="I17" s="31" t="inlineStr">
        <is>
          <t>Pvp Ventures Limited</t>
        </is>
      </c>
      <c r="J17" s="31" t="inlineStr">
        <is>
          <t>realty</t>
        </is>
      </c>
      <c r="K17" s="31" t="inlineStr">
        <is>
          <t>construction</t>
        </is>
      </c>
      <c r="L17" s="31" t="inlineStr">
        <is>
          <t>smallcap</t>
        </is>
      </c>
      <c r="M17" s="32" t="n">
        <v>1337.17</v>
      </c>
      <c r="N17" s="32" t="n">
        <v>56.48</v>
      </c>
      <c r="O17" s="32" t="n">
        <v>9.99</v>
      </c>
      <c r="P17" s="32" t="n">
        <v>6202419</v>
      </c>
      <c r="Q17" s="31" t="inlineStr"/>
      <c r="R17" s="31" t="inlineStr"/>
      <c r="S17" s="32">
        <f>IF(R17="Underperforming",-5,IF(Q17&gt;=95,15,IF(Q17&gt;=90,10,IF(Q17&gt;=80,5,0))))</f>
        <v/>
      </c>
      <c r="T17" s="32" t="n">
        <v>78.94</v>
      </c>
      <c r="U17" s="32" t="n">
        <v>19.38</v>
      </c>
      <c r="V17" s="32" t="n">
        <v>41.64</v>
      </c>
      <c r="W17" s="31" t="inlineStr">
        <is>
          <t>Volume Spike &amp; Near 52W High Breakout</t>
        </is>
      </c>
      <c r="X17" s="31" t="inlineStr">
        <is>
          <t>Nifty Realty</t>
        </is>
      </c>
      <c r="Y17" s="32" t="inlineStr"/>
      <c r="Z17" s="32" t="inlineStr"/>
      <c r="AA17" s="32" t="inlineStr"/>
      <c r="AB17" s="32" t="inlineStr"/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0 to 20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Less than 0.7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IF(B18=0,"",RANK(B18,$B$2:$B$20,0))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139.7</v>
      </c>
      <c r="E18" s="32" t="inlineStr">
        <is>
          <t>5%</t>
        </is>
      </c>
      <c r="F18" s="32" t="n">
        <v>50000</v>
      </c>
      <c r="G18" s="32" t="n">
        <v>40</v>
      </c>
      <c r="H18" s="31" t="inlineStr">
        <is>
          <t>MAHASTEEL</t>
        </is>
      </c>
      <c r="I18" s="31" t="inlineStr">
        <is>
          <t>Mahamaya Steel Industries Limited</t>
        </is>
      </c>
      <c r="J18" s="31" t="inlineStr">
        <is>
          <t>metals &amp; mining</t>
        </is>
      </c>
      <c r="K18" s="31" t="inlineStr">
        <is>
          <t>steel - medium / small</t>
        </is>
      </c>
      <c r="L18" s="31" t="inlineStr">
        <is>
          <t>smallcap</t>
        </is>
      </c>
      <c r="M18" s="32" t="n">
        <v>1975.58</v>
      </c>
      <c r="N18" s="32" t="n">
        <v>1239</v>
      </c>
      <c r="O18" s="32" t="n">
        <v>3.07</v>
      </c>
      <c r="P18" s="32" t="n">
        <v>37632</v>
      </c>
      <c r="Q18" s="31" t="inlineStr"/>
      <c r="R18" s="31" t="inlineStr"/>
      <c r="S18" s="32">
        <f>IF(R18="Underperforming",-5,IF(Q18&gt;=95,15,IF(Q18&gt;=90,10,IF(Q18&gt;=80,5,0))))</f>
        <v/>
      </c>
      <c r="T18" s="32" t="n">
        <v>71.84</v>
      </c>
      <c r="U18" s="32" t="n">
        <v>20.21</v>
      </c>
      <c r="V18" s="32" t="n">
        <v>923.96</v>
      </c>
      <c r="W18" s="31" t="inlineStr">
        <is>
          <t>Near 52W High Breakout</t>
        </is>
      </c>
      <c r="X18" s="31" t="inlineStr">
        <is>
          <t>Nifty Metal</t>
        </is>
      </c>
      <c r="Y18" s="32" t="inlineStr"/>
      <c r="Z18" s="32" t="inlineStr"/>
      <c r="AA18" s="32" t="inlineStr"/>
      <c r="AB18" s="32" t="inlineStr"/>
      <c r="AC18" s="31" t="inlineStr">
        <is>
          <t>Cyclical in an Upturn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Cyclical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Volatile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Less than 0.7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IF(B19=0,"",RANK(B19,$B$2:$B$20,0))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139.3</v>
      </c>
      <c r="E19" s="32" t="inlineStr">
        <is>
          <t>5%</t>
        </is>
      </c>
      <c r="F19" s="32" t="n">
        <v>50000</v>
      </c>
      <c r="G19" s="32" t="n">
        <v>95</v>
      </c>
      <c r="H19" s="31" t="inlineStr">
        <is>
          <t>RAMRAT</t>
        </is>
      </c>
      <c r="I19" s="31" t="inlineStr">
        <is>
          <t>Ram Ratna Wires Ltd</t>
        </is>
      </c>
      <c r="J19" s="31" t="inlineStr">
        <is>
          <t>metals &amp; mining</t>
        </is>
      </c>
      <c r="K19" s="31" t="inlineStr">
        <is>
          <t>mining / minerals / metals</t>
        </is>
      </c>
      <c r="L19" s="31" t="inlineStr">
        <is>
          <t>smallcap</t>
        </is>
      </c>
      <c r="M19" s="32" t="n">
        <v>4569.9</v>
      </c>
      <c r="N19" s="32" t="n">
        <v>524</v>
      </c>
      <c r="O19" s="32" t="n">
        <v>7.04</v>
      </c>
      <c r="P19" s="32" t="n">
        <v>925564</v>
      </c>
      <c r="Q19" s="31" t="inlineStr"/>
      <c r="R19" s="31" t="inlineStr"/>
      <c r="S19" s="32">
        <f>IF(R19="Underperforming",-5,IF(Q19&gt;=95,15,IF(Q19&gt;=90,10,IF(Q19&gt;=80,5,0))))</f>
        <v/>
      </c>
      <c r="T19" s="32" t="n">
        <v>75.7</v>
      </c>
      <c r="U19" s="32" t="n">
        <v>42.95</v>
      </c>
      <c r="V19" s="32" t="n">
        <v>399.58</v>
      </c>
      <c r="W19" s="31" t="inlineStr">
        <is>
          <t>Near 52W High Breakout</t>
        </is>
      </c>
      <c r="X19" s="31" t="inlineStr">
        <is>
          <t>Nifty Metal</t>
        </is>
      </c>
      <c r="Y19" s="32" t="inlineStr"/>
      <c r="Z19" s="32" t="inlineStr"/>
      <c r="AA19" s="32" t="inlineStr"/>
      <c r="AB19" s="32" t="inlineStr"/>
      <c r="AC19" s="31" t="inlineStr">
        <is>
          <t>Cyclical in an Upturn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Cyclical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Volatile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Above 40</t>
        </is>
      </c>
      <c r="BD19" s="31">
        <f>IF(BC19="Above 40",20,IF(BC19="20 to 40",10,IF(BC19="0 to 20",-5,0)))</f>
        <v/>
      </c>
      <c r="BE19" s="31" t="inlineStr">
        <is>
          <t>Above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Between 0.7 to 1.2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IF(B20=0,"",RANK(B20,$B$2:$B$20,0))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139</v>
      </c>
      <c r="E20" s="32" t="inlineStr">
        <is>
          <t>5%</t>
        </is>
      </c>
      <c r="F20" s="32" t="n">
        <v>50000</v>
      </c>
      <c r="G20" s="32" t="n">
        <v>20</v>
      </c>
      <c r="H20" s="31" t="inlineStr">
        <is>
          <t>BALAMINES</t>
        </is>
      </c>
      <c r="I20" s="31" t="inlineStr">
        <is>
          <t>Balaji Amines Limited</t>
        </is>
      </c>
      <c r="J20" s="31" t="inlineStr">
        <is>
          <t>chemicals</t>
        </is>
      </c>
      <c r="K20" s="31" t="inlineStr">
        <is>
          <t>chemicals</t>
        </is>
      </c>
      <c r="L20" s="31" t="inlineStr">
        <is>
          <t>midcap</t>
        </is>
      </c>
      <c r="M20" s="32" t="n">
        <v>7593.5</v>
      </c>
      <c r="N20" s="32" t="n">
        <v>2437.2</v>
      </c>
      <c r="O20" s="32" t="n">
        <v>3.99</v>
      </c>
      <c r="P20" s="32" t="n">
        <v>519491</v>
      </c>
      <c r="Q20" s="31" t="n">
        <v>76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69.64</v>
      </c>
      <c r="U20" s="32" t="n">
        <v>59.52</v>
      </c>
      <c r="V20" s="32" t="n">
        <v>1769.58</v>
      </c>
      <c r="W20" s="31" t="inlineStr">
        <is>
          <t>Near 52W High Breakout</t>
        </is>
      </c>
      <c r="X20" s="31" t="inlineStr">
        <is>
          <t>Nifty 50</t>
        </is>
      </c>
      <c r="Y20" s="32" t="n">
        <v>-0.9</v>
      </c>
      <c r="Z20" s="32" t="n">
        <v>68.09999999999999</v>
      </c>
      <c r="AA20" s="32" t="n">
        <v>69.63</v>
      </c>
      <c r="AB20" s="32" t="n">
        <v>22.52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Duopoly That Cooperate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No</t>
        </is>
      </c>
      <c r="AH20" s="31">
        <f>IF(AG20="No",5,0)</f>
        <v/>
      </c>
      <c r="AI20" s="31" t="inlineStr">
        <is>
          <t>Headwind</t>
        </is>
      </c>
      <c r="AJ20" s="31">
        <f>IF(AI20="Tailwind",10,0)</f>
        <v/>
      </c>
      <c r="AK20" s="31" t="inlineStr">
        <is>
          <t>Shallow Cyclical (2 to 3 Years Growth)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One Time, Lower Annuity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20 to 40</t>
        </is>
      </c>
      <c r="BD20" s="31">
        <f>IF(BC20="Above 40",20,IF(BC20="20 to 40",10,IF(BC20="0 to 20",-5,0)))</f>
        <v/>
      </c>
      <c r="BE20" s="31" t="inlineStr">
        <is>
          <t>Between 50 to 75</t>
        </is>
      </c>
      <c r="BF20" s="31">
        <f>IF(BE20="Between 50 to 75",10,IF(BE20="Above 75",0,0))</f>
        <v/>
      </c>
      <c r="BG20" s="31" t="inlineStr">
        <is>
          <t>Stage 4</t>
        </is>
      </c>
      <c r="BH20" s="31">
        <f>IF(BG20="Stage 2",20,IF(BG20="Stage 1",0,IF(BG20="Stage 3",5,IF(BG20="Stage 4",-5,0))))</f>
        <v/>
      </c>
      <c r="BI20" s="31" t="inlineStr">
        <is>
          <t>Negative Trend</t>
        </is>
      </c>
      <c r="BJ20" s="31">
        <f>IF(BI20="Positive Trend",20,IF(BI20="Negative Trend",-10,0))</f>
        <v/>
      </c>
      <c r="BK20" s="31" t="inlineStr">
        <is>
          <t>Downtrend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Overhead supply in last 2 years in last 2 years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No</t>
        </is>
      </c>
      <c r="BR20" s="31">
        <f>IF(BQ20="Yes",10,0)</f>
        <v/>
      </c>
      <c r="BS20" s="31" t="inlineStr">
        <is>
          <t>More than 20%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No</t>
        </is>
      </c>
      <c r="BX20" s="31">
        <f>IF(BW20="NO",5,0)</f>
        <v/>
      </c>
      <c r="BY20" s="31" t="inlineStr">
        <is>
          <t>Less than 1.5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</sheetData>
  <autoFilter ref="A1:CJ20"/>
  <conditionalFormatting sqref="B2:B20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0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0">
    <cfRule type="cellIs" priority="36" operator="equal" dxfId="3" stopIfTrue="1">
      <formula>"Underperforming"</formula>
    </cfRule>
  </conditionalFormatting>
  <conditionalFormatting sqref="S2:S20">
    <cfRule type="cellIs" priority="37" operator="equal" dxfId="3" stopIfTrue="1">
      <formula>-5</formula>
    </cfRule>
  </conditionalFormatting>
  <conditionalFormatting sqref="V2:V20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0" showDropDown="0" showInputMessage="0" showErrorMessage="0" allowBlank="1" type="list">
      <formula1>"Growing Industry,Stagnant Industry,Cyclical in an Upturn"</formula1>
    </dataValidation>
    <dataValidation sqref="AE2:AE20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0" showDropDown="0" showInputMessage="0" showErrorMessage="0" allowBlank="1" type="list">
      <formula1>"Yes,No"</formula1>
    </dataValidation>
    <dataValidation sqref="AI2:AI20" showDropDown="0" showInputMessage="0" showErrorMessage="0" allowBlank="1" type="list">
      <formula1>"Tailwind,Headwind"</formula1>
    </dataValidation>
    <dataValidation sqref="AK2:AK20" showDropDown="0" showInputMessage="0" showErrorMessage="0" allowBlank="1" type="list">
      <formula1>"Structural (10 Years Consistency),Shallow Cyclical (2 to 3 Years Growth),Cyclical"</formula1>
    </dataValidation>
    <dataValidation sqref="AM2:AM20" showDropDown="0" showInputMessage="0" showErrorMessage="0" allowBlank="1" type="list">
      <formula1>"Yes due to Product Mix change or Operating Leverage,Yes, these are peak margins,No"</formula1>
    </dataValidation>
    <dataValidation sqref="AO2:AO20" showDropDown="0" showInputMessage="0" showErrorMessage="0" allowBlank="1" type="list">
      <formula1>"Stable,Volatile"</formula1>
    </dataValidation>
    <dataValidation sqref="AQ2:AQ20" showDropDown="0" showInputMessage="0" showErrorMessage="0" allowBlank="1" type="list">
      <formula1>"Yes,No"</formula1>
    </dataValidation>
    <dataValidation sqref="AS2:AS20" showDropDown="0" showInputMessage="0" showErrorMessage="0" allowBlank="1" type="list">
      <formula1>"B2C,B2B,B2G"</formula1>
    </dataValidation>
    <dataValidation sqref="AU2:AU20" showDropDown="0" showInputMessage="0" showErrorMessage="0" allowBlank="1" type="list">
      <formula1>"Yes,No"</formula1>
    </dataValidation>
    <dataValidation sqref="AW2:AW20" showDropDown="0" showInputMessage="0" showErrorMessage="0" allowBlank="1" type="list">
      <formula1>"Fully Annuity,Higher Annuity, Lower One time,Higher One Time, Lower Annuity,Fully One Time"</formula1>
    </dataValidation>
    <dataValidation sqref="AY2:AY20" showDropDown="0" showInputMessage="0" showErrorMessage="0" allowBlank="1" type="list">
      <formula1>"Good,Allocated capital in Non-core Areas"</formula1>
    </dataValidation>
    <dataValidation sqref="BA2:BA20" showDropDown="0" showInputMessage="0" showErrorMessage="0" allowBlank="1" type="list">
      <formula1>"Yes for more than 2 years,Yes only for next 1 to 2 years,No"</formula1>
    </dataValidation>
    <dataValidation sqref="BC2:BC20" showDropDown="0" showInputMessage="0" showErrorMessage="0" allowBlank="1" type="list">
      <formula1>"Above 40,20 to 40,0 to 20"</formula1>
    </dataValidation>
    <dataValidation sqref="BE2:BE20" showDropDown="0" showInputMessage="0" showErrorMessage="0" allowBlank="1" type="list">
      <formula1>"Between 50 to 75,Above 75,Below 45"</formula1>
    </dataValidation>
    <dataValidation sqref="BG2:BG20" showDropDown="0" showInputMessage="0" showErrorMessage="0" allowBlank="1" type="list">
      <formula1>"Stage 1,Stage 2,Stage 3,Stage 4"</formula1>
    </dataValidation>
    <dataValidation sqref="BI2:BI20" showDropDown="0" showInputMessage="0" showErrorMessage="0" allowBlank="1" type="list">
      <formula1>"Positive Trend,Negative Trend"</formula1>
    </dataValidation>
    <dataValidation sqref="BK2:BK20" showDropDown="0" showInputMessage="0" showErrorMessage="0" allowBlank="1" type="list">
      <formula1>"Uptrend,Sideways,Downtrend"</formula1>
    </dataValidation>
    <dataValidation sqref="BM2:BM20" showDropDown="0" showInputMessage="0" showErrorMessage="0" allowBlank="1" type="list">
      <formula1>"Uptrend,Sideways,Downtrend"</formula1>
    </dataValidation>
    <dataValidation sqref="BO2:BO20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0" showDropDown="0" showInputMessage="0" showErrorMessage="0" allowBlank="1" type="list">
      <formula1>"Yes,No"</formula1>
    </dataValidation>
    <dataValidation sqref="BS2:BS20" showDropDown="0" showInputMessage="0" showErrorMessage="0" allowBlank="1" type="list">
      <formula1>"More than 20%,Between 12 to 20%,Less than 12%"</formula1>
    </dataValidation>
    <dataValidation sqref="BU2:BU20" showDropDown="0" showInputMessage="0" showErrorMessage="0" allowBlank="1" type="list">
      <formula1>"Yes,No"</formula1>
    </dataValidation>
    <dataValidation sqref="BW2:BW20" showDropDown="0" showInputMessage="0" showErrorMessage="0" allowBlank="1" type="list">
      <formula1>"Yes,No"</formula1>
    </dataValidation>
    <dataValidation sqref="BY2:BY20" showDropDown="0" showInputMessage="0" showErrorMessage="0" allowBlank="1" type="list">
      <formula1>"Above 2,Between 1.5 to 2,Less than 1.5"</formula1>
    </dataValidation>
    <dataValidation sqref="CA2:CA20" showDropDown="0" showInputMessage="0" showErrorMessage="0" allowBlank="1" type="list">
      <formula1>"Above 70%,Between 50% to 70%,Less than 50%,Less than 50% and Borrowings are increasing,Negative"</formula1>
    </dataValidation>
    <dataValidation sqref="CC2:CC20" showDropDown="0" showInputMessage="0" showErrorMessage="0" allowBlank="1" type="list">
      <formula1>"More than 1.2,Between 0.7 to 1.2,Less than 0.7"</formula1>
    </dataValidation>
    <dataValidation sqref="CE2:CE20" showDropDown="0" showInputMessage="0" showErrorMessage="0" allowBlank="1" type="list">
      <formula1>"Yes,No"</formula1>
    </dataValidation>
    <dataValidation sqref="CG2:CG20" showDropDown="0" showInputMessage="0" showErrorMessage="0" allowBlank="1" type="list">
      <formula1>"More than 15%,Less than 15%"</formula1>
    </dataValidation>
    <dataValidation sqref="CI2:CI20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4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IF(B2=0,"",RANK(B2,$B$2:$B$4,0))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140</v>
      </c>
      <c r="E2" s="32" t="inlineStr">
        <is>
          <t>5%</t>
        </is>
      </c>
      <c r="F2" s="32" t="n">
        <v>50000</v>
      </c>
      <c r="G2" s="32" t="n">
        <v>21</v>
      </c>
      <c r="H2" s="31" t="inlineStr">
        <is>
          <t>WELINV</t>
        </is>
      </c>
      <c r="I2" s="31" t="inlineStr">
        <is>
          <t>Welspun Investments And Commercials Limited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smallcap</t>
        </is>
      </c>
      <c r="M2" s="32" t="n">
        <v>814.66</v>
      </c>
      <c r="N2" s="32" t="n">
        <v>2340.6</v>
      </c>
      <c r="O2" s="32" t="n">
        <v>5</v>
      </c>
      <c r="P2" s="32" t="n">
        <v>2626</v>
      </c>
      <c r="Q2" s="31" t="n">
        <v>86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84.45</v>
      </c>
      <c r="U2" s="32" t="n">
        <v>55.24</v>
      </c>
      <c r="V2" s="32" t="n">
        <v>1812.37</v>
      </c>
      <c r="W2" s="31" t="inlineStr">
        <is>
          <t>Near 52W High Breakout</t>
        </is>
      </c>
      <c r="X2" s="31" t="inlineStr">
        <is>
          <t>Nifty Bank</t>
        </is>
      </c>
      <c r="Y2" s="32" t="n">
        <v>7.69</v>
      </c>
      <c r="Z2" s="32" t="n">
        <v>149.24</v>
      </c>
      <c r="AA2" s="32" t="n">
        <v>131.43</v>
      </c>
      <c r="AB2" s="32" t="n">
        <v>26.46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IF(B3=0,"",RANK(B3,$B$2:$B$4,0))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139</v>
      </c>
      <c r="E3" s="32" t="inlineStr">
        <is>
          <t>5%</t>
        </is>
      </c>
      <c r="F3" s="32" t="n">
        <v>50000</v>
      </c>
      <c r="G3" s="32" t="n">
        <v>148</v>
      </c>
      <c r="H3" s="31" t="inlineStr">
        <is>
          <t>KTKBANK</t>
        </is>
      </c>
      <c r="I3" s="31" t="inlineStr">
        <is>
          <t>The Karnataka Bank Limited</t>
        </is>
      </c>
      <c r="J3" s="31" t="inlineStr">
        <is>
          <t>bank</t>
        </is>
      </c>
      <c r="K3" s="31" t="inlineStr">
        <is>
          <t>banks - private sector</t>
        </is>
      </c>
      <c r="L3" s="31" t="inlineStr">
        <is>
          <t>midcap</t>
        </is>
      </c>
      <c r="M3" s="32" t="n">
        <v>12654.68</v>
      </c>
      <c r="N3" s="32" t="n">
        <v>337.7</v>
      </c>
      <c r="O3" s="32" t="n">
        <v>0.93</v>
      </c>
      <c r="P3" s="32" t="n">
        <v>4342407</v>
      </c>
      <c r="Q3" s="31" t="n">
        <v>73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79.81</v>
      </c>
      <c r="U3" s="32" t="n">
        <v>48.11</v>
      </c>
      <c r="V3" s="32" t="n">
        <v>280.51</v>
      </c>
      <c r="W3" s="31" t="inlineStr">
        <is>
          <t>Near 52W High Breakout</t>
        </is>
      </c>
      <c r="X3" s="31" t="inlineStr">
        <is>
          <t>Nifty Bank</t>
        </is>
      </c>
      <c r="Y3" s="32" t="n">
        <v>7.69</v>
      </c>
      <c r="Z3" s="32" t="n">
        <v>102.34</v>
      </c>
      <c r="AA3" s="32" t="n">
        <v>87.88</v>
      </c>
      <c r="AB3" s="32" t="n">
        <v>21.25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Above 40</t>
        </is>
      </c>
      <c r="BR3" s="31">
        <f>IF(BQ3="Above 40",20,IF(BQ3="20 to 40",10,IF(BQ3="0 to 20",-5,0)))</f>
        <v/>
      </c>
      <c r="BS3" s="31" t="inlineStr">
        <is>
          <t>Above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IF(B4=0,"",RANK(B4,$B$2:$B$4,0))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EMA Crossover</t>
        </is>
      </c>
      <c r="D4" s="32" t="n">
        <v>142.2</v>
      </c>
      <c r="E4" s="32" t="inlineStr">
        <is>
          <t>7%</t>
        </is>
      </c>
      <c r="F4" s="32" t="n">
        <v>70000</v>
      </c>
      <c r="G4" s="32" t="n">
        <v>692</v>
      </c>
      <c r="H4" s="33" t="inlineStr">
        <is>
          <t>SBFC</t>
        </is>
      </c>
      <c r="I4" s="33" t="inlineStr">
        <is>
          <t>SBFC Finance Ltd</t>
        </is>
      </c>
      <c r="J4" s="31" t="inlineStr">
        <is>
          <t>financials</t>
        </is>
      </c>
      <c r="K4" s="31" t="inlineStr">
        <is>
          <t>finance &amp; investments</t>
        </is>
      </c>
      <c r="L4" s="31" t="inlineStr">
        <is>
          <t>midcap</t>
        </is>
      </c>
      <c r="M4" s="32" t="n">
        <v>10272.48</v>
      </c>
      <c r="N4" s="32" t="n">
        <v>101.14</v>
      </c>
      <c r="O4" s="32" t="n">
        <v>9.02</v>
      </c>
      <c r="P4" s="32" t="n">
        <v>19087017</v>
      </c>
      <c r="Q4" s="31" t="n">
        <v>2</v>
      </c>
      <c r="R4" s="31" t="inlineStr">
        <is>
          <t>Underperforming</t>
        </is>
      </c>
      <c r="S4" s="32">
        <f>IF(R4="Underperforming",-5,IF(Q4&gt;=95,15,IF(Q4&gt;=90,10,IF(Q4&gt;=80,5,0))))</f>
        <v/>
      </c>
      <c r="T4" s="32" t="n">
        <v>58.41</v>
      </c>
      <c r="U4" s="32" t="n">
        <v>11.01</v>
      </c>
      <c r="V4" s="32" t="n">
        <v>82.53</v>
      </c>
      <c r="W4" s="31" t="inlineStr">
        <is>
          <t>Volume Spike / Accumulation</t>
        </is>
      </c>
      <c r="X4" s="31" t="inlineStr">
        <is>
          <t>Nifty Bank</t>
        </is>
      </c>
      <c r="Y4" s="32" t="n">
        <v>7.69</v>
      </c>
      <c r="Z4" s="32" t="n">
        <v>-4.22</v>
      </c>
      <c r="AA4" s="32" t="n">
        <v>-11.07</v>
      </c>
      <c r="AB4" s="32" t="n">
        <v>0.87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between 2.5x to 5x and Growth more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0 to 20</t>
        </is>
      </c>
      <c r="BR4" s="31">
        <f>IF(BQ4="Above 40",20,IF(BQ4="20 to 40",10,IF(BQ4="0 to 20",-5,0)))</f>
        <v/>
      </c>
      <c r="BS4" s="31" t="inlineStr">
        <is>
          <t>Between 50 to 75</t>
        </is>
      </c>
      <c r="BT4" s="31">
        <f>IF(BS4="Between 50 to 75",10,IF(BS4="Above 75",0,0))</f>
        <v/>
      </c>
      <c r="BU4" s="31" t="inlineStr">
        <is>
          <t>Stage 1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Close to 52 week high or retracement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</sheetData>
  <autoFilter ref="A1:CF4"/>
  <conditionalFormatting sqref="B2:B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4">
    <cfRule type="cellIs" priority="34" operator="equal" dxfId="3" stopIfTrue="1">
      <formula>"Underperforming"</formula>
    </cfRule>
  </conditionalFormatting>
  <conditionalFormatting sqref="S2:S4">
    <cfRule type="cellIs" priority="35" operator="equal" dxfId="3" stopIfTrue="1">
      <formula>-5</formula>
    </cfRule>
  </conditionalFormatting>
  <conditionalFormatting sqref="V2:V4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4" showDropDown="0" showInputMessage="0" showErrorMessage="0" allowBlank="1" type="list">
      <formula1>"Growing Industry,Stagnant Industry,Cyclical in an Upturn"</formula1>
    </dataValidation>
    <dataValidation sqref="AE2:AE4" showDropDown="0" showInputMessage="0" showErrorMessage="0" allowBlank="1" type="list">
      <formula1>"Fragmented with Low ROE,Fragmented with High ROE,Highly Cyclical"</formula1>
    </dataValidation>
    <dataValidation sqref="AG2:AG4" showDropDown="0" showInputMessage="0" showErrorMessage="0" allowBlank="1" type="list">
      <formula1>"Yes,No"</formula1>
    </dataValidation>
    <dataValidation sqref="AI2:AI4" showDropDown="0" showInputMessage="0" showErrorMessage="0" allowBlank="1" type="list">
      <formula1>"Tailwind,Headwind"</formula1>
    </dataValidation>
    <dataValidation sqref="AK2:AK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4" showDropDown="0" showInputMessage="0" showErrorMessage="0" allowBlank="1" type="list">
      <formula1>"Yes,No"</formula1>
    </dataValidation>
    <dataValidation sqref="AO2:AO4" showDropDown="0" showInputMessage="0" showErrorMessage="0" allowBlank="1" type="list">
      <formula1>"Yes,No,Not Applicable"</formula1>
    </dataValidation>
    <dataValidation sqref="AQ2:AQ4" showDropDown="0" showInputMessage="0" showErrorMessage="0" allowBlank="1" type="list">
      <formula1>"Yes,No"</formula1>
    </dataValidation>
    <dataValidation sqref="AS2:AS4" showDropDown="0" showInputMessage="0" showErrorMessage="0" allowBlank="1" type="list">
      <formula1>"Yes,No"</formula1>
    </dataValidation>
    <dataValidation sqref="AU2:AU4" showDropDown="0" showInputMessage="0" showErrorMessage="0" allowBlank="1" type="list">
      <formula1>"Yes,No"</formula1>
    </dataValidation>
    <dataValidation sqref="AW2:AW4" showDropDown="0" showInputMessage="0" showErrorMessage="0" allowBlank="1" type="list">
      <formula1>"Yes,No"</formula1>
    </dataValidation>
    <dataValidation sqref="AY2:AY4" showDropDown="0" showInputMessage="0" showErrorMessage="0" allowBlank="1" type="list">
      <formula1>"No,Yes"</formula1>
    </dataValidation>
    <dataValidation sqref="BA2:BA4" showDropDown="0" showInputMessage="0" showErrorMessage="0" allowBlank="1" type="list">
      <formula1>"No,Yes"</formula1>
    </dataValidation>
    <dataValidation sqref="BC2:BC4" showDropDown="0" showInputMessage="0" showErrorMessage="0" allowBlank="1" type="list">
      <formula1>"No,Yes CEO Resignation,Yes CEO Retirement"</formula1>
    </dataValidation>
    <dataValidation sqref="BE2:BE4" showDropDown="0" showInputMessage="0" showErrorMessage="0" allowBlank="1" type="list">
      <formula1>"No,Yes"</formula1>
    </dataValidation>
    <dataValidation sqref="BG2:BG4" showDropDown="0" showInputMessage="0" showErrorMessage="0" allowBlank="1" type="list">
      <formula1>"No,Yes"</formula1>
    </dataValidation>
    <dataValidation sqref="BI2:BI4" showDropDown="0" showInputMessage="0" showErrorMessage="0" allowBlank="1" type="list">
      <formula1>"Yes,No"</formula1>
    </dataValidation>
    <dataValidation sqref="BK2:BK4" showDropDown="0" showInputMessage="0" showErrorMessage="0" allowBlank="1" type="list">
      <formula1>"Yes,No"</formula1>
    </dataValidation>
    <dataValidation sqref="BM2:BM4" showDropDown="0" showInputMessage="0" showErrorMessage="0" allowBlank="1" type="list">
      <formula1>"Yes,No"</formula1>
    </dataValidation>
    <dataValidation sqref="BO2:BO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4" showDropDown="0" showInputMessage="0" showErrorMessage="0" allowBlank="1" type="list">
      <formula1>"Above 40,20 to 40,0 to 20"</formula1>
    </dataValidation>
    <dataValidation sqref="BS2:BS4" showDropDown="0" showInputMessage="0" showErrorMessage="0" allowBlank="1" type="list">
      <formula1>"Between 50 to 75,Above 75,Below 45"</formula1>
    </dataValidation>
    <dataValidation sqref="BU2:BU4" showDropDown="0" showInputMessage="0" showErrorMessage="0" allowBlank="1" type="list">
      <formula1>"Stage 1,Stage 2,Stage 3,Stage 4"</formula1>
    </dataValidation>
    <dataValidation sqref="BW2:BW4" showDropDown="0" showInputMessage="0" showErrorMessage="0" allowBlank="1" type="list">
      <formula1>"Positive Trend,Negative Trend"</formula1>
    </dataValidation>
    <dataValidation sqref="BY2:BY4" showDropDown="0" showInputMessage="0" showErrorMessage="0" allowBlank="1" type="list">
      <formula1>"Uptrend,Sideways,Downtrend"</formula1>
    </dataValidation>
    <dataValidation sqref="CA2:CA4" showDropDown="0" showInputMessage="0" showErrorMessage="0" allowBlank="1" type="list">
      <formula1>"Uptrend,Sideways,Downtrend"</formula1>
    </dataValidation>
    <dataValidation sqref="CC2:CC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3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IF(B2=0,"",RANK(B2,$B$2:$B$97,0))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VADILALIND</t>
        </is>
      </c>
      <c r="D2" s="31" t="inlineStr">
        <is>
          <t>Vadilal Industries Ltd</t>
        </is>
      </c>
      <c r="E2" s="31" t="inlineStr">
        <is>
          <t>fmcg</t>
        </is>
      </c>
      <c r="F2" s="31" t="inlineStr">
        <is>
          <t>FMCG - Dairy Products</t>
        </is>
      </c>
      <c r="G2" s="31" t="inlineStr">
        <is>
          <t>midcap</t>
        </is>
      </c>
      <c r="H2" s="32" t="n">
        <v>5332.65</v>
      </c>
      <c r="I2" s="32" t="n">
        <v>7419</v>
      </c>
      <c r="J2" s="32" t="n">
        <v>-0.25</v>
      </c>
      <c r="K2" s="32" t="n">
        <v>0</v>
      </c>
      <c r="L2" s="31" t="inlineStr"/>
      <c r="M2" s="31" t="inlineStr"/>
      <c r="N2" s="32">
        <f>IF(M2="Underperforming",-5,IF(L2&gt;=95,15,IF(L2&gt;=90,10,IF(L2&gt;=80,5,0))))</f>
        <v/>
      </c>
      <c r="O2" s="32" t="n">
        <v>73.05</v>
      </c>
      <c r="P2" s="32" t="n">
        <v>48.99</v>
      </c>
      <c r="Q2" s="32" t="n">
        <v>6206.29</v>
      </c>
      <c r="R2" s="31" t="inlineStr">
        <is>
          <t>Near 52W High Breakout</t>
        </is>
      </c>
      <c r="S2" s="31" t="inlineStr">
        <is>
          <t>Nifty FMCG</t>
        </is>
      </c>
      <c r="T2" s="32" t="inlineStr"/>
      <c r="U2" s="32" t="inlineStr"/>
      <c r="V2" s="32" t="inlineStr"/>
      <c r="W2" s="32" t="inlineStr"/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B2C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21</t>
        </is>
      </c>
      <c r="CG2" s="31">
        <f>IF(CF2&gt;20,10,IF(CF2&gt;=10,5,2))</f>
        <v/>
      </c>
    </row>
    <row r="3">
      <c r="A3" s="31">
        <f>IF(B3=0,"",RANK(B3,$B$2:$B$97,0))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TIMEX</t>
        </is>
      </c>
      <c r="D3" s="31" t="inlineStr">
        <is>
          <t>Timex Group India Ltd</t>
        </is>
      </c>
      <c r="E3" s="31" t="inlineStr">
        <is>
          <t>Consumer Cyclical</t>
        </is>
      </c>
      <c r="F3" s="31" t="inlineStr">
        <is>
          <t>Watches</t>
        </is>
      </c>
      <c r="G3" s="31" t="inlineStr">
        <is>
          <t>midcap</t>
        </is>
      </c>
      <c r="H3" s="32" t="n">
        <v>6410.33</v>
      </c>
      <c r="I3" s="32" t="n">
        <v>635</v>
      </c>
      <c r="J3" s="32" t="n">
        <v>2.94</v>
      </c>
      <c r="K3" s="32" t="n">
        <v>0</v>
      </c>
      <c r="L3" s="31" t="n">
        <v>85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70.75</v>
      </c>
      <c r="P3" s="32" t="n">
        <v>59.18</v>
      </c>
      <c r="Q3" s="32" t="n">
        <v>473.25</v>
      </c>
      <c r="R3" s="31" t="inlineStr">
        <is>
          <t>Near 52W High Breakout</t>
        </is>
      </c>
      <c r="S3" s="31" t="inlineStr">
        <is>
          <t>Nifty 50</t>
        </is>
      </c>
      <c r="T3" s="32" t="n">
        <v>-0.9</v>
      </c>
      <c r="U3" s="32" t="n">
        <v>98.53</v>
      </c>
      <c r="V3" s="32" t="n">
        <v>100.33</v>
      </c>
      <c r="W3" s="32" t="n">
        <v>25.8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B2C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Yes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20</t>
        </is>
      </c>
      <c r="CG3" s="31">
        <f>IF(CF3&gt;20,10,IF(CF3&gt;=10,5,2))</f>
        <v/>
      </c>
    </row>
    <row r="4">
      <c r="A4" s="31">
        <f>IF(B4=0,"",RANK(B4,$B$2:$B$97,0))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INDOBORAX</t>
        </is>
      </c>
      <c r="D4" s="31" t="inlineStr">
        <is>
          <t>Indo Borax &amp; Chemicals Ltd</t>
        </is>
      </c>
      <c r="E4" s="31" t="inlineStr">
        <is>
          <t>chemicals</t>
        </is>
      </c>
      <c r="F4" s="31" t="inlineStr">
        <is>
          <t>Chemicals - Inorganic</t>
        </is>
      </c>
      <c r="G4" s="31" t="inlineStr">
        <is>
          <t>smallcap</t>
        </is>
      </c>
      <c r="H4" s="32" t="n">
        <v>1618.14</v>
      </c>
      <c r="I4" s="32" t="n">
        <v>504.25</v>
      </c>
      <c r="J4" s="32" t="n">
        <v>3.46</v>
      </c>
      <c r="K4" s="32" t="n">
        <v>0</v>
      </c>
      <c r="L4" s="31" t="n">
        <v>92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79.37</v>
      </c>
      <c r="P4" s="32" t="n">
        <v>75.02</v>
      </c>
      <c r="Q4" s="32" t="n">
        <v>371.83</v>
      </c>
      <c r="R4" s="31" t="inlineStr">
        <is>
          <t>Near 52W High Breakout</t>
        </is>
      </c>
      <c r="S4" s="31" t="inlineStr">
        <is>
          <t>Nifty 50</t>
        </is>
      </c>
      <c r="T4" s="32" t="n">
        <v>-0.9</v>
      </c>
      <c r="U4" s="32" t="n">
        <v>131.5</v>
      </c>
      <c r="V4" s="32" t="n">
        <v>133.6</v>
      </c>
      <c r="W4" s="32" t="n">
        <v>32.78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25</t>
        </is>
      </c>
      <c r="CG4" s="31">
        <f>IF(CF4&gt;20,10,IF(CF4&gt;=10,5,2))</f>
        <v/>
      </c>
    </row>
    <row r="5">
      <c r="A5" s="31">
        <f>IF(B5=0,"",RANK(B5,$B$2:$B$97,0))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PARAS</t>
        </is>
      </c>
      <c r="D5" s="31" t="inlineStr">
        <is>
          <t>Paras Defence and Space Technologies Ltd</t>
        </is>
      </c>
      <c r="E5" s="31" t="inlineStr">
        <is>
          <t>aerospace &amp; defence</t>
        </is>
      </c>
      <c r="F5" s="31" t="inlineStr">
        <is>
          <t>Aerospace &amp; Defence - Equipments</t>
        </is>
      </c>
      <c r="G5" s="31" t="inlineStr">
        <is>
          <t>midcap</t>
        </is>
      </c>
      <c r="H5" s="32" t="n">
        <v>12047.81</v>
      </c>
      <c r="I5" s="32" t="n">
        <v>1495</v>
      </c>
      <c r="J5" s="32" t="n">
        <v>3.45</v>
      </c>
      <c r="K5" s="32" t="n">
        <v>0</v>
      </c>
      <c r="L5" s="31" t="n">
        <v>95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72.87</v>
      </c>
      <c r="P5" s="32" t="n">
        <v>64.98999999999999</v>
      </c>
      <c r="Q5" s="32" t="n">
        <v>1098.38</v>
      </c>
      <c r="R5" s="31" t="inlineStr">
        <is>
          <t>Near 52W High Breakout</t>
        </is>
      </c>
      <c r="S5" s="31" t="inlineStr">
        <is>
          <t>Nifty 50</t>
        </is>
      </c>
      <c r="T5" s="32" t="n">
        <v>-0.9</v>
      </c>
      <c r="U5" s="32" t="n">
        <v>130.11</v>
      </c>
      <c r="V5" s="32" t="n">
        <v>132.19</v>
      </c>
      <c r="W5" s="32" t="n">
        <v>38.47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22</t>
        </is>
      </c>
      <c r="CG5" s="31">
        <f>IF(CF5&gt;20,10,IF(CF5&gt;=10,5,2))</f>
        <v/>
      </c>
    </row>
    <row r="6">
      <c r="A6" s="31">
        <f>IF(B6=0,"",RANK(B6,$B$2:$B$97,0))</f>
        <v/>
      </c>
      <c r="B6" s="32">
        <f>SUM(N6,Y6,AA6,AC6,AE6,AG6,AI6,AK6,AM6,AO6,AQ6,AS6,AU6,AW6,AY6,BA6,BC6,BE6,BG6,BI6,BK6,BM6,BO6,BQ6,BS6,BU6,BW6,BY6,CA6,CC6,CE6,CG6)</f>
        <v/>
      </c>
      <c r="C6" s="34" t="inlineStr">
        <is>
          <t>IOLCP</t>
        </is>
      </c>
      <c r="D6" s="34" t="inlineStr">
        <is>
          <t>IOL Chemicals &amp; Pharmaceuticals Ltd</t>
        </is>
      </c>
      <c r="E6" s="31" t="inlineStr">
        <is>
          <t>healthcare</t>
        </is>
      </c>
      <c r="F6" s="31" t="inlineStr">
        <is>
          <t>Pharma - API &amp; CRAMS</t>
        </is>
      </c>
      <c r="G6" s="31" t="inlineStr">
        <is>
          <t>midcap</t>
        </is>
      </c>
      <c r="H6" s="32" t="n">
        <v>5473.7</v>
      </c>
      <c r="I6" s="32" t="n">
        <v>186.48</v>
      </c>
      <c r="J6" s="32" t="n">
        <v>8.19</v>
      </c>
      <c r="K6" s="32" t="n">
        <v>0</v>
      </c>
      <c r="L6" s="31" t="n">
        <v>90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76.59</v>
      </c>
      <c r="P6" s="32" t="n">
        <v>79.3</v>
      </c>
      <c r="Q6" s="32" t="n">
        <v>136.24</v>
      </c>
      <c r="R6" s="31" t="inlineStr">
        <is>
          <t>Near 52W High Breakout</t>
        </is>
      </c>
      <c r="S6" s="31" t="inlineStr">
        <is>
          <t>Nifty Pharma</t>
        </is>
      </c>
      <c r="T6" s="32" t="n">
        <v>22.12</v>
      </c>
      <c r="U6" s="32" t="n">
        <v>107.77</v>
      </c>
      <c r="V6" s="32" t="n">
        <v>70.14</v>
      </c>
      <c r="W6" s="32" t="n">
        <v>29.29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22</t>
        </is>
      </c>
      <c r="CG6" s="31">
        <f>IF(CF6&gt;20,10,IF(CF6&gt;=10,5,2))</f>
        <v/>
      </c>
    </row>
    <row r="7">
      <c r="A7" s="31">
        <f>IF(B7=0,"",RANK(B7,$B$2:$B$97,0))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AFCOM</t>
        </is>
      </c>
      <c r="D7" s="31" t="inlineStr">
        <is>
          <t>Afcom Holdings Ltd</t>
        </is>
      </c>
      <c r="E7" s="31" t="inlineStr">
        <is>
          <t>Industrials</t>
        </is>
      </c>
      <c r="F7" s="31" t="inlineStr">
        <is>
          <t>Air Transport Service</t>
        </is>
      </c>
      <c r="G7" s="31" t="inlineStr">
        <is>
          <t>smallcap</t>
        </is>
      </c>
      <c r="H7" s="32" t="n">
        <v>4677.45</v>
      </c>
      <c r="I7" s="32" t="n">
        <v>1629</v>
      </c>
      <c r="J7" s="32" t="n">
        <v>1.14</v>
      </c>
      <c r="K7" s="32" t="n">
        <v>0</v>
      </c>
      <c r="L7" s="31" t="n">
        <v>90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74.93000000000001</v>
      </c>
      <c r="P7" s="32" t="n">
        <v>44.48</v>
      </c>
      <c r="Q7" s="32" t="n">
        <v>1227.65</v>
      </c>
      <c r="R7" s="31" t="inlineStr">
        <is>
          <t>Near 52W High Breakout</t>
        </is>
      </c>
      <c r="S7" s="31" t="inlineStr">
        <is>
          <t>Nifty 50</t>
        </is>
      </c>
      <c r="T7" s="32" t="n">
        <v>-0.9</v>
      </c>
      <c r="U7" s="32" t="n">
        <v>66.05</v>
      </c>
      <c r="V7" s="32" t="n">
        <v>67.56</v>
      </c>
      <c r="W7" s="32" t="n">
        <v>29.13</v>
      </c>
      <c r="X7" s="31" t="inlineStr">
        <is>
          <t>Cyclical in an Upturn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Less than 50%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24</t>
        </is>
      </c>
      <c r="CG7" s="31">
        <f>IF(CF7&gt;20,10,IF(CF7&gt;=10,5,2))</f>
        <v/>
      </c>
    </row>
    <row r="8">
      <c r="A8" s="31">
        <f>IF(B8=0,"",RANK(B8,$B$2:$B$97,0))</f>
        <v/>
      </c>
      <c r="B8" s="32">
        <f>SUM(N8,Y8,AA8,AC8,AE8,AG8,AI8,AK8,AM8,AO8,AQ8,AS8,AU8,AW8,AY8,BA8,BC8,BE8,BG8,BI8,BK8,BM8,BO8,BQ8,BS8,BU8,BW8,BY8,CA8,CC8,CE8,CG8)</f>
        <v/>
      </c>
      <c r="C8" s="31" t="inlineStr">
        <is>
          <t>MINDACORP</t>
        </is>
      </c>
      <c r="D8" s="31" t="inlineStr">
        <is>
          <t>Minda Corporation Ltd</t>
        </is>
      </c>
      <c r="E8" s="31" t="inlineStr">
        <is>
          <t>Consumer Cyclical</t>
        </is>
      </c>
      <c r="F8" s="31" t="inlineStr">
        <is>
          <t>Auto Ancillaries - Diversified</t>
        </is>
      </c>
      <c r="G8" s="31" t="inlineStr">
        <is>
          <t>midcap</t>
        </is>
      </c>
      <c r="H8" s="32" t="n">
        <v>16898.13</v>
      </c>
      <c r="I8" s="32" t="n">
        <v>706.8</v>
      </c>
      <c r="J8" s="32" t="n">
        <v>0.46</v>
      </c>
      <c r="K8" s="32" t="n">
        <v>0</v>
      </c>
      <c r="L8" s="31" t="inlineStr"/>
      <c r="M8" s="31" t="inlineStr"/>
      <c r="N8" s="32">
        <f>IF(M8="Underperforming",-5,IF(L8&gt;=95,15,IF(L8&gt;=90,10,IF(L8&gt;=80,5,0))))</f>
        <v/>
      </c>
      <c r="O8" s="32" t="n">
        <v>65.37</v>
      </c>
      <c r="P8" s="32" t="n">
        <v>40.82</v>
      </c>
      <c r="Q8" s="32" t="n">
        <v>598.41</v>
      </c>
      <c r="R8" s="31" t="inlineStr">
        <is>
          <t>Near 52W High Breakout</t>
        </is>
      </c>
      <c r="S8" s="31" t="inlineStr">
        <is>
          <t>Nifty Auto</t>
        </is>
      </c>
      <c r="T8" s="32" t="inlineStr"/>
      <c r="U8" s="32" t="inlineStr"/>
      <c r="V8" s="32" t="inlineStr"/>
      <c r="W8" s="32" t="inlineStr"/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B2C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22</t>
        </is>
      </c>
      <c r="CG8" s="31">
        <f>IF(CF8&gt;20,10,IF(CF8&gt;=10,5,2))</f>
        <v/>
      </c>
    </row>
    <row r="9">
      <c r="A9" s="31">
        <f>IF(B9=0,"",RANK(B9,$B$2:$B$97,0))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AURUM</t>
        </is>
      </c>
      <c r="D9" s="31" t="inlineStr">
        <is>
          <t>Aurum Proptech Ltd</t>
        </is>
      </c>
      <c r="E9" s="31" t="inlineStr">
        <is>
          <t>i.t</t>
        </is>
      </c>
      <c r="F9" s="31" t="inlineStr">
        <is>
          <t>IT Enabled Services</t>
        </is>
      </c>
      <c r="G9" s="31" t="inlineStr">
        <is>
          <t>smallcap</t>
        </is>
      </c>
      <c r="H9" s="32" t="n">
        <v>1696.41</v>
      </c>
      <c r="I9" s="32" t="n">
        <v>235.24</v>
      </c>
      <c r="J9" s="32" t="n">
        <v>-0.52</v>
      </c>
      <c r="K9" s="32" t="n">
        <v>0</v>
      </c>
      <c r="L9" s="31" t="n">
        <v>57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64.95</v>
      </c>
      <c r="P9" s="32" t="n">
        <v>50.19</v>
      </c>
      <c r="Q9" s="32" t="n">
        <v>183.16</v>
      </c>
      <c r="R9" s="31" t="inlineStr">
        <is>
          <t>Near 52W High Breakout</t>
        </is>
      </c>
      <c r="S9" s="31" t="inlineStr">
        <is>
          <t>Nifty IT</t>
        </is>
      </c>
      <c r="T9" s="32" t="n">
        <v>-13.82</v>
      </c>
      <c r="U9" s="32" t="n">
        <v>41.24</v>
      </c>
      <c r="V9" s="32" t="n">
        <v>63.89</v>
      </c>
      <c r="W9" s="32" t="n">
        <v>14.42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21</t>
        </is>
      </c>
      <c r="CG9" s="31">
        <f>IF(CF9&gt;20,10,IF(CF9&gt;=10,5,2))</f>
        <v/>
      </c>
    </row>
    <row r="10">
      <c r="A10" s="31">
        <f>IF(B10=0,"",RANK(B10,$B$2:$B$97,0))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4" t="inlineStr">
        <is>
          <t>SUNRAKSHAK</t>
        </is>
      </c>
      <c r="D10" s="34" t="inlineStr">
        <is>
          <t>Sunrakshakk Industries India Ltd</t>
        </is>
      </c>
      <c r="E10" s="31" t="inlineStr">
        <is>
          <t>Consumer Cyclical</t>
        </is>
      </c>
      <c r="F10" s="31" t="inlineStr">
        <is>
          <t>Textiles - Processing/Texturising</t>
        </is>
      </c>
      <c r="G10" s="31" t="inlineStr">
        <is>
          <t>smallcap</t>
        </is>
      </c>
      <c r="H10" s="32" t="n">
        <v>1147.09</v>
      </c>
      <c r="I10" s="32" t="n">
        <v>369.95</v>
      </c>
      <c r="J10" s="32" t="n">
        <v>-0.9</v>
      </c>
      <c r="K10" s="32" t="n">
        <v>0</v>
      </c>
      <c r="L10" s="31" t="n">
        <v>47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66.83</v>
      </c>
      <c r="P10" s="32" t="n">
        <v>47.89</v>
      </c>
      <c r="Q10" s="32" t="n">
        <v>295.83</v>
      </c>
      <c r="R10" s="31" t="inlineStr">
        <is>
          <t>Near 52W High Breakout</t>
        </is>
      </c>
      <c r="S10" s="31" t="inlineStr">
        <is>
          <t>Nifty 50</t>
        </is>
      </c>
      <c r="T10" s="32" t="n">
        <v>-0.9</v>
      </c>
      <c r="U10" s="32" t="n">
        <v>63.35</v>
      </c>
      <c r="V10" s="32" t="n">
        <v>64.83</v>
      </c>
      <c r="W10" s="32" t="n">
        <v>12.47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Above 2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20</t>
        </is>
      </c>
      <c r="CG10" s="31">
        <f>IF(CF10&gt;20,10,IF(CF10&gt;=10,5,2))</f>
        <v/>
      </c>
    </row>
    <row r="11">
      <c r="A11" s="31">
        <f>IF(B11=0,"",RANK(B11,$B$2:$B$97,0))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4" t="inlineStr">
        <is>
          <t>SYRMA</t>
        </is>
      </c>
      <c r="D11" s="34" t="inlineStr">
        <is>
          <t>Syrma SGS Technology Ltd</t>
        </is>
      </c>
      <c r="E11" s="31" t="inlineStr">
        <is>
          <t>consumer discretionary</t>
        </is>
      </c>
      <c r="F11" s="31" t="inlineStr">
        <is>
          <t>Consumer Electronics - EMS</t>
        </is>
      </c>
      <c r="G11" s="31" t="inlineStr">
        <is>
          <t>largecap</t>
        </is>
      </c>
      <c r="H11" s="32" t="n">
        <v>28403.93</v>
      </c>
      <c r="I11" s="32" t="n">
        <v>1473</v>
      </c>
      <c r="J11" s="32" t="n">
        <v>1.02</v>
      </c>
      <c r="K11" s="32" t="n">
        <v>0</v>
      </c>
      <c r="L11" s="31" t="n">
        <v>77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68.73999999999999</v>
      </c>
      <c r="P11" s="32" t="n">
        <v>61.17</v>
      </c>
      <c r="Q11" s="32" t="n">
        <v>1152.27</v>
      </c>
      <c r="R11" s="31" t="inlineStr">
        <is>
          <t>Near 52W High Breakout</t>
        </is>
      </c>
      <c r="S11" s="31" t="inlineStr">
        <is>
          <t>Nifty 50</t>
        </is>
      </c>
      <c r="T11" s="32" t="n">
        <v>-0.9</v>
      </c>
      <c r="U11" s="32" t="n">
        <v>96.26000000000001</v>
      </c>
      <c r="V11" s="32" t="n">
        <v>98.04000000000001</v>
      </c>
      <c r="W11" s="32" t="n">
        <v>22.57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19</t>
        </is>
      </c>
      <c r="CG11" s="31">
        <f>IF(CF11&gt;20,10,IF(CF11&gt;=10,5,2))</f>
        <v/>
      </c>
    </row>
    <row r="12">
      <c r="A12" s="31">
        <f>IF(B12=0,"",RANK(B12,$B$2:$B$97,0))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4" t="inlineStr">
        <is>
          <t>SPORTKING</t>
        </is>
      </c>
      <c r="D12" s="34" t="inlineStr">
        <is>
          <t>Sportking India Ltd</t>
        </is>
      </c>
      <c r="E12" s="31" t="inlineStr">
        <is>
          <t>textiles</t>
        </is>
      </c>
      <c r="F12" s="31" t="inlineStr">
        <is>
          <t>Textiles - Spinning</t>
        </is>
      </c>
      <c r="G12" s="31" t="inlineStr">
        <is>
          <t>smallcap</t>
        </is>
      </c>
      <c r="H12" s="32" t="n">
        <v>2851.5</v>
      </c>
      <c r="I12" s="32" t="n">
        <v>224.4</v>
      </c>
      <c r="J12" s="32" t="n">
        <v>-1.69</v>
      </c>
      <c r="K12" s="32" t="n">
        <v>0</v>
      </c>
      <c r="L12" s="31" t="n">
        <v>82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73.66</v>
      </c>
      <c r="P12" s="32" t="n">
        <v>73.06999999999999</v>
      </c>
      <c r="Q12" s="32" t="n">
        <v>164.13</v>
      </c>
      <c r="R12" s="31" t="inlineStr">
        <is>
          <t>Near 52W High Breakout</t>
        </is>
      </c>
      <c r="S12" s="31" t="inlineStr">
        <is>
          <t>Nifty 50</t>
        </is>
      </c>
      <c r="T12" s="32" t="n">
        <v>-0.9</v>
      </c>
      <c r="U12" s="32" t="n">
        <v>108.9</v>
      </c>
      <c r="V12" s="32" t="n">
        <v>110.79</v>
      </c>
      <c r="W12" s="32" t="n">
        <v>24.2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19</t>
        </is>
      </c>
      <c r="CG12" s="31">
        <f>IF(CF12&gt;20,10,IF(CF12&gt;=10,5,2))</f>
        <v/>
      </c>
    </row>
    <row r="13">
      <c r="A13" s="31">
        <f>IF(B13=0,"",RANK(B13,$B$2:$B$97,0))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MOREPENLAB</t>
        </is>
      </c>
      <c r="D13" s="31" t="inlineStr">
        <is>
          <t>Morepen Laboratories Ltd</t>
        </is>
      </c>
      <c r="E13" s="31" t="inlineStr">
        <is>
          <t>healthcare</t>
        </is>
      </c>
      <c r="F13" s="31" t="inlineStr">
        <is>
          <t>Pharma - API &amp; CRAMS</t>
        </is>
      </c>
      <c r="G13" s="31" t="inlineStr">
        <is>
          <t>midcap</t>
        </is>
      </c>
      <c r="H13" s="32" t="n">
        <v>5363.92</v>
      </c>
      <c r="I13" s="32" t="n">
        <v>97.89</v>
      </c>
      <c r="J13" s="32" t="n">
        <v>4.25</v>
      </c>
      <c r="K13" s="32" t="n">
        <v>0</v>
      </c>
      <c r="L13" s="31" t="n">
        <v>98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83.73</v>
      </c>
      <c r="P13" s="32" t="n">
        <v>43.13</v>
      </c>
      <c r="Q13" s="32" t="n">
        <v>73.87</v>
      </c>
      <c r="R13" s="31" t="inlineStr">
        <is>
          <t>Near 52W High Breakout</t>
        </is>
      </c>
      <c r="S13" s="31" t="inlineStr">
        <is>
          <t>Nifty Pharma</t>
        </is>
      </c>
      <c r="T13" s="32" t="n">
        <v>22.12</v>
      </c>
      <c r="U13" s="32" t="n">
        <v>107.98</v>
      </c>
      <c r="V13" s="32" t="n">
        <v>70.31</v>
      </c>
      <c r="W13" s="32" t="n">
        <v>48.26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Annuity, Lower One Time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27</t>
        </is>
      </c>
      <c r="CG13" s="31">
        <f>IF(CF13&gt;20,10,IF(CF13&gt;=10,5,2))</f>
        <v/>
      </c>
    </row>
    <row r="14">
      <c r="A14" s="31">
        <f>IF(B14=0,"",RANK(B14,$B$2:$B$97,0))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MANORAMA</t>
        </is>
      </c>
      <c r="D14" s="31" t="inlineStr">
        <is>
          <t>Manorama Industries Ltd</t>
        </is>
      </c>
      <c r="E14" s="31" t="inlineStr">
        <is>
          <t>fmcg</t>
        </is>
      </c>
      <c r="F14" s="31" t="inlineStr">
        <is>
          <t>FMCG - Chocolate</t>
        </is>
      </c>
      <c r="G14" s="31" t="inlineStr">
        <is>
          <t>midcap</t>
        </is>
      </c>
      <c r="H14" s="32" t="n">
        <v>11993.25</v>
      </c>
      <c r="I14" s="32" t="n">
        <v>1900</v>
      </c>
      <c r="J14" s="32" t="n">
        <v>-0.76</v>
      </c>
      <c r="K14" s="32" t="n">
        <v>0</v>
      </c>
      <c r="L14" s="31" t="inlineStr"/>
      <c r="M14" s="31" t="inlineStr"/>
      <c r="N14" s="32">
        <f>IF(M14="Underperforming",-5,IF(L14&gt;=95,15,IF(L14&gt;=90,10,IF(L14&gt;=80,5,0))))</f>
        <v/>
      </c>
      <c r="O14" s="32" t="n">
        <v>72.20999999999999</v>
      </c>
      <c r="P14" s="32" t="n">
        <v>22.42</v>
      </c>
      <c r="Q14" s="32" t="n">
        <v>1518.29</v>
      </c>
      <c r="R14" s="31" t="inlineStr">
        <is>
          <t>Near 52W High Breakout</t>
        </is>
      </c>
      <c r="S14" s="31" t="inlineStr">
        <is>
          <t>Nifty FMCG</t>
        </is>
      </c>
      <c r="T14" s="32" t="inlineStr"/>
      <c r="U14" s="32" t="inlineStr"/>
      <c r="V14" s="32" t="inlineStr"/>
      <c r="W14" s="32" t="inlineStr"/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20 to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21</t>
        </is>
      </c>
      <c r="CG14" s="31">
        <f>IF(CF14&gt;20,10,IF(CF14&gt;=10,5,2))</f>
        <v/>
      </c>
    </row>
    <row r="15">
      <c r="A15" s="31">
        <f>IF(B15=0,"",RANK(B15,$B$2:$B$97,0))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KINGFA</t>
        </is>
      </c>
      <c r="D15" s="31" t="inlineStr">
        <is>
          <t>Kingfa Science &amp; Technology (India) Ltd</t>
        </is>
      </c>
      <c r="E15" s="31" t="inlineStr">
        <is>
          <t>plastic products</t>
        </is>
      </c>
      <c r="F15" s="31" t="inlineStr">
        <is>
          <t>Plastics - Plastic &amp; Plastic Products</t>
        </is>
      </c>
      <c r="G15" s="31" t="inlineStr">
        <is>
          <t>midcap</t>
        </is>
      </c>
      <c r="H15" s="32" t="n">
        <v>8172.84</v>
      </c>
      <c r="I15" s="32" t="n">
        <v>6031</v>
      </c>
      <c r="J15" s="32" t="n">
        <v>2.06</v>
      </c>
      <c r="K15" s="32" t="n">
        <v>0</v>
      </c>
      <c r="L15" s="31" t="n">
        <v>39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71.13</v>
      </c>
      <c r="P15" s="32" t="n">
        <v>34.22</v>
      </c>
      <c r="Q15" s="32" t="n">
        <v>4828.46</v>
      </c>
      <c r="R15" s="31" t="inlineStr">
        <is>
          <t>Near 52W High Breakout</t>
        </is>
      </c>
      <c r="S15" s="31" t="inlineStr">
        <is>
          <t>Nifty 50</t>
        </is>
      </c>
      <c r="T15" s="32" t="n">
        <v>-0.9</v>
      </c>
      <c r="U15" s="32" t="n">
        <v>45.18</v>
      </c>
      <c r="V15" s="32" t="n">
        <v>46.49</v>
      </c>
      <c r="W15" s="32" t="n">
        <v>10.28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23</t>
        </is>
      </c>
      <c r="CG15" s="31">
        <f>IF(CF15&gt;20,10,IF(CF15&gt;=10,5,2))</f>
        <v/>
      </c>
    </row>
    <row r="16">
      <c r="A16" s="31">
        <f>IF(B16=0,"",RANK(B16,$B$2:$B$97,0))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UNIPARTS</t>
        </is>
      </c>
      <c r="D16" s="31" t="inlineStr">
        <is>
          <t>Uniparts India Ltd</t>
        </is>
      </c>
      <c r="E16" s="31" t="inlineStr">
        <is>
          <t>industrials</t>
        </is>
      </c>
      <c r="F16" s="31" t="inlineStr">
        <is>
          <t>Castings, Forgings &amp; Fastners</t>
        </is>
      </c>
      <c r="G16" s="31" t="inlineStr">
        <is>
          <t>smallcap</t>
        </is>
      </c>
      <c r="H16" s="32" t="n">
        <v>3671.59</v>
      </c>
      <c r="I16" s="32" t="n">
        <v>813</v>
      </c>
      <c r="J16" s="32" t="n">
        <v>-1.53</v>
      </c>
      <c r="K16" s="32" t="n">
        <v>0</v>
      </c>
      <c r="L16" s="31" t="n">
        <v>84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77.16</v>
      </c>
      <c r="P16" s="32" t="n">
        <v>66.23999999999999</v>
      </c>
      <c r="Q16" s="32" t="n">
        <v>657.87</v>
      </c>
      <c r="R16" s="31" t="inlineStr">
        <is>
          <t>Near 52W High Breakout</t>
        </is>
      </c>
      <c r="S16" s="31" t="inlineStr">
        <is>
          <t>Nifty 50</t>
        </is>
      </c>
      <c r="T16" s="32" t="n">
        <v>-0.9</v>
      </c>
      <c r="U16" s="32" t="n">
        <v>118.21</v>
      </c>
      <c r="V16" s="32" t="n">
        <v>120.19</v>
      </c>
      <c r="W16" s="32" t="n">
        <v>25.42</v>
      </c>
      <c r="X16" s="31" t="inlineStr">
        <is>
          <t>Cyclical in an Upturn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22</t>
        </is>
      </c>
      <c r="CG16" s="31">
        <f>IF(CF16&gt;20,10,IF(CF16&gt;=10,5,2))</f>
        <v/>
      </c>
    </row>
    <row r="17">
      <c r="A17" s="31">
        <f>IF(B17=0,"",RANK(B17,$B$2:$B$97,0))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SJS</t>
        </is>
      </c>
      <c r="D17" s="31" t="inlineStr">
        <is>
          <t>S J S Enterprises Ltd</t>
        </is>
      </c>
      <c r="E17" s="31" t="inlineStr">
        <is>
          <t>auto</t>
        </is>
      </c>
      <c r="F17" s="31" t="inlineStr">
        <is>
          <t>Auto Ancillaries - Diversified</t>
        </is>
      </c>
      <c r="G17" s="31" t="inlineStr">
        <is>
          <t>midcap</t>
        </is>
      </c>
      <c r="H17" s="32" t="n">
        <v>7989.69</v>
      </c>
      <c r="I17" s="32" t="n">
        <v>2494.7</v>
      </c>
      <c r="J17" s="32" t="n">
        <v>-2.22</v>
      </c>
      <c r="K17" s="32" t="n">
        <v>0</v>
      </c>
      <c r="L17" s="31" t="inlineStr"/>
      <c r="M17" s="31" t="inlineStr"/>
      <c r="N17" s="32">
        <f>IF(M17="Underperforming",-5,IF(L17&gt;=95,15,IF(L17&gt;=90,10,IF(L17&gt;=80,5,0))))</f>
        <v/>
      </c>
      <c r="O17" s="32" t="n">
        <v>70.65000000000001</v>
      </c>
      <c r="P17" s="32" t="n">
        <v>46.97</v>
      </c>
      <c r="Q17" s="32" t="n">
        <v>2047.42</v>
      </c>
      <c r="R17" s="31" t="inlineStr">
        <is>
          <t>Near 52W High Breakout</t>
        </is>
      </c>
      <c r="S17" s="31" t="inlineStr">
        <is>
          <t>Nifty Auto</t>
        </is>
      </c>
      <c r="T17" s="32" t="inlineStr"/>
      <c r="U17" s="32" t="inlineStr"/>
      <c r="V17" s="32" t="inlineStr"/>
      <c r="W17" s="32" t="inlineStr"/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21</t>
        </is>
      </c>
      <c r="CG17" s="31">
        <f>IF(CF17&gt;20,10,IF(CF17&gt;=10,5,2))</f>
        <v/>
      </c>
    </row>
    <row r="18">
      <c r="A18" s="31">
        <f>IF(B18=0,"",RANK(B18,$B$2:$B$97,0))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4" t="inlineStr">
        <is>
          <t>MENONBE</t>
        </is>
      </c>
      <c r="D18" s="34" t="inlineStr">
        <is>
          <t>Menon Bearings Ltd</t>
        </is>
      </c>
      <c r="E18" s="31" t="inlineStr">
        <is>
          <t>auto</t>
        </is>
      </c>
      <c r="F18" s="31" t="inlineStr">
        <is>
          <t>Auto Ancillaries - Bearings</t>
        </is>
      </c>
      <c r="G18" s="31" t="inlineStr">
        <is>
          <t>smallcap</t>
        </is>
      </c>
      <c r="H18" s="32" t="n">
        <v>1556.34</v>
      </c>
      <c r="I18" s="32" t="n">
        <v>277.72</v>
      </c>
      <c r="J18" s="32" t="n">
        <v>5</v>
      </c>
      <c r="K18" s="32" t="n">
        <v>0</v>
      </c>
      <c r="L18" s="31" t="inlineStr"/>
      <c r="M18" s="31" t="inlineStr"/>
      <c r="N18" s="32">
        <f>IF(M18="Underperforming",-5,IF(L18&gt;=95,15,IF(L18&gt;=90,10,IF(L18&gt;=80,5,0))))</f>
        <v/>
      </c>
      <c r="O18" s="32" t="n">
        <v>81.83</v>
      </c>
      <c r="P18" s="32" t="n">
        <v>58.11</v>
      </c>
      <c r="Q18" s="32" t="n">
        <v>207.89</v>
      </c>
      <c r="R18" s="31" t="inlineStr">
        <is>
          <t>Near 52W High Breakout</t>
        </is>
      </c>
      <c r="S18" s="31" t="inlineStr">
        <is>
          <t>Nifty Auto</t>
        </is>
      </c>
      <c r="T18" s="32" t="inlineStr"/>
      <c r="U18" s="32" t="inlineStr"/>
      <c r="V18" s="32" t="inlineStr"/>
      <c r="W18" s="32" t="inlineStr"/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21</t>
        </is>
      </c>
      <c r="CG18" s="31">
        <f>IF(CF18&gt;20,10,IF(CF18&gt;=10,5,2))</f>
        <v/>
      </c>
    </row>
    <row r="19">
      <c r="A19" s="31">
        <f>IF(B19=0,"",RANK(B19,$B$2:$B$97,0))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INDOTECH</t>
        </is>
      </c>
      <c r="D19" s="31" t="inlineStr">
        <is>
          <t>Indo Tech Transformers Ltd</t>
        </is>
      </c>
      <c r="E19" s="31" t="inlineStr">
        <is>
          <t>industrials</t>
        </is>
      </c>
      <c r="F19" s="31" t="inlineStr">
        <is>
          <t>Capital Goods - Transformers</t>
        </is>
      </c>
      <c r="G19" s="31" t="inlineStr">
        <is>
          <t>smallcap</t>
        </is>
      </c>
      <c r="H19" s="32" t="n">
        <v>3987.81</v>
      </c>
      <c r="I19" s="32" t="n">
        <v>3755</v>
      </c>
      <c r="J19" s="32" t="n">
        <v>0.34</v>
      </c>
      <c r="K19" s="32" t="n">
        <v>0</v>
      </c>
      <c r="L19" s="31" t="inlineStr"/>
      <c r="M19" s="31" t="inlineStr"/>
      <c r="N19" s="32">
        <f>IF(M19="Underperforming",-5,IF(L19&gt;=95,15,IF(L19&gt;=90,10,IF(L19&gt;=80,5,0))))</f>
        <v/>
      </c>
      <c r="O19" s="32" t="n">
        <v>70.61</v>
      </c>
      <c r="P19" s="32" t="n">
        <v>52.17</v>
      </c>
      <c r="Q19" s="32" t="n">
        <v>2873.4</v>
      </c>
      <c r="R19" s="31" t="inlineStr">
        <is>
          <t>Near 52W High Breakout</t>
        </is>
      </c>
      <c r="S19" s="31" t="inlineStr">
        <is>
          <t>Nifty Infra</t>
        </is>
      </c>
      <c r="T19" s="32" t="inlineStr"/>
      <c r="U19" s="32" t="inlineStr"/>
      <c r="V19" s="32" t="inlineStr"/>
      <c r="W19" s="32" t="inlineStr"/>
      <c r="X19" s="31" t="inlineStr">
        <is>
          <t>Cyclical in an Upturn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21</t>
        </is>
      </c>
      <c r="CG19" s="31">
        <f>IF(CF19&gt;20,10,IF(CF19&gt;=10,5,2))</f>
        <v/>
      </c>
    </row>
    <row r="20">
      <c r="A20" s="31">
        <f>IF(B20=0,"",RANK(B20,$B$2:$B$97,0))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4" t="inlineStr">
        <is>
          <t>QUESS</t>
        </is>
      </c>
      <c r="D20" s="34" t="inlineStr">
        <is>
          <t>Quess Corp Ltd</t>
        </is>
      </c>
      <c r="E20" s="31" t="inlineStr">
        <is>
          <t>miscellaneous</t>
        </is>
      </c>
      <c r="F20" s="31" t="inlineStr">
        <is>
          <t>Facility Management</t>
        </is>
      </c>
      <c r="G20" s="31" t="inlineStr">
        <is>
          <t>midcap</t>
        </is>
      </c>
      <c r="H20" s="32" t="n">
        <v>5519.59</v>
      </c>
      <c r="I20" s="32" t="n">
        <v>369.55</v>
      </c>
      <c r="J20" s="32" t="n">
        <v>6.5</v>
      </c>
      <c r="K20" s="32" t="n">
        <v>0</v>
      </c>
      <c r="L20" s="31" t="n">
        <v>87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78.8</v>
      </c>
      <c r="P20" s="32" t="n">
        <v>58.26</v>
      </c>
      <c r="Q20" s="32" t="n">
        <v>292.23</v>
      </c>
      <c r="R20" s="31" t="inlineStr">
        <is>
          <t>Near 52W High Breakout</t>
        </is>
      </c>
      <c r="S20" s="31" t="inlineStr">
        <is>
          <t>Nifty 50</t>
        </is>
      </c>
      <c r="T20" s="32" t="n">
        <v>-0.9</v>
      </c>
      <c r="U20" s="32" t="n">
        <v>44.8</v>
      </c>
      <c r="V20" s="32" t="n">
        <v>46.11</v>
      </c>
      <c r="W20" s="32" t="n">
        <v>27.92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19</t>
        </is>
      </c>
      <c r="CG20" s="31">
        <f>IF(CF20&gt;20,10,IF(CF20&gt;=10,5,2))</f>
        <v/>
      </c>
    </row>
    <row r="21">
      <c r="A21" s="31">
        <f>IF(B21=0,"",RANK(B21,$B$2:$B$97,0))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NITINSPIN</t>
        </is>
      </c>
      <c r="D21" s="31" t="inlineStr">
        <is>
          <t>Nitin Spinners Ltd</t>
        </is>
      </c>
      <c r="E21" s="31" t="inlineStr">
        <is>
          <t>textiles</t>
        </is>
      </c>
      <c r="F21" s="31" t="inlineStr">
        <is>
          <t>Textiles - Spinning</t>
        </is>
      </c>
      <c r="G21" s="31" t="inlineStr">
        <is>
          <t>smallcap</t>
        </is>
      </c>
      <c r="H21" s="32" t="n">
        <v>3517.4</v>
      </c>
      <c r="I21" s="32" t="n">
        <v>625.65</v>
      </c>
      <c r="J21" s="32" t="n">
        <v>0.32</v>
      </c>
      <c r="K21" s="32" t="n">
        <v>0</v>
      </c>
      <c r="L21" s="31" t="n">
        <v>69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73.92</v>
      </c>
      <c r="P21" s="32" t="n">
        <v>66.33</v>
      </c>
      <c r="Q21" s="32" t="n">
        <v>488.08</v>
      </c>
      <c r="R21" s="31" t="inlineStr">
        <is>
          <t>Near 52W High Breakout</t>
        </is>
      </c>
      <c r="S21" s="31" t="inlineStr">
        <is>
          <t>Nifty 50</t>
        </is>
      </c>
      <c r="T21" s="32" t="n">
        <v>-0.9</v>
      </c>
      <c r="U21" s="32" t="n">
        <v>79.97</v>
      </c>
      <c r="V21" s="32" t="n">
        <v>81.59</v>
      </c>
      <c r="W21" s="32" t="n">
        <v>19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Between 0.7 to 1.2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19</t>
        </is>
      </c>
      <c r="CG21" s="31">
        <f>IF(CF21&gt;20,10,IF(CF21&gt;=10,5,2))</f>
        <v/>
      </c>
    </row>
    <row r="22">
      <c r="A22" s="31">
        <f>IF(B22=0,"",RANK(B22,$B$2:$B$97,0))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MARKSANS</t>
        </is>
      </c>
      <c r="D22" s="31" t="inlineStr">
        <is>
          <t>Marksans Pharma Ltd</t>
        </is>
      </c>
      <c r="E22" s="31" t="inlineStr">
        <is>
          <t>healthcare</t>
        </is>
      </c>
      <c r="F22" s="31" t="inlineStr">
        <is>
          <t>Pharma - Formulators</t>
        </is>
      </c>
      <c r="G22" s="31" t="inlineStr">
        <is>
          <t>midcap</t>
        </is>
      </c>
      <c r="H22" s="32" t="n">
        <v>14988.39</v>
      </c>
      <c r="I22" s="32" t="n">
        <v>330.75</v>
      </c>
      <c r="J22" s="32" t="n">
        <v>3.85</v>
      </c>
      <c r="K22" s="32" t="n">
        <v>0</v>
      </c>
      <c r="L22" s="31" t="n">
        <v>78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74.81999999999999</v>
      </c>
      <c r="P22" s="32" t="n">
        <v>58.65</v>
      </c>
      <c r="Q22" s="32" t="n">
        <v>259.97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22.12</v>
      </c>
      <c r="U22" s="32" t="n">
        <v>96.89</v>
      </c>
      <c r="V22" s="32" t="n">
        <v>61.23</v>
      </c>
      <c r="W22" s="32" t="n">
        <v>23.05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29</t>
        </is>
      </c>
      <c r="CG22" s="31">
        <f>IF(CF22&gt;20,10,IF(CF22&gt;=10,5,2))</f>
        <v/>
      </c>
    </row>
    <row r="23">
      <c r="A23" s="31">
        <f>IF(B23=0,"",RANK(B23,$B$2:$B$97,0))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KMCSHIL</t>
        </is>
      </c>
      <c r="D23" s="31" t="inlineStr">
        <is>
          <t>KMC Speciality Hospitals (India) Ltd</t>
        </is>
      </c>
      <c r="E23" s="31" t="inlineStr">
        <is>
          <t>Healthcare</t>
        </is>
      </c>
      <c r="F23" s="31" t="inlineStr">
        <is>
          <t>Hospitals</t>
        </is>
      </c>
      <c r="G23" s="31" t="inlineStr">
        <is>
          <t>smallcap</t>
        </is>
      </c>
      <c r="H23" s="32" t="n">
        <v>2283.19</v>
      </c>
      <c r="I23" s="32" t="n">
        <v>140</v>
      </c>
      <c r="J23" s="32" t="n">
        <v>0.29</v>
      </c>
      <c r="K23" s="32" t="n">
        <v>0</v>
      </c>
      <c r="L23" s="31" t="n">
        <v>80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71.06</v>
      </c>
      <c r="P23" s="32" t="n">
        <v>62.83</v>
      </c>
      <c r="Q23" s="32" t="n">
        <v>109.79</v>
      </c>
      <c r="R23" s="31" t="inlineStr">
        <is>
          <t>Near 52W High Breakout</t>
        </is>
      </c>
      <c r="S23" s="31" t="inlineStr">
        <is>
          <t>Nifty Pharma</t>
        </is>
      </c>
      <c r="T23" s="32" t="n">
        <v>22.12</v>
      </c>
      <c r="U23" s="32" t="n">
        <v>103.09</v>
      </c>
      <c r="V23" s="32" t="n">
        <v>66.31</v>
      </c>
      <c r="W23" s="32" t="n">
        <v>23.6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26</t>
        </is>
      </c>
      <c r="CG23" s="31">
        <f>IF(CF23&gt;20,10,IF(CF23&gt;=10,5,2))</f>
        <v/>
      </c>
    </row>
    <row r="24">
      <c r="A24" s="31">
        <f>IF(B24=0,"",RANK(B24,$B$2:$B$97,0))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KPL</t>
        </is>
      </c>
      <c r="D24" s="31" t="inlineStr">
        <is>
          <t>Kwality Pharmaceuticals Ltd</t>
        </is>
      </c>
      <c r="E24" s="31" t="inlineStr">
        <is>
          <t>Healthcare</t>
        </is>
      </c>
      <c r="F24" s="31" t="inlineStr">
        <is>
          <t>Pharma - Formulators</t>
        </is>
      </c>
      <c r="G24" s="31" t="inlineStr">
        <is>
          <t>smallcap</t>
        </is>
      </c>
      <c r="H24" s="32" t="n">
        <v>3443.86</v>
      </c>
      <c r="I24" s="32" t="n">
        <v>3319</v>
      </c>
      <c r="J24" s="32" t="n">
        <v>-1.57</v>
      </c>
      <c r="K24" s="32" t="n">
        <v>0</v>
      </c>
      <c r="L24" s="31" t="n">
        <v>95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75.84999999999999</v>
      </c>
      <c r="P24" s="32" t="n">
        <v>70.34999999999999</v>
      </c>
      <c r="Q24" s="32" t="n">
        <v>2569.46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22.12</v>
      </c>
      <c r="U24" s="32" t="n">
        <v>235.59</v>
      </c>
      <c r="V24" s="32" t="n">
        <v>174.82</v>
      </c>
      <c r="W24" s="32" t="n">
        <v>39.46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23</t>
        </is>
      </c>
      <c r="CG24" s="31">
        <f>IF(CF24&gt;20,10,IF(CF24&gt;=10,5,2))</f>
        <v/>
      </c>
    </row>
    <row r="25">
      <c r="A25" s="31">
        <f>IF(B25=0,"",RANK(B25,$B$2:$B$97,0))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INDSWFTLAB</t>
        </is>
      </c>
      <c r="D25" s="31" t="inlineStr">
        <is>
          <t>Ind-Swift Laboratories Ltd</t>
        </is>
      </c>
      <c r="E25" s="31" t="inlineStr">
        <is>
          <t>healthcare</t>
        </is>
      </c>
      <c r="F25" s="31" t="inlineStr">
        <is>
          <t>Pharma - API</t>
        </is>
      </c>
      <c r="G25" s="31" t="inlineStr">
        <is>
          <t>smallcap</t>
        </is>
      </c>
      <c r="H25" s="32" t="n">
        <v>3164.53</v>
      </c>
      <c r="I25" s="32" t="n">
        <v>363.9</v>
      </c>
      <c r="J25" s="32" t="n">
        <v>12.18</v>
      </c>
      <c r="K25" s="32" t="n">
        <v>0</v>
      </c>
      <c r="L25" s="31" t="n">
        <v>99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89.47</v>
      </c>
      <c r="P25" s="32" t="n">
        <v>68.5</v>
      </c>
      <c r="Q25" s="32" t="n">
        <v>280.67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22.12</v>
      </c>
      <c r="U25" s="32" t="n">
        <v>282.55</v>
      </c>
      <c r="V25" s="32" t="n">
        <v>213.27</v>
      </c>
      <c r="W25" s="32" t="n">
        <v>67.68000000000001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22</t>
        </is>
      </c>
      <c r="CG25" s="31">
        <f>IF(CF25&gt;20,10,IF(CF25&gt;=10,5,2))</f>
        <v/>
      </c>
    </row>
    <row r="26">
      <c r="A26" s="31">
        <f>IF(B26=0,"",RANK(B26,$B$2:$B$97,0))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4" t="inlineStr">
        <is>
          <t>IPCALAB</t>
        </is>
      </c>
      <c r="D26" s="34" t="inlineStr">
        <is>
          <t>Ipca Laboratories Ltd</t>
        </is>
      </c>
      <c r="E26" s="31" t="inlineStr">
        <is>
          <t>healthcare</t>
        </is>
      </c>
      <c r="F26" s="31" t="inlineStr">
        <is>
          <t>Pharma - Formulators</t>
        </is>
      </c>
      <c r="G26" s="31" t="inlineStr">
        <is>
          <t>largecap</t>
        </is>
      </c>
      <c r="H26" s="32" t="n">
        <v>49472.32</v>
      </c>
      <c r="I26" s="32" t="n">
        <v>1950</v>
      </c>
      <c r="J26" s="32" t="n">
        <v>1.11</v>
      </c>
      <c r="K26" s="32" t="n">
        <v>0</v>
      </c>
      <c r="L26" s="31" t="n">
        <v>50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68.84</v>
      </c>
      <c r="P26" s="32" t="n">
        <v>38.21</v>
      </c>
      <c r="Q26" s="32" t="n">
        <v>1569.72</v>
      </c>
      <c r="R26" s="31" t="inlineStr">
        <is>
          <t>Near 52W High Breakout</t>
        </is>
      </c>
      <c r="S26" s="31" t="inlineStr">
        <is>
          <t>Nifty Pharma</t>
        </is>
      </c>
      <c r="T26" s="32" t="n">
        <v>22.12</v>
      </c>
      <c r="U26" s="32" t="n">
        <v>41.52</v>
      </c>
      <c r="V26" s="32" t="n">
        <v>15.89</v>
      </c>
      <c r="W26" s="32" t="n">
        <v>13.39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20</t>
        </is>
      </c>
      <c r="CG26" s="31">
        <f>IF(CF26&gt;20,10,IF(CF26&gt;=10,5,2))</f>
        <v/>
      </c>
    </row>
    <row r="27">
      <c r="A27" s="31">
        <f>IF(B27=0,"",RANK(B27,$B$2:$B$97,0))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SKYGOLD</t>
        </is>
      </c>
      <c r="D27" s="31" t="inlineStr">
        <is>
          <t>Sky Gold &amp; Diamonds Ltd</t>
        </is>
      </c>
      <c r="E27" s="31" t="inlineStr">
        <is>
          <t>consumer discretionary</t>
        </is>
      </c>
      <c r="F27" s="31" t="inlineStr">
        <is>
          <t>Diamond, Gems &amp; Jewellery</t>
        </is>
      </c>
      <c r="G27" s="31" t="inlineStr">
        <is>
          <t>midcap</t>
        </is>
      </c>
      <c r="H27" s="32" t="n">
        <v>13117.82</v>
      </c>
      <c r="I27" s="32" t="n">
        <v>847</v>
      </c>
      <c r="J27" s="32" t="n">
        <v>0.5600000000000001</v>
      </c>
      <c r="K27" s="32" t="n">
        <v>0</v>
      </c>
      <c r="L27" s="31" t="n">
        <v>95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83.26000000000001</v>
      </c>
      <c r="P27" s="32" t="n">
        <v>65.72</v>
      </c>
      <c r="Q27" s="32" t="n">
        <v>657.74</v>
      </c>
      <c r="R27" s="31" t="inlineStr">
        <is>
          <t>Near 52W High Breakout</t>
        </is>
      </c>
      <c r="S27" s="31" t="inlineStr">
        <is>
          <t>Nifty 50</t>
        </is>
      </c>
      <c r="T27" s="32" t="n">
        <v>-0.9</v>
      </c>
      <c r="U27" s="32" t="n">
        <v>194.58</v>
      </c>
      <c r="V27" s="32" t="n">
        <v>197.25</v>
      </c>
      <c r="W27" s="32" t="n">
        <v>38.78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Between 0.7 to 1.2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29</t>
        </is>
      </c>
      <c r="CG27" s="31">
        <f>IF(CF27&gt;20,10,IF(CF27&gt;=10,5,2))</f>
        <v/>
      </c>
    </row>
    <row r="28">
      <c r="A28" s="31">
        <f>IF(B28=0,"",RANK(B28,$B$2:$B$97,0))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MODISONLTD</t>
        </is>
      </c>
      <c r="D28" s="31" t="inlineStr">
        <is>
          <t>Modison Ltd</t>
        </is>
      </c>
      <c r="E28" s="31" t="inlineStr">
        <is>
          <t>industrials</t>
        </is>
      </c>
      <c r="F28" s="31" t="inlineStr">
        <is>
          <t>Capital Goods - Electric General</t>
        </is>
      </c>
      <c r="G28" s="31" t="inlineStr">
        <is>
          <t>smallcap</t>
        </is>
      </c>
      <c r="H28" s="32" t="n">
        <v>1340.19</v>
      </c>
      <c r="I28" s="32" t="n">
        <v>413</v>
      </c>
      <c r="J28" s="32" t="n">
        <v>-0.45</v>
      </c>
      <c r="K28" s="32" t="n">
        <v>0</v>
      </c>
      <c r="L28" s="31" t="n">
        <v>94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76.65000000000001</v>
      </c>
      <c r="P28" s="32" t="n">
        <v>59.82</v>
      </c>
      <c r="Q28" s="32" t="n">
        <v>302.9</v>
      </c>
      <c r="R28" s="31" t="inlineStr">
        <is>
          <t>Near 52W High Breakout</t>
        </is>
      </c>
      <c r="S28" s="31" t="inlineStr">
        <is>
          <t>Nifty 50</t>
        </is>
      </c>
      <c r="T28" s="32" t="n">
        <v>-0.9</v>
      </c>
      <c r="U28" s="32" t="n">
        <v>174.77</v>
      </c>
      <c r="V28" s="32" t="n">
        <v>177.26</v>
      </c>
      <c r="W28" s="32" t="n">
        <v>38.04</v>
      </c>
      <c r="X28" s="31" t="inlineStr">
        <is>
          <t>Cyclical in an Upturn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26</t>
        </is>
      </c>
      <c r="CG28" s="31">
        <f>IF(CF28&gt;20,10,IF(CF28&gt;=10,5,2))</f>
        <v/>
      </c>
    </row>
    <row r="29">
      <c r="A29" s="31">
        <f>IF(B29=0,"",RANK(B29,$B$2:$B$97,0))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AVALON</t>
        </is>
      </c>
      <c r="D29" s="31" t="inlineStr">
        <is>
          <t>Avalon Technologies Ltd</t>
        </is>
      </c>
      <c r="E29" s="31" t="inlineStr">
        <is>
          <t>consumer discretionary</t>
        </is>
      </c>
      <c r="F29" s="31" t="inlineStr">
        <is>
          <t>Consumer Electronics - EMS</t>
        </is>
      </c>
      <c r="G29" s="31" t="inlineStr">
        <is>
          <t>midcap</t>
        </is>
      </c>
      <c r="H29" s="32" t="n">
        <v>15066.05</v>
      </c>
      <c r="I29" s="32" t="n">
        <v>2255</v>
      </c>
      <c r="J29" s="32" t="n">
        <v>6.8</v>
      </c>
      <c r="K29" s="32" t="n">
        <v>0</v>
      </c>
      <c r="L29" s="31" t="n">
        <v>91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83.38</v>
      </c>
      <c r="P29" s="32" t="n">
        <v>59.26</v>
      </c>
      <c r="Q29" s="32" t="n">
        <v>1700.63</v>
      </c>
      <c r="R29" s="31" t="inlineStr">
        <is>
          <t>Near 52W High Breakout</t>
        </is>
      </c>
      <c r="S29" s="31" t="inlineStr">
        <is>
          <t>Nifty 50</t>
        </is>
      </c>
      <c r="T29" s="32" t="n">
        <v>-0.9</v>
      </c>
      <c r="U29" s="32" t="n">
        <v>168.01</v>
      </c>
      <c r="V29" s="32" t="n">
        <v>170.44</v>
      </c>
      <c r="W29" s="32" t="n">
        <v>32.77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24</t>
        </is>
      </c>
      <c r="CG29" s="31">
        <f>IF(CF29&gt;20,10,IF(CF29&gt;=10,5,2))</f>
        <v/>
      </c>
    </row>
    <row r="30">
      <c r="A30" s="31">
        <f>IF(B30=0,"",RANK(B30,$B$2:$B$97,0))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1" t="inlineStr">
        <is>
          <t>WELSPUNLIV</t>
        </is>
      </c>
      <c r="D30" s="31" t="inlineStr">
        <is>
          <t>Welspun Living Ltd</t>
        </is>
      </c>
      <c r="E30" s="31" t="inlineStr">
        <is>
          <t>textiles</t>
        </is>
      </c>
      <c r="F30" s="31" t="inlineStr">
        <is>
          <t>Textiles - Home Textile</t>
        </is>
      </c>
      <c r="G30" s="31" t="inlineStr">
        <is>
          <t>midcap</t>
        </is>
      </c>
      <c r="H30" s="32" t="n">
        <v>18082.56</v>
      </c>
      <c r="I30" s="32" t="n">
        <v>191.4</v>
      </c>
      <c r="J30" s="32" t="n">
        <v>0.58</v>
      </c>
      <c r="K30" s="32" t="n">
        <v>0</v>
      </c>
      <c r="L30" s="31" t="n">
        <v>73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73.98</v>
      </c>
      <c r="P30" s="32" t="n">
        <v>36.24</v>
      </c>
      <c r="Q30" s="32" t="n">
        <v>150.51</v>
      </c>
      <c r="R30" s="31" t="inlineStr">
        <is>
          <t>Near 52W High Breakout</t>
        </is>
      </c>
      <c r="S30" s="31" t="inlineStr">
        <is>
          <t>Nifty 50</t>
        </is>
      </c>
      <c r="T30" s="32" t="n">
        <v>-0.9</v>
      </c>
      <c r="U30" s="32" t="n">
        <v>74.48</v>
      </c>
      <c r="V30" s="32" t="n">
        <v>76.06</v>
      </c>
      <c r="W30" s="32" t="n">
        <v>21.39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22</t>
        </is>
      </c>
      <c r="CG30" s="31">
        <f>IF(CF30&gt;20,10,IF(CF30&gt;=10,5,2))</f>
        <v/>
      </c>
    </row>
    <row r="31">
      <c r="A31" s="31">
        <f>IF(B31=0,"",RANK(B31,$B$2:$B$97,0))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4" t="inlineStr">
        <is>
          <t>TBZ</t>
        </is>
      </c>
      <c r="D31" s="34" t="inlineStr">
        <is>
          <t>Tribhovandas Bhimji Zaveri Ltd</t>
        </is>
      </c>
      <c r="E31" s="31" t="inlineStr">
        <is>
          <t>consumer discretionary</t>
        </is>
      </c>
      <c r="F31" s="31" t="inlineStr">
        <is>
          <t>Diamond, Gems &amp; Jewellery</t>
        </is>
      </c>
      <c r="G31" s="31" t="inlineStr">
        <is>
          <t>smallcap</t>
        </is>
      </c>
      <c r="H31" s="32" t="n">
        <v>2032.28</v>
      </c>
      <c r="I31" s="32" t="n">
        <v>304.55</v>
      </c>
      <c r="J31" s="32" t="n">
        <v>8.630000000000001</v>
      </c>
      <c r="K31" s="32" t="n">
        <v>0</v>
      </c>
      <c r="L31" s="31" t="n">
        <v>91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76.98</v>
      </c>
      <c r="P31" s="32" t="n">
        <v>44.8</v>
      </c>
      <c r="Q31" s="32" t="n">
        <v>220.63</v>
      </c>
      <c r="R31" s="31" t="inlineStr">
        <is>
          <t>Near 52W High Breakout</t>
        </is>
      </c>
      <c r="S31" s="31" t="inlineStr">
        <is>
          <t>Nifty 50</t>
        </is>
      </c>
      <c r="T31" s="32" t="n">
        <v>-0.9</v>
      </c>
      <c r="U31" s="32" t="n">
        <v>67.02</v>
      </c>
      <c r="V31" s="32" t="n">
        <v>68.53</v>
      </c>
      <c r="W31" s="32" t="n">
        <v>32.35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Between 0.7 to 1.2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22</t>
        </is>
      </c>
      <c r="CG31" s="31">
        <f>IF(CF31&gt;20,10,IF(CF31&gt;=10,5,2))</f>
        <v/>
      </c>
    </row>
    <row r="32">
      <c r="A32" s="31">
        <f>IF(B32=0,"",RANK(B32,$B$2:$B$97,0))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4" t="inlineStr">
        <is>
          <t>OMAXE</t>
        </is>
      </c>
      <c r="D32" s="34" t="inlineStr">
        <is>
          <t>Omaxe Ltd</t>
        </is>
      </c>
      <c r="E32" s="31" t="inlineStr">
        <is>
          <t>realty</t>
        </is>
      </c>
      <c r="F32" s="31" t="inlineStr">
        <is>
          <t>Realty - Construction &amp; Contracting</t>
        </is>
      </c>
      <c r="G32" s="31" t="inlineStr">
        <is>
          <t>smallcap</t>
        </is>
      </c>
      <c r="H32" s="32" t="n">
        <v>2004.59</v>
      </c>
      <c r="I32" s="32" t="n">
        <v>109.6</v>
      </c>
      <c r="J32" s="32" t="n">
        <v>10.01</v>
      </c>
      <c r="K32" s="32" t="n">
        <v>0</v>
      </c>
      <c r="L32" s="31" t="inlineStr"/>
      <c r="M32" s="31" t="inlineStr"/>
      <c r="N32" s="32">
        <f>IF(M32="Underperforming",-5,IF(L32&gt;=95,15,IF(L32&gt;=90,10,IF(L32&gt;=80,5,0))))</f>
        <v/>
      </c>
      <c r="O32" s="32" t="n">
        <v>72.22</v>
      </c>
      <c r="P32" s="32" t="n">
        <v>30.33</v>
      </c>
      <c r="Q32" s="32" t="n">
        <v>77.14</v>
      </c>
      <c r="R32" s="31" t="inlineStr">
        <is>
          <t>Near 52W High Breakout</t>
        </is>
      </c>
      <c r="S32" s="31" t="inlineStr">
        <is>
          <t>Nifty Realty</t>
        </is>
      </c>
      <c r="T32" s="32" t="inlineStr"/>
      <c r="U32" s="32" t="inlineStr"/>
      <c r="V32" s="32" t="inlineStr"/>
      <c r="W32" s="32" t="inlineStr"/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22</t>
        </is>
      </c>
      <c r="CG32" s="31">
        <f>IF(CF32&gt;20,10,IF(CF32&gt;=10,5,2))</f>
        <v/>
      </c>
    </row>
    <row r="33">
      <c r="A33" s="31">
        <f>IF(B33=0,"",RANK(B33,$B$2:$B$97,0))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KMEW</t>
        </is>
      </c>
      <c r="D33" s="31" t="inlineStr">
        <is>
          <t>Knowledge Marine &amp; Engineering Works Ltd</t>
        </is>
      </c>
      <c r="E33" s="31" t="inlineStr">
        <is>
          <t>transportation</t>
        </is>
      </c>
      <c r="F33" s="31" t="inlineStr">
        <is>
          <t>Shipping</t>
        </is>
      </c>
      <c r="G33" s="31" t="inlineStr">
        <is>
          <t>midcap</t>
        </is>
      </c>
      <c r="H33" s="32" t="n">
        <v>7058.89</v>
      </c>
      <c r="I33" s="32" t="n">
        <v>2783</v>
      </c>
      <c r="J33" s="32" t="n">
        <v>3.54</v>
      </c>
      <c r="K33" s="32" t="n">
        <v>0</v>
      </c>
      <c r="L33" s="31" t="n">
        <v>92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77.93000000000001</v>
      </c>
      <c r="P33" s="32" t="n">
        <v>52.63</v>
      </c>
      <c r="Q33" s="32" t="n">
        <v>2037.52</v>
      </c>
      <c r="R33" s="31" t="inlineStr">
        <is>
          <t>Near 52W High Breakout</t>
        </is>
      </c>
      <c r="S33" s="31" t="inlineStr">
        <is>
          <t>Nifty 50</t>
        </is>
      </c>
      <c r="T33" s="32" t="n">
        <v>-0.9</v>
      </c>
      <c r="U33" s="32" t="n">
        <v>195.43</v>
      </c>
      <c r="V33" s="32" t="n">
        <v>198.11</v>
      </c>
      <c r="W33" s="32" t="n">
        <v>34.51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21</t>
        </is>
      </c>
      <c r="CG33" s="31">
        <f>IF(CF33&gt;20,10,IF(CF33&gt;=10,5,2))</f>
        <v/>
      </c>
    </row>
    <row r="34">
      <c r="A34" s="31">
        <f>IF(B34=0,"",RANK(B34,$B$2:$B$97,0))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4" t="inlineStr">
        <is>
          <t>KDDL</t>
        </is>
      </c>
      <c r="D34" s="34" t="inlineStr">
        <is>
          <t>KDDL Ltd</t>
        </is>
      </c>
      <c r="E34" s="31" t="inlineStr">
        <is>
          <t>consumer discretionary</t>
        </is>
      </c>
      <c r="F34" s="31" t="inlineStr">
        <is>
          <t>Watches</t>
        </is>
      </c>
      <c r="G34" s="31" t="inlineStr">
        <is>
          <t>smallcap</t>
        </is>
      </c>
      <c r="H34" s="32" t="n">
        <v>4870.51</v>
      </c>
      <c r="I34" s="32" t="n">
        <v>3960</v>
      </c>
      <c r="J34" s="32" t="n">
        <v>0.9</v>
      </c>
      <c r="K34" s="32" t="n">
        <v>0</v>
      </c>
      <c r="L34" s="31" t="n">
        <v>71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75.63</v>
      </c>
      <c r="P34" s="32" t="n">
        <v>44.5</v>
      </c>
      <c r="Q34" s="32" t="n">
        <v>3048</v>
      </c>
      <c r="R34" s="31" t="inlineStr">
        <is>
          <t>Near 52W High Breakout</t>
        </is>
      </c>
      <c r="S34" s="31" t="inlineStr">
        <is>
          <t>Nifty 50</t>
        </is>
      </c>
      <c r="T34" s="32" t="n">
        <v>-0.9</v>
      </c>
      <c r="U34" s="32" t="n">
        <v>66.62</v>
      </c>
      <c r="V34" s="32" t="n">
        <v>68.13</v>
      </c>
      <c r="W34" s="32" t="n">
        <v>20.18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Yes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21</t>
        </is>
      </c>
      <c r="CG34" s="31">
        <f>IF(CF34&gt;20,10,IF(CF34&gt;=10,5,2))</f>
        <v/>
      </c>
    </row>
    <row r="35">
      <c r="A35" s="31">
        <f>IF(B35=0,"",RANK(B35,$B$2:$B$97,0))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IRISDOREME</t>
        </is>
      </c>
      <c r="D35" s="31" t="inlineStr">
        <is>
          <t>Iris Clothings Ltd</t>
        </is>
      </c>
      <c r="E35" s="31" t="inlineStr">
        <is>
          <t>consumer discretionary</t>
        </is>
      </c>
      <c r="F35" s="31" t="inlineStr">
        <is>
          <t>Textiles - Readymade Apparel</t>
        </is>
      </c>
      <c r="G35" s="31" t="inlineStr">
        <is>
          <t>smallcap</t>
        </is>
      </c>
      <c r="H35" s="32" t="n">
        <v>1096.5</v>
      </c>
      <c r="I35" s="32" t="n">
        <v>57.61</v>
      </c>
      <c r="J35" s="32" t="n">
        <v>1.27</v>
      </c>
      <c r="K35" s="32" t="n">
        <v>0</v>
      </c>
      <c r="L35" s="31" t="n">
        <v>87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82.16</v>
      </c>
      <c r="P35" s="32" t="n">
        <v>45.48</v>
      </c>
      <c r="Q35" s="32" t="n">
        <v>45.39</v>
      </c>
      <c r="R35" s="31" t="inlineStr">
        <is>
          <t>Near 52W High Breakout</t>
        </is>
      </c>
      <c r="S35" s="31" t="inlineStr">
        <is>
          <t>Nifty 50</t>
        </is>
      </c>
      <c r="T35" s="32" t="n">
        <v>-0.9</v>
      </c>
      <c r="U35" s="32" t="n">
        <v>83.06999999999999</v>
      </c>
      <c r="V35" s="32" t="n">
        <v>84.73</v>
      </c>
      <c r="W35" s="32" t="n">
        <v>27.28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Above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21</t>
        </is>
      </c>
      <c r="CG35" s="31">
        <f>IF(CF35&gt;20,10,IF(CF35&gt;=10,5,2))</f>
        <v/>
      </c>
    </row>
    <row r="36">
      <c r="A36" s="31">
        <f>IF(B36=0,"",RANK(B36,$B$2:$B$97,0))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4" t="inlineStr">
        <is>
          <t>IGPL</t>
        </is>
      </c>
      <c r="D36" s="34" t="inlineStr">
        <is>
          <t>I G Petrochemicals Ltd</t>
        </is>
      </c>
      <c r="E36" s="31" t="inlineStr">
        <is>
          <t>chemicals</t>
        </is>
      </c>
      <c r="F36" s="31" t="inlineStr">
        <is>
          <t>Chemicals - Organic - Maleic Anhydride</t>
        </is>
      </c>
      <c r="G36" s="31" t="inlineStr">
        <is>
          <t>smallcap</t>
        </is>
      </c>
      <c r="H36" s="32" t="n">
        <v>1608.72</v>
      </c>
      <c r="I36" s="32" t="n">
        <v>522.4</v>
      </c>
      <c r="J36" s="32" t="n">
        <v>7.04</v>
      </c>
      <c r="K36" s="32" t="n">
        <v>0</v>
      </c>
      <c r="L36" s="31" t="n">
        <v>38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66.66</v>
      </c>
      <c r="P36" s="32" t="n">
        <v>23.83</v>
      </c>
      <c r="Q36" s="32" t="n">
        <v>409</v>
      </c>
      <c r="R36" s="31" t="inlineStr">
        <is>
          <t>Volume Spike &amp; Near 52W High Breakout</t>
        </is>
      </c>
      <c r="S36" s="31" t="inlineStr">
        <is>
          <t>Nifty 50</t>
        </is>
      </c>
      <c r="T36" s="32" t="n">
        <v>-0.9</v>
      </c>
      <c r="U36" s="32" t="n">
        <v>23.5</v>
      </c>
      <c r="V36" s="32" t="n">
        <v>24.62</v>
      </c>
      <c r="W36" s="32" t="n">
        <v>10.08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Close to 52 week high or retracement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21</t>
        </is>
      </c>
      <c r="CG36" s="31">
        <f>IF(CF36&gt;20,10,IF(CF36&gt;=10,5,2))</f>
        <v/>
      </c>
    </row>
    <row r="37">
      <c r="A37" s="31">
        <f>IF(B37=0,"",RANK(B37,$B$2:$B$97,0))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4" t="inlineStr">
        <is>
          <t>ACCENTMIC</t>
        </is>
      </c>
      <c r="D37" s="34" t="inlineStr">
        <is>
          <t>Accent Microcell Ltd</t>
        </is>
      </c>
      <c r="E37" s="31" t="inlineStr">
        <is>
          <t>unknown</t>
        </is>
      </c>
      <c r="F37" s="31" t="inlineStr">
        <is>
          <t>Pharma - Formulators</t>
        </is>
      </c>
      <c r="G37" s="31" t="inlineStr">
        <is>
          <t>smallcap</t>
        </is>
      </c>
      <c r="H37" s="32" t="n">
        <v>1436.94</v>
      </c>
      <c r="I37" s="32" t="n">
        <v>599</v>
      </c>
      <c r="J37" s="32" t="n">
        <v>1.18</v>
      </c>
      <c r="K37" s="32" t="n">
        <v>0</v>
      </c>
      <c r="L37" s="31" t="n">
        <v>79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75.8</v>
      </c>
      <c r="P37" s="32" t="n">
        <v>63.06</v>
      </c>
      <c r="Q37" s="32" t="n">
        <v>493.26</v>
      </c>
      <c r="R37" s="31" t="inlineStr">
        <is>
          <t>Near 52W High Breakout</t>
        </is>
      </c>
      <c r="S37" s="31" t="inlineStr">
        <is>
          <t>Nifty 50</t>
        </is>
      </c>
      <c r="T37" s="32" t="n">
        <v>-0.9</v>
      </c>
      <c r="U37" s="32" t="n">
        <v>109.56</v>
      </c>
      <c r="V37" s="32" t="n">
        <v>111.46</v>
      </c>
      <c r="W37" s="32" t="n">
        <v>23.45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19</t>
        </is>
      </c>
      <c r="CG37" s="31">
        <f>IF(CF37&gt;20,10,IF(CF37&gt;=10,5,2))</f>
        <v/>
      </c>
    </row>
    <row r="38">
      <c r="A38" s="31">
        <f>IF(B38=0,"",RANK(B38,$B$2:$B$97,0))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UNIVCABLES</t>
        </is>
      </c>
      <c r="D38" s="31" t="inlineStr">
        <is>
          <t>Universal Cables Ltd</t>
        </is>
      </c>
      <c r="E38" s="31" t="inlineStr">
        <is>
          <t>industrials</t>
        </is>
      </c>
      <c r="F38" s="31" t="inlineStr">
        <is>
          <t>Cables - Power</t>
        </is>
      </c>
      <c r="G38" s="31" t="inlineStr">
        <is>
          <t>midcap</t>
        </is>
      </c>
      <c r="H38" s="32" t="n">
        <v>5474.93</v>
      </c>
      <c r="I38" s="32" t="n">
        <v>1578</v>
      </c>
      <c r="J38" s="32" t="n">
        <v>-0.75</v>
      </c>
      <c r="K38" s="32" t="n">
        <v>0</v>
      </c>
      <c r="L38" s="31" t="inlineStr"/>
      <c r="M38" s="31" t="inlineStr"/>
      <c r="N38" s="32">
        <f>IF(M38="Underperforming",-5,IF(L38&gt;=95,15,IF(L38&gt;=90,10,IF(L38&gt;=80,5,0))))</f>
        <v/>
      </c>
      <c r="O38" s="32" t="n">
        <v>72.12</v>
      </c>
      <c r="P38" s="32" t="n">
        <v>60.18</v>
      </c>
      <c r="Q38" s="32" t="n">
        <v>1166.36</v>
      </c>
      <c r="R38" s="31" t="inlineStr">
        <is>
          <t>Near 52W High Breakout</t>
        </is>
      </c>
      <c r="S38" s="31" t="inlineStr">
        <is>
          <t>Nifty Energy</t>
        </is>
      </c>
      <c r="T38" s="32" t="inlineStr"/>
      <c r="U38" s="32" t="inlineStr"/>
      <c r="V38" s="32" t="inlineStr"/>
      <c r="W38" s="32" t="inlineStr"/>
      <c r="X38" s="31" t="inlineStr">
        <is>
          <t>Cyclical in an Upturn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19</t>
        </is>
      </c>
      <c r="CG38" s="31">
        <f>IF(CF38&gt;20,10,IF(CF38&gt;=10,5,2))</f>
        <v/>
      </c>
    </row>
    <row r="39">
      <c r="A39" s="31">
        <f>IF(B39=0,"",RANK(B39,$B$2:$B$97,0))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CUPID</t>
        </is>
      </c>
      <c r="D39" s="31" t="inlineStr">
        <is>
          <t>Cupid Ltd</t>
        </is>
      </c>
      <c r="E39" s="31" t="inlineStr">
        <is>
          <t>fmcg</t>
        </is>
      </c>
      <c r="F39" s="31" t="inlineStr">
        <is>
          <t>Contraceptives/Protectives</t>
        </is>
      </c>
      <c r="G39" s="31" t="inlineStr">
        <is>
          <t>largecap</t>
        </is>
      </c>
      <c r="H39" s="32" t="n">
        <v>38220.64</v>
      </c>
      <c r="I39" s="32" t="n">
        <v>284.24</v>
      </c>
      <c r="J39" s="32" t="n">
        <v>0.88</v>
      </c>
      <c r="K39" s="32" t="n">
        <v>0</v>
      </c>
      <c r="L39" s="31" t="inlineStr"/>
      <c r="M39" s="31" t="inlineStr"/>
      <c r="N39" s="32">
        <f>IF(M39="Underperforming",-5,IF(L39&gt;=95,15,IF(L39&gt;=90,10,IF(L39&gt;=80,5,0))))</f>
        <v/>
      </c>
      <c r="O39" s="32" t="n">
        <v>87.70999999999999</v>
      </c>
      <c r="P39" s="32" t="n">
        <v>72.64</v>
      </c>
      <c r="Q39" s="32" t="n">
        <v>229.26</v>
      </c>
      <c r="R39" s="31" t="inlineStr">
        <is>
          <t>Near 52W High Breakout</t>
        </is>
      </c>
      <c r="S39" s="31" t="inlineStr">
        <is>
          <t>Nifty FMCG</t>
        </is>
      </c>
      <c r="T39" s="32" t="inlineStr"/>
      <c r="U39" s="32" t="inlineStr"/>
      <c r="V39" s="32" t="inlineStr"/>
      <c r="W39" s="32" t="inlineStr"/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B2C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Above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23</t>
        </is>
      </c>
      <c r="CG39" s="31">
        <f>IF(CF39&gt;20,10,IF(CF39&gt;=10,5,2))</f>
        <v/>
      </c>
    </row>
    <row r="40">
      <c r="A40" s="31">
        <f>IF(B40=0,"",RANK(B40,$B$2:$B$97,0))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SHILPAMED</t>
        </is>
      </c>
      <c r="D40" s="31" t="inlineStr">
        <is>
          <t>Shilpa Medicare Ltd</t>
        </is>
      </c>
      <c r="E40" s="31" t="inlineStr">
        <is>
          <t>healthcare</t>
        </is>
      </c>
      <c r="F40" s="31" t="inlineStr">
        <is>
          <t>Pharma - API &amp; CRAMS</t>
        </is>
      </c>
      <c r="G40" s="31" t="inlineStr">
        <is>
          <t>midcap</t>
        </is>
      </c>
      <c r="H40" s="32" t="n">
        <v>16820.04</v>
      </c>
      <c r="I40" s="32" t="n">
        <v>860</v>
      </c>
      <c r="J40" s="32" t="n">
        <v>-0.18</v>
      </c>
      <c r="K40" s="32" t="n">
        <v>0</v>
      </c>
      <c r="L40" s="31" t="n">
        <v>93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89.14</v>
      </c>
      <c r="P40" s="32" t="n">
        <v>76.16</v>
      </c>
      <c r="Q40" s="32" t="n">
        <v>704.7</v>
      </c>
      <c r="R40" s="31" t="inlineStr">
        <is>
          <t>Near 52W High Breakout</t>
        </is>
      </c>
      <c r="S40" s="31" t="inlineStr">
        <is>
          <t>Nifty Pharma</t>
        </is>
      </c>
      <c r="T40" s="32" t="n">
        <v>22.12</v>
      </c>
      <c r="U40" s="32" t="n">
        <v>103.67</v>
      </c>
      <c r="V40" s="32" t="n">
        <v>66.79000000000001</v>
      </c>
      <c r="W40" s="32" t="n">
        <v>34.52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21</t>
        </is>
      </c>
      <c r="CG40" s="31">
        <f>IF(CF40&gt;20,10,IF(CF40&gt;=10,5,2))</f>
        <v/>
      </c>
    </row>
    <row r="41">
      <c r="A41" s="31">
        <f>IF(B41=0,"",RANK(B41,$B$2:$B$97,0))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RPEL</t>
        </is>
      </c>
      <c r="D41" s="31" t="inlineStr">
        <is>
          <t>Raghav Productivity Enhancers Ltd</t>
        </is>
      </c>
      <c r="E41" s="31" t="inlineStr">
        <is>
          <t>building materials</t>
        </is>
      </c>
      <c r="F41" s="31" t="inlineStr">
        <is>
          <t>Steel Products</t>
        </is>
      </c>
      <c r="G41" s="31" t="inlineStr">
        <is>
          <t>midcap</t>
        </is>
      </c>
      <c r="H41" s="32" t="n">
        <v>7898.58</v>
      </c>
      <c r="I41" s="32" t="n">
        <v>1720</v>
      </c>
      <c r="J41" s="32" t="n">
        <v>7.29</v>
      </c>
      <c r="K41" s="32" t="n">
        <v>0</v>
      </c>
      <c r="L41" s="31" t="inlineStr"/>
      <c r="M41" s="31" t="inlineStr"/>
      <c r="N41" s="32">
        <f>IF(M41="Underperforming",-5,IF(L41&gt;=95,15,IF(L41&gt;=90,10,IF(L41&gt;=80,5,0))))</f>
        <v/>
      </c>
      <c r="O41" s="32" t="n">
        <v>83.44</v>
      </c>
      <c r="P41" s="32" t="n">
        <v>59.38</v>
      </c>
      <c r="Q41" s="32" t="n">
        <v>1367.56</v>
      </c>
      <c r="R41" s="31" t="inlineStr">
        <is>
          <t>Near 52W High Breakout</t>
        </is>
      </c>
      <c r="S41" s="31" t="inlineStr">
        <is>
          <t>Nifty Infra</t>
        </is>
      </c>
      <c r="T41" s="32" t="inlineStr"/>
      <c r="U41" s="32" t="inlineStr"/>
      <c r="V41" s="32" t="inlineStr"/>
      <c r="W41" s="32" t="inlineStr"/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Between 1.5 to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23</t>
        </is>
      </c>
      <c r="CG41" s="31">
        <f>IF(CF41&gt;20,10,IF(CF41&gt;=10,5,2))</f>
        <v/>
      </c>
    </row>
    <row r="42">
      <c r="A42" s="31">
        <f>IF(B42=0,"",RANK(B42,$B$2:$B$97,0))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FCL</t>
        </is>
      </c>
      <c r="D42" s="31" t="inlineStr">
        <is>
          <t>Fineotex Chemical Ltd</t>
        </is>
      </c>
      <c r="E42" s="31" t="inlineStr">
        <is>
          <t>chemicals</t>
        </is>
      </c>
      <c r="F42" s="31" t="inlineStr">
        <is>
          <t>Speciality Chemicals</t>
        </is>
      </c>
      <c r="G42" s="31" t="inlineStr">
        <is>
          <t>midcap</t>
        </is>
      </c>
      <c r="H42" s="32" t="n">
        <v>5917.99</v>
      </c>
      <c r="I42" s="32" t="n">
        <v>50.82</v>
      </c>
      <c r="J42" s="32" t="n">
        <v>4.18</v>
      </c>
      <c r="K42" s="32" t="n">
        <v>0</v>
      </c>
      <c r="L42" s="31" t="n">
        <v>82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76.13</v>
      </c>
      <c r="P42" s="32" t="n">
        <v>50.05</v>
      </c>
      <c r="Q42" s="32" t="n">
        <v>37.59</v>
      </c>
      <c r="R42" s="31" t="inlineStr">
        <is>
          <t>Near 52W High Breakout</t>
        </is>
      </c>
      <c r="S42" s="31" t="inlineStr">
        <is>
          <t>Nifty 50</t>
        </is>
      </c>
      <c r="T42" s="32" t="n">
        <v>-0.9</v>
      </c>
      <c r="U42" s="32" t="n">
        <v>113.16</v>
      </c>
      <c r="V42" s="32" t="n">
        <v>115.09</v>
      </c>
      <c r="W42" s="32" t="n">
        <v>24.44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23</t>
        </is>
      </c>
      <c r="CG42" s="31">
        <f>IF(CF42&gt;20,10,IF(CF42&gt;=10,5,2))</f>
        <v/>
      </c>
    </row>
    <row r="43">
      <c r="A43" s="31">
        <f>IF(B43=0,"",RANK(B43,$B$2:$B$97,0))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4" t="inlineStr">
        <is>
          <t>DYCL</t>
        </is>
      </c>
      <c r="D43" s="34" t="inlineStr">
        <is>
          <t>Dynamic Cables Ltd</t>
        </is>
      </c>
      <c r="E43" s="31" t="inlineStr">
        <is>
          <t>industrials</t>
        </is>
      </c>
      <c r="F43" s="31" t="inlineStr">
        <is>
          <t>Cables - Power</t>
        </is>
      </c>
      <c r="G43" s="31" t="inlineStr">
        <is>
          <t>smallcap</t>
        </is>
      </c>
      <c r="H43" s="32" t="n">
        <v>2214.56</v>
      </c>
      <c r="I43" s="32" t="n">
        <v>457</v>
      </c>
      <c r="J43" s="32" t="n">
        <v>6.71</v>
      </c>
      <c r="K43" s="32" t="n">
        <v>0</v>
      </c>
      <c r="L43" s="31" t="inlineStr"/>
      <c r="M43" s="31" t="inlineStr"/>
      <c r="N43" s="32">
        <f>IF(M43="Underperforming",-5,IF(L43&gt;=95,15,IF(L43&gt;=90,10,IF(L43&gt;=80,5,0))))</f>
        <v/>
      </c>
      <c r="O43" s="32" t="n">
        <v>67.89</v>
      </c>
      <c r="P43" s="32" t="n">
        <v>28.08</v>
      </c>
      <c r="Q43" s="32" t="n">
        <v>326.47</v>
      </c>
      <c r="R43" s="31" t="inlineStr">
        <is>
          <t>Near 52W High Breakout</t>
        </is>
      </c>
      <c r="S43" s="31" t="inlineStr">
        <is>
          <t>Nifty Energy</t>
        </is>
      </c>
      <c r="T43" s="32" t="inlineStr"/>
      <c r="U43" s="32" t="inlineStr"/>
      <c r="V43" s="32" t="inlineStr"/>
      <c r="W43" s="32" t="inlineStr"/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22</t>
        </is>
      </c>
      <c r="CG43" s="31">
        <f>IF(CF43&gt;20,10,IF(CF43&gt;=10,5,2))</f>
        <v/>
      </c>
    </row>
    <row r="44">
      <c r="A44" s="31">
        <f>IF(B44=0,"",RANK(B44,$B$2:$B$97,0))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GHCLTEXTIL</t>
        </is>
      </c>
      <c r="D44" s="31" t="inlineStr">
        <is>
          <t>GHCL Textiles Ltd</t>
        </is>
      </c>
      <c r="E44" s="31" t="inlineStr">
        <is>
          <t>textiles</t>
        </is>
      </c>
      <c r="F44" s="31" t="inlineStr">
        <is>
          <t>Textiles - General</t>
        </is>
      </c>
      <c r="G44" s="31" t="inlineStr">
        <is>
          <t>smallcap</t>
        </is>
      </c>
      <c r="H44" s="32" t="n">
        <v>1214.9</v>
      </c>
      <c r="I44" s="32" t="n">
        <v>127.1</v>
      </c>
      <c r="J44" s="32" t="n">
        <v>1.19</v>
      </c>
      <c r="K44" s="32" t="n">
        <v>0</v>
      </c>
      <c r="L44" s="31" t="n">
        <v>66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73.22</v>
      </c>
      <c r="P44" s="32" t="n">
        <v>39.78</v>
      </c>
      <c r="Q44" s="32" t="n">
        <v>98.09999999999999</v>
      </c>
      <c r="R44" s="31" t="inlineStr">
        <is>
          <t>Near 52W High Breakout</t>
        </is>
      </c>
      <c r="S44" s="31" t="inlineStr">
        <is>
          <t>Nifty 50</t>
        </is>
      </c>
      <c r="T44" s="32" t="n">
        <v>-0.9</v>
      </c>
      <c r="U44" s="32" t="n">
        <v>60.26</v>
      </c>
      <c r="V44" s="32" t="n">
        <v>61.71</v>
      </c>
      <c r="W44" s="32" t="n">
        <v>17.52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21</t>
        </is>
      </c>
      <c r="CG44" s="31">
        <f>IF(CF44&gt;20,10,IF(CF44&gt;=10,5,2))</f>
        <v/>
      </c>
    </row>
    <row r="45">
      <c r="A45" s="31">
        <f>IF(B45=0,"",RANK(B45,$B$2:$B$97,0))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ENTERO</t>
        </is>
      </c>
      <c r="D45" s="31" t="inlineStr">
        <is>
          <t>Entero Healthcare Solutions Ltd</t>
        </is>
      </c>
      <c r="E45" s="31" t="inlineStr">
        <is>
          <t>healthcare</t>
        </is>
      </c>
      <c r="F45" s="31" t="inlineStr">
        <is>
          <t>Pharmacy Distribution</t>
        </is>
      </c>
      <c r="G45" s="31" t="inlineStr">
        <is>
          <t>midcap</t>
        </is>
      </c>
      <c r="H45" s="32" t="n">
        <v>7163.9</v>
      </c>
      <c r="I45" s="32" t="n">
        <v>1646</v>
      </c>
      <c r="J45" s="32" t="n">
        <v>0.8</v>
      </c>
      <c r="K45" s="32" t="n">
        <v>0</v>
      </c>
      <c r="L45" s="31" t="n">
        <v>62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73.95999999999999</v>
      </c>
      <c r="P45" s="32" t="n">
        <v>29.18</v>
      </c>
      <c r="Q45" s="32" t="n">
        <v>1296.69</v>
      </c>
      <c r="R45" s="31" t="inlineStr">
        <is>
          <t>Volume Spike &amp; Near 52W High Breakout</t>
        </is>
      </c>
      <c r="S45" s="31" t="inlineStr">
        <is>
          <t>Nifty Pharma</t>
        </is>
      </c>
      <c r="T45" s="32" t="n">
        <v>22.12</v>
      </c>
      <c r="U45" s="32" t="n">
        <v>39.42</v>
      </c>
      <c r="V45" s="32" t="n">
        <v>14.17</v>
      </c>
      <c r="W45" s="32" t="n">
        <v>15.7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20 to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Between 1.5 to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28</t>
        </is>
      </c>
      <c r="CG45" s="31">
        <f>IF(CF45&gt;20,10,IF(CF45&gt;=10,5,2))</f>
        <v/>
      </c>
    </row>
    <row r="46">
      <c r="A46" s="31">
        <f>IF(B46=0,"",RANK(B46,$B$2:$B$97,0))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AVTNPL</t>
        </is>
      </c>
      <c r="D46" s="31" t="inlineStr">
        <is>
          <t>AVT Natural Products Ltd</t>
        </is>
      </c>
      <c r="E46" s="31" t="inlineStr">
        <is>
          <t>fmcg</t>
        </is>
      </c>
      <c r="F46" s="31" t="inlineStr">
        <is>
          <t>Agricultural Processing - Maize</t>
        </is>
      </c>
      <c r="G46" s="31" t="inlineStr">
        <is>
          <t>smallcap</t>
        </is>
      </c>
      <c r="H46" s="32" t="n">
        <v>1321.06</v>
      </c>
      <c r="I46" s="32" t="n">
        <v>86.75</v>
      </c>
      <c r="J46" s="32" t="n">
        <v>-0.48</v>
      </c>
      <c r="K46" s="32" t="n">
        <v>0</v>
      </c>
      <c r="L46" s="31" t="inlineStr"/>
      <c r="M46" s="31" t="inlineStr"/>
      <c r="N46" s="32">
        <f>IF(M46="Underperforming",-5,IF(L46&gt;=95,15,IF(L46&gt;=90,10,IF(L46&gt;=80,5,0))))</f>
        <v/>
      </c>
      <c r="O46" s="32" t="n">
        <v>75.2</v>
      </c>
      <c r="P46" s="32" t="n">
        <v>38.79</v>
      </c>
      <c r="Q46" s="32" t="n">
        <v>70.78</v>
      </c>
      <c r="R46" s="31" t="inlineStr">
        <is>
          <t>Near 52W High Breakout</t>
        </is>
      </c>
      <c r="S46" s="31" t="inlineStr">
        <is>
          <t>Nifty FMCG</t>
        </is>
      </c>
      <c r="T46" s="32" t="inlineStr"/>
      <c r="U46" s="32" t="inlineStr"/>
      <c r="V46" s="32" t="inlineStr"/>
      <c r="W46" s="32" t="inlineStr"/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B2C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24</t>
        </is>
      </c>
      <c r="CG46" s="31">
        <f>IF(CF46&gt;20,10,IF(CF46&gt;=10,5,2))</f>
        <v/>
      </c>
    </row>
    <row r="47">
      <c r="A47" s="31">
        <f>IF(B47=0,"",RANK(B47,$B$2:$B$97,0))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LAURUSLABS</t>
        </is>
      </c>
      <c r="D47" s="31" t="inlineStr">
        <is>
          <t>Laurus Labs Ltd</t>
        </is>
      </c>
      <c r="E47" s="31" t="inlineStr">
        <is>
          <t>healthcare</t>
        </is>
      </c>
      <c r="F47" s="31" t="inlineStr">
        <is>
          <t>Pharma - API &amp; CRAMS</t>
        </is>
      </c>
      <c r="G47" s="31" t="inlineStr">
        <is>
          <t>largecap</t>
        </is>
      </c>
      <c r="H47" s="32" t="n">
        <v>101956.92</v>
      </c>
      <c r="I47" s="32" t="n">
        <v>1887</v>
      </c>
      <c r="J47" s="32" t="n">
        <v>1.11</v>
      </c>
      <c r="K47" s="32" t="n">
        <v>0</v>
      </c>
      <c r="L47" s="31" t="n">
        <v>84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82.38</v>
      </c>
      <c r="P47" s="32" t="n">
        <v>68.20999999999999</v>
      </c>
      <c r="Q47" s="32" t="n">
        <v>1623.23</v>
      </c>
      <c r="R47" s="31" t="inlineStr">
        <is>
          <t>Near 52W High Breakout</t>
        </is>
      </c>
      <c r="S47" s="31" t="inlineStr">
        <is>
          <t>Nifty Pharma</t>
        </is>
      </c>
      <c r="T47" s="32" t="n">
        <v>22.12</v>
      </c>
      <c r="U47" s="32" t="n">
        <v>120.61</v>
      </c>
      <c r="V47" s="32" t="n">
        <v>80.66</v>
      </c>
      <c r="W47" s="32" t="n">
        <v>25.72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20</t>
        </is>
      </c>
      <c r="CG47" s="31">
        <f>IF(CF47&gt;20,10,IF(CF47&gt;=10,5,2))</f>
        <v/>
      </c>
    </row>
    <row r="48">
      <c r="A48" s="31">
        <f>IF(B48=0,"",RANK(B48,$B$2:$B$97,0))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KENNAMET</t>
        </is>
      </c>
      <c r="D48" s="31" t="inlineStr">
        <is>
          <t>Kennametal India Ltd</t>
        </is>
      </c>
      <c r="E48" s="31" t="inlineStr">
        <is>
          <t>industrials</t>
        </is>
      </c>
      <c r="F48" s="31" t="inlineStr">
        <is>
          <t>Castings, Forgings &amp; Fastners</t>
        </is>
      </c>
      <c r="G48" s="31" t="inlineStr">
        <is>
          <t>midcap</t>
        </is>
      </c>
      <c r="H48" s="32" t="n">
        <v>9564.93</v>
      </c>
      <c r="I48" s="32" t="n">
        <v>4352</v>
      </c>
      <c r="J48" s="32" t="n">
        <v>5.32</v>
      </c>
      <c r="K48" s="32" t="n">
        <v>0</v>
      </c>
      <c r="L48" s="31" t="n">
        <v>85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82.84</v>
      </c>
      <c r="P48" s="32" t="n">
        <v>45.24</v>
      </c>
      <c r="Q48" s="32" t="n">
        <v>3446.38</v>
      </c>
      <c r="R48" s="31" t="inlineStr">
        <is>
          <t>Near 52W High Breakout</t>
        </is>
      </c>
      <c r="S48" s="31" t="inlineStr">
        <is>
          <t>Nifty 50</t>
        </is>
      </c>
      <c r="T48" s="32" t="n">
        <v>-0.9</v>
      </c>
      <c r="U48" s="32" t="n">
        <v>98.84999999999999</v>
      </c>
      <c r="V48" s="32" t="n">
        <v>100.65</v>
      </c>
      <c r="W48" s="32" t="n">
        <v>25.75</v>
      </c>
      <c r="X48" s="31" t="inlineStr">
        <is>
          <t>Cyclical in an Upturn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30</t>
        </is>
      </c>
      <c r="CG48" s="31">
        <f>IF(CF48&gt;20,10,IF(CF48&gt;=10,5,2))</f>
        <v/>
      </c>
    </row>
    <row r="49">
      <c r="A49" s="31">
        <f>IF(B49=0,"",RANK(B49,$B$2:$B$97,0))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PRECWIRE</t>
        </is>
      </c>
      <c r="D49" s="31" t="inlineStr">
        <is>
          <t>Precision Wires India Ltd</t>
        </is>
      </c>
      <c r="E49" s="31" t="inlineStr">
        <is>
          <t>Industrials</t>
        </is>
      </c>
      <c r="F49" s="31" t="inlineStr">
        <is>
          <t>Copper Wires</t>
        </is>
      </c>
      <c r="G49" s="31" t="inlineStr">
        <is>
          <t>midcap</t>
        </is>
      </c>
      <c r="H49" s="32" t="n">
        <v>7933.87</v>
      </c>
      <c r="I49" s="32" t="n">
        <v>434</v>
      </c>
      <c r="J49" s="32" t="n">
        <v>5.4</v>
      </c>
      <c r="K49" s="32" t="n">
        <v>0</v>
      </c>
      <c r="L49" s="31" t="n">
        <v>77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61.68</v>
      </c>
      <c r="P49" s="32" t="n">
        <v>41.21</v>
      </c>
      <c r="Q49" s="32" t="n">
        <v>338.18</v>
      </c>
      <c r="R49" s="31" t="inlineStr">
        <is>
          <t>Earnings / Momentum Support</t>
        </is>
      </c>
      <c r="S49" s="31" t="inlineStr">
        <is>
          <t>Nifty 50</t>
        </is>
      </c>
      <c r="T49" s="32" t="n">
        <v>-0.9</v>
      </c>
      <c r="U49" s="32" t="n">
        <v>154.39</v>
      </c>
      <c r="V49" s="32" t="n">
        <v>156.69</v>
      </c>
      <c r="W49" s="32" t="n">
        <v>22.59</v>
      </c>
      <c r="X49" s="31" t="inlineStr">
        <is>
          <t>Cyclical in an Upturn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26</t>
        </is>
      </c>
      <c r="CG49" s="31">
        <f>IF(CF49&gt;20,10,IF(CF49&gt;=10,5,2))</f>
        <v/>
      </c>
    </row>
    <row r="50">
      <c r="A50" s="31">
        <f>IF(B50=0,"",RANK(B50,$B$2:$B$97,0))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AEROENTER</t>
        </is>
      </c>
      <c r="D50" s="31" t="inlineStr">
        <is>
          <t>Aeroflex Enterprises Ltd</t>
        </is>
      </c>
      <c r="E50" s="31" t="inlineStr">
        <is>
          <t>metals &amp; mining</t>
        </is>
      </c>
      <c r="F50" s="31" t="inlineStr">
        <is>
          <t>Miscellaneous</t>
        </is>
      </c>
      <c r="G50" s="31" t="inlineStr">
        <is>
          <t>smallcap</t>
        </is>
      </c>
      <c r="H50" s="32" t="n">
        <v>1640.65</v>
      </c>
      <c r="I50" s="32" t="n">
        <v>144.98</v>
      </c>
      <c r="J50" s="32" t="n">
        <v>3.01</v>
      </c>
      <c r="K50" s="32" t="n">
        <v>0</v>
      </c>
      <c r="L50" s="31" t="inlineStr"/>
      <c r="M50" s="31" t="inlineStr"/>
      <c r="N50" s="32">
        <f>IF(M50="Underperforming",-5,IF(L50&gt;=95,15,IF(L50&gt;=90,10,IF(L50&gt;=80,5,0))))</f>
        <v/>
      </c>
      <c r="O50" s="32" t="n">
        <v>68.42</v>
      </c>
      <c r="P50" s="32" t="n">
        <v>51.83</v>
      </c>
      <c r="Q50" s="32" t="n">
        <v>104.23</v>
      </c>
      <c r="R50" s="31" t="inlineStr">
        <is>
          <t>Near 52W High Breakout</t>
        </is>
      </c>
      <c r="S50" s="31" t="inlineStr">
        <is>
          <t>Nifty Metal</t>
        </is>
      </c>
      <c r="T50" s="32" t="inlineStr"/>
      <c r="U50" s="32" t="inlineStr"/>
      <c r="V50" s="32" t="inlineStr"/>
      <c r="W50" s="32" t="inlineStr"/>
      <c r="X50" s="31" t="inlineStr">
        <is>
          <t>Cyclical in an Upturn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Cyclical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Volatile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23</t>
        </is>
      </c>
      <c r="CG50" s="31">
        <f>IF(CF50&gt;20,10,IF(CF50&gt;=10,5,2))</f>
        <v/>
      </c>
    </row>
    <row r="51">
      <c r="A51" s="31">
        <f>IF(B51=0,"",RANK(B51,$B$2:$B$97,0))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THELEELA</t>
        </is>
      </c>
      <c r="D51" s="31" t="inlineStr">
        <is>
          <t>Leela Palaces Hotels &amp; Resorts Ltd</t>
        </is>
      </c>
      <c r="E51" s="31" t="inlineStr">
        <is>
          <t>services</t>
        </is>
      </c>
      <c r="F51" s="31" t="inlineStr">
        <is>
          <t>Hotels</t>
        </is>
      </c>
      <c r="G51" s="31" t="inlineStr">
        <is>
          <t>midcap</t>
        </is>
      </c>
      <c r="H51" s="32" t="n">
        <v>18334.29</v>
      </c>
      <c r="I51" s="32" t="n">
        <v>549</v>
      </c>
      <c r="J51" s="32" t="n">
        <v>-1.06</v>
      </c>
      <c r="K51" s="32" t="n">
        <v>0</v>
      </c>
      <c r="L51" s="31" t="n">
        <v>57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68.12</v>
      </c>
      <c r="P51" s="32" t="n">
        <v>33.43</v>
      </c>
      <c r="Q51" s="32" t="n">
        <v>457.05</v>
      </c>
      <c r="R51" s="31" t="inlineStr">
        <is>
          <t>Near 52W High Breakout</t>
        </is>
      </c>
      <c r="S51" s="31" t="inlineStr">
        <is>
          <t>Nifty 50</t>
        </is>
      </c>
      <c r="T51" s="32" t="n">
        <v>-0.9</v>
      </c>
      <c r="U51" s="32" t="n">
        <v>38.39</v>
      </c>
      <c r="V51" s="32" t="n">
        <v>39.64</v>
      </c>
      <c r="W51" s="32" t="n">
        <v>14.36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23</t>
        </is>
      </c>
      <c r="CG51" s="31">
        <f>IF(CF51&gt;20,10,IF(CF51&gt;=10,5,2))</f>
        <v/>
      </c>
    </row>
    <row r="52">
      <c r="A52" s="31">
        <f>IF(B52=0,"",RANK(B52,$B$2:$B$97,0))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KRISHANA</t>
        </is>
      </c>
      <c r="D52" s="31" t="inlineStr">
        <is>
          <t>Krishana Phoschem Ltd</t>
        </is>
      </c>
      <c r="E52" s="31" t="inlineStr">
        <is>
          <t>chemicals</t>
        </is>
      </c>
      <c r="F52" s="31" t="inlineStr">
        <is>
          <t>Fertilisers</t>
        </is>
      </c>
      <c r="G52" s="31" t="inlineStr">
        <is>
          <t>midcap</t>
        </is>
      </c>
      <c r="H52" s="32" t="n">
        <v>6306.42</v>
      </c>
      <c r="I52" s="32" t="n">
        <v>204</v>
      </c>
      <c r="J52" s="32" t="n">
        <v>1.13</v>
      </c>
      <c r="K52" s="32" t="n">
        <v>0</v>
      </c>
      <c r="L52" s="31" t="n">
        <v>84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80.88</v>
      </c>
      <c r="P52" s="32" t="n">
        <v>50.35</v>
      </c>
      <c r="Q52" s="32" t="n">
        <v>162.89</v>
      </c>
      <c r="R52" s="31" t="inlineStr">
        <is>
          <t>Near 52W High Breakout</t>
        </is>
      </c>
      <c r="S52" s="31" t="inlineStr">
        <is>
          <t>Nifty 50</t>
        </is>
      </c>
      <c r="T52" s="32" t="n">
        <v>-0.9</v>
      </c>
      <c r="U52" s="32" t="n">
        <v>77.70999999999999</v>
      </c>
      <c r="V52" s="32" t="n">
        <v>79.31999999999999</v>
      </c>
      <c r="W52" s="32" t="n">
        <v>25.73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Above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More than 1.2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22</t>
        </is>
      </c>
      <c r="CG52" s="31">
        <f>IF(CF52&gt;20,10,IF(CF52&gt;=10,5,2))</f>
        <v/>
      </c>
    </row>
    <row r="53">
      <c r="A53" s="31">
        <f>IF(B53=0,"",RANK(B53,$B$2:$B$97,0))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SOMANYCERA</t>
        </is>
      </c>
      <c r="D53" s="31" t="inlineStr">
        <is>
          <t>Somany Ceramics Ltd</t>
        </is>
      </c>
      <c r="E53" s="31" t="inlineStr">
        <is>
          <t>building materials</t>
        </is>
      </c>
      <c r="F53" s="31" t="inlineStr">
        <is>
          <t>Ceramics/Tiles/Sanitaryware</t>
        </is>
      </c>
      <c r="G53" s="31" t="inlineStr">
        <is>
          <t>smallcap</t>
        </is>
      </c>
      <c r="H53" s="32" t="n">
        <v>2292.62</v>
      </c>
      <c r="I53" s="32" t="n">
        <v>559</v>
      </c>
      <c r="J53" s="32" t="n">
        <v>3.64</v>
      </c>
      <c r="K53" s="32" t="n">
        <v>0</v>
      </c>
      <c r="L53" s="31" t="inlineStr"/>
      <c r="M53" s="31" t="inlineStr"/>
      <c r="N53" s="32">
        <f>IF(M53="Underperforming",-5,IF(L53&gt;=95,15,IF(L53&gt;=90,10,IF(L53&gt;=80,5,0))))</f>
        <v/>
      </c>
      <c r="O53" s="32" t="n">
        <v>65.83</v>
      </c>
      <c r="P53" s="32" t="n">
        <v>30.83</v>
      </c>
      <c r="Q53" s="32" t="n">
        <v>436.05</v>
      </c>
      <c r="R53" s="31" t="inlineStr">
        <is>
          <t>Near 52W High Breakout</t>
        </is>
      </c>
      <c r="S53" s="31" t="inlineStr">
        <is>
          <t>Nifty Infra</t>
        </is>
      </c>
      <c r="T53" s="32" t="inlineStr"/>
      <c r="U53" s="32" t="inlineStr"/>
      <c r="V53" s="32" t="inlineStr"/>
      <c r="W53" s="32" t="inlineStr"/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21</t>
        </is>
      </c>
      <c r="CG53" s="31">
        <f>IF(CF53&gt;20,10,IF(CF53&gt;=10,5,2))</f>
        <v/>
      </c>
    </row>
    <row r="54">
      <c r="A54" s="31">
        <f>IF(B54=0,"",RANK(B54,$B$2:$B$97,0))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MACPOWER</t>
        </is>
      </c>
      <c r="D54" s="31" t="inlineStr">
        <is>
          <t>Macpower CNC Machines Ltd</t>
        </is>
      </c>
      <c r="E54" s="31" t="inlineStr">
        <is>
          <t>industrials</t>
        </is>
      </c>
      <c r="F54" s="31" t="inlineStr">
        <is>
          <t>CNC - Machines</t>
        </is>
      </c>
      <c r="G54" s="31" t="inlineStr">
        <is>
          <t>smallcap</t>
        </is>
      </c>
      <c r="H54" s="32" t="n">
        <v>1823.76</v>
      </c>
      <c r="I54" s="32" t="n">
        <v>1823</v>
      </c>
      <c r="J54" s="32" t="n">
        <v>-4.2</v>
      </c>
      <c r="K54" s="32" t="n">
        <v>0</v>
      </c>
      <c r="L54" s="31" t="n">
        <v>96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76.02</v>
      </c>
      <c r="P54" s="32" t="n">
        <v>36.27</v>
      </c>
      <c r="Q54" s="32" t="n">
        <v>1343.94</v>
      </c>
      <c r="R54" s="31" t="inlineStr">
        <is>
          <t>Near 52W High Breakout</t>
        </is>
      </c>
      <c r="S54" s="31" t="inlineStr">
        <is>
          <t>Nifty 50</t>
        </is>
      </c>
      <c r="T54" s="32" t="n">
        <v>-0.9</v>
      </c>
      <c r="U54" s="32" t="n">
        <v>128.91</v>
      </c>
      <c r="V54" s="32" t="n">
        <v>130.98</v>
      </c>
      <c r="W54" s="32" t="n">
        <v>40.37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21</t>
        </is>
      </c>
      <c r="CG54" s="31">
        <f>IF(CF54&gt;20,10,IF(CF54&gt;=10,5,2))</f>
        <v/>
      </c>
    </row>
    <row r="55">
      <c r="A55" s="31">
        <f>IF(B55=0,"",RANK(B55,$B$2:$B$97,0))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HONASA</t>
        </is>
      </c>
      <c r="D55" s="31" t="inlineStr">
        <is>
          <t>Honasa Consumer Ltd</t>
        </is>
      </c>
      <c r="E55" s="31" t="inlineStr">
        <is>
          <t>Consumer Defensive</t>
        </is>
      </c>
      <c r="F55" s="31" t="inlineStr">
        <is>
          <t>New age - Platform - E-Retail</t>
        </is>
      </c>
      <c r="G55" s="31" t="inlineStr">
        <is>
          <t>midcap</t>
        </is>
      </c>
      <c r="H55" s="32" t="n">
        <v>15505.71</v>
      </c>
      <c r="I55" s="32" t="n">
        <v>475.6</v>
      </c>
      <c r="J55" s="32" t="n">
        <v>-2.04</v>
      </c>
      <c r="K55" s="32" t="n">
        <v>0</v>
      </c>
      <c r="L55" s="31" t="n">
        <v>56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68.95</v>
      </c>
      <c r="P55" s="32" t="n">
        <v>61.28</v>
      </c>
      <c r="Q55" s="32" t="n">
        <v>410.72</v>
      </c>
      <c r="R55" s="31" t="inlineStr">
        <is>
          <t>Earnings / Momentum Support</t>
        </is>
      </c>
      <c r="S55" s="31" t="inlineStr">
        <is>
          <t>Nifty 50</t>
        </is>
      </c>
      <c r="T55" s="32" t="n">
        <v>-0.9</v>
      </c>
      <c r="U55" s="32" t="n">
        <v>62.31</v>
      </c>
      <c r="V55" s="32" t="n">
        <v>63.78</v>
      </c>
      <c r="W55" s="32" t="n">
        <v>14.32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B2C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21</t>
        </is>
      </c>
      <c r="CG55" s="31">
        <f>IF(CF55&gt;20,10,IF(CF55&gt;=10,5,2))</f>
        <v/>
      </c>
    </row>
    <row r="56">
      <c r="A56" s="31">
        <f>IF(B56=0,"",RANK(B56,$B$2:$B$97,0))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ACMESOLAR</t>
        </is>
      </c>
      <c r="D56" s="31" t="inlineStr">
        <is>
          <t>ACME Solar Holdings Ltd</t>
        </is>
      </c>
      <c r="E56" s="31" t="inlineStr">
        <is>
          <t>realty</t>
        </is>
      </c>
      <c r="F56" s="31" t="inlineStr">
        <is>
          <t>Engineering - Turnkey Services</t>
        </is>
      </c>
      <c r="G56" s="31" t="inlineStr">
        <is>
          <t>largecap</t>
        </is>
      </c>
      <c r="H56" s="32" t="n">
        <v>27960.41</v>
      </c>
      <c r="I56" s="32" t="n">
        <v>395.55</v>
      </c>
      <c r="J56" s="32" t="n">
        <v>-0.9399999999999999</v>
      </c>
      <c r="K56" s="32" t="n">
        <v>0</v>
      </c>
      <c r="L56" s="31" t="inlineStr"/>
      <c r="M56" s="31" t="inlineStr"/>
      <c r="N56" s="32">
        <f>IF(M56="Underperforming",-5,IF(L56&gt;=95,15,IF(L56&gt;=90,10,IF(L56&gt;=80,5,0))))</f>
        <v/>
      </c>
      <c r="O56" s="32" t="n">
        <v>68.54000000000001</v>
      </c>
      <c r="P56" s="32" t="n">
        <v>43.96</v>
      </c>
      <c r="Q56" s="32" t="n">
        <v>314.91</v>
      </c>
      <c r="R56" s="31" t="inlineStr">
        <is>
          <t>Near 52W High Breakout</t>
        </is>
      </c>
      <c r="S56" s="31" t="inlineStr">
        <is>
          <t>Nifty Realty</t>
        </is>
      </c>
      <c r="T56" s="32" t="inlineStr"/>
      <c r="U56" s="32" t="inlineStr"/>
      <c r="V56" s="32" t="inlineStr"/>
      <c r="W56" s="32" t="inlineStr"/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More than 1.2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20</t>
        </is>
      </c>
      <c r="CG56" s="31">
        <f>IF(CF56&gt;20,10,IF(CF56&gt;=10,5,2))</f>
        <v/>
      </c>
    </row>
    <row r="57">
      <c r="A57" s="31">
        <f>IF(B57=0,"",RANK(B57,$B$2:$B$97,0))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GAYAPROJ</t>
        </is>
      </c>
      <c r="D57" s="31" t="inlineStr">
        <is>
          <t>Gayatri Projects Ltd</t>
        </is>
      </c>
      <c r="E57" s="31" t="inlineStr">
        <is>
          <t>realty</t>
        </is>
      </c>
      <c r="F57" s="31" t="inlineStr">
        <is>
          <t>Construction - Civil/Turnkey</t>
        </is>
      </c>
      <c r="G57" s="31" t="inlineStr">
        <is>
          <t>smallcap</t>
        </is>
      </c>
      <c r="H57" s="32" t="n">
        <v>1023.78</v>
      </c>
      <c r="I57" s="32" t="n">
        <v>22.05</v>
      </c>
      <c r="J57" s="32" t="n">
        <v>-1.03</v>
      </c>
      <c r="K57" s="32" t="n">
        <v>0</v>
      </c>
      <c r="L57" s="31" t="inlineStr"/>
      <c r="M57" s="31" t="inlineStr"/>
      <c r="N57" s="32">
        <f>IF(M57="Underperforming",-5,IF(L57&gt;=95,15,IF(L57&gt;=90,10,IF(L57&gt;=80,5,0))))</f>
        <v/>
      </c>
      <c r="O57" s="32" t="n">
        <v>64.31</v>
      </c>
      <c r="P57" s="32" t="n">
        <v>29.99</v>
      </c>
      <c r="Q57" s="32" t="n">
        <v>17.55</v>
      </c>
      <c r="R57" s="31" t="inlineStr">
        <is>
          <t>Earnings / Momentum Support</t>
        </is>
      </c>
      <c r="S57" s="31" t="inlineStr">
        <is>
          <t>Nifty Realty</t>
        </is>
      </c>
      <c r="T57" s="32" t="inlineStr"/>
      <c r="U57" s="32" t="inlineStr"/>
      <c r="V57" s="32" t="inlineStr"/>
      <c r="W57" s="32" t="inlineStr"/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19</t>
        </is>
      </c>
      <c r="CG57" s="31">
        <f>IF(CF57&gt;20,10,IF(CF57&gt;=10,5,2))</f>
        <v/>
      </c>
    </row>
    <row r="58">
      <c r="A58" s="31">
        <f>IF(B58=0,"",RANK(B58,$B$2:$B$97,0))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NEULANDLAB</t>
        </is>
      </c>
      <c r="D58" s="31" t="inlineStr">
        <is>
          <t>Neuland Laboratories Ltd</t>
        </is>
      </c>
      <c r="E58" s="31" t="inlineStr">
        <is>
          <t>healthcare</t>
        </is>
      </c>
      <c r="F58" s="31" t="inlineStr">
        <is>
          <t>Pharma - API &amp; CRAMS</t>
        </is>
      </c>
      <c r="G58" s="31" t="inlineStr">
        <is>
          <t>largecap</t>
        </is>
      </c>
      <c r="H58" s="32" t="n">
        <v>30274.69</v>
      </c>
      <c r="I58" s="32" t="n">
        <v>23597</v>
      </c>
      <c r="J58" s="32" t="n">
        <v>2.83</v>
      </c>
      <c r="K58" s="32" t="n">
        <v>0</v>
      </c>
      <c r="L58" s="31" t="n">
        <v>75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77.95999999999999</v>
      </c>
      <c r="P58" s="32" t="n">
        <v>55.83</v>
      </c>
      <c r="Q58" s="32" t="n">
        <v>19183.45</v>
      </c>
      <c r="R58" s="31" t="inlineStr">
        <is>
          <t>Near 52W High Breakout</t>
        </is>
      </c>
      <c r="S58" s="31" t="inlineStr">
        <is>
          <t>Nifty Pharma</t>
        </is>
      </c>
      <c r="T58" s="32" t="n">
        <v>22.12</v>
      </c>
      <c r="U58" s="32" t="n">
        <v>75.31</v>
      </c>
      <c r="V58" s="32" t="n">
        <v>43.56</v>
      </c>
      <c r="W58" s="32" t="n">
        <v>22.4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Yes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Above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22</t>
        </is>
      </c>
      <c r="CG58" s="31">
        <f>IF(CF58&gt;20,10,IF(CF58&gt;=10,5,2))</f>
        <v/>
      </c>
    </row>
    <row r="59">
      <c r="A59" s="31">
        <f>IF(B59=0,"",RANK(B59,$B$2:$B$97,0))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HFCL</t>
        </is>
      </c>
      <c r="D59" s="31" t="inlineStr">
        <is>
          <t>HFCL Ltd</t>
        </is>
      </c>
      <c r="E59" s="31" t="inlineStr">
        <is>
          <t>telecom</t>
        </is>
      </c>
      <c r="F59" s="31" t="inlineStr">
        <is>
          <t>Telecom Services</t>
        </is>
      </c>
      <c r="G59" s="31" t="inlineStr">
        <is>
          <t>largecap</t>
        </is>
      </c>
      <c r="H59" s="32" t="n">
        <v>36036.5</v>
      </c>
      <c r="I59" s="32" t="n">
        <v>235.44</v>
      </c>
      <c r="J59" s="32" t="n">
        <v>-1.08</v>
      </c>
      <c r="K59" s="32" t="n">
        <v>0</v>
      </c>
      <c r="L59" s="31" t="inlineStr"/>
      <c r="M59" s="31" t="inlineStr"/>
      <c r="N59" s="32">
        <f>IF(M59="Underperforming",-5,IF(L59&gt;=95,15,IF(L59&gt;=90,10,IF(L59&gt;=80,5,0))))</f>
        <v/>
      </c>
      <c r="O59" s="32" t="n">
        <v>78.76000000000001</v>
      </c>
      <c r="P59" s="32" t="n">
        <v>63.42</v>
      </c>
      <c r="Q59" s="32" t="n">
        <v>178.53</v>
      </c>
      <c r="R59" s="31" t="inlineStr">
        <is>
          <t>Near 52W High Breakout</t>
        </is>
      </c>
      <c r="S59" s="31" t="inlineStr">
        <is>
          <t>Nifty Infra</t>
        </is>
      </c>
      <c r="T59" s="32" t="inlineStr"/>
      <c r="U59" s="32" t="inlineStr"/>
      <c r="V59" s="32" t="inlineStr"/>
      <c r="W59" s="32" t="inlineStr"/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Oligopoly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Yes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25</t>
        </is>
      </c>
      <c r="CG59" s="31">
        <f>IF(CF59&gt;20,10,IF(CF59&gt;=10,5,2))</f>
        <v/>
      </c>
    </row>
    <row r="60">
      <c r="A60" s="31">
        <f>IF(B60=0,"",RANK(B60,$B$2:$B$97,0))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PTCIL</t>
        </is>
      </c>
      <c r="D60" s="31" t="inlineStr">
        <is>
          <t>PTC Industries Ltd</t>
        </is>
      </c>
      <c r="E60" s="31" t="inlineStr">
        <is>
          <t>industrials</t>
        </is>
      </c>
      <c r="F60" s="31" t="inlineStr">
        <is>
          <t>Castings - Steel/Alloy</t>
        </is>
      </c>
      <c r="G60" s="31" t="inlineStr">
        <is>
          <t>largecap</t>
        </is>
      </c>
      <c r="H60" s="32" t="n">
        <v>31281.95</v>
      </c>
      <c r="I60" s="32" t="n">
        <v>20865</v>
      </c>
      <c r="J60" s="32" t="n">
        <v>-1.19</v>
      </c>
      <c r="K60" s="32" t="n">
        <v>0</v>
      </c>
      <c r="L60" s="31" t="n">
        <v>60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70.06</v>
      </c>
      <c r="P60" s="32" t="n">
        <v>25.79</v>
      </c>
      <c r="Q60" s="32" t="n">
        <v>17069.69</v>
      </c>
      <c r="R60" s="31" t="inlineStr">
        <is>
          <t>Near 52W High Breakout</t>
        </is>
      </c>
      <c r="S60" s="31" t="inlineStr">
        <is>
          <t>Nifty 50</t>
        </is>
      </c>
      <c r="T60" s="32" t="n">
        <v>-0.9</v>
      </c>
      <c r="U60" s="32" t="n">
        <v>49.3</v>
      </c>
      <c r="V60" s="32" t="n">
        <v>50.66</v>
      </c>
      <c r="W60" s="32" t="n">
        <v>15.42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24</t>
        </is>
      </c>
      <c r="CG60" s="31">
        <f>IF(CF60&gt;20,10,IF(CF60&gt;=10,5,2))</f>
        <v/>
      </c>
    </row>
    <row r="61">
      <c r="A61" s="31">
        <f>IF(B61=0,"",RANK(B61,$B$2:$B$97,0))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CHENNPETRO</t>
        </is>
      </c>
      <c r="D61" s="31" t="inlineStr">
        <is>
          <t>Chennai Petroleum Corporation Ltd</t>
        </is>
      </c>
      <c r="E61" s="31" t="inlineStr">
        <is>
          <t>energy</t>
        </is>
      </c>
      <c r="F61" s="31" t="inlineStr">
        <is>
          <t>Refineries</t>
        </is>
      </c>
      <c r="G61" s="31" t="inlineStr">
        <is>
          <t>largecap</t>
        </is>
      </c>
      <c r="H61" s="32" t="n">
        <v>20515.52</v>
      </c>
      <c r="I61" s="32" t="n">
        <v>1377.7</v>
      </c>
      <c r="J61" s="32" t="n">
        <v>-1.68</v>
      </c>
      <c r="K61" s="32" t="n">
        <v>0</v>
      </c>
      <c r="L61" s="31" t="inlineStr"/>
      <c r="M61" s="31" t="inlineStr"/>
      <c r="N61" s="32">
        <f>IF(M61="Underperforming",-5,IF(L61&gt;=95,15,IF(L61&gt;=90,10,IF(L61&gt;=80,5,0))))</f>
        <v/>
      </c>
      <c r="O61" s="32" t="n">
        <v>73.19</v>
      </c>
      <c r="P61" s="32" t="n">
        <v>54.21</v>
      </c>
      <c r="Q61" s="32" t="n">
        <v>1034.78</v>
      </c>
      <c r="R61" s="31" t="inlineStr">
        <is>
          <t>Near 52W High Breakout</t>
        </is>
      </c>
      <c r="S61" s="31" t="inlineStr">
        <is>
          <t>Nifty Energy</t>
        </is>
      </c>
      <c r="T61" s="32" t="inlineStr"/>
      <c r="U61" s="32" t="inlineStr"/>
      <c r="V61" s="32" t="inlineStr"/>
      <c r="W61" s="32" t="inlineStr"/>
      <c r="X61" s="31" t="inlineStr">
        <is>
          <t>Cyclical in an Upturn</t>
        </is>
      </c>
      <c r="Y61" s="31">
        <f>IF(X61="Growing Industry",10,IF(X61="Cyclical in an Upturn",5,0))</f>
        <v/>
      </c>
      <c r="Z61" s="31" t="inlineStr">
        <is>
          <t>Oligopoly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Cyclical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Volatile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23</t>
        </is>
      </c>
      <c r="CG61" s="31">
        <f>IF(CF61&gt;20,10,IF(CF61&gt;=10,5,2))</f>
        <v/>
      </c>
    </row>
    <row r="62">
      <c r="A62" s="31">
        <f>IF(B62=0,"",RANK(B62,$B$2:$B$97,0))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3" t="inlineStr">
        <is>
          <t>DPABHUSHAN</t>
        </is>
      </c>
      <c r="D62" s="33" t="inlineStr">
        <is>
          <t>DP Abhushan Ltd</t>
        </is>
      </c>
      <c r="E62" s="31" t="inlineStr">
        <is>
          <t>consumer discretionary</t>
        </is>
      </c>
      <c r="F62" s="31" t="inlineStr">
        <is>
          <t>Diamond, Gems &amp; Jewellery</t>
        </is>
      </c>
      <c r="G62" s="31" t="inlineStr">
        <is>
          <t>smallcap</t>
        </is>
      </c>
      <c r="H62" s="32" t="n">
        <v>3424.42</v>
      </c>
      <c r="I62" s="32" t="n">
        <v>1500.1</v>
      </c>
      <c r="J62" s="32" t="n">
        <v>2.78</v>
      </c>
      <c r="K62" s="32" t="n">
        <v>0</v>
      </c>
      <c r="L62" s="31" t="n">
        <v>58</v>
      </c>
      <c r="M62" s="31" t="inlineStr">
        <is>
          <t>Underperforming</t>
        </is>
      </c>
      <c r="N62" s="32">
        <f>IF(M62="Underperforming",-5,IF(L62&gt;=95,15,IF(L62&gt;=90,10,IF(L62&gt;=80,5,0))))</f>
        <v/>
      </c>
      <c r="O62" s="32" t="n">
        <v>68.54000000000001</v>
      </c>
      <c r="P62" s="32" t="n">
        <v>36.54</v>
      </c>
      <c r="Q62" s="32" t="n">
        <v>1100.19</v>
      </c>
      <c r="R62" s="31" t="inlineStr">
        <is>
          <t>Earnings / Momentum Support</t>
        </is>
      </c>
      <c r="S62" s="31" t="inlineStr">
        <is>
          <t>Nifty 50</t>
        </is>
      </c>
      <c r="T62" s="32" t="n">
        <v>-0.9</v>
      </c>
      <c r="U62" s="32" t="n">
        <v>-4.13</v>
      </c>
      <c r="V62" s="32" t="n">
        <v>-3.26</v>
      </c>
      <c r="W62" s="32" t="n">
        <v>14.45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No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22</t>
        </is>
      </c>
      <c r="CG62" s="31">
        <f>IF(CF62&gt;20,10,IF(CF62&gt;=10,5,2))</f>
        <v/>
      </c>
    </row>
    <row r="63">
      <c r="A63" s="31">
        <f>IF(B63=0,"",RANK(B63,$B$2:$B$97,0))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YASHO</t>
        </is>
      </c>
      <c r="D63" s="31" t="inlineStr">
        <is>
          <t>Yasho Industries Ltd</t>
        </is>
      </c>
      <c r="E63" s="31" t="inlineStr">
        <is>
          <t>chemicals</t>
        </is>
      </c>
      <c r="F63" s="31" t="inlineStr">
        <is>
          <t>Speciality Chemicals</t>
        </is>
      </c>
      <c r="G63" s="31" t="inlineStr">
        <is>
          <t>midcap</t>
        </is>
      </c>
      <c r="H63" s="32" t="n">
        <v>5273.77</v>
      </c>
      <c r="I63" s="32" t="n">
        <v>4374</v>
      </c>
      <c r="J63" s="32" t="n">
        <v>4.1</v>
      </c>
      <c r="K63" s="32" t="n">
        <v>0</v>
      </c>
      <c r="L63" s="31" t="n">
        <v>97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90.95999999999999</v>
      </c>
      <c r="P63" s="32" t="n">
        <v>72.58</v>
      </c>
      <c r="Q63" s="32" t="n">
        <v>3307.7</v>
      </c>
      <c r="R63" s="31" t="inlineStr">
        <is>
          <t>Near 52W High Breakout</t>
        </is>
      </c>
      <c r="S63" s="31" t="inlineStr">
        <is>
          <t>Nifty 50</t>
        </is>
      </c>
      <c r="T63" s="32" t="n">
        <v>-0.9</v>
      </c>
      <c r="U63" s="32" t="n">
        <v>140.71</v>
      </c>
      <c r="V63" s="32" t="n">
        <v>142.89</v>
      </c>
      <c r="W63" s="32" t="n">
        <v>48.02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More than 1.2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22</t>
        </is>
      </c>
      <c r="CG63" s="31">
        <f>IF(CF63&gt;20,10,IF(CF63&gt;=10,5,2))</f>
        <v/>
      </c>
    </row>
    <row r="64">
      <c r="A64" s="31">
        <f>IF(B64=0,"",RANK(B64,$B$2:$B$97,0))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KABRAEXTRU</t>
        </is>
      </c>
      <c r="D64" s="31" t="inlineStr">
        <is>
          <t>Kabra Extrusion Technik Ltd</t>
        </is>
      </c>
      <c r="E64" s="31" t="inlineStr">
        <is>
          <t>industrials</t>
        </is>
      </c>
      <c r="F64" s="31" t="inlineStr">
        <is>
          <t>Capital Goods - Engineering Heavy</t>
        </is>
      </c>
      <c r="G64" s="31" t="inlineStr">
        <is>
          <t>smallcap</t>
        </is>
      </c>
      <c r="H64" s="32" t="n">
        <v>2108.16</v>
      </c>
      <c r="I64" s="32" t="n">
        <v>602.8</v>
      </c>
      <c r="J64" s="32" t="n">
        <v>-1.04</v>
      </c>
      <c r="K64" s="32" t="n">
        <v>0</v>
      </c>
      <c r="L64" s="31" t="inlineStr"/>
      <c r="M64" s="31" t="inlineStr"/>
      <c r="N64" s="32">
        <f>IF(M64="Underperforming",-5,IF(L64&gt;=95,15,IF(L64&gt;=90,10,IF(L64&gt;=80,5,0))))</f>
        <v/>
      </c>
      <c r="O64" s="32" t="n">
        <v>89.76000000000001</v>
      </c>
      <c r="P64" s="32" t="n">
        <v>45.11</v>
      </c>
      <c r="Q64" s="32" t="n">
        <v>468.27</v>
      </c>
      <c r="R64" s="31" t="inlineStr">
        <is>
          <t>Near 52W High Breakout</t>
        </is>
      </c>
      <c r="S64" s="31" t="inlineStr">
        <is>
          <t>Nifty Infra</t>
        </is>
      </c>
      <c r="T64" s="32" t="inlineStr"/>
      <c r="U64" s="32" t="inlineStr"/>
      <c r="V64" s="32" t="inlineStr"/>
      <c r="W64" s="32" t="inlineStr"/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Above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22</t>
        </is>
      </c>
      <c r="CG64" s="31">
        <f>IF(CF64&gt;20,10,IF(CF64&gt;=10,5,2))</f>
        <v/>
      </c>
    </row>
    <row r="65">
      <c r="A65" s="31">
        <f>IF(B65=0,"",RANK(B65,$B$2:$B$97,0))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BODALCHEM</t>
        </is>
      </c>
      <c r="D65" s="31" t="inlineStr">
        <is>
          <t>Bodal Chemicals Ltd</t>
        </is>
      </c>
      <c r="E65" s="31" t="inlineStr">
        <is>
          <t>chemicals</t>
        </is>
      </c>
      <c r="F65" s="31" t="inlineStr">
        <is>
          <t>Dyes &amp; Pigments</t>
        </is>
      </c>
      <c r="G65" s="31" t="inlineStr">
        <is>
          <t>smallcap</t>
        </is>
      </c>
      <c r="H65" s="32" t="n">
        <v>1127.2</v>
      </c>
      <c r="I65" s="32" t="n">
        <v>89.5</v>
      </c>
      <c r="J65" s="32" t="n">
        <v>2.81</v>
      </c>
      <c r="K65" s="32" t="n">
        <v>0</v>
      </c>
      <c r="L65" s="31" t="n">
        <v>59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71.42</v>
      </c>
      <c r="P65" s="32" t="n">
        <v>34.4</v>
      </c>
      <c r="Q65" s="32" t="n">
        <v>68.31999999999999</v>
      </c>
      <c r="R65" s="31" t="inlineStr">
        <is>
          <t>Volume Spike &amp; Near 52W High Breakout</t>
        </is>
      </c>
      <c r="S65" s="31" t="inlineStr">
        <is>
          <t>Nifty 50</t>
        </is>
      </c>
      <c r="T65" s="32" t="n">
        <v>-0.9</v>
      </c>
      <c r="U65" s="32" t="n">
        <v>39.14</v>
      </c>
      <c r="V65" s="32" t="n">
        <v>40.4</v>
      </c>
      <c r="W65" s="32" t="n">
        <v>15.08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Between 0.7 to 1.2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21</t>
        </is>
      </c>
      <c r="CG65" s="31">
        <f>IF(CF65&gt;20,10,IF(CF65&gt;=10,5,2))</f>
        <v/>
      </c>
    </row>
    <row r="66">
      <c r="A66" s="31">
        <f>IF(B66=0,"",RANK(B66,$B$2:$B$97,0))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4" t="inlineStr">
        <is>
          <t>KRN</t>
        </is>
      </c>
      <c r="D66" s="34" t="inlineStr">
        <is>
          <t>KRN Heat Exchanger and Refrigeration Ltd</t>
        </is>
      </c>
      <c r="E66" s="31" t="inlineStr">
        <is>
          <t>industrials</t>
        </is>
      </c>
      <c r="F66" s="31" t="inlineStr">
        <is>
          <t>Engineering - General</t>
        </is>
      </c>
      <c r="G66" s="31" t="inlineStr">
        <is>
          <t>midcap</t>
        </is>
      </c>
      <c r="H66" s="32" t="n">
        <v>9871.139999999999</v>
      </c>
      <c r="I66" s="32" t="n">
        <v>1508</v>
      </c>
      <c r="J66" s="32" t="n">
        <v>-1.1</v>
      </c>
      <c r="K66" s="32" t="n">
        <v>0</v>
      </c>
      <c r="L66" s="31" t="n">
        <v>71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72.17</v>
      </c>
      <c r="P66" s="32" t="n">
        <v>32.52</v>
      </c>
      <c r="Q66" s="32" t="n">
        <v>1124.74</v>
      </c>
      <c r="R66" s="31" t="inlineStr">
        <is>
          <t>Near 52W High Breakout</t>
        </is>
      </c>
      <c r="S66" s="31" t="inlineStr">
        <is>
          <t>Nifty 50</t>
        </is>
      </c>
      <c r="T66" s="32" t="n">
        <v>-0.9</v>
      </c>
      <c r="U66" s="32" t="n">
        <v>75.31999999999999</v>
      </c>
      <c r="V66" s="32" t="n">
        <v>76.91</v>
      </c>
      <c r="W66" s="32" t="n">
        <v>20.21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20</t>
        </is>
      </c>
      <c r="CG66" s="31">
        <f>IF(CF66&gt;20,10,IF(CF66&gt;=10,5,2))</f>
        <v/>
      </c>
    </row>
    <row r="67">
      <c r="A67" s="31">
        <f>IF(B67=0,"",RANK(B67,$B$2:$B$97,0))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TVSSRICHAK</t>
        </is>
      </c>
      <c r="D67" s="31" t="inlineStr">
        <is>
          <t>TVS Srichakra Ltd</t>
        </is>
      </c>
      <c r="E67" s="31" t="inlineStr">
        <is>
          <t>auto</t>
        </is>
      </c>
      <c r="F67" s="31" t="inlineStr">
        <is>
          <t>Tyres &amp; Tubes</t>
        </is>
      </c>
      <c r="G67" s="31" t="inlineStr">
        <is>
          <t>smallcap</t>
        </is>
      </c>
      <c r="H67" s="32" t="n">
        <v>4079.6</v>
      </c>
      <c r="I67" s="32" t="n">
        <v>5327.9</v>
      </c>
      <c r="J67" s="32" t="n">
        <v>10.72</v>
      </c>
      <c r="K67" s="32" t="n">
        <v>0</v>
      </c>
      <c r="L67" s="31" t="inlineStr"/>
      <c r="M67" s="31" t="inlineStr"/>
      <c r="N67" s="32">
        <f>IF(M67="Underperforming",-5,IF(L67&gt;=95,15,IF(L67&gt;=90,10,IF(L67&gt;=80,5,0))))</f>
        <v/>
      </c>
      <c r="O67" s="32" t="n">
        <v>75.06999999999999</v>
      </c>
      <c r="P67" s="32" t="n">
        <v>25.99</v>
      </c>
      <c r="Q67" s="32" t="n">
        <v>4209.87</v>
      </c>
      <c r="R67" s="31" t="inlineStr">
        <is>
          <t>Volume Spike &amp; Near 52W High Breakout</t>
        </is>
      </c>
      <c r="S67" s="31" t="inlineStr">
        <is>
          <t>Nifty Auto</t>
        </is>
      </c>
      <c r="T67" s="32" t="inlineStr"/>
      <c r="U67" s="32" t="inlineStr"/>
      <c r="V67" s="32" t="inlineStr"/>
      <c r="W67" s="32" t="inlineStr"/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Yes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28</t>
        </is>
      </c>
      <c r="CG67" s="31">
        <f>IF(CF67&gt;20,10,IF(CF67&gt;=10,5,2))</f>
        <v/>
      </c>
    </row>
    <row r="68">
      <c r="A68" s="31">
        <f>IF(B68=0,"",RANK(B68,$B$2:$B$97,0))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KHAZANCHI</t>
        </is>
      </c>
      <c r="D68" s="31" t="inlineStr">
        <is>
          <t>Khazanchi Jewellers Ltd</t>
        </is>
      </c>
      <c r="E68" s="31" t="inlineStr">
        <is>
          <t>Consumer Cyclical</t>
        </is>
      </c>
      <c r="F68" s="31" t="inlineStr">
        <is>
          <t>Diamond, Gems &amp; Jewellery</t>
        </is>
      </c>
      <c r="G68" s="31" t="inlineStr">
        <is>
          <t>smallcap</t>
        </is>
      </c>
      <c r="H68" s="32" t="n">
        <v>1973.57</v>
      </c>
      <c r="I68" s="32" t="n">
        <v>797.5</v>
      </c>
      <c r="J68" s="32" t="n">
        <v>0.5</v>
      </c>
      <c r="K68" s="32" t="n">
        <v>0</v>
      </c>
      <c r="L68" s="31" t="n">
        <v>50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70.73999999999999</v>
      </c>
      <c r="P68" s="32" t="n">
        <v>27.45</v>
      </c>
      <c r="Q68" s="32" t="n">
        <v>701.14</v>
      </c>
      <c r="R68" s="31" t="inlineStr">
        <is>
          <t>Near 52W High Breakout</t>
        </is>
      </c>
      <c r="S68" s="31" t="inlineStr">
        <is>
          <t>Nifty 50</t>
        </is>
      </c>
      <c r="T68" s="32" t="n">
        <v>-0.9</v>
      </c>
      <c r="U68" s="32" t="n">
        <v>34.45</v>
      </c>
      <c r="V68" s="32" t="n">
        <v>35.67</v>
      </c>
      <c r="W68" s="32" t="n">
        <v>13.19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B2C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Negative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25</t>
        </is>
      </c>
      <c r="CG68" s="31">
        <f>IF(CF68&gt;20,10,IF(CF68&gt;=10,5,2))</f>
        <v/>
      </c>
    </row>
    <row r="69">
      <c r="A69" s="31">
        <f>IF(B69=0,"",RANK(B69,$B$2:$B$97,0))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MMP</t>
        </is>
      </c>
      <c r="D69" s="31" t="inlineStr">
        <is>
          <t>MMP Industries Ltd</t>
        </is>
      </c>
      <c r="E69" s="31" t="inlineStr">
        <is>
          <t>metals &amp; mining</t>
        </is>
      </c>
      <c r="F69" s="31" t="inlineStr">
        <is>
          <t>Aluminium Products</t>
        </is>
      </c>
      <c r="G69" s="31" t="inlineStr">
        <is>
          <t>smallcap</t>
        </is>
      </c>
      <c r="H69" s="32" t="n">
        <v>1026.9</v>
      </c>
      <c r="I69" s="32" t="n">
        <v>404.25</v>
      </c>
      <c r="J69" s="32" t="n">
        <v>3.73</v>
      </c>
      <c r="K69" s="32" t="n">
        <v>0</v>
      </c>
      <c r="L69" s="31" t="inlineStr"/>
      <c r="M69" s="31" t="inlineStr"/>
      <c r="N69" s="32">
        <f>IF(M69="Underperforming",-5,IF(L69&gt;=95,15,IF(L69&gt;=90,10,IF(L69&gt;=80,5,0))))</f>
        <v/>
      </c>
      <c r="O69" s="32" t="n">
        <v>78.5</v>
      </c>
      <c r="P69" s="32" t="n">
        <v>43.9</v>
      </c>
      <c r="Q69" s="32" t="n">
        <v>304.55</v>
      </c>
      <c r="R69" s="31" t="inlineStr">
        <is>
          <t>Near 52W High Breakout</t>
        </is>
      </c>
      <c r="S69" s="31" t="inlineStr">
        <is>
          <t>Nifty Metal</t>
        </is>
      </c>
      <c r="T69" s="32" t="inlineStr"/>
      <c r="U69" s="32" t="inlineStr"/>
      <c r="V69" s="32" t="inlineStr"/>
      <c r="W69" s="32" t="inlineStr"/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Cyclical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Volatile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25</t>
        </is>
      </c>
      <c r="CG69" s="31">
        <f>IF(CF69&gt;20,10,IF(CF69&gt;=10,5,2))</f>
        <v/>
      </c>
    </row>
    <row r="70">
      <c r="A70" s="31">
        <f>IF(B70=0,"",RANK(B70,$B$2:$B$97,0))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1" t="inlineStr">
        <is>
          <t>STLTECH</t>
        </is>
      </c>
      <c r="D70" s="31" t="inlineStr">
        <is>
          <t>Sterlite Technologies Ltd</t>
        </is>
      </c>
      <c r="E70" s="31" t="inlineStr">
        <is>
          <t>industrials</t>
        </is>
      </c>
      <c r="F70" s="31" t="inlineStr">
        <is>
          <t>Cables - Telecom</t>
        </is>
      </c>
      <c r="G70" s="31" t="inlineStr">
        <is>
          <t>largecap</t>
        </is>
      </c>
      <c r="H70" s="32" t="n">
        <v>33969.53</v>
      </c>
      <c r="I70" s="32" t="n">
        <v>661</v>
      </c>
      <c r="J70" s="32" t="n">
        <v>1.48</v>
      </c>
      <c r="K70" s="32" t="n">
        <v>0</v>
      </c>
      <c r="L70" s="31" t="inlineStr"/>
      <c r="M70" s="31" t="inlineStr"/>
      <c r="N70" s="32">
        <f>IF(M70="Underperforming",-5,IF(L70&gt;=95,15,IF(L70&gt;=90,10,IF(L70&gt;=80,5,0))))</f>
        <v/>
      </c>
      <c r="O70" s="32" t="n">
        <v>73.16</v>
      </c>
      <c r="P70" s="32" t="n">
        <v>76.84999999999999</v>
      </c>
      <c r="Q70" s="32" t="n">
        <v>463.55</v>
      </c>
      <c r="R70" s="31" t="inlineStr">
        <is>
          <t>Near 52W High Breakout</t>
        </is>
      </c>
      <c r="S70" s="31" t="inlineStr">
        <is>
          <t>Nifty Infra</t>
        </is>
      </c>
      <c r="T70" s="32" t="inlineStr"/>
      <c r="U70" s="32" t="inlineStr"/>
      <c r="V70" s="32" t="inlineStr"/>
      <c r="W70" s="32" t="inlineStr"/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Oligopoly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Between 0.7 to 1.2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24</t>
        </is>
      </c>
      <c r="CG70" s="31">
        <f>IF(CF70&gt;20,10,IF(CF70&gt;=10,5,2))</f>
        <v/>
      </c>
    </row>
    <row r="71">
      <c r="A71" s="31">
        <f>IF(B71=0,"",RANK(B71,$B$2:$B$97,0))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4" t="inlineStr">
        <is>
          <t>WEL</t>
        </is>
      </c>
      <c r="D71" s="34" t="inlineStr">
        <is>
          <t>Wonder Electricals Ltd</t>
        </is>
      </c>
      <c r="E71" s="31" t="inlineStr">
        <is>
          <t>consumer discretionary</t>
        </is>
      </c>
      <c r="F71" s="31" t="inlineStr">
        <is>
          <t>Consumer Electronics</t>
        </is>
      </c>
      <c r="G71" s="31" t="inlineStr">
        <is>
          <t>smallcap</t>
        </is>
      </c>
      <c r="H71" s="32" t="n">
        <v>2109.96</v>
      </c>
      <c r="I71" s="32" t="n">
        <v>157.45</v>
      </c>
      <c r="J71" s="32" t="n">
        <v>17.48</v>
      </c>
      <c r="K71" s="32" t="n">
        <v>0</v>
      </c>
      <c r="L71" s="31" t="n">
        <v>81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68.90000000000001</v>
      </c>
      <c r="P71" s="32" t="n">
        <v>22.57</v>
      </c>
      <c r="Q71" s="32" t="n">
        <v>112.25</v>
      </c>
      <c r="R71" s="31" t="inlineStr">
        <is>
          <t>Volume Spike / Accumulation</t>
        </is>
      </c>
      <c r="S71" s="31" t="inlineStr">
        <is>
          <t>Nifty 50</t>
        </is>
      </c>
      <c r="T71" s="32" t="n">
        <v>-0.9</v>
      </c>
      <c r="U71" s="32" t="n">
        <v>19.82</v>
      </c>
      <c r="V71" s="32" t="n">
        <v>20.91</v>
      </c>
      <c r="W71" s="32" t="n">
        <v>23.91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Between 0.7 to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23</t>
        </is>
      </c>
      <c r="CG71" s="31">
        <f>IF(CF71&gt;20,10,IF(CF71&gt;=10,5,2))</f>
        <v/>
      </c>
    </row>
    <row r="72">
      <c r="A72" s="31">
        <f>IF(B72=0,"",RANK(B72,$B$2:$B$97,0))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1" t="inlineStr">
        <is>
          <t>MANINDS</t>
        </is>
      </c>
      <c r="D72" s="31" t="inlineStr">
        <is>
          <t>Man Industries (India) Ltd</t>
        </is>
      </c>
      <c r="E72" s="31" t="inlineStr">
        <is>
          <t>metals &amp; mining</t>
        </is>
      </c>
      <c r="F72" s="31" t="inlineStr">
        <is>
          <t>Steel - Tubes/Pipes</t>
        </is>
      </c>
      <c r="G72" s="31" t="inlineStr">
        <is>
          <t>midcap</t>
        </is>
      </c>
      <c r="H72" s="32" t="n">
        <v>5269.8</v>
      </c>
      <c r="I72" s="32" t="n">
        <v>702.55</v>
      </c>
      <c r="J72" s="32" t="n">
        <v>-1.26</v>
      </c>
      <c r="K72" s="32" t="n">
        <v>0</v>
      </c>
      <c r="L72" s="31" t="inlineStr"/>
      <c r="M72" s="31" t="inlineStr"/>
      <c r="N72" s="32">
        <f>IF(M72="Underperforming",-5,IF(L72&gt;=95,15,IF(L72&gt;=90,10,IF(L72&gt;=80,5,0))))</f>
        <v/>
      </c>
      <c r="O72" s="32" t="n">
        <v>70.06999999999999</v>
      </c>
      <c r="P72" s="32" t="n">
        <v>29.91</v>
      </c>
      <c r="Q72" s="32" t="n">
        <v>539.67</v>
      </c>
      <c r="R72" s="31" t="inlineStr">
        <is>
          <t>Near 52W High Breakout</t>
        </is>
      </c>
      <c r="S72" s="31" t="inlineStr">
        <is>
          <t>Nifty Metal</t>
        </is>
      </c>
      <c r="T72" s="32" t="inlineStr"/>
      <c r="U72" s="32" t="inlineStr"/>
      <c r="V72" s="32" t="inlineStr"/>
      <c r="W72" s="32" t="inlineStr"/>
      <c r="X72" s="31" t="inlineStr">
        <is>
          <t>Cyclical in an Upturn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Cyclical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Volatile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22</t>
        </is>
      </c>
      <c r="CG72" s="31">
        <f>IF(CF72&gt;20,10,IF(CF72&gt;=10,5,2))</f>
        <v/>
      </c>
    </row>
    <row r="73">
      <c r="A73" s="31">
        <f>IF(B73=0,"",RANK(B73,$B$2:$B$97,0))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GALAXYSURF</t>
        </is>
      </c>
      <c r="D73" s="31" t="inlineStr">
        <is>
          <t>Galaxy Surfactants Ltd</t>
        </is>
      </c>
      <c r="E73" s="31" t="inlineStr">
        <is>
          <t>chemicals</t>
        </is>
      </c>
      <c r="F73" s="31" t="inlineStr">
        <is>
          <t>Speciality Chemicals</t>
        </is>
      </c>
      <c r="G73" s="31" t="inlineStr">
        <is>
          <t>midcap</t>
        </is>
      </c>
      <c r="H73" s="32" t="n">
        <v>8273.370000000001</v>
      </c>
      <c r="I73" s="32" t="n">
        <v>2333.5</v>
      </c>
      <c r="J73" s="32" t="n">
        <v>2.16</v>
      </c>
      <c r="K73" s="32" t="n">
        <v>0</v>
      </c>
      <c r="L73" s="31" t="n">
        <v>30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64.29000000000001</v>
      </c>
      <c r="P73" s="32" t="n">
        <v>22.32</v>
      </c>
      <c r="Q73" s="32" t="n">
        <v>2015.95</v>
      </c>
      <c r="R73" s="31" t="inlineStr">
        <is>
          <t>Earnings / Momentum Support</t>
        </is>
      </c>
      <c r="S73" s="31" t="inlineStr">
        <is>
          <t>Nifty 50</t>
        </is>
      </c>
      <c r="T73" s="32" t="n">
        <v>-0.9</v>
      </c>
      <c r="U73" s="32" t="n">
        <v>4.45</v>
      </c>
      <c r="V73" s="32" t="n">
        <v>5.4</v>
      </c>
      <c r="W73" s="32" t="n">
        <v>8.27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No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21</t>
        </is>
      </c>
      <c r="CG73" s="31">
        <f>IF(CF73&gt;20,10,IF(CF73&gt;=10,5,2))</f>
        <v/>
      </c>
    </row>
    <row r="74">
      <c r="A74" s="31">
        <f>IF(B74=0,"",RANK(B74,$B$2:$B$97,0))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SAMBHV</t>
        </is>
      </c>
      <c r="D74" s="31" t="inlineStr">
        <is>
          <t>Sambhv Steel Tubes Ltd</t>
        </is>
      </c>
      <c r="E74" s="31" t="inlineStr">
        <is>
          <t>metals &amp; mining</t>
        </is>
      </c>
      <c r="F74" s="31" t="inlineStr">
        <is>
          <t>Steel - Tubes/Pipes</t>
        </is>
      </c>
      <c r="G74" s="31" t="inlineStr">
        <is>
          <t>smallcap</t>
        </is>
      </c>
      <c r="H74" s="32" t="n">
        <v>3798.31</v>
      </c>
      <c r="I74" s="32" t="n">
        <v>128.9</v>
      </c>
      <c r="J74" s="32" t="n">
        <v>0.19</v>
      </c>
      <c r="K74" s="32" t="n">
        <v>0</v>
      </c>
      <c r="L74" s="31" t="inlineStr"/>
      <c r="M74" s="31" t="inlineStr"/>
      <c r="N74" s="32">
        <f>IF(M74="Underperforming",-5,IF(L74&gt;=95,15,IF(L74&gt;=90,10,IF(L74&gt;=80,5,0))))</f>
        <v/>
      </c>
      <c r="O74" s="32" t="n">
        <v>65.55</v>
      </c>
      <c r="P74" s="32" t="n">
        <v>28.43</v>
      </c>
      <c r="Q74" s="32" t="n">
        <v>98.84999999999999</v>
      </c>
      <c r="R74" s="31" t="inlineStr">
        <is>
          <t>Near 52W High Breakout</t>
        </is>
      </c>
      <c r="S74" s="31" t="inlineStr">
        <is>
          <t>Nifty Metal</t>
        </is>
      </c>
      <c r="T74" s="32" t="inlineStr"/>
      <c r="U74" s="32" t="inlineStr"/>
      <c r="V74" s="32" t="inlineStr"/>
      <c r="W74" s="32" t="inlineStr"/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Cyclical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Volatile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20</t>
        </is>
      </c>
      <c r="CG74" s="31">
        <f>IF(CF74&gt;20,10,IF(CF74&gt;=10,5,2))</f>
        <v/>
      </c>
    </row>
    <row r="75">
      <c r="A75" s="31">
        <f>IF(B75=0,"",RANK(B75,$B$2:$B$97,0))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RGL</t>
        </is>
      </c>
      <c r="D75" s="34" t="inlineStr">
        <is>
          <t>Renaissance Global Ltd</t>
        </is>
      </c>
      <c r="E75" s="31" t="inlineStr">
        <is>
          <t>consumer discretionary</t>
        </is>
      </c>
      <c r="F75" s="31" t="inlineStr">
        <is>
          <t>Lab Grown Diamonds</t>
        </is>
      </c>
      <c r="G75" s="31" t="inlineStr">
        <is>
          <t>smallcap</t>
        </is>
      </c>
      <c r="H75" s="32" t="n">
        <v>1621.37</v>
      </c>
      <c r="I75" s="32" t="n">
        <v>151.01</v>
      </c>
      <c r="J75" s="32" t="n">
        <v>13.65</v>
      </c>
      <c r="K75" s="32" t="n">
        <v>0</v>
      </c>
      <c r="L75" s="31" t="n">
        <v>66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73.12</v>
      </c>
      <c r="P75" s="32" t="n">
        <v>18.86</v>
      </c>
      <c r="Q75" s="32" t="n">
        <v>114.9</v>
      </c>
      <c r="R75" s="31" t="inlineStr">
        <is>
          <t>Volume Spike &amp; Near 52W High Breakout</t>
        </is>
      </c>
      <c r="S75" s="31" t="inlineStr">
        <is>
          <t>Nifty 50</t>
        </is>
      </c>
      <c r="T75" s="32" t="n">
        <v>-0.9</v>
      </c>
      <c r="U75" s="32" t="n">
        <v>37.32</v>
      </c>
      <c r="V75" s="32" t="n">
        <v>38.57</v>
      </c>
      <c r="W75" s="32" t="n">
        <v>17.86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0 to 20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23</t>
        </is>
      </c>
      <c r="CG75" s="31">
        <f>IF(CF75&gt;20,10,IF(CF75&gt;=10,5,2))</f>
        <v/>
      </c>
    </row>
    <row r="76">
      <c r="A76" s="31">
        <f>IF(B76=0,"",RANK(B76,$B$2:$B$97,0))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EMIL</t>
        </is>
      </c>
      <c r="D76" s="31" t="inlineStr">
        <is>
          <t>Electronics Mart India Ltd</t>
        </is>
      </c>
      <c r="E76" s="31" t="inlineStr">
        <is>
          <t>consumer discretionary</t>
        </is>
      </c>
      <c r="F76" s="31" t="inlineStr">
        <is>
          <t>Retail - Electronics</t>
        </is>
      </c>
      <c r="G76" s="31" t="inlineStr">
        <is>
          <t>midcap</t>
        </is>
      </c>
      <c r="H76" s="32" t="n">
        <v>7110.16</v>
      </c>
      <c r="I76" s="32" t="n">
        <v>184.8</v>
      </c>
      <c r="J76" s="32" t="n">
        <v>2.47</v>
      </c>
      <c r="K76" s="32" t="n">
        <v>0</v>
      </c>
      <c r="L76" s="31" t="n">
        <v>79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74.18000000000001</v>
      </c>
      <c r="P76" s="32" t="n">
        <v>32.59</v>
      </c>
      <c r="Q76" s="32" t="n">
        <v>145.56</v>
      </c>
      <c r="R76" s="31" t="inlineStr">
        <is>
          <t>Near 52W High Breakout</t>
        </is>
      </c>
      <c r="S76" s="31" t="inlineStr">
        <is>
          <t>Nifty 50</t>
        </is>
      </c>
      <c r="T76" s="32" t="n">
        <v>-0.9</v>
      </c>
      <c r="U76" s="32" t="n">
        <v>47.47</v>
      </c>
      <c r="V76" s="32" t="n">
        <v>48.8</v>
      </c>
      <c r="W76" s="32" t="n">
        <v>23.41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B2C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More than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22</t>
        </is>
      </c>
      <c r="CG76" s="31">
        <f>IF(CF76&gt;20,10,IF(CF76&gt;=10,5,2))</f>
        <v/>
      </c>
    </row>
    <row r="77">
      <c r="A77" s="31">
        <f>IF(B77=0,"",RANK(B77,$B$2:$B$97,0))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NETWEB</t>
        </is>
      </c>
      <c r="D77" s="31" t="inlineStr">
        <is>
          <t>Netweb Technologies India Ltd</t>
        </is>
      </c>
      <c r="E77" s="31" t="inlineStr">
        <is>
          <t>i.t</t>
        </is>
      </c>
      <c r="F77" s="31" t="inlineStr">
        <is>
          <t>Data Centre</t>
        </is>
      </c>
      <c r="G77" s="31" t="inlineStr">
        <is>
          <t>largecap</t>
        </is>
      </c>
      <c r="H77" s="32" t="n">
        <v>31440.94</v>
      </c>
      <c r="I77" s="32" t="n">
        <v>5289</v>
      </c>
      <c r="J77" s="32" t="n">
        <v>0.29</v>
      </c>
      <c r="K77" s="32" t="n">
        <v>0</v>
      </c>
      <c r="L77" s="31" t="n">
        <v>78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63.59</v>
      </c>
      <c r="P77" s="32" t="n">
        <v>38.5</v>
      </c>
      <c r="Q77" s="32" t="n">
        <v>4164.61</v>
      </c>
      <c r="R77" s="31" t="inlineStr">
        <is>
          <t>Earnings / Momentum Support</t>
        </is>
      </c>
      <c r="S77" s="31" t="inlineStr">
        <is>
          <t>Nifty IT</t>
        </is>
      </c>
      <c r="T77" s="32" t="n">
        <v>-13.82</v>
      </c>
      <c r="U77" s="32" t="n">
        <v>138.96</v>
      </c>
      <c r="V77" s="32" t="n">
        <v>177.28</v>
      </c>
      <c r="W77" s="32" t="n">
        <v>22.65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21</t>
        </is>
      </c>
      <c r="CG77" s="31">
        <f>IF(CF77&gt;20,10,IF(CF77&gt;=10,5,2))</f>
        <v/>
      </c>
    </row>
    <row r="78">
      <c r="A78" s="31">
        <f>IF(B78=0,"",RANK(B78,$B$2:$B$97,0))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AEROFLEX</t>
        </is>
      </c>
      <c r="D78" s="34" t="inlineStr">
        <is>
          <t>Aeroflex Industries Ltd</t>
        </is>
      </c>
      <c r="E78" s="31" t="inlineStr">
        <is>
          <t>metals &amp; mining</t>
        </is>
      </c>
      <c r="F78" s="31" t="inlineStr">
        <is>
          <t>Stainless Steel</t>
        </is>
      </c>
      <c r="G78" s="31" t="inlineStr">
        <is>
          <t>midcap</t>
        </is>
      </c>
      <c r="H78" s="32" t="n">
        <v>7108.81</v>
      </c>
      <c r="I78" s="32" t="n">
        <v>537.2</v>
      </c>
      <c r="J78" s="32" t="n">
        <v>8.359999999999999</v>
      </c>
      <c r="K78" s="32" t="n">
        <v>0</v>
      </c>
      <c r="L78" s="31" t="inlineStr"/>
      <c r="M78" s="31" t="inlineStr"/>
      <c r="N78" s="32">
        <f>IF(M78="Underperforming",-5,IF(L78&gt;=95,15,IF(L78&gt;=90,10,IF(L78&gt;=80,5,0))))</f>
        <v/>
      </c>
      <c r="O78" s="32" t="n">
        <v>71.92</v>
      </c>
      <c r="P78" s="32" t="n">
        <v>63.13</v>
      </c>
      <c r="Q78" s="32" t="n">
        <v>385.88</v>
      </c>
      <c r="R78" s="31" t="inlineStr">
        <is>
          <t>Near 52W High Breakout</t>
        </is>
      </c>
      <c r="S78" s="31" t="inlineStr">
        <is>
          <t>Nifty Metal</t>
        </is>
      </c>
      <c r="T78" s="32" t="inlineStr"/>
      <c r="U78" s="32" t="inlineStr"/>
      <c r="V78" s="32" t="inlineStr"/>
      <c r="W78" s="32" t="inlineStr"/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Cyclical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21</t>
        </is>
      </c>
      <c r="CG78" s="31">
        <f>IF(CF78&gt;20,10,IF(CF78&gt;=10,5,2))</f>
        <v/>
      </c>
    </row>
    <row r="79">
      <c r="A79" s="31">
        <f>IF(B79=0,"",RANK(B79,$B$2:$B$97,0))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4" t="inlineStr">
        <is>
          <t>SURAKSHA</t>
        </is>
      </c>
      <c r="D79" s="34" t="inlineStr">
        <is>
          <t>Suraksha Diagnostic Ltd</t>
        </is>
      </c>
      <c r="E79" s="31" t="inlineStr">
        <is>
          <t>healthcare</t>
        </is>
      </c>
      <c r="F79" s="31" t="inlineStr">
        <is>
          <t>Diagnostics</t>
        </is>
      </c>
      <c r="G79" s="31" t="inlineStr">
        <is>
          <t>smallcap</t>
        </is>
      </c>
      <c r="H79" s="32" t="n">
        <v>1763.19</v>
      </c>
      <c r="I79" s="32" t="n">
        <v>338.55</v>
      </c>
      <c r="J79" s="32" t="n">
        <v>6.51</v>
      </c>
      <c r="K79" s="32" t="n">
        <v>0</v>
      </c>
      <c r="L79" s="31" t="n">
        <v>23</v>
      </c>
      <c r="M79" s="31" t="inlineStr">
        <is>
          <t>Underperforming</t>
        </is>
      </c>
      <c r="N79" s="32">
        <f>IF(M79="Underperforming",-5,IF(L79&gt;=95,15,IF(L79&gt;=90,10,IF(L79&gt;=80,5,0))))</f>
        <v/>
      </c>
      <c r="O79" s="32" t="n">
        <v>68.86</v>
      </c>
      <c r="P79" s="32" t="n">
        <v>16.27</v>
      </c>
      <c r="Q79" s="32" t="n">
        <v>265.77</v>
      </c>
      <c r="R79" s="31" t="inlineStr">
        <is>
          <t>Near 52W High Breakout</t>
        </is>
      </c>
      <c r="S79" s="31" t="inlineStr">
        <is>
          <t>Nifty Pharma</t>
        </is>
      </c>
      <c r="T79" s="32" t="n">
        <v>22.12</v>
      </c>
      <c r="U79" s="32" t="n">
        <v>13.56</v>
      </c>
      <c r="V79" s="32" t="n">
        <v>-7.01</v>
      </c>
      <c r="W79" s="32" t="n">
        <v>6.64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0 to 20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22</t>
        </is>
      </c>
      <c r="CG79" s="31">
        <f>IF(CF79&gt;20,10,IF(CF79&gt;=10,5,2))</f>
        <v/>
      </c>
    </row>
    <row r="80">
      <c r="A80" s="31">
        <f>IF(B80=0,"",RANK(B80,$B$2:$B$97,0))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3" t="inlineStr">
        <is>
          <t>GLAXO</t>
        </is>
      </c>
      <c r="D80" s="33" t="inlineStr">
        <is>
          <t>Glaxosmithkline Pharmaceuticals Ltd</t>
        </is>
      </c>
      <c r="E80" s="31" t="inlineStr">
        <is>
          <t>healthcare</t>
        </is>
      </c>
      <c r="F80" s="31" t="inlineStr">
        <is>
          <t>Pharma - MNC bulk Drugs</t>
        </is>
      </c>
      <c r="G80" s="31" t="inlineStr">
        <is>
          <t>largecap</t>
        </is>
      </c>
      <c r="H80" s="32" t="n">
        <v>51330.03</v>
      </c>
      <c r="I80" s="32" t="n">
        <v>3030</v>
      </c>
      <c r="J80" s="32" t="n">
        <v>2.25</v>
      </c>
      <c r="K80" s="32" t="n">
        <v>0</v>
      </c>
      <c r="L80" s="31" t="n">
        <v>43</v>
      </c>
      <c r="M80" s="31" t="inlineStr">
        <is>
          <t>Underperforming</t>
        </is>
      </c>
      <c r="N80" s="32">
        <f>IF(M80="Underperforming",-5,IF(L80&gt;=95,15,IF(L80&gt;=90,10,IF(L80&gt;=80,5,0))))</f>
        <v/>
      </c>
      <c r="O80" s="32" t="n">
        <v>73.78</v>
      </c>
      <c r="P80" s="32" t="n">
        <v>24.78</v>
      </c>
      <c r="Q80" s="32" t="n">
        <v>2551.41</v>
      </c>
      <c r="R80" s="31" t="inlineStr">
        <is>
          <t>Near 52W High Breakout</t>
        </is>
      </c>
      <c r="S80" s="31" t="inlineStr">
        <is>
          <t>Nifty Pharma</t>
        </is>
      </c>
      <c r="T80" s="32" t="n">
        <v>22.12</v>
      </c>
      <c r="U80" s="32" t="n">
        <v>11.73</v>
      </c>
      <c r="V80" s="32" t="n">
        <v>-8.51</v>
      </c>
      <c r="W80" s="32" t="n">
        <v>11.01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Between 12 to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20</t>
        </is>
      </c>
      <c r="CG80" s="31">
        <f>IF(CF80&gt;20,10,IF(CF80&gt;=10,5,2))</f>
        <v/>
      </c>
    </row>
    <row r="81">
      <c r="A81" s="31">
        <f>IF(B81=0,"",RANK(B81,$B$2:$B$97,0))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TIIL</t>
        </is>
      </c>
      <c r="D81" s="31" t="inlineStr">
        <is>
          <t>Technocraft Industries (India) Ltd</t>
        </is>
      </c>
      <c r="E81" s="31" t="inlineStr">
        <is>
          <t>metals &amp; mining</t>
        </is>
      </c>
      <c r="F81" s="31" t="inlineStr">
        <is>
          <t>Scaffolding</t>
        </is>
      </c>
      <c r="G81" s="31" t="inlineStr">
        <is>
          <t>midcap</t>
        </is>
      </c>
      <c r="H81" s="32" t="n">
        <v>7620.33</v>
      </c>
      <c r="I81" s="32" t="n">
        <v>3361</v>
      </c>
      <c r="J81" s="32" t="n">
        <v>-2.72</v>
      </c>
      <c r="K81" s="32" t="n">
        <v>0</v>
      </c>
      <c r="L81" s="31" t="inlineStr"/>
      <c r="M81" s="31" t="inlineStr"/>
      <c r="N81" s="32">
        <f>IF(M81="Underperforming",-5,IF(L81&gt;=95,15,IF(L81&gt;=90,10,IF(L81&gt;=80,5,0))))</f>
        <v/>
      </c>
      <c r="O81" s="32" t="n">
        <v>77.52</v>
      </c>
      <c r="P81" s="32" t="n">
        <v>33.03</v>
      </c>
      <c r="Q81" s="32" t="n">
        <v>2699.42</v>
      </c>
      <c r="R81" s="31" t="inlineStr">
        <is>
          <t>Near 52W High Breakout</t>
        </is>
      </c>
      <c r="S81" s="31" t="inlineStr">
        <is>
          <t>Nifty Metal</t>
        </is>
      </c>
      <c r="T81" s="32" t="inlineStr"/>
      <c r="U81" s="32" t="inlineStr"/>
      <c r="V81" s="32" t="inlineStr"/>
      <c r="W81" s="32" t="inlineStr"/>
      <c r="X81" s="31" t="inlineStr">
        <is>
          <t>Cyclical in an Upturn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Cyclical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Volatile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Less than 1.5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20</t>
        </is>
      </c>
      <c r="CG81" s="31">
        <f>IF(CF81&gt;20,10,IF(CF81&gt;=10,5,2))</f>
        <v/>
      </c>
    </row>
    <row r="82">
      <c r="A82" s="31">
        <f>IF(B82=0,"",RANK(B82,$B$2:$B$97,0))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UFLEX</t>
        </is>
      </c>
      <c r="D82" s="31" t="inlineStr">
        <is>
          <t>Uflex Ltd</t>
        </is>
      </c>
      <c r="E82" s="31" t="inlineStr">
        <is>
          <t>industrials</t>
        </is>
      </c>
      <c r="F82" s="31" t="inlineStr">
        <is>
          <t>Packaging - BOPP</t>
        </is>
      </c>
      <c r="G82" s="31" t="inlineStr">
        <is>
          <t>smallcap</t>
        </is>
      </c>
      <c r="H82" s="32" t="n">
        <v>4719.02</v>
      </c>
      <c r="I82" s="32" t="n">
        <v>653.5</v>
      </c>
      <c r="J82" s="32" t="n">
        <v>7.78</v>
      </c>
      <c r="K82" s="32" t="n">
        <v>0</v>
      </c>
      <c r="L82" s="31" t="inlineStr"/>
      <c r="M82" s="31" t="inlineStr"/>
      <c r="N82" s="32">
        <f>IF(M82="Underperforming",-5,IF(L82&gt;=95,15,IF(L82&gt;=90,10,IF(L82&gt;=80,5,0))))</f>
        <v/>
      </c>
      <c r="O82" s="32" t="n">
        <v>77.97</v>
      </c>
      <c r="P82" s="32" t="n">
        <v>22.39</v>
      </c>
      <c r="Q82" s="32" t="n">
        <v>519.46</v>
      </c>
      <c r="R82" s="31" t="inlineStr">
        <is>
          <t>Near 52W High Breakout</t>
        </is>
      </c>
      <c r="S82" s="31" t="inlineStr">
        <is>
          <t>Nifty Infra</t>
        </is>
      </c>
      <c r="T82" s="32" t="inlineStr"/>
      <c r="U82" s="32" t="inlineStr"/>
      <c r="V82" s="32" t="inlineStr"/>
      <c r="W82" s="32" t="inlineStr"/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More than 1.2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29</t>
        </is>
      </c>
      <c r="CG82" s="31">
        <f>IF(CF82&gt;20,10,IF(CF82&gt;=10,5,2))</f>
        <v/>
      </c>
    </row>
    <row r="83">
      <c r="A83" s="31">
        <f>IF(B83=0,"",RANK(B83,$B$2:$B$97,0))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1" t="inlineStr">
        <is>
          <t>PVP</t>
        </is>
      </c>
      <c r="D83" s="31" t="inlineStr">
        <is>
          <t>PVP Ventures Ltd</t>
        </is>
      </c>
      <c r="E83" s="31" t="inlineStr">
        <is>
          <t>realty</t>
        </is>
      </c>
      <c r="F83" s="31" t="inlineStr">
        <is>
          <t>Realty - Construction &amp; Contracting</t>
        </is>
      </c>
      <c r="G83" s="31" t="inlineStr">
        <is>
          <t>smallcap</t>
        </is>
      </c>
      <c r="H83" s="32" t="n">
        <v>1470.76</v>
      </c>
      <c r="I83" s="32" t="n">
        <v>56.48</v>
      </c>
      <c r="J83" s="32" t="n">
        <v>9.99</v>
      </c>
      <c r="K83" s="32" t="n">
        <v>0</v>
      </c>
      <c r="L83" s="31" t="inlineStr"/>
      <c r="M83" s="31" t="inlineStr"/>
      <c r="N83" s="32">
        <f>IF(M83="Underperforming",-5,IF(L83&gt;=95,15,IF(L83&gt;=90,10,IF(L83&gt;=80,5,0))))</f>
        <v/>
      </c>
      <c r="O83" s="32" t="n">
        <v>78.94</v>
      </c>
      <c r="P83" s="32" t="n">
        <v>19.38</v>
      </c>
      <c r="Q83" s="32" t="n">
        <v>41.64</v>
      </c>
      <c r="R83" s="31" t="inlineStr">
        <is>
          <t>Volume Spike &amp; Near 52W High Breakout</t>
        </is>
      </c>
      <c r="S83" s="31" t="inlineStr">
        <is>
          <t>Nifty Realty</t>
        </is>
      </c>
      <c r="T83" s="32" t="inlineStr"/>
      <c r="U83" s="32" t="inlineStr"/>
      <c r="V83" s="32" t="inlineStr"/>
      <c r="W83" s="32" t="inlineStr"/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0 to 20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24</t>
        </is>
      </c>
      <c r="CG83" s="31">
        <f>IF(CF83&gt;20,10,IF(CF83&gt;=10,5,2))</f>
        <v/>
      </c>
    </row>
    <row r="84">
      <c r="A84" s="31">
        <f>IF(B84=0,"",RANK(B84,$B$2:$B$97,0))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ASIANENE</t>
        </is>
      </c>
      <c r="D84" s="31" t="inlineStr">
        <is>
          <t>Asian Energy Services Ltd</t>
        </is>
      </c>
      <c r="E84" s="31" t="inlineStr">
        <is>
          <t>energy</t>
        </is>
      </c>
      <c r="F84" s="31" t="inlineStr">
        <is>
          <t>Oil Drilling &amp; Exploration</t>
        </is>
      </c>
      <c r="G84" s="31" t="inlineStr">
        <is>
          <t>smallcap</t>
        </is>
      </c>
      <c r="H84" s="32" t="n">
        <v>2338.71</v>
      </c>
      <c r="I84" s="32" t="n">
        <v>480.75</v>
      </c>
      <c r="J84" s="32" t="n">
        <v>6.5</v>
      </c>
      <c r="K84" s="32" t="n">
        <v>0</v>
      </c>
      <c r="L84" s="31" t="inlineStr"/>
      <c r="M84" s="31" t="inlineStr"/>
      <c r="N84" s="32">
        <f>IF(M84="Underperforming",-5,IF(L84&gt;=95,15,IF(L84&gt;=90,10,IF(L84&gt;=80,5,0))))</f>
        <v/>
      </c>
      <c r="O84" s="32" t="n">
        <v>70.69</v>
      </c>
      <c r="P84" s="32" t="n">
        <v>20.07</v>
      </c>
      <c r="Q84" s="32" t="n">
        <v>350.16</v>
      </c>
      <c r="R84" s="31" t="inlineStr">
        <is>
          <t>Near 52W High Breakout</t>
        </is>
      </c>
      <c r="S84" s="31" t="inlineStr">
        <is>
          <t>Nifty Energy</t>
        </is>
      </c>
      <c r="T84" s="32" t="inlineStr"/>
      <c r="U84" s="32" t="inlineStr"/>
      <c r="V84" s="32" t="inlineStr"/>
      <c r="W84" s="32" t="inlineStr"/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Oligopoly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21</t>
        </is>
      </c>
      <c r="CG84" s="31">
        <f>IF(CF84&gt;20,10,IF(CF84&gt;=10,5,2))</f>
        <v/>
      </c>
    </row>
    <row r="85">
      <c r="A85" s="31">
        <f>IF(B85=0,"",RANK(B85,$B$2:$B$97,0))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RATNAVEER</t>
        </is>
      </c>
      <c r="D85" s="31" t="inlineStr">
        <is>
          <t>Ratnaveer Precision Engineering Ltd</t>
        </is>
      </c>
      <c r="E85" s="31" t="inlineStr">
        <is>
          <t>metals &amp; mining</t>
        </is>
      </c>
      <c r="F85" s="31" t="inlineStr">
        <is>
          <t>Stainless Steel</t>
        </is>
      </c>
      <c r="G85" s="31" t="inlineStr">
        <is>
          <t>smallcap</t>
        </is>
      </c>
      <c r="H85" s="32" t="n">
        <v>2349.94</v>
      </c>
      <c r="I85" s="32" t="n">
        <v>280</v>
      </c>
      <c r="J85" s="32" t="n">
        <v>6.29</v>
      </c>
      <c r="K85" s="32" t="n">
        <v>0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80.41</v>
      </c>
      <c r="P85" s="32" t="n">
        <v>51.99</v>
      </c>
      <c r="Q85" s="32" t="n">
        <v>207.63</v>
      </c>
      <c r="R85" s="31" t="inlineStr">
        <is>
          <t>Near 52W High Breakout</t>
        </is>
      </c>
      <c r="S85" s="31" t="inlineStr">
        <is>
          <t>Nifty Metal</t>
        </is>
      </c>
      <c r="T85" s="32" t="inlineStr"/>
      <c r="U85" s="32" t="inlineStr"/>
      <c r="V85" s="32" t="inlineStr"/>
      <c r="W85" s="32" t="inlineStr"/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Less than 12%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23</t>
        </is>
      </c>
      <c r="CG85" s="31">
        <f>IF(CF85&gt;20,10,IF(CF85&gt;=10,5,2))</f>
        <v/>
      </c>
    </row>
    <row r="86">
      <c r="A86" s="31">
        <f>IF(B86=0,"",RANK(B86,$B$2:$B$97,0))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DOLPHIN</t>
        </is>
      </c>
      <c r="D86" s="31" t="inlineStr">
        <is>
          <t>Dolphin Offshore Enterprises (India) Ltd</t>
        </is>
      </c>
      <c r="E86" s="31" t="inlineStr">
        <is>
          <t>energy</t>
        </is>
      </c>
      <c r="F86" s="31" t="inlineStr">
        <is>
          <t>Oil Drilling &amp; Exploration</t>
        </is>
      </c>
      <c r="G86" s="31" t="inlineStr">
        <is>
          <t>smallcap</t>
        </is>
      </c>
      <c r="H86" s="32" t="n">
        <v>2432.68</v>
      </c>
      <c r="I86" s="32" t="n">
        <v>608.1</v>
      </c>
      <c r="J86" s="32" t="n">
        <v>-0.35</v>
      </c>
      <c r="K86" s="32" t="n">
        <v>0</v>
      </c>
      <c r="L86" s="31" t="inlineStr"/>
      <c r="M86" s="31" t="inlineStr"/>
      <c r="N86" s="32">
        <f>IF(M86="Underperforming",-5,IF(L86&gt;=95,15,IF(L86&gt;=90,10,IF(L86&gt;=80,5,0))))</f>
        <v/>
      </c>
      <c r="O86" s="32" t="n">
        <v>75.31</v>
      </c>
      <c r="P86" s="32" t="n">
        <v>32.8</v>
      </c>
      <c r="Q86" s="32" t="n">
        <v>483.73</v>
      </c>
      <c r="R86" s="31" t="inlineStr">
        <is>
          <t>Near 52W High Breakout</t>
        </is>
      </c>
      <c r="S86" s="31" t="inlineStr">
        <is>
          <t>Nifty Energy</t>
        </is>
      </c>
      <c r="T86" s="32" t="inlineStr"/>
      <c r="U86" s="32" t="inlineStr"/>
      <c r="V86" s="32" t="inlineStr"/>
      <c r="W86" s="32" t="inlineStr"/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Oligopoly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Yes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Cyclical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Volatile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Less than 1.5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23</t>
        </is>
      </c>
      <c r="CG86" s="31">
        <f>IF(CF86&gt;20,10,IF(CF86&gt;=10,5,2))</f>
        <v/>
      </c>
    </row>
    <row r="87">
      <c r="A87" s="31">
        <f>IF(B87=0,"",RANK(B87,$B$2:$B$97,0))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AEGISLOG</t>
        </is>
      </c>
      <c r="D87" s="31" t="inlineStr">
        <is>
          <t>Aegis Logistics Ltd</t>
        </is>
      </c>
      <c r="E87" s="31" t="inlineStr">
        <is>
          <t>Energy</t>
        </is>
      </c>
      <c r="F87" s="31" t="inlineStr">
        <is>
          <t>Logistics</t>
        </is>
      </c>
      <c r="G87" s="31" t="inlineStr">
        <is>
          <t>largecap</t>
        </is>
      </c>
      <c r="H87" s="32" t="n">
        <v>46503.99</v>
      </c>
      <c r="I87" s="32" t="n">
        <v>1324.9</v>
      </c>
      <c r="J87" s="32" t="n">
        <v>0.25</v>
      </c>
      <c r="K87" s="32" t="n">
        <v>0</v>
      </c>
      <c r="L87" s="31" t="inlineStr"/>
      <c r="M87" s="31" t="inlineStr"/>
      <c r="N87" s="32">
        <f>IF(M87="Underperforming",-5,IF(L87&gt;=95,15,IF(L87&gt;=90,10,IF(L87&gt;=80,5,0))))</f>
        <v/>
      </c>
      <c r="O87" s="32" t="n">
        <v>65.91</v>
      </c>
      <c r="P87" s="32" t="n">
        <v>58.13</v>
      </c>
      <c r="Q87" s="32" t="n">
        <v>1039.18</v>
      </c>
      <c r="R87" s="31" t="inlineStr">
        <is>
          <t>Earnings / Momentum Support</t>
        </is>
      </c>
      <c r="S87" s="31" t="inlineStr">
        <is>
          <t>Nifty Energy</t>
        </is>
      </c>
      <c r="T87" s="32" t="inlineStr"/>
      <c r="U87" s="32" t="inlineStr"/>
      <c r="V87" s="32" t="inlineStr"/>
      <c r="W87" s="32" t="inlineStr"/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Oligopoly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Yes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Cyclical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Volatile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No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22</t>
        </is>
      </c>
      <c r="CG87" s="31">
        <f>IF(CF87&gt;20,10,IF(CF87&gt;=10,5,2))</f>
        <v/>
      </c>
    </row>
    <row r="88">
      <c r="A88" s="31">
        <f>IF(B88=0,"",RANK(B88,$B$2:$B$97,0))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4" t="inlineStr">
        <is>
          <t>SOTL</t>
        </is>
      </c>
      <c r="D88" s="34" t="inlineStr">
        <is>
          <t>Savita Oil Technologies Ltd</t>
        </is>
      </c>
      <c r="E88" s="31" t="inlineStr">
        <is>
          <t>energy</t>
        </is>
      </c>
      <c r="F88" s="31" t="inlineStr">
        <is>
          <t>Petrochem - Others</t>
        </is>
      </c>
      <c r="G88" s="31" t="inlineStr">
        <is>
          <t>smallcap</t>
        </is>
      </c>
      <c r="H88" s="32" t="n">
        <v>4779.35</v>
      </c>
      <c r="I88" s="32" t="n">
        <v>697.1</v>
      </c>
      <c r="J88" s="32" t="n">
        <v>3.48</v>
      </c>
      <c r="K88" s="32" t="n">
        <v>0</v>
      </c>
      <c r="L88" s="31" t="inlineStr"/>
      <c r="M88" s="31" t="inlineStr"/>
      <c r="N88" s="32">
        <f>IF(M88="Underperforming",-5,IF(L88&gt;=95,15,IF(L88&gt;=90,10,IF(L88&gt;=80,5,0))))</f>
        <v/>
      </c>
      <c r="O88" s="32" t="n">
        <v>65.55</v>
      </c>
      <c r="P88" s="32" t="n">
        <v>54.44</v>
      </c>
      <c r="Q88" s="32" t="n">
        <v>552.0599999999999</v>
      </c>
      <c r="R88" s="31" t="inlineStr">
        <is>
          <t>Earnings / Momentum Support</t>
        </is>
      </c>
      <c r="S88" s="31" t="inlineStr">
        <is>
          <t>Nifty Energy</t>
        </is>
      </c>
      <c r="T88" s="32" t="inlineStr"/>
      <c r="U88" s="32" t="inlineStr"/>
      <c r="V88" s="32" t="inlineStr"/>
      <c r="W88" s="32" t="inlineStr"/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22</t>
        </is>
      </c>
      <c r="CG88" s="31">
        <f>IF(CF88&gt;20,10,IF(CF88&gt;=10,5,2))</f>
        <v/>
      </c>
    </row>
    <row r="89">
      <c r="A89" s="31">
        <f>IF(B89=0,"",RANK(B89,$B$2:$B$97,0))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1" t="inlineStr">
        <is>
          <t>PRICOLLTD</t>
        </is>
      </c>
      <c r="D89" s="31" t="inlineStr">
        <is>
          <t>Pricol Ltd</t>
        </is>
      </c>
      <c r="E89" s="31" t="inlineStr">
        <is>
          <t>auto</t>
        </is>
      </c>
      <c r="F89" s="31" t="inlineStr">
        <is>
          <t>Auto Ancillaries - 2 Wheelers</t>
        </is>
      </c>
      <c r="G89" s="31" t="inlineStr">
        <is>
          <t>midcap</t>
        </is>
      </c>
      <c r="H89" s="32" t="n">
        <v>9530.52</v>
      </c>
      <c r="I89" s="32" t="n">
        <v>781.95</v>
      </c>
      <c r="J89" s="32" t="n">
        <v>-1.08</v>
      </c>
      <c r="K89" s="32" t="n">
        <v>0</v>
      </c>
      <c r="L89" s="31" t="inlineStr"/>
      <c r="M89" s="31" t="inlineStr"/>
      <c r="N89" s="32">
        <f>IF(M89="Underperforming",-5,IF(L89&gt;=95,15,IF(L89&gt;=90,10,IF(L89&gt;=80,5,0))))</f>
        <v/>
      </c>
      <c r="O89" s="32" t="n">
        <v>72</v>
      </c>
      <c r="P89" s="32" t="n">
        <v>31.44</v>
      </c>
      <c r="Q89" s="32" t="n">
        <v>646.79</v>
      </c>
      <c r="R89" s="31" t="inlineStr">
        <is>
          <t>Near 52W High Breakout</t>
        </is>
      </c>
      <c r="S89" s="31" t="inlineStr">
        <is>
          <t>Nifty Auto</t>
        </is>
      </c>
      <c r="T89" s="32" t="inlineStr"/>
      <c r="U89" s="32" t="inlineStr"/>
      <c r="V89" s="32" t="inlineStr"/>
      <c r="W89" s="32" t="inlineStr"/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Oligopoly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Shallow Cyclical (2 to 3 Years Growth)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Fully One Time</t>
        </is>
      </c>
      <c r="AS89" s="31">
        <f>IF(AR89="Fully Annuity",10,IF(AR89="Higher Annuity, Lower One Time",5,IF(AR89="Higher One Time, Lower Annuity",3,0)))</f>
        <v/>
      </c>
      <c r="AT89" s="31" t="inlineStr">
        <is>
          <t>Allocated capital in Non-core Areas</t>
        </is>
      </c>
      <c r="AU89" s="31">
        <f>IF(AT89="Good",10,0)</f>
        <v/>
      </c>
      <c r="AV89" s="31" t="inlineStr">
        <is>
          <t>Yes only for next 1 to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Between 12 to 20%</t>
        </is>
      </c>
      <c r="BO89" s="31">
        <f>IF(BN89="More than 20%",10,IF(BN89="Between 12 to 20%",5,IF(BN89="Less than 12%",0,0)))</f>
        <v/>
      </c>
      <c r="BP89" s="31" t="inlineStr">
        <is>
          <t>Yes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Between 1.5 to 2</t>
        </is>
      </c>
      <c r="BU89" s="31">
        <f>IF(BT89="Above 2",0,IF(BT89="Between 1.5 to 2",5,IF(BT89="Less than 1.5",10,0)))</f>
        <v/>
      </c>
      <c r="BV89" s="31" t="inlineStr">
        <is>
          <t>Between 50% to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21</t>
        </is>
      </c>
      <c r="CG89" s="31">
        <f>IF(CF89&gt;20,10,IF(CF89&gt;=10,5,2))</f>
        <v/>
      </c>
    </row>
    <row r="90">
      <c r="A90" s="31">
        <f>IF(B90=0,"",RANK(B90,$B$2:$B$97,0))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4" t="inlineStr">
        <is>
          <t>HINDZINC</t>
        </is>
      </c>
      <c r="D90" s="34" t="inlineStr">
        <is>
          <t>Hindustan Zinc Ltd</t>
        </is>
      </c>
      <c r="E90" s="31" t="inlineStr">
        <is>
          <t>metals &amp; mining</t>
        </is>
      </c>
      <c r="F90" s="31" t="inlineStr">
        <is>
          <t>Metals</t>
        </is>
      </c>
      <c r="G90" s="31" t="inlineStr">
        <is>
          <t>largecap</t>
        </is>
      </c>
      <c r="H90" s="32" t="n">
        <v>264716.24</v>
      </c>
      <c r="I90" s="32" t="n">
        <v>626.5</v>
      </c>
      <c r="J90" s="32" t="n">
        <v>5.72</v>
      </c>
      <c r="K90" s="32" t="n">
        <v>0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59.29</v>
      </c>
      <c r="P90" s="32" t="n">
        <v>11.59</v>
      </c>
      <c r="Q90" s="32" t="n">
        <v>505.23</v>
      </c>
      <c r="R90" s="31" t="inlineStr">
        <is>
          <t>Volume Spike / Accumulation</t>
        </is>
      </c>
      <c r="S90" s="31" t="inlineStr">
        <is>
          <t>Nifty Metal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0 to 20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22</t>
        </is>
      </c>
      <c r="CG90" s="31">
        <f>IF(CF90&gt;20,10,IF(CF90&gt;=10,5,2))</f>
        <v/>
      </c>
    </row>
    <row r="91">
      <c r="A91" s="31">
        <f>IF(B91=0,"",RANK(B91,$B$2:$B$97,0))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1" t="inlineStr">
        <is>
          <t>TNPETRO</t>
        </is>
      </c>
      <c r="D91" s="31" t="inlineStr">
        <is>
          <t>Tamil Nadu Petro Products Ltd</t>
        </is>
      </c>
      <c r="E91" s="31" t="inlineStr">
        <is>
          <t>energy</t>
        </is>
      </c>
      <c r="F91" s="31" t="inlineStr">
        <is>
          <t>Petrochem - Others</t>
        </is>
      </c>
      <c r="G91" s="31" t="inlineStr">
        <is>
          <t>smallcap</t>
        </is>
      </c>
      <c r="H91" s="32" t="n">
        <v>1018.03</v>
      </c>
      <c r="I91" s="32" t="n">
        <v>113.15</v>
      </c>
      <c r="J91" s="32" t="n">
        <v>-0.93</v>
      </c>
      <c r="K91" s="32" t="n">
        <v>0</v>
      </c>
      <c r="L91" s="31" t="inlineStr"/>
      <c r="M91" s="31" t="inlineStr"/>
      <c r="N91" s="32">
        <f>IF(M91="Underperforming",-5,IF(L91&gt;=95,15,IF(L91&gt;=90,10,IF(L91&gt;=80,5,0))))</f>
        <v/>
      </c>
      <c r="O91" s="32" t="n">
        <v>69.81999999999999</v>
      </c>
      <c r="P91" s="32" t="n">
        <v>27.61</v>
      </c>
      <c r="Q91" s="32" t="n">
        <v>90.84999999999999</v>
      </c>
      <c r="R91" s="31" t="inlineStr">
        <is>
          <t>Earnings / Momentum Support</t>
        </is>
      </c>
      <c r="S91" s="31" t="inlineStr">
        <is>
          <t>Nifty Energy</t>
        </is>
      </c>
      <c r="T91" s="32" t="inlineStr"/>
      <c r="U91" s="32" t="inlineStr"/>
      <c r="V91" s="32" t="inlineStr"/>
      <c r="W91" s="32" t="inlineStr"/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Oligopoly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Cyclical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20</t>
        </is>
      </c>
      <c r="CG91" s="31">
        <f>IF(CF91&gt;20,10,IF(CF91&gt;=10,5,2))</f>
        <v/>
      </c>
    </row>
    <row r="92">
      <c r="A92" s="31">
        <f>IF(B92=0,"",RANK(B92,$B$2:$B$97,0))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VERANDA</t>
        </is>
      </c>
      <c r="D92" s="31" t="inlineStr">
        <is>
          <t>Veranda Learning Solutions Ltd</t>
        </is>
      </c>
      <c r="E92" s="31" t="inlineStr">
        <is>
          <t>Consumer Defensive</t>
        </is>
      </c>
      <c r="F92" s="31" t="inlineStr">
        <is>
          <t>Computer Education</t>
        </is>
      </c>
      <c r="G92" s="31" t="inlineStr">
        <is>
          <t>smallcap</t>
        </is>
      </c>
      <c r="H92" s="32" t="n">
        <v>2399.14</v>
      </c>
      <c r="I92" s="32" t="n">
        <v>249</v>
      </c>
      <c r="J92" s="32" t="n">
        <v>0.4</v>
      </c>
      <c r="K92" s="32" t="n">
        <v>0</v>
      </c>
      <c r="L92" s="31" t="n">
        <v>12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56</v>
      </c>
      <c r="P92" s="32" t="n">
        <v>25.17</v>
      </c>
      <c r="Q92" s="32" t="n">
        <v>184.49</v>
      </c>
      <c r="R92" s="31" t="inlineStr">
        <is>
          <t>Earnings / Momentum Support</t>
        </is>
      </c>
      <c r="S92" s="31" t="inlineStr">
        <is>
          <t>Nifty 50</t>
        </is>
      </c>
      <c r="T92" s="32" t="n">
        <v>-0.9</v>
      </c>
      <c r="U92" s="32" t="n">
        <v>11.28</v>
      </c>
      <c r="V92" s="32" t="n">
        <v>12.29</v>
      </c>
      <c r="W92" s="32" t="n">
        <v>3.83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20</t>
        </is>
      </c>
      <c r="CG92" s="31">
        <f>IF(CF92&gt;20,10,IF(CF92&gt;=10,5,2))</f>
        <v/>
      </c>
    </row>
    <row r="93">
      <c r="A93" s="31">
        <f>IF(B93=0,"",RANK(B93,$B$2:$B$97,0))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4" t="inlineStr">
        <is>
          <t>JAYNECOIND</t>
        </is>
      </c>
      <c r="D93" s="34" t="inlineStr">
        <is>
          <t>Jayaswal Neco Industries Ltd</t>
        </is>
      </c>
      <c r="E93" s="31" t="inlineStr">
        <is>
          <t>metals &amp; mining</t>
        </is>
      </c>
      <c r="F93" s="31" t="inlineStr">
        <is>
          <t>Mining/Minerals - Iron Ore</t>
        </is>
      </c>
      <c r="G93" s="31" t="inlineStr">
        <is>
          <t>midcap</t>
        </is>
      </c>
      <c r="H93" s="32" t="n">
        <v>9957.59</v>
      </c>
      <c r="I93" s="32" t="n">
        <v>102.55</v>
      </c>
      <c r="J93" s="32" t="n">
        <v>1.66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n">
        <v>61.27</v>
      </c>
      <c r="P93" s="32" t="n">
        <v>8.1</v>
      </c>
      <c r="Q93" s="32" t="n">
        <v>77.22</v>
      </c>
      <c r="R93" s="31" t="inlineStr">
        <is>
          <t>Earnings / Momentum Support</t>
        </is>
      </c>
      <c r="S93" s="31" t="inlineStr">
        <is>
          <t>Nifty Metal</t>
        </is>
      </c>
      <c r="T93" s="32" t="inlineStr"/>
      <c r="U93" s="32" t="inlineStr"/>
      <c r="V93" s="32" t="inlineStr"/>
      <c r="W93" s="32" t="inlineStr"/>
      <c r="X93" s="31" t="inlineStr">
        <is>
          <t>Cyclical in an Upturn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Cyclical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Volatile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0 to 20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Between 0.7 to 1.2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  <c r="CF93" s="31" t="inlineStr">
        <is>
          <t>19</t>
        </is>
      </c>
      <c r="CG93" s="31">
        <f>IF(CF93&gt;20,10,IF(CF93&gt;=10,5,2))</f>
        <v/>
      </c>
    </row>
    <row r="94">
      <c r="A94" s="31">
        <f>IF(B94=0,"",RANK(B94,$B$2:$B$97,0))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4" t="inlineStr">
        <is>
          <t>GIPCL</t>
        </is>
      </c>
      <c r="D94" s="34" t="inlineStr">
        <is>
          <t>Gujarat Industries Power Co Ltd</t>
        </is>
      </c>
      <c r="E94" s="31" t="inlineStr">
        <is>
          <t>power &amp; utilities</t>
        </is>
      </c>
      <c r="F94" s="31" t="inlineStr">
        <is>
          <t>Power - Generation/Distribution</t>
        </is>
      </c>
      <c r="G94" s="31" t="inlineStr">
        <is>
          <t>smallcap</t>
        </is>
      </c>
      <c r="H94" s="32" t="n">
        <v>3102.77</v>
      </c>
      <c r="I94" s="32" t="n">
        <v>199.9</v>
      </c>
      <c r="J94" s="32" t="n">
        <v>4.81</v>
      </c>
      <c r="K94" s="32" t="n">
        <v>0</v>
      </c>
      <c r="L94" s="31" t="n">
        <v>30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71.09</v>
      </c>
      <c r="P94" s="32" t="n">
        <v>16.59</v>
      </c>
      <c r="Q94" s="32" t="n">
        <v>162.94</v>
      </c>
      <c r="R94" s="31" t="inlineStr">
        <is>
          <t>Volume Spike &amp; Near 52W High Breakout</t>
        </is>
      </c>
      <c r="S94" s="31" t="inlineStr">
        <is>
          <t>Nifty IT</t>
        </is>
      </c>
      <c r="T94" s="32" t="n">
        <v>-13.82</v>
      </c>
      <c r="U94" s="32" t="n">
        <v>15.69</v>
      </c>
      <c r="V94" s="32" t="n">
        <v>34.25</v>
      </c>
      <c r="W94" s="32" t="n">
        <v>8.23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Oligopoly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Shallow Cyclical (2 to 3 Years Growth)</t>
        </is>
      </c>
      <c r="AG94" s="31">
        <f>IF(AF94="Structural (10 Years Consistency)",10,IF(AF94="Shallow Cyclical (2 to 3 years growth)",5,0))</f>
        <v/>
      </c>
      <c r="AH94" s="31" t="inlineStr">
        <is>
          <t>Yes due to Product Mix change or Operating Leverage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Volatile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Allocated capital in Non-core Areas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Above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3</t>
        </is>
      </c>
      <c r="BC94" s="31">
        <f>IF(BB94="Stage 2",20,IF(BB94="Stage 1",0,IF(BB94="Stage 3",5,IF(BB94="Stage 4",-5,0))))</f>
        <v/>
      </c>
      <c r="BD94" s="31" t="inlineStr">
        <is>
          <t>Negative Trend</t>
        </is>
      </c>
      <c r="BE94" s="31">
        <f>IF(BD94="Positive Trend",20,IF(BD94="Negative Trend",-10,0))</f>
        <v/>
      </c>
      <c r="BF94" s="31" t="inlineStr">
        <is>
          <t>Sideways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Overhead supply in last 2 years in last 2 years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More than 15%</t>
        </is>
      </c>
      <c r="CC94" s="31">
        <f>IF(CB94="More than 15%",-10,IF(CB94="Less than 15%",10,0))</f>
        <v/>
      </c>
      <c r="CD94" s="31" t="inlineStr">
        <is>
          <t>Yes Upto 10%</t>
        </is>
      </c>
      <c r="CE94" s="31">
        <f>IF(CD94="Yes, more than 10%",-10,IF(CD94="No",10,0))</f>
        <v/>
      </c>
      <c r="CF94" s="31" t="inlineStr">
        <is>
          <t>26</t>
        </is>
      </c>
      <c r="CG94" s="31">
        <f>IF(CF94&gt;20,10,IF(CF94&gt;=10,5,2))</f>
        <v/>
      </c>
    </row>
    <row r="95">
      <c r="A95" s="31">
        <f>IF(B95=0,"",RANK(B95,$B$2:$B$97,0))</f>
        <v/>
      </c>
      <c r="B95" s="32">
        <f>SUM(N95,Y95,AA95,AC95,AE95,AG95,AI95,AK95,AM95,AO95,AQ95,AS95,AU95,AW95,AY95,BA95,BC95,BE95,BG95,BI95,BK95,BM95,BO95,BQ95,BS95,BU95,BW95,BY95,CA95,CC95,CE95,CG95)</f>
        <v/>
      </c>
      <c r="C95" s="31" t="inlineStr">
        <is>
          <t>MONOLITH</t>
        </is>
      </c>
      <c r="D95" s="31" t="inlineStr">
        <is>
          <t>Monolithisch India Ltd</t>
        </is>
      </c>
      <c r="E95" s="31" t="inlineStr">
        <is>
          <t>unknown</t>
        </is>
      </c>
      <c r="F95" s="31" t="inlineStr">
        <is>
          <t>Refractories</t>
        </is>
      </c>
      <c r="G95" s="31" t="inlineStr">
        <is>
          <t>smallcap</t>
        </is>
      </c>
      <c r="H95" s="32" t="n">
        <v>2381.18</v>
      </c>
      <c r="I95" s="32" t="n">
        <v>1095.5</v>
      </c>
      <c r="J95" s="32" t="n">
        <v>-0.45</v>
      </c>
      <c r="K95" s="32" t="n">
        <v>0</v>
      </c>
      <c r="L95" s="31" t="inlineStr"/>
      <c r="M95" s="31" t="inlineStr"/>
      <c r="N95" s="32">
        <f>IF(M95="Underperforming",-5,IF(L95&gt;=95,15,IF(L95&gt;=90,10,IF(L95&gt;=80,5,0))))</f>
        <v/>
      </c>
      <c r="O95" s="32" t="inlineStr"/>
      <c r="P95" s="32" t="inlineStr"/>
      <c r="Q95" s="32" t="inlineStr"/>
      <c r="R95" s="31" t="inlineStr"/>
      <c r="S95" s="31" t="inlineStr"/>
      <c r="T95" s="32" t="inlineStr"/>
      <c r="U95" s="32" t="inlineStr"/>
      <c r="V95" s="32" t="inlineStr"/>
      <c r="W95" s="32" t="inlineStr"/>
      <c r="X95" s="31" t="n"/>
      <c r="Y95" s="31">
        <f>IF(X95="Growing Industry",10,IF(X95="Cyclical in an Upturn",5,0))</f>
        <v/>
      </c>
      <c r="Z95" s="31" t="n"/>
      <c r="AA95" s="31">
        <f>IF(Z95="Monopoly",10,IF(Z95="Oligopoly",5,IF(Z95="Duopoly that cooperate",10,IF(Z95="Duopoly that compete",5,IF(Z95="Too many players with High ROCE",5,0)))))</f>
        <v/>
      </c>
      <c r="AB95" s="31" t="n"/>
      <c r="AC95" s="31">
        <f>IF(AB95="No",5,0)</f>
        <v/>
      </c>
      <c r="AD95" s="31" t="n"/>
      <c r="AE95" s="31">
        <f>IF(AD95="Tailwind",10,0)</f>
        <v/>
      </c>
      <c r="AF95" s="31" t="n"/>
      <c r="AG95" s="31">
        <f>IF(AF95="Structural (10 Years Consistency)",10,IF(AF95="Shallow Cyclical (2 to 3 years growth)",5,0))</f>
        <v/>
      </c>
      <c r="AH95" s="31" t="n"/>
      <c r="AI95" s="31">
        <f>IF(AH95="Yes due to Product Mix change or Operating Leverage",10,IF(AH95="Yes, these are peak margins",-5,IF(AH95="No",5,0)))</f>
        <v/>
      </c>
      <c r="AJ95" s="31" t="n"/>
      <c r="AK95" s="31">
        <f>IF(AJ95="Stable",10,0)</f>
        <v/>
      </c>
      <c r="AL95" s="31" t="n"/>
      <c r="AM95" s="31">
        <f>IF(AL95="Yes",10,0)</f>
        <v/>
      </c>
      <c r="AN95" s="31" t="n"/>
      <c r="AO95" s="31">
        <f>IF(AN95="B2C",10,IF(AN95="B2B",5,0))</f>
        <v/>
      </c>
      <c r="AP95" s="31" t="n"/>
      <c r="AQ95" s="31">
        <f>IF(AP95="Yes",10,0)</f>
        <v/>
      </c>
      <c r="AR95" s="31" t="n"/>
      <c r="AS95" s="31">
        <f>IF(AR95="Fully Annuity",10,IF(AR95="Higher Annuity, Lower One Time",5,IF(AR95="Higher One Time, Lower Annuity",3,0)))</f>
        <v/>
      </c>
      <c r="AT95" s="31" t="n"/>
      <c r="AU95" s="31">
        <f>IF(AT95="Good",10,0)</f>
        <v/>
      </c>
      <c r="AV95" s="31" t="n"/>
      <c r="AW95" s="31">
        <f>IF(AV95="Yes for more than 2 years",10,IF(AV95="Yes only for next 1 to 2 years",5,0))</f>
        <v/>
      </c>
      <c r="AX95" s="31" t="n"/>
      <c r="AY95" s="31">
        <f>IF(AX95="Above 40",20,IF(AX95="20 to 40",10,IF(AX95="0 to 20",-5,0)))</f>
        <v/>
      </c>
      <c r="AZ95" s="31" t="n"/>
      <c r="BA95" s="31">
        <f>IF(AZ95="Between 50 to 75",10,IF(AZ95="Above 75",0,0))</f>
        <v/>
      </c>
      <c r="BB95" s="31" t="n"/>
      <c r="BC95" s="31">
        <f>IF(BB95="Stage 2",20,IF(BB95="Stage 1",0,IF(BB95="Stage 3",5,IF(BB95="Stage 4",-5,0))))</f>
        <v/>
      </c>
      <c r="BD95" s="31" t="n"/>
      <c r="BE95" s="31">
        <f>IF(BD95="Positive Trend",20,IF(BD95="Negative Trend",-10,0))</f>
        <v/>
      </c>
      <c r="BF95" s="31" t="n"/>
      <c r="BG95" s="31">
        <f>IF(BF95="Uptrend",10,IF(BF95="Sideways",5,0))</f>
        <v/>
      </c>
      <c r="BH95" s="31" t="n"/>
      <c r="BI95" s="31">
        <f>IF(BH95="Uptrend",10,IF(BH95="Sideways",5,0))</f>
        <v/>
      </c>
      <c r="BJ95" s="31" t="n"/>
      <c r="BK95" s="31">
        <f>IF(BJ95="Overhead supply in last 2 years in last 2 years",-5,IF(BJ95="Close to 52 week high or retracement",5,IF(BJ95="Blue sky scenario",10,IF(BJ95="Long term Downtrend",-10,0))))</f>
        <v/>
      </c>
      <c r="BL95" s="31" t="n"/>
      <c r="BM95" s="31">
        <f>IF(BL95="Yes",10,0)</f>
        <v/>
      </c>
      <c r="BN95" s="31" t="n"/>
      <c r="BO95" s="31">
        <f>IF(BN95="More than 20%",10,IF(BN95="Between 12 to 20%",5,IF(BN95="Less than 12%",0,0)))</f>
        <v/>
      </c>
      <c r="BP95" s="31" t="n"/>
      <c r="BQ95" s="31">
        <f>IF(BP95="No",10,0)</f>
        <v/>
      </c>
      <c r="BR95" s="31" t="n"/>
      <c r="BS95" s="31">
        <f>IF(BR95="NO",5,0)</f>
        <v/>
      </c>
      <c r="BT95" s="31" t="n"/>
      <c r="BU95" s="31">
        <f>IF(BT95="Above 2",0,IF(BT95="Between 1.5 to 2",5,IF(BT95="Less than 1.5",10,0)))</f>
        <v/>
      </c>
      <c r="BV95" s="31" t="n"/>
      <c r="BW95" s="31">
        <f>IF(BV95="Above 70%",10,IF(BV95="Between 50% to 70%",5,IF(BV95="Less than 50%",0,IF(BV95="Negative",-10,IF(BV95="Less than 50% and Borrowings are increasing",-5,0)))))</f>
        <v/>
      </c>
      <c r="BX95" s="31" t="n"/>
      <c r="BY95" s="31">
        <f>IF(BX95="More than 1.2",-10,IF(BX95="Between 0.7 to 1.2",0,IF(BX95="Less than 0.7",10,0)))</f>
        <v/>
      </c>
      <c r="BZ95" s="31" t="n"/>
      <c r="CA95" s="31">
        <f>IF(BZ95="Yes",-10,0)</f>
        <v/>
      </c>
      <c r="CB95" s="31" t="n"/>
      <c r="CC95" s="31">
        <f>IF(CB95="More than 15%",-10,IF(CB95="Less than 15%",10,0))</f>
        <v/>
      </c>
      <c r="CD95" s="31" t="n"/>
      <c r="CE95" s="31">
        <f>IF(CD95="Yes, more than 10%",-10,IF(CD95="No",10,0))</f>
        <v/>
      </c>
      <c r="CF95" s="31" t="n"/>
      <c r="CG95" s="31">
        <f>IF(CF95&gt;20,10,IF(CF95&gt;=10,5,2))</f>
        <v/>
      </c>
    </row>
    <row r="96">
      <c r="A96" s="31">
        <f>IF(B96=0,"",RANK(B96,$B$2:$B$97,0))</f>
        <v/>
      </c>
      <c r="B96" s="32">
        <f>SUM(N96,Y96,AA96,AC96,AE96,AG96,AI96,AK96,AM96,AO96,AQ96,AS96,AU96,AW96,AY96,BA96,BC96,BE96,BG96,BI96,BK96,BM96,BO96,BQ96,BS96,BU96,BW96,BY96,CA96,CC96,CE96,CG96)</f>
        <v/>
      </c>
      <c r="C96" s="31" t="inlineStr">
        <is>
          <t>PGIL</t>
        </is>
      </c>
      <c r="D96" s="31" t="inlineStr">
        <is>
          <t>Pearl Global Industries Ltd</t>
        </is>
      </c>
      <c r="E96" s="31" t="inlineStr">
        <is>
          <t>unknown</t>
        </is>
      </c>
      <c r="F96" s="31" t="inlineStr">
        <is>
          <t>Textiles - Readymade Apparel</t>
        </is>
      </c>
      <c r="G96" s="31" t="inlineStr">
        <is>
          <t>midcap</t>
        </is>
      </c>
      <c r="H96" s="32" t="n">
        <v>10508.35</v>
      </c>
      <c r="I96" s="32" t="n">
        <v>2275</v>
      </c>
      <c r="J96" s="32" t="n">
        <v>-2.22</v>
      </c>
      <c r="K96" s="32" t="n">
        <v>0</v>
      </c>
      <c r="L96" s="31" t="inlineStr"/>
      <c r="M96" s="31" t="inlineStr"/>
      <c r="N96" s="32">
        <f>IF(M96="Underperforming",-5,IF(L96&gt;=95,15,IF(L96&gt;=90,10,IF(L96&gt;=80,5,0))))</f>
        <v/>
      </c>
      <c r="O96" s="32" t="inlineStr"/>
      <c r="P96" s="32" t="inlineStr"/>
      <c r="Q96" s="32" t="inlineStr"/>
      <c r="R96" s="31" t="inlineStr"/>
      <c r="S96" s="31" t="inlineStr"/>
      <c r="T96" s="32" t="inlineStr"/>
      <c r="U96" s="32" t="inlineStr"/>
      <c r="V96" s="32" t="inlineStr"/>
      <c r="W96" s="32" t="inlineStr"/>
      <c r="X96" s="31" t="n"/>
      <c r="Y96" s="31">
        <f>IF(X96="Growing Industry",10,IF(X96="Cyclical in an Upturn",5,0))</f>
        <v/>
      </c>
      <c r="Z96" s="31" t="n"/>
      <c r="AA96" s="31">
        <f>IF(Z96="Monopoly",10,IF(Z96="Oligopoly",5,IF(Z96="Duopoly that cooperate",10,IF(Z96="Duopoly that compete",5,IF(Z96="Too many players with High ROCE",5,0)))))</f>
        <v/>
      </c>
      <c r="AB96" s="31" t="n"/>
      <c r="AC96" s="31">
        <f>IF(AB96="No",5,0)</f>
        <v/>
      </c>
      <c r="AD96" s="31" t="n"/>
      <c r="AE96" s="31">
        <f>IF(AD96="Tailwind",10,0)</f>
        <v/>
      </c>
      <c r="AF96" s="31" t="n"/>
      <c r="AG96" s="31">
        <f>IF(AF96="Structural (10 Years Consistency)",10,IF(AF96="Shallow Cyclical (2 to 3 years growth)",5,0))</f>
        <v/>
      </c>
      <c r="AH96" s="31" t="n"/>
      <c r="AI96" s="31">
        <f>IF(AH96="Yes due to Product Mix change or Operating Leverage",10,IF(AH96="Yes, these are peak margins",-5,IF(AH96="No",5,0)))</f>
        <v/>
      </c>
      <c r="AJ96" s="31" t="n"/>
      <c r="AK96" s="31">
        <f>IF(AJ96="Stable",10,0)</f>
        <v/>
      </c>
      <c r="AL96" s="31" t="n"/>
      <c r="AM96" s="31">
        <f>IF(AL96="Yes",10,0)</f>
        <v/>
      </c>
      <c r="AN96" s="31" t="n"/>
      <c r="AO96" s="31">
        <f>IF(AN96="B2C",10,IF(AN96="B2B",5,0))</f>
        <v/>
      </c>
      <c r="AP96" s="31" t="n"/>
      <c r="AQ96" s="31">
        <f>IF(AP96="Yes",10,0)</f>
        <v/>
      </c>
      <c r="AR96" s="31" t="n"/>
      <c r="AS96" s="31">
        <f>IF(AR96="Fully Annuity",10,IF(AR96="Higher Annuity, Lower One Time",5,IF(AR96="Higher One Time, Lower Annuity",3,0)))</f>
        <v/>
      </c>
      <c r="AT96" s="31" t="n"/>
      <c r="AU96" s="31">
        <f>IF(AT96="Good",10,0)</f>
        <v/>
      </c>
      <c r="AV96" s="31" t="n"/>
      <c r="AW96" s="31">
        <f>IF(AV96="Yes for more than 2 years",10,IF(AV96="Yes only for next 1 to 2 years",5,0))</f>
        <v/>
      </c>
      <c r="AX96" s="31" t="n"/>
      <c r="AY96" s="31">
        <f>IF(AX96="Above 40",20,IF(AX96="20 to 40",10,IF(AX96="0 to 20",-5,0)))</f>
        <v/>
      </c>
      <c r="AZ96" s="31" t="n"/>
      <c r="BA96" s="31">
        <f>IF(AZ96="Between 50 to 75",10,IF(AZ96="Above 75",0,0))</f>
        <v/>
      </c>
      <c r="BB96" s="31" t="n"/>
      <c r="BC96" s="31">
        <f>IF(BB96="Stage 2",20,IF(BB96="Stage 1",0,IF(BB96="Stage 3",5,IF(BB96="Stage 4",-5,0))))</f>
        <v/>
      </c>
      <c r="BD96" s="31" t="n"/>
      <c r="BE96" s="31">
        <f>IF(BD96="Positive Trend",20,IF(BD96="Negative Trend",-10,0))</f>
        <v/>
      </c>
      <c r="BF96" s="31" t="n"/>
      <c r="BG96" s="31">
        <f>IF(BF96="Uptrend",10,IF(BF96="Sideways",5,0))</f>
        <v/>
      </c>
      <c r="BH96" s="31" t="n"/>
      <c r="BI96" s="31">
        <f>IF(BH96="Uptrend",10,IF(BH96="Sideways",5,0))</f>
        <v/>
      </c>
      <c r="BJ96" s="31" t="n"/>
      <c r="BK96" s="31">
        <f>IF(BJ96="Overhead supply in last 2 years in last 2 years",-5,IF(BJ96="Close to 52 week high or retracement",5,IF(BJ96="Blue sky scenario",10,IF(BJ96="Long term Downtrend",-10,0))))</f>
        <v/>
      </c>
      <c r="BL96" s="31" t="n"/>
      <c r="BM96" s="31">
        <f>IF(BL96="Yes",10,0)</f>
        <v/>
      </c>
      <c r="BN96" s="31" t="n"/>
      <c r="BO96" s="31">
        <f>IF(BN96="More than 20%",10,IF(BN96="Between 12 to 20%",5,IF(BN96="Less than 12%",0,0)))</f>
        <v/>
      </c>
      <c r="BP96" s="31" t="n"/>
      <c r="BQ96" s="31">
        <f>IF(BP96="No",10,0)</f>
        <v/>
      </c>
      <c r="BR96" s="31" t="n"/>
      <c r="BS96" s="31">
        <f>IF(BR96="NO",5,0)</f>
        <v/>
      </c>
      <c r="BT96" s="31" t="n"/>
      <c r="BU96" s="31">
        <f>IF(BT96="Above 2",0,IF(BT96="Between 1.5 to 2",5,IF(BT96="Less than 1.5",10,0)))</f>
        <v/>
      </c>
      <c r="BV96" s="31" t="n"/>
      <c r="BW96" s="31">
        <f>IF(BV96="Above 70%",10,IF(BV96="Between 50% to 70%",5,IF(BV96="Less than 50%",0,IF(BV96="Negative",-10,IF(BV96="Less than 50% and Borrowings are increasing",-5,0)))))</f>
        <v/>
      </c>
      <c r="BX96" s="31" t="n"/>
      <c r="BY96" s="31">
        <f>IF(BX96="More than 1.2",-10,IF(BX96="Between 0.7 to 1.2",0,IF(BX96="Less than 0.7",10,0)))</f>
        <v/>
      </c>
      <c r="BZ96" s="31" t="n"/>
      <c r="CA96" s="31">
        <f>IF(BZ96="Yes",-10,0)</f>
        <v/>
      </c>
      <c r="CB96" s="31" t="n"/>
      <c r="CC96" s="31">
        <f>IF(CB96="More than 15%",-10,IF(CB96="Less than 15%",10,0))</f>
        <v/>
      </c>
      <c r="CD96" s="31" t="n"/>
      <c r="CE96" s="31">
        <f>IF(CD96="Yes, more than 10%",-10,IF(CD96="No",10,0))</f>
        <v/>
      </c>
      <c r="CF96" s="31" t="n"/>
      <c r="CG96" s="31">
        <f>IF(CF96&gt;20,10,IF(CF96&gt;=10,5,2))</f>
        <v/>
      </c>
    </row>
    <row r="97">
      <c r="A97" s="31">
        <f>IF(B97=0,"",RANK(B97,$B$2:$B$97,0))</f>
        <v/>
      </c>
      <c r="B97" s="32">
        <f>SUM(N97,Y97,AA97,AC97,AE97,AG97,AI97,AK97,AM97,AO97,AQ97,AS97,AU97,AW97,AY97,BA97,BC97,BE97,BG97,BI97,BK97,BM97,BO97,BQ97,BS97,BU97,BW97,BY97,CA97,CC97,CE97,CG97)</f>
        <v/>
      </c>
      <c r="C97" s="31" t="inlineStr">
        <is>
          <t>VMARCIND</t>
        </is>
      </c>
      <c r="D97" s="31" t="inlineStr">
        <is>
          <t>V-Marc India Ltd</t>
        </is>
      </c>
      <c r="E97" s="31" t="inlineStr">
        <is>
          <t>unknown</t>
        </is>
      </c>
      <c r="F97" s="31" t="inlineStr">
        <is>
          <t>Cables - Power</t>
        </is>
      </c>
      <c r="G97" s="31" t="inlineStr">
        <is>
          <t>midcap</t>
        </is>
      </c>
      <c r="H97" s="32" t="n">
        <v>5593.56</v>
      </c>
      <c r="I97" s="32" t="n">
        <v>381.75</v>
      </c>
      <c r="J97" s="32" t="n">
        <v>-2.13</v>
      </c>
      <c r="K97" s="32" t="n">
        <v>0</v>
      </c>
      <c r="L97" s="31" t="inlineStr"/>
      <c r="M97" s="31" t="inlineStr"/>
      <c r="N97" s="32">
        <f>IF(M97="Underperforming",-5,IF(L97&gt;=95,15,IF(L97&gt;=90,10,IF(L97&gt;=80,5,0))))</f>
        <v/>
      </c>
      <c r="O97" s="32" t="inlineStr"/>
      <c r="P97" s="32" t="inlineStr"/>
      <c r="Q97" s="32" t="inlineStr"/>
      <c r="R97" s="31" t="inlineStr"/>
      <c r="S97" s="31" t="inlineStr"/>
      <c r="T97" s="32" t="inlineStr"/>
      <c r="U97" s="32" t="inlineStr"/>
      <c r="V97" s="32" t="inlineStr"/>
      <c r="W97" s="32" t="inlineStr"/>
      <c r="X97" s="31" t="n"/>
      <c r="Y97" s="31">
        <f>IF(X97="Growing Industry",10,IF(X97="Cyclical in an Upturn",5,0))</f>
        <v/>
      </c>
      <c r="Z97" s="31" t="n"/>
      <c r="AA97" s="31">
        <f>IF(Z97="Monopoly",10,IF(Z97="Oligopoly",5,IF(Z97="Duopoly that cooperate",10,IF(Z97="Duopoly that compete",5,IF(Z97="Too many players with High ROCE",5,0)))))</f>
        <v/>
      </c>
      <c r="AB97" s="31" t="n"/>
      <c r="AC97" s="31">
        <f>IF(AB97="No",5,0)</f>
        <v/>
      </c>
      <c r="AD97" s="31" t="n"/>
      <c r="AE97" s="31">
        <f>IF(AD97="Tailwind",10,0)</f>
        <v/>
      </c>
      <c r="AF97" s="31" t="n"/>
      <c r="AG97" s="31">
        <f>IF(AF97="Structural (10 Years Consistency)",10,IF(AF97="Shallow Cyclical (2 to 3 years growth)",5,0))</f>
        <v/>
      </c>
      <c r="AH97" s="31" t="n"/>
      <c r="AI97" s="31">
        <f>IF(AH97="Yes due to Product Mix change or Operating Leverage",10,IF(AH97="Yes, these are peak margins",-5,IF(AH97="No",5,0)))</f>
        <v/>
      </c>
      <c r="AJ97" s="31" t="n"/>
      <c r="AK97" s="31">
        <f>IF(AJ97="Stable",10,0)</f>
        <v/>
      </c>
      <c r="AL97" s="31" t="n"/>
      <c r="AM97" s="31">
        <f>IF(AL97="Yes",10,0)</f>
        <v/>
      </c>
      <c r="AN97" s="31" t="n"/>
      <c r="AO97" s="31">
        <f>IF(AN97="B2C",10,IF(AN97="B2B",5,0))</f>
        <v/>
      </c>
      <c r="AP97" s="31" t="n"/>
      <c r="AQ97" s="31">
        <f>IF(AP97="Yes",10,0)</f>
        <v/>
      </c>
      <c r="AR97" s="31" t="n"/>
      <c r="AS97" s="31">
        <f>IF(AR97="Fully Annuity",10,IF(AR97="Higher Annuity, Lower One Time",5,IF(AR97="Higher One Time, Lower Annuity",3,0)))</f>
        <v/>
      </c>
      <c r="AT97" s="31" t="n"/>
      <c r="AU97" s="31">
        <f>IF(AT97="Good",10,0)</f>
        <v/>
      </c>
      <c r="AV97" s="31" t="n"/>
      <c r="AW97" s="31">
        <f>IF(AV97="Yes for more than 2 years",10,IF(AV97="Yes only for next 1 to 2 years",5,0))</f>
        <v/>
      </c>
      <c r="AX97" s="31" t="n"/>
      <c r="AY97" s="31">
        <f>IF(AX97="Above 40",20,IF(AX97="20 to 40",10,IF(AX97="0 to 20",-5,0)))</f>
        <v/>
      </c>
      <c r="AZ97" s="31" t="n"/>
      <c r="BA97" s="31">
        <f>IF(AZ97="Between 50 to 75",10,IF(AZ97="Above 75",0,0))</f>
        <v/>
      </c>
      <c r="BB97" s="31" t="n"/>
      <c r="BC97" s="31">
        <f>IF(BB97="Stage 2",20,IF(BB97="Stage 1",0,IF(BB97="Stage 3",5,IF(BB97="Stage 4",-5,0))))</f>
        <v/>
      </c>
      <c r="BD97" s="31" t="n"/>
      <c r="BE97" s="31">
        <f>IF(BD97="Positive Trend",20,IF(BD97="Negative Trend",-10,0))</f>
        <v/>
      </c>
      <c r="BF97" s="31" t="n"/>
      <c r="BG97" s="31">
        <f>IF(BF97="Uptrend",10,IF(BF97="Sideways",5,0))</f>
        <v/>
      </c>
      <c r="BH97" s="31" t="n"/>
      <c r="BI97" s="31">
        <f>IF(BH97="Uptrend",10,IF(BH97="Sideways",5,0))</f>
        <v/>
      </c>
      <c r="BJ97" s="31" t="n"/>
      <c r="BK97" s="31">
        <f>IF(BJ97="Overhead supply in last 2 years in last 2 years",-5,IF(BJ97="Close to 52 week high or retracement",5,IF(BJ97="Blue sky scenario",10,IF(BJ97="Long term Downtrend",-10,0))))</f>
        <v/>
      </c>
      <c r="BL97" s="31" t="n"/>
      <c r="BM97" s="31">
        <f>IF(BL97="Yes",10,0)</f>
        <v/>
      </c>
      <c r="BN97" s="31" t="n"/>
      <c r="BO97" s="31">
        <f>IF(BN97="More than 20%",10,IF(BN97="Between 12 to 20%",5,IF(BN97="Less than 12%",0,0)))</f>
        <v/>
      </c>
      <c r="BP97" s="31" t="n"/>
      <c r="BQ97" s="31">
        <f>IF(BP97="No",10,0)</f>
        <v/>
      </c>
      <c r="BR97" s="31" t="n"/>
      <c r="BS97" s="31">
        <f>IF(BR97="NO",5,0)</f>
        <v/>
      </c>
      <c r="BT97" s="31" t="n"/>
      <c r="BU97" s="31">
        <f>IF(BT97="Above 2",0,IF(BT97="Between 1.5 to 2",5,IF(BT97="Less than 1.5",10,0)))</f>
        <v/>
      </c>
      <c r="BV97" s="31" t="n"/>
      <c r="BW97" s="31">
        <f>IF(BV97="Above 70%",10,IF(BV97="Between 50% to 70%",5,IF(BV97="Less than 50%",0,IF(BV97="Negative",-10,IF(BV97="Less than 50% and Borrowings are increasing",-5,0)))))</f>
        <v/>
      </c>
      <c r="BX97" s="31" t="n"/>
      <c r="BY97" s="31">
        <f>IF(BX97="More than 1.2",-10,IF(BX97="Between 0.7 to 1.2",0,IF(BX97="Less than 0.7",10,0)))</f>
        <v/>
      </c>
      <c r="BZ97" s="31" t="n"/>
      <c r="CA97" s="31">
        <f>IF(BZ97="Yes",-10,0)</f>
        <v/>
      </c>
      <c r="CB97" s="31" t="n"/>
      <c r="CC97" s="31">
        <f>IF(CB97="More than 15%",-10,IF(CB97="Less than 15%",10,0))</f>
        <v/>
      </c>
      <c r="CD97" s="31" t="n"/>
      <c r="CE97" s="31">
        <f>IF(CD97="Yes, more than 10%",-10,IF(CD97="No",10,0))</f>
        <v/>
      </c>
      <c r="CF97" s="31" t="n"/>
      <c r="CG97" s="31">
        <f>IF(CF97&gt;20,10,IF(CF97&gt;=10,5,2))</f>
        <v/>
      </c>
    </row>
    <row r="101">
      <c r="A101" s="25" t="inlineStr">
        <is>
          <t>❌ REMOVED SCAN MATCH STOCKS (THIS WEEK)</t>
        </is>
      </c>
    </row>
    <row r="102">
      <c r="A102" s="35" t="inlineStr">
        <is>
          <t>Symbol</t>
        </is>
      </c>
      <c r="B102" s="35" t="inlineStr">
        <is>
          <t>Company Name</t>
        </is>
      </c>
      <c r="C102" s="35" t="inlineStr">
        <is>
          <t>Sector</t>
        </is>
      </c>
      <c r="D102" s="35" t="inlineStr">
        <is>
          <t>Date of Removal</t>
        </is>
      </c>
    </row>
    <row r="103">
      <c r="A103" s="36" t="inlineStr">
        <is>
          <t>AARTIPHARM</t>
        </is>
      </c>
      <c r="B103" s="37" t="inlineStr">
        <is>
          <t>Aarti Pharmalabs Limited</t>
        </is>
      </c>
      <c r="C103" s="37" t="inlineStr">
        <is>
          <t>Healthcare</t>
        </is>
      </c>
      <c r="D103" s="38" t="inlineStr">
        <is>
          <t>2026-08-25</t>
        </is>
      </c>
    </row>
    <row r="104">
      <c r="A104" s="36" t="inlineStr">
        <is>
          <t>ADOR</t>
        </is>
      </c>
      <c r="B104" s="37" t="inlineStr">
        <is>
          <t>ADOR</t>
        </is>
      </c>
      <c r="C104" s="37" t="inlineStr">
        <is>
          <t>unknown</t>
        </is>
      </c>
      <c r="D104" s="38" t="inlineStr">
        <is>
          <t>2026-08-25</t>
        </is>
      </c>
    </row>
    <row r="105">
      <c r="A105" s="36" t="inlineStr">
        <is>
          <t>APARINDS</t>
        </is>
      </c>
      <c r="B105" s="37" t="inlineStr">
        <is>
          <t>APAR Industries Limited</t>
        </is>
      </c>
      <c r="C105" s="37" t="inlineStr">
        <is>
          <t>Industrials</t>
        </is>
      </c>
      <c r="D105" s="38" t="inlineStr">
        <is>
          <t>2026-08-26</t>
        </is>
      </c>
    </row>
    <row r="106">
      <c r="A106" s="36" t="inlineStr">
        <is>
          <t>ARVSMART</t>
        </is>
      </c>
      <c r="B106" s="37" t="inlineStr">
        <is>
          <t>Arvind SmartSpaces Limited</t>
        </is>
      </c>
      <c r="C106" s="37" t="inlineStr">
        <is>
          <t>Real Estate</t>
        </is>
      </c>
      <c r="D106" s="38" t="inlineStr">
        <is>
          <t>2026-08-26</t>
        </is>
      </c>
    </row>
    <row r="107">
      <c r="A107" s="36" t="inlineStr">
        <is>
          <t>AXISOL</t>
        </is>
      </c>
      <c r="B107" s="37" t="inlineStr">
        <is>
          <t>AXISOL</t>
        </is>
      </c>
      <c r="C107" s="37" t="inlineStr">
        <is>
          <t>unknown</t>
        </is>
      </c>
      <c r="D107" s="38" t="inlineStr">
        <is>
          <t>2026-08-26</t>
        </is>
      </c>
    </row>
    <row r="108">
      <c r="A108" s="36" t="inlineStr">
        <is>
          <t>BIL</t>
        </is>
      </c>
      <c r="B108" s="37" t="inlineStr">
        <is>
          <t>Bhartiya International Ltd.</t>
        </is>
      </c>
      <c r="C108" s="37" t="inlineStr">
        <is>
          <t>Consumer Cyclical</t>
        </is>
      </c>
      <c r="D108" s="38" t="inlineStr">
        <is>
          <t>2026-08-26</t>
        </is>
      </c>
    </row>
    <row r="109">
      <c r="A109" s="36" t="inlineStr">
        <is>
          <t>COFORGE</t>
        </is>
      </c>
      <c r="B109" s="37" t="inlineStr">
        <is>
          <t>Coforge Limited</t>
        </is>
      </c>
      <c r="C109" s="37" t="inlineStr">
        <is>
          <t>Technology</t>
        </is>
      </c>
      <c r="D109" s="38" t="inlineStr">
        <is>
          <t>2026-08-26</t>
        </is>
      </c>
    </row>
    <row r="110">
      <c r="A110" s="36" t="inlineStr">
        <is>
          <t>DIVGIITTS</t>
        </is>
      </c>
      <c r="B110" s="37" t="inlineStr">
        <is>
          <t>Divgi TorqTransfer Systems Limited</t>
        </is>
      </c>
      <c r="C110" s="37" t="inlineStr">
        <is>
          <t>Consumer Cyclical</t>
        </is>
      </c>
      <c r="D110" s="38" t="inlineStr">
        <is>
          <t>2026-08-26</t>
        </is>
      </c>
    </row>
    <row r="111">
      <c r="A111" s="36" t="inlineStr">
        <is>
          <t>FINCABLES</t>
        </is>
      </c>
      <c r="B111" s="37" t="inlineStr">
        <is>
          <t>Finolex Cables Limited</t>
        </is>
      </c>
      <c r="C111" s="37" t="inlineStr">
        <is>
          <t>Industrials</t>
        </is>
      </c>
      <c r="D111" s="38" t="inlineStr">
        <is>
          <t>2026-08-26</t>
        </is>
      </c>
    </row>
    <row r="112">
      <c r="A112" s="36" t="inlineStr">
        <is>
          <t>GAEL</t>
        </is>
      </c>
      <c r="B112" s="37" t="inlineStr">
        <is>
          <t>GAEL</t>
        </is>
      </c>
      <c r="C112" s="37" t="inlineStr">
        <is>
          <t>unknown</t>
        </is>
      </c>
      <c r="D112" s="38" t="inlineStr">
        <is>
          <t>2026-08-26</t>
        </is>
      </c>
    </row>
    <row r="113">
      <c r="A113" s="36" t="inlineStr">
        <is>
          <t>GAYAPROJ</t>
        </is>
      </c>
      <c r="B113" s="37" t="inlineStr">
        <is>
          <t>Gayatri Projects Limited</t>
        </is>
      </c>
      <c r="C113" s="37" t="inlineStr">
        <is>
          <t>Industrials</t>
        </is>
      </c>
      <c r="D113" s="38" t="inlineStr">
        <is>
          <t>2026-08-26</t>
        </is>
      </c>
    </row>
    <row r="114">
      <c r="A114" s="36" t="inlineStr">
        <is>
          <t>GNFC</t>
        </is>
      </c>
      <c r="B114" s="37" t="inlineStr">
        <is>
          <t>Gujarat Narmada Valley Fertilizers &amp; Chemicals Limited</t>
        </is>
      </c>
      <c r="C114" s="37" t="inlineStr">
        <is>
          <t>Basic Materials</t>
        </is>
      </c>
      <c r="D114" s="38" t="inlineStr">
        <is>
          <t>2026-08-26</t>
        </is>
      </c>
    </row>
    <row r="115">
      <c r="A115" s="36" t="inlineStr">
        <is>
          <t>GOLDIAM</t>
        </is>
      </c>
      <c r="B115" s="37" t="inlineStr">
        <is>
          <t>GOLDIAM</t>
        </is>
      </c>
      <c r="C115" s="37" t="inlineStr">
        <is>
          <t>unknown</t>
        </is>
      </c>
      <c r="D115" s="38" t="inlineStr">
        <is>
          <t>2026-08-26</t>
        </is>
      </c>
    </row>
    <row r="116">
      <c r="A116" s="36" t="inlineStr">
        <is>
          <t>HNDFDS</t>
        </is>
      </c>
      <c r="B116" s="37" t="inlineStr">
        <is>
          <t>Hindustan Foods Limited</t>
        </is>
      </c>
      <c r="C116" s="37" t="inlineStr">
        <is>
          <t>Industrials</t>
        </is>
      </c>
      <c r="D116" s="38" t="inlineStr">
        <is>
          <t>2026-08-25</t>
        </is>
      </c>
    </row>
    <row r="117">
      <c r="A117" s="36" t="inlineStr">
        <is>
          <t>INNOVACAP</t>
        </is>
      </c>
      <c r="B117" s="37" t="inlineStr">
        <is>
          <t>INNOVACAP</t>
        </is>
      </c>
      <c r="C117" s="37" t="inlineStr">
        <is>
          <t>unknown</t>
        </is>
      </c>
      <c r="D117" s="38" t="inlineStr">
        <is>
          <t>2026-08-25</t>
        </is>
      </c>
    </row>
    <row r="118">
      <c r="A118" s="36" t="inlineStr">
        <is>
          <t>INOVSYNTH</t>
        </is>
      </c>
      <c r="B118" s="37" t="inlineStr">
        <is>
          <t>INOVSYNTH</t>
        </is>
      </c>
      <c r="C118" s="37" t="inlineStr">
        <is>
          <t>unknown</t>
        </is>
      </c>
      <c r="D118" s="38" t="inlineStr">
        <is>
          <t>2026-08-25</t>
        </is>
      </c>
    </row>
    <row r="119">
      <c r="A119" s="36" t="inlineStr">
        <is>
          <t>JGCHEM</t>
        </is>
      </c>
      <c r="B119" s="37" t="inlineStr">
        <is>
          <t>J.G. Chemicals Limited</t>
        </is>
      </c>
      <c r="C119" s="37" t="inlineStr">
        <is>
          <t>Basic Materials</t>
        </is>
      </c>
      <c r="D119" s="38" t="inlineStr">
        <is>
          <t>2026-08-25</t>
        </is>
      </c>
    </row>
    <row r="120">
      <c r="A120" s="36" t="inlineStr">
        <is>
          <t>LUMAXTECH</t>
        </is>
      </c>
      <c r="B120" s="37" t="inlineStr">
        <is>
          <t>Lumax Auto Technologies Limited</t>
        </is>
      </c>
      <c r="C120" s="37" t="inlineStr">
        <is>
          <t>Consumer Cyclical</t>
        </is>
      </c>
      <c r="D120" s="38" t="inlineStr">
        <is>
          <t>2026-08-25</t>
        </is>
      </c>
    </row>
    <row r="121">
      <c r="A121" s="36" t="inlineStr">
        <is>
          <t>MAXESTATES</t>
        </is>
      </c>
      <c r="B121" s="37" t="inlineStr">
        <is>
          <t>Max Estates Limited</t>
        </is>
      </c>
      <c r="C121" s="37" t="inlineStr">
        <is>
          <t>Real Estate</t>
        </is>
      </c>
      <c r="D121" s="38" t="inlineStr">
        <is>
          <t>2026-08-26</t>
        </is>
      </c>
    </row>
    <row r="122">
      <c r="A122" s="36" t="inlineStr">
        <is>
          <t>NITINSPIN</t>
        </is>
      </c>
      <c r="B122" s="37" t="inlineStr">
        <is>
          <t>Nitin Spinners Limited</t>
        </is>
      </c>
      <c r="C122" s="37" t="inlineStr">
        <is>
          <t>Consumer Cyclical</t>
        </is>
      </c>
      <c r="D122" s="38" t="inlineStr">
        <is>
          <t>2026-08-26</t>
        </is>
      </c>
    </row>
    <row r="123">
      <c r="A123" s="36" t="inlineStr">
        <is>
          <t>PAYTM</t>
        </is>
      </c>
      <c r="B123" s="37" t="inlineStr">
        <is>
          <t>One97 Communications Limited</t>
        </is>
      </c>
      <c r="C123" s="37" t="inlineStr">
        <is>
          <t>Technology</t>
        </is>
      </c>
      <c r="D123" s="38" t="inlineStr">
        <is>
          <t>2026-08-26</t>
        </is>
      </c>
    </row>
    <row r="124">
      <c r="A124" s="36" t="inlineStr">
        <is>
          <t>PGIL</t>
        </is>
      </c>
      <c r="B124" s="37" t="inlineStr">
        <is>
          <t>PGIL</t>
        </is>
      </c>
      <c r="C124" s="37" t="inlineStr">
        <is>
          <t>unknown</t>
        </is>
      </c>
      <c r="D124" s="38" t="inlineStr">
        <is>
          <t>2026-08-26</t>
        </is>
      </c>
    </row>
    <row r="125">
      <c r="A125" s="36" t="inlineStr">
        <is>
          <t>PITTIENG</t>
        </is>
      </c>
      <c r="B125" s="37" t="inlineStr">
        <is>
          <t>Pitti Engineering Limited</t>
        </is>
      </c>
      <c r="C125" s="37" t="inlineStr">
        <is>
          <t>Industrials</t>
        </is>
      </c>
      <c r="D125" s="38" t="inlineStr">
        <is>
          <t>2026-08-25</t>
        </is>
      </c>
    </row>
    <row r="126">
      <c r="A126" s="36" t="inlineStr">
        <is>
          <t>RATEGAIN</t>
        </is>
      </c>
      <c r="B126" s="37" t="inlineStr">
        <is>
          <t>RATEGAIN</t>
        </is>
      </c>
      <c r="C126" s="37" t="inlineStr">
        <is>
          <t>unknown</t>
        </is>
      </c>
      <c r="D126" s="38" t="inlineStr">
        <is>
          <t>2026-08-26</t>
        </is>
      </c>
    </row>
    <row r="127">
      <c r="A127" s="36" t="inlineStr">
        <is>
          <t>RPTECH</t>
        </is>
      </c>
      <c r="B127" s="37" t="inlineStr">
        <is>
          <t>RPTECH</t>
        </is>
      </c>
      <c r="C127" s="37" t="inlineStr">
        <is>
          <t>unknown</t>
        </is>
      </c>
      <c r="D127" s="38" t="inlineStr">
        <is>
          <t>2026-08-25</t>
        </is>
      </c>
    </row>
    <row r="128">
      <c r="A128" s="36" t="inlineStr">
        <is>
          <t>RRKABEL</t>
        </is>
      </c>
      <c r="B128" s="37" t="inlineStr">
        <is>
          <t>R R Kabel Limited</t>
        </is>
      </c>
      <c r="C128" s="37" t="inlineStr">
        <is>
          <t>Industrials</t>
        </is>
      </c>
      <c r="D128" s="38" t="inlineStr">
        <is>
          <t>2026-08-25</t>
        </is>
      </c>
    </row>
    <row r="129">
      <c r="A129" s="36" t="inlineStr">
        <is>
          <t>SAPL</t>
        </is>
      </c>
      <c r="B129" s="37" t="inlineStr">
        <is>
          <t>SAPL</t>
        </is>
      </c>
      <c r="C129" s="37" t="inlineStr">
        <is>
          <t>unknown</t>
        </is>
      </c>
      <c r="D129" s="38" t="inlineStr">
        <is>
          <t>2026-08-25</t>
        </is>
      </c>
    </row>
    <row r="130">
      <c r="A130" s="36" t="inlineStr">
        <is>
          <t>SHANTIGEAR</t>
        </is>
      </c>
      <c r="B130" s="37" t="inlineStr">
        <is>
          <t>Shanthi Gears Limited</t>
        </is>
      </c>
      <c r="C130" s="37" t="inlineStr">
        <is>
          <t>Industrials</t>
        </is>
      </c>
      <c r="D130" s="38" t="inlineStr">
        <is>
          <t>2026-08-26</t>
        </is>
      </c>
    </row>
    <row r="131">
      <c r="A131" s="36" t="inlineStr">
        <is>
          <t>SHANTIGOLD</t>
        </is>
      </c>
      <c r="B131" s="37" t="inlineStr">
        <is>
          <t>Shanti Gold International Limited</t>
        </is>
      </c>
      <c r="C131" s="37" t="inlineStr">
        <is>
          <t>Consumer Cyclical</t>
        </is>
      </c>
      <c r="D131" s="38" t="inlineStr">
        <is>
          <t>2026-08-25</t>
        </is>
      </c>
    </row>
    <row r="132">
      <c r="A132" s="36" t="inlineStr">
        <is>
          <t>SMARTWORKS</t>
        </is>
      </c>
      <c r="B132" s="37" t="inlineStr">
        <is>
          <t>Smartworks Coworking Spaces Limited</t>
        </is>
      </c>
      <c r="C132" s="37" t="inlineStr">
        <is>
          <t>Real Estate</t>
        </is>
      </c>
      <c r="D132" s="38" t="inlineStr">
        <is>
          <t>2026-08-26</t>
        </is>
      </c>
    </row>
    <row r="133">
      <c r="A133" s="36" t="inlineStr">
        <is>
          <t>TCPLPACK</t>
        </is>
      </c>
      <c r="B133" s="37" t="inlineStr">
        <is>
          <t>TCPL Packaging Limited</t>
        </is>
      </c>
      <c r="C133" s="37" t="inlineStr">
        <is>
          <t>Consumer Cyclical</t>
        </is>
      </c>
      <c r="D133" s="38" t="inlineStr">
        <is>
          <t>2026-08-25</t>
        </is>
      </c>
    </row>
    <row r="134">
      <c r="A134" s="36" t="inlineStr">
        <is>
          <t>UJJIVANSFB</t>
        </is>
      </c>
      <c r="B134" s="37" t="inlineStr">
        <is>
          <t>UJJIVANSFB</t>
        </is>
      </c>
      <c r="C134" s="37" t="inlineStr">
        <is>
          <t>unknown</t>
        </is>
      </c>
      <c r="D134" s="38" t="inlineStr">
        <is>
          <t>2026-08-25</t>
        </is>
      </c>
    </row>
    <row r="135">
      <c r="A135" s="36" t="inlineStr">
        <is>
          <t>VMARCIND</t>
        </is>
      </c>
      <c r="B135" s="37" t="inlineStr">
        <is>
          <t>VMARCIND</t>
        </is>
      </c>
      <c r="C135" s="37" t="inlineStr">
        <is>
          <t>unknown</t>
        </is>
      </c>
      <c r="D135" s="38" t="inlineStr">
        <is>
          <t>2026-08-26</t>
        </is>
      </c>
    </row>
    <row r="136">
      <c r="A136" s="36" t="inlineStr">
        <is>
          <t>WELCORP</t>
        </is>
      </c>
      <c r="B136" s="37" t="inlineStr">
        <is>
          <t>Welspun Corp Limited</t>
        </is>
      </c>
      <c r="C136" s="37" t="inlineStr">
        <is>
          <t>Basic Materials</t>
        </is>
      </c>
      <c r="D136" s="38" t="inlineStr">
        <is>
          <t>2026-08-26</t>
        </is>
      </c>
    </row>
  </sheetData>
  <autoFilter ref="A1:CG97"/>
  <conditionalFormatting sqref="B2:B9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7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7">
    <cfRule type="cellIs" priority="37" operator="equal" dxfId="3" stopIfTrue="1">
      <formula>"Underperforming"</formula>
    </cfRule>
  </conditionalFormatting>
  <conditionalFormatting sqref="N2:N97">
    <cfRule type="cellIs" priority="38" operator="equal" dxfId="3" stopIfTrue="1">
      <formula>-5</formula>
    </cfRule>
  </conditionalFormatting>
  <conditionalFormatting sqref="Q2:Q97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7" showDropDown="0" showInputMessage="0" showErrorMessage="0" allowBlank="1" type="list">
      <formula1>"Growing Industry,Stagnant Industry,Cyclical in an Upturn"</formula1>
    </dataValidation>
    <dataValidation sqref="Z2:Z97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7" showDropDown="0" showInputMessage="0" showErrorMessage="0" allowBlank="1" type="list">
      <formula1>"Yes,No"</formula1>
    </dataValidation>
    <dataValidation sqref="AD2:AD97" showDropDown="0" showInputMessage="0" showErrorMessage="0" allowBlank="1" type="list">
      <formula1>"Tailwind,Headwind"</formula1>
    </dataValidation>
    <dataValidation sqref="AF2:AF97" showDropDown="0" showInputMessage="0" showErrorMessage="0" allowBlank="1" type="list">
      <formula1>"Structural (10 Years Consistency),Shallow Cyclical (2 to 3 Years Growth),Cyclical"</formula1>
    </dataValidation>
    <dataValidation sqref="AH2:AH97" showDropDown="0" showInputMessage="0" showErrorMessage="0" allowBlank="1" type="list">
      <formula1>"Yes due to Product Mix change or Operating Leverage,Yes, these are peak margins,No"</formula1>
    </dataValidation>
    <dataValidation sqref="AJ2:AJ97" showDropDown="0" showInputMessage="0" showErrorMessage="0" allowBlank="1" type="list">
      <formula1>"Stable,Volatile"</formula1>
    </dataValidation>
    <dataValidation sqref="AL2:AL97" showDropDown="0" showInputMessage="0" showErrorMessage="0" allowBlank="1" type="list">
      <formula1>"Yes,No"</formula1>
    </dataValidation>
    <dataValidation sqref="AN2:AN97" showDropDown="0" showInputMessage="0" showErrorMessage="0" allowBlank="1" type="list">
      <formula1>"B2C,B2B,B2G"</formula1>
    </dataValidation>
    <dataValidation sqref="AP2:AP97" showDropDown="0" showInputMessage="0" showErrorMessage="0" allowBlank="1" type="list">
      <formula1>"Yes,No"</formula1>
    </dataValidation>
    <dataValidation sqref="AR2:AR97" showDropDown="0" showInputMessage="0" showErrorMessage="0" allowBlank="1" type="list">
      <formula1>"Fully Annuity,Higher Annuity, Lower One time,Higher One Time, Lower Annuity,Fully One Time"</formula1>
    </dataValidation>
    <dataValidation sqref="AT2:AT97" showDropDown="0" showInputMessage="0" showErrorMessage="0" allowBlank="1" type="list">
      <formula1>"Good,Allocated capital in Non-core Areas"</formula1>
    </dataValidation>
    <dataValidation sqref="AV2:AV97" showDropDown="0" showInputMessage="0" showErrorMessage="0" allowBlank="1" type="list">
      <formula1>"Yes for more than 2 years,Yes only for next 1 to 2 years,No"</formula1>
    </dataValidation>
    <dataValidation sqref="AX2:AX97" showDropDown="0" showInputMessage="0" showErrorMessage="0" allowBlank="1" type="list">
      <formula1>"Above 40,20 to 40,0 to 20"</formula1>
    </dataValidation>
    <dataValidation sqref="AZ2:AZ97" showDropDown="0" showInputMessage="0" showErrorMessage="0" allowBlank="1" type="list">
      <formula1>"Between 50 to 75,Above 75,Below 45"</formula1>
    </dataValidation>
    <dataValidation sqref="BB2:BB97" showDropDown="0" showInputMessage="0" showErrorMessage="0" allowBlank="1" type="list">
      <formula1>"Stage 1,Stage 2,Stage 3,Stage 4"</formula1>
    </dataValidation>
    <dataValidation sqref="BD2:BD97" showDropDown="0" showInputMessage="0" showErrorMessage="0" allowBlank="1" type="list">
      <formula1>"Positive Trend,Negative Trend"</formula1>
    </dataValidation>
    <dataValidation sqref="BF2:BF97" showDropDown="0" showInputMessage="0" showErrorMessage="0" allowBlank="1" type="list">
      <formula1>"Uptrend,Sideways,Downtrend"</formula1>
    </dataValidation>
    <dataValidation sqref="BH2:BH97" showDropDown="0" showInputMessage="0" showErrorMessage="0" allowBlank="1" type="list">
      <formula1>"Uptrend,Sideways,Downtrend"</formula1>
    </dataValidation>
    <dataValidation sqref="BJ2:BJ9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7" showDropDown="0" showInputMessage="0" showErrorMessage="0" allowBlank="1" type="list">
      <formula1>"Yes,No"</formula1>
    </dataValidation>
    <dataValidation sqref="BN2:BN97" showDropDown="0" showInputMessage="0" showErrorMessage="0" allowBlank="1" type="list">
      <formula1>"More than 20%,Between 12 to 20%,Less than 12%"</formula1>
    </dataValidation>
    <dataValidation sqref="BP2:BP97" showDropDown="0" showInputMessage="0" showErrorMessage="0" allowBlank="1" type="list">
      <formula1>"Yes,No"</formula1>
    </dataValidation>
    <dataValidation sqref="BR2:BR97" showDropDown="0" showInputMessage="0" showErrorMessage="0" allowBlank="1" type="list">
      <formula1>"Yes,No"</formula1>
    </dataValidation>
    <dataValidation sqref="BT2:BT97" showDropDown="0" showInputMessage="0" showErrorMessage="0" allowBlank="1" type="list">
      <formula1>"Above 2,Between 1.5 to 2,Less than 1.5"</formula1>
    </dataValidation>
    <dataValidation sqref="BV2:BV97" showDropDown="0" showInputMessage="0" showErrorMessage="0" allowBlank="1" type="list">
      <formula1>"Above 70%,Between 50% to 70%,Less than 50%,Less than 50% and Borrowings are increasing,Negative"</formula1>
    </dataValidation>
    <dataValidation sqref="BX2:BX97" showDropDown="0" showInputMessage="0" showErrorMessage="0" allowBlank="1" type="list">
      <formula1>"More than 1.2,Between 0.7 to 1.2,Less than 0.7"</formula1>
    </dataValidation>
    <dataValidation sqref="BZ2:BZ97" showDropDown="0" showInputMessage="0" showErrorMessage="0" allowBlank="1" type="list">
      <formula1>"Yes,No"</formula1>
    </dataValidation>
    <dataValidation sqref="CB2:CB97" showDropDown="0" showInputMessage="0" showErrorMessage="0" allowBlank="1" type="list">
      <formula1>"More than 15%,Less than 15%"</formula1>
    </dataValidation>
    <dataValidation sqref="CD2:CD97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IF(B2=0,"",RANK(B2,$B$2:$B$5,0))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TFCILTD</t>
        </is>
      </c>
      <c r="D2" s="31" t="inlineStr">
        <is>
          <t>Tourism Finance Corporation of India Ltd</t>
        </is>
      </c>
      <c r="E2" s="31" t="inlineStr">
        <is>
          <t>financials</t>
        </is>
      </c>
      <c r="F2" s="31" t="inlineStr">
        <is>
          <t>Finance - PSU Lending</t>
        </is>
      </c>
      <c r="G2" s="31" t="inlineStr">
        <is>
          <t>midcap</t>
        </is>
      </c>
      <c r="H2" s="32" t="n">
        <v>6580.3</v>
      </c>
      <c r="I2" s="32" t="n">
        <v>142.13</v>
      </c>
      <c r="J2" s="32" t="n">
        <v>3.73</v>
      </c>
      <c r="K2" s="32" t="n">
        <v>0</v>
      </c>
      <c r="L2" s="31" t="n">
        <v>96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85.59999999999999</v>
      </c>
      <c r="P2" s="32" t="n">
        <v>58.44</v>
      </c>
      <c r="Q2" s="32" t="n">
        <v>112.49</v>
      </c>
      <c r="R2" s="31" t="inlineStr">
        <is>
          <t>Near 52W High Breakout</t>
        </is>
      </c>
      <c r="S2" s="31" t="inlineStr">
        <is>
          <t>Nifty Bank</t>
        </is>
      </c>
      <c r="T2" s="32" t="n">
        <v>7.69</v>
      </c>
      <c r="U2" s="32" t="n">
        <v>135.39</v>
      </c>
      <c r="V2" s="32" t="n">
        <v>118.57</v>
      </c>
      <c r="W2" s="32" t="n">
        <v>41.89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between 2.5x to 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Above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26</t>
        </is>
      </c>
      <c r="CC2" s="31">
        <f>IF(CB2&gt;20,10,IF(CB2&gt;=10,5,2))</f>
        <v/>
      </c>
    </row>
    <row r="3">
      <c r="A3" s="31">
        <f>IF(B3=0,"",RANK(B3,$B$2:$B$5,0))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IIFL</t>
        </is>
      </c>
      <c r="D3" s="31" t="inlineStr">
        <is>
          <t>IIFL Finance Ltd</t>
        </is>
      </c>
      <c r="E3" s="31" t="inlineStr">
        <is>
          <t>financials</t>
        </is>
      </c>
      <c r="F3" s="31" t="inlineStr">
        <is>
          <t>Finance &amp; Investments - Gold Loan</t>
        </is>
      </c>
      <c r="G3" s="31" t="inlineStr">
        <is>
          <t>largecap</t>
        </is>
      </c>
      <c r="H3" s="32" t="n">
        <v>27860.33</v>
      </c>
      <c r="I3" s="32" t="n">
        <v>654.95</v>
      </c>
      <c r="J3" s="32" t="n">
        <v>-1.7</v>
      </c>
      <c r="K3" s="32" t="n">
        <v>0</v>
      </c>
      <c r="L3" s="31" t="n">
        <v>70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69.43000000000001</v>
      </c>
      <c r="P3" s="32" t="n">
        <v>25.29</v>
      </c>
      <c r="Q3" s="32" t="n">
        <v>545.55</v>
      </c>
      <c r="R3" s="31" t="inlineStr">
        <is>
          <t>Near 52W High Breakout</t>
        </is>
      </c>
      <c r="S3" s="31" t="inlineStr">
        <is>
          <t>Nifty Bank</t>
        </is>
      </c>
      <c r="T3" s="32" t="n">
        <v>7.69</v>
      </c>
      <c r="U3" s="32" t="n">
        <v>54.09</v>
      </c>
      <c r="V3" s="32" t="n">
        <v>43.08</v>
      </c>
      <c r="W3" s="32" t="n">
        <v>19.2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22</t>
        </is>
      </c>
      <c r="CC3" s="31">
        <f>IF(CB3&gt;20,10,IF(CB3&gt;=10,5,2))</f>
        <v/>
      </c>
    </row>
    <row r="4">
      <c r="A4" s="31">
        <f>IF(B4=0,"",RANK(B4,$B$2:$B$5,0))</f>
        <v/>
      </c>
      <c r="B4" s="32">
        <f>SUM(N4,Y4,AA4,AC4,AE4,AG4,AI4,AK4,AM4,AO4,AQ4,AS4,AU4,AW4,AY4,BA4,BC4,BE4,BG4,BI4,BK4,BM4,BO4,BQ4,BS4,BU4,BW4,BY4,CA4,CC4)</f>
        <v/>
      </c>
      <c r="C4" s="34" t="inlineStr">
        <is>
          <t>CGCL</t>
        </is>
      </c>
      <c r="D4" s="34" t="inlineStr">
        <is>
          <t>Capri Global Capital Ltd</t>
        </is>
      </c>
      <c r="E4" s="31" t="inlineStr">
        <is>
          <t>financials</t>
        </is>
      </c>
      <c r="F4" s="31" t="inlineStr">
        <is>
          <t>Finance &amp; Investments - Gold Loan</t>
        </is>
      </c>
      <c r="G4" s="31" t="inlineStr">
        <is>
          <t>largecap</t>
        </is>
      </c>
      <c r="H4" s="32" t="n">
        <v>24554.17</v>
      </c>
      <c r="I4" s="32" t="n">
        <v>255.2</v>
      </c>
      <c r="J4" s="32" t="n">
        <v>6.48</v>
      </c>
      <c r="K4" s="32" t="n">
        <v>0</v>
      </c>
      <c r="L4" s="31" t="n">
        <v>54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68.84</v>
      </c>
      <c r="P4" s="32" t="n">
        <v>38.11</v>
      </c>
      <c r="Q4" s="32" t="n">
        <v>202.17</v>
      </c>
      <c r="R4" s="31" t="inlineStr">
        <is>
          <t>Volume Spike &amp; Near 52W High Breakout</t>
        </is>
      </c>
      <c r="S4" s="31" t="inlineStr">
        <is>
          <t>Nifty Bank</t>
        </is>
      </c>
      <c r="T4" s="32" t="n">
        <v>7.69</v>
      </c>
      <c r="U4" s="32" t="n">
        <v>38.45</v>
      </c>
      <c r="V4" s="32" t="n">
        <v>28.56</v>
      </c>
      <c r="W4" s="32" t="n">
        <v>13.83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25</t>
        </is>
      </c>
      <c r="CC4" s="31">
        <f>IF(CB4&gt;20,10,IF(CB4&gt;=10,5,2))</f>
        <v/>
      </c>
    </row>
    <row r="5">
      <c r="A5" s="31">
        <f>IF(B5=0,"",RANK(B5,$B$2:$B$5,0))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OFSS</t>
        </is>
      </c>
      <c r="D5" s="31" t="inlineStr">
        <is>
          <t>Oracle Financial Services Software Ltd</t>
        </is>
      </c>
      <c r="E5" s="31" t="inlineStr">
        <is>
          <t>i.t</t>
        </is>
      </c>
      <c r="F5" s="31" t="inlineStr">
        <is>
          <t>IT Product Companies</t>
        </is>
      </c>
      <c r="G5" s="31" t="inlineStr">
        <is>
          <t>largecap</t>
        </is>
      </c>
      <c r="H5" s="32" t="n">
        <v>102758.09</v>
      </c>
      <c r="I5" s="32" t="n">
        <v>11800</v>
      </c>
      <c r="J5" s="32" t="n">
        <v>0.61</v>
      </c>
      <c r="K5" s="32" t="n">
        <v>0</v>
      </c>
      <c r="L5" s="31" t="n">
        <v>54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68.36</v>
      </c>
      <c r="P5" s="32" t="n">
        <v>29.24</v>
      </c>
      <c r="Q5" s="32" t="n">
        <v>9501.66</v>
      </c>
      <c r="R5" s="31" t="inlineStr">
        <is>
          <t>Near 52W High Breakout</t>
        </is>
      </c>
      <c r="S5" s="31" t="inlineStr">
        <is>
          <t>Nifty IT</t>
        </is>
      </c>
      <c r="T5" s="32" t="n">
        <v>-13.82</v>
      </c>
      <c r="U5" s="32" t="n">
        <v>48.63</v>
      </c>
      <c r="V5" s="32" t="n">
        <v>72.45999999999999</v>
      </c>
      <c r="W5" s="32" t="n">
        <v>13.9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above 5x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21</t>
        </is>
      </c>
      <c r="CC5" s="31">
        <f>IF(CB5&gt;20,10,IF(CB5&gt;=10,5,2))</f>
        <v/>
      </c>
    </row>
    <row r="9">
      <c r="A9" s="25" t="inlineStr">
        <is>
          <t>❌ REMOVED SCAN MATCH STOCKS (THIS WEEK)</t>
        </is>
      </c>
    </row>
    <row r="10">
      <c r="A10" s="35" t="inlineStr">
        <is>
          <t>Symbol</t>
        </is>
      </c>
      <c r="B10" s="35" t="inlineStr">
        <is>
          <t>Company Name</t>
        </is>
      </c>
      <c r="C10" s="35" t="inlineStr">
        <is>
          <t>Sector</t>
        </is>
      </c>
      <c r="D10" s="35" t="inlineStr">
        <is>
          <t>Date of Removal</t>
        </is>
      </c>
    </row>
  </sheetData>
  <autoFilter ref="A1:CC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5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5">
    <cfRule type="cellIs" priority="35" operator="equal" dxfId="3" stopIfTrue="1">
      <formula>"Underperforming"</formula>
    </cfRule>
  </conditionalFormatting>
  <conditionalFormatting sqref="N2:N5">
    <cfRule type="cellIs" priority="36" operator="equal" dxfId="3" stopIfTrue="1">
      <formula>-5</formula>
    </cfRule>
  </conditionalFormatting>
  <conditionalFormatting sqref="Q2:Q5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5" showDropDown="0" showInputMessage="0" showErrorMessage="0" allowBlank="1" type="list">
      <formula1>"Growing Industry,Stagnant Industry,Cyclical in an Upturn"</formula1>
    </dataValidation>
    <dataValidation sqref="Z2:Z5" showDropDown="0" showInputMessage="0" showErrorMessage="0" allowBlank="1" type="list">
      <formula1>"Fragmented with Low ROE,Fragmented with High ROE,Highly Cyclical"</formula1>
    </dataValidation>
    <dataValidation sqref="AB2:AB5" showDropDown="0" showInputMessage="0" showErrorMessage="0" allowBlank="1" type="list">
      <formula1>"Yes,No"</formula1>
    </dataValidation>
    <dataValidation sqref="AD2:AD5" showDropDown="0" showInputMessage="0" showErrorMessage="0" allowBlank="1" type="list">
      <formula1>"Tailwind,Headwind"</formula1>
    </dataValidation>
    <dataValidation sqref="AF2:AF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5" showDropDown="0" showInputMessage="0" showErrorMessage="0" allowBlank="1" type="list">
      <formula1>"Yes,No"</formula1>
    </dataValidation>
    <dataValidation sqref="AJ2:AJ5" showDropDown="0" showInputMessage="0" showErrorMessage="0" allowBlank="1" type="list">
      <formula1>"Yes,No,Not Applicable"</formula1>
    </dataValidation>
    <dataValidation sqref="AL2:AL5" showDropDown="0" showInputMessage="0" showErrorMessage="0" allowBlank="1" type="list">
      <formula1>"Yes,No"</formula1>
    </dataValidation>
    <dataValidation sqref="AN2:AN5" showDropDown="0" showInputMessage="0" showErrorMessage="0" allowBlank="1" type="list">
      <formula1>"Yes,No"</formula1>
    </dataValidation>
    <dataValidation sqref="AP2:AP5" showDropDown="0" showInputMessage="0" showErrorMessage="0" allowBlank="1" type="list">
      <formula1>"Yes,No"</formula1>
    </dataValidation>
    <dataValidation sqref="AR2:AR5" showDropDown="0" showInputMessage="0" showErrorMessage="0" allowBlank="1" type="list">
      <formula1>"Yes,No"</formula1>
    </dataValidation>
    <dataValidation sqref="AT2:AT5" showDropDown="0" showInputMessage="0" showErrorMessage="0" allowBlank="1" type="list">
      <formula1>"No,Yes"</formula1>
    </dataValidation>
    <dataValidation sqref="AV2:AV5" showDropDown="0" showInputMessage="0" showErrorMessage="0" allowBlank="1" type="list">
      <formula1>"No,Yes"</formula1>
    </dataValidation>
    <dataValidation sqref="AX2:AX5" showDropDown="0" showInputMessage="0" showErrorMessage="0" allowBlank="1" type="list">
      <formula1>"No,Yes CEO Resignation,Yes CEO Retirement"</formula1>
    </dataValidation>
    <dataValidation sqref="AZ2:AZ5" showDropDown="0" showInputMessage="0" showErrorMessage="0" allowBlank="1" type="list">
      <formula1>"No,Yes"</formula1>
    </dataValidation>
    <dataValidation sqref="BB2:BB5" showDropDown="0" showInputMessage="0" showErrorMessage="0" allowBlank="1" type="list">
      <formula1>"No,Yes"</formula1>
    </dataValidation>
    <dataValidation sqref="BD2:BD5" showDropDown="0" showInputMessage="0" showErrorMessage="0" allowBlank="1" type="list">
      <formula1>"Yes,No"</formula1>
    </dataValidation>
    <dataValidation sqref="BF2:BF5" showDropDown="0" showInputMessage="0" showErrorMessage="0" allowBlank="1" type="list">
      <formula1>"Yes,No"</formula1>
    </dataValidation>
    <dataValidation sqref="BH2:BH5" showDropDown="0" showInputMessage="0" showErrorMessage="0" allowBlank="1" type="list">
      <formula1>"Yes,No"</formula1>
    </dataValidation>
    <dataValidation sqref="BJ2:BJ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5" showDropDown="0" showInputMessage="0" showErrorMessage="0" allowBlank="1" type="list">
      <formula1>"Above 40,20 to 40,0 to 20"</formula1>
    </dataValidation>
    <dataValidation sqref="BN2:BN5" showDropDown="0" showInputMessage="0" showErrorMessage="0" allowBlank="1" type="list">
      <formula1>"Between 50 to 75,Above 75,Below 45"</formula1>
    </dataValidation>
    <dataValidation sqref="BP2:BP5" showDropDown="0" showInputMessage="0" showErrorMessage="0" allowBlank="1" type="list">
      <formula1>"Stage 1,Stage 2,Stage 3,Stage 4"</formula1>
    </dataValidation>
    <dataValidation sqref="BR2:BR5" showDropDown="0" showInputMessage="0" showErrorMessage="0" allowBlank="1" type="list">
      <formula1>"Positive Trend,Negative Trend"</formula1>
    </dataValidation>
    <dataValidation sqref="BT2:BT5" showDropDown="0" showInputMessage="0" showErrorMessage="0" allowBlank="1" type="list">
      <formula1>"Uptrend,Sideways,Downtrend"</formula1>
    </dataValidation>
    <dataValidation sqref="BV2:BV5" showDropDown="0" showInputMessage="0" showErrorMessage="0" allowBlank="1" type="list">
      <formula1>"Uptrend,Sideways,Downtrend"</formula1>
    </dataValidation>
    <dataValidation sqref="BX2:BX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2026-08-26T10:55:51Z</dcterms:created>
  <dcterms:modified xmlns:dcterms="http://purl.org/dc/terms/" xmlns:xsi="http://www.w3.org/2001/XMLSchema-instance" xsi:type="dcterms:W3CDTF">2026-08-26T10:57:31Z</dcterms:modified>
</cp:coreProperties>
</file>