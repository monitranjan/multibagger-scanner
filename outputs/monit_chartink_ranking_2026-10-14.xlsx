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Universe'!$A$1:$J$243</definedName>
    <definedName name="_xlnm._FilterDatabase" localSheetId="3" hidden="1">'Confluence Overlap'!$A$1:$K$83</definedName>
    <definedName name="_xlnm._FilterDatabase" localSheetId="4" hidden="1">'Monit Non Financial'!$A$1:$CE$220</definedName>
    <definedName name="_xlnm._FilterDatabase" localSheetId="5" hidden="1">'Monit Banks NBFC'!$A$1:$CA$24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Financial'!$A$1:$CG$96</definedName>
    <definedName name="_xlnm._FilterDatabase" localSheetId="9" hidden="1">'Scan Match Banks NBFC'!$A$1:$CC$6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14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3" customWidth="1" min="3" max="3"/>
    <col width="37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30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474</v>
      </c>
      <c r="C6" s="17" t="inlineStr">
        <is>
          <t>KABRAEXTRU</t>
        </is>
      </c>
      <c r="D6" s="18" t="inlineStr">
        <is>
          <t>Kabra Extrusion Technik Limited</t>
        </is>
      </c>
      <c r="E6" s="18" t="inlineStr">
        <is>
          <t>industrials</t>
        </is>
      </c>
      <c r="F6" s="16" t="n">
        <v>64</v>
      </c>
      <c r="G6" s="19" t="n">
        <v>3093.79</v>
      </c>
      <c r="H6" s="18" t="inlineStr">
        <is>
          <t>Potential Leader</t>
        </is>
      </c>
      <c r="J6" s="18" t="inlineStr">
        <is>
          <t>bank</t>
        </is>
      </c>
      <c r="K6" s="16" t="n">
        <v>33</v>
      </c>
      <c r="L6" s="16" t="n">
        <v>14</v>
      </c>
      <c r="M6" s="20" t="inlineStr">
        <is>
          <t>135.7%</t>
        </is>
      </c>
    </row>
    <row r="7">
      <c r="A7" s="16" t="n">
        <v>2</v>
      </c>
      <c r="B7" s="17" t="n">
        <v>408</v>
      </c>
      <c r="C7" s="17" t="inlineStr">
        <is>
          <t>STLTECH</t>
        </is>
      </c>
      <c r="D7" s="18" t="inlineStr">
        <is>
          <t>Sterlite Technologies Limited</t>
        </is>
      </c>
      <c r="E7" s="18" t="inlineStr">
        <is>
          <t>industrials</t>
        </is>
      </c>
      <c r="F7" s="16" t="n">
        <v>53</v>
      </c>
      <c r="G7" s="19" t="n">
        <v>49511.32</v>
      </c>
      <c r="H7" s="18" t="inlineStr">
        <is>
          <t>Potential Leader</t>
        </is>
      </c>
      <c r="J7" s="18" t="inlineStr">
        <is>
          <t>media</t>
        </is>
      </c>
      <c r="K7" s="16" t="n">
        <v>14</v>
      </c>
      <c r="L7" s="16" t="n">
        <v>7</v>
      </c>
      <c r="M7" s="20" t="inlineStr">
        <is>
          <t>100.0%</t>
        </is>
      </c>
    </row>
    <row r="8">
      <c r="A8" s="16" t="n">
        <v>3</v>
      </c>
      <c r="B8" s="17" t="n">
        <v>348</v>
      </c>
      <c r="C8" s="17" t="inlineStr">
        <is>
          <t>WELSPUNLIV</t>
        </is>
      </c>
      <c r="D8" s="18" t="inlineStr">
        <is>
          <t>Welspun Living Ltd</t>
        </is>
      </c>
      <c r="E8" s="18" t="inlineStr">
        <is>
          <t>textiles</t>
        </is>
      </c>
      <c r="F8" s="16" t="n">
        <v>43</v>
      </c>
      <c r="G8" s="19" t="n">
        <v>21363.69</v>
      </c>
      <c r="H8" s="18" t="inlineStr">
        <is>
          <t>Potential Leader</t>
        </is>
      </c>
      <c r="J8" s="18" t="inlineStr">
        <is>
          <t>i.t</t>
        </is>
      </c>
      <c r="K8" s="16" t="n">
        <v>66</v>
      </c>
      <c r="L8" s="16" t="n">
        <v>46</v>
      </c>
      <c r="M8" s="20" t="inlineStr">
        <is>
          <t>43.5%</t>
        </is>
      </c>
    </row>
    <row r="9">
      <c r="A9" s="16" t="n">
        <v>4</v>
      </c>
      <c r="B9" s="17" t="n">
        <v>324</v>
      </c>
      <c r="C9" s="17" t="inlineStr">
        <is>
          <t>BHAGERIA</t>
        </is>
      </c>
      <c r="D9" s="18" t="inlineStr">
        <is>
          <t>Bhageria Industries Limited</t>
        </is>
      </c>
      <c r="E9" s="18" t="inlineStr">
        <is>
          <t>chemicals</t>
        </is>
      </c>
      <c r="F9" s="16" t="n">
        <v>39</v>
      </c>
      <c r="G9" s="19" t="n">
        <v>1692.96</v>
      </c>
      <c r="H9" s="18" t="inlineStr">
        <is>
          <t>Potential Leader</t>
        </is>
      </c>
      <c r="J9" s="18" t="inlineStr">
        <is>
          <t>fmcg</t>
        </is>
      </c>
      <c r="K9" s="16" t="n">
        <v>81</v>
      </c>
      <c r="L9" s="16" t="n">
        <v>59</v>
      </c>
      <c r="M9" s="20" t="inlineStr">
        <is>
          <t>37.3%</t>
        </is>
      </c>
    </row>
    <row r="10">
      <c r="A10" s="16" t="n">
        <v>5</v>
      </c>
      <c r="B10" s="17" t="n">
        <v>312</v>
      </c>
      <c r="C10" s="17" t="inlineStr">
        <is>
          <t>BAFNAPH</t>
        </is>
      </c>
      <c r="D10" s="18" t="inlineStr">
        <is>
          <t>Bafna Pharmaceuticals Ltd</t>
        </is>
      </c>
      <c r="E10" s="18" t="inlineStr">
        <is>
          <t>healthcare</t>
        </is>
      </c>
      <c r="F10" s="16" t="n">
        <v>37</v>
      </c>
      <c r="G10" s="19" t="n">
        <v>1028.7</v>
      </c>
      <c r="H10" s="18" t="inlineStr">
        <is>
          <t>Potential Leader</t>
        </is>
      </c>
      <c r="J10" s="18" t="inlineStr">
        <is>
          <t>miscellaneous</t>
        </is>
      </c>
      <c r="K10" s="16" t="n">
        <v>23</v>
      </c>
      <c r="L10" s="16" t="n">
        <v>21</v>
      </c>
      <c r="M10" s="20" t="inlineStr">
        <is>
          <t>9.5%</t>
        </is>
      </c>
    </row>
    <row r="11">
      <c r="A11" s="16" t="n">
        <v>6</v>
      </c>
      <c r="B11" s="17" t="n">
        <v>306</v>
      </c>
      <c r="C11" s="17" t="inlineStr">
        <is>
          <t>ROSSTECH</t>
        </is>
      </c>
      <c r="D11" s="18" t="inlineStr">
        <is>
          <t>Rossell Techsys Ltd</t>
        </is>
      </c>
      <c r="E11" s="18" t="inlineStr">
        <is>
          <t>aerospace &amp; defence</t>
        </is>
      </c>
      <c r="F11" s="16" t="n">
        <v>36</v>
      </c>
      <c r="G11" s="19" t="n">
        <v>5815.81</v>
      </c>
      <c r="H11" s="18" t="inlineStr">
        <is>
          <t>Potential Leader</t>
        </is>
      </c>
      <c r="J11" s="18" t="inlineStr">
        <is>
          <t>consumer discretionary</t>
        </is>
      </c>
      <c r="K11" s="16" t="n">
        <v>85</v>
      </c>
      <c r="L11" s="16" t="n">
        <v>79</v>
      </c>
      <c r="M11" s="20" t="inlineStr">
        <is>
          <t>7.6%</t>
        </is>
      </c>
    </row>
    <row r="12">
      <c r="A12" s="16" t="n">
        <v>7</v>
      </c>
      <c r="B12" s="17" t="n">
        <v>300</v>
      </c>
      <c r="C12" s="17" t="inlineStr">
        <is>
          <t>NRL</t>
        </is>
      </c>
      <c r="D12" s="18" t="inlineStr">
        <is>
          <t>Nupur Recyclers Ltd</t>
        </is>
      </c>
      <c r="E12" s="18" t="inlineStr">
        <is>
          <t>services</t>
        </is>
      </c>
      <c r="F12" s="16" t="n">
        <v>35</v>
      </c>
      <c r="G12" s="19" t="n">
        <v>1099.03</v>
      </c>
      <c r="H12" s="18" t="inlineStr">
        <is>
          <t>Potential Leader</t>
        </is>
      </c>
      <c r="J12" s="18" t="inlineStr">
        <is>
          <t>financials</t>
        </is>
      </c>
      <c r="K12" s="16" t="n">
        <v>59</v>
      </c>
      <c r="L12" s="16" t="n">
        <v>59</v>
      </c>
      <c r="M12" s="20" t="inlineStr">
        <is>
          <t>0.0%</t>
        </is>
      </c>
    </row>
    <row r="13">
      <c r="A13" s="16" t="n">
        <v>8</v>
      </c>
      <c r="B13" s="17" t="n">
        <v>300</v>
      </c>
      <c r="C13" s="17" t="inlineStr">
        <is>
          <t>SBC</t>
        </is>
      </c>
      <c r="D13" s="18" t="inlineStr">
        <is>
          <t>SBC Exports Ltd</t>
        </is>
      </c>
      <c r="E13" s="18" t="inlineStr">
        <is>
          <t>textiles</t>
        </is>
      </c>
      <c r="F13" s="16" t="n">
        <v>35</v>
      </c>
      <c r="G13" s="19" t="n">
        <v>3054.76</v>
      </c>
      <c r="H13" s="18" t="inlineStr">
        <is>
          <t>Potential Leader</t>
        </is>
      </c>
      <c r="J13" s="18" t="inlineStr">
        <is>
          <t>telecom</t>
        </is>
      </c>
      <c r="K13" s="16" t="n">
        <v>10</v>
      </c>
      <c r="L13" s="16" t="n">
        <v>10</v>
      </c>
      <c r="M13" s="20" t="inlineStr">
        <is>
          <t>0.0%</t>
        </is>
      </c>
    </row>
    <row r="14">
      <c r="A14" s="16" t="n">
        <v>9</v>
      </c>
      <c r="B14" s="17" t="n">
        <v>300</v>
      </c>
      <c r="C14" s="17" t="inlineStr">
        <is>
          <t>WHEELS</t>
        </is>
      </c>
      <c r="D14" s="18" t="inlineStr">
        <is>
          <t>Wheels India Limited</t>
        </is>
      </c>
      <c r="E14" s="18" t="inlineStr">
        <is>
          <t>auto</t>
        </is>
      </c>
      <c r="F14" s="16" t="n">
        <v>35</v>
      </c>
      <c r="G14" s="19" t="n">
        <v>6248.99</v>
      </c>
      <c r="H14" s="18" t="inlineStr">
        <is>
          <t>Potential Leader</t>
        </is>
      </c>
      <c r="J14" s="18" t="inlineStr">
        <is>
          <t>textiles</t>
        </is>
      </c>
      <c r="K14" s="16" t="n">
        <v>42</v>
      </c>
      <c r="L14" s="16" t="n">
        <v>44</v>
      </c>
      <c r="M14" s="21" t="inlineStr">
        <is>
          <t>-4.5%</t>
        </is>
      </c>
    </row>
    <row r="15">
      <c r="A15" s="16" t="n">
        <v>10</v>
      </c>
      <c r="B15" s="17" t="n">
        <v>282</v>
      </c>
      <c r="C15" s="17" t="inlineStr">
        <is>
          <t>GLOBAL</t>
        </is>
      </c>
      <c r="D15" s="18" t="inlineStr">
        <is>
          <t>Global Education Ltd</t>
        </is>
      </c>
      <c r="E15" s="18" t="inlineStr">
        <is>
          <t>services</t>
        </is>
      </c>
      <c r="F15" s="16" t="n">
        <v>32</v>
      </c>
      <c r="G15" s="19" t="n">
        <v>727.74</v>
      </c>
      <c r="H15" s="18" t="inlineStr">
        <is>
          <t>Potential Leader</t>
        </is>
      </c>
      <c r="J15" s="18" t="inlineStr">
        <is>
          <t>energy</t>
        </is>
      </c>
      <c r="K15" s="16" t="n">
        <v>21</v>
      </c>
      <c r="L15" s="16" t="n">
        <v>22</v>
      </c>
      <c r="M15" s="21" t="inlineStr">
        <is>
          <t>-4.5%</t>
        </is>
      </c>
    </row>
    <row r="16">
      <c r="A16" s="16" t="n">
        <v>11</v>
      </c>
      <c r="B16" s="17" t="n">
        <v>282</v>
      </c>
      <c r="C16" s="17" t="inlineStr">
        <is>
          <t>RAYMOND</t>
        </is>
      </c>
      <c r="D16" s="18" t="inlineStr">
        <is>
          <t>Raymond Limited</t>
        </is>
      </c>
      <c r="E16" s="18" t="inlineStr">
        <is>
          <t>transportation</t>
        </is>
      </c>
      <c r="F16" s="16" t="n">
        <v>32</v>
      </c>
      <c r="G16" s="19" t="n">
        <v>7721.22</v>
      </c>
      <c r="H16" s="18" t="inlineStr">
        <is>
          <t>Potential Leader</t>
        </is>
      </c>
      <c r="J16" s="18" t="inlineStr">
        <is>
          <t>transportation</t>
        </is>
      </c>
      <c r="K16" s="16" t="n">
        <v>32</v>
      </c>
      <c r="L16" s="16" t="n">
        <v>36</v>
      </c>
      <c r="M16" s="21" t="inlineStr">
        <is>
          <t>-11.1%</t>
        </is>
      </c>
    </row>
    <row r="17">
      <c r="A17" s="16" t="n">
        <v>12</v>
      </c>
      <c r="B17" s="17" t="n">
        <v>276</v>
      </c>
      <c r="C17" s="17" t="inlineStr">
        <is>
          <t>ZIMLAB</t>
        </is>
      </c>
      <c r="D17" s="18" t="inlineStr">
        <is>
          <t>Zim Laboratories Ltd</t>
        </is>
      </c>
      <c r="E17" s="18" t="inlineStr">
        <is>
          <t>healthcare</t>
        </is>
      </c>
      <c r="F17" s="16" t="n">
        <v>31</v>
      </c>
      <c r="G17" s="19" t="n">
        <v>787.55</v>
      </c>
      <c r="H17" s="18" t="inlineStr">
        <is>
          <t>Potential Leader</t>
        </is>
      </c>
      <c r="J17" s="18" t="inlineStr">
        <is>
          <t>services</t>
        </is>
      </c>
      <c r="K17" s="16" t="n">
        <v>36</v>
      </c>
      <c r="L17" s="16" t="n">
        <v>43</v>
      </c>
      <c r="M17" s="21" t="inlineStr">
        <is>
          <t>-16.3%</t>
        </is>
      </c>
    </row>
    <row r="18">
      <c r="A18" s="16" t="n">
        <v>13</v>
      </c>
      <c r="B18" s="17" t="n">
        <v>270</v>
      </c>
      <c r="C18" s="17" t="inlineStr">
        <is>
          <t>LOTUSDEV</t>
        </is>
      </c>
      <c r="D18" s="18" t="inlineStr">
        <is>
          <t>Sri Lotus Developers &amp; Realty Ltd</t>
        </is>
      </c>
      <c r="E18" s="18" t="inlineStr">
        <is>
          <t>realty</t>
        </is>
      </c>
      <c r="F18" s="16" t="n">
        <v>30</v>
      </c>
      <c r="G18" s="19" t="n">
        <v>11276.32</v>
      </c>
      <c r="H18" s="18" t="inlineStr">
        <is>
          <t>Potential Leader</t>
        </is>
      </c>
      <c r="J18" s="18" t="inlineStr">
        <is>
          <t>readymade garments/apparels</t>
        </is>
      </c>
      <c r="K18" s="16" t="n">
        <v>5</v>
      </c>
      <c r="L18" s="16" t="n">
        <v>6</v>
      </c>
      <c r="M18" s="21" t="inlineStr">
        <is>
          <t>-16.7%</t>
        </is>
      </c>
    </row>
    <row r="19">
      <c r="A19" s="16" t="n">
        <v>14</v>
      </c>
      <c r="B19" s="17" t="n">
        <v>270</v>
      </c>
      <c r="C19" s="17" t="inlineStr">
        <is>
          <t>SHREEJISPG</t>
        </is>
      </c>
      <c r="D19" s="18" t="inlineStr">
        <is>
          <t>Shreeji Shipping Global Ltd</t>
        </is>
      </c>
      <c r="E19" s="18" t="inlineStr">
        <is>
          <t>transportation</t>
        </is>
      </c>
      <c r="F19" s="16" t="n">
        <v>30</v>
      </c>
      <c r="G19" s="19" t="n">
        <v>13437.5</v>
      </c>
      <c r="H19" s="18" t="inlineStr">
        <is>
          <t>Potential Leader</t>
        </is>
      </c>
      <c r="J19" s="18" t="inlineStr">
        <is>
          <t>aerospace &amp; defence</t>
        </is>
      </c>
      <c r="K19" s="16" t="n">
        <v>44</v>
      </c>
      <c r="L19" s="16" t="n">
        <v>53</v>
      </c>
      <c r="M19" s="21" t="inlineStr">
        <is>
          <t>-17.0%</t>
        </is>
      </c>
    </row>
    <row r="20">
      <c r="A20" s="16" t="n">
        <v>15</v>
      </c>
      <c r="B20" s="17" t="n">
        <v>261</v>
      </c>
      <c r="C20" s="17" t="inlineStr">
        <is>
          <t>KILITCH</t>
        </is>
      </c>
      <c r="D20" s="18" t="inlineStr">
        <is>
          <t>Kilitch Drugs (india) Limited</t>
        </is>
      </c>
      <c r="E20" s="18" t="inlineStr">
        <is>
          <t>healthcare</t>
        </is>
      </c>
      <c r="F20" s="16" t="n">
        <v>29</v>
      </c>
      <c r="G20" s="19" t="n">
        <v>822.51</v>
      </c>
      <c r="H20" s="18" t="inlineStr">
        <is>
          <t>Potential Leader</t>
        </is>
      </c>
      <c r="J20" s="18" t="inlineStr">
        <is>
          <t>building materials</t>
        </is>
      </c>
      <c r="K20" s="16" t="n">
        <v>30</v>
      </c>
      <c r="L20" s="16" t="n">
        <v>38</v>
      </c>
      <c r="M20" s="21" t="inlineStr">
        <is>
          <t>-21.1%</t>
        </is>
      </c>
    </row>
    <row r="21">
      <c r="A21" s="16" t="n">
        <v>16</v>
      </c>
      <c r="B21" s="17" t="n">
        <v>261</v>
      </c>
      <c r="C21" s="17" t="inlineStr">
        <is>
          <t>SPECTRUM</t>
        </is>
      </c>
      <c r="D21" s="18" t="inlineStr">
        <is>
          <t>Spectrum Electrical Industries Ltd</t>
        </is>
      </c>
      <c r="E21" s="18" t="inlineStr">
        <is>
          <t>industrials</t>
        </is>
      </c>
      <c r="F21" s="16" t="n">
        <v>29</v>
      </c>
      <c r="G21" s="19" t="n">
        <v>6292.29</v>
      </c>
      <c r="H21" s="18" t="inlineStr">
        <is>
          <t>Potential Leader</t>
        </is>
      </c>
    </row>
    <row r="22">
      <c r="A22" s="16" t="n">
        <v>17</v>
      </c>
      <c r="B22" s="17" t="n">
        <v>261</v>
      </c>
      <c r="C22" s="17" t="inlineStr">
        <is>
          <t>UNITEDPOLY</t>
        </is>
      </c>
      <c r="D22" s="18" t="inlineStr">
        <is>
          <t>United Polyfab Gujarat Ltd</t>
        </is>
      </c>
      <c r="E22" s="18" t="inlineStr">
        <is>
          <t>textiles</t>
        </is>
      </c>
      <c r="F22" s="16" t="n">
        <v>29</v>
      </c>
      <c r="G22" s="19" t="n">
        <v>1134.5</v>
      </c>
      <c r="H22" s="18" t="inlineStr">
        <is>
          <t>Potential Leader</t>
        </is>
      </c>
    </row>
    <row r="23">
      <c r="A23" s="16" t="n">
        <v>18</v>
      </c>
      <c r="B23" s="17" t="n">
        <v>261</v>
      </c>
      <c r="C23" s="17" t="inlineStr">
        <is>
          <t>VALIANTORG</t>
        </is>
      </c>
      <c r="D23" s="18" t="inlineStr">
        <is>
          <t>Valiant Organics Ltd</t>
        </is>
      </c>
      <c r="E23" s="18" t="inlineStr">
        <is>
          <t>chemicals</t>
        </is>
      </c>
      <c r="F23" s="16" t="n">
        <v>29</v>
      </c>
      <c r="G23" s="19" t="n">
        <v>1267.44</v>
      </c>
      <c r="H23" s="18" t="inlineStr">
        <is>
          <t>Potential Leader</t>
        </is>
      </c>
    </row>
    <row r="24">
      <c r="A24" s="16" t="n">
        <v>19</v>
      </c>
      <c r="B24" s="17" t="n">
        <v>255</v>
      </c>
      <c r="C24" s="17" t="inlineStr">
        <is>
          <t>LAURUSLABS</t>
        </is>
      </c>
      <c r="D24" s="18" t="inlineStr">
        <is>
          <t>Laurus Labs Limited</t>
        </is>
      </c>
      <c r="E24" s="18" t="inlineStr">
        <is>
          <t>healthcare</t>
        </is>
      </c>
      <c r="F24" s="16" t="n">
        <v>28</v>
      </c>
      <c r="G24" s="19" t="n">
        <v>111259</v>
      </c>
      <c r="H24" s="18" t="inlineStr">
        <is>
          <t>Potential Leader</t>
        </is>
      </c>
    </row>
    <row r="25">
      <c r="A25" s="16" t="n">
        <v>20</v>
      </c>
      <c r="B25" s="17" t="n">
        <v>231</v>
      </c>
      <c r="C25" s="17" t="inlineStr">
        <is>
          <t>DYNAMATECH</t>
        </is>
      </c>
      <c r="D25" s="18" t="inlineStr">
        <is>
          <t>Dynamatic Technologies Limited</t>
        </is>
      </c>
      <c r="E25" s="18" t="inlineStr">
        <is>
          <t>aerospace &amp; defence</t>
        </is>
      </c>
      <c r="F25" s="16" t="n">
        <v>24</v>
      </c>
      <c r="G25" s="19" t="n">
        <v>9497.83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SUNTV</t>
        </is>
      </c>
      <c r="B30" s="18" t="inlineStr">
        <is>
          <t>Sun Tv Network Limited</t>
        </is>
      </c>
      <c r="C30" s="18" t="inlineStr">
        <is>
          <t>media</t>
        </is>
      </c>
      <c r="D30" s="16" t="n">
        <v>10</v>
      </c>
      <c r="E30" s="16" t="n">
        <v>2</v>
      </c>
      <c r="F30" s="19" t="n">
        <v>25065.75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12951.57</v>
      </c>
      <c r="N30" s="16" t="n">
        <v>13</v>
      </c>
    </row>
    <row r="31">
      <c r="A31" s="17" t="inlineStr">
        <is>
          <t>ALICON</t>
        </is>
      </c>
      <c r="B31" s="18" t="inlineStr">
        <is>
          <t>Alicon Castalloy Limited</t>
        </is>
      </c>
      <c r="C31" s="18" t="inlineStr">
        <is>
          <t>castings, forgings &amp; fasteners</t>
        </is>
      </c>
      <c r="D31" s="16" t="n">
        <v>10</v>
      </c>
      <c r="E31" s="16" t="n">
        <v>1</v>
      </c>
      <c r="F31" s="19" t="n">
        <v>1420.94</v>
      </c>
      <c r="J31" s="17" t="inlineStr">
        <is>
          <t>RPTECH</t>
        </is>
      </c>
      <c r="K31" s="18" t="inlineStr">
        <is>
          <t>Technology</t>
        </is>
      </c>
      <c r="L31" s="19" t="n">
        <v>292</v>
      </c>
      <c r="M31" s="19" t="n">
        <v>6021.01</v>
      </c>
      <c r="N31" s="16" t="n">
        <v>14</v>
      </c>
    </row>
    <row r="32">
      <c r="A32" s="17" t="inlineStr">
        <is>
          <t>ISGEC</t>
        </is>
      </c>
      <c r="B32" s="18" t="inlineStr">
        <is>
          <t>ISGEC Heavy Engineering  Ltd</t>
        </is>
      </c>
      <c r="C32" s="18" t="inlineStr">
        <is>
          <t>realty</t>
        </is>
      </c>
      <c r="D32" s="16" t="n">
        <v>10</v>
      </c>
      <c r="E32" s="16" t="n">
        <v>0</v>
      </c>
      <c r="F32" s="19" t="n">
        <v>6709.2</v>
      </c>
      <c r="J32" s="17" t="inlineStr">
        <is>
          <t>PIXTRANS</t>
        </is>
      </c>
      <c r="K32" s="18" t="inlineStr">
        <is>
          <t>fmcg</t>
        </is>
      </c>
      <c r="L32" s="19" t="n">
        <v>292</v>
      </c>
      <c r="M32" s="19" t="n">
        <v>2573.39</v>
      </c>
      <c r="N32" s="16" t="n">
        <v>5</v>
      </c>
    </row>
    <row r="33">
      <c r="A33" s="17" t="inlineStr">
        <is>
          <t>ADFFOODS</t>
        </is>
      </c>
      <c r="B33" s="18" t="inlineStr">
        <is>
          <t>Adf Foods Limited</t>
        </is>
      </c>
      <c r="C33" s="18" t="inlineStr">
        <is>
          <t>fmcg</t>
        </is>
      </c>
      <c r="D33" s="16" t="n">
        <v>9</v>
      </c>
      <c r="E33" s="16" t="n">
        <v>1</v>
      </c>
      <c r="F33" s="19" t="n">
        <v>3088.82</v>
      </c>
      <c r="J33" s="17" t="inlineStr">
        <is>
          <t>MANBA</t>
        </is>
      </c>
      <c r="K33" s="18" t="inlineStr">
        <is>
          <t>financials</t>
        </is>
      </c>
      <c r="L33" s="19" t="n">
        <v>290</v>
      </c>
      <c r="M33" s="19" t="n">
        <v>706.72</v>
      </c>
      <c r="N33" s="16" t="n">
        <v>21</v>
      </c>
    </row>
    <row r="34">
      <c r="A34" s="17" t="inlineStr">
        <is>
          <t>PATELRMART</t>
        </is>
      </c>
      <c r="B34" s="18" t="inlineStr">
        <is>
          <t>Patel Retail Ltd</t>
        </is>
      </c>
      <c r="C34" s="18" t="inlineStr">
        <is>
          <t>consumer discretionary</t>
        </is>
      </c>
      <c r="D34" s="16" t="n">
        <v>8</v>
      </c>
      <c r="E34" s="16" t="n">
        <v>0</v>
      </c>
      <c r="F34" s="19" t="n">
        <v>802.61</v>
      </c>
      <c r="J34" s="17" t="inlineStr">
        <is>
          <t>PGIL</t>
        </is>
      </c>
      <c r="K34" s="18" t="inlineStr">
        <is>
          <t>readymade garments/apparels</t>
        </is>
      </c>
      <c r="L34" s="19" t="n">
        <v>290</v>
      </c>
      <c r="M34" s="19" t="n">
        <v>11894.06</v>
      </c>
      <c r="N34" s="16" t="n">
        <v>20</v>
      </c>
    </row>
    <row r="35">
      <c r="A35" s="17" t="inlineStr">
        <is>
          <t>PARAGMILK</t>
        </is>
      </c>
      <c r="B35" s="18" t="inlineStr">
        <is>
          <t>Parag Milk Foods Limited</t>
        </is>
      </c>
      <c r="C35" s="18" t="inlineStr">
        <is>
          <t>fmcg</t>
        </is>
      </c>
      <c r="D35" s="16" t="n">
        <v>7</v>
      </c>
      <c r="E35" s="16" t="n">
        <v>0</v>
      </c>
      <c r="F35" s="19" t="n">
        <v>3790.9</v>
      </c>
      <c r="J35" s="17" t="inlineStr">
        <is>
          <t>IBULLSLTD</t>
        </is>
      </c>
      <c r="K35" s="18" t="inlineStr">
        <is>
          <t>miscellaneous</t>
        </is>
      </c>
      <c r="L35" s="19" t="n">
        <v>290</v>
      </c>
      <c r="M35" s="19" t="n">
        <v>8521.469999999999</v>
      </c>
      <c r="N35" s="16" t="n">
        <v>21</v>
      </c>
    </row>
    <row r="36">
      <c r="A36" s="17" t="inlineStr">
        <is>
          <t>MOBIKWIK</t>
        </is>
      </c>
      <c r="B36" s="18" t="inlineStr">
        <is>
          <t>One Mobikwik Systems Ltd</t>
        </is>
      </c>
      <c r="C36" s="18" t="inlineStr">
        <is>
          <t>i.t</t>
        </is>
      </c>
      <c r="D36" s="16" t="n">
        <v>7</v>
      </c>
      <c r="E36" s="16" t="n">
        <v>0</v>
      </c>
      <c r="F36" s="19" t="n">
        <v>1925.13</v>
      </c>
      <c r="J36" s="17" t="inlineStr">
        <is>
          <t>FCL</t>
        </is>
      </c>
      <c r="K36" s="18" t="inlineStr">
        <is>
          <t>chemicals</t>
        </is>
      </c>
      <c r="L36" s="19" t="n">
        <v>290</v>
      </c>
      <c r="M36" s="19" t="n">
        <v>6584.09</v>
      </c>
      <c r="N36" s="16" t="n">
        <v>24</v>
      </c>
    </row>
    <row r="37">
      <c r="A37" s="17" t="inlineStr">
        <is>
          <t>GPTINFRA</t>
        </is>
      </c>
      <c r="B37" s="18" t="inlineStr">
        <is>
          <t>Gpt Infraprojects Limited</t>
        </is>
      </c>
      <c r="C37" s="18" t="inlineStr">
        <is>
          <t>realty</t>
        </is>
      </c>
      <c r="D37" s="16" t="n">
        <v>7</v>
      </c>
      <c r="E37" s="16" t="n">
        <v>0</v>
      </c>
      <c r="F37" s="19" t="n">
        <v>1541.52</v>
      </c>
      <c r="J37" s="17" t="inlineStr">
        <is>
          <t>KROSS</t>
        </is>
      </c>
      <c r="K37" s="18" t="inlineStr">
        <is>
          <t>auto</t>
        </is>
      </c>
      <c r="L37" s="19" t="n">
        <v>290</v>
      </c>
      <c r="M37" s="19" t="n">
        <v>1572.74</v>
      </c>
      <c r="N37" s="16" t="n">
        <v>24</v>
      </c>
    </row>
    <row r="38">
      <c r="A38" s="17" t="inlineStr">
        <is>
          <t>SHRINGARMS</t>
        </is>
      </c>
      <c r="B38" s="18" t="inlineStr">
        <is>
          <t>Shringar House of Mangalsutra Ltd</t>
        </is>
      </c>
      <c r="C38" s="18" t="inlineStr">
        <is>
          <t>consumer discretionary</t>
        </is>
      </c>
      <c r="D38" s="16" t="n">
        <v>6</v>
      </c>
      <c r="E38" s="16" t="n">
        <v>1</v>
      </c>
      <c r="F38" s="19" t="n">
        <v>2997.59</v>
      </c>
      <c r="J38" s="17" t="inlineStr">
        <is>
          <t>JGCHEM</t>
        </is>
      </c>
      <c r="K38" s="18" t="inlineStr">
        <is>
          <t>chemicals</t>
        </is>
      </c>
      <c r="L38" s="19" t="n">
        <v>290</v>
      </c>
      <c r="M38" s="19" t="n">
        <v>2479.69</v>
      </c>
      <c r="N38" s="16" t="n">
        <v>14</v>
      </c>
    </row>
    <row r="39">
      <c r="A39" s="17" t="inlineStr">
        <is>
          <t>MAYURUNIQ</t>
        </is>
      </c>
      <c r="B39" s="18" t="inlineStr">
        <is>
          <t>Mayur Uniquoters Ltd</t>
        </is>
      </c>
      <c r="C39" s="18" t="inlineStr">
        <is>
          <t>consumer discretionary</t>
        </is>
      </c>
      <c r="D39" s="16" t="n">
        <v>6</v>
      </c>
      <c r="E39" s="16" t="n">
        <v>0</v>
      </c>
      <c r="F39" s="19" t="n">
        <v>3406.47</v>
      </c>
      <c r="J39" s="17" t="inlineStr">
        <is>
          <t>VINDHYATEL</t>
        </is>
      </c>
      <c r="K39" s="18" t="inlineStr">
        <is>
          <t>realty</t>
        </is>
      </c>
      <c r="L39" s="19" t="n">
        <v>288</v>
      </c>
      <c r="M39" s="19" t="n">
        <v>3353.44</v>
      </c>
      <c r="N39" s="16" t="n">
        <v>20</v>
      </c>
    </row>
    <row r="40">
      <c r="A40" s="17" t="inlineStr">
        <is>
          <t>ARIHANTCAP</t>
        </is>
      </c>
      <c r="B40" s="18" t="inlineStr">
        <is>
          <t>Arihant Capital Markets Ltd</t>
        </is>
      </c>
      <c r="C40" s="18" t="inlineStr">
        <is>
          <t>financials</t>
        </is>
      </c>
      <c r="D40" s="16" t="n">
        <v>5</v>
      </c>
      <c r="E40" s="16" t="n">
        <v>0</v>
      </c>
      <c r="F40" s="19" t="n">
        <v>1055.68</v>
      </c>
      <c r="J40" s="17" t="inlineStr">
        <is>
          <t>PASUPTAC</t>
        </is>
      </c>
      <c r="K40" s="18" t="inlineStr">
        <is>
          <t>textiles</t>
        </is>
      </c>
      <c r="L40" s="19" t="n">
        <v>288</v>
      </c>
      <c r="M40" s="19" t="n">
        <v>668.05</v>
      </c>
      <c r="N40" s="16" t="n">
        <v>24</v>
      </c>
    </row>
    <row r="41">
      <c r="A41" s="17" t="inlineStr">
        <is>
          <t>BBOX</t>
        </is>
      </c>
      <c r="B41" s="18" t="inlineStr">
        <is>
          <t>Black Box Ltd</t>
        </is>
      </c>
      <c r="C41" s="18" t="inlineStr">
        <is>
          <t>i.t</t>
        </is>
      </c>
      <c r="D41" s="16" t="n">
        <v>5</v>
      </c>
      <c r="E41" s="16" t="n">
        <v>0</v>
      </c>
      <c r="F41" s="19" t="n">
        <v>16371.98</v>
      </c>
      <c r="J41" s="17" t="inlineStr">
        <is>
          <t>SMCGLOBAL</t>
        </is>
      </c>
      <c r="K41" s="18" t="inlineStr">
        <is>
          <t>financials</t>
        </is>
      </c>
      <c r="L41" s="19" t="n">
        <v>287</v>
      </c>
      <c r="M41" s="19" t="n">
        <v>2458.15</v>
      </c>
      <c r="N41" s="16" t="n">
        <v>24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101.15</v>
      </c>
      <c r="D47" s="28" t="n">
        <v>295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2902.25</v>
      </c>
    </row>
    <row r="48">
      <c r="A48" s="16" t="n">
        <v>2</v>
      </c>
      <c r="B48" s="27" t="n">
        <v>98</v>
      </c>
      <c r="C48" s="28" t="n">
        <v>78.02</v>
      </c>
      <c r="D48" s="28" t="n">
        <v>285</v>
      </c>
      <c r="E48" s="17" t="inlineStr">
        <is>
          <t>TBZ</t>
        </is>
      </c>
      <c r="F48" s="18" t="inlineStr">
        <is>
          <t>Tribhovandas Bhimji Zaveri Limited</t>
        </is>
      </c>
      <c r="G48" s="18" t="inlineStr">
        <is>
          <t>consumer discretionary</t>
        </is>
      </c>
      <c r="H48" s="19" t="n">
        <v>4376.53</v>
      </c>
    </row>
    <row r="49">
      <c r="A49" s="16" t="n">
        <v>3</v>
      </c>
      <c r="B49" s="27" t="n">
        <v>98</v>
      </c>
      <c r="C49" s="28" t="n">
        <v>74.03</v>
      </c>
      <c r="D49" s="28" t="n">
        <v>253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19050.05</v>
      </c>
    </row>
    <row r="50">
      <c r="A50" s="16" t="n">
        <v>4</v>
      </c>
      <c r="B50" s="27" t="n">
        <v>97</v>
      </c>
      <c r="C50" s="28" t="n">
        <v>69.31999999999999</v>
      </c>
      <c r="D50" s="28" t="n">
        <v>273</v>
      </c>
      <c r="E50" s="17" t="inlineStr">
        <is>
          <t>KABRAEXTRU</t>
        </is>
      </c>
      <c r="F50" s="18" t="inlineStr">
        <is>
          <t>Kabra Extrusion Technik Limited</t>
        </is>
      </c>
      <c r="G50" s="18" t="inlineStr">
        <is>
          <t>industrials</t>
        </is>
      </c>
      <c r="H50" s="19" t="n">
        <v>3093.79</v>
      </c>
    </row>
    <row r="51">
      <c r="A51" s="16" t="n">
        <v>5</v>
      </c>
      <c r="B51" s="27" t="n">
        <v>97</v>
      </c>
      <c r="C51" s="28" t="n">
        <v>53.56</v>
      </c>
      <c r="D51" s="28" t="n">
        <v>280</v>
      </c>
      <c r="E51" s="17" t="inlineStr">
        <is>
          <t>MODISONLTD</t>
        </is>
      </c>
      <c r="F51" s="18" t="inlineStr">
        <is>
          <t>Modison Ltd</t>
        </is>
      </c>
      <c r="G51" s="18" t="inlineStr">
        <is>
          <t>industrials</t>
        </is>
      </c>
      <c r="H51" s="19" t="n">
        <v>1685.94</v>
      </c>
    </row>
    <row r="52">
      <c r="A52" s="16" t="n">
        <v>6</v>
      </c>
      <c r="B52" s="27" t="n">
        <v>96</v>
      </c>
      <c r="C52" s="28" t="n">
        <v>53.32</v>
      </c>
      <c r="D52" s="28" t="n">
        <v>275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6697.09</v>
      </c>
    </row>
    <row r="53">
      <c r="A53" s="16" t="n">
        <v>7</v>
      </c>
      <c r="B53" s="27" t="n">
        <v>96</v>
      </c>
      <c r="C53" s="28" t="n">
        <v>51.95</v>
      </c>
      <c r="D53" s="28" t="n">
        <v>280</v>
      </c>
      <c r="E53" s="17" t="inlineStr">
        <is>
          <t>SWANDEF</t>
        </is>
      </c>
      <c r="F53" s="18" t="inlineStr">
        <is>
          <t>Swan Defence and Heavy Industries Ltd</t>
        </is>
      </c>
      <c r="G53" s="18" t="inlineStr">
        <is>
          <t>transportation</t>
        </is>
      </c>
      <c r="H53" s="19" t="n">
        <v>15637.12</v>
      </c>
    </row>
    <row r="54">
      <c r="A54" s="16" t="n">
        <v>8</v>
      </c>
      <c r="B54" s="27" t="n">
        <v>95</v>
      </c>
      <c r="C54" s="28" t="n">
        <v>50.54</v>
      </c>
      <c r="D54" s="28" t="n">
        <v>265</v>
      </c>
      <c r="E54" s="17" t="inlineStr">
        <is>
          <t>BAFNAPH</t>
        </is>
      </c>
      <c r="F54" s="18" t="inlineStr">
        <is>
          <t>Bafna Pharmaceuticals Ltd</t>
        </is>
      </c>
      <c r="G54" s="18" t="inlineStr">
        <is>
          <t>healthcare</t>
        </is>
      </c>
      <c r="H54" s="19" t="n">
        <v>1028.7</v>
      </c>
    </row>
    <row r="55">
      <c r="A55" s="16" t="n">
        <v>9</v>
      </c>
      <c r="B55" s="27" t="n">
        <v>95</v>
      </c>
      <c r="C55" s="28" t="n">
        <v>49.71</v>
      </c>
      <c r="D55" s="28" t="n">
        <v>263</v>
      </c>
      <c r="E55" s="17" t="inlineStr">
        <is>
          <t>SPECTRUM</t>
        </is>
      </c>
      <c r="F55" s="18" t="inlineStr">
        <is>
          <t>Spectrum Electrical Industries Ltd</t>
        </is>
      </c>
      <c r="G55" s="18" t="inlineStr">
        <is>
          <t>industrials</t>
        </is>
      </c>
      <c r="H55" s="19" t="n">
        <v>6292.29</v>
      </c>
    </row>
    <row r="56">
      <c r="A56" s="16" t="n">
        <v>10</v>
      </c>
      <c r="B56" s="29" t="n">
        <v>94</v>
      </c>
      <c r="C56" s="28" t="n">
        <v>47.71</v>
      </c>
      <c r="D56" s="28" t="n">
        <v>252</v>
      </c>
      <c r="E56" s="17" t="inlineStr">
        <is>
          <t>BIRLACABLE</t>
        </is>
      </c>
      <c r="F56" s="18" t="inlineStr">
        <is>
          <t>Birla Cable Limited</t>
        </is>
      </c>
      <c r="G56" s="18" t="inlineStr">
        <is>
          <t>Technology</t>
        </is>
      </c>
      <c r="H56" s="19" t="n">
        <v>1137.9</v>
      </c>
    </row>
    <row r="57">
      <c r="A57" s="16" t="n">
        <v>11</v>
      </c>
      <c r="B57" s="29" t="n">
        <v>94</v>
      </c>
      <c r="C57" s="28" t="n">
        <v>45.24</v>
      </c>
      <c r="D57" s="28" t="n">
        <v>275</v>
      </c>
      <c r="E57" s="17" t="inlineStr">
        <is>
          <t>HIIL</t>
        </is>
      </c>
      <c r="F57" s="18" t="inlineStr">
        <is>
          <t>Hindusthan Insulators &amp; Industries Limited</t>
        </is>
      </c>
      <c r="G57" s="18" t="inlineStr">
        <is>
          <t>Industrials</t>
        </is>
      </c>
      <c r="H57" s="19" t="n">
        <v>1308.66</v>
      </c>
    </row>
    <row r="58">
      <c r="A58" s="16" t="n">
        <v>12</v>
      </c>
      <c r="B58" s="29" t="n">
        <v>93</v>
      </c>
      <c r="C58" s="28" t="n">
        <v>42.16</v>
      </c>
      <c r="D58" s="28" t="n">
        <v>258</v>
      </c>
      <c r="E58" s="17" t="inlineStr">
        <is>
          <t>RAYMOND</t>
        </is>
      </c>
      <c r="F58" s="18" t="inlineStr">
        <is>
          <t>Raymond Limited</t>
        </is>
      </c>
      <c r="G58" s="18" t="inlineStr">
        <is>
          <t>transportation</t>
        </is>
      </c>
      <c r="H58" s="19" t="n">
        <v>7721.22</v>
      </c>
    </row>
    <row r="59">
      <c r="A59" s="16" t="n">
        <v>13</v>
      </c>
      <c r="B59" s="29" t="n">
        <v>93</v>
      </c>
      <c r="C59" s="28" t="n">
        <v>41.72</v>
      </c>
      <c r="D59" s="28" t="n">
        <v>275</v>
      </c>
      <c r="E59" s="17" t="inlineStr">
        <is>
          <t>E2E</t>
        </is>
      </c>
      <c r="F59" s="18" t="inlineStr">
        <is>
          <t>E2E Networks Ltd</t>
        </is>
      </c>
      <c r="G59" s="18" t="inlineStr">
        <is>
          <t>i.t</t>
        </is>
      </c>
      <c r="H59" s="19" t="n">
        <v>15124.44</v>
      </c>
    </row>
    <row r="60">
      <c r="A60" s="16" t="n">
        <v>14</v>
      </c>
      <c r="B60" s="29" t="n">
        <v>92</v>
      </c>
      <c r="C60" s="28" t="n">
        <v>41.51</v>
      </c>
      <c r="D60" s="28" t="n">
        <v>0</v>
      </c>
      <c r="E60" s="17" t="inlineStr">
        <is>
          <t>SHUKRAPHAR</t>
        </is>
      </c>
      <c r="F60" s="18" t="inlineStr">
        <is>
          <t>Shukra Pharmaceuticals Limited</t>
        </is>
      </c>
      <c r="G60" s="18" t="inlineStr">
        <is>
          <t>Healthcare</t>
        </is>
      </c>
      <c r="H60" s="19" t="n">
        <v>2964.9</v>
      </c>
    </row>
    <row r="61">
      <c r="A61" s="16" t="n">
        <v>15</v>
      </c>
      <c r="B61" s="29" t="n">
        <v>92</v>
      </c>
      <c r="C61" s="28" t="n">
        <v>40.79</v>
      </c>
      <c r="D61" s="28" t="n">
        <v>273</v>
      </c>
      <c r="E61" s="17" t="inlineStr">
        <is>
          <t>CYIENTDLM</t>
        </is>
      </c>
      <c r="F61" s="18" t="inlineStr">
        <is>
          <t>Cyient DLM Ltd</t>
        </is>
      </c>
      <c r="G61" s="18" t="inlineStr">
        <is>
          <t>aerospace &amp; defence</t>
        </is>
      </c>
      <c r="H61" s="19" t="n">
        <v>8027.64</v>
      </c>
    </row>
    <row r="62">
      <c r="A62" s="16" t="n">
        <v>16</v>
      </c>
      <c r="B62" s="29" t="n">
        <v>91</v>
      </c>
      <c r="C62" s="28" t="n">
        <v>39.28</v>
      </c>
      <c r="D62" s="28" t="n">
        <v>272</v>
      </c>
      <c r="E62" s="17" t="inlineStr">
        <is>
          <t>TFCILTD</t>
        </is>
      </c>
      <c r="F62" s="18" t="inlineStr">
        <is>
          <t>Tourism Finance Corporation Of India Limited</t>
        </is>
      </c>
      <c r="G62" s="18" t="inlineStr">
        <is>
          <t>financials</t>
        </is>
      </c>
      <c r="H62" s="19" t="n">
        <v>7346.99</v>
      </c>
    </row>
    <row r="63">
      <c r="A63" s="16" t="n">
        <v>17</v>
      </c>
      <c r="B63" s="29" t="n">
        <v>91</v>
      </c>
      <c r="C63" s="28" t="n">
        <v>38.67</v>
      </c>
      <c r="D63" s="28" t="n">
        <v>263</v>
      </c>
      <c r="E63" s="17" t="inlineStr">
        <is>
          <t>SHREEJISPG</t>
        </is>
      </c>
      <c r="F63" s="18" t="inlineStr">
        <is>
          <t>Shreeji Shipping Global Ltd</t>
        </is>
      </c>
      <c r="G63" s="18" t="inlineStr">
        <is>
          <t>transportation</t>
        </is>
      </c>
      <c r="H63" s="19" t="n">
        <v>13437.5</v>
      </c>
    </row>
    <row r="64">
      <c r="A64" s="16" t="n">
        <v>18</v>
      </c>
      <c r="B64" s="29" t="n">
        <v>90</v>
      </c>
      <c r="C64" s="28" t="n">
        <v>38.58</v>
      </c>
      <c r="D64" s="28" t="n">
        <v>280</v>
      </c>
      <c r="E64" s="17" t="inlineStr">
        <is>
          <t>BHAGERIA</t>
        </is>
      </c>
      <c r="F64" s="18" t="inlineStr">
        <is>
          <t>Bhageria Industries Limited</t>
        </is>
      </c>
      <c r="G64" s="18" t="inlineStr">
        <is>
          <t>chemicals</t>
        </is>
      </c>
      <c r="H64" s="19" t="n">
        <v>1692.96</v>
      </c>
    </row>
    <row r="65">
      <c r="A65" s="16" t="n">
        <v>19</v>
      </c>
      <c r="B65" s="29" t="n">
        <v>90</v>
      </c>
      <c r="C65" s="28" t="n">
        <v>38.33</v>
      </c>
      <c r="D65" s="28" t="n">
        <v>237</v>
      </c>
      <c r="E65" s="17" t="inlineStr">
        <is>
          <t>KPL</t>
        </is>
      </c>
      <c r="F65" s="18" t="inlineStr">
        <is>
          <t>Kwality Pharmaceuticals Limited</t>
        </is>
      </c>
      <c r="G65" s="18" t="inlineStr">
        <is>
          <t>Healthcare</t>
        </is>
      </c>
      <c r="H65" s="19" t="n">
        <v>3519.71</v>
      </c>
    </row>
    <row r="66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SEJALLTD</t>
        </is>
      </c>
      <c r="B2" s="31" t="inlineStr">
        <is>
          <t>Sejal Glass Ltd</t>
        </is>
      </c>
      <c r="C2" s="31" t="inlineStr">
        <is>
          <t>building materials</t>
        </is>
      </c>
      <c r="D2" s="31" t="inlineStr">
        <is>
          <t>glass &amp; glass products</t>
        </is>
      </c>
      <c r="E2" s="31" t="inlineStr">
        <is>
          <t>smallcap</t>
        </is>
      </c>
      <c r="F2" s="31" t="n">
        <v>832.2</v>
      </c>
      <c r="G2" s="31" t="n">
        <v>876</v>
      </c>
      <c r="H2" s="31" t="n">
        <v>20</v>
      </c>
      <c r="I2" s="31" t="n">
        <v>116159</v>
      </c>
      <c r="J2" s="31" t="inlineStr">
        <is>
          <t>532993</t>
        </is>
      </c>
    </row>
    <row r="3">
      <c r="A3" s="31" t="inlineStr">
        <is>
          <t>WSTCSTPAPR</t>
        </is>
      </c>
      <c r="B3" s="31" t="inlineStr">
        <is>
          <t>West Coast Paper Mills Limited</t>
        </is>
      </c>
      <c r="C3" s="31" t="inlineStr">
        <is>
          <t>building materials</t>
        </is>
      </c>
      <c r="D3" s="31" t="inlineStr">
        <is>
          <t>paper</t>
        </is>
      </c>
      <c r="E3" s="31" t="inlineStr">
        <is>
          <t>midcap</t>
        </is>
      </c>
      <c r="F3" s="31" t="n">
        <v>5470.17</v>
      </c>
      <c r="G3" s="31" t="n">
        <v>940.45</v>
      </c>
      <c r="H3" s="31" t="n">
        <v>13.55</v>
      </c>
      <c r="I3" s="31" t="n">
        <v>6111695</v>
      </c>
      <c r="J3" s="31" t="inlineStr">
        <is>
          <t>500444</t>
        </is>
      </c>
    </row>
    <row r="4">
      <c r="A4" s="31" t="inlineStr">
        <is>
          <t>PASUPTAC</t>
        </is>
      </c>
      <c r="B4" s="31" t="inlineStr">
        <is>
          <t>Pasupati Acrylon Ltd</t>
        </is>
      </c>
      <c r="C4" s="31" t="inlineStr">
        <is>
          <t>textiles</t>
        </is>
      </c>
      <c r="D4" s="31" t="inlineStr">
        <is>
          <t>textiles - manmade</t>
        </is>
      </c>
      <c r="E4" s="31" t="inlineStr">
        <is>
          <t>smallcap</t>
        </is>
      </c>
      <c r="F4" s="31" t="n">
        <v>668.05</v>
      </c>
      <c r="G4" s="31" t="n">
        <v>84.28</v>
      </c>
      <c r="H4" s="31" t="n">
        <v>12.45</v>
      </c>
      <c r="I4" s="31" t="n">
        <v>5432892</v>
      </c>
      <c r="J4" s="31" t="inlineStr">
        <is>
          <t>500456</t>
        </is>
      </c>
    </row>
    <row r="5">
      <c r="A5" s="31" t="inlineStr">
        <is>
          <t>KROSS</t>
        </is>
      </c>
      <c r="B5" s="31" t="inlineStr">
        <is>
          <t>Kross Ltd</t>
        </is>
      </c>
      <c r="C5" s="31" t="inlineStr">
        <is>
          <t>auto</t>
        </is>
      </c>
      <c r="D5" s="31" t="inlineStr">
        <is>
          <t>auto ancillaries</t>
        </is>
      </c>
      <c r="E5" s="31" t="inlineStr">
        <is>
          <t>smallcap</t>
        </is>
      </c>
      <c r="F5" s="31" t="n">
        <v>1572.74</v>
      </c>
      <c r="G5" s="31" t="n">
        <v>272.25</v>
      </c>
      <c r="H5" s="31" t="n">
        <v>11.67</v>
      </c>
      <c r="I5" s="31" t="n">
        <v>10379437</v>
      </c>
      <c r="J5" s="31" t="inlineStr">
        <is>
          <t>544253</t>
        </is>
      </c>
    </row>
    <row r="6">
      <c r="A6" s="31" t="inlineStr">
        <is>
          <t>RUBYMILLS</t>
        </is>
      </c>
      <c r="B6" s="31" t="inlineStr">
        <is>
          <t>The Ruby Mills Limited</t>
        </is>
      </c>
      <c r="C6" s="31" t="inlineStr">
        <is>
          <t>textiles</t>
        </is>
      </c>
      <c r="D6" s="31" t="inlineStr">
        <is>
          <t>textiles - composite</t>
        </is>
      </c>
      <c r="E6" s="31" t="inlineStr">
        <is>
          <t>smallcap</t>
        </is>
      </c>
      <c r="F6" s="31" t="n">
        <v>1645.42</v>
      </c>
      <c r="G6" s="31" t="n">
        <v>541.25</v>
      </c>
      <c r="H6" s="31" t="n">
        <v>10</v>
      </c>
      <c r="I6" s="31" t="n">
        <v>201214</v>
      </c>
      <c r="J6" s="31" t="inlineStr">
        <is>
          <t>503169</t>
        </is>
      </c>
    </row>
    <row r="7">
      <c r="A7" s="31" t="inlineStr">
        <is>
          <t>ONWARDTEC</t>
        </is>
      </c>
      <c r="B7" s="31" t="inlineStr">
        <is>
          <t>Onward Technologies Limited</t>
        </is>
      </c>
      <c r="C7" s="31" t="inlineStr">
        <is>
          <t>i.t</t>
        </is>
      </c>
      <c r="D7" s="31" t="inlineStr">
        <is>
          <t>computers - software - medium / small</t>
        </is>
      </c>
      <c r="E7" s="31" t="inlineStr">
        <is>
          <t>smallcap</t>
        </is>
      </c>
      <c r="F7" s="31" t="n">
        <v>727.4400000000001</v>
      </c>
      <c r="G7" s="31" t="n">
        <v>359.45</v>
      </c>
      <c r="H7" s="31" t="n">
        <v>9.94</v>
      </c>
      <c r="I7" s="31" t="n">
        <v>771831</v>
      </c>
      <c r="J7" s="31" t="inlineStr">
        <is>
          <t>517536</t>
        </is>
      </c>
    </row>
    <row r="8">
      <c r="A8" s="31" t="inlineStr">
        <is>
          <t>EIMCOELECO</t>
        </is>
      </c>
      <c r="B8" s="31" t="inlineStr">
        <is>
          <t>Eimco Elecon (india) Limited</t>
        </is>
      </c>
      <c r="C8" s="31" t="inlineStr">
        <is>
          <t>industrials</t>
        </is>
      </c>
      <c r="D8" s="31" t="inlineStr">
        <is>
          <t>engineering</t>
        </is>
      </c>
      <c r="E8" s="31" t="inlineStr">
        <is>
          <t>smallcap</t>
        </is>
      </c>
      <c r="F8" s="31" t="n">
        <v>1291.77</v>
      </c>
      <c r="G8" s="31" t="n">
        <v>2454.2</v>
      </c>
      <c r="H8" s="31" t="n">
        <v>9.59</v>
      </c>
      <c r="I8" s="31" t="n">
        <v>245471</v>
      </c>
      <c r="J8" s="31" t="inlineStr">
        <is>
          <t>523708</t>
        </is>
      </c>
    </row>
    <row r="9">
      <c r="A9" s="31" t="inlineStr">
        <is>
          <t>ZOTA</t>
        </is>
      </c>
      <c r="B9" s="31" t="inlineStr">
        <is>
          <t>Zota Health Care Ltd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smallcap</t>
        </is>
      </c>
      <c r="F9" s="31" t="n">
        <v>4506.39</v>
      </c>
      <c r="G9" s="31" t="n">
        <v>1420.1</v>
      </c>
      <c r="H9" s="31" t="n">
        <v>9.140000000000001</v>
      </c>
      <c r="I9" s="31" t="n">
        <v>281558</v>
      </c>
      <c r="J9" s="31" t="inlineStr">
        <is>
          <t>538426</t>
        </is>
      </c>
    </row>
    <row r="10">
      <c r="A10" s="31" t="inlineStr">
        <is>
          <t>ADVANCE</t>
        </is>
      </c>
      <c r="B10" s="31" t="inlineStr">
        <is>
          <t>Advance Agrolife Ltd</t>
        </is>
      </c>
      <c r="C10" s="31" t="inlineStr">
        <is>
          <t>chemicals</t>
        </is>
      </c>
      <c r="D10" s="31" t="inlineStr">
        <is>
          <t>pesticides / agrochemicals - indian</t>
        </is>
      </c>
      <c r="E10" s="31" t="inlineStr">
        <is>
          <t>smallcap</t>
        </is>
      </c>
      <c r="F10" s="31" t="n">
        <v>925.52</v>
      </c>
      <c r="G10" s="31" t="n">
        <v>155.67</v>
      </c>
      <c r="H10" s="31" t="n">
        <v>8.130000000000001</v>
      </c>
      <c r="I10" s="31" t="n">
        <v>8853796</v>
      </c>
      <c r="J10" s="31" t="inlineStr">
        <is>
          <t>544562</t>
        </is>
      </c>
    </row>
    <row r="11">
      <c r="A11" s="31" t="inlineStr">
        <is>
          <t>RAIN</t>
        </is>
      </c>
      <c r="B11" s="31" t="inlineStr">
        <is>
          <t>Rain Industries Limited</t>
        </is>
      </c>
      <c r="C11" s="31" t="inlineStr">
        <is>
          <t>miscellaneous</t>
        </is>
      </c>
      <c r="D11" s="31" t="inlineStr">
        <is>
          <t>miscellaneous</t>
        </is>
      </c>
      <c r="E11" s="31" t="inlineStr">
        <is>
          <t>midcap</t>
        </is>
      </c>
      <c r="F11" s="31" t="n">
        <v>7391.2</v>
      </c>
      <c r="G11" s="31" t="n">
        <v>237.08</v>
      </c>
      <c r="H11" s="31" t="n">
        <v>7.89</v>
      </c>
      <c r="I11" s="31" t="n">
        <v>14443836</v>
      </c>
      <c r="J11" s="31" t="inlineStr">
        <is>
          <t>500339</t>
        </is>
      </c>
    </row>
    <row r="12">
      <c r="A12" s="31" t="inlineStr">
        <is>
          <t>SPORTKING</t>
        </is>
      </c>
      <c r="B12" s="31" t="inlineStr">
        <is>
          <t>Sportking India Ltd</t>
        </is>
      </c>
      <c r="C12" s="31" t="inlineStr">
        <is>
          <t>textiles</t>
        </is>
      </c>
      <c r="D12" s="31" t="inlineStr">
        <is>
          <t>textiles - spinning - synthetic / blended</t>
        </is>
      </c>
      <c r="E12" s="31" t="inlineStr">
        <is>
          <t>smallcap</t>
        </is>
      </c>
      <c r="F12" s="31" t="n">
        <v>2663.68</v>
      </c>
      <c r="G12" s="31" t="n">
        <v>225.87</v>
      </c>
      <c r="H12" s="31" t="n">
        <v>7.75</v>
      </c>
      <c r="I12" s="31" t="n">
        <v>2844583</v>
      </c>
      <c r="J12" s="31" t="inlineStr">
        <is>
          <t>539221</t>
        </is>
      </c>
    </row>
    <row r="13">
      <c r="A13" s="31" t="inlineStr">
        <is>
          <t>JGCHEM</t>
        </is>
      </c>
      <c r="B13" s="31" t="inlineStr">
        <is>
          <t>J.G.Chemicals Ltd</t>
        </is>
      </c>
      <c r="C13" s="31" t="inlineStr">
        <is>
          <t>chemicals</t>
        </is>
      </c>
      <c r="D13" s="31" t="inlineStr">
        <is>
          <t>chemicals</t>
        </is>
      </c>
      <c r="E13" s="31" t="inlineStr">
        <is>
          <t>smallcap</t>
        </is>
      </c>
      <c r="F13" s="31" t="n">
        <v>2479.69</v>
      </c>
      <c r="G13" s="31" t="n">
        <v>681.7</v>
      </c>
      <c r="H13" s="31" t="n">
        <v>7.73</v>
      </c>
      <c r="I13" s="31" t="n">
        <v>700401</v>
      </c>
      <c r="J13" s="31" t="n"/>
    </row>
    <row r="14">
      <c r="A14" s="31" t="inlineStr">
        <is>
          <t>KOPRAN</t>
        </is>
      </c>
      <c r="B14" s="31" t="inlineStr">
        <is>
          <t>Kopran Limited</t>
        </is>
      </c>
      <c r="C14" s="31" t="inlineStr">
        <is>
          <t>healthcare</t>
        </is>
      </c>
      <c r="D14" s="31" t="inlineStr">
        <is>
          <t>pharmaceuticals - indian - bulk drugs &amp; formln</t>
        </is>
      </c>
      <c r="E14" s="31" t="inlineStr">
        <is>
          <t>smallcap</t>
        </is>
      </c>
      <c r="F14" s="31" t="n">
        <v>1277.5</v>
      </c>
      <c r="G14" s="31" t="n">
        <v>283.95</v>
      </c>
      <c r="H14" s="31" t="n">
        <v>7.41</v>
      </c>
      <c r="I14" s="31" t="n">
        <v>952484</v>
      </c>
      <c r="J14" s="31" t="inlineStr">
        <is>
          <t>524280</t>
        </is>
      </c>
    </row>
    <row r="15">
      <c r="A15" s="31" t="inlineStr">
        <is>
          <t>SIMPLEXINF</t>
        </is>
      </c>
      <c r="B15" s="31" t="inlineStr">
        <is>
          <t>Simplex Infrastructures Limited</t>
        </is>
      </c>
      <c r="C15" s="31" t="inlineStr">
        <is>
          <t>realty</t>
        </is>
      </c>
      <c r="D15" s="31" t="inlineStr">
        <is>
          <t>construction</t>
        </is>
      </c>
      <c r="E15" s="31" t="inlineStr">
        <is>
          <t>smallcap</t>
        </is>
      </c>
      <c r="F15" s="31" t="n">
        <v>1967.97</v>
      </c>
      <c r="G15" s="31" t="n">
        <v>266.61</v>
      </c>
      <c r="H15" s="31" t="n">
        <v>7.15</v>
      </c>
      <c r="I15" s="31" t="n">
        <v>1050335</v>
      </c>
      <c r="J15" s="31" t="inlineStr">
        <is>
          <t>523838</t>
        </is>
      </c>
    </row>
    <row r="16">
      <c r="A16" s="31" t="inlineStr">
        <is>
          <t>AEGISLOG</t>
        </is>
      </c>
      <c r="B16" s="31" t="inlineStr">
        <is>
          <t>Aegis Logistics Ltd</t>
        </is>
      </c>
      <c r="C16" s="31" t="inlineStr">
        <is>
          <t>services</t>
        </is>
      </c>
      <c r="D16" s="31" t="inlineStr">
        <is>
          <t>trading</t>
        </is>
      </c>
      <c r="E16" s="31" t="inlineStr">
        <is>
          <t>largecap</t>
        </is>
      </c>
      <c r="F16" s="31" t="n">
        <v>48859.2</v>
      </c>
      <c r="G16" s="31" t="n">
        <v>1489.1</v>
      </c>
      <c r="H16" s="31" t="n">
        <v>6.98</v>
      </c>
      <c r="I16" s="31" t="n">
        <v>4475806</v>
      </c>
      <c r="J16" s="31" t="inlineStr">
        <is>
          <t>500003</t>
        </is>
      </c>
    </row>
    <row r="17">
      <c r="A17" s="31" t="inlineStr">
        <is>
          <t>VENKEYS</t>
        </is>
      </c>
      <c r="B17" s="31" t="inlineStr">
        <is>
          <t>Venky's (india) Limited</t>
        </is>
      </c>
      <c r="C17" s="31" t="inlineStr">
        <is>
          <t>fmcg</t>
        </is>
      </c>
      <c r="D17" s="31" t="inlineStr">
        <is>
          <t>miscellaneous</t>
        </is>
      </c>
      <c r="E17" s="31" t="inlineStr">
        <is>
          <t>smallcap</t>
        </is>
      </c>
      <c r="F17" s="31" t="n">
        <v>2253.97</v>
      </c>
      <c r="G17" s="31" t="n">
        <v>1702</v>
      </c>
      <c r="H17" s="31" t="n">
        <v>6.38</v>
      </c>
      <c r="I17" s="31" t="n">
        <v>227581</v>
      </c>
      <c r="J17" s="31" t="inlineStr">
        <is>
          <t>523261</t>
        </is>
      </c>
    </row>
    <row r="18">
      <c r="A18" s="31" t="inlineStr">
        <is>
          <t>KENNAMET</t>
        </is>
      </c>
      <c r="B18" s="31" t="inlineStr">
        <is>
          <t>Kennametal India Ltd</t>
        </is>
      </c>
      <c r="C18" s="31" t="inlineStr">
        <is>
          <t>castings, forgings &amp; fasteners</t>
        </is>
      </c>
      <c r="D18" s="31" t="inlineStr">
        <is>
          <t>castings &amp; forgings</t>
        </is>
      </c>
      <c r="E18" s="31" t="inlineStr">
        <is>
          <t>midcap</t>
        </is>
      </c>
      <c r="F18" s="31" t="n">
        <v>9275.26</v>
      </c>
      <c r="G18" s="31" t="n">
        <v>4482.8</v>
      </c>
      <c r="H18" s="31" t="n">
        <v>6.22</v>
      </c>
      <c r="I18" s="31" t="n">
        <v>60945</v>
      </c>
      <c r="J18" s="31" t="inlineStr">
        <is>
          <t>505890</t>
        </is>
      </c>
    </row>
    <row r="19">
      <c r="A19" s="31" t="inlineStr">
        <is>
          <t>HINDCOMPOS</t>
        </is>
      </c>
      <c r="B19" s="31" t="inlineStr">
        <is>
          <t>Hindustan Composites Limited</t>
        </is>
      </c>
      <c r="C19" s="31" t="inlineStr">
        <is>
          <t>miscellaneous</t>
        </is>
      </c>
      <c r="D19" s="31" t="inlineStr">
        <is>
          <t>diversified - medium / small</t>
        </is>
      </c>
      <c r="E19" s="31" t="inlineStr">
        <is>
          <t>smallcap</t>
        </is>
      </c>
      <c r="F19" s="31" t="n">
        <v>649.02</v>
      </c>
      <c r="G19" s="31" t="n">
        <v>465.8</v>
      </c>
      <c r="H19" s="31" t="n">
        <v>6</v>
      </c>
      <c r="I19" s="31" t="n">
        <v>168618</v>
      </c>
      <c r="J19" s="31" t="inlineStr">
        <is>
          <t>509635</t>
        </is>
      </c>
    </row>
    <row r="20">
      <c r="A20" s="31" t="inlineStr">
        <is>
          <t>FEDFINA</t>
        </is>
      </c>
      <c r="B20" s="31" t="inlineStr">
        <is>
          <t>Fedbank Financial Services Ltd</t>
        </is>
      </c>
      <c r="C20" s="31" t="inlineStr">
        <is>
          <t>financials</t>
        </is>
      </c>
      <c r="D20" s="31" t="inlineStr">
        <is>
          <t>finance &amp; investments</t>
        </is>
      </c>
      <c r="E20" s="31" t="inlineStr">
        <is>
          <t>midcap</t>
        </is>
      </c>
      <c r="F20" s="31" t="n">
        <v>5656.96</v>
      </c>
      <c r="G20" s="31" t="n">
        <v>159.94</v>
      </c>
      <c r="H20" s="31" t="n">
        <v>6</v>
      </c>
      <c r="I20" s="31" t="n">
        <v>2433865</v>
      </c>
      <c r="J20" s="31" t="inlineStr">
        <is>
          <t>544027</t>
        </is>
      </c>
    </row>
    <row r="21">
      <c r="A21" s="31" t="inlineStr">
        <is>
          <t>CHENNPETRO</t>
        </is>
      </c>
      <c r="B21" s="31" t="inlineStr">
        <is>
          <t>Chennai Petroleum Corporation Limited</t>
        </is>
      </c>
      <c r="C21" s="31" t="inlineStr">
        <is>
          <t>energy</t>
        </is>
      </c>
      <c r="D21" s="31" t="inlineStr">
        <is>
          <t>refineries</t>
        </is>
      </c>
      <c r="E21" s="31" t="inlineStr">
        <is>
          <t>largecap</t>
        </is>
      </c>
      <c r="F21" s="31" t="n">
        <v>21739.58</v>
      </c>
      <c r="G21" s="31" t="n">
        <v>1546.1</v>
      </c>
      <c r="H21" s="31" t="n">
        <v>5.9</v>
      </c>
      <c r="I21" s="31" t="n">
        <v>4788653</v>
      </c>
      <c r="J21" s="31" t="inlineStr">
        <is>
          <t>500110</t>
        </is>
      </c>
    </row>
    <row r="22">
      <c r="A22" s="31" t="inlineStr">
        <is>
          <t>FCL</t>
        </is>
      </c>
      <c r="B22" s="31" t="inlineStr">
        <is>
          <t>Fineotex Chemical Limited</t>
        </is>
      </c>
      <c r="C22" s="31" t="inlineStr">
        <is>
          <t>chemicals</t>
        </is>
      </c>
      <c r="D22" s="31" t="inlineStr">
        <is>
          <t>chemicals</t>
        </is>
      </c>
      <c r="E22" s="31" t="inlineStr">
        <is>
          <t>midcap</t>
        </is>
      </c>
      <c r="F22" s="31" t="n">
        <v>6584.09</v>
      </c>
      <c r="G22" s="31" t="n">
        <v>59.86</v>
      </c>
      <c r="H22" s="31" t="n">
        <v>5.87</v>
      </c>
      <c r="I22" s="31" t="n">
        <v>48050516</v>
      </c>
      <c r="J22" s="31" t="inlineStr">
        <is>
          <t>533333</t>
        </is>
      </c>
    </row>
    <row r="23">
      <c r="A23" s="31" t="inlineStr">
        <is>
          <t>BLUSPRING</t>
        </is>
      </c>
      <c r="B23" s="31" t="inlineStr">
        <is>
          <t>Bluspring Enterprises Ltd</t>
        </is>
      </c>
      <c r="C23" s="31" t="inlineStr">
        <is>
          <t>miscellaneous</t>
        </is>
      </c>
      <c r="D23" s="31" t="inlineStr">
        <is>
          <t>diversified - large</t>
        </is>
      </c>
      <c r="E23" s="31" t="inlineStr">
        <is>
          <t>smallcap</t>
        </is>
      </c>
      <c r="F23" s="31" t="n">
        <v>2350.56</v>
      </c>
      <c r="G23" s="31" t="n">
        <v>166.25</v>
      </c>
      <c r="H23" s="31" t="n">
        <v>5.7</v>
      </c>
      <c r="I23" s="31" t="n">
        <v>1034834</v>
      </c>
      <c r="J23" s="31" t="inlineStr">
        <is>
          <t>544414</t>
        </is>
      </c>
    </row>
    <row r="24">
      <c r="A24" s="31" t="inlineStr">
        <is>
          <t>INDORAMA</t>
        </is>
      </c>
      <c r="B24" s="31" t="inlineStr">
        <is>
          <t>Indo Rama Synthetics (india) Limited</t>
        </is>
      </c>
      <c r="C24" s="31" t="inlineStr">
        <is>
          <t>textiles</t>
        </is>
      </c>
      <c r="D24" s="31" t="inlineStr">
        <is>
          <t>textiles - manmade</t>
        </is>
      </c>
      <c r="E24" s="31" t="inlineStr">
        <is>
          <t>smallcap</t>
        </is>
      </c>
      <c r="F24" s="31" t="n">
        <v>2383.18</v>
      </c>
      <c r="G24" s="31" t="n">
        <v>96.34</v>
      </c>
      <c r="H24" s="31" t="n">
        <v>5.55</v>
      </c>
      <c r="I24" s="31" t="n">
        <v>790390</v>
      </c>
      <c r="J24" s="31" t="inlineStr">
        <is>
          <t>500207</t>
        </is>
      </c>
    </row>
    <row r="25">
      <c r="A25" s="31" t="inlineStr">
        <is>
          <t>NITINSPIN</t>
        </is>
      </c>
      <c r="B25" s="31" t="inlineStr">
        <is>
          <t>Nitin Spinners Limited</t>
        </is>
      </c>
      <c r="C25" s="31" t="inlineStr">
        <is>
          <t>textiles</t>
        </is>
      </c>
      <c r="D25" s="31" t="inlineStr">
        <is>
          <t>textiles - cotton/blended</t>
        </is>
      </c>
      <c r="E25" s="31" t="inlineStr">
        <is>
          <t>smallcap</t>
        </is>
      </c>
      <c r="F25" s="31" t="n">
        <v>3426.61</v>
      </c>
      <c r="G25" s="31" t="n">
        <v>642.75</v>
      </c>
      <c r="H25" s="31" t="n">
        <v>5.46</v>
      </c>
      <c r="I25" s="31" t="n">
        <v>175395</v>
      </c>
      <c r="J25" s="31" t="inlineStr">
        <is>
          <t>532698</t>
        </is>
      </c>
    </row>
    <row r="26">
      <c r="A26" s="31" t="inlineStr">
        <is>
          <t>TATVA</t>
        </is>
      </c>
      <c r="B26" s="31" t="inlineStr">
        <is>
          <t>Tatva Chintan Pharma Chem Ltd</t>
        </is>
      </c>
      <c r="C26" s="31" t="inlineStr">
        <is>
          <t>chemicals</t>
        </is>
      </c>
      <c r="D26" s="31" t="inlineStr">
        <is>
          <t>chemicals</t>
        </is>
      </c>
      <c r="E26" s="31" t="inlineStr">
        <is>
          <t>smallcap</t>
        </is>
      </c>
      <c r="F26" s="31" t="n">
        <v>4307.18</v>
      </c>
      <c r="G26" s="31" t="n">
        <v>1940.6</v>
      </c>
      <c r="H26" s="31" t="n">
        <v>5.39</v>
      </c>
      <c r="I26" s="31" t="n">
        <v>109514</v>
      </c>
      <c r="J26" s="31" t="inlineStr">
        <is>
          <t>543321</t>
        </is>
      </c>
    </row>
    <row r="27">
      <c r="A27" s="31" t="inlineStr">
        <is>
          <t>MRPL</t>
        </is>
      </c>
      <c r="B27" s="31" t="inlineStr">
        <is>
          <t>Mangalore Refinery And Petrochemicals Limited</t>
        </is>
      </c>
      <c r="C27" s="31" t="inlineStr">
        <is>
          <t>energy</t>
        </is>
      </c>
      <c r="D27" s="31" t="inlineStr">
        <is>
          <t>refineries</t>
        </is>
      </c>
      <c r="E27" s="31" t="inlineStr">
        <is>
          <t>largecap</t>
        </is>
      </c>
      <c r="F27" s="31" t="n">
        <v>30826.46</v>
      </c>
      <c r="G27" s="31" t="n">
        <v>185.26</v>
      </c>
      <c r="H27" s="31" t="n">
        <v>5.33</v>
      </c>
      <c r="I27" s="31" t="n">
        <v>19607669</v>
      </c>
      <c r="J27" s="31" t="inlineStr">
        <is>
          <t>500109</t>
        </is>
      </c>
    </row>
    <row r="28">
      <c r="A28" s="31" t="inlineStr">
        <is>
          <t>GOODLUCK</t>
        </is>
      </c>
      <c r="B28" s="31" t="inlineStr">
        <is>
          <t>Goodluck India Limited</t>
        </is>
      </c>
      <c r="C28" s="31" t="inlineStr">
        <is>
          <t>metals &amp; mining</t>
        </is>
      </c>
      <c r="D28" s="31" t="inlineStr">
        <is>
          <t>steel - medium / small</t>
        </is>
      </c>
      <c r="E28" s="31" t="inlineStr">
        <is>
          <t>midcap</t>
        </is>
      </c>
      <c r="F28" s="31" t="n">
        <v>5650.38</v>
      </c>
      <c r="G28" s="31" t="n">
        <v>596.4</v>
      </c>
      <c r="H28" s="31" t="n">
        <v>5.25</v>
      </c>
      <c r="I28" s="31" t="n">
        <v>2229152</v>
      </c>
      <c r="J28" s="31" t="inlineStr">
        <is>
          <t>530655</t>
        </is>
      </c>
    </row>
    <row r="29">
      <c r="A29" s="31" t="inlineStr">
        <is>
          <t>HERITGFOOD</t>
        </is>
      </c>
      <c r="B29" s="31" t="inlineStr">
        <is>
          <t>Heritage Foods Limited</t>
        </is>
      </c>
      <c r="C29" s="31" t="inlineStr">
        <is>
          <t>fmcg</t>
        </is>
      </c>
      <c r="D29" s="31" t="inlineStr">
        <is>
          <t>food - processing - indian</t>
        </is>
      </c>
      <c r="E29" s="31" t="inlineStr">
        <is>
          <t>smallcap</t>
        </is>
      </c>
      <c r="F29" s="31" t="n">
        <v>3659.41</v>
      </c>
      <c r="G29" s="31" t="n">
        <v>414.8</v>
      </c>
      <c r="H29" s="31" t="n">
        <v>5.19</v>
      </c>
      <c r="I29" s="31" t="n">
        <v>472069</v>
      </c>
      <c r="J29" s="31" t="inlineStr">
        <is>
          <t>519552</t>
        </is>
      </c>
    </row>
    <row r="30">
      <c r="A30" s="31" t="inlineStr">
        <is>
          <t>FILATEX</t>
        </is>
      </c>
      <c r="B30" s="31" t="inlineStr">
        <is>
          <t>Filatex India Limited</t>
        </is>
      </c>
      <c r="C30" s="31" t="inlineStr">
        <is>
          <t>textiles</t>
        </is>
      </c>
      <c r="D30" s="31" t="inlineStr">
        <is>
          <t>textiles - manmade</t>
        </is>
      </c>
      <c r="E30" s="31" t="inlineStr">
        <is>
          <t>smallcap</t>
        </is>
      </c>
      <c r="F30" s="31" t="n">
        <v>4722.12</v>
      </c>
      <c r="G30" s="31" t="n">
        <v>111.8</v>
      </c>
      <c r="H30" s="31" t="n">
        <v>5.13</v>
      </c>
      <c r="I30" s="31" t="n">
        <v>2556945</v>
      </c>
      <c r="J30" s="31" t="inlineStr">
        <is>
          <t>526227</t>
        </is>
      </c>
    </row>
    <row r="31">
      <c r="A31" s="31" t="inlineStr">
        <is>
          <t>KABRAEXTRU</t>
        </is>
      </c>
      <c r="B31" s="31" t="inlineStr">
        <is>
          <t>Kabra Extrusion Technik Limited</t>
        </is>
      </c>
      <c r="C31" s="31" t="inlineStr">
        <is>
          <t>industrials</t>
        </is>
      </c>
      <c r="D31" s="31" t="inlineStr">
        <is>
          <t>engineering</t>
        </is>
      </c>
      <c r="E31" s="31" t="inlineStr">
        <is>
          <t>smallcap</t>
        </is>
      </c>
      <c r="F31" s="31" t="n">
        <v>3093.79</v>
      </c>
      <c r="G31" s="31" t="n">
        <v>838.65</v>
      </c>
      <c r="H31" s="31" t="n">
        <v>5</v>
      </c>
      <c r="I31" s="31" t="n">
        <v>44804</v>
      </c>
      <c r="J31" s="31" t="inlineStr">
        <is>
          <t>524109</t>
        </is>
      </c>
    </row>
    <row r="32">
      <c r="A32" s="31" t="inlineStr">
        <is>
          <t>MOREPENLAB</t>
        </is>
      </c>
      <c r="B32" s="31" t="inlineStr">
        <is>
          <t>Morepen Laboratories Limited</t>
        </is>
      </c>
      <c r="C32" s="31" t="inlineStr">
        <is>
          <t>healthcare</t>
        </is>
      </c>
      <c r="D32" s="31" t="inlineStr">
        <is>
          <t>pharmaceuticals - indian - bulk drugs &amp; formln</t>
        </is>
      </c>
      <c r="E32" s="31" t="inlineStr">
        <is>
          <t>midcap</t>
        </is>
      </c>
      <c r="F32" s="31" t="n">
        <v>6697.09</v>
      </c>
      <c r="G32" s="31" t="n">
        <v>128.33</v>
      </c>
      <c r="H32" s="31" t="n">
        <v>5</v>
      </c>
      <c r="I32" s="31" t="n">
        <v>7118942</v>
      </c>
      <c r="J32" s="31" t="inlineStr">
        <is>
          <t>500288</t>
        </is>
      </c>
    </row>
    <row r="33">
      <c r="A33" s="31" t="inlineStr">
        <is>
          <t>HITECHCORP</t>
        </is>
      </c>
      <c r="B33" s="31" t="inlineStr">
        <is>
          <t>Hitech Corporation</t>
        </is>
      </c>
      <c r="C33" s="31" t="inlineStr">
        <is>
          <t>industrials</t>
        </is>
      </c>
      <c r="D33" s="31" t="inlineStr">
        <is>
          <t>packaging</t>
        </is>
      </c>
      <c r="E33" s="31" t="inlineStr">
        <is>
          <t>smallcap</t>
        </is>
      </c>
      <c r="F33" s="31" t="n">
        <v>641.08</v>
      </c>
      <c r="G33" s="31" t="n">
        <v>391.9</v>
      </c>
      <c r="H33" s="31" t="n">
        <v>5</v>
      </c>
      <c r="I33" s="31" t="n">
        <v>5887</v>
      </c>
      <c r="J33" s="31" t="inlineStr">
        <is>
          <t>526217</t>
        </is>
      </c>
    </row>
    <row r="34">
      <c r="A34" s="31" t="inlineStr">
        <is>
          <t>TBZ</t>
        </is>
      </c>
      <c r="B34" s="31" t="inlineStr">
        <is>
          <t>Tribhovandas Bhimji Zaveri Limited</t>
        </is>
      </c>
      <c r="C34" s="31" t="inlineStr">
        <is>
          <t>consumer discretionary</t>
        </is>
      </c>
      <c r="D34" s="31" t="inlineStr">
        <is>
          <t>diamond cutting / jewellery</t>
        </is>
      </c>
      <c r="E34" s="31" t="inlineStr">
        <is>
          <t>smallcap</t>
        </is>
      </c>
      <c r="F34" s="31" t="n">
        <v>4376.53</v>
      </c>
      <c r="G34" s="31" t="n">
        <v>688.6</v>
      </c>
      <c r="H34" s="31" t="n">
        <v>4.99</v>
      </c>
      <c r="I34" s="31" t="n">
        <v>296603</v>
      </c>
      <c r="J34" s="31" t="inlineStr">
        <is>
          <t>534369</t>
        </is>
      </c>
    </row>
    <row r="35">
      <c r="A35" s="31" t="inlineStr">
        <is>
          <t>MUKKA</t>
        </is>
      </c>
      <c r="B35" s="31" t="inlineStr">
        <is>
          <t>Mukka Proteins Ltd</t>
        </is>
      </c>
      <c r="C35" s="31" t="inlineStr">
        <is>
          <t>fmcg</t>
        </is>
      </c>
      <c r="D35" s="31" t="inlineStr">
        <is>
          <t>food - processing - indian</t>
        </is>
      </c>
      <c r="E35" s="31" t="inlineStr">
        <is>
          <t>smallcap</t>
        </is>
      </c>
      <c r="F35" s="31" t="n">
        <v>823.2</v>
      </c>
      <c r="G35" s="31" t="n">
        <v>28.81</v>
      </c>
      <c r="H35" s="31" t="n">
        <v>4.99</v>
      </c>
      <c r="I35" s="31" t="n">
        <v>348308</v>
      </c>
      <c r="J35" s="31" t="inlineStr">
        <is>
          <t>544135</t>
        </is>
      </c>
    </row>
    <row r="36">
      <c r="A36" s="31" t="inlineStr">
        <is>
          <t>JINDALSAW</t>
        </is>
      </c>
      <c r="B36" s="31" t="inlineStr">
        <is>
          <t>Jindal Saw Limited</t>
        </is>
      </c>
      <c r="C36" s="31" t="inlineStr">
        <is>
          <t>industrials</t>
        </is>
      </c>
      <c r="D36" s="31" t="inlineStr">
        <is>
          <t>steel - large</t>
        </is>
      </c>
      <c r="E36" s="31" t="inlineStr">
        <is>
          <t>midcap</t>
        </is>
      </c>
      <c r="F36" s="31" t="n">
        <v>18101.28</v>
      </c>
      <c r="G36" s="31" t="n">
        <v>297.1</v>
      </c>
      <c r="H36" s="31" t="n">
        <v>4.96</v>
      </c>
      <c r="I36" s="31" t="n">
        <v>2859637</v>
      </c>
      <c r="J36" s="31" t="inlineStr">
        <is>
          <t>500378</t>
        </is>
      </c>
    </row>
    <row r="37">
      <c r="A37" s="31" t="inlineStr">
        <is>
          <t>MODISONLTD</t>
        </is>
      </c>
      <c r="B37" s="31" t="inlineStr">
        <is>
          <t>Modison Ltd</t>
        </is>
      </c>
      <c r="C37" s="31" t="inlineStr">
        <is>
          <t>industrials</t>
        </is>
      </c>
      <c r="D37" s="31" t="inlineStr">
        <is>
          <t>electric equipment</t>
        </is>
      </c>
      <c r="E37" s="31" t="inlineStr">
        <is>
          <t>smallcap</t>
        </is>
      </c>
      <c r="F37" s="31" t="n">
        <v>1685.94</v>
      </c>
      <c r="G37" s="31" t="n">
        <v>545.3</v>
      </c>
      <c r="H37" s="31" t="n">
        <v>4.96</v>
      </c>
      <c r="I37" s="31" t="n">
        <v>193413</v>
      </c>
      <c r="J37" s="31" t="inlineStr">
        <is>
          <t>506261</t>
        </is>
      </c>
    </row>
    <row r="38">
      <c r="A38" s="31" t="inlineStr">
        <is>
          <t>DPABHUSHAN</t>
        </is>
      </c>
      <c r="B38" s="31" t="inlineStr">
        <is>
          <t>D.P. Abhushan Ltd</t>
        </is>
      </c>
      <c r="C38" s="31" t="inlineStr">
        <is>
          <t>consumer discretionary</t>
        </is>
      </c>
      <c r="D38" s="31" t="inlineStr">
        <is>
          <t>trading</t>
        </is>
      </c>
      <c r="E38" s="31" t="inlineStr">
        <is>
          <t>midcap</t>
        </is>
      </c>
      <c r="F38" s="31" t="n">
        <v>5305.21</v>
      </c>
      <c r="G38" s="31" t="n">
        <v>2437.8</v>
      </c>
      <c r="H38" s="31" t="n">
        <v>4.9</v>
      </c>
      <c r="I38" s="31" t="n">
        <v>156708</v>
      </c>
      <c r="J38" s="31" t="inlineStr">
        <is>
          <t>535026</t>
        </is>
      </c>
    </row>
    <row r="39">
      <c r="A39" s="31" t="inlineStr">
        <is>
          <t>BHEL</t>
        </is>
      </c>
      <c r="B39" s="31" t="inlineStr">
        <is>
          <t>Bharat Heavy Electricals Limited</t>
        </is>
      </c>
      <c r="C39" s="31" t="inlineStr">
        <is>
          <t>industrials</t>
        </is>
      </c>
      <c r="D39" s="31" t="inlineStr">
        <is>
          <t>electric equipment</t>
        </is>
      </c>
      <c r="E39" s="31" t="inlineStr">
        <is>
          <t>largecap</t>
        </is>
      </c>
      <c r="F39" s="31" t="n">
        <v>154029.07</v>
      </c>
      <c r="G39" s="31" t="n">
        <v>464</v>
      </c>
      <c r="H39" s="31" t="n">
        <v>4.89</v>
      </c>
      <c r="I39" s="31" t="n">
        <v>37460371</v>
      </c>
      <c r="J39" s="31" t="inlineStr">
        <is>
          <t>500103</t>
        </is>
      </c>
    </row>
    <row r="40">
      <c r="A40" s="31" t="inlineStr">
        <is>
          <t>SPECTRUM</t>
        </is>
      </c>
      <c r="B40" s="31" t="inlineStr">
        <is>
          <t>Spectrum Electrical Industries Ltd</t>
        </is>
      </c>
      <c r="C40" s="31" t="inlineStr">
        <is>
          <t>industrials</t>
        </is>
      </c>
      <c r="D40" s="31" t="inlineStr">
        <is>
          <t>electric equipment</t>
        </is>
      </c>
      <c r="E40" s="31" t="inlineStr">
        <is>
          <t>midcap</t>
        </is>
      </c>
      <c r="F40" s="31" t="n">
        <v>6292.29</v>
      </c>
      <c r="G40" s="31" t="n">
        <v>3857.5</v>
      </c>
      <c r="H40" s="31" t="n">
        <v>4.76</v>
      </c>
      <c r="I40" s="31" t="n">
        <v>19226</v>
      </c>
      <c r="J40" s="31" t="inlineStr">
        <is>
          <t>535112</t>
        </is>
      </c>
    </row>
    <row r="41">
      <c r="A41" s="31" t="inlineStr">
        <is>
          <t>NEOGEN</t>
        </is>
      </c>
      <c r="B41" s="31" t="inlineStr">
        <is>
          <t>Neogen Chemicals Ltd</t>
        </is>
      </c>
      <c r="C41" s="31" t="inlineStr">
        <is>
          <t>chemicals</t>
        </is>
      </c>
      <c r="D41" s="31" t="inlineStr">
        <is>
          <t>chemicals</t>
        </is>
      </c>
      <c r="E41" s="31" t="inlineStr">
        <is>
          <t>midcap</t>
        </is>
      </c>
      <c r="F41" s="31" t="n">
        <v>7720</v>
      </c>
      <c r="G41" s="31" t="n">
        <v>2687.9</v>
      </c>
      <c r="H41" s="31" t="n">
        <v>4.6</v>
      </c>
      <c r="I41" s="31" t="n">
        <v>719889</v>
      </c>
      <c r="J41" s="31" t="inlineStr">
        <is>
          <t>542665</t>
        </is>
      </c>
    </row>
    <row r="42">
      <c r="A42" s="31" t="inlineStr">
        <is>
          <t>KRISHANA</t>
        </is>
      </c>
      <c r="B42" s="31" t="inlineStr">
        <is>
          <t>Krishana Phoschem Ltd</t>
        </is>
      </c>
      <c r="C42" s="31" t="inlineStr">
        <is>
          <t>chemicals</t>
        </is>
      </c>
      <c r="D42" s="31" t="inlineStr">
        <is>
          <t>fertilizers</t>
        </is>
      </c>
      <c r="E42" s="31" t="inlineStr">
        <is>
          <t>smallcap</t>
        </is>
      </c>
      <c r="F42" s="31" t="n">
        <v>1220.6</v>
      </c>
      <c r="G42" s="31" t="n">
        <v>206.47</v>
      </c>
      <c r="H42" s="31" t="n">
        <v>4.58</v>
      </c>
      <c r="I42" s="31" t="n">
        <v>2333790</v>
      </c>
      <c r="J42" s="31" t="inlineStr">
        <is>
          <t>538405</t>
        </is>
      </c>
    </row>
    <row r="43">
      <c r="A43" s="31" t="inlineStr">
        <is>
          <t>UNITEDPOLY</t>
        </is>
      </c>
      <c r="B43" s="31" t="inlineStr">
        <is>
          <t>United Polyfab Gujarat Ltd</t>
        </is>
      </c>
      <c r="C43" s="31" t="inlineStr">
        <is>
          <t>textiles</t>
        </is>
      </c>
      <c r="D43" s="31" t="inlineStr">
        <is>
          <t>textiles - products</t>
        </is>
      </c>
      <c r="E43" s="31" t="inlineStr">
        <is>
          <t>smallcap</t>
        </is>
      </c>
      <c r="F43" s="31" t="n">
        <v>1134.5</v>
      </c>
      <c r="G43" s="31" t="n">
        <v>51.68</v>
      </c>
      <c r="H43" s="31" t="n">
        <v>4.55</v>
      </c>
      <c r="I43" s="31" t="n">
        <v>1238854</v>
      </c>
      <c r="J43" s="31" t="inlineStr">
        <is>
          <t>533024</t>
        </is>
      </c>
    </row>
    <row r="44">
      <c r="A44" s="31" t="inlineStr">
        <is>
          <t>MMP</t>
        </is>
      </c>
      <c r="B44" s="31" t="inlineStr">
        <is>
          <t>MMP Industries Ltd</t>
        </is>
      </c>
      <c r="C44" s="31" t="inlineStr">
        <is>
          <t>metals &amp; mining</t>
        </is>
      </c>
      <c r="D44" s="31" t="inlineStr">
        <is>
          <t>aluminium and aluminium products</t>
        </is>
      </c>
      <c r="E44" s="31" t="inlineStr">
        <is>
          <t>smallcap</t>
        </is>
      </c>
      <c r="F44" s="31" t="n">
        <v>1236.6</v>
      </c>
      <c r="G44" s="31" t="n">
        <v>508.65</v>
      </c>
      <c r="H44" s="31" t="n">
        <v>4.49</v>
      </c>
      <c r="I44" s="31" t="n">
        <v>219896</v>
      </c>
      <c r="J44" s="31" t="inlineStr">
        <is>
          <t>535071</t>
        </is>
      </c>
    </row>
    <row r="45">
      <c r="A45" s="31" t="inlineStr">
        <is>
          <t>STOVEKRAFT</t>
        </is>
      </c>
      <c r="B45" s="31" t="inlineStr">
        <is>
          <t>Stove Kraft Ltd</t>
        </is>
      </c>
      <c r="C45" s="31" t="inlineStr">
        <is>
          <t>consumer discretionary</t>
        </is>
      </c>
      <c r="D45" s="31" t="inlineStr">
        <is>
          <t>domestic appliances</t>
        </is>
      </c>
      <c r="E45" s="31" t="inlineStr">
        <is>
          <t>smallcap</t>
        </is>
      </c>
      <c r="F45" s="31" t="n">
        <v>2695.76</v>
      </c>
      <c r="G45" s="31" t="n">
        <v>850.8</v>
      </c>
      <c r="H45" s="31" t="n">
        <v>4.49</v>
      </c>
      <c r="I45" s="31" t="n">
        <v>324051</v>
      </c>
      <c r="J45" s="31" t="inlineStr">
        <is>
          <t>543260</t>
        </is>
      </c>
    </row>
    <row r="46">
      <c r="A46" s="31" t="inlineStr">
        <is>
          <t>EBGNG</t>
        </is>
      </c>
      <c r="B46" s="31" t="inlineStr">
        <is>
          <t>GNG Electronics Ltd</t>
        </is>
      </c>
      <c r="C46" s="31" t="inlineStr">
        <is>
          <t>services</t>
        </is>
      </c>
      <c r="D46" s="31" t="inlineStr">
        <is>
          <t>trading</t>
        </is>
      </c>
      <c r="E46" s="31" t="inlineStr">
        <is>
          <t>midcap</t>
        </is>
      </c>
      <c r="F46" s="31" t="n">
        <v>7960.28</v>
      </c>
      <c r="G46" s="31" t="n">
        <v>729.4</v>
      </c>
      <c r="H46" s="31" t="n">
        <v>4.47</v>
      </c>
      <c r="I46" s="31" t="n">
        <v>857378</v>
      </c>
      <c r="J46" s="31" t="inlineStr">
        <is>
          <t>544455</t>
        </is>
      </c>
    </row>
    <row r="47">
      <c r="A47" s="31" t="inlineStr">
        <is>
          <t>VINDHYATEL</t>
        </is>
      </c>
      <c r="B47" s="31" t="inlineStr">
        <is>
          <t>Vindhya Telelinks Limited</t>
        </is>
      </c>
      <c r="C47" s="31" t="inlineStr">
        <is>
          <t>realty</t>
        </is>
      </c>
      <c r="D47" s="31" t="inlineStr">
        <is>
          <t>construction</t>
        </is>
      </c>
      <c r="E47" s="31" t="inlineStr">
        <is>
          <t>smallcap</t>
        </is>
      </c>
      <c r="F47" s="31" t="n">
        <v>3353.44</v>
      </c>
      <c r="G47" s="31" t="n">
        <v>2955.6</v>
      </c>
      <c r="H47" s="31" t="n">
        <v>4.45</v>
      </c>
      <c r="I47" s="31" t="n">
        <v>108062</v>
      </c>
      <c r="J47" s="31" t="inlineStr">
        <is>
          <t>517015</t>
        </is>
      </c>
    </row>
    <row r="48">
      <c r="A48" s="31" t="inlineStr">
        <is>
          <t>SHYAMMETL</t>
        </is>
      </c>
      <c r="B48" s="31" t="inlineStr">
        <is>
          <t>Shyam Metalics &amp; Energy Ltd</t>
        </is>
      </c>
      <c r="C48" s="31" t="inlineStr">
        <is>
          <t>metals &amp; mining</t>
        </is>
      </c>
      <c r="D48" s="31" t="inlineStr">
        <is>
          <t>steel - large</t>
        </is>
      </c>
      <c r="E48" s="31" t="inlineStr">
        <is>
          <t>largecap</t>
        </is>
      </c>
      <c r="F48" s="31" t="n">
        <v>30637.51</v>
      </c>
      <c r="G48" s="31" t="n">
        <v>1141.6</v>
      </c>
      <c r="H48" s="31" t="n">
        <v>4.01</v>
      </c>
      <c r="I48" s="31" t="n">
        <v>474420</v>
      </c>
      <c r="J48" s="31" t="inlineStr">
        <is>
          <t>543299</t>
        </is>
      </c>
    </row>
    <row r="49">
      <c r="A49" s="31" t="inlineStr">
        <is>
          <t>ICIL</t>
        </is>
      </c>
      <c r="B49" s="31" t="inlineStr">
        <is>
          <t>Indo Count Industries Limited</t>
        </is>
      </c>
      <c r="C49" s="31" t="inlineStr">
        <is>
          <t>textiles</t>
        </is>
      </c>
      <c r="D49" s="31" t="inlineStr">
        <is>
          <t>textiles - cotton/blended</t>
        </is>
      </c>
      <c r="E49" s="31" t="inlineStr">
        <is>
          <t>midcap</t>
        </is>
      </c>
      <c r="F49" s="31" t="n">
        <v>8877.790000000001</v>
      </c>
      <c r="G49" s="31" t="n">
        <v>465.45</v>
      </c>
      <c r="H49" s="31" t="n">
        <v>3.84</v>
      </c>
      <c r="I49" s="31" t="n">
        <v>533258</v>
      </c>
      <c r="J49" s="31" t="inlineStr">
        <is>
          <t>521016</t>
        </is>
      </c>
    </row>
    <row r="50">
      <c r="A50" s="31" t="inlineStr">
        <is>
          <t>SHREEPUSHK</t>
        </is>
      </c>
      <c r="B50" s="31" t="inlineStr">
        <is>
          <t>Shree Pushkar Chemicals &amp; Fertilisers Limited</t>
        </is>
      </c>
      <c r="C50" s="31" t="inlineStr">
        <is>
          <t>chemicals</t>
        </is>
      </c>
      <c r="D50" s="31" t="inlineStr">
        <is>
          <t>dyes and pigments</t>
        </is>
      </c>
      <c r="E50" s="31" t="inlineStr">
        <is>
          <t>smallcap</t>
        </is>
      </c>
      <c r="F50" s="31" t="n">
        <v>1600.39</v>
      </c>
      <c r="G50" s="31" t="n">
        <v>513.8</v>
      </c>
      <c r="H50" s="31" t="n">
        <v>3.82</v>
      </c>
      <c r="I50" s="31" t="n">
        <v>67332</v>
      </c>
      <c r="J50" s="31" t="inlineStr">
        <is>
          <t>539334</t>
        </is>
      </c>
    </row>
    <row r="51">
      <c r="A51" s="31" t="inlineStr">
        <is>
          <t>MAWANASUG</t>
        </is>
      </c>
      <c r="B51" s="31" t="inlineStr">
        <is>
          <t>Mawana Sugars Limited</t>
        </is>
      </c>
      <c r="C51" s="31" t="inlineStr">
        <is>
          <t>fmcg</t>
        </is>
      </c>
      <c r="D51" s="31" t="inlineStr">
        <is>
          <t>sugar</t>
        </is>
      </c>
      <c r="E51" s="31" t="inlineStr">
        <is>
          <t>smallcap</t>
        </is>
      </c>
      <c r="F51" s="31" t="n">
        <v>683.41</v>
      </c>
      <c r="G51" s="31" t="n">
        <v>181.37</v>
      </c>
      <c r="H51" s="31" t="n">
        <v>3.81</v>
      </c>
      <c r="I51" s="31" t="n">
        <v>1484384</v>
      </c>
      <c r="J51" s="31" t="inlineStr">
        <is>
          <t>523371</t>
        </is>
      </c>
    </row>
    <row r="52">
      <c r="A52" s="31" t="inlineStr">
        <is>
          <t>STYLEBAAZA</t>
        </is>
      </c>
      <c r="B52" s="31" t="inlineStr">
        <is>
          <t>Baazar Style Retail Ltd</t>
        </is>
      </c>
      <c r="C52" s="31" t="inlineStr">
        <is>
          <t>consumer discretionary</t>
        </is>
      </c>
      <c r="D52" s="31" t="inlineStr">
        <is>
          <t>trading</t>
        </is>
      </c>
      <c r="E52" s="31" t="inlineStr">
        <is>
          <t>smallcap</t>
        </is>
      </c>
      <c r="F52" s="31" t="n">
        <v>2930.07</v>
      </c>
      <c r="G52" s="31" t="n">
        <v>394.3</v>
      </c>
      <c r="H52" s="31" t="n">
        <v>3.78</v>
      </c>
      <c r="I52" s="31" t="n">
        <v>1038676</v>
      </c>
      <c r="J52" s="31" t="inlineStr">
        <is>
          <t>544243</t>
        </is>
      </c>
    </row>
    <row r="53">
      <c r="A53" s="31" t="inlineStr">
        <is>
          <t>SEAMECLTD</t>
        </is>
      </c>
      <c r="B53" s="31" t="inlineStr">
        <is>
          <t>Seamec Limited</t>
        </is>
      </c>
      <c r="C53" s="31" t="inlineStr">
        <is>
          <t>miscellaneous</t>
        </is>
      </c>
      <c r="D53" s="31" t="inlineStr">
        <is>
          <t>miscellaneous</t>
        </is>
      </c>
      <c r="E53" s="31" t="inlineStr">
        <is>
          <t>smallcap</t>
        </is>
      </c>
      <c r="F53" s="31" t="n">
        <v>4154.45</v>
      </c>
      <c r="G53" s="31" t="n">
        <v>1694.4</v>
      </c>
      <c r="H53" s="31" t="n">
        <v>3.7</v>
      </c>
      <c r="I53" s="31" t="n">
        <v>41436</v>
      </c>
      <c r="J53" s="31" t="inlineStr">
        <is>
          <t>526807</t>
        </is>
      </c>
    </row>
    <row r="54">
      <c r="A54" s="31" t="inlineStr">
        <is>
          <t>MBAPL</t>
        </is>
      </c>
      <c r="B54" s="31" t="inlineStr">
        <is>
          <t>Madhya Bharat Agro Products Ltd</t>
        </is>
      </c>
      <c r="C54" s="31" t="inlineStr">
        <is>
          <t>chemicals</t>
        </is>
      </c>
      <c r="D54" s="31" t="inlineStr">
        <is>
          <t>fertilizers</t>
        </is>
      </c>
      <c r="E54" s="31" t="inlineStr">
        <is>
          <t>midcap</t>
        </is>
      </c>
      <c r="F54" s="31" t="n">
        <v>7476.17</v>
      </c>
      <c r="G54" s="31" t="n">
        <v>168.83</v>
      </c>
      <c r="H54" s="31" t="n">
        <v>3.62</v>
      </c>
      <c r="I54" s="31" t="n">
        <v>1078080</v>
      </c>
      <c r="J54" s="31" t="inlineStr">
        <is>
          <t>538370</t>
        </is>
      </c>
    </row>
    <row r="55">
      <c r="A55" s="31" t="inlineStr">
        <is>
          <t>APOLLO</t>
        </is>
      </c>
      <c r="B55" s="31" t="inlineStr">
        <is>
          <t>Apollo Micro Systems Ltd</t>
        </is>
      </c>
      <c r="C55" s="31" t="inlineStr">
        <is>
          <t>aerospace &amp; defence</t>
        </is>
      </c>
      <c r="D55" s="31" t="inlineStr">
        <is>
          <t>electronics - components</t>
        </is>
      </c>
      <c r="E55" s="31" t="inlineStr">
        <is>
          <t>midcap</t>
        </is>
      </c>
      <c r="F55" s="31" t="n">
        <v>15125.96</v>
      </c>
      <c r="G55" s="31" t="n">
        <v>421.7</v>
      </c>
      <c r="H55" s="31" t="n">
        <v>3.6</v>
      </c>
      <c r="I55" s="31" t="n">
        <v>8787563</v>
      </c>
      <c r="J55" s="31" t="inlineStr">
        <is>
          <t>540879</t>
        </is>
      </c>
    </row>
    <row r="56">
      <c r="A56" s="31" t="inlineStr">
        <is>
          <t>EMAMIPAP</t>
        </is>
      </c>
      <c r="B56" s="31" t="inlineStr">
        <is>
          <t>Emami Paper Mills Ltd</t>
        </is>
      </c>
      <c r="C56" s="31" t="inlineStr">
        <is>
          <t>building materials</t>
        </is>
      </c>
      <c r="D56" s="31" t="inlineStr">
        <is>
          <t>paper</t>
        </is>
      </c>
      <c r="E56" s="31" t="inlineStr">
        <is>
          <t>smallcap</t>
        </is>
      </c>
      <c r="F56" s="31" t="n">
        <v>713.65</v>
      </c>
      <c r="G56" s="31" t="n">
        <v>122.19</v>
      </c>
      <c r="H56" s="31" t="n">
        <v>3.59</v>
      </c>
      <c r="I56" s="31" t="n">
        <v>96861</v>
      </c>
      <c r="J56" s="31" t="inlineStr">
        <is>
          <t>533208</t>
        </is>
      </c>
    </row>
    <row r="57">
      <c r="A57" s="31" t="inlineStr">
        <is>
          <t>WHEELS</t>
        </is>
      </c>
      <c r="B57" s="31" t="inlineStr">
        <is>
          <t>Wheels India Limited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midcap</t>
        </is>
      </c>
      <c r="F57" s="31" t="n">
        <v>6248.99</v>
      </c>
      <c r="G57" s="31" t="n">
        <v>2409.3</v>
      </c>
      <c r="H57" s="31" t="n">
        <v>3.57</v>
      </c>
      <c r="I57" s="31" t="n">
        <v>163438</v>
      </c>
      <c r="J57" s="31" t="inlineStr">
        <is>
          <t>590073</t>
        </is>
      </c>
    </row>
    <row r="58">
      <c r="A58" s="31" t="inlineStr">
        <is>
          <t>ABDL</t>
        </is>
      </c>
      <c r="B58" s="31" t="inlineStr">
        <is>
          <t>Allied Blenders &amp; Distillers Ltd</t>
        </is>
      </c>
      <c r="C58" s="31" t="inlineStr">
        <is>
          <t>fmcg</t>
        </is>
      </c>
      <c r="D58" s="31" t="inlineStr">
        <is>
          <t>breweries &amp; distilleries</t>
        </is>
      </c>
      <c r="E58" s="31" t="inlineStr">
        <is>
          <t>largecap</t>
        </is>
      </c>
      <c r="F58" s="31" t="n">
        <v>20095.78</v>
      </c>
      <c r="G58" s="31" t="n">
        <v>743.45</v>
      </c>
      <c r="H58" s="31" t="n">
        <v>3.48</v>
      </c>
      <c r="I58" s="31" t="n">
        <v>865111</v>
      </c>
      <c r="J58" s="31" t="inlineStr">
        <is>
          <t>544203</t>
        </is>
      </c>
    </row>
    <row r="59">
      <c r="A59" s="31" t="inlineStr">
        <is>
          <t>LOTUSDEV</t>
        </is>
      </c>
      <c r="B59" s="31" t="inlineStr">
        <is>
          <t>Sri Lotus Developers &amp; Realty Ltd</t>
        </is>
      </c>
      <c r="C59" s="31" t="inlineStr">
        <is>
          <t>realty</t>
        </is>
      </c>
      <c r="D59" s="31" t="inlineStr">
        <is>
          <t>construction</t>
        </is>
      </c>
      <c r="E59" s="31" t="inlineStr">
        <is>
          <t>midcap</t>
        </is>
      </c>
      <c r="F59" s="31" t="n">
        <v>11276.32</v>
      </c>
      <c r="G59" s="31" t="n">
        <v>238.42</v>
      </c>
      <c r="H59" s="31" t="n">
        <v>3.33</v>
      </c>
      <c r="I59" s="31" t="n">
        <v>447752</v>
      </c>
      <c r="J59" s="31" t="inlineStr">
        <is>
          <t>544469</t>
        </is>
      </c>
    </row>
    <row r="60">
      <c r="A60" s="31" t="inlineStr">
        <is>
          <t>GAEL</t>
        </is>
      </c>
      <c r="B60" s="31" t="inlineStr">
        <is>
          <t>Gujarat Ambuja Exports Limited</t>
        </is>
      </c>
      <c r="C60" s="31" t="inlineStr">
        <is>
          <t>fmcg</t>
        </is>
      </c>
      <c r="D60" s="31" t="inlineStr">
        <is>
          <t>miscellaneous</t>
        </is>
      </c>
      <c r="E60" s="31" t="inlineStr">
        <is>
          <t>midcap</t>
        </is>
      </c>
      <c r="F60" s="31" t="n">
        <v>7946.93</v>
      </c>
      <c r="G60" s="31" t="n">
        <v>178.98</v>
      </c>
      <c r="H60" s="31" t="n">
        <v>3.3</v>
      </c>
      <c r="I60" s="31" t="n">
        <v>2125623</v>
      </c>
      <c r="J60" s="31" t="inlineStr">
        <is>
          <t>524226</t>
        </is>
      </c>
    </row>
    <row r="61">
      <c r="A61" s="31" t="inlineStr">
        <is>
          <t>JAYNECOIND</t>
        </is>
      </c>
      <c r="B61" s="31" t="inlineStr">
        <is>
          <t>Jayaswal Neco Industries Limited</t>
        </is>
      </c>
      <c r="C61" s="31" t="inlineStr">
        <is>
          <t>metals &amp; mining</t>
        </is>
      </c>
      <c r="D61" s="31" t="inlineStr">
        <is>
          <t>steel - large</t>
        </is>
      </c>
      <c r="E61" s="31" t="inlineStr">
        <is>
          <t>midcap</t>
        </is>
      </c>
      <c r="F61" s="31" t="n">
        <v>9308.959999999999</v>
      </c>
      <c r="G61" s="31" t="n">
        <v>98.97</v>
      </c>
      <c r="H61" s="31" t="n">
        <v>3.23</v>
      </c>
      <c r="I61" s="31" t="n">
        <v>9534461</v>
      </c>
      <c r="J61" s="31" t="inlineStr">
        <is>
          <t>522285</t>
        </is>
      </c>
    </row>
    <row r="62">
      <c r="A62" s="31" t="inlineStr">
        <is>
          <t>DYNAMATECH</t>
        </is>
      </c>
      <c r="B62" s="31" t="inlineStr">
        <is>
          <t>Dynamatic Technologies Limited</t>
        </is>
      </c>
      <c r="C62" s="31" t="inlineStr">
        <is>
          <t>aerospace &amp; defence</t>
        </is>
      </c>
      <c r="D62" s="31" t="inlineStr">
        <is>
          <t>engineering</t>
        </is>
      </c>
      <c r="E62" s="31" t="inlineStr">
        <is>
          <t>midcap</t>
        </is>
      </c>
      <c r="F62" s="31" t="n">
        <v>9497.83</v>
      </c>
      <c r="G62" s="31" t="n">
        <v>14424</v>
      </c>
      <c r="H62" s="31" t="n">
        <v>3.14</v>
      </c>
      <c r="I62" s="31" t="n">
        <v>18300</v>
      </c>
      <c r="J62" s="31" t="inlineStr">
        <is>
          <t>505242</t>
        </is>
      </c>
    </row>
    <row r="63">
      <c r="A63" s="31" t="inlineStr">
        <is>
          <t>MAZDA</t>
        </is>
      </c>
      <c r="B63" s="31" t="inlineStr">
        <is>
          <t>Mazda Limited</t>
        </is>
      </c>
      <c r="C63" s="31" t="inlineStr">
        <is>
          <t>industrials</t>
        </is>
      </c>
      <c r="D63" s="31" t="inlineStr">
        <is>
          <t>engineering</t>
        </is>
      </c>
      <c r="E63" s="31" t="inlineStr">
        <is>
          <t>smallcap</t>
        </is>
      </c>
      <c r="F63" s="31" t="n">
        <v>622.58</v>
      </c>
      <c r="G63" s="31" t="n">
        <v>320.45</v>
      </c>
      <c r="H63" s="31" t="n">
        <v>3.07</v>
      </c>
      <c r="I63" s="31" t="n">
        <v>111970</v>
      </c>
      <c r="J63" s="31" t="inlineStr">
        <is>
          <t>523792</t>
        </is>
      </c>
    </row>
    <row r="64">
      <c r="A64" s="31" t="inlineStr">
        <is>
          <t>CRAFTSMAN</t>
        </is>
      </c>
      <c r="B64" s="31" t="inlineStr">
        <is>
          <t>Craftsman Automation Ltd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largecap</t>
        </is>
      </c>
      <c r="F64" s="31" t="n">
        <v>27917.24</v>
      </c>
      <c r="G64" s="31" t="n">
        <v>10997</v>
      </c>
      <c r="H64" s="31" t="n">
        <v>3.03</v>
      </c>
      <c r="I64" s="31" t="n">
        <v>54731</v>
      </c>
      <c r="J64" s="31" t="inlineStr">
        <is>
          <t>543276</t>
        </is>
      </c>
    </row>
    <row r="65">
      <c r="A65" s="31" t="inlineStr">
        <is>
          <t>GANDHAR</t>
        </is>
      </c>
      <c r="B65" s="31" t="inlineStr">
        <is>
          <t>Gandhar Oil Refinery (India) Ltd</t>
        </is>
      </c>
      <c r="C65" s="31" t="inlineStr">
        <is>
          <t>energy</t>
        </is>
      </c>
      <c r="D65" s="31" t="inlineStr">
        <is>
          <t>refineries</t>
        </is>
      </c>
      <c r="E65" s="31" t="inlineStr">
        <is>
          <t>smallcap</t>
        </is>
      </c>
      <c r="F65" s="31" t="n">
        <v>2954.98</v>
      </c>
      <c r="G65" s="31" t="n">
        <v>310.95</v>
      </c>
      <c r="H65" s="31" t="n">
        <v>3</v>
      </c>
      <c r="I65" s="31" t="n">
        <v>1062167</v>
      </c>
      <c r="J65" s="31" t="inlineStr">
        <is>
          <t>544029</t>
        </is>
      </c>
    </row>
    <row r="66">
      <c r="A66" s="31" t="inlineStr">
        <is>
          <t>KINGFA</t>
        </is>
      </c>
      <c r="B66" s="31" t="inlineStr">
        <is>
          <t>Kingfa Science &amp; Technology (india) Limited</t>
        </is>
      </c>
      <c r="C66" s="31" t="inlineStr">
        <is>
          <t>plastic products</t>
        </is>
      </c>
      <c r="D66" s="31" t="inlineStr">
        <is>
          <t>plastics products</t>
        </is>
      </c>
      <c r="E66" s="31" t="inlineStr">
        <is>
          <t>midcap</t>
        </is>
      </c>
      <c r="F66" s="31" t="n">
        <v>8777.91</v>
      </c>
      <c r="G66" s="31" t="n">
        <v>6671.5</v>
      </c>
      <c r="H66" s="31" t="n">
        <v>3</v>
      </c>
      <c r="I66" s="31" t="n">
        <v>7121</v>
      </c>
      <c r="J66" s="31" t="inlineStr">
        <is>
          <t>524019</t>
        </is>
      </c>
    </row>
    <row r="67">
      <c r="A67" s="31" t="inlineStr">
        <is>
          <t>BAJAJHIND</t>
        </is>
      </c>
      <c r="B67" s="31" t="inlineStr">
        <is>
          <t>Bajaj Hindusthan Sugar Limited</t>
        </is>
      </c>
      <c r="C67" s="31" t="inlineStr">
        <is>
          <t>fmcg</t>
        </is>
      </c>
      <c r="D67" s="31" t="inlineStr">
        <is>
          <t>sugar</t>
        </is>
      </c>
      <c r="E67" s="31" t="inlineStr">
        <is>
          <t>midcap</t>
        </is>
      </c>
      <c r="F67" s="31" t="n">
        <v>5120.81</v>
      </c>
      <c r="G67" s="31" t="n">
        <v>22.06</v>
      </c>
      <c r="H67" s="31" t="n">
        <v>2.99</v>
      </c>
      <c r="I67" s="31" t="n">
        <v>26523531</v>
      </c>
      <c r="J67" s="31" t="inlineStr">
        <is>
          <t>500032</t>
        </is>
      </c>
    </row>
    <row r="68">
      <c r="A68" s="31" t="inlineStr">
        <is>
          <t>PANAMAPET</t>
        </is>
      </c>
      <c r="B68" s="31" t="inlineStr">
        <is>
          <t>Panama Petrochem Limited</t>
        </is>
      </c>
      <c r="C68" s="31" t="inlineStr">
        <is>
          <t>energy</t>
        </is>
      </c>
      <c r="D68" s="31" t="inlineStr">
        <is>
          <t>petrochemicals</t>
        </is>
      </c>
      <c r="E68" s="31" t="inlineStr">
        <is>
          <t>smallcap</t>
        </is>
      </c>
      <c r="F68" s="31" t="n">
        <v>3017.72</v>
      </c>
      <c r="G68" s="31" t="n">
        <v>513.55</v>
      </c>
      <c r="H68" s="31" t="n">
        <v>2.95</v>
      </c>
      <c r="I68" s="31" t="n">
        <v>219522</v>
      </c>
      <c r="J68" s="31" t="inlineStr">
        <is>
          <t>524820</t>
        </is>
      </c>
    </row>
    <row r="69">
      <c r="A69" s="31" t="inlineStr">
        <is>
          <t>IBULLSLTD</t>
        </is>
      </c>
      <c r="B69" s="31" t="inlineStr">
        <is>
          <t>Indiabulls Limited</t>
        </is>
      </c>
      <c r="C69" s="31" t="inlineStr">
        <is>
          <t>miscellaneous</t>
        </is>
      </c>
      <c r="D69" s="31" t="inlineStr">
        <is>
          <t>diversified - medium / small</t>
        </is>
      </c>
      <c r="E69" s="31" t="inlineStr">
        <is>
          <t>midcap</t>
        </is>
      </c>
      <c r="F69" s="31" t="n">
        <v>8521.469999999999</v>
      </c>
      <c r="G69" s="31" t="n">
        <v>37.64</v>
      </c>
      <c r="H69" s="31" t="n">
        <v>2.9</v>
      </c>
      <c r="I69" s="31" t="n">
        <v>15320341</v>
      </c>
      <c r="J69" s="31" t="inlineStr">
        <is>
          <t>533520</t>
        </is>
      </c>
    </row>
    <row r="70">
      <c r="A70" s="31" t="inlineStr">
        <is>
          <t>UDS</t>
        </is>
      </c>
      <c r="B70" s="31" t="inlineStr">
        <is>
          <t>Updater Services Ltd</t>
        </is>
      </c>
      <c r="C70" s="31" t="inlineStr">
        <is>
          <t>miscellaneous</t>
        </is>
      </c>
      <c r="D70" s="31" t="inlineStr">
        <is>
          <t>miscellaneous</t>
        </is>
      </c>
      <c r="E70" s="31" t="inlineStr">
        <is>
          <t>smallcap</t>
        </is>
      </c>
      <c r="F70" s="31" t="n">
        <v>1401.47</v>
      </c>
      <c r="G70" s="31" t="n">
        <v>215.39</v>
      </c>
      <c r="H70" s="31" t="n">
        <v>2.9</v>
      </c>
      <c r="I70" s="31" t="n">
        <v>299994</v>
      </c>
      <c r="J70" s="31" t="inlineStr">
        <is>
          <t>543996</t>
        </is>
      </c>
    </row>
    <row r="71">
      <c r="A71" s="31" t="inlineStr">
        <is>
          <t>MAHLOG</t>
        </is>
      </c>
      <c r="B71" s="31" t="inlineStr">
        <is>
          <t>Mahindra Logistics Ltd</t>
        </is>
      </c>
      <c r="C71" s="31" t="inlineStr">
        <is>
          <t>transportation</t>
        </is>
      </c>
      <c r="D71" s="31" t="inlineStr">
        <is>
          <t>miscellaneous</t>
        </is>
      </c>
      <c r="E71" s="31" t="inlineStr">
        <is>
          <t>smallcap</t>
        </is>
      </c>
      <c r="F71" s="31" t="n">
        <v>4066.14</v>
      </c>
      <c r="G71" s="31" t="n">
        <v>421.5</v>
      </c>
      <c r="H71" s="31" t="n">
        <v>2.86</v>
      </c>
      <c r="I71" s="31" t="n">
        <v>228053</v>
      </c>
      <c r="J71" s="31" t="inlineStr">
        <is>
          <t>540768</t>
        </is>
      </c>
    </row>
    <row r="72">
      <c r="A72" s="31" t="inlineStr">
        <is>
          <t>SUPREMEIND</t>
        </is>
      </c>
      <c r="B72" s="31" t="inlineStr">
        <is>
          <t>Supreme Industries Limited</t>
        </is>
      </c>
      <c r="C72" s="31" t="inlineStr">
        <is>
          <t>plastic products</t>
        </is>
      </c>
      <c r="D72" s="31" t="inlineStr">
        <is>
          <t>plastics products</t>
        </is>
      </c>
      <c r="E72" s="31" t="inlineStr">
        <is>
          <t>largecap</t>
        </is>
      </c>
      <c r="F72" s="31" t="n">
        <v>44547.05</v>
      </c>
      <c r="G72" s="31" t="n">
        <v>3607</v>
      </c>
      <c r="H72" s="31" t="n">
        <v>2.85</v>
      </c>
      <c r="I72" s="31" t="n">
        <v>371467</v>
      </c>
      <c r="J72" s="31" t="inlineStr">
        <is>
          <t>509930</t>
        </is>
      </c>
    </row>
    <row r="73">
      <c r="A73" s="31" t="inlineStr">
        <is>
          <t>CCL</t>
        </is>
      </c>
      <c r="B73" s="31" t="inlineStr">
        <is>
          <t>Ccl Products (india) Limited</t>
        </is>
      </c>
      <c r="C73" s="31" t="inlineStr">
        <is>
          <t>fmcg</t>
        </is>
      </c>
      <c r="D73" s="31" t="inlineStr">
        <is>
          <t>tea</t>
        </is>
      </c>
      <c r="E73" s="31" t="inlineStr">
        <is>
          <t>midcap</t>
        </is>
      </c>
      <c r="F73" s="31" t="n">
        <v>14296.83</v>
      </c>
      <c r="G73" s="31" t="n">
        <v>1100.6</v>
      </c>
      <c r="H73" s="31" t="n">
        <v>2.79</v>
      </c>
      <c r="I73" s="31" t="n">
        <v>153068</v>
      </c>
      <c r="J73" s="31" t="inlineStr">
        <is>
          <t>519600</t>
        </is>
      </c>
    </row>
    <row r="74">
      <c r="A74" s="31" t="inlineStr">
        <is>
          <t>VHLTD</t>
        </is>
      </c>
      <c r="B74" s="31" t="inlineStr">
        <is>
          <t>Viceroy Hotels Ltd</t>
        </is>
      </c>
      <c r="C74" s="31" t="inlineStr">
        <is>
          <t>services</t>
        </is>
      </c>
      <c r="D74" s="31" t="inlineStr">
        <is>
          <t>hotels</t>
        </is>
      </c>
      <c r="E74" s="31" t="inlineStr">
        <is>
          <t>smallcap</t>
        </is>
      </c>
      <c r="F74" s="31" t="n">
        <v>1137.22</v>
      </c>
      <c r="G74" s="31" t="n">
        <v>152.21</v>
      </c>
      <c r="H74" s="31" t="n">
        <v>2.77</v>
      </c>
      <c r="I74" s="31" t="n">
        <v>37110</v>
      </c>
      <c r="J74" s="31" t="inlineStr">
        <is>
          <t>523796</t>
        </is>
      </c>
    </row>
    <row r="75">
      <c r="A75" s="31" t="inlineStr">
        <is>
          <t>SANATHAN</t>
        </is>
      </c>
      <c r="B75" s="31" t="inlineStr">
        <is>
          <t>Sanathan Textiles Ltd</t>
        </is>
      </c>
      <c r="C75" s="31" t="inlineStr">
        <is>
          <t>textiles</t>
        </is>
      </c>
      <c r="D75" s="31" t="inlineStr">
        <is>
          <t>textiles - cotton/blended</t>
        </is>
      </c>
      <c r="E75" s="31" t="inlineStr">
        <is>
          <t>smallcap</t>
        </is>
      </c>
      <c r="F75" s="31" t="n">
        <v>4502.11</v>
      </c>
      <c r="G75" s="31" t="n">
        <v>548.15</v>
      </c>
      <c r="H75" s="31" t="n">
        <v>2.77</v>
      </c>
      <c r="I75" s="31" t="n">
        <v>548090</v>
      </c>
      <c r="J75" s="31" t="inlineStr">
        <is>
          <t>544314</t>
        </is>
      </c>
    </row>
    <row r="76">
      <c r="A76" s="31" t="inlineStr">
        <is>
          <t>CYIENTDLM</t>
        </is>
      </c>
      <c r="B76" s="31" t="inlineStr">
        <is>
          <t>Cyient DLM Ltd</t>
        </is>
      </c>
      <c r="C76" s="31" t="inlineStr">
        <is>
          <t>aerospace &amp; defence</t>
        </is>
      </c>
      <c r="D76" s="31" t="inlineStr">
        <is>
          <t>electronics - components</t>
        </is>
      </c>
      <c r="E76" s="31" t="inlineStr">
        <is>
          <t>midcap</t>
        </is>
      </c>
      <c r="F76" s="31" t="n">
        <v>8027.64</v>
      </c>
      <c r="G76" s="31" t="n">
        <v>1038.55</v>
      </c>
      <c r="H76" s="31" t="n">
        <v>2.7</v>
      </c>
      <c r="I76" s="31" t="n">
        <v>748639</v>
      </c>
      <c r="J76" s="31" t="inlineStr">
        <is>
          <t>543933</t>
        </is>
      </c>
    </row>
    <row r="77">
      <c r="A77" s="31" t="inlineStr">
        <is>
          <t>SUNTV</t>
        </is>
      </c>
      <c r="B77" s="31" t="inlineStr">
        <is>
          <t>Sun Tv Network Limited</t>
        </is>
      </c>
      <c r="C77" s="31" t="inlineStr">
        <is>
          <t>media</t>
        </is>
      </c>
      <c r="D77" s="31" t="inlineStr">
        <is>
          <t>entertainment / electronic media software</t>
        </is>
      </c>
      <c r="E77" s="31" t="inlineStr">
        <is>
          <t>largecap</t>
        </is>
      </c>
      <c r="F77" s="31" t="n">
        <v>25065.75</v>
      </c>
      <c r="G77" s="31" t="n">
        <v>653.1</v>
      </c>
      <c r="H77" s="31" t="n">
        <v>2.68</v>
      </c>
      <c r="I77" s="31" t="n">
        <v>716120</v>
      </c>
      <c r="J77" s="31" t="inlineStr">
        <is>
          <t>532733</t>
        </is>
      </c>
    </row>
    <row r="78">
      <c r="A78" s="31" t="inlineStr">
        <is>
          <t>NRAIL</t>
        </is>
      </c>
      <c r="B78" s="31" t="inlineStr">
        <is>
          <t>N R Agarwal Industries Ltd</t>
        </is>
      </c>
      <c r="C78" s="31" t="inlineStr">
        <is>
          <t>building materials</t>
        </is>
      </c>
      <c r="D78" s="31" t="inlineStr">
        <is>
          <t>paper</t>
        </is>
      </c>
      <c r="E78" s="31" t="inlineStr">
        <is>
          <t>smallcap</t>
        </is>
      </c>
      <c r="F78" s="31" t="n">
        <v>1283.41</v>
      </c>
      <c r="G78" s="31" t="n">
        <v>774.2</v>
      </c>
      <c r="H78" s="31" t="n">
        <v>2.67</v>
      </c>
      <c r="I78" s="31" t="n">
        <v>119109</v>
      </c>
      <c r="J78" s="31" t="inlineStr">
        <is>
          <t>516082</t>
        </is>
      </c>
    </row>
    <row r="79">
      <c r="A79" s="31" t="inlineStr">
        <is>
          <t>JAMNAAUTO</t>
        </is>
      </c>
      <c r="B79" s="31" t="inlineStr">
        <is>
          <t>Jamna Auto Industries Limited</t>
        </is>
      </c>
      <c r="C79" s="31" t="inlineStr">
        <is>
          <t>auto</t>
        </is>
      </c>
      <c r="D79" s="31" t="inlineStr">
        <is>
          <t>auto ancillaries</t>
        </is>
      </c>
      <c r="E79" s="31" t="inlineStr">
        <is>
          <t>midcap</t>
        </is>
      </c>
      <c r="F79" s="31" t="n">
        <v>5826.09</v>
      </c>
      <c r="G79" s="31" t="n">
        <v>149.57</v>
      </c>
      <c r="H79" s="31" t="n">
        <v>2.64</v>
      </c>
      <c r="I79" s="31" t="n">
        <v>1766684</v>
      </c>
      <c r="J79" s="31" t="inlineStr">
        <is>
          <t>520051</t>
        </is>
      </c>
    </row>
    <row r="80">
      <c r="A80" s="31" t="inlineStr">
        <is>
          <t>PCJEWELLER</t>
        </is>
      </c>
      <c r="B80" s="31" t="inlineStr">
        <is>
          <t>Pc Jeweller Limited</t>
        </is>
      </c>
      <c r="C80" s="31" t="inlineStr">
        <is>
          <t>consumer discretionary</t>
        </is>
      </c>
      <c r="D80" s="31" t="inlineStr">
        <is>
          <t>diamond cutting / jewellery</t>
        </is>
      </c>
      <c r="E80" s="31" t="inlineStr">
        <is>
          <t>midcap</t>
        </is>
      </c>
      <c r="F80" s="31" t="n">
        <v>13691.85</v>
      </c>
      <c r="G80" s="31" t="n">
        <v>14.47</v>
      </c>
      <c r="H80" s="31" t="n">
        <v>2.62</v>
      </c>
      <c r="I80" s="31" t="n">
        <v>413069436</v>
      </c>
      <c r="J80" s="31" t="inlineStr">
        <is>
          <t>534809</t>
        </is>
      </c>
    </row>
    <row r="81">
      <c r="A81" s="31" t="inlineStr">
        <is>
          <t>GPTINFRA</t>
        </is>
      </c>
      <c r="B81" s="31" t="inlineStr">
        <is>
          <t>Gpt Infraprojects Limited</t>
        </is>
      </c>
      <c r="C81" s="31" t="inlineStr">
        <is>
          <t>realty</t>
        </is>
      </c>
      <c r="D81" s="31" t="inlineStr">
        <is>
          <t>construction</t>
        </is>
      </c>
      <c r="E81" s="31" t="inlineStr">
        <is>
          <t>smallcap</t>
        </is>
      </c>
      <c r="F81" s="31" t="n">
        <v>1541.52</v>
      </c>
      <c r="G81" s="31" t="n">
        <v>125.13</v>
      </c>
      <c r="H81" s="31" t="n">
        <v>2.57</v>
      </c>
      <c r="I81" s="31" t="n">
        <v>212079</v>
      </c>
      <c r="J81" s="31" t="inlineStr">
        <is>
          <t>533761</t>
        </is>
      </c>
    </row>
    <row r="82">
      <c r="A82" s="31" t="inlineStr">
        <is>
          <t>VHL</t>
        </is>
      </c>
      <c r="B82" s="31" t="inlineStr">
        <is>
          <t>Vardhman Holdings Limited</t>
        </is>
      </c>
      <c r="C82" s="31" t="inlineStr">
        <is>
          <t>financials</t>
        </is>
      </c>
      <c r="D82" s="31" t="inlineStr">
        <is>
          <t>finance &amp; investments</t>
        </is>
      </c>
      <c r="E82" s="31" t="inlineStr">
        <is>
          <t>smallcap</t>
        </is>
      </c>
      <c r="F82" s="31" t="n">
        <v>1154.73</v>
      </c>
      <c r="G82" s="31" t="n">
        <v>3711</v>
      </c>
      <c r="H82" s="31" t="n">
        <v>2.57</v>
      </c>
      <c r="I82" s="31" t="n">
        <v>2827</v>
      </c>
      <c r="J82" s="31" t="inlineStr">
        <is>
          <t>500439</t>
        </is>
      </c>
    </row>
    <row r="83">
      <c r="A83" s="31" t="inlineStr">
        <is>
          <t>MAYURUNIQ</t>
        </is>
      </c>
      <c r="B83" s="31" t="inlineStr">
        <is>
          <t>Mayur Uniquoters Ltd</t>
        </is>
      </c>
      <c r="C83" s="31" t="inlineStr">
        <is>
          <t>consumer discretionary</t>
        </is>
      </c>
      <c r="D83" s="31" t="inlineStr">
        <is>
          <t>leather / leather products</t>
        </is>
      </c>
      <c r="E83" s="31" t="inlineStr">
        <is>
          <t>smallcap</t>
        </is>
      </c>
      <c r="F83" s="31" t="n">
        <v>3406.47</v>
      </c>
      <c r="G83" s="31" t="n">
        <v>803.9</v>
      </c>
      <c r="H83" s="31" t="n">
        <v>2.54</v>
      </c>
      <c r="I83" s="31" t="n">
        <v>73050</v>
      </c>
      <c r="J83" s="31" t="inlineStr">
        <is>
          <t>522249</t>
        </is>
      </c>
    </row>
    <row r="84">
      <c r="A84" s="31" t="inlineStr">
        <is>
          <t>BEPL</t>
        </is>
      </c>
      <c r="B84" s="31" t="inlineStr">
        <is>
          <t>Bhansali Engineering Polymers Limited</t>
        </is>
      </c>
      <c r="C84" s="31" t="inlineStr">
        <is>
          <t>energy</t>
        </is>
      </c>
      <c r="D84" s="31" t="inlineStr">
        <is>
          <t>petrochemicals</t>
        </is>
      </c>
      <c r="E84" s="31" t="inlineStr">
        <is>
          <t>smallcap</t>
        </is>
      </c>
      <c r="F84" s="31" t="n">
        <v>3177.18</v>
      </c>
      <c r="G84" s="31" t="n">
        <v>130.89</v>
      </c>
      <c r="H84" s="31" t="n">
        <v>2.52</v>
      </c>
      <c r="I84" s="31" t="n">
        <v>1580090</v>
      </c>
      <c r="J84" s="31" t="inlineStr">
        <is>
          <t>500052</t>
        </is>
      </c>
    </row>
    <row r="85">
      <c r="A85" s="31" t="inlineStr">
        <is>
          <t>REDINGTON</t>
        </is>
      </c>
      <c r="B85" s="31" t="inlineStr">
        <is>
          <t>Redington (india) Limited</t>
        </is>
      </c>
      <c r="C85" s="31" t="inlineStr">
        <is>
          <t>services</t>
        </is>
      </c>
      <c r="D85" s="31" t="inlineStr">
        <is>
          <t>trading</t>
        </is>
      </c>
      <c r="E85" s="31" t="inlineStr">
        <is>
          <t>largecap</t>
        </is>
      </c>
      <c r="F85" s="31" t="n">
        <v>30641.65</v>
      </c>
      <c r="G85" s="31" t="n">
        <v>401.6</v>
      </c>
      <c r="H85" s="31" t="n">
        <v>2.46</v>
      </c>
      <c r="I85" s="31" t="n">
        <v>5910492</v>
      </c>
      <c r="J85" s="31" t="inlineStr">
        <is>
          <t>532805</t>
        </is>
      </c>
    </row>
    <row r="86">
      <c r="A86" s="31" t="inlineStr">
        <is>
          <t>DHAMPURSUG</t>
        </is>
      </c>
      <c r="B86" s="31" t="inlineStr">
        <is>
          <t>Dhampur Sugar Mills Limited</t>
        </is>
      </c>
      <c r="C86" s="31" t="inlineStr">
        <is>
          <t>fmcg</t>
        </is>
      </c>
      <c r="D86" s="31" t="inlineStr">
        <is>
          <t>sugar</t>
        </is>
      </c>
      <c r="E86" s="31" t="inlineStr">
        <is>
          <t>smallcap</t>
        </is>
      </c>
      <c r="F86" s="31" t="n">
        <v>1303.11</v>
      </c>
      <c r="G86" s="31" t="n">
        <v>207.63</v>
      </c>
      <c r="H86" s="31" t="n">
        <v>2.46</v>
      </c>
      <c r="I86" s="31" t="n">
        <v>3304387</v>
      </c>
      <c r="J86" s="31" t="inlineStr">
        <is>
          <t>500119</t>
        </is>
      </c>
    </row>
    <row r="87">
      <c r="A87" s="31" t="inlineStr">
        <is>
          <t>AURUM</t>
        </is>
      </c>
      <c r="B87" s="31" t="inlineStr">
        <is>
          <t>Aurum Proptech Ltd</t>
        </is>
      </c>
      <c r="C87" s="31" t="inlineStr">
        <is>
          <t>i.t</t>
        </is>
      </c>
      <c r="D87" s="31" t="inlineStr">
        <is>
          <t>computers - software - medium / small</t>
        </is>
      </c>
      <c r="E87" s="31" t="inlineStr">
        <is>
          <t>smallcap</t>
        </is>
      </c>
      <c r="F87" s="31" t="n">
        <v>2282.93</v>
      </c>
      <c r="G87" s="31" t="n">
        <v>242.18</v>
      </c>
      <c r="H87" s="31" t="n">
        <v>2.43</v>
      </c>
      <c r="I87" s="31" t="n">
        <v>453883</v>
      </c>
      <c r="J87" s="31" t="inlineStr">
        <is>
          <t>539289</t>
        </is>
      </c>
    </row>
    <row r="88">
      <c r="A88" s="31" t="inlineStr">
        <is>
          <t>ARIHANTCAP</t>
        </is>
      </c>
      <c r="B88" s="31" t="inlineStr">
        <is>
          <t>Arihant Capital Markets Ltd</t>
        </is>
      </c>
      <c r="C88" s="31" t="inlineStr">
        <is>
          <t>financials</t>
        </is>
      </c>
      <c r="D88" s="31" t="inlineStr">
        <is>
          <t>finance &amp; investments</t>
        </is>
      </c>
      <c r="E88" s="31" t="inlineStr">
        <is>
          <t>smallcap</t>
        </is>
      </c>
      <c r="F88" s="31" t="n">
        <v>1055.68</v>
      </c>
      <c r="G88" s="31" t="n">
        <v>98.61</v>
      </c>
      <c r="H88" s="31" t="n">
        <v>2.39</v>
      </c>
      <c r="I88" s="31" t="n">
        <v>1002301</v>
      </c>
      <c r="J88" s="31" t="inlineStr">
        <is>
          <t>511605</t>
        </is>
      </c>
    </row>
    <row r="89">
      <c r="A89" s="31" t="inlineStr">
        <is>
          <t>RAYMOND</t>
        </is>
      </c>
      <c r="B89" s="31" t="inlineStr">
        <is>
          <t>Raymond Limited</t>
        </is>
      </c>
      <c r="C89" s="31" t="inlineStr">
        <is>
          <t>transportation</t>
        </is>
      </c>
      <c r="D89" s="31" t="inlineStr">
        <is>
          <t>transport - airlines</t>
        </is>
      </c>
      <c r="E89" s="31" t="inlineStr">
        <is>
          <t>midcap</t>
        </is>
      </c>
      <c r="F89" s="31" t="n">
        <v>7721.22</v>
      </c>
      <c r="G89" s="31" t="n">
        <v>1186.1</v>
      </c>
      <c r="H89" s="31" t="n">
        <v>2.27</v>
      </c>
      <c r="I89" s="31" t="n">
        <v>917341</v>
      </c>
      <c r="J89" s="31" t="inlineStr">
        <is>
          <t>500330</t>
        </is>
      </c>
    </row>
    <row r="90">
      <c r="A90" s="31" t="inlineStr">
        <is>
          <t>GPPL</t>
        </is>
      </c>
      <c r="B90" s="31" t="inlineStr">
        <is>
          <t>Gujarat Pipavav Port Limited</t>
        </is>
      </c>
      <c r="C90" s="31" t="inlineStr">
        <is>
          <t>transportation</t>
        </is>
      </c>
      <c r="D90" s="31" t="inlineStr">
        <is>
          <t>miscellaneous</t>
        </is>
      </c>
      <c r="E90" s="31" t="inlineStr">
        <is>
          <t>midcap</t>
        </is>
      </c>
      <c r="F90" s="31" t="n">
        <v>8298.25</v>
      </c>
      <c r="G90" s="31" t="n">
        <v>175.53</v>
      </c>
      <c r="H90" s="31" t="n">
        <v>2.26</v>
      </c>
      <c r="I90" s="31" t="n">
        <v>2310397</v>
      </c>
      <c r="J90" s="31" t="inlineStr">
        <is>
          <t>533248</t>
        </is>
      </c>
    </row>
    <row r="91">
      <c r="A91" s="31" t="inlineStr">
        <is>
          <t>OAL</t>
        </is>
      </c>
      <c r="B91" s="31" t="inlineStr">
        <is>
          <t>Oriental Aromatics Ltd</t>
        </is>
      </c>
      <c r="C91" s="31" t="inlineStr">
        <is>
          <t>chemicals</t>
        </is>
      </c>
      <c r="D91" s="31" t="inlineStr">
        <is>
          <t>chemicals</t>
        </is>
      </c>
      <c r="E91" s="31" t="inlineStr">
        <is>
          <t>smallcap</t>
        </is>
      </c>
      <c r="F91" s="31" t="n">
        <v>1719.53</v>
      </c>
      <c r="G91" s="31" t="n">
        <v>522.35</v>
      </c>
      <c r="H91" s="31" t="n">
        <v>2.23</v>
      </c>
      <c r="I91" s="31" t="n">
        <v>29094</v>
      </c>
      <c r="J91" s="31" t="inlineStr">
        <is>
          <t>500078</t>
        </is>
      </c>
    </row>
    <row r="92">
      <c r="A92" s="31" t="inlineStr">
        <is>
          <t>KRONOX</t>
        </is>
      </c>
      <c r="B92" s="31" t="inlineStr">
        <is>
          <t>Kronox Lab Sciences Ltd</t>
        </is>
      </c>
      <c r="C92" s="31" t="inlineStr">
        <is>
          <t>chemicals</t>
        </is>
      </c>
      <c r="D92" s="31" t="inlineStr">
        <is>
          <t>chemicals</t>
        </is>
      </c>
      <c r="E92" s="31" t="inlineStr">
        <is>
          <t>smallcap</t>
        </is>
      </c>
      <c r="F92" s="31" t="n">
        <v>794.1</v>
      </c>
      <c r="G92" s="31" t="n">
        <v>218.79</v>
      </c>
      <c r="H92" s="31" t="n">
        <v>2.23</v>
      </c>
      <c r="I92" s="31" t="n">
        <v>51371</v>
      </c>
      <c r="J92" s="31" t="inlineStr">
        <is>
          <t>544187</t>
        </is>
      </c>
    </row>
    <row r="93">
      <c r="A93" s="31" t="inlineStr">
        <is>
          <t>SHRINGARMS</t>
        </is>
      </c>
      <c r="B93" s="31" t="inlineStr">
        <is>
          <t>Shringar House of Mangalsutra Ltd</t>
        </is>
      </c>
      <c r="C93" s="31" t="inlineStr">
        <is>
          <t>consumer discretionary</t>
        </is>
      </c>
      <c r="D93" s="31" t="inlineStr">
        <is>
          <t>diamond cutting / jewellery</t>
        </is>
      </c>
      <c r="E93" s="31" t="inlineStr">
        <is>
          <t>smallcap</t>
        </is>
      </c>
      <c r="F93" s="31" t="n">
        <v>2997.59</v>
      </c>
      <c r="G93" s="31" t="n">
        <v>317.74</v>
      </c>
      <c r="H93" s="31" t="n">
        <v>2.22</v>
      </c>
      <c r="I93" s="31" t="n">
        <v>25069586</v>
      </c>
      <c r="J93" s="31" t="inlineStr">
        <is>
          <t>544512</t>
        </is>
      </c>
    </row>
    <row r="94">
      <c r="A94" s="31" t="inlineStr">
        <is>
          <t>RBZJEWEL</t>
        </is>
      </c>
      <c r="B94" s="31" t="inlineStr">
        <is>
          <t>RBZ Jewellers Ltd</t>
        </is>
      </c>
      <c r="C94" s="31" t="inlineStr">
        <is>
          <t>consumer discretionary</t>
        </is>
      </c>
      <c r="D94" s="31" t="inlineStr">
        <is>
          <t>diamond cutting / jewellery</t>
        </is>
      </c>
      <c r="E94" s="31" t="inlineStr">
        <is>
          <t>smallcap</t>
        </is>
      </c>
      <c r="F94" s="31" t="n">
        <v>755.88</v>
      </c>
      <c r="G94" s="31" t="n">
        <v>193.15</v>
      </c>
      <c r="H94" s="31" t="n">
        <v>2.21</v>
      </c>
      <c r="I94" s="31" t="n">
        <v>46691</v>
      </c>
      <c r="J94" s="31" t="inlineStr">
        <is>
          <t>544060</t>
        </is>
      </c>
    </row>
    <row r="95">
      <c r="A95" s="31" t="inlineStr">
        <is>
          <t>WELENT</t>
        </is>
      </c>
      <c r="B95" s="31" t="inlineStr">
        <is>
          <t>Welspun Enterprises Limited</t>
        </is>
      </c>
      <c r="C95" s="31" t="inlineStr">
        <is>
          <t>realty</t>
        </is>
      </c>
      <c r="D95" s="31" t="inlineStr">
        <is>
          <t>construction</t>
        </is>
      </c>
      <c r="E95" s="31" t="inlineStr">
        <is>
          <t>midcap</t>
        </is>
      </c>
      <c r="F95" s="31" t="n">
        <v>10195.56</v>
      </c>
      <c r="G95" s="31" t="n">
        <v>752.65</v>
      </c>
      <c r="H95" s="31" t="n">
        <v>2.18</v>
      </c>
      <c r="I95" s="31" t="n">
        <v>219495</v>
      </c>
      <c r="J95" s="31" t="inlineStr">
        <is>
          <t>532553</t>
        </is>
      </c>
    </row>
    <row r="96">
      <c r="A96" s="31" t="inlineStr">
        <is>
          <t>TECHM</t>
        </is>
      </c>
      <c r="B96" s="31" t="inlineStr">
        <is>
          <t>Tech Mahindra Limited</t>
        </is>
      </c>
      <c r="C96" s="31" t="inlineStr">
        <is>
          <t>i.t</t>
        </is>
      </c>
      <c r="D96" s="31" t="inlineStr">
        <is>
          <t>computers - software - large</t>
        </is>
      </c>
      <c r="E96" s="31" t="inlineStr">
        <is>
          <t>largecap</t>
        </is>
      </c>
      <c r="F96" s="31" t="n">
        <v>151271.95</v>
      </c>
      <c r="G96" s="31" t="n">
        <v>1575.2</v>
      </c>
      <c r="H96" s="31" t="n">
        <v>2.05</v>
      </c>
      <c r="I96" s="31" t="n">
        <v>3651697</v>
      </c>
      <c r="J96" s="31" t="inlineStr">
        <is>
          <t>532755</t>
        </is>
      </c>
    </row>
    <row r="97">
      <c r="A97" s="31" t="inlineStr">
        <is>
          <t>NRL</t>
        </is>
      </c>
      <c r="B97" s="31" t="inlineStr">
        <is>
          <t>Nupur Recyclers Ltd</t>
        </is>
      </c>
      <c r="C97" s="31" t="inlineStr">
        <is>
          <t>services</t>
        </is>
      </c>
      <c r="D97" s="31" t="inlineStr">
        <is>
          <t>trading</t>
        </is>
      </c>
      <c r="E97" s="31" t="inlineStr">
        <is>
          <t>smallcap</t>
        </is>
      </c>
      <c r="F97" s="31" t="n">
        <v>1099.03</v>
      </c>
      <c r="G97" s="31" t="n">
        <v>162.3</v>
      </c>
      <c r="H97" s="31" t="n">
        <v>2</v>
      </c>
      <c r="I97" s="31" t="n">
        <v>82378</v>
      </c>
      <c r="J97" s="31" t="inlineStr">
        <is>
          <t>535413</t>
        </is>
      </c>
    </row>
    <row r="98">
      <c r="A98" s="31" t="inlineStr">
        <is>
          <t>HINDOILEXP</t>
        </is>
      </c>
      <c r="B98" s="31" t="inlineStr">
        <is>
          <t>Hindustan Oil Exploration Company Limited</t>
        </is>
      </c>
      <c r="C98" s="31" t="inlineStr">
        <is>
          <t>energy</t>
        </is>
      </c>
      <c r="D98" s="31" t="inlineStr">
        <is>
          <t>oil drilling / allied services</t>
        </is>
      </c>
      <c r="E98" s="31" t="inlineStr">
        <is>
          <t>smallcap</t>
        </is>
      </c>
      <c r="F98" s="31" t="n">
        <v>2271.68</v>
      </c>
      <c r="G98" s="31" t="n">
        <v>175.21</v>
      </c>
      <c r="H98" s="31" t="n">
        <v>2</v>
      </c>
      <c r="I98" s="31" t="n">
        <v>863910</v>
      </c>
      <c r="J98" s="31" t="inlineStr">
        <is>
          <t>500186</t>
        </is>
      </c>
    </row>
    <row r="99">
      <c r="A99" s="31" t="inlineStr">
        <is>
          <t>BAFNAPH</t>
        </is>
      </c>
      <c r="B99" s="31" t="inlineStr">
        <is>
          <t>Bafna Pharmaceuticals Ltd</t>
        </is>
      </c>
      <c r="C99" s="31" t="inlineStr">
        <is>
          <t>healthcare</t>
        </is>
      </c>
      <c r="D99" s="31" t="inlineStr">
        <is>
          <t>pharmaceuticals - indian - formulations</t>
        </is>
      </c>
      <c r="E99" s="31" t="inlineStr">
        <is>
          <t>smallcap</t>
        </is>
      </c>
      <c r="F99" s="31" t="n">
        <v>1028.7</v>
      </c>
      <c r="G99" s="31" t="n">
        <v>443.5</v>
      </c>
      <c r="H99" s="31" t="n">
        <v>1.99</v>
      </c>
      <c r="I99" s="31" t="n">
        <v>2305</v>
      </c>
      <c r="J99" s="31" t="inlineStr">
        <is>
          <t>532989</t>
        </is>
      </c>
    </row>
    <row r="100">
      <c r="A100" s="31" t="inlineStr">
        <is>
          <t>RAJRILTD</t>
        </is>
      </c>
      <c r="B100" s="31" t="inlineStr">
        <is>
          <t>Raj Rayon Industries Ltd</t>
        </is>
      </c>
      <c r="C100" s="31" t="inlineStr">
        <is>
          <t>textiles</t>
        </is>
      </c>
      <c r="D100" s="31" t="inlineStr">
        <is>
          <t>textiles - manmade</t>
        </is>
      </c>
      <c r="E100" s="31" t="inlineStr">
        <is>
          <t>smallcap</t>
        </is>
      </c>
      <c r="F100" s="31" t="n">
        <v>1227.27</v>
      </c>
      <c r="G100" s="31" t="n">
        <v>22.51</v>
      </c>
      <c r="H100" s="31" t="n">
        <v>1.99</v>
      </c>
      <c r="I100" s="31" t="n">
        <v>4376</v>
      </c>
      <c r="J100" s="31" t="inlineStr">
        <is>
          <t>530699</t>
        </is>
      </c>
    </row>
    <row r="101">
      <c r="A101" s="31" t="inlineStr">
        <is>
          <t>AEROFLEX</t>
        </is>
      </c>
      <c r="B101" s="31" t="inlineStr">
        <is>
          <t>Aeroflex Industries Ltd</t>
        </is>
      </c>
      <c r="C101" s="31" t="inlineStr">
        <is>
          <t>metals &amp; mining</t>
        </is>
      </c>
      <c r="D101" s="31" t="inlineStr">
        <is>
          <t>steel - medium / small</t>
        </is>
      </c>
      <c r="E101" s="31" t="inlineStr">
        <is>
          <t>midcap</t>
        </is>
      </c>
      <c r="F101" s="31" t="n">
        <v>7378.76</v>
      </c>
      <c r="G101" s="31" t="n">
        <v>568.7</v>
      </c>
      <c r="H101" s="31" t="n">
        <v>1.99</v>
      </c>
      <c r="I101" s="31" t="n">
        <v>7996426</v>
      </c>
      <c r="J101" s="31" t="inlineStr">
        <is>
          <t>543972</t>
        </is>
      </c>
    </row>
    <row r="102">
      <c r="A102" s="31" t="inlineStr">
        <is>
          <t>SHALPAINTS</t>
        </is>
      </c>
      <c r="B102" s="31" t="inlineStr">
        <is>
          <t>Shalimar Paints Limited</t>
        </is>
      </c>
      <c r="C102" s="31" t="inlineStr">
        <is>
          <t>building materials</t>
        </is>
      </c>
      <c r="D102" s="31" t="inlineStr">
        <is>
          <t>paints / varnishes</t>
        </is>
      </c>
      <c r="E102" s="31" t="inlineStr">
        <is>
          <t>smallcap</t>
        </is>
      </c>
      <c r="F102" s="31" t="n">
        <v>683.33</v>
      </c>
      <c r="G102" s="31" t="n">
        <v>83.25</v>
      </c>
      <c r="H102" s="31" t="n">
        <v>1.98</v>
      </c>
      <c r="I102" s="31" t="n">
        <v>223923</v>
      </c>
      <c r="J102" s="31" t="inlineStr">
        <is>
          <t>509874</t>
        </is>
      </c>
    </row>
    <row r="103">
      <c r="A103" s="31" t="inlineStr">
        <is>
          <t>NINSYS</t>
        </is>
      </c>
      <c r="B103" s="31" t="inlineStr">
        <is>
          <t>NINtec Systems Ltd</t>
        </is>
      </c>
      <c r="C103" s="31" t="inlineStr">
        <is>
          <t>i.t</t>
        </is>
      </c>
      <c r="D103" s="31" t="inlineStr">
        <is>
          <t>computers - software - medium / small</t>
        </is>
      </c>
      <c r="E103" s="31" t="inlineStr">
        <is>
          <t>smallcap</t>
        </is>
      </c>
      <c r="F103" s="31" t="n">
        <v>1494.63</v>
      </c>
      <c r="G103" s="31" t="n">
        <v>820.35</v>
      </c>
      <c r="H103" s="31" t="n">
        <v>1.96</v>
      </c>
      <c r="I103" s="31" t="n">
        <v>6052</v>
      </c>
      <c r="J103" s="31" t="inlineStr">
        <is>
          <t>539843</t>
        </is>
      </c>
    </row>
    <row r="104">
      <c r="A104" s="31" t="inlineStr">
        <is>
          <t>MUFIN</t>
        </is>
      </c>
      <c r="B104" s="31" t="inlineStr">
        <is>
          <t>Mufin Green Finance Ltd</t>
        </is>
      </c>
      <c r="C104" s="31" t="inlineStr">
        <is>
          <t>financials</t>
        </is>
      </c>
      <c r="D104" s="31" t="inlineStr">
        <is>
          <t>finance &amp; investments</t>
        </is>
      </c>
      <c r="E104" s="31" t="inlineStr">
        <is>
          <t>smallcap</t>
        </is>
      </c>
      <c r="F104" s="31" t="n">
        <v>2725.32</v>
      </c>
      <c r="G104" s="31" t="n">
        <v>140.2</v>
      </c>
      <c r="H104" s="31" t="n">
        <v>1.94</v>
      </c>
      <c r="I104" s="31" t="n">
        <v>1064428</v>
      </c>
      <c r="J104" s="31" t="inlineStr">
        <is>
          <t>542774</t>
        </is>
      </c>
    </row>
    <row r="105">
      <c r="A105" s="31" t="inlineStr">
        <is>
          <t>PANACHE</t>
        </is>
      </c>
      <c r="B105" s="31" t="inlineStr">
        <is>
          <t>Panache Digilife Ltd</t>
        </is>
      </c>
      <c r="C105" s="31" t="inlineStr">
        <is>
          <t>i.t</t>
        </is>
      </c>
      <c r="D105" s="31" t="inlineStr">
        <is>
          <t>computers - hardware</t>
        </is>
      </c>
      <c r="E105" s="31" t="inlineStr">
        <is>
          <t>smallcap</t>
        </is>
      </c>
      <c r="F105" s="31" t="n">
        <v>991.35</v>
      </c>
      <c r="G105" s="31" t="n">
        <v>631</v>
      </c>
      <c r="H105" s="31" t="n">
        <v>1.93</v>
      </c>
      <c r="I105" s="31" t="n">
        <v>15406</v>
      </c>
      <c r="J105" s="31" t="inlineStr">
        <is>
          <t>538424</t>
        </is>
      </c>
    </row>
    <row r="106">
      <c r="A106" s="31" t="inlineStr">
        <is>
          <t>SAREGAMA</t>
        </is>
      </c>
      <c r="B106" s="31" t="inlineStr">
        <is>
          <t>Saregama India Limited</t>
        </is>
      </c>
      <c r="C106" s="31" t="inlineStr">
        <is>
          <t>media</t>
        </is>
      </c>
      <c r="D106" s="31" t="inlineStr">
        <is>
          <t>entertainment / electronic media software</t>
        </is>
      </c>
      <c r="E106" s="31" t="inlineStr">
        <is>
          <t>midcap</t>
        </is>
      </c>
      <c r="F106" s="31" t="n">
        <v>9662.65</v>
      </c>
      <c r="G106" s="31" t="n">
        <v>510.6</v>
      </c>
      <c r="H106" s="31" t="n">
        <v>1.89</v>
      </c>
      <c r="I106" s="31" t="n">
        <v>359440</v>
      </c>
      <c r="J106" s="31" t="inlineStr">
        <is>
          <t>532163</t>
        </is>
      </c>
    </row>
    <row r="107">
      <c r="A107" s="31" t="inlineStr">
        <is>
          <t>AVTNPL</t>
        </is>
      </c>
      <c r="B107" s="31" t="inlineStr">
        <is>
          <t>Avt Natural Products Limited</t>
        </is>
      </c>
      <c r="C107" s="31" t="inlineStr">
        <is>
          <t>fmcg</t>
        </is>
      </c>
      <c r="D107" s="31" t="inlineStr">
        <is>
          <t>solvent extraction</t>
        </is>
      </c>
      <c r="E107" s="31" t="inlineStr">
        <is>
          <t>smallcap</t>
        </is>
      </c>
      <c r="F107" s="31" t="n">
        <v>1478.07</v>
      </c>
      <c r="G107" s="31" t="n">
        <v>98.84</v>
      </c>
      <c r="H107" s="31" t="n">
        <v>1.83</v>
      </c>
      <c r="I107" s="31" t="n">
        <v>441721</v>
      </c>
      <c r="J107" s="31" t="inlineStr">
        <is>
          <t>519105</t>
        </is>
      </c>
    </row>
    <row r="108">
      <c r="A108" s="31" t="inlineStr">
        <is>
          <t>FLUOROCHEM</t>
        </is>
      </c>
      <c r="B108" s="31" t="inlineStr">
        <is>
          <t>Gujarat Fluorochemicals Ltd</t>
        </is>
      </c>
      <c r="C108" s="31" t="inlineStr">
        <is>
          <t>chemicals</t>
        </is>
      </c>
      <c r="D108" s="31" t="inlineStr">
        <is>
          <t>chemicals</t>
        </is>
      </c>
      <c r="E108" s="31" t="inlineStr">
        <is>
          <t>largecap</t>
        </is>
      </c>
      <c r="F108" s="31" t="n">
        <v>49990.54</v>
      </c>
      <c r="G108" s="31" t="n">
        <v>4632.1</v>
      </c>
      <c r="H108" s="31" t="n">
        <v>1.79</v>
      </c>
      <c r="I108" s="31" t="n">
        <v>141412</v>
      </c>
      <c r="J108" s="31" t="inlineStr">
        <is>
          <t>542812</t>
        </is>
      </c>
    </row>
    <row r="109">
      <c r="A109" s="31" t="inlineStr">
        <is>
          <t>SBCL</t>
        </is>
      </c>
      <c r="B109" s="31" t="inlineStr">
        <is>
          <t>Shivalik Bimetal Controls Ltd</t>
        </is>
      </c>
      <c r="C109" s="31" t="inlineStr">
        <is>
          <t>metals &amp; mining</t>
        </is>
      </c>
      <c r="D109" s="31" t="inlineStr">
        <is>
          <t>mining / minerals / metals</t>
        </is>
      </c>
      <c r="E109" s="31" t="inlineStr">
        <is>
          <t>midcap</t>
        </is>
      </c>
      <c r="F109" s="31" t="n">
        <v>6379.67</v>
      </c>
      <c r="G109" s="31" t="n">
        <v>1127</v>
      </c>
      <c r="H109" s="31" t="n">
        <v>1.76</v>
      </c>
      <c r="I109" s="31" t="n">
        <v>139054</v>
      </c>
      <c r="J109" s="31" t="inlineStr">
        <is>
          <t>513097</t>
        </is>
      </c>
    </row>
    <row r="110">
      <c r="A110" s="31" t="inlineStr">
        <is>
          <t>GHCLTEXTIL</t>
        </is>
      </c>
      <c r="B110" s="31" t="inlineStr">
        <is>
          <t>GHCL Textiles Ltd</t>
        </is>
      </c>
      <c r="C110" s="31" t="inlineStr">
        <is>
          <t>textiles</t>
        </is>
      </c>
      <c r="D110" s="31" t="inlineStr">
        <is>
          <t>textiles - spinning - synthetic / blended</t>
        </is>
      </c>
      <c r="E110" s="31" t="inlineStr">
        <is>
          <t>smallcap</t>
        </is>
      </c>
      <c r="F110" s="31" t="n">
        <v>1258</v>
      </c>
      <c r="G110" s="31" t="n">
        <v>133.9</v>
      </c>
      <c r="H110" s="31" t="n">
        <v>1.74</v>
      </c>
      <c r="I110" s="31" t="n">
        <v>281834</v>
      </c>
      <c r="J110" s="31" t="inlineStr">
        <is>
          <t>543918</t>
        </is>
      </c>
    </row>
    <row r="111">
      <c r="A111" s="31" t="inlineStr">
        <is>
          <t>NAHARINDUS</t>
        </is>
      </c>
      <c r="B111" s="31" t="inlineStr">
        <is>
          <t>Nahar Industrial Enterprises Limited</t>
        </is>
      </c>
      <c r="C111" s="31" t="inlineStr">
        <is>
          <t>textiles</t>
        </is>
      </c>
      <c r="D111" s="31" t="inlineStr">
        <is>
          <t>textiles - cotton/blended</t>
        </is>
      </c>
      <c r="E111" s="31" t="inlineStr">
        <is>
          <t>smallcap</t>
        </is>
      </c>
      <c r="F111" s="31" t="n">
        <v>567.42</v>
      </c>
      <c r="G111" s="31" t="n">
        <v>133.57</v>
      </c>
      <c r="H111" s="31" t="n">
        <v>1.71</v>
      </c>
      <c r="I111" s="31" t="n">
        <v>13891</v>
      </c>
      <c r="J111" s="31" t="inlineStr">
        <is>
          <t>519136</t>
        </is>
      </c>
    </row>
    <row r="112">
      <c r="A112" s="31" t="inlineStr">
        <is>
          <t>CYIENT</t>
        </is>
      </c>
      <c r="B112" s="31" t="inlineStr">
        <is>
          <t>Cyient Limited</t>
        </is>
      </c>
      <c r="C112" s="31" t="inlineStr">
        <is>
          <t>i.t</t>
        </is>
      </c>
      <c r="D112" s="31" t="inlineStr">
        <is>
          <t>computers - software - medium / small</t>
        </is>
      </c>
      <c r="E112" s="31" t="inlineStr">
        <is>
          <t>midcap</t>
        </is>
      </c>
      <c r="F112" s="31" t="n">
        <v>12310.3</v>
      </c>
      <c r="G112" s="31" t="n">
        <v>1195.4</v>
      </c>
      <c r="H112" s="31" t="n">
        <v>1.71</v>
      </c>
      <c r="I112" s="31" t="n">
        <v>751668</v>
      </c>
      <c r="J112" s="31" t="inlineStr">
        <is>
          <t>532175</t>
        </is>
      </c>
    </row>
    <row r="113">
      <c r="A113" s="31" t="inlineStr">
        <is>
          <t>E2E</t>
        </is>
      </c>
      <c r="B113" s="31" t="inlineStr">
        <is>
          <t>E2E Networks Ltd</t>
        </is>
      </c>
      <c r="C113" s="31" t="inlineStr">
        <is>
          <t>i.t</t>
        </is>
      </c>
      <c r="D113" s="31" t="inlineStr">
        <is>
          <t>computers - software - medium / small</t>
        </is>
      </c>
      <c r="E113" s="31" t="inlineStr">
        <is>
          <t>midcap</t>
        </is>
      </c>
      <c r="F113" s="31" t="n">
        <v>15124.44</v>
      </c>
      <c r="G113" s="31" t="n">
        <v>748.3</v>
      </c>
      <c r="H113" s="31" t="n">
        <v>1.71</v>
      </c>
      <c r="I113" s="31" t="n">
        <v>929957</v>
      </c>
      <c r="J113" s="31" t="inlineStr">
        <is>
          <t>535080</t>
        </is>
      </c>
    </row>
    <row r="114">
      <c r="A114" s="31" t="inlineStr">
        <is>
          <t>FINEORG</t>
        </is>
      </c>
      <c r="B114" s="31" t="inlineStr">
        <is>
          <t>Fine Organic Industries Ltd</t>
        </is>
      </c>
      <c r="C114" s="31" t="inlineStr">
        <is>
          <t>chemicals</t>
        </is>
      </c>
      <c r="D114" s="31" t="inlineStr">
        <is>
          <t>chemicals</t>
        </is>
      </c>
      <c r="E114" s="31" t="inlineStr">
        <is>
          <t>midcap</t>
        </is>
      </c>
      <c r="F114" s="31" t="n">
        <v>16625.37</v>
      </c>
      <c r="G114" s="31" t="n">
        <v>5515</v>
      </c>
      <c r="H114" s="31" t="n">
        <v>1.71</v>
      </c>
      <c r="I114" s="31" t="n">
        <v>10475</v>
      </c>
      <c r="J114" s="31" t="inlineStr">
        <is>
          <t>541557</t>
        </is>
      </c>
    </row>
    <row r="115">
      <c r="A115" s="31" t="inlineStr">
        <is>
          <t>PNB</t>
        </is>
      </c>
      <c r="B115" s="31" t="inlineStr">
        <is>
          <t>Punjab National Bank Ltd</t>
        </is>
      </c>
      <c r="C115" s="31" t="inlineStr">
        <is>
          <t>bank</t>
        </is>
      </c>
      <c r="D115" s="31" t="inlineStr">
        <is>
          <t>banks - public sector</t>
        </is>
      </c>
      <c r="E115" s="31" t="inlineStr">
        <is>
          <t>largecap</t>
        </is>
      </c>
      <c r="F115" s="31" t="n">
        <v>133950.25</v>
      </c>
      <c r="G115" s="31" t="n">
        <v>118.5</v>
      </c>
      <c r="H115" s="31" t="n">
        <v>1.67</v>
      </c>
      <c r="I115" s="31" t="n">
        <v>21611333</v>
      </c>
      <c r="J115" s="31" t="inlineStr">
        <is>
          <t>532461</t>
        </is>
      </c>
    </row>
    <row r="116">
      <c r="A116" s="31" t="inlineStr">
        <is>
          <t>ISGEC</t>
        </is>
      </c>
      <c r="B116" s="31" t="inlineStr">
        <is>
          <t>ISGEC Heavy Engineering  Ltd</t>
        </is>
      </c>
      <c r="C116" s="31" t="inlineStr">
        <is>
          <t>realty</t>
        </is>
      </c>
      <c r="D116" s="31" t="inlineStr">
        <is>
          <t>engineering - turnkey services</t>
        </is>
      </c>
      <c r="E116" s="31" t="inlineStr">
        <is>
          <t>midcap</t>
        </is>
      </c>
      <c r="F116" s="31" t="n">
        <v>6709.2</v>
      </c>
      <c r="G116" s="31" t="n">
        <v>927.35</v>
      </c>
      <c r="H116" s="31" t="n">
        <v>1.63</v>
      </c>
      <c r="I116" s="31" t="n">
        <v>58163</v>
      </c>
      <c r="J116" s="31" t="inlineStr">
        <is>
          <t>533033</t>
        </is>
      </c>
    </row>
    <row r="117">
      <c r="A117" s="31" t="inlineStr">
        <is>
          <t>SATIA</t>
        </is>
      </c>
      <c r="B117" s="31" t="inlineStr">
        <is>
          <t>Satia Industries Ltd</t>
        </is>
      </c>
      <c r="C117" s="31" t="inlineStr">
        <is>
          <t>building materials</t>
        </is>
      </c>
      <c r="D117" s="31" t="inlineStr">
        <is>
          <t>paper</t>
        </is>
      </c>
      <c r="E117" s="31" t="inlineStr">
        <is>
          <t>smallcap</t>
        </is>
      </c>
      <c r="F117" s="31" t="n">
        <v>679.7</v>
      </c>
      <c r="G117" s="31" t="n">
        <v>69.06999999999999</v>
      </c>
      <c r="H117" s="31" t="n">
        <v>1.62</v>
      </c>
      <c r="I117" s="31" t="n">
        <v>135034</v>
      </c>
      <c r="J117" s="31" t="inlineStr">
        <is>
          <t>539201</t>
        </is>
      </c>
    </row>
    <row r="118">
      <c r="A118" s="31" t="inlineStr">
        <is>
          <t>TIPSMUSIC</t>
        </is>
      </c>
      <c r="B118" s="31" t="inlineStr">
        <is>
          <t>Tips Music Ltd</t>
        </is>
      </c>
      <c r="C118" s="31" t="inlineStr">
        <is>
          <t>media</t>
        </is>
      </c>
      <c r="D118" s="31" t="inlineStr">
        <is>
          <t>entertainment / electronic media software</t>
        </is>
      </c>
      <c r="E118" s="31" t="inlineStr">
        <is>
          <t>midcap</t>
        </is>
      </c>
      <c r="F118" s="31" t="n">
        <v>9037.049999999999</v>
      </c>
      <c r="G118" s="31" t="n">
        <v>718.25</v>
      </c>
      <c r="H118" s="31" t="n">
        <v>1.6</v>
      </c>
      <c r="I118" s="31" t="n">
        <v>603685</v>
      </c>
      <c r="J118" s="31" t="inlineStr">
        <is>
          <t>532375</t>
        </is>
      </c>
    </row>
    <row r="119">
      <c r="A119" s="31" t="inlineStr">
        <is>
          <t>UTTAMSUGAR</t>
        </is>
      </c>
      <c r="B119" s="31" t="inlineStr">
        <is>
          <t>Uttam Sugar Mills Limited</t>
        </is>
      </c>
      <c r="C119" s="31" t="inlineStr">
        <is>
          <t>fmcg</t>
        </is>
      </c>
      <c r="D119" s="31" t="inlineStr">
        <is>
          <t>sugar</t>
        </is>
      </c>
      <c r="E119" s="31" t="inlineStr">
        <is>
          <t>smallcap</t>
        </is>
      </c>
      <c r="F119" s="31" t="n">
        <v>1426.94</v>
      </c>
      <c r="G119" s="31" t="n">
        <v>380.05</v>
      </c>
      <c r="H119" s="31" t="n">
        <v>1.58</v>
      </c>
      <c r="I119" s="31" t="n">
        <v>2553021</v>
      </c>
      <c r="J119" s="31" t="inlineStr">
        <is>
          <t>532729</t>
        </is>
      </c>
    </row>
    <row r="120">
      <c r="A120" s="31" t="inlineStr">
        <is>
          <t>TEXINFRA</t>
        </is>
      </c>
      <c r="B120" s="31" t="inlineStr">
        <is>
          <t>Texmaco Infrastructure &amp; Holdings Limited</t>
        </is>
      </c>
      <c r="C120" s="31" t="inlineStr">
        <is>
          <t>realty</t>
        </is>
      </c>
      <c r="D120" s="31" t="inlineStr">
        <is>
          <t>construction</t>
        </is>
      </c>
      <c r="E120" s="31" t="inlineStr">
        <is>
          <t>smallcap</t>
        </is>
      </c>
      <c r="F120" s="31" t="n">
        <v>1541.73</v>
      </c>
      <c r="G120" s="31" t="n">
        <v>122.87</v>
      </c>
      <c r="H120" s="31" t="n">
        <v>1.55</v>
      </c>
      <c r="I120" s="31" t="n">
        <v>214316</v>
      </c>
      <c r="J120" s="31" t="inlineStr">
        <is>
          <t>505400</t>
        </is>
      </c>
    </row>
    <row r="121">
      <c r="A121" s="31" t="inlineStr">
        <is>
          <t>CASTROLIND</t>
        </is>
      </c>
      <c r="B121" s="31" t="inlineStr">
        <is>
          <t>Castrol India Limited</t>
        </is>
      </c>
      <c r="C121" s="31" t="inlineStr">
        <is>
          <t>chemicals</t>
        </is>
      </c>
      <c r="D121" s="31" t="inlineStr">
        <is>
          <t>chemicals</t>
        </is>
      </c>
      <c r="E121" s="31" t="inlineStr">
        <is>
          <t>midcap</t>
        </is>
      </c>
      <c r="F121" s="31" t="n">
        <v>19187</v>
      </c>
      <c r="G121" s="31" t="n">
        <v>196.96</v>
      </c>
      <c r="H121" s="31" t="n">
        <v>1.54</v>
      </c>
      <c r="I121" s="31" t="n">
        <v>2253972</v>
      </c>
      <c r="J121" s="31" t="inlineStr">
        <is>
          <t>500870</t>
        </is>
      </c>
    </row>
    <row r="122">
      <c r="A122" s="31" t="inlineStr">
        <is>
          <t>GREENPLY</t>
        </is>
      </c>
      <c r="B122" s="31" t="inlineStr">
        <is>
          <t>Greenply Industries Limited</t>
        </is>
      </c>
      <c r="C122" s="31" t="inlineStr">
        <is>
          <t>building materials</t>
        </is>
      </c>
      <c r="D122" s="31" t="inlineStr">
        <is>
          <t>miscellaneous</t>
        </is>
      </c>
      <c r="E122" s="31" t="inlineStr">
        <is>
          <t>smallcap</t>
        </is>
      </c>
      <c r="F122" s="31" t="n">
        <v>3915.68</v>
      </c>
      <c r="G122" s="31" t="n">
        <v>318.3</v>
      </c>
      <c r="H122" s="31" t="n">
        <v>1.53</v>
      </c>
      <c r="I122" s="31" t="n">
        <v>392666</v>
      </c>
      <c r="J122" s="31" t="inlineStr">
        <is>
          <t>526797</t>
        </is>
      </c>
    </row>
    <row r="123">
      <c r="A123" s="31" t="inlineStr">
        <is>
          <t>WELSPUNLIV</t>
        </is>
      </c>
      <c r="B123" s="31" t="inlineStr">
        <is>
          <t>Welspun Living Ltd</t>
        </is>
      </c>
      <c r="C123" s="31" t="inlineStr">
        <is>
          <t>textiles</t>
        </is>
      </c>
      <c r="D123" s="31" t="inlineStr">
        <is>
          <t>textiles - products</t>
        </is>
      </c>
      <c r="E123" s="31" t="inlineStr">
        <is>
          <t>largecap</t>
        </is>
      </c>
      <c r="F123" s="31" t="n">
        <v>21363.69</v>
      </c>
      <c r="G123" s="31" t="n">
        <v>229.58</v>
      </c>
      <c r="H123" s="31" t="n">
        <v>1.53</v>
      </c>
      <c r="I123" s="31" t="n">
        <v>2935238</v>
      </c>
      <c r="J123" s="31" t="inlineStr">
        <is>
          <t>514162</t>
        </is>
      </c>
    </row>
    <row r="124">
      <c r="A124" s="31" t="inlineStr">
        <is>
          <t>ROSSTECH</t>
        </is>
      </c>
      <c r="B124" s="31" t="inlineStr">
        <is>
          <t>Rossell Techsys Ltd</t>
        </is>
      </c>
      <c r="C124" s="31" t="inlineStr">
        <is>
          <t>aerospace &amp; defence</t>
        </is>
      </c>
      <c r="D124" s="31" t="inlineStr">
        <is>
          <t>engineering</t>
        </is>
      </c>
      <c r="E124" s="31" t="inlineStr">
        <is>
          <t>midcap</t>
        </is>
      </c>
      <c r="F124" s="31" t="n">
        <v>5815.81</v>
      </c>
      <c r="G124" s="31" t="n">
        <v>1566.3</v>
      </c>
      <c r="H124" s="31" t="n">
        <v>1.52</v>
      </c>
      <c r="I124" s="31" t="n">
        <v>162168</v>
      </c>
      <c r="J124" s="31" t="inlineStr">
        <is>
          <t>544294</t>
        </is>
      </c>
    </row>
    <row r="125">
      <c r="A125" s="31" t="inlineStr">
        <is>
          <t>BBOX</t>
        </is>
      </c>
      <c r="B125" s="31" t="inlineStr">
        <is>
          <t>Black Box Ltd</t>
        </is>
      </c>
      <c r="C125" s="31" t="inlineStr">
        <is>
          <t>i.t</t>
        </is>
      </c>
      <c r="D125" s="31" t="inlineStr">
        <is>
          <t>computers - software - medium / small</t>
        </is>
      </c>
      <c r="E125" s="31" t="inlineStr">
        <is>
          <t>midcap</t>
        </is>
      </c>
      <c r="F125" s="31" t="n">
        <v>16371.98</v>
      </c>
      <c r="G125" s="31" t="n">
        <v>935.8</v>
      </c>
      <c r="H125" s="31" t="n">
        <v>1.51</v>
      </c>
      <c r="I125" s="31" t="n">
        <v>1058985</v>
      </c>
      <c r="J125" s="31" t="inlineStr">
        <is>
          <t>500463</t>
        </is>
      </c>
    </row>
    <row r="126">
      <c r="A126" s="31" t="inlineStr">
        <is>
          <t>SOTL</t>
        </is>
      </c>
      <c r="B126" s="31" t="inlineStr">
        <is>
          <t>Savita Oil Technologies Limited</t>
        </is>
      </c>
      <c r="C126" s="31" t="inlineStr">
        <is>
          <t>energy</t>
        </is>
      </c>
      <c r="D126" s="31" t="inlineStr">
        <is>
          <t>petrochemicals</t>
        </is>
      </c>
      <c r="E126" s="31" t="inlineStr">
        <is>
          <t>midcap</t>
        </is>
      </c>
      <c r="F126" s="31" t="n">
        <v>5218.48</v>
      </c>
      <c r="G126" s="31" t="n">
        <v>772.55</v>
      </c>
      <c r="H126" s="31" t="n">
        <v>1.5</v>
      </c>
      <c r="I126" s="31" t="n">
        <v>149070</v>
      </c>
      <c r="J126" s="31" t="inlineStr">
        <is>
          <t>524667</t>
        </is>
      </c>
    </row>
    <row r="127">
      <c r="A127" s="31" t="inlineStr">
        <is>
          <t>ESAFSFB</t>
        </is>
      </c>
      <c r="B127" s="31" t="inlineStr">
        <is>
          <t>ESAF Small Finance Bank Ltd</t>
        </is>
      </c>
      <c r="C127" s="31" t="inlineStr">
        <is>
          <t>bank</t>
        </is>
      </c>
      <c r="D127" s="31" t="inlineStr">
        <is>
          <t>banks - private sector</t>
        </is>
      </c>
      <c r="E127" s="31" t="inlineStr">
        <is>
          <t>smallcap</t>
        </is>
      </c>
      <c r="F127" s="31" t="n">
        <v>2256.77</v>
      </c>
      <c r="G127" s="31" t="n">
        <v>44.39</v>
      </c>
      <c r="H127" s="31" t="n">
        <v>1.49</v>
      </c>
      <c r="I127" s="31" t="n">
        <v>363676</v>
      </c>
      <c r="J127" s="31" t="inlineStr">
        <is>
          <t>544020</t>
        </is>
      </c>
    </row>
    <row r="128">
      <c r="A128" s="31" t="inlineStr">
        <is>
          <t>CPPLUS</t>
        </is>
      </c>
      <c r="B128" s="31" t="inlineStr">
        <is>
          <t>Aditya Infotech Ltd</t>
        </is>
      </c>
      <c r="C128" s="31" t="inlineStr">
        <is>
          <t>consumer discretionary</t>
        </is>
      </c>
      <c r="D128" s="31" t="inlineStr">
        <is>
          <t>trading</t>
        </is>
      </c>
      <c r="E128" s="31" t="inlineStr">
        <is>
          <t>largecap</t>
        </is>
      </c>
      <c r="F128" s="31" t="n">
        <v>53667.68</v>
      </c>
      <c r="G128" s="31" t="n">
        <v>4440.3</v>
      </c>
      <c r="H128" s="31" t="n">
        <v>1.46</v>
      </c>
      <c r="I128" s="31" t="n">
        <v>705365</v>
      </c>
      <c r="J128" s="31" t="inlineStr">
        <is>
          <t>544466</t>
        </is>
      </c>
    </row>
    <row r="129">
      <c r="A129" s="31" t="inlineStr">
        <is>
          <t>SGFIN</t>
        </is>
      </c>
      <c r="B129" s="31" t="inlineStr">
        <is>
          <t>SG Finserve Ltd</t>
        </is>
      </c>
      <c r="C129" s="31" t="inlineStr">
        <is>
          <t>financials</t>
        </is>
      </c>
      <c r="D129" s="31" t="inlineStr">
        <is>
          <t>finance &amp; investments</t>
        </is>
      </c>
      <c r="E129" s="31" t="inlineStr">
        <is>
          <t>smallcap</t>
        </is>
      </c>
      <c r="F129" s="31" t="n">
        <v>4480.86</v>
      </c>
      <c r="G129" s="31" t="n">
        <v>689.45</v>
      </c>
      <c r="H129" s="31" t="n">
        <v>1.39</v>
      </c>
      <c r="I129" s="31" t="n">
        <v>303616</v>
      </c>
      <c r="J129" s="31" t="inlineStr">
        <is>
          <t>539199</t>
        </is>
      </c>
    </row>
    <row r="130">
      <c r="A130" s="31" t="inlineStr">
        <is>
          <t>BHARTIHEXA</t>
        </is>
      </c>
      <c r="B130" s="31" t="inlineStr">
        <is>
          <t>Bharti Hexacom Ltd</t>
        </is>
      </c>
      <c r="C130" s="31" t="inlineStr">
        <is>
          <t>telecom-service</t>
        </is>
      </c>
      <c r="D130" s="31" t="inlineStr">
        <is>
          <t>telecommunications - service provider</t>
        </is>
      </c>
      <c r="E130" s="31" t="inlineStr">
        <is>
          <t>largecap</t>
        </is>
      </c>
      <c r="F130" s="31" t="n">
        <v>77435</v>
      </c>
      <c r="G130" s="31" t="n">
        <v>1570.3</v>
      </c>
      <c r="H130" s="31" t="n">
        <v>1.39</v>
      </c>
      <c r="I130" s="31" t="n">
        <v>114430</v>
      </c>
      <c r="J130" s="31" t="inlineStr">
        <is>
          <t>544162</t>
        </is>
      </c>
    </row>
    <row r="131">
      <c r="A131" s="31" t="inlineStr">
        <is>
          <t>KMEW</t>
        </is>
      </c>
      <c r="B131" s="31" t="inlineStr">
        <is>
          <t>Knowledge Marine &amp; Engineering Works Ltd</t>
        </is>
      </c>
      <c r="C131" s="31" t="inlineStr">
        <is>
          <t>transportation</t>
        </is>
      </c>
      <c r="D131" s="31" t="inlineStr">
        <is>
          <t>miscellaneous</t>
        </is>
      </c>
      <c r="E131" s="31" t="inlineStr">
        <is>
          <t>midcap</t>
        </is>
      </c>
      <c r="F131" s="31" t="n">
        <v>8173.58</v>
      </c>
      <c r="G131" s="31" t="n">
        <v>3287</v>
      </c>
      <c r="H131" s="31" t="n">
        <v>1.38</v>
      </c>
      <c r="I131" s="31" t="n">
        <v>83830</v>
      </c>
      <c r="J131" s="31" t="inlineStr">
        <is>
          <t>543273</t>
        </is>
      </c>
    </row>
    <row r="132">
      <c r="A132" s="31" t="inlineStr">
        <is>
          <t>VMART</t>
        </is>
      </c>
      <c r="B132" s="31" t="inlineStr">
        <is>
          <t>V-mart Retail Limited</t>
        </is>
      </c>
      <c r="C132" s="31" t="inlineStr">
        <is>
          <t>consumer discretionary</t>
        </is>
      </c>
      <c r="D132" s="31" t="inlineStr">
        <is>
          <t>trading</t>
        </is>
      </c>
      <c r="E132" s="31" t="inlineStr">
        <is>
          <t>midcap</t>
        </is>
      </c>
      <c r="F132" s="31" t="n">
        <v>6495.09</v>
      </c>
      <c r="G132" s="31" t="n">
        <v>827.65</v>
      </c>
      <c r="H132" s="31" t="n">
        <v>1.37</v>
      </c>
      <c r="I132" s="31" t="n">
        <v>47053</v>
      </c>
      <c r="J132" s="31" t="inlineStr">
        <is>
          <t>534976</t>
        </is>
      </c>
    </row>
    <row r="133">
      <c r="A133" s="31" t="inlineStr">
        <is>
          <t>RGL</t>
        </is>
      </c>
      <c r="B133" s="31" t="inlineStr">
        <is>
          <t>Renaissance Global Ltd</t>
        </is>
      </c>
      <c r="C133" s="31" t="inlineStr">
        <is>
          <t>consumer discretionary</t>
        </is>
      </c>
      <c r="D133" s="31" t="inlineStr">
        <is>
          <t>diamond cutting / jewellery</t>
        </is>
      </c>
      <c r="E133" s="31" t="inlineStr">
        <is>
          <t>smallcap</t>
        </is>
      </c>
      <c r="F133" s="31" t="n">
        <v>1801.43</v>
      </c>
      <c r="G133" s="31" t="n">
        <v>170.04</v>
      </c>
      <c r="H133" s="31" t="n">
        <v>1.35</v>
      </c>
      <c r="I133" s="31" t="n">
        <v>371202</v>
      </c>
      <c r="J133" s="31" t="inlineStr">
        <is>
          <t>532923</t>
        </is>
      </c>
    </row>
    <row r="134">
      <c r="A134" s="31" t="inlineStr">
        <is>
          <t>VALIANTORG</t>
        </is>
      </c>
      <c r="B134" s="31" t="inlineStr">
        <is>
          <t>Valiant Organics Ltd</t>
        </is>
      </c>
      <c r="C134" s="31" t="inlineStr">
        <is>
          <t>chemicals</t>
        </is>
      </c>
      <c r="D134" s="31" t="inlineStr">
        <is>
          <t>chemicals</t>
        </is>
      </c>
      <c r="E134" s="31" t="inlineStr">
        <is>
          <t>smallcap</t>
        </is>
      </c>
      <c r="F134" s="31" t="n">
        <v>1267.44</v>
      </c>
      <c r="G134" s="31" t="n">
        <v>458.2</v>
      </c>
      <c r="H134" s="31" t="n">
        <v>1.35</v>
      </c>
      <c r="I134" s="31" t="n">
        <v>52883</v>
      </c>
      <c r="J134" s="31" t="inlineStr">
        <is>
          <t>540145</t>
        </is>
      </c>
    </row>
    <row r="135">
      <c r="A135" s="31" t="inlineStr">
        <is>
          <t>TFCILTD</t>
        </is>
      </c>
      <c r="B135" s="31" t="inlineStr">
        <is>
          <t>Tourism Finance Corporation Of India Limited</t>
        </is>
      </c>
      <c r="C135" s="31" t="inlineStr">
        <is>
          <t>financials</t>
        </is>
      </c>
      <c r="D135" s="31" t="inlineStr">
        <is>
          <t>finance - term-lending institutions</t>
        </is>
      </c>
      <c r="E135" s="31" t="inlineStr">
        <is>
          <t>midcap</t>
        </is>
      </c>
      <c r="F135" s="31" t="n">
        <v>7346.99</v>
      </c>
      <c r="G135" s="31" t="n">
        <v>160.8</v>
      </c>
      <c r="H135" s="31" t="n">
        <v>1.33</v>
      </c>
      <c r="I135" s="31" t="n">
        <v>14513536</v>
      </c>
      <c r="J135" s="31" t="inlineStr">
        <is>
          <t>526650</t>
        </is>
      </c>
    </row>
    <row r="136">
      <c r="A136" s="31" t="inlineStr">
        <is>
          <t>HAL</t>
        </is>
      </c>
      <c r="B136" s="31" t="inlineStr">
        <is>
          <t>Hindustan Aeronautics Ltd</t>
        </is>
      </c>
      <c r="C136" s="31" t="inlineStr">
        <is>
          <t>aerospace &amp; defence</t>
        </is>
      </c>
      <c r="D136" s="31" t="inlineStr">
        <is>
          <t>engineering</t>
        </is>
      </c>
      <c r="E136" s="31" t="inlineStr">
        <is>
          <t>largecap</t>
        </is>
      </c>
      <c r="F136" s="31" t="n">
        <v>325626.55</v>
      </c>
      <c r="G136" s="31" t="n">
        <v>4933</v>
      </c>
      <c r="H136" s="31" t="n">
        <v>1.31</v>
      </c>
      <c r="I136" s="31" t="n">
        <v>725704</v>
      </c>
      <c r="J136" s="31" t="inlineStr">
        <is>
          <t>541154</t>
        </is>
      </c>
    </row>
    <row r="137">
      <c r="A137" s="31" t="inlineStr">
        <is>
          <t>MVGJL</t>
        </is>
      </c>
      <c r="B137" s="31" t="inlineStr">
        <is>
          <t>Manoj Vaibhav Gems N Jewellers Ltd</t>
        </is>
      </c>
      <c r="C137" s="31" t="inlineStr">
        <is>
          <t>consumer discretionary</t>
        </is>
      </c>
      <c r="D137" s="31" t="inlineStr">
        <is>
          <t>diamond cutting / jewellery</t>
        </is>
      </c>
      <c r="E137" s="31" t="inlineStr">
        <is>
          <t>smallcap</t>
        </is>
      </c>
      <c r="F137" s="31" t="n">
        <v>1040.99</v>
      </c>
      <c r="G137" s="31" t="n">
        <v>215.79</v>
      </c>
      <c r="H137" s="31" t="n">
        <v>1.26</v>
      </c>
      <c r="I137" s="31" t="n">
        <v>551046</v>
      </c>
      <c r="J137" s="31" t="inlineStr">
        <is>
          <t>543995</t>
        </is>
      </c>
    </row>
    <row r="138">
      <c r="A138" s="31" t="inlineStr">
        <is>
          <t>CEIGALL</t>
        </is>
      </c>
      <c r="B138" s="31" t="inlineStr">
        <is>
          <t>Ceigall India Ltd</t>
        </is>
      </c>
      <c r="C138" s="31" t="inlineStr">
        <is>
          <t>realty</t>
        </is>
      </c>
      <c r="D138" s="31" t="inlineStr">
        <is>
          <t>construction</t>
        </is>
      </c>
      <c r="E138" s="31" t="inlineStr">
        <is>
          <t>midcap</t>
        </is>
      </c>
      <c r="F138" s="31" t="n">
        <v>6681.63</v>
      </c>
      <c r="G138" s="31" t="n">
        <v>388.35</v>
      </c>
      <c r="H138" s="31" t="n">
        <v>1.25</v>
      </c>
      <c r="I138" s="31" t="n">
        <v>447551</v>
      </c>
      <c r="J138" s="31" t="inlineStr">
        <is>
          <t>544223</t>
        </is>
      </c>
    </row>
    <row r="139">
      <c r="A139" s="31" t="inlineStr">
        <is>
          <t>DEEPINDS</t>
        </is>
      </c>
      <c r="B139" s="31" t="inlineStr">
        <is>
          <t>Deep Industries Ltd</t>
        </is>
      </c>
      <c r="C139" s="31" t="inlineStr">
        <is>
          <t>energy</t>
        </is>
      </c>
      <c r="D139" s="31" t="inlineStr">
        <is>
          <t>oil drilling / allied services</t>
        </is>
      </c>
      <c r="E139" s="31" t="inlineStr">
        <is>
          <t>smallcap</t>
        </is>
      </c>
      <c r="F139" s="31" t="n">
        <v>4928</v>
      </c>
      <c r="G139" s="31" t="n">
        <v>779.5</v>
      </c>
      <c r="H139" s="31" t="n">
        <v>1.23</v>
      </c>
      <c r="I139" s="31" t="n">
        <v>355842</v>
      </c>
      <c r="J139" s="31" t="inlineStr">
        <is>
          <t>543288</t>
        </is>
      </c>
    </row>
    <row r="140">
      <c r="A140" s="31" t="inlineStr">
        <is>
          <t>PARAGMILK</t>
        </is>
      </c>
      <c r="B140" s="31" t="inlineStr">
        <is>
          <t>Parag Milk Foods Limited</t>
        </is>
      </c>
      <c r="C140" s="31" t="inlineStr">
        <is>
          <t>fmcg</t>
        </is>
      </c>
      <c r="D140" s="31" t="inlineStr">
        <is>
          <t>food - processing - indian</t>
        </is>
      </c>
      <c r="E140" s="31" t="inlineStr">
        <is>
          <t>smallcap</t>
        </is>
      </c>
      <c r="F140" s="31" t="n">
        <v>3790.9</v>
      </c>
      <c r="G140" s="31" t="n">
        <v>305.5</v>
      </c>
      <c r="H140" s="31" t="n">
        <v>1.23</v>
      </c>
      <c r="I140" s="31" t="n">
        <v>811243</v>
      </c>
      <c r="J140" s="31" t="inlineStr">
        <is>
          <t>539889</t>
        </is>
      </c>
    </row>
    <row r="141">
      <c r="A141" s="31" t="inlineStr">
        <is>
          <t>NAZARA</t>
        </is>
      </c>
      <c r="B141" s="31" t="inlineStr">
        <is>
          <t>Nazara Technologies Ltd</t>
        </is>
      </c>
      <c r="C141" s="31" t="inlineStr">
        <is>
          <t>i.t</t>
        </is>
      </c>
      <c r="D141" s="31" t="inlineStr">
        <is>
          <t>telecommunications - service provider</t>
        </is>
      </c>
      <c r="E141" s="31" t="inlineStr">
        <is>
          <t>midcap</t>
        </is>
      </c>
      <c r="F141" s="31" t="n">
        <v>15405.15</v>
      </c>
      <c r="G141" s="31" t="n">
        <v>405.2</v>
      </c>
      <c r="H141" s="31" t="n">
        <v>1.19</v>
      </c>
      <c r="I141" s="31" t="n">
        <v>1601176</v>
      </c>
      <c r="J141" s="31" t="inlineStr">
        <is>
          <t>543280</t>
        </is>
      </c>
    </row>
    <row r="142">
      <c r="A142" s="31" t="inlineStr">
        <is>
          <t>SVLL</t>
        </is>
      </c>
      <c r="B142" s="31" t="inlineStr">
        <is>
          <t>Shree Vasu Logistics Ltd</t>
        </is>
      </c>
      <c r="C142" s="31" t="inlineStr">
        <is>
          <t>transportation</t>
        </is>
      </c>
      <c r="D142" s="31" t="inlineStr">
        <is>
          <t>miscellaneous</t>
        </is>
      </c>
      <c r="E142" s="31" t="inlineStr">
        <is>
          <t>smallcap</t>
        </is>
      </c>
      <c r="F142" s="31" t="n">
        <v>970.9299999999999</v>
      </c>
      <c r="G142" s="31" t="n">
        <v>854.7</v>
      </c>
      <c r="H142" s="31" t="n">
        <v>1.18</v>
      </c>
      <c r="I142" s="31" t="n">
        <v>4972</v>
      </c>
      <c r="J142" s="31" t="inlineStr">
        <is>
          <t>535084</t>
        </is>
      </c>
    </row>
    <row r="143">
      <c r="A143" s="31" t="inlineStr">
        <is>
          <t>PGIL</t>
        </is>
      </c>
      <c r="B143" s="31" t="inlineStr">
        <is>
          <t>Pearl Global Industries Limited</t>
        </is>
      </c>
      <c r="C143" s="31" t="inlineStr">
        <is>
          <t>readymade garments/apparels</t>
        </is>
      </c>
      <c r="D143" s="31" t="inlineStr">
        <is>
          <t>textiles - products</t>
        </is>
      </c>
      <c r="E143" s="31" t="inlineStr">
        <is>
          <t>midcap</t>
        </is>
      </c>
      <c r="F143" s="31" t="n">
        <v>11894.06</v>
      </c>
      <c r="G143" s="31" t="n">
        <v>1302.6</v>
      </c>
      <c r="H143" s="31" t="n">
        <v>1.17</v>
      </c>
      <c r="I143" s="31" t="n">
        <v>119383</v>
      </c>
      <c r="J143" s="31" t="inlineStr">
        <is>
          <t>532808</t>
        </is>
      </c>
    </row>
    <row r="144">
      <c r="A144" s="31" t="inlineStr">
        <is>
          <t>DELTACORP</t>
        </is>
      </c>
      <c r="B144" s="31" t="inlineStr">
        <is>
          <t>Delta Corp Limited</t>
        </is>
      </c>
      <c r="C144" s="31" t="inlineStr">
        <is>
          <t>miscellaneous</t>
        </is>
      </c>
      <c r="D144" s="31" t="inlineStr">
        <is>
          <t>recreation / amusement parks</t>
        </is>
      </c>
      <c r="E144" s="31" t="inlineStr">
        <is>
          <t>smallcap</t>
        </is>
      </c>
      <c r="F144" s="31" t="n">
        <v>2150.2</v>
      </c>
      <c r="G144" s="31" t="n">
        <v>81.20999999999999</v>
      </c>
      <c r="H144" s="31" t="n">
        <v>1.13</v>
      </c>
      <c r="I144" s="31" t="n">
        <v>4533096</v>
      </c>
      <c r="J144" s="31" t="inlineStr">
        <is>
          <t>532848</t>
        </is>
      </c>
    </row>
    <row r="145">
      <c r="A145" s="31" t="inlineStr">
        <is>
          <t>GALAXYSURF</t>
        </is>
      </c>
      <c r="B145" s="31" t="inlineStr">
        <is>
          <t>Galaxy Surfactants Ltd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midcap</t>
        </is>
      </c>
      <c r="F145" s="31" t="n">
        <v>9154.059999999999</v>
      </c>
      <c r="G145" s="31" t="n">
        <v>2609.3</v>
      </c>
      <c r="H145" s="31" t="n">
        <v>1.06</v>
      </c>
      <c r="I145" s="31" t="n">
        <v>46436</v>
      </c>
      <c r="J145" s="31" t="inlineStr">
        <is>
          <t>540935</t>
        </is>
      </c>
    </row>
    <row r="146">
      <c r="A146" s="31" t="inlineStr">
        <is>
          <t>SOUTHBANK</t>
        </is>
      </c>
      <c r="B146" s="31" t="inlineStr">
        <is>
          <t>The South Indian Bank Limited</t>
        </is>
      </c>
      <c r="C146" s="31" t="inlineStr">
        <is>
          <t>bank</t>
        </is>
      </c>
      <c r="D146" s="31" t="inlineStr">
        <is>
          <t>banks - private sector</t>
        </is>
      </c>
      <c r="E146" s="31" t="inlineStr">
        <is>
          <t>midcap</t>
        </is>
      </c>
      <c r="F146" s="31" t="n">
        <v>12862.56</v>
      </c>
      <c r="G146" s="31" t="n">
        <v>49.64</v>
      </c>
      <c r="H146" s="31" t="n">
        <v>1.04</v>
      </c>
      <c r="I146" s="31" t="n">
        <v>12663720</v>
      </c>
      <c r="J146" s="31" t="inlineStr">
        <is>
          <t>532218</t>
        </is>
      </c>
    </row>
    <row r="147">
      <c r="A147" s="31" t="inlineStr">
        <is>
          <t>63MOONS</t>
        </is>
      </c>
      <c r="B147" s="31" t="inlineStr">
        <is>
          <t>63 Moons Technologies Ltd</t>
        </is>
      </c>
      <c r="C147" s="31" t="inlineStr">
        <is>
          <t>i.t</t>
        </is>
      </c>
      <c r="D147" s="31" t="inlineStr">
        <is>
          <t>computers - software - medium / small</t>
        </is>
      </c>
      <c r="E147" s="31" t="inlineStr">
        <is>
          <t>smallcap</t>
        </is>
      </c>
      <c r="F147" s="31" t="n">
        <v>4167.34</v>
      </c>
      <c r="G147" s="31" t="n">
        <v>913.4</v>
      </c>
      <c r="H147" s="31" t="n">
        <v>1</v>
      </c>
      <c r="I147" s="31" t="n">
        <v>844097</v>
      </c>
      <c r="J147" s="31" t="inlineStr">
        <is>
          <t>526881</t>
        </is>
      </c>
    </row>
    <row r="148">
      <c r="A148" s="31" t="inlineStr">
        <is>
          <t>IIFLCAPS</t>
        </is>
      </c>
      <c r="B148" s="31" t="inlineStr">
        <is>
          <t>IIFL Capital Services Ltd</t>
        </is>
      </c>
      <c r="C148" s="31" t="inlineStr">
        <is>
          <t>financials</t>
        </is>
      </c>
      <c r="D148" s="31" t="inlineStr">
        <is>
          <t>finance &amp; investments</t>
        </is>
      </c>
      <c r="E148" s="31" t="inlineStr">
        <is>
          <t>midcap</t>
        </is>
      </c>
      <c r="F148" s="31" t="n">
        <v>10749.79</v>
      </c>
      <c r="G148" s="31" t="n">
        <v>346.3</v>
      </c>
      <c r="H148" s="31" t="n">
        <v>0.98</v>
      </c>
      <c r="I148" s="31" t="n">
        <v>906661</v>
      </c>
      <c r="J148" s="31" t="inlineStr">
        <is>
          <t>542773</t>
        </is>
      </c>
    </row>
    <row r="149">
      <c r="A149" s="31" t="inlineStr">
        <is>
          <t>PRIMESECU</t>
        </is>
      </c>
      <c r="B149" s="31" t="inlineStr">
        <is>
          <t>Prime Securities Limited</t>
        </is>
      </c>
      <c r="C149" s="31" t="inlineStr">
        <is>
          <t>financials</t>
        </is>
      </c>
      <c r="D149" s="31" t="inlineStr">
        <is>
          <t>finance &amp; investments</t>
        </is>
      </c>
      <c r="E149" s="31" t="inlineStr">
        <is>
          <t>smallcap</t>
        </is>
      </c>
      <c r="F149" s="31" t="n">
        <v>1017.19</v>
      </c>
      <c r="G149" s="31" t="n">
        <v>302.6</v>
      </c>
      <c r="H149" s="31" t="n">
        <v>0.97</v>
      </c>
      <c r="I149" s="31" t="n">
        <v>10607</v>
      </c>
      <c r="J149" s="31" t="inlineStr">
        <is>
          <t>500337</t>
        </is>
      </c>
    </row>
    <row r="150">
      <c r="A150" s="31" t="inlineStr">
        <is>
          <t>MANINDS</t>
        </is>
      </c>
      <c r="B150" s="31" t="inlineStr">
        <is>
          <t>Man Industries (india) Limited</t>
        </is>
      </c>
      <c r="C150" s="31" t="inlineStr">
        <is>
          <t>metals &amp; mining</t>
        </is>
      </c>
      <c r="D150" s="31" t="inlineStr">
        <is>
          <t>steel - medium / small</t>
        </is>
      </c>
      <c r="E150" s="31" t="inlineStr">
        <is>
          <t>midcap</t>
        </is>
      </c>
      <c r="F150" s="31" t="n">
        <v>6680.35</v>
      </c>
      <c r="G150" s="31" t="n">
        <v>899.05</v>
      </c>
      <c r="H150" s="31" t="n">
        <v>0.95</v>
      </c>
      <c r="I150" s="31" t="n">
        <v>402580</v>
      </c>
      <c r="J150" s="31" t="inlineStr">
        <is>
          <t>513269</t>
        </is>
      </c>
    </row>
    <row r="151">
      <c r="A151" s="31" t="inlineStr">
        <is>
          <t>INDIANB</t>
        </is>
      </c>
      <c r="B151" s="31" t="inlineStr">
        <is>
          <t>Indian Bank Ltd</t>
        </is>
      </c>
      <c r="C151" s="31" t="inlineStr">
        <is>
          <t>bank</t>
        </is>
      </c>
      <c r="D151" s="31" t="inlineStr">
        <is>
          <t>banks - public sector</t>
        </is>
      </c>
      <c r="E151" s="31" t="inlineStr">
        <is>
          <t>largecap</t>
        </is>
      </c>
      <c r="F151" s="31" t="n">
        <v>113353.75</v>
      </c>
      <c r="G151" s="31" t="n">
        <v>849.45</v>
      </c>
      <c r="H151" s="31" t="n">
        <v>0.9399999999999999</v>
      </c>
      <c r="I151" s="31" t="n">
        <v>1467309</v>
      </c>
      <c r="J151" s="31" t="inlineStr">
        <is>
          <t>532814</t>
        </is>
      </c>
    </row>
    <row r="152">
      <c r="A152" s="31" t="inlineStr">
        <is>
          <t>GLOBAL</t>
        </is>
      </c>
      <c r="B152" s="31" t="inlineStr">
        <is>
          <t>Global Education Ltd</t>
        </is>
      </c>
      <c r="C152" s="31" t="inlineStr">
        <is>
          <t>services</t>
        </is>
      </c>
      <c r="D152" s="31" t="inlineStr">
        <is>
          <t>miscellaneous</t>
        </is>
      </c>
      <c r="E152" s="31" t="inlineStr">
        <is>
          <t>smallcap</t>
        </is>
      </c>
      <c r="F152" s="31" t="n">
        <v>727.74</v>
      </c>
      <c r="G152" s="31" t="n">
        <v>144.19</v>
      </c>
      <c r="H152" s="31" t="n">
        <v>0.85</v>
      </c>
      <c r="I152" s="31" t="n">
        <v>64455</v>
      </c>
      <c r="J152" s="31" t="inlineStr">
        <is>
          <t>538406</t>
        </is>
      </c>
    </row>
    <row r="153">
      <c r="A153" s="31" t="inlineStr">
        <is>
          <t>OCCLLTD</t>
        </is>
      </c>
      <c r="B153" s="31" t="inlineStr">
        <is>
          <t>OCCL Ltd</t>
        </is>
      </c>
      <c r="C153" s="31" t="inlineStr">
        <is>
          <t>chemicals</t>
        </is>
      </c>
      <c r="D153" s="31" t="inlineStr">
        <is>
          <t>chemicals</t>
        </is>
      </c>
      <c r="E153" s="31" t="inlineStr">
        <is>
          <t>smallcap</t>
        </is>
      </c>
      <c r="F153" s="31" t="n">
        <v>1142.97</v>
      </c>
      <c r="G153" s="31" t="n">
        <v>230.76</v>
      </c>
      <c r="H153" s="31" t="n">
        <v>0.85</v>
      </c>
      <c r="I153" s="31" t="n">
        <v>301899</v>
      </c>
      <c r="J153" s="31" t="inlineStr">
        <is>
          <t>544278</t>
        </is>
      </c>
    </row>
    <row r="154">
      <c r="A154" s="31" t="inlineStr">
        <is>
          <t>ADFFOODS</t>
        </is>
      </c>
      <c r="B154" s="31" t="inlineStr">
        <is>
          <t>Adf Foods Limited</t>
        </is>
      </c>
      <c r="C154" s="31" t="inlineStr">
        <is>
          <t>fmcg</t>
        </is>
      </c>
      <c r="D154" s="31" t="inlineStr">
        <is>
          <t>food - processing - indian</t>
        </is>
      </c>
      <c r="E154" s="31" t="inlineStr">
        <is>
          <t>smallcap</t>
        </is>
      </c>
      <c r="F154" s="31" t="n">
        <v>3088.82</v>
      </c>
      <c r="G154" s="31" t="n">
        <v>283.2</v>
      </c>
      <c r="H154" s="31" t="n">
        <v>0.73</v>
      </c>
      <c r="I154" s="31" t="n">
        <v>44643</v>
      </c>
      <c r="J154" s="31" t="inlineStr">
        <is>
          <t>519183</t>
        </is>
      </c>
    </row>
    <row r="155">
      <c r="A155" s="31" t="inlineStr">
        <is>
          <t>5PAISA</t>
        </is>
      </c>
      <c r="B155" s="31" t="inlineStr">
        <is>
          <t>5Paisa Capital Ltd</t>
        </is>
      </c>
      <c r="C155" s="31" t="inlineStr">
        <is>
          <t>financials</t>
        </is>
      </c>
      <c r="D155" s="31" t="inlineStr">
        <is>
          <t>finance &amp; investments</t>
        </is>
      </c>
      <c r="E155" s="31" t="inlineStr">
        <is>
          <t>smallcap</t>
        </is>
      </c>
      <c r="F155" s="31" t="n">
        <v>1634.78</v>
      </c>
      <c r="G155" s="31" t="n">
        <v>351.15</v>
      </c>
      <c r="H155" s="31" t="n">
        <v>0.7</v>
      </c>
      <c r="I155" s="31" t="n">
        <v>19824</v>
      </c>
      <c r="J155" s="31" t="inlineStr">
        <is>
          <t>540776</t>
        </is>
      </c>
    </row>
    <row r="156">
      <c r="A156" s="31" t="inlineStr">
        <is>
          <t>TRIVENI</t>
        </is>
      </c>
      <c r="B156" s="31" t="inlineStr">
        <is>
          <t>Triveni Engineering &amp; Industries Limited</t>
        </is>
      </c>
      <c r="C156" s="31" t="inlineStr">
        <is>
          <t>fmcg</t>
        </is>
      </c>
      <c r="D156" s="31" t="inlineStr">
        <is>
          <t>sugar</t>
        </is>
      </c>
      <c r="E156" s="31" t="inlineStr">
        <is>
          <t>midcap</t>
        </is>
      </c>
      <c r="F156" s="31" t="n">
        <v>5609.34</v>
      </c>
      <c r="G156" s="31" t="n">
        <v>256.16</v>
      </c>
      <c r="H156" s="31" t="n">
        <v>0.63</v>
      </c>
      <c r="I156" s="31" t="n">
        <v>1264839</v>
      </c>
      <c r="J156" s="31" t="inlineStr">
        <is>
          <t>532356</t>
        </is>
      </c>
    </row>
    <row r="157">
      <c r="A157" s="31" t="inlineStr">
        <is>
          <t>GABRIEL</t>
        </is>
      </c>
      <c r="B157" s="31" t="inlineStr">
        <is>
          <t>Gabriel India Limited</t>
        </is>
      </c>
      <c r="C157" s="31" t="inlineStr">
        <is>
          <t>auto</t>
        </is>
      </c>
      <c r="D157" s="31" t="inlineStr">
        <is>
          <t>auto ancillaries</t>
        </is>
      </c>
      <c r="E157" s="31" t="inlineStr">
        <is>
          <t>largecap</t>
        </is>
      </c>
      <c r="F157" s="31" t="n">
        <v>27056.84</v>
      </c>
      <c r="G157" s="31" t="n">
        <v>1420.3</v>
      </c>
      <c r="H157" s="31" t="n">
        <v>0.59</v>
      </c>
      <c r="I157" s="31" t="n">
        <v>146374</v>
      </c>
      <c r="J157" s="31" t="inlineStr">
        <is>
          <t>505714</t>
        </is>
      </c>
    </row>
    <row r="158">
      <c r="A158" s="31" t="inlineStr">
        <is>
          <t>RPEL</t>
        </is>
      </c>
      <c r="B158" s="31" t="inlineStr">
        <is>
          <t>Raghav Productivity Enhancers Ltd</t>
        </is>
      </c>
      <c r="C158" s="31" t="inlineStr">
        <is>
          <t>building materials</t>
        </is>
      </c>
      <c r="D158" s="31" t="inlineStr">
        <is>
          <t>refractories / intermediates</t>
        </is>
      </c>
      <c r="E158" s="31" t="inlineStr">
        <is>
          <t>midcap</t>
        </is>
      </c>
      <c r="F158" s="31" t="n">
        <v>8518.98</v>
      </c>
      <c r="G158" s="31" t="n">
        <v>1865.5</v>
      </c>
      <c r="H158" s="31" t="n">
        <v>0.5600000000000001</v>
      </c>
      <c r="I158" s="31" t="n">
        <v>150671</v>
      </c>
      <c r="J158" s="31" t="inlineStr">
        <is>
          <t>539837</t>
        </is>
      </c>
    </row>
    <row r="159">
      <c r="A159" s="31" t="inlineStr">
        <is>
          <t>PATELRMART</t>
        </is>
      </c>
      <c r="B159" s="31" t="inlineStr">
        <is>
          <t>Patel Retail Ltd</t>
        </is>
      </c>
      <c r="C159" s="31" t="inlineStr">
        <is>
          <t>consumer discretionary</t>
        </is>
      </c>
      <c r="D159" s="31" t="inlineStr">
        <is>
          <t>trading</t>
        </is>
      </c>
      <c r="E159" s="31" t="inlineStr">
        <is>
          <t>smallcap</t>
        </is>
      </c>
      <c r="F159" s="31" t="n">
        <v>802.61</v>
      </c>
      <c r="G159" s="31" t="n">
        <v>241.61</v>
      </c>
      <c r="H159" s="31" t="n">
        <v>0.55</v>
      </c>
      <c r="I159" s="31" t="n">
        <v>45856</v>
      </c>
      <c r="J159" s="31" t="inlineStr">
        <is>
          <t>544487</t>
        </is>
      </c>
    </row>
    <row r="160">
      <c r="A160" s="31" t="inlineStr">
        <is>
          <t>RAYMONDREL</t>
        </is>
      </c>
      <c r="B160" s="31" t="inlineStr">
        <is>
          <t>Raymond Realty Ltd</t>
        </is>
      </c>
      <c r="C160" s="31" t="inlineStr">
        <is>
          <t>realty</t>
        </is>
      </c>
      <c r="D160" s="31" t="inlineStr">
        <is>
          <t>construction</t>
        </is>
      </c>
      <c r="E160" s="31" t="inlineStr">
        <is>
          <t>smallcap</t>
        </is>
      </c>
      <c r="F160" s="31" t="n">
        <v>4456.11</v>
      </c>
      <c r="G160" s="31" t="n">
        <v>672.95</v>
      </c>
      <c r="H160" s="31" t="n">
        <v>0.54</v>
      </c>
      <c r="I160" s="31" t="n">
        <v>528786</v>
      </c>
      <c r="J160" s="31" t="inlineStr">
        <is>
          <t>544420</t>
        </is>
      </c>
    </row>
    <row r="161">
      <c r="A161" s="31" t="inlineStr">
        <is>
          <t>TCPLPACK</t>
        </is>
      </c>
      <c r="B161" s="31" t="inlineStr">
        <is>
          <t>TCPL Packaging Ltd</t>
        </is>
      </c>
      <c r="C161" s="31" t="inlineStr">
        <is>
          <t>industrials</t>
        </is>
      </c>
      <c r="D161" s="31" t="inlineStr">
        <is>
          <t>packaging</t>
        </is>
      </c>
      <c r="E161" s="31" t="inlineStr">
        <is>
          <t>smallcap</t>
        </is>
      </c>
      <c r="F161" s="31" t="n">
        <v>3969.15</v>
      </c>
      <c r="G161" s="31" t="n">
        <v>4380</v>
      </c>
      <c r="H161" s="31" t="n">
        <v>0.42</v>
      </c>
      <c r="I161" s="31" t="n">
        <v>5319</v>
      </c>
      <c r="J161" s="31" t="inlineStr">
        <is>
          <t>523301</t>
        </is>
      </c>
    </row>
    <row r="162">
      <c r="A162" s="31" t="inlineStr">
        <is>
          <t>CUPID</t>
        </is>
      </c>
      <c r="B162" s="31" t="inlineStr">
        <is>
          <t>Cupid Limited</t>
        </is>
      </c>
      <c r="C162" s="31" t="inlineStr">
        <is>
          <t>fmcg</t>
        </is>
      </c>
      <c r="D162" s="31" t="inlineStr">
        <is>
          <t>personal care - indian</t>
        </is>
      </c>
      <c r="E162" s="31" t="inlineStr">
        <is>
          <t>largecap</t>
        </is>
      </c>
      <c r="F162" s="31" t="n">
        <v>47479.97</v>
      </c>
      <c r="G162" s="31" t="n">
        <v>354.6</v>
      </c>
      <c r="H162" s="31" t="n">
        <v>0.42</v>
      </c>
      <c r="I162" s="31" t="n">
        <v>10980021</v>
      </c>
      <c r="J162" s="31" t="inlineStr">
        <is>
          <t>530843</t>
        </is>
      </c>
    </row>
    <row r="163">
      <c r="A163" s="31" t="inlineStr">
        <is>
          <t>UGARSUGAR</t>
        </is>
      </c>
      <c r="B163" s="31" t="inlineStr">
        <is>
          <t>The Ugar Sugar Works Limited</t>
        </is>
      </c>
      <c r="C163" s="31" t="inlineStr">
        <is>
          <t>fmcg</t>
        </is>
      </c>
      <c r="D163" s="31" t="inlineStr">
        <is>
          <t>sugar</t>
        </is>
      </c>
      <c r="E163" s="31" t="inlineStr">
        <is>
          <t>smallcap</t>
        </is>
      </c>
      <c r="F163" s="31" t="n">
        <v>658.91</v>
      </c>
      <c r="G163" s="31" t="n">
        <v>58.78</v>
      </c>
      <c r="H163" s="31" t="n">
        <v>0.36</v>
      </c>
      <c r="I163" s="31" t="n">
        <v>196454</v>
      </c>
      <c r="J163" s="31" t="inlineStr">
        <is>
          <t>530363</t>
        </is>
      </c>
    </row>
    <row r="164">
      <c r="A164" s="31" t="inlineStr">
        <is>
          <t>OPTIEMUS</t>
        </is>
      </c>
      <c r="B164" s="31" t="inlineStr">
        <is>
          <t>Optiemus Infracom Ltd</t>
        </is>
      </c>
      <c r="C164" s="31" t="inlineStr">
        <is>
          <t>telecom</t>
        </is>
      </c>
      <c r="D164" s="31" t="inlineStr">
        <is>
          <t>trading</t>
        </is>
      </c>
      <c r="E164" s="31" t="inlineStr">
        <is>
          <t>midcap</t>
        </is>
      </c>
      <c r="F164" s="31" t="n">
        <v>7136.22</v>
      </c>
      <c r="G164" s="31" t="n">
        <v>794.25</v>
      </c>
      <c r="H164" s="31" t="n">
        <v>0.35</v>
      </c>
      <c r="I164" s="31" t="n">
        <v>393035</v>
      </c>
      <c r="J164" s="31" t="inlineStr">
        <is>
          <t>530135</t>
        </is>
      </c>
    </row>
    <row r="165">
      <c r="A165" s="31" t="inlineStr">
        <is>
          <t>DIACABS</t>
        </is>
      </c>
      <c r="B165" s="31" t="inlineStr">
        <is>
          <t>Diamond Power Infrastructure Ltd</t>
        </is>
      </c>
      <c r="C165" s="31" t="inlineStr">
        <is>
          <t>industrials</t>
        </is>
      </c>
      <c r="D165" s="31" t="inlineStr">
        <is>
          <t>cables - power</t>
        </is>
      </c>
      <c r="E165" s="31" t="inlineStr">
        <is>
          <t>largecap</t>
        </is>
      </c>
      <c r="F165" s="31" t="n">
        <v>22580.17</v>
      </c>
      <c r="G165" s="31" t="n">
        <v>378.75</v>
      </c>
      <c r="H165" s="31" t="n">
        <v>0.32</v>
      </c>
      <c r="I165" s="31" t="n">
        <v>330128</v>
      </c>
      <c r="J165" s="31" t="inlineStr">
        <is>
          <t>522163</t>
        </is>
      </c>
    </row>
    <row r="166">
      <c r="A166" s="31" t="inlineStr">
        <is>
          <t>GCSL</t>
        </is>
      </c>
      <c r="B166" s="31" t="inlineStr">
        <is>
          <t>Gretex Corporate Services Ltd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smallcap</t>
        </is>
      </c>
      <c r="F166" s="31" t="n">
        <v>1842.02</v>
      </c>
      <c r="G166" s="31" t="n">
        <v>739</v>
      </c>
      <c r="H166" s="31" t="n">
        <v>0.32</v>
      </c>
      <c r="I166" s="31" t="n">
        <v>328605</v>
      </c>
      <c r="J166" s="31" t="inlineStr">
        <is>
          <t>543324</t>
        </is>
      </c>
    </row>
    <row r="167">
      <c r="A167" s="31" t="inlineStr">
        <is>
          <t>VALIANTLAB</t>
        </is>
      </c>
      <c r="B167" s="31" t="inlineStr">
        <is>
          <t>Valiant Laboratories Ltd</t>
        </is>
      </c>
      <c r="C167" s="31" t="inlineStr">
        <is>
          <t>healthcare</t>
        </is>
      </c>
      <c r="D167" s="31" t="inlineStr">
        <is>
          <t>pharmaceuticals - indian - bulk drugs &amp; formln</t>
        </is>
      </c>
      <c r="E167" s="31" t="inlineStr">
        <is>
          <t>smallcap</t>
        </is>
      </c>
      <c r="F167" s="31" t="n">
        <v>662.99</v>
      </c>
      <c r="G167" s="31" t="n">
        <v>122.44</v>
      </c>
      <c r="H167" s="31" t="n">
        <v>0.3</v>
      </c>
      <c r="I167" s="31" t="n">
        <v>22087</v>
      </c>
      <c r="J167" s="31" t="n"/>
    </row>
    <row r="168">
      <c r="A168" s="31" t="inlineStr">
        <is>
          <t>BIL</t>
        </is>
      </c>
      <c r="B168" s="31" t="inlineStr">
        <is>
          <t>Bhartiya International Limited</t>
        </is>
      </c>
      <c r="C168" s="31" t="inlineStr">
        <is>
          <t>consumer discretionary</t>
        </is>
      </c>
      <c r="D168" s="31" t="inlineStr">
        <is>
          <t>leather / leather products</t>
        </is>
      </c>
      <c r="E168" s="31" t="inlineStr">
        <is>
          <t>smallcap</t>
        </is>
      </c>
      <c r="F168" s="31" t="n">
        <v>1414.6</v>
      </c>
      <c r="G168" s="31" t="n">
        <v>1058.05</v>
      </c>
      <c r="H168" s="31" t="n">
        <v>0.3</v>
      </c>
      <c r="I168" s="31" t="n">
        <v>3212</v>
      </c>
      <c r="J168" s="31" t="inlineStr">
        <is>
          <t>526666</t>
        </is>
      </c>
    </row>
    <row r="169">
      <c r="A169" s="31" t="inlineStr">
        <is>
          <t>PRIMO</t>
        </is>
      </c>
      <c r="B169" s="31" t="inlineStr">
        <is>
          <t>Primo Chemicals Ltd</t>
        </is>
      </c>
      <c r="C169" s="31" t="inlineStr">
        <is>
          <t>chemicals</t>
        </is>
      </c>
      <c r="D169" s="31" t="inlineStr">
        <is>
          <t>chlor alkali / soda ash</t>
        </is>
      </c>
      <c r="E169" s="31" t="inlineStr">
        <is>
          <t>smallcap</t>
        </is>
      </c>
      <c r="F169" s="31" t="n">
        <v>632.27</v>
      </c>
      <c r="G169" s="31" t="n">
        <v>26.16</v>
      </c>
      <c r="H169" s="31" t="n">
        <v>0.27</v>
      </c>
      <c r="I169" s="31" t="n">
        <v>136179</v>
      </c>
      <c r="J169" s="31" t="inlineStr">
        <is>
          <t>506852</t>
        </is>
      </c>
    </row>
    <row r="170">
      <c r="A170" s="31" t="inlineStr">
        <is>
          <t>NETWEB</t>
        </is>
      </c>
      <c r="B170" s="31" t="inlineStr">
        <is>
          <t>Netweb Technologies India Ltd</t>
        </is>
      </c>
      <c r="C170" s="31" t="inlineStr">
        <is>
          <t>i.t</t>
        </is>
      </c>
      <c r="D170" s="31" t="inlineStr">
        <is>
          <t>computers - hardware</t>
        </is>
      </c>
      <c r="E170" s="31" t="inlineStr">
        <is>
          <t>largecap</t>
        </is>
      </c>
      <c r="F170" s="31" t="n">
        <v>28781.24</v>
      </c>
      <c r="G170" s="31" t="n">
        <v>5067.7</v>
      </c>
      <c r="H170" s="31" t="n">
        <v>0.26</v>
      </c>
      <c r="I170" s="31" t="n">
        <v>1257948</v>
      </c>
      <c r="J170" s="31" t="inlineStr">
        <is>
          <t>543945</t>
        </is>
      </c>
    </row>
    <row r="171">
      <c r="A171" s="31" t="inlineStr">
        <is>
          <t>SHREEJISPG</t>
        </is>
      </c>
      <c r="B171" s="31" t="inlineStr">
        <is>
          <t>Shreeji Shipping Global Ltd</t>
        </is>
      </c>
      <c r="C171" s="31" t="inlineStr">
        <is>
          <t>transportation</t>
        </is>
      </c>
      <c r="D171" s="31" t="inlineStr">
        <is>
          <t>shipping</t>
        </is>
      </c>
      <c r="E171" s="31" t="inlineStr">
        <is>
          <t>midcap</t>
        </is>
      </c>
      <c r="F171" s="31" t="n">
        <v>13437.5</v>
      </c>
      <c r="G171" s="31" t="n">
        <v>826.45</v>
      </c>
      <c r="H171" s="31" t="n">
        <v>0.2</v>
      </c>
      <c r="I171" s="31" t="n">
        <v>474822</v>
      </c>
      <c r="J171" s="31" t="inlineStr">
        <is>
          <t>544490</t>
        </is>
      </c>
    </row>
    <row r="172">
      <c r="A172" s="31" t="inlineStr">
        <is>
          <t>AXISCADES</t>
        </is>
      </c>
      <c r="B172" s="31" t="inlineStr">
        <is>
          <t>AXISCADES Technologies Ltd</t>
        </is>
      </c>
      <c r="C172" s="31" t="inlineStr">
        <is>
          <t>aerospace &amp; defence</t>
        </is>
      </c>
      <c r="D172" s="31" t="inlineStr">
        <is>
          <t>computers - software - medium / small</t>
        </is>
      </c>
      <c r="E172" s="31" t="inlineStr">
        <is>
          <t>midcap</t>
        </is>
      </c>
      <c r="F172" s="31" t="n">
        <v>8875.790000000001</v>
      </c>
      <c r="G172" s="31" t="n">
        <v>2090.6</v>
      </c>
      <c r="H172" s="31" t="n">
        <v>0.18</v>
      </c>
      <c r="I172" s="31" t="n">
        <v>136067</v>
      </c>
      <c r="J172" s="31" t="inlineStr">
        <is>
          <t>532395</t>
        </is>
      </c>
    </row>
    <row r="173">
      <c r="A173" s="31" t="inlineStr">
        <is>
          <t>PREMEXPLN</t>
        </is>
      </c>
      <c r="B173" s="31" t="inlineStr">
        <is>
          <t>Premier Explosives Limited</t>
        </is>
      </c>
      <c r="C173" s="31" t="inlineStr">
        <is>
          <t>aerospace &amp; defence</t>
        </is>
      </c>
      <c r="D173" s="31" t="inlineStr">
        <is>
          <t>chemicals</t>
        </is>
      </c>
      <c r="E173" s="31" t="inlineStr">
        <is>
          <t>smallcap</t>
        </is>
      </c>
      <c r="F173" s="31" t="n">
        <v>3704.42</v>
      </c>
      <c r="G173" s="31" t="n">
        <v>690.15</v>
      </c>
      <c r="H173" s="31" t="n">
        <v>0.16</v>
      </c>
      <c r="I173" s="31" t="n">
        <v>159728</v>
      </c>
      <c r="J173" s="31" t="inlineStr">
        <is>
          <t>526247</t>
        </is>
      </c>
    </row>
    <row r="174">
      <c r="A174" s="31" t="inlineStr">
        <is>
          <t>PIXTRANS</t>
        </is>
      </c>
      <c r="B174" s="31" t="inlineStr">
        <is>
          <t>Pix Transmission Ltd</t>
        </is>
      </c>
      <c r="C174" s="31" t="inlineStr">
        <is>
          <t>fmcg</t>
        </is>
      </c>
      <c r="D174" s="31" t="inlineStr">
        <is>
          <t>miscellaneous</t>
        </is>
      </c>
      <c r="E174" s="31" t="inlineStr">
        <is>
          <t>smallcap</t>
        </is>
      </c>
      <c r="F174" s="31" t="n">
        <v>2573.39</v>
      </c>
      <c r="G174" s="31" t="n">
        <v>1891.4</v>
      </c>
      <c r="H174" s="31" t="n">
        <v>0.14</v>
      </c>
      <c r="I174" s="31" t="n">
        <v>113333</v>
      </c>
      <c r="J174" s="31" t="inlineStr">
        <is>
          <t>500333</t>
        </is>
      </c>
    </row>
    <row r="175">
      <c r="A175" s="31" t="inlineStr">
        <is>
          <t>GESHIP</t>
        </is>
      </c>
      <c r="B175" s="31" t="inlineStr">
        <is>
          <t>The Great Eastern Shipping Company Limited</t>
        </is>
      </c>
      <c r="C175" s="31" t="inlineStr">
        <is>
          <t>transportation</t>
        </is>
      </c>
      <c r="D175" s="31" t="inlineStr">
        <is>
          <t>shipping</t>
        </is>
      </c>
      <c r="E175" s="31" t="inlineStr">
        <is>
          <t>largecap</t>
        </is>
      </c>
      <c r="F175" s="31" t="n">
        <v>22014.7</v>
      </c>
      <c r="G175" s="31" t="n">
        <v>1543.1</v>
      </c>
      <c r="H175" s="31" t="n">
        <v>0.07000000000000001</v>
      </c>
      <c r="I175" s="31" t="n">
        <v>679926</v>
      </c>
      <c r="J175" s="31" t="inlineStr">
        <is>
          <t>500620</t>
        </is>
      </c>
    </row>
    <row r="176">
      <c r="A176" s="31" t="inlineStr">
        <is>
          <t>GRWRHITECH</t>
        </is>
      </c>
      <c r="B176" s="31" t="inlineStr">
        <is>
          <t>Garware Hi Tech Films Ltd</t>
        </is>
      </c>
      <c r="C176" s="31" t="inlineStr">
        <is>
          <t>industrials</t>
        </is>
      </c>
      <c r="D176" s="31" t="inlineStr">
        <is>
          <t>packaging</t>
        </is>
      </c>
      <c r="E176" s="31" t="inlineStr">
        <is>
          <t>midcap</t>
        </is>
      </c>
      <c r="F176" s="31" t="n">
        <v>16729.65</v>
      </c>
      <c r="G176" s="31" t="n">
        <v>7203.5</v>
      </c>
      <c r="H176" s="31" t="n">
        <v>0.03</v>
      </c>
      <c r="I176" s="31" t="n">
        <v>27303</v>
      </c>
      <c r="J176" s="31" t="inlineStr">
        <is>
          <t>500655</t>
        </is>
      </c>
    </row>
    <row r="177">
      <c r="A177" s="31" t="inlineStr">
        <is>
          <t>ONEPOINT</t>
        </is>
      </c>
      <c r="B177" s="31" t="inlineStr">
        <is>
          <t>One Point One Solutions Ltd</t>
        </is>
      </c>
      <c r="C177" s="31" t="inlineStr">
        <is>
          <t>i.t</t>
        </is>
      </c>
      <c r="D177" s="31" t="inlineStr">
        <is>
          <t>computers - software - medium / small</t>
        </is>
      </c>
      <c r="E177" s="31" t="inlineStr">
        <is>
          <t>smallcap</t>
        </is>
      </c>
      <c r="F177" s="31" t="n">
        <v>2239.17</v>
      </c>
      <c r="G177" s="31" t="n">
        <v>85.14</v>
      </c>
      <c r="H177" s="31" t="n">
        <v>-0.02</v>
      </c>
      <c r="I177" s="31" t="n">
        <v>5042672</v>
      </c>
      <c r="J177" s="31" t="inlineStr">
        <is>
          <t>535039</t>
        </is>
      </c>
    </row>
    <row r="178">
      <c r="A178" s="31" t="inlineStr">
        <is>
          <t>NPST</t>
        </is>
      </c>
      <c r="B178" s="31" t="inlineStr">
        <is>
          <t>Network People Services Technologies Ltd</t>
        </is>
      </c>
      <c r="C178" s="31" t="inlineStr">
        <is>
          <t>i.t</t>
        </is>
      </c>
      <c r="D178" s="31" t="inlineStr">
        <is>
          <t>computers - software - medium / small</t>
        </is>
      </c>
      <c r="E178" s="31" t="inlineStr">
        <is>
          <t>smallcap</t>
        </is>
      </c>
      <c r="F178" s="31" t="n">
        <v>3821.57</v>
      </c>
      <c r="G178" s="31" t="n">
        <v>1831</v>
      </c>
      <c r="H178" s="31" t="n">
        <v>-0.04</v>
      </c>
      <c r="I178" s="31" t="n">
        <v>30039</v>
      </c>
      <c r="J178" s="31" t="inlineStr">
        <is>
          <t>535391</t>
        </is>
      </c>
    </row>
    <row r="179">
      <c r="A179" s="31" t="inlineStr">
        <is>
          <t>CARTRADE</t>
        </is>
      </c>
      <c r="B179" s="31" t="inlineStr">
        <is>
          <t>Cartrade Tech Ltd</t>
        </is>
      </c>
      <c r="C179" s="31" t="inlineStr">
        <is>
          <t>consumer discretionary</t>
        </is>
      </c>
      <c r="D179" s="31" t="inlineStr">
        <is>
          <t>miscellaneous</t>
        </is>
      </c>
      <c r="E179" s="31" t="inlineStr">
        <is>
          <t>midcap</t>
        </is>
      </c>
      <c r="F179" s="31" t="n">
        <v>15140.7</v>
      </c>
      <c r="G179" s="31" t="n">
        <v>3151.5</v>
      </c>
      <c r="H179" s="31" t="n">
        <v>-0.04</v>
      </c>
      <c r="I179" s="31" t="n">
        <v>272238</v>
      </c>
      <c r="J179" s="31" t="inlineStr">
        <is>
          <t>543333</t>
        </is>
      </c>
    </row>
    <row r="180">
      <c r="A180" s="31" t="inlineStr">
        <is>
          <t>COFORGE</t>
        </is>
      </c>
      <c r="B180" s="31" t="inlineStr">
        <is>
          <t>Coforge (Niit Tech) Ltd</t>
        </is>
      </c>
      <c r="C180" s="31" t="inlineStr">
        <is>
          <t>i.t</t>
        </is>
      </c>
      <c r="D180" s="31" t="inlineStr">
        <is>
          <t>computers - software - large</t>
        </is>
      </c>
      <c r="E180" s="31" t="inlineStr">
        <is>
          <t>largecap</t>
        </is>
      </c>
      <c r="F180" s="31" t="n">
        <v>85395.06</v>
      </c>
      <c r="G180" s="31" t="n">
        <v>1928</v>
      </c>
      <c r="H180" s="31" t="n">
        <v>-0.05</v>
      </c>
      <c r="I180" s="31" t="n">
        <v>2743437</v>
      </c>
      <c r="J180" s="31" t="inlineStr">
        <is>
          <t>532541</t>
        </is>
      </c>
    </row>
    <row r="181">
      <c r="A181" s="31" t="inlineStr">
        <is>
          <t>SBC</t>
        </is>
      </c>
      <c r="B181" s="31" t="inlineStr">
        <is>
          <t>SBC Exports Ltd</t>
        </is>
      </c>
      <c r="C181" s="31" t="inlineStr">
        <is>
          <t>textiles</t>
        </is>
      </c>
      <c r="D181" s="31" t="inlineStr">
        <is>
          <t>textiles - products</t>
        </is>
      </c>
      <c r="E181" s="31" t="inlineStr">
        <is>
          <t>smallcap</t>
        </is>
      </c>
      <c r="F181" s="31" t="n">
        <v>3054.76</v>
      </c>
      <c r="G181" s="31" t="n">
        <v>64.11</v>
      </c>
      <c r="H181" s="31" t="n">
        <v>-0.06</v>
      </c>
      <c r="I181" s="31" t="n">
        <v>16395983</v>
      </c>
      <c r="J181" s="31" t="inlineStr">
        <is>
          <t>542725</t>
        </is>
      </c>
    </row>
    <row r="182">
      <c r="A182" s="31" t="inlineStr">
        <is>
          <t>SAMBHV</t>
        </is>
      </c>
      <c r="B182" s="31" t="inlineStr">
        <is>
          <t>Sambhv Steel Tubes Ltd</t>
        </is>
      </c>
      <c r="C182" s="31" t="inlineStr">
        <is>
          <t>metals &amp; mining</t>
        </is>
      </c>
      <c r="D182" s="31" t="inlineStr">
        <is>
          <t>steel - medium / small</t>
        </is>
      </c>
      <c r="E182" s="31" t="inlineStr">
        <is>
          <t>smallcap</t>
        </is>
      </c>
      <c r="F182" s="31" t="n">
        <v>4834.38</v>
      </c>
      <c r="G182" s="31" t="n">
        <v>163.85</v>
      </c>
      <c r="H182" s="31" t="n">
        <v>-0.13</v>
      </c>
      <c r="I182" s="31" t="n">
        <v>1367713</v>
      </c>
      <c r="J182" s="31" t="inlineStr">
        <is>
          <t>544430</t>
        </is>
      </c>
    </row>
    <row r="183">
      <c r="A183" s="31" t="inlineStr">
        <is>
          <t>ORBTEXP</t>
        </is>
      </c>
      <c r="B183" s="31" t="inlineStr">
        <is>
          <t>Orbit Exports Limited</t>
        </is>
      </c>
      <c r="C183" s="31" t="inlineStr">
        <is>
          <t>textiles</t>
        </is>
      </c>
      <c r="D183" s="31" t="inlineStr">
        <is>
          <t>textiles - processing</t>
        </is>
      </c>
      <c r="E183" s="31" t="inlineStr">
        <is>
          <t>smallcap</t>
        </is>
      </c>
      <c r="F183" s="31" t="n">
        <v>688.63</v>
      </c>
      <c r="G183" s="31" t="n">
        <v>259.4</v>
      </c>
      <c r="H183" s="31" t="n">
        <v>-0.13</v>
      </c>
      <c r="I183" s="31" t="n">
        <v>2376</v>
      </c>
      <c r="J183" s="31" t="inlineStr">
        <is>
          <t>512626</t>
        </is>
      </c>
    </row>
    <row r="184">
      <c r="A184" s="31" t="inlineStr">
        <is>
          <t>DHANBANK</t>
        </is>
      </c>
      <c r="B184" s="31" t="inlineStr">
        <is>
          <t>Dhanlaxmi Bank Limited</t>
        </is>
      </c>
      <c r="C184" s="31" t="inlineStr">
        <is>
          <t>bank</t>
        </is>
      </c>
      <c r="D184" s="31" t="inlineStr">
        <is>
          <t>banks - private sector</t>
        </is>
      </c>
      <c r="E184" s="31" t="inlineStr">
        <is>
          <t>smallcap</t>
        </is>
      </c>
      <c r="F184" s="31" t="n">
        <v>1360.92</v>
      </c>
      <c r="G184" s="31" t="n">
        <v>34.41</v>
      </c>
      <c r="H184" s="31" t="n">
        <v>-0.2</v>
      </c>
      <c r="I184" s="31" t="n">
        <v>1741819</v>
      </c>
      <c r="J184" s="31" t="inlineStr">
        <is>
          <t>532180</t>
        </is>
      </c>
    </row>
    <row r="185">
      <c r="A185" s="31" t="inlineStr">
        <is>
          <t>AVADHSUGAR</t>
        </is>
      </c>
      <c r="B185" s="31" t="inlineStr">
        <is>
          <t>Avadh Sugar &amp; Energy</t>
        </is>
      </c>
      <c r="C185" s="31" t="inlineStr">
        <is>
          <t>fmcg</t>
        </is>
      </c>
      <c r="D185" s="31" t="inlineStr">
        <is>
          <t>sugar</t>
        </is>
      </c>
      <c r="E185" s="31" t="inlineStr">
        <is>
          <t>smallcap</t>
        </is>
      </c>
      <c r="F185" s="31" t="n">
        <v>1998.24</v>
      </c>
      <c r="G185" s="31" t="n">
        <v>996.15</v>
      </c>
      <c r="H185" s="31" t="n">
        <v>-0.21</v>
      </c>
      <c r="I185" s="31" t="n">
        <v>156025</v>
      </c>
      <c r="J185" s="31" t="inlineStr">
        <is>
          <t>540649</t>
        </is>
      </c>
    </row>
    <row r="186">
      <c r="A186" s="31" t="inlineStr">
        <is>
          <t>KOTAKBANK</t>
        </is>
      </c>
      <c r="B186" s="31" t="inlineStr">
        <is>
          <t>Kotak Mahindra Bank Limited</t>
        </is>
      </c>
      <c r="C186" s="31" t="inlineStr">
        <is>
          <t>bank</t>
        </is>
      </c>
      <c r="D186" s="31" t="inlineStr">
        <is>
          <t>banks - private sector</t>
        </is>
      </c>
      <c r="E186" s="31" t="inlineStr">
        <is>
          <t>largecap</t>
        </is>
      </c>
      <c r="F186" s="31" t="n">
        <v>436660.53</v>
      </c>
      <c r="G186" s="31" t="n">
        <v>438.05</v>
      </c>
      <c r="H186" s="31" t="n">
        <v>-0.22</v>
      </c>
      <c r="I186" s="31" t="n">
        <v>24974530</v>
      </c>
      <c r="J186" s="31" t="inlineStr">
        <is>
          <t>500247</t>
        </is>
      </c>
    </row>
    <row r="187">
      <c r="A187" s="31" t="inlineStr">
        <is>
          <t>AXISBANK</t>
        </is>
      </c>
      <c r="B187" s="31" t="inlineStr">
        <is>
          <t>Axis Bank Limited</t>
        </is>
      </c>
      <c r="C187" s="31" t="inlineStr">
        <is>
          <t>bank</t>
        </is>
      </c>
      <c r="D187" s="31" t="inlineStr">
        <is>
          <t>banks - private sector</t>
        </is>
      </c>
      <c r="E187" s="31" t="inlineStr">
        <is>
          <t>largecap</t>
        </is>
      </c>
      <c r="F187" s="31" t="n">
        <v>394940.41</v>
      </c>
      <c r="G187" s="31" t="n">
        <v>1264.6</v>
      </c>
      <c r="H187" s="31" t="n">
        <v>-0.3</v>
      </c>
      <c r="I187" s="31" t="n">
        <v>11522506</v>
      </c>
      <c r="J187" s="31" t="inlineStr">
        <is>
          <t>532215</t>
        </is>
      </c>
    </row>
    <row r="188">
      <c r="A188" s="31" t="inlineStr">
        <is>
          <t>YUKEN</t>
        </is>
      </c>
      <c r="B188" s="31" t="inlineStr">
        <is>
          <t>Yuken India Ltd</t>
        </is>
      </c>
      <c r="C188" s="31" t="inlineStr">
        <is>
          <t>industrials</t>
        </is>
      </c>
      <c r="D188" s="31" t="inlineStr">
        <is>
          <t>engineering</t>
        </is>
      </c>
      <c r="E188" s="31" t="inlineStr">
        <is>
          <t>smallcap</t>
        </is>
      </c>
      <c r="F188" s="31" t="n">
        <v>1544.91</v>
      </c>
      <c r="G188" s="31" t="n">
        <v>1133.4</v>
      </c>
      <c r="H188" s="31" t="n">
        <v>-0.34</v>
      </c>
      <c r="I188" s="31" t="n">
        <v>8118</v>
      </c>
      <c r="J188" s="31" t="inlineStr">
        <is>
          <t>522108</t>
        </is>
      </c>
    </row>
    <row r="189">
      <c r="A189" s="31" t="inlineStr">
        <is>
          <t>BOSCH-HCIL</t>
        </is>
      </c>
      <c r="B189" s="31" t="inlineStr">
        <is>
          <t>Bosch Home Comfort India Ltd</t>
        </is>
      </c>
      <c r="C189" s="31" t="inlineStr">
        <is>
          <t>consumer discretionary</t>
        </is>
      </c>
      <c r="D189" s="31" t="inlineStr">
        <is>
          <t>air-conditioners</t>
        </is>
      </c>
      <c r="E189" s="31" t="inlineStr">
        <is>
          <t>midcap</t>
        </is>
      </c>
      <c r="F189" s="31" t="n">
        <v>5192.37</v>
      </c>
      <c r="G189" s="31" t="n">
        <v>1902.2</v>
      </c>
      <c r="H189" s="31" t="n">
        <v>-0.39</v>
      </c>
      <c r="I189" s="31" t="n">
        <v>15699</v>
      </c>
      <c r="J189" s="31" t="inlineStr">
        <is>
          <t>523398</t>
        </is>
      </c>
    </row>
    <row r="190">
      <c r="A190" s="31" t="inlineStr">
        <is>
          <t>ALICON</t>
        </is>
      </c>
      <c r="B190" s="31" t="inlineStr">
        <is>
          <t>Alicon Castalloy Limited</t>
        </is>
      </c>
      <c r="C190" s="31" t="inlineStr">
        <is>
          <t>castings, forgings &amp; fasteners</t>
        </is>
      </c>
      <c r="D190" s="31" t="inlineStr">
        <is>
          <t>castings &amp; forgings</t>
        </is>
      </c>
      <c r="E190" s="31" t="inlineStr">
        <is>
          <t>smallcap</t>
        </is>
      </c>
      <c r="F190" s="31" t="n">
        <v>1420.94</v>
      </c>
      <c r="G190" s="31" t="n">
        <v>862.3</v>
      </c>
      <c r="H190" s="31" t="n">
        <v>-0.4</v>
      </c>
      <c r="I190" s="31" t="n">
        <v>71543</v>
      </c>
      <c r="J190" s="31" t="inlineStr">
        <is>
          <t>531147</t>
        </is>
      </c>
    </row>
    <row r="191">
      <c r="A191" s="31" t="inlineStr">
        <is>
          <t>MANBA</t>
        </is>
      </c>
      <c r="B191" s="31" t="inlineStr">
        <is>
          <t>Manba Finance Ltd</t>
        </is>
      </c>
      <c r="C191" s="31" t="inlineStr">
        <is>
          <t>financials</t>
        </is>
      </c>
      <c r="D191" s="31" t="inlineStr">
        <is>
          <t>finance &amp; investments</t>
        </is>
      </c>
      <c r="E191" s="31" t="inlineStr">
        <is>
          <t>smallcap</t>
        </is>
      </c>
      <c r="F191" s="31" t="n">
        <v>706.72</v>
      </c>
      <c r="G191" s="31" t="n">
        <v>140.06</v>
      </c>
      <c r="H191" s="31" t="n">
        <v>-0.43</v>
      </c>
      <c r="I191" s="31" t="n">
        <v>100741</v>
      </c>
      <c r="J191" s="31" t="inlineStr">
        <is>
          <t>544262</t>
        </is>
      </c>
    </row>
    <row r="192">
      <c r="A192" s="31" t="inlineStr">
        <is>
          <t>MOTISONS</t>
        </is>
      </c>
      <c r="B192" s="31" t="inlineStr">
        <is>
          <t>Motisons Jewellers Ltd</t>
        </is>
      </c>
      <c r="C192" s="31" t="inlineStr">
        <is>
          <t>consumer discretionary</t>
        </is>
      </c>
      <c r="D192" s="31" t="inlineStr">
        <is>
          <t>diamond cutting / jewellery</t>
        </is>
      </c>
      <c r="E192" s="31" t="inlineStr">
        <is>
          <t>smallcap</t>
        </is>
      </c>
      <c r="F192" s="31" t="n">
        <v>2050.92</v>
      </c>
      <c r="G192" s="31" t="n">
        <v>17.95</v>
      </c>
      <c r="H192" s="31" t="n">
        <v>-0.44</v>
      </c>
      <c r="I192" s="31" t="n">
        <v>11991500</v>
      </c>
      <c r="J192" s="31" t="inlineStr">
        <is>
          <t>544053</t>
        </is>
      </c>
    </row>
    <row r="193">
      <c r="A193" s="31" t="inlineStr">
        <is>
          <t>BMWVENTLTD</t>
        </is>
      </c>
      <c r="B193" s="31" t="inlineStr">
        <is>
          <t>BMW Ventures Ltd</t>
        </is>
      </c>
      <c r="C193" s="31" t="inlineStr">
        <is>
          <t>services</t>
        </is>
      </c>
      <c r="D193" s="31" t="inlineStr">
        <is>
          <t>trading</t>
        </is>
      </c>
      <c r="E193" s="31" t="inlineStr">
        <is>
          <t>smallcap</t>
        </is>
      </c>
      <c r="F193" s="31" t="n">
        <v>570.3200000000001</v>
      </c>
      <c r="G193" s="31" t="n">
        <v>65.48</v>
      </c>
      <c r="H193" s="31" t="n">
        <v>-0.44</v>
      </c>
      <c r="I193" s="31" t="n">
        <v>309272</v>
      </c>
      <c r="J193" s="31" t="inlineStr">
        <is>
          <t>544543</t>
        </is>
      </c>
    </row>
    <row r="194">
      <c r="A194" s="31" t="inlineStr">
        <is>
          <t>MANORAMA</t>
        </is>
      </c>
      <c r="B194" s="31" t="inlineStr">
        <is>
          <t>Manorama Industries Ltd</t>
        </is>
      </c>
      <c r="C194" s="31" t="inlineStr">
        <is>
          <t>fmcg</t>
        </is>
      </c>
      <c r="D194" s="31" t="inlineStr">
        <is>
          <t>food - processing - indian</t>
        </is>
      </c>
      <c r="E194" s="31" t="inlineStr">
        <is>
          <t>midcap</t>
        </is>
      </c>
      <c r="F194" s="31" t="n">
        <v>12640.26</v>
      </c>
      <c r="G194" s="31" t="n">
        <v>1993.1</v>
      </c>
      <c r="H194" s="31" t="n">
        <v>-0.47</v>
      </c>
      <c r="I194" s="31" t="n">
        <v>87184</v>
      </c>
      <c r="J194" s="31" t="inlineStr">
        <is>
          <t>541974</t>
        </is>
      </c>
    </row>
    <row r="195">
      <c r="A195" s="31" t="inlineStr">
        <is>
          <t>ARIS</t>
        </is>
      </c>
      <c r="B195" s="31" t="inlineStr">
        <is>
          <t>Arisinfra Solutions Ltd</t>
        </is>
      </c>
      <c r="C195" s="31" t="inlineStr">
        <is>
          <t>services</t>
        </is>
      </c>
      <c r="D195" s="31" t="inlineStr">
        <is>
          <t>trading</t>
        </is>
      </c>
      <c r="E195" s="31" t="inlineStr">
        <is>
          <t>smallcap</t>
        </is>
      </c>
      <c r="F195" s="31" t="n">
        <v>1175.95</v>
      </c>
      <c r="G195" s="31" t="n">
        <v>143.1</v>
      </c>
      <c r="H195" s="31" t="n">
        <v>-0.47</v>
      </c>
      <c r="I195" s="31" t="n">
        <v>1469339</v>
      </c>
      <c r="J195" s="31" t="inlineStr">
        <is>
          <t>544419</t>
        </is>
      </c>
    </row>
    <row r="196">
      <c r="A196" s="31" t="inlineStr">
        <is>
          <t>MATRIMONY</t>
        </is>
      </c>
      <c r="B196" s="31" t="inlineStr">
        <is>
          <t>Matrimony.com Ltd</t>
        </is>
      </c>
      <c r="C196" s="31" t="inlineStr">
        <is>
          <t>miscellaneous</t>
        </is>
      </c>
      <c r="D196" s="31" t="inlineStr">
        <is>
          <t>miscellaneous</t>
        </is>
      </c>
      <c r="E196" s="31" t="inlineStr">
        <is>
          <t>smallcap</t>
        </is>
      </c>
      <c r="F196" s="31" t="n">
        <v>1121.22</v>
      </c>
      <c r="G196" s="31" t="n">
        <v>539.75</v>
      </c>
      <c r="H196" s="31" t="n">
        <v>-0.48</v>
      </c>
      <c r="I196" s="31" t="n">
        <v>15053</v>
      </c>
      <c r="J196" s="31" t="inlineStr">
        <is>
          <t>540704</t>
        </is>
      </c>
    </row>
    <row r="197">
      <c r="A197" s="31" t="inlineStr">
        <is>
          <t>MGEL</t>
        </is>
      </c>
      <c r="B197" s="31" t="inlineStr">
        <is>
          <t>Mangalam Global Enterprise Ltd</t>
        </is>
      </c>
      <c r="C197" s="31" t="inlineStr">
        <is>
          <t>services</t>
        </is>
      </c>
      <c r="D197" s="31" t="inlineStr">
        <is>
          <t>trading</t>
        </is>
      </c>
      <c r="E197" s="31" t="inlineStr">
        <is>
          <t>smallcap</t>
        </is>
      </c>
      <c r="F197" s="31" t="n">
        <v>531.5700000000001</v>
      </c>
      <c r="G197" s="31" t="n">
        <v>16.05</v>
      </c>
      <c r="H197" s="31" t="n">
        <v>-0.5</v>
      </c>
      <c r="I197" s="31" t="n">
        <v>345121</v>
      </c>
      <c r="J197" s="31" t="inlineStr">
        <is>
          <t>535349</t>
        </is>
      </c>
    </row>
    <row r="198">
      <c r="A198" s="31" t="inlineStr">
        <is>
          <t>TRENT</t>
        </is>
      </c>
      <c r="B198" s="31" t="inlineStr">
        <is>
          <t>Trent Limited</t>
        </is>
      </c>
      <c r="C198" s="31" t="inlineStr">
        <is>
          <t>consumer discretionary</t>
        </is>
      </c>
      <c r="D198" s="31" t="inlineStr">
        <is>
          <t>trading</t>
        </is>
      </c>
      <c r="E198" s="31" t="inlineStr">
        <is>
          <t>largecap</t>
        </is>
      </c>
      <c r="F198" s="31" t="n">
        <v>159319.15</v>
      </c>
      <c r="G198" s="31" t="n">
        <v>2971</v>
      </c>
      <c r="H198" s="31" t="n">
        <v>-0.5600000000000001</v>
      </c>
      <c r="I198" s="31" t="n">
        <v>681750</v>
      </c>
      <c r="J198" s="31" t="inlineStr">
        <is>
          <t>500251</t>
        </is>
      </c>
    </row>
    <row r="199">
      <c r="A199" s="31" t="inlineStr">
        <is>
          <t>MTARTECH</t>
        </is>
      </c>
      <c r="B199" s="31" t="inlineStr">
        <is>
          <t>MTAR Technologies Ltd</t>
        </is>
      </c>
      <c r="C199" s="31" t="inlineStr">
        <is>
          <t>aerospace &amp; defence</t>
        </is>
      </c>
      <c r="D199" s="31" t="inlineStr">
        <is>
          <t>engineering</t>
        </is>
      </c>
      <c r="E199" s="31" t="inlineStr">
        <is>
          <t>largecap</t>
        </is>
      </c>
      <c r="F199" s="31" t="n">
        <v>23740.25</v>
      </c>
      <c r="G199" s="31" t="n">
        <v>7672</v>
      </c>
      <c r="H199" s="31" t="n">
        <v>-0.6</v>
      </c>
      <c r="I199" s="31" t="n">
        <v>51395</v>
      </c>
      <c r="J199" s="31" t="inlineStr">
        <is>
          <t>543270</t>
        </is>
      </c>
    </row>
    <row r="200">
      <c r="A200" s="31" t="inlineStr">
        <is>
          <t>DBOL</t>
        </is>
      </c>
      <c r="B200" s="31" t="inlineStr">
        <is>
          <t>Dhampur Bio Organics Ltd</t>
        </is>
      </c>
      <c r="C200" s="31" t="inlineStr">
        <is>
          <t>fmcg</t>
        </is>
      </c>
      <c r="D200" s="31" t="inlineStr">
        <is>
          <t>sugar</t>
        </is>
      </c>
      <c r="E200" s="31" t="inlineStr">
        <is>
          <t>smallcap</t>
        </is>
      </c>
      <c r="F200" s="31" t="n">
        <v>970.1900000000001</v>
      </c>
      <c r="G200" s="31" t="n">
        <v>145.24</v>
      </c>
      <c r="H200" s="31" t="n">
        <v>-0.62</v>
      </c>
      <c r="I200" s="31" t="n">
        <v>456174</v>
      </c>
      <c r="J200" s="31" t="inlineStr">
        <is>
          <t>543593</t>
        </is>
      </c>
    </row>
    <row r="201">
      <c r="A201" s="31" t="inlineStr">
        <is>
          <t>SHANTIGOLD</t>
        </is>
      </c>
      <c r="B201" s="31" t="inlineStr">
        <is>
          <t>Shanti Gold International Ltd</t>
        </is>
      </c>
      <c r="C201" s="31" t="inlineStr">
        <is>
          <t>consumer discretionary</t>
        </is>
      </c>
      <c r="D201" s="31" t="inlineStr">
        <is>
          <t>diamond cutting / jewellery</t>
        </is>
      </c>
      <c r="E201" s="31" t="inlineStr">
        <is>
          <t>smallcap</t>
        </is>
      </c>
      <c r="F201" s="31" t="n">
        <v>2996.29</v>
      </c>
      <c r="G201" s="31" t="n">
        <v>387.9</v>
      </c>
      <c r="H201" s="31" t="n">
        <v>-0.65</v>
      </c>
      <c r="I201" s="31" t="n">
        <v>2258231</v>
      </c>
      <c r="J201" s="31" t="inlineStr">
        <is>
          <t>544459</t>
        </is>
      </c>
    </row>
    <row r="202">
      <c r="A202" s="31" t="inlineStr">
        <is>
          <t>INDIAGLYCO</t>
        </is>
      </c>
      <c r="B202" s="31" t="inlineStr">
        <is>
          <t>India Glycols Limited</t>
        </is>
      </c>
      <c r="C202" s="31" t="inlineStr">
        <is>
          <t>fmcg</t>
        </is>
      </c>
      <c r="D202" s="31" t="inlineStr">
        <is>
          <t>breweries &amp; distilleries</t>
        </is>
      </c>
      <c r="E202" s="31" t="inlineStr">
        <is>
          <t>smallcap</t>
        </is>
      </c>
      <c r="F202" s="31" t="n">
        <v>2362.02</v>
      </c>
      <c r="G202" s="31" t="n">
        <v>349.85</v>
      </c>
      <c r="H202" s="31" t="n">
        <v>-0.72</v>
      </c>
      <c r="I202" s="31" t="n">
        <v>2807356</v>
      </c>
      <c r="J202" s="31" t="inlineStr">
        <is>
          <t>500201</t>
        </is>
      </c>
    </row>
    <row r="203">
      <c r="A203" s="31" t="inlineStr">
        <is>
          <t>MUKANDLTD</t>
        </is>
      </c>
      <c r="B203" s="31" t="inlineStr">
        <is>
          <t>Mukand Limited</t>
        </is>
      </c>
      <c r="C203" s="31" t="inlineStr">
        <is>
          <t>metals &amp; mining</t>
        </is>
      </c>
      <c r="D203" s="31" t="inlineStr">
        <is>
          <t>steel - medium / small</t>
        </is>
      </c>
      <c r="E203" s="31" t="inlineStr">
        <is>
          <t>smallcap</t>
        </is>
      </c>
      <c r="F203" s="31" t="n">
        <v>2550.78</v>
      </c>
      <c r="G203" s="31" t="n">
        <v>175.02</v>
      </c>
      <c r="H203" s="31" t="n">
        <v>-0.86</v>
      </c>
      <c r="I203" s="31" t="n">
        <v>105944</v>
      </c>
      <c r="J203" s="31" t="inlineStr">
        <is>
          <t>500460</t>
        </is>
      </c>
    </row>
    <row r="204">
      <c r="A204" s="31" t="inlineStr">
        <is>
          <t>BALRAMCHIN</t>
        </is>
      </c>
      <c r="B204" s="31" t="inlineStr">
        <is>
          <t>Balrampur Chini Mills Limited</t>
        </is>
      </c>
      <c r="C204" s="31" t="inlineStr">
        <is>
          <t>fmcg</t>
        </is>
      </c>
      <c r="D204" s="31" t="inlineStr">
        <is>
          <t>sugar</t>
        </is>
      </c>
      <c r="E204" s="31" t="inlineStr">
        <is>
          <t>midcap</t>
        </is>
      </c>
      <c r="F204" s="31" t="n">
        <v>15239.25</v>
      </c>
      <c r="G204" s="31" t="n">
        <v>713.85</v>
      </c>
      <c r="H204" s="31" t="n">
        <v>-0.88</v>
      </c>
      <c r="I204" s="31" t="n">
        <v>2007330</v>
      </c>
      <c r="J204" s="31" t="inlineStr">
        <is>
          <t>500038</t>
        </is>
      </c>
    </row>
    <row r="205">
      <c r="A205" s="31" t="inlineStr">
        <is>
          <t>ZIMLAB</t>
        </is>
      </c>
      <c r="B205" s="31" t="inlineStr">
        <is>
          <t>Zim Laboratories Ltd</t>
        </is>
      </c>
      <c r="C205" s="31" t="inlineStr">
        <is>
          <t>healthcare</t>
        </is>
      </c>
      <c r="D205" s="31" t="inlineStr">
        <is>
          <t>pharmaceuticals - indian - bulk drugs &amp; formln</t>
        </is>
      </c>
      <c r="E205" s="31" t="inlineStr">
        <is>
          <t>smallcap</t>
        </is>
      </c>
      <c r="F205" s="31" t="n">
        <v>787.55</v>
      </c>
      <c r="G205" s="31" t="n">
        <v>145.43</v>
      </c>
      <c r="H205" s="31" t="n">
        <v>-0.91</v>
      </c>
      <c r="I205" s="31" t="n">
        <v>106571</v>
      </c>
      <c r="J205" s="31" t="inlineStr">
        <is>
          <t>541400</t>
        </is>
      </c>
    </row>
    <row r="206">
      <c r="A206" s="31" t="inlineStr">
        <is>
          <t>MARINE</t>
        </is>
      </c>
      <c r="B206" s="31" t="inlineStr">
        <is>
          <t>Marine Electricals (India) Ltd</t>
        </is>
      </c>
      <c r="C206" s="31" t="inlineStr">
        <is>
          <t>industrials</t>
        </is>
      </c>
      <c r="D206" s="31" t="inlineStr">
        <is>
          <t>electric equipment</t>
        </is>
      </c>
      <c r="E206" s="31" t="inlineStr">
        <is>
          <t>midcap</t>
        </is>
      </c>
      <c r="F206" s="31" t="n">
        <v>6641.06</v>
      </c>
      <c r="G206" s="31" t="n">
        <v>470.2</v>
      </c>
      <c r="H206" s="31" t="n">
        <v>-0.92</v>
      </c>
      <c r="I206" s="31" t="n">
        <v>656703</v>
      </c>
      <c r="J206" s="31" t="inlineStr">
        <is>
          <t>535119</t>
        </is>
      </c>
    </row>
    <row r="207">
      <c r="A207" s="31" t="inlineStr">
        <is>
          <t>MOBIKWIK</t>
        </is>
      </c>
      <c r="B207" s="31" t="inlineStr">
        <is>
          <t>One Mobikwik Systems Ltd</t>
        </is>
      </c>
      <c r="C207" s="31" t="inlineStr">
        <is>
          <t>i.t</t>
        </is>
      </c>
      <c r="D207" s="31" t="inlineStr">
        <is>
          <t>miscellaneous</t>
        </is>
      </c>
      <c r="E207" s="31" t="inlineStr">
        <is>
          <t>smallcap</t>
        </is>
      </c>
      <c r="F207" s="31" t="n">
        <v>1925.13</v>
      </c>
      <c r="G207" s="31" t="n">
        <v>242.23</v>
      </c>
      <c r="H207" s="31" t="n">
        <v>-0.92</v>
      </c>
      <c r="I207" s="31" t="n">
        <v>2049780</v>
      </c>
      <c r="J207" s="31" t="inlineStr">
        <is>
          <t>544305</t>
        </is>
      </c>
    </row>
    <row r="208">
      <c r="A208" s="31" t="inlineStr">
        <is>
          <t>KTKBANK</t>
        </is>
      </c>
      <c r="B208" s="31" t="inlineStr">
        <is>
          <t>The Karnataka Bank Limited</t>
        </is>
      </c>
      <c r="C208" s="31" t="inlineStr">
        <is>
          <t>bank</t>
        </is>
      </c>
      <c r="D208" s="31" t="inlineStr">
        <is>
          <t>banks - private sector</t>
        </is>
      </c>
      <c r="E208" s="31" t="inlineStr">
        <is>
          <t>midcap</t>
        </is>
      </c>
      <c r="F208" s="31" t="n">
        <v>12951.57</v>
      </c>
      <c r="G208" s="31" t="n">
        <v>339.2</v>
      </c>
      <c r="H208" s="31" t="n">
        <v>-0.95</v>
      </c>
      <c r="I208" s="31" t="n">
        <v>1343039</v>
      </c>
      <c r="J208" s="31" t="inlineStr">
        <is>
          <t>532652</t>
        </is>
      </c>
    </row>
    <row r="209">
      <c r="A209" s="31" t="inlineStr">
        <is>
          <t>SWANDEF</t>
        </is>
      </c>
      <c r="B209" s="31" t="inlineStr">
        <is>
          <t>Swan Defence and Heavy Industries Ltd</t>
        </is>
      </c>
      <c r="C209" s="31" t="inlineStr">
        <is>
          <t>transportation</t>
        </is>
      </c>
      <c r="D209" s="31" t="inlineStr">
        <is>
          <t>miscellaneous</t>
        </is>
      </c>
      <c r="E209" s="31" t="inlineStr">
        <is>
          <t>midcap</t>
        </is>
      </c>
      <c r="F209" s="31" t="n">
        <v>15637.12</v>
      </c>
      <c r="G209" s="31" t="n">
        <v>2939.2</v>
      </c>
      <c r="H209" s="31" t="n">
        <v>-0.98</v>
      </c>
      <c r="I209" s="31" t="n">
        <v>20768</v>
      </c>
      <c r="J209" s="31" t="inlineStr">
        <is>
          <t>533107</t>
        </is>
      </c>
    </row>
    <row r="210">
      <c r="A210" s="31" t="inlineStr">
        <is>
          <t>WESTLIFE</t>
        </is>
      </c>
      <c r="B210" s="31" t="inlineStr">
        <is>
          <t>Westlife Foodworld Ltd</t>
        </is>
      </c>
      <c r="C210" s="31" t="inlineStr">
        <is>
          <t>consumer discretionary</t>
        </is>
      </c>
      <c r="D210" s="31" t="inlineStr">
        <is>
          <t>hotels</t>
        </is>
      </c>
      <c r="E210" s="31" t="inlineStr">
        <is>
          <t>midcap</t>
        </is>
      </c>
      <c r="F210" s="31" t="n">
        <v>9283.66</v>
      </c>
      <c r="G210" s="31" t="n">
        <v>589.45</v>
      </c>
      <c r="H210" s="31" t="n">
        <v>-0.99</v>
      </c>
      <c r="I210" s="31" t="n">
        <v>69087</v>
      </c>
      <c r="J210" s="31" t="inlineStr">
        <is>
          <t>505533</t>
        </is>
      </c>
    </row>
    <row r="211">
      <c r="A211" s="31" t="inlineStr">
        <is>
          <t>PREMIERPOL</t>
        </is>
      </c>
      <c r="B211" s="31" t="inlineStr">
        <is>
          <t>Premier Polyfilm Limited</t>
        </is>
      </c>
      <c r="C211" s="31" t="inlineStr">
        <is>
          <t>plastic products</t>
        </is>
      </c>
      <c r="D211" s="31" t="inlineStr">
        <is>
          <t>plastics products</t>
        </is>
      </c>
      <c r="E211" s="31" t="inlineStr">
        <is>
          <t>smallcap</t>
        </is>
      </c>
      <c r="F211" s="31" t="n">
        <v>1152.59</v>
      </c>
      <c r="G211" s="31" t="n">
        <v>108.86</v>
      </c>
      <c r="H211" s="31" t="n">
        <v>-1.07</v>
      </c>
      <c r="I211" s="31" t="n">
        <v>647244</v>
      </c>
      <c r="J211" s="31" t="inlineStr">
        <is>
          <t>514354</t>
        </is>
      </c>
    </row>
    <row r="212">
      <c r="A212" s="31" t="inlineStr">
        <is>
          <t>SKYGOLD</t>
        </is>
      </c>
      <c r="B212" s="31" t="inlineStr">
        <is>
          <t>Sky Gold Ltd</t>
        </is>
      </c>
      <c r="C212" s="31" t="inlineStr">
        <is>
          <t>consumer discretionary</t>
        </is>
      </c>
      <c r="D212" s="31" t="inlineStr">
        <is>
          <t>diamond cutting / jewellery</t>
        </is>
      </c>
      <c r="E212" s="31" t="inlineStr">
        <is>
          <t>midcap</t>
        </is>
      </c>
      <c r="F212" s="31" t="n">
        <v>15150.54</v>
      </c>
      <c r="G212" s="31" t="n">
        <v>967.7</v>
      </c>
      <c r="H212" s="31" t="n">
        <v>-1.08</v>
      </c>
      <c r="I212" s="31" t="n">
        <v>663263</v>
      </c>
      <c r="J212" s="31" t="inlineStr">
        <is>
          <t>541967</t>
        </is>
      </c>
    </row>
    <row r="213">
      <c r="A213" s="31" t="inlineStr">
        <is>
          <t>LAURUSLABS</t>
        </is>
      </c>
      <c r="B213" s="31" t="inlineStr">
        <is>
          <t>Laurus Labs Limited</t>
        </is>
      </c>
      <c r="C213" s="31" t="inlineStr">
        <is>
          <t>healthcare</t>
        </is>
      </c>
      <c r="D213" s="31" t="inlineStr">
        <is>
          <t>pharmaceuticals - indian - bulk drugs &amp; formln</t>
        </is>
      </c>
      <c r="E213" s="31" t="inlineStr">
        <is>
          <t>largecap</t>
        </is>
      </c>
      <c r="F213" s="31" t="n">
        <v>111259</v>
      </c>
      <c r="G213" s="31" t="n">
        <v>2036.9</v>
      </c>
      <c r="H213" s="31" t="n">
        <v>-1.09</v>
      </c>
      <c r="I213" s="31" t="n">
        <v>1301046</v>
      </c>
      <c r="J213" s="31" t="inlineStr">
        <is>
          <t>540222</t>
        </is>
      </c>
    </row>
    <row r="214">
      <c r="A214" s="31" t="inlineStr">
        <is>
          <t>DMCC</t>
        </is>
      </c>
      <c r="B214" s="31" t="inlineStr">
        <is>
          <t>DMCC Speciality Chemicals Ltd</t>
        </is>
      </c>
      <c r="C214" s="31" t="inlineStr">
        <is>
          <t>chemicals</t>
        </is>
      </c>
      <c r="D214" s="31" t="inlineStr">
        <is>
          <t>chemicals</t>
        </is>
      </c>
      <c r="E214" s="31" t="inlineStr">
        <is>
          <t>smallcap</t>
        </is>
      </c>
      <c r="F214" s="31" t="n">
        <v>853.4400000000001</v>
      </c>
      <c r="G214" s="31" t="n">
        <v>338.35</v>
      </c>
      <c r="H214" s="31" t="n">
        <v>-1.13</v>
      </c>
      <c r="I214" s="31" t="n">
        <v>101219</v>
      </c>
      <c r="J214" s="31" t="inlineStr">
        <is>
          <t>506405</t>
        </is>
      </c>
    </row>
    <row r="215">
      <c r="A215" s="31" t="inlineStr">
        <is>
          <t>MANAKSTEEL</t>
        </is>
      </c>
      <c r="B215" s="31" t="inlineStr">
        <is>
          <t>Manaksia Steels Limited</t>
        </is>
      </c>
      <c r="C215" s="31" t="inlineStr">
        <is>
          <t>metals &amp; mining</t>
        </is>
      </c>
      <c r="D215" s="31" t="inlineStr">
        <is>
          <t>steel - medium / small</t>
        </is>
      </c>
      <c r="E215" s="31" t="inlineStr">
        <is>
          <t>smallcap</t>
        </is>
      </c>
      <c r="F215" s="31" t="n">
        <v>730.5700000000001</v>
      </c>
      <c r="G215" s="31" t="n">
        <v>110.22</v>
      </c>
      <c r="H215" s="31" t="n">
        <v>-1.13</v>
      </c>
      <c r="I215" s="31" t="n">
        <v>27090</v>
      </c>
      <c r="J215" s="31" t="inlineStr">
        <is>
          <t>539044</t>
        </is>
      </c>
    </row>
    <row r="216">
      <c r="A216" s="31" t="inlineStr">
        <is>
          <t>DALMIASUG</t>
        </is>
      </c>
      <c r="B216" s="31" t="inlineStr">
        <is>
          <t>Dalmia Bharat Sugar And Industries Limited</t>
        </is>
      </c>
      <c r="C216" s="31" t="inlineStr">
        <is>
          <t>fmcg</t>
        </is>
      </c>
      <c r="D216" s="31" t="inlineStr">
        <is>
          <t>sugar</t>
        </is>
      </c>
      <c r="E216" s="31" t="inlineStr">
        <is>
          <t>smallcap</t>
        </is>
      </c>
      <c r="F216" s="31" t="n">
        <v>3966.03</v>
      </c>
      <c r="G216" s="31" t="n">
        <v>484.15</v>
      </c>
      <c r="H216" s="31" t="n">
        <v>-1.19</v>
      </c>
      <c r="I216" s="31" t="n">
        <v>475657</v>
      </c>
      <c r="J216" s="31" t="inlineStr">
        <is>
          <t>500097</t>
        </is>
      </c>
    </row>
    <row r="217">
      <c r="A217" s="31" t="inlineStr">
        <is>
          <t>GLAND</t>
        </is>
      </c>
      <c r="B217" s="31" t="inlineStr">
        <is>
          <t>Gland Pharma Ltd</t>
        </is>
      </c>
      <c r="C217" s="31" t="inlineStr">
        <is>
          <t>healthcare</t>
        </is>
      </c>
      <c r="D217" s="31" t="inlineStr">
        <is>
          <t>pharmaceuticals - indian - formulations</t>
        </is>
      </c>
      <c r="E217" s="31" t="inlineStr">
        <is>
          <t>largecap</t>
        </is>
      </c>
      <c r="F217" s="31" t="n">
        <v>50990.69</v>
      </c>
      <c r="G217" s="31" t="n">
        <v>3052.3</v>
      </c>
      <c r="H217" s="31" t="n">
        <v>-1.26</v>
      </c>
      <c r="I217" s="31" t="n">
        <v>178927</v>
      </c>
      <c r="J217" s="31" t="inlineStr">
        <is>
          <t>543245</t>
        </is>
      </c>
    </row>
    <row r="218">
      <c r="A218" s="31" t="inlineStr">
        <is>
          <t>MPHASIS</t>
        </is>
      </c>
      <c r="B218" s="31" t="inlineStr">
        <is>
          <t>Mphasis Limited</t>
        </is>
      </c>
      <c r="C218" s="31" t="inlineStr">
        <is>
          <t>i.t</t>
        </is>
      </c>
      <c r="D218" s="31" t="inlineStr">
        <is>
          <t>computers - software - large</t>
        </is>
      </c>
      <c r="E218" s="31" t="inlineStr">
        <is>
          <t>largecap</t>
        </is>
      </c>
      <c r="F218" s="31" t="n">
        <v>47075.04</v>
      </c>
      <c r="G218" s="31" t="n">
        <v>2435.3</v>
      </c>
      <c r="H218" s="31" t="n">
        <v>-1.26</v>
      </c>
      <c r="I218" s="31" t="n">
        <v>492448</v>
      </c>
      <c r="J218" s="31" t="inlineStr">
        <is>
          <t>526299</t>
        </is>
      </c>
    </row>
    <row r="219">
      <c r="A219" s="31" t="inlineStr">
        <is>
          <t>ANGELONE</t>
        </is>
      </c>
      <c r="B219" s="31" t="inlineStr">
        <is>
          <t>Angel One Ltd</t>
        </is>
      </c>
      <c r="C219" s="31" t="inlineStr">
        <is>
          <t>financials</t>
        </is>
      </c>
      <c r="D219" s="31" t="inlineStr">
        <is>
          <t>finance &amp; investments</t>
        </is>
      </c>
      <c r="E219" s="31" t="inlineStr">
        <is>
          <t>largecap</t>
        </is>
      </c>
      <c r="F219" s="31" t="n">
        <v>28319.09</v>
      </c>
      <c r="G219" s="31" t="n">
        <v>306.05</v>
      </c>
      <c r="H219" s="31" t="n">
        <v>-1.27</v>
      </c>
      <c r="I219" s="31" t="n">
        <v>3485802</v>
      </c>
      <c r="J219" s="31" t="n"/>
    </row>
    <row r="220">
      <c r="A220" s="31" t="inlineStr">
        <is>
          <t>MAGADSUGAR</t>
        </is>
      </c>
      <c r="B220" s="31" t="inlineStr">
        <is>
          <t>Magadh Sugar &amp; Energy Ltd</t>
        </is>
      </c>
      <c r="C220" s="31" t="inlineStr">
        <is>
          <t>fmcg</t>
        </is>
      </c>
      <c r="D220" s="31" t="inlineStr">
        <is>
          <t>sugar</t>
        </is>
      </c>
      <c r="E220" s="31" t="inlineStr">
        <is>
          <t>smallcap</t>
        </is>
      </c>
      <c r="F220" s="31" t="n">
        <v>857.33</v>
      </c>
      <c r="G220" s="31" t="n">
        <v>599.8</v>
      </c>
      <c r="H220" s="31" t="n">
        <v>-1.41</v>
      </c>
      <c r="I220" s="31" t="n">
        <v>63162</v>
      </c>
      <c r="J220" s="31" t="inlineStr">
        <is>
          <t>540650</t>
        </is>
      </c>
    </row>
    <row r="221">
      <c r="A221" s="31" t="inlineStr">
        <is>
          <t>PERSISTENT</t>
        </is>
      </c>
      <c r="B221" s="31" t="inlineStr">
        <is>
          <t>Persistent Systems Limited</t>
        </is>
      </c>
      <c r="C221" s="31" t="inlineStr">
        <is>
          <t>i.t</t>
        </is>
      </c>
      <c r="D221" s="31" t="inlineStr">
        <is>
          <t>computers - software - large</t>
        </is>
      </c>
      <c r="E221" s="31" t="inlineStr">
        <is>
          <t>largecap</t>
        </is>
      </c>
      <c r="F221" s="31" t="n">
        <v>94460.7</v>
      </c>
      <c r="G221" s="31" t="n">
        <v>5898</v>
      </c>
      <c r="H221" s="31" t="n">
        <v>-1.5</v>
      </c>
      <c r="I221" s="31" t="n">
        <v>632681</v>
      </c>
      <c r="J221" s="31" t="inlineStr">
        <is>
          <t>533179</t>
        </is>
      </c>
    </row>
    <row r="222">
      <c r="A222" s="31" t="inlineStr">
        <is>
          <t>INDOAMIN</t>
        </is>
      </c>
      <c r="B222" s="31" t="inlineStr">
        <is>
          <t>Indo Amines Ltd</t>
        </is>
      </c>
      <c r="C222" s="31" t="inlineStr">
        <is>
          <t>chemicals</t>
        </is>
      </c>
      <c r="D222" s="31" t="inlineStr">
        <is>
          <t>chemicals</t>
        </is>
      </c>
      <c r="E222" s="31" t="inlineStr">
        <is>
          <t>smallcap</t>
        </is>
      </c>
      <c r="F222" s="31" t="n">
        <v>1123</v>
      </c>
      <c r="G222" s="31" t="n">
        <v>152.3</v>
      </c>
      <c r="H222" s="31" t="n">
        <v>-1.56</v>
      </c>
      <c r="I222" s="31" t="n">
        <v>207879</v>
      </c>
      <c r="J222" s="31" t="inlineStr">
        <is>
          <t>524648</t>
        </is>
      </c>
    </row>
    <row r="223">
      <c r="A223" s="31" t="inlineStr">
        <is>
          <t>SUNFLAG</t>
        </is>
      </c>
      <c r="B223" s="31" t="inlineStr">
        <is>
          <t>Sunflag Iron And Steel Company Limited</t>
        </is>
      </c>
      <c r="C223" s="31" t="inlineStr">
        <is>
          <t>metals &amp; mining</t>
        </is>
      </c>
      <c r="D223" s="31" t="inlineStr">
        <is>
          <t>steel - medium / small</t>
        </is>
      </c>
      <c r="E223" s="31" t="inlineStr">
        <is>
          <t>midcap</t>
        </is>
      </c>
      <c r="F223" s="31" t="n">
        <v>7974.71</v>
      </c>
      <c r="G223" s="31" t="n">
        <v>435.6</v>
      </c>
      <c r="H223" s="31" t="n">
        <v>-1.56</v>
      </c>
      <c r="I223" s="31" t="n">
        <v>154108</v>
      </c>
      <c r="J223" s="31" t="inlineStr">
        <is>
          <t>500404</t>
        </is>
      </c>
    </row>
    <row r="224">
      <c r="A224" s="31" t="inlineStr">
        <is>
          <t>SSWL</t>
        </is>
      </c>
      <c r="B224" s="31" t="inlineStr">
        <is>
          <t>Steel Strips Wheels Limited</t>
        </is>
      </c>
      <c r="C224" s="31" t="inlineStr">
        <is>
          <t>auto</t>
        </is>
      </c>
      <c r="D224" s="31" t="inlineStr">
        <is>
          <t>auto ancillaries</t>
        </is>
      </c>
      <c r="E224" s="31" t="inlineStr">
        <is>
          <t>midcap</t>
        </is>
      </c>
      <c r="F224" s="31" t="n">
        <v>6499.41</v>
      </c>
      <c r="G224" s="31" t="n">
        <v>406.75</v>
      </c>
      <c r="H224" s="31" t="n">
        <v>-1.63</v>
      </c>
      <c r="I224" s="31" t="n">
        <v>702841</v>
      </c>
      <c r="J224" s="31" t="inlineStr">
        <is>
          <t>513262</t>
        </is>
      </c>
    </row>
    <row r="225">
      <c r="A225" s="31" t="inlineStr">
        <is>
          <t>THELEELA</t>
        </is>
      </c>
      <c r="B225" s="31" t="inlineStr">
        <is>
          <t>Leela Palaces Hotels &amp; Resorts Ltd</t>
        </is>
      </c>
      <c r="C225" s="31" t="inlineStr">
        <is>
          <t>services</t>
        </is>
      </c>
      <c r="D225" s="31" t="inlineStr">
        <is>
          <t>hotels</t>
        </is>
      </c>
      <c r="E225" s="31" t="inlineStr">
        <is>
          <t>largecap</t>
        </is>
      </c>
      <c r="F225" s="31" t="n">
        <v>20079.22</v>
      </c>
      <c r="G225" s="31" t="n">
        <v>591.3</v>
      </c>
      <c r="H225" s="31" t="n">
        <v>-1.65</v>
      </c>
      <c r="I225" s="31" t="n">
        <v>1670581</v>
      </c>
      <c r="J225" s="31" t="inlineStr">
        <is>
          <t>544408</t>
        </is>
      </c>
    </row>
    <row r="226">
      <c r="A226" s="31" t="inlineStr">
        <is>
          <t>PVRINOX</t>
        </is>
      </c>
      <c r="B226" s="31" t="inlineStr">
        <is>
          <t>PVR Inox Ltd</t>
        </is>
      </c>
      <c r="C226" s="31" t="inlineStr">
        <is>
          <t>media</t>
        </is>
      </c>
      <c r="D226" s="31" t="inlineStr">
        <is>
          <t>entertainment / electronic media software</t>
        </is>
      </c>
      <c r="E226" s="31" t="inlineStr">
        <is>
          <t>midcap</t>
        </is>
      </c>
      <c r="F226" s="31" t="n">
        <v>13501.6</v>
      </c>
      <c r="G226" s="31" t="n">
        <v>1381</v>
      </c>
      <c r="H226" s="31" t="n">
        <v>-1.67</v>
      </c>
      <c r="I226" s="31" t="n">
        <v>447080</v>
      </c>
      <c r="J226" s="31" t="inlineStr">
        <is>
          <t>532689</t>
        </is>
      </c>
    </row>
    <row r="227">
      <c r="A227" s="31" t="inlineStr">
        <is>
          <t>FAIRCHEMOR</t>
        </is>
      </c>
      <c r="B227" s="31" t="inlineStr">
        <is>
          <t>Fairchem Organics Ltd</t>
        </is>
      </c>
      <c r="C227" s="31" t="inlineStr">
        <is>
          <t>chemicals</t>
        </is>
      </c>
      <c r="D227" s="31" t="inlineStr">
        <is>
          <t>chemicals</t>
        </is>
      </c>
      <c r="E227" s="31" t="inlineStr">
        <is>
          <t>smallcap</t>
        </is>
      </c>
      <c r="F227" s="31" t="n">
        <v>1015.92</v>
      </c>
      <c r="G227" s="31" t="n">
        <v>792.55</v>
      </c>
      <c r="H227" s="31" t="n">
        <v>-1.74</v>
      </c>
      <c r="I227" s="31" t="n">
        <v>65652</v>
      </c>
      <c r="J227" s="31" t="inlineStr">
        <is>
          <t>543252</t>
        </is>
      </c>
    </row>
    <row r="228">
      <c r="A228" s="31" t="inlineStr">
        <is>
          <t>LOKESHMACH</t>
        </is>
      </c>
      <c r="B228" s="31" t="inlineStr">
        <is>
          <t>Lokesh Machines Limited</t>
        </is>
      </c>
      <c r="C228" s="31" t="inlineStr">
        <is>
          <t>industrials</t>
        </is>
      </c>
      <c r="D228" s="31" t="inlineStr">
        <is>
          <t>engineering</t>
        </is>
      </c>
      <c r="E228" s="31" t="inlineStr">
        <is>
          <t>smallcap</t>
        </is>
      </c>
      <c r="F228" s="31" t="n">
        <v>989.25</v>
      </c>
      <c r="G228" s="31" t="n">
        <v>445.85</v>
      </c>
      <c r="H228" s="31" t="n">
        <v>-1.76</v>
      </c>
      <c r="I228" s="31" t="n">
        <v>81259</v>
      </c>
      <c r="J228" s="31" t="inlineStr">
        <is>
          <t>532740</t>
        </is>
      </c>
    </row>
    <row r="229">
      <c r="A229" s="31" t="inlineStr">
        <is>
          <t>UNIMECH</t>
        </is>
      </c>
      <c r="B229" s="31" t="inlineStr">
        <is>
          <t>Unimech Aerospace and Manufacturing Ltd</t>
        </is>
      </c>
      <c r="C229" s="31" t="inlineStr">
        <is>
          <t>aerospace &amp; defence</t>
        </is>
      </c>
      <c r="D229" s="31" t="inlineStr">
        <is>
          <t>engineering</t>
        </is>
      </c>
      <c r="E229" s="31" t="inlineStr">
        <is>
          <t>midcap</t>
        </is>
      </c>
      <c r="F229" s="31" t="n">
        <v>9330.85</v>
      </c>
      <c r="G229" s="31" t="n">
        <v>1800.2</v>
      </c>
      <c r="H229" s="31" t="n">
        <v>-1.79</v>
      </c>
      <c r="I229" s="31" t="n">
        <v>92934</v>
      </c>
      <c r="J229" s="31" t="inlineStr">
        <is>
          <t>544322</t>
        </is>
      </c>
    </row>
    <row r="230">
      <c r="A230" s="31" t="inlineStr">
        <is>
          <t>ALLDIGI</t>
        </is>
      </c>
      <c r="B230" s="31" t="inlineStr">
        <is>
          <t>Alldigi Tech Ltd</t>
        </is>
      </c>
      <c r="C230" s="31" t="inlineStr">
        <is>
          <t>i.t</t>
        </is>
      </c>
      <c r="D230" s="31" t="inlineStr">
        <is>
          <t>computers - software - medium / small</t>
        </is>
      </c>
      <c r="E230" s="31" t="inlineStr">
        <is>
          <t>smallcap</t>
        </is>
      </c>
      <c r="F230" s="31" t="n">
        <v>1293.28</v>
      </c>
      <c r="G230" s="31" t="n">
        <v>833.2</v>
      </c>
      <c r="H230" s="31" t="n">
        <v>-1.83</v>
      </c>
      <c r="I230" s="31" t="n">
        <v>7225</v>
      </c>
      <c r="J230" s="31" t="inlineStr">
        <is>
          <t>532633</t>
        </is>
      </c>
    </row>
    <row r="231">
      <c r="A231" s="31" t="inlineStr">
        <is>
          <t>SMCGLOBAL</t>
        </is>
      </c>
      <c r="B231" s="31" t="inlineStr">
        <is>
          <t>SMC Global Securities Ltd</t>
        </is>
      </c>
      <c r="C231" s="31" t="inlineStr">
        <is>
          <t>financials</t>
        </is>
      </c>
      <c r="D231" s="31" t="inlineStr">
        <is>
          <t>finance &amp; investments</t>
        </is>
      </c>
      <c r="E231" s="31" t="inlineStr">
        <is>
          <t>smallcap</t>
        </is>
      </c>
      <c r="F231" s="31" t="n">
        <v>2458.15</v>
      </c>
      <c r="G231" s="31" t="n">
        <v>115.18</v>
      </c>
      <c r="H231" s="31" t="n">
        <v>-1.88</v>
      </c>
      <c r="I231" s="31" t="n">
        <v>4858493</v>
      </c>
      <c r="J231" s="31" t="inlineStr">
        <is>
          <t>543263</t>
        </is>
      </c>
    </row>
    <row r="232">
      <c r="A232" s="31" t="inlineStr">
        <is>
          <t>FINCABLES</t>
        </is>
      </c>
      <c r="B232" s="31" t="inlineStr">
        <is>
          <t>Finolex Cables Limited</t>
        </is>
      </c>
      <c r="C232" s="31" t="inlineStr">
        <is>
          <t>industrials</t>
        </is>
      </c>
      <c r="D232" s="31" t="inlineStr">
        <is>
          <t>cables - power</t>
        </is>
      </c>
      <c r="E232" s="31" t="inlineStr">
        <is>
          <t>largecap</t>
        </is>
      </c>
      <c r="F232" s="31" t="n">
        <v>22550.91</v>
      </c>
      <c r="G232" s="31" t="n">
        <v>1446.3</v>
      </c>
      <c r="H232" s="31" t="n">
        <v>-1.91</v>
      </c>
      <c r="I232" s="31" t="n">
        <v>194686</v>
      </c>
      <c r="J232" s="31" t="inlineStr">
        <is>
          <t>500144</t>
        </is>
      </c>
    </row>
    <row r="233">
      <c r="A233" s="31" t="inlineStr">
        <is>
          <t>MBECL</t>
        </is>
      </c>
      <c r="B233" s="31" t="inlineStr">
        <is>
          <t>Mcnally Bharat Engineering Company Limited</t>
        </is>
      </c>
      <c r="C233" s="31" t="inlineStr">
        <is>
          <t>realty</t>
        </is>
      </c>
      <c r="D233" s="31" t="inlineStr">
        <is>
          <t>engineering - turnkey services</t>
        </is>
      </c>
      <c r="E233" s="31" t="inlineStr">
        <is>
          <t>smallcap</t>
        </is>
      </c>
      <c r="F233" s="31" t="n">
        <v>1488.33</v>
      </c>
      <c r="G233" s="31" t="n">
        <v>437.6</v>
      </c>
      <c r="H233" s="31" t="n">
        <v>-1.99</v>
      </c>
      <c r="I233" s="31" t="n">
        <v>204</v>
      </c>
      <c r="J233" s="31" t="inlineStr">
        <is>
          <t>532629</t>
        </is>
      </c>
    </row>
    <row r="234">
      <c r="A234" s="31" t="inlineStr">
        <is>
          <t>PNBHOUSING</t>
        </is>
      </c>
      <c r="B234" s="31" t="inlineStr">
        <is>
          <t>Pnb Housing Finance Limited</t>
        </is>
      </c>
      <c r="C234" s="31" t="inlineStr">
        <is>
          <t>financials</t>
        </is>
      </c>
      <c r="D234" s="31" t="inlineStr">
        <is>
          <t>finance - housing</t>
        </is>
      </c>
      <c r="E234" s="31" t="inlineStr">
        <is>
          <t>largecap</t>
        </is>
      </c>
      <c r="F234" s="31" t="n">
        <v>31917.05</v>
      </c>
      <c r="G234" s="31" t="n">
        <v>1200</v>
      </c>
      <c r="H234" s="31" t="n">
        <v>-2.02</v>
      </c>
      <c r="I234" s="31" t="n">
        <v>735608</v>
      </c>
      <c r="J234" s="31" t="inlineStr">
        <is>
          <t>540173</t>
        </is>
      </c>
    </row>
    <row r="235">
      <c r="A235" s="31" t="inlineStr">
        <is>
          <t>HFCL</t>
        </is>
      </c>
      <c r="B235" s="31" t="inlineStr">
        <is>
          <t>HFCL Ltd</t>
        </is>
      </c>
      <c r="C235" s="31" t="inlineStr">
        <is>
          <t>telecom</t>
        </is>
      </c>
      <c r="D235" s="31" t="inlineStr">
        <is>
          <t>cables - telephone</t>
        </is>
      </c>
      <c r="E235" s="31" t="inlineStr">
        <is>
          <t>largecap</t>
        </is>
      </c>
      <c r="F235" s="31" t="n">
        <v>40101.78</v>
      </c>
      <c r="G235" s="31" t="n">
        <v>256.65</v>
      </c>
      <c r="H235" s="31" t="n">
        <v>-2.04</v>
      </c>
      <c r="I235" s="31" t="n">
        <v>3054385</v>
      </c>
      <c r="J235" s="31" t="inlineStr">
        <is>
          <t>500183</t>
        </is>
      </c>
    </row>
    <row r="236">
      <c r="A236" s="31" t="inlineStr">
        <is>
          <t>PTCIL</t>
        </is>
      </c>
      <c r="B236" s="31" t="inlineStr">
        <is>
          <t>PTC Industries Ltd</t>
        </is>
      </c>
      <c r="C236" s="31" t="inlineStr">
        <is>
          <t>castings, forgings &amp; fasteners</t>
        </is>
      </c>
      <c r="D236" s="31" t="inlineStr">
        <is>
          <t>castings &amp; forgings</t>
        </is>
      </c>
      <c r="E236" s="31" t="inlineStr">
        <is>
          <t>largecap</t>
        </is>
      </c>
      <c r="F236" s="31" t="n">
        <v>38231</v>
      </c>
      <c r="G236" s="31" t="n">
        <v>24975</v>
      </c>
      <c r="H236" s="31" t="n">
        <v>-2.06</v>
      </c>
      <c r="I236" s="31" t="n">
        <v>21233</v>
      </c>
      <c r="J236" s="31" t="inlineStr">
        <is>
          <t>539006</t>
        </is>
      </c>
    </row>
    <row r="237">
      <c r="A237" s="31" t="inlineStr">
        <is>
          <t>KILITCH</t>
        </is>
      </c>
      <c r="B237" s="31" t="inlineStr">
        <is>
          <t>Kilitch Drugs (india) Limited</t>
        </is>
      </c>
      <c r="C237" s="31" t="inlineStr">
        <is>
          <t>healthcare</t>
        </is>
      </c>
      <c r="D237" s="31" t="inlineStr">
        <is>
          <t>pharmaceuticals - indian - formulations</t>
        </is>
      </c>
      <c r="E237" s="31" t="inlineStr">
        <is>
          <t>smallcap</t>
        </is>
      </c>
      <c r="F237" s="31" t="n">
        <v>822.51</v>
      </c>
      <c r="G237" s="31" t="n">
        <v>230.37</v>
      </c>
      <c r="H237" s="31" t="n">
        <v>-2.08</v>
      </c>
      <c r="I237" s="31" t="n">
        <v>67066</v>
      </c>
      <c r="J237" s="31" t="inlineStr">
        <is>
          <t>524500</t>
        </is>
      </c>
    </row>
    <row r="238">
      <c r="A238" s="31" t="inlineStr">
        <is>
          <t>KARURVYSYA</t>
        </is>
      </c>
      <c r="B238" s="31" t="inlineStr">
        <is>
          <t>Karur Vysya Bank Limited</t>
        </is>
      </c>
      <c r="C238" s="31" t="inlineStr">
        <is>
          <t>bank</t>
        </is>
      </c>
      <c r="D238" s="31" t="inlineStr">
        <is>
          <t>banks - private sector</t>
        </is>
      </c>
      <c r="E238" s="31" t="inlineStr">
        <is>
          <t>largecap</t>
        </is>
      </c>
      <c r="F238" s="31" t="n">
        <v>33698.07</v>
      </c>
      <c r="G238" s="31" t="n">
        <v>341.25</v>
      </c>
      <c r="H238" s="31" t="n">
        <v>-2.11</v>
      </c>
      <c r="I238" s="31" t="n">
        <v>2363970</v>
      </c>
      <c r="J238" s="31" t="inlineStr">
        <is>
          <t>590003</t>
        </is>
      </c>
    </row>
    <row r="239">
      <c r="A239" s="31" t="inlineStr">
        <is>
          <t>BLKASHYAP</t>
        </is>
      </c>
      <c r="B239" s="31" t="inlineStr">
        <is>
          <t>B. L. Kashyap And Sons Limited</t>
        </is>
      </c>
      <c r="C239" s="31" t="inlineStr">
        <is>
          <t>realty</t>
        </is>
      </c>
      <c r="D239" s="31" t="inlineStr">
        <is>
          <t>construction</t>
        </is>
      </c>
      <c r="E239" s="31" t="inlineStr">
        <is>
          <t>smallcap</t>
        </is>
      </c>
      <c r="F239" s="31" t="n">
        <v>1382.85</v>
      </c>
      <c r="G239" s="31" t="n">
        <v>59.98</v>
      </c>
      <c r="H239" s="31" t="n">
        <v>-2.22</v>
      </c>
      <c r="I239" s="31" t="n">
        <v>1710629</v>
      </c>
      <c r="J239" s="31" t="inlineStr">
        <is>
          <t>532719</t>
        </is>
      </c>
    </row>
    <row r="240">
      <c r="A240" s="31" t="inlineStr">
        <is>
          <t>ARFIN</t>
        </is>
      </c>
      <c r="B240" s="31" t="inlineStr">
        <is>
          <t>Arfin India Ltd</t>
        </is>
      </c>
      <c r="C240" s="31" t="inlineStr">
        <is>
          <t>metals &amp; mining</t>
        </is>
      </c>
      <c r="D240" s="31" t="inlineStr">
        <is>
          <t>aluminium and aluminium products</t>
        </is>
      </c>
      <c r="E240" s="31" t="inlineStr">
        <is>
          <t>smallcap</t>
        </is>
      </c>
      <c r="F240" s="31" t="n">
        <v>1826.76</v>
      </c>
      <c r="G240" s="31" t="n">
        <v>105.7</v>
      </c>
      <c r="H240" s="31" t="n">
        <v>-2.37</v>
      </c>
      <c r="I240" s="31" t="n">
        <v>2172699</v>
      </c>
      <c r="J240" s="31" t="inlineStr">
        <is>
          <t>539151</t>
        </is>
      </c>
    </row>
    <row r="241">
      <c r="A241" s="31" t="inlineStr">
        <is>
          <t>SIGMAADV</t>
        </is>
      </c>
      <c r="B241" s="31" t="inlineStr">
        <is>
          <t>Sigma Advanced System Ltd</t>
        </is>
      </c>
      <c r="C241" s="31" t="inlineStr">
        <is>
          <t>aerospace &amp; defence</t>
        </is>
      </c>
      <c r="D241" s="31" t="inlineStr">
        <is>
          <t>electronics - components</t>
        </is>
      </c>
      <c r="E241" s="31" t="inlineStr">
        <is>
          <t>midcap</t>
        </is>
      </c>
      <c r="F241" s="31" t="n">
        <v>19050.05</v>
      </c>
      <c r="G241" s="31" t="n">
        <v>981.4</v>
      </c>
      <c r="H241" s="31" t="n">
        <v>-2.38</v>
      </c>
      <c r="I241" s="31" t="n">
        <v>246236</v>
      </c>
      <c r="J241" s="31" t="inlineStr">
        <is>
          <t>532408</t>
        </is>
      </c>
    </row>
    <row r="242">
      <c r="A242" s="31" t="inlineStr">
        <is>
          <t>BHAGERIA</t>
        </is>
      </c>
      <c r="B242" s="31" t="inlineStr">
        <is>
          <t>Bhageria Industries Limited</t>
        </is>
      </c>
      <c r="C242" s="31" t="inlineStr">
        <is>
          <t>chemicals</t>
        </is>
      </c>
      <c r="D242" s="31" t="inlineStr">
        <is>
          <t>dyes and pigments</t>
        </is>
      </c>
      <c r="E242" s="31" t="inlineStr">
        <is>
          <t>smallcap</t>
        </is>
      </c>
      <c r="F242" s="31" t="n">
        <v>1692.96</v>
      </c>
      <c r="G242" s="31" t="n">
        <v>376.45</v>
      </c>
      <c r="H242" s="31" t="n">
        <v>-2.95</v>
      </c>
      <c r="I242" s="31" t="n">
        <v>81967</v>
      </c>
      <c r="J242" s="31" t="inlineStr">
        <is>
          <t>530803</t>
        </is>
      </c>
    </row>
    <row r="243">
      <c r="A243" s="31" t="inlineStr">
        <is>
          <t>STLTECH</t>
        </is>
      </c>
      <c r="B243" s="31" t="inlineStr">
        <is>
          <t>Sterlite Technologies Limited</t>
        </is>
      </c>
      <c r="C243" s="31" t="inlineStr">
        <is>
          <t>industrials</t>
        </is>
      </c>
      <c r="D243" s="31" t="inlineStr">
        <is>
          <t>cables - telephone</t>
        </is>
      </c>
      <c r="E243" s="31" t="inlineStr">
        <is>
          <t>largecap</t>
        </is>
      </c>
      <c r="F243" s="31" t="n">
        <v>49511.32</v>
      </c>
      <c r="G243" s="31" t="n">
        <v>924.65</v>
      </c>
      <c r="H243" s="31" t="n">
        <v>-4.03</v>
      </c>
      <c r="I243" s="31" t="n">
        <v>1508354</v>
      </c>
      <c r="J243" s="31" t="inlineStr">
        <is>
          <t>532374</t>
        </is>
      </c>
    </row>
  </sheetData>
  <autoFilter ref="A1:J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JGCHEM</t>
        </is>
      </c>
      <c r="E2" s="31" t="inlineStr">
        <is>
          <t>J.G.Chemicals Ltd</t>
        </is>
      </c>
      <c r="F2" s="31" t="inlineStr">
        <is>
          <t>Chemicals Inorganic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20</v>
      </c>
      <c r="K2" s="31" t="n">
        <v>14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DPABHUSHAN</t>
        </is>
      </c>
      <c r="E3" s="31" t="inlineStr">
        <is>
          <t>D.P. Abhushan Ltd</t>
        </is>
      </c>
      <c r="F3" s="31" t="inlineStr">
        <is>
          <t>Diamond Gems and Jewellery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28</v>
      </c>
      <c r="K3" s="31" t="n">
        <v>15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MODISONLTD</t>
        </is>
      </c>
      <c r="E4" s="31" t="inlineStr">
        <is>
          <t>Modison Ltd</t>
        </is>
      </c>
      <c r="F4" s="31" t="inlineStr">
        <is>
          <t>Capital Goods Electric General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25</v>
      </c>
      <c r="K4" s="31" t="n">
        <v>23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CYIENTDLM</t>
        </is>
      </c>
      <c r="E5" s="31" t="inlineStr">
        <is>
          <t>Cyient DLM Ltd</t>
        </is>
      </c>
      <c r="F5" s="31" t="inlineStr">
        <is>
          <t>unknown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0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TFCILTD</t>
        </is>
      </c>
      <c r="E6" s="31" t="inlineStr">
        <is>
          <t>Tourism Finance Corporation Of India Limited</t>
        </is>
      </c>
      <c r="F6" s="31" t="inlineStr">
        <is>
          <t>Finance PSU Lending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19</v>
      </c>
      <c r="K6" s="31" t="n">
        <v>28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BHEL</t>
        </is>
      </c>
      <c r="E7" s="31" t="inlineStr">
        <is>
          <t>Bharat Heavy Electricals Limited</t>
        </is>
      </c>
      <c r="F7" s="31" t="inlineStr">
        <is>
          <t>Capital Goods Engineering Heavy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24</v>
      </c>
      <c r="K7" s="31" t="n">
        <v>11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KRISHANA</t>
        </is>
      </c>
      <c r="E8" s="31" t="inlineStr">
        <is>
          <t>Krishana Phoschem Ltd</t>
        </is>
      </c>
      <c r="F8" s="31" t="inlineStr">
        <is>
          <t>Fertilisers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23</v>
      </c>
      <c r="K8" s="31" t="n">
        <v>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BLUSPRING</t>
        </is>
      </c>
      <c r="E9" s="31" t="inlineStr">
        <is>
          <t>Bluspring Enterprises Ltd</t>
        </is>
      </c>
      <c r="F9" s="31" t="inlineStr">
        <is>
          <t>Diversified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19</v>
      </c>
      <c r="K9" s="31" t="n">
        <v>20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ABDL</t>
        </is>
      </c>
      <c r="E10" s="31" t="inlineStr">
        <is>
          <t>Allied Blenders &amp; Distillers Ltd</t>
        </is>
      </c>
      <c r="F10" s="31" t="inlineStr">
        <is>
          <t>Alcoholic Beverages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16</v>
      </c>
      <c r="K10" s="31" t="n">
        <v>24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GCSL</t>
        </is>
      </c>
      <c r="E11" s="31" t="inlineStr">
        <is>
          <t>Gretex Corporate Services Ltd</t>
        </is>
      </c>
      <c r="F11" s="31" t="inlineStr">
        <is>
          <t>Finance and Investments Others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16</v>
      </c>
      <c r="K11" s="31" t="n">
        <v>25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MMP</t>
        </is>
      </c>
      <c r="E12" s="31" t="inlineStr">
        <is>
          <t>MMP Industries Ltd</t>
        </is>
      </c>
      <c r="F12" s="31" t="inlineStr">
        <is>
          <t>Aluminium Products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17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GANDHAR</t>
        </is>
      </c>
      <c r="E13" s="31" t="inlineStr">
        <is>
          <t>Gandhar Oil Refinery (India) Ltd</t>
        </is>
      </c>
      <c r="F13" s="31" t="inlineStr">
        <is>
          <t>Refineries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25</v>
      </c>
      <c r="K13" s="31" t="n">
        <v>25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SHRINGARMS</t>
        </is>
      </c>
      <c r="E14" s="31" t="inlineStr">
        <is>
          <t>Shringar House of Mangalsutra Ltd</t>
        </is>
      </c>
      <c r="F14" s="31" t="inlineStr">
        <is>
          <t>Diamond Gems and Jewellery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19</v>
      </c>
      <c r="K14" s="31" t="n">
        <v>7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GOODLUCK</t>
        </is>
      </c>
      <c r="E15" s="31" t="inlineStr">
        <is>
          <t>Goodluck India Limited</t>
        </is>
      </c>
      <c r="F15" s="31" t="inlineStr">
        <is>
          <t>Steel Tubes and Pipes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22</v>
      </c>
      <c r="K15" s="31" t="n">
        <v>15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UNITEDPOLY</t>
        </is>
      </c>
      <c r="E16" s="31" t="inlineStr">
        <is>
          <t>United Polyfab Gujarat Ltd</t>
        </is>
      </c>
      <c r="F16" s="31" t="inlineStr">
        <is>
          <t>Textiles Others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17</v>
      </c>
      <c r="K16" s="31" t="n">
        <v>29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PIXTRANS</t>
        </is>
      </c>
      <c r="E17" s="31" t="inlineStr">
        <is>
          <t>Pix Transmission Ltd</t>
        </is>
      </c>
      <c r="F17" s="31" t="inlineStr">
        <is>
          <t>Rubber Processing and Rubber Products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17</v>
      </c>
      <c r="K17" s="31" t="n">
        <v>5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KROSS</t>
        </is>
      </c>
      <c r="E18" s="31" t="inlineStr">
        <is>
          <t>Kross Ltd</t>
        </is>
      </c>
      <c r="F18" s="31" t="inlineStr">
        <is>
          <t>Auto Transmission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18</v>
      </c>
      <c r="K18" s="31" t="n">
        <v>24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IBULLSLTD</t>
        </is>
      </c>
      <c r="E19" s="31" t="inlineStr">
        <is>
          <t>Indiabulls Limited</t>
        </is>
      </c>
      <c r="F19" s="31" t="inlineStr">
        <is>
          <t>Diversified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24</v>
      </c>
      <c r="K19" s="31" t="n">
        <v>21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PGIL</t>
        </is>
      </c>
      <c r="E20" s="31" t="inlineStr">
        <is>
          <t>Pearl Global Industries Limited</t>
        </is>
      </c>
      <c r="F20" s="31" t="inlineStr">
        <is>
          <t>Textiles Readymade Apparel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22</v>
      </c>
      <c r="K20" s="31" t="n">
        <v>20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FCL</t>
        </is>
      </c>
      <c r="E21" s="31" t="inlineStr">
        <is>
          <t>Fineotex Chemical Limited</t>
        </is>
      </c>
      <c r="F21" s="31" t="inlineStr">
        <is>
          <t>Specialty Chemicals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24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SMCGLOBAL</t>
        </is>
      </c>
      <c r="E22" s="31" t="inlineStr">
        <is>
          <t>SMC Global Securities Ltd</t>
        </is>
      </c>
      <c r="F22" s="31" t="inlineStr">
        <is>
          <t>Finance Capital Markets Brokers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18</v>
      </c>
      <c r="K22" s="31" t="n">
        <v>24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AVTNPL</t>
        </is>
      </c>
      <c r="E23" s="31" t="inlineStr">
        <is>
          <t>Avt Natural Products Limited</t>
        </is>
      </c>
      <c r="F23" s="31" t="inlineStr">
        <is>
          <t>Natural Extracts and Food Ingredients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20</v>
      </c>
      <c r="K23" s="31" t="n">
        <v>18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TCPLPACK</t>
        </is>
      </c>
      <c r="E24" s="31" t="inlineStr">
        <is>
          <t>TCPL Packaging Ltd</t>
        </is>
      </c>
      <c r="F24" s="31" t="inlineStr">
        <is>
          <t>Packaging FMCG and Consumers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17</v>
      </c>
      <c r="K24" s="31" t="n">
        <v>13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KINGFA</t>
        </is>
      </c>
      <c r="E25" s="31" t="inlineStr">
        <is>
          <t>Kingfa Science &amp; Technology (india) Limited</t>
        </is>
      </c>
      <c r="F25" s="31" t="inlineStr">
        <is>
          <t>Plastics Plastic and Plastic Products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25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SHANTIGOLD</t>
        </is>
      </c>
      <c r="E26" s="31" t="inlineStr">
        <is>
          <t>Shanti Gold International Ltd</t>
        </is>
      </c>
      <c r="F26" s="31" t="inlineStr">
        <is>
          <t>Diamond Gems and Jewellery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19</v>
      </c>
      <c r="K26" s="31" t="n">
        <v>25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OCCLLTD</t>
        </is>
      </c>
      <c r="E27" s="31" t="inlineStr">
        <is>
          <t>OCCL Ltd</t>
        </is>
      </c>
      <c r="F27" s="31" t="inlineStr">
        <is>
          <t>Chemicals Organic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20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AURUM</t>
        </is>
      </c>
      <c r="E28" s="31" t="inlineStr">
        <is>
          <t>Aurum Proptech Ltd</t>
        </is>
      </c>
      <c r="F28" s="31" t="inlineStr">
        <is>
          <t>unknown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0</v>
      </c>
      <c r="K28" s="31" t="n">
        <v>6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TBZ</t>
        </is>
      </c>
      <c r="E29" s="31" t="inlineStr">
        <is>
          <t>Tribhovandas Bhimji Zaveri Limited</t>
        </is>
      </c>
      <c r="F29" s="31" t="inlineStr">
        <is>
          <t>Diamond Gems and Jewellery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19</v>
      </c>
      <c r="K29" s="31" t="n">
        <v>29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GLAND</t>
        </is>
      </c>
      <c r="E30" s="31" t="inlineStr">
        <is>
          <t>Gland Pharma Ltd</t>
        </is>
      </c>
      <c r="F30" s="31" t="inlineStr">
        <is>
          <t>Pharma Formulations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16</v>
      </c>
      <c r="K30" s="31" t="n">
        <v>20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SPORTKING</t>
        </is>
      </c>
      <c r="E31" s="31" t="inlineStr">
        <is>
          <t>Sportking India Ltd</t>
        </is>
      </c>
      <c r="F31" s="31" t="inlineStr">
        <is>
          <t>Textiles Spinning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18</v>
      </c>
      <c r="K31" s="31" t="n">
        <v>3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THELEELA</t>
        </is>
      </c>
      <c r="E32" s="31" t="inlineStr">
        <is>
          <t>Leela Palaces Hotels &amp; Resorts Ltd</t>
        </is>
      </c>
      <c r="F32" s="31" t="inlineStr">
        <is>
          <t>Hotels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22</v>
      </c>
      <c r="K32" s="31" t="n">
        <v>14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SWANDEF</t>
        </is>
      </c>
      <c r="E33" s="31" t="inlineStr">
        <is>
          <t>Swan Defence and Heavy Industries Ltd</t>
        </is>
      </c>
      <c r="F33" s="31" t="inlineStr">
        <is>
          <t>Shipbuilding and Repairs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25</v>
      </c>
      <c r="K33" s="31" t="n">
        <v>29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CEIGALL</t>
        </is>
      </c>
      <c r="E34" s="31" t="inlineStr">
        <is>
          <t>Ceigall India Ltd</t>
        </is>
      </c>
      <c r="F34" s="31" t="inlineStr">
        <is>
          <t>Construction Civil and Turnkey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16</v>
      </c>
      <c r="K34" s="31" t="n">
        <v>25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ADVANCE</t>
        </is>
      </c>
      <c r="E35" s="31" t="inlineStr">
        <is>
          <t>Advance Agrolife Ltd</t>
        </is>
      </c>
      <c r="F35" s="31" t="inlineStr">
        <is>
          <t>Pesticides and Agrochemicals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21</v>
      </c>
      <c r="K35" s="31" t="n">
        <v>1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VALIANTORG</t>
        </is>
      </c>
      <c r="E36" s="31" t="inlineStr">
        <is>
          <t>Valiant Organics Ltd</t>
        </is>
      </c>
      <c r="F36" s="31" t="inlineStr">
        <is>
          <t>Chemicals Organic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17</v>
      </c>
      <c r="K36" s="31" t="n">
        <v>29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BHAGERIA</t>
        </is>
      </c>
      <c r="E37" s="31" t="inlineStr">
        <is>
          <t>Bhageria Industries Limited</t>
        </is>
      </c>
      <c r="F37" s="31" t="inlineStr">
        <is>
          <t>Dyes and Pigments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FINCABLES</t>
        </is>
      </c>
      <c r="E38" s="31" t="inlineStr">
        <is>
          <t>Finolex Cables Limited</t>
        </is>
      </c>
      <c r="F38" s="31" t="inlineStr">
        <is>
          <t>Cables Telecom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17</v>
      </c>
      <c r="K38" s="31" t="n">
        <v>26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COFORGE</t>
        </is>
      </c>
      <c r="E39" s="31" t="inlineStr">
        <is>
          <t>Coforge (Niit Tech) Ltd</t>
        </is>
      </c>
      <c r="F39" s="31" t="inlineStr">
        <is>
          <t>IT Services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16</v>
      </c>
      <c r="K39" s="31" t="n">
        <v>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PREMIERPOL</t>
        </is>
      </c>
      <c r="E40" s="31" t="inlineStr">
        <is>
          <t>Premier Polyfilm Limited</t>
        </is>
      </c>
      <c r="F40" s="31" t="inlineStr">
        <is>
          <t>Plastics Sheets and Films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22</v>
      </c>
      <c r="K40" s="31" t="n">
        <v>19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CPPLUS</t>
        </is>
      </c>
      <c r="E41" s="31" t="inlineStr">
        <is>
          <t>Aditya Infotech Ltd</t>
        </is>
      </c>
      <c r="F41" s="31" t="inlineStr">
        <is>
          <t>unknown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0</v>
      </c>
      <c r="K41" s="31" t="n">
        <v>22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SGFIN</t>
        </is>
      </c>
      <c r="E42" s="31" t="inlineStr">
        <is>
          <t>SG Finserve Ltd</t>
        </is>
      </c>
      <c r="F42" s="31" t="inlineStr">
        <is>
          <t>Finance and Investments MSME Lending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7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RPEL</t>
        </is>
      </c>
      <c r="E43" s="31" t="inlineStr">
        <is>
          <t>Raghav Productivity Enhancers Ltd</t>
        </is>
      </c>
      <c r="F43" s="31" t="inlineStr">
        <is>
          <t>Refractories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18</v>
      </c>
      <c r="K43" s="31" t="n">
        <v>18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FILATEX</t>
        </is>
      </c>
      <c r="E44" s="31" t="inlineStr">
        <is>
          <t>Filatex India Limited</t>
        </is>
      </c>
      <c r="F44" s="31" t="inlineStr">
        <is>
          <t>Textiles Manmade PFY and PSF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24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TATVA</t>
        </is>
      </c>
      <c r="E45" s="31" t="inlineStr">
        <is>
          <t>Tatva Chintan Pharma Chem Ltd</t>
        </is>
      </c>
      <c r="F45" s="31" t="inlineStr">
        <is>
          <t>Specialty Chemicals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19</v>
      </c>
      <c r="K45" s="31" t="n">
        <v>21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AEGISLOG</t>
        </is>
      </c>
      <c r="E46" s="31" t="inlineStr">
        <is>
          <t>Aegis Logistics Ltd</t>
        </is>
      </c>
      <c r="F46" s="31" t="inlineStr">
        <is>
          <t>Logistics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27</v>
      </c>
      <c r="K46" s="31" t="n">
        <v>13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E2E</t>
        </is>
      </c>
      <c r="E47" s="31" t="inlineStr">
        <is>
          <t>E2E Networks Ltd</t>
        </is>
      </c>
      <c r="F47" s="31" t="inlineStr">
        <is>
          <t>unknown</t>
        </is>
      </c>
      <c r="G47" s="31" t="n">
        <v>2</v>
      </c>
      <c r="H47" s="31" t="inlineStr">
        <is>
          <t>52W Breakout</t>
        </is>
      </c>
      <c r="I47" s="31" t="inlineStr">
        <is>
          <t>Yes</t>
        </is>
      </c>
      <c r="J47" s="31" t="n">
        <v>0</v>
      </c>
      <c r="K47" s="31" t="n">
        <v>17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DELTACORP</t>
        </is>
      </c>
      <c r="E48" s="31" t="inlineStr">
        <is>
          <t>Delta Corp Limited</t>
        </is>
      </c>
      <c r="F48" s="31" t="inlineStr">
        <is>
          <t>Miscellaneous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15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LOTUSDEV</t>
        </is>
      </c>
      <c r="E49" s="31" t="inlineStr">
        <is>
          <t>Sri Lotus Developers &amp; Realty Ltd</t>
        </is>
      </c>
      <c r="F49" s="31" t="inlineStr">
        <is>
          <t>Construction Factories and Offices and Commercial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22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MUFIN</t>
        </is>
      </c>
      <c r="E50" s="31" t="inlineStr">
        <is>
          <t>Mufin Green Finance Ltd</t>
        </is>
      </c>
      <c r="F50" s="31" t="inlineStr">
        <is>
          <t>unknown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0</v>
      </c>
      <c r="K50" s="31" t="n">
        <v>6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HITECHCORP</t>
        </is>
      </c>
      <c r="E51" s="31" t="inlineStr">
        <is>
          <t>Hitech Corporation</t>
        </is>
      </c>
      <c r="F51" s="31" t="inlineStr">
        <is>
          <t>unknown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0</v>
      </c>
      <c r="K51" s="31" t="n">
        <v>21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CUPID</t>
        </is>
      </c>
      <c r="E52" s="31" t="inlineStr">
        <is>
          <t>Cupid Limited</t>
        </is>
      </c>
      <c r="F52" s="31" t="inlineStr">
        <is>
          <t>Contraceptives and Protectives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21</v>
      </c>
      <c r="K52" s="31" t="n">
        <v>22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WHEELS</t>
        </is>
      </c>
      <c r="E53" s="31" t="inlineStr">
        <is>
          <t>Wheels India Limited</t>
        </is>
      </c>
      <c r="F53" s="31" t="inlineStr">
        <is>
          <t>Auto Wheels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KMEW</t>
        </is>
      </c>
      <c r="E54" s="31" t="inlineStr">
        <is>
          <t>Knowledge Marine &amp; Engineering Works Ltd</t>
        </is>
      </c>
      <c r="F54" s="31" t="inlineStr">
        <is>
          <t>Shipping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21</v>
      </c>
      <c r="K54" s="31" t="n">
        <v>18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EBGNG</t>
        </is>
      </c>
      <c r="E55" s="31" t="inlineStr">
        <is>
          <t>GNG Electronics Ltd</t>
        </is>
      </c>
      <c r="F55" s="31" t="inlineStr">
        <is>
          <t>New age Platform E Retail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19</v>
      </c>
      <c r="K55" s="31" t="n">
        <v>26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SUNTV</t>
        </is>
      </c>
      <c r="E56" s="31" t="inlineStr">
        <is>
          <t>Sun Tv Network Limited</t>
        </is>
      </c>
      <c r="F56" s="31" t="inlineStr">
        <is>
          <t>Entertainment and Media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12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WSTCSTPAPR</t>
        </is>
      </c>
      <c r="E57" s="31" t="inlineStr">
        <is>
          <t>West Coast Paper Mills Limited</t>
        </is>
      </c>
      <c r="F57" s="31" t="inlineStr">
        <is>
          <t>Paper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22</v>
      </c>
      <c r="K57" s="31" t="n">
        <v>28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NRAIL</t>
        </is>
      </c>
      <c r="E58" s="31" t="inlineStr">
        <is>
          <t>N R Agarwal Industries Ltd</t>
        </is>
      </c>
      <c r="F58" s="31" t="inlineStr">
        <is>
          <t>Paper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18</v>
      </c>
      <c r="K58" s="31" t="n">
        <v>28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HFCL</t>
        </is>
      </c>
      <c r="E59" s="31" t="inlineStr">
        <is>
          <t>HFCL Ltd</t>
        </is>
      </c>
      <c r="F59" s="31" t="inlineStr">
        <is>
          <t>Telecommunications Equipment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16</v>
      </c>
      <c r="K59" s="31" t="n">
        <v>13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ONEPOINT</t>
        </is>
      </c>
      <c r="E60" s="31" t="inlineStr">
        <is>
          <t>One Point One Solutions Ltd</t>
        </is>
      </c>
      <c r="F60" s="31" t="inlineStr">
        <is>
          <t>IT Enabled Services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22</v>
      </c>
      <c r="K60" s="31" t="n">
        <v>24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MARINE</t>
        </is>
      </c>
      <c r="E61" s="31" t="inlineStr">
        <is>
          <t>Marine Electricals (India) Ltd</t>
        </is>
      </c>
      <c r="F61" s="31" t="inlineStr">
        <is>
          <t>Shipping Proxy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18</v>
      </c>
      <c r="K61" s="31" t="n">
        <v>25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GALAXYSURF</t>
        </is>
      </c>
      <c r="E62" s="31" t="inlineStr">
        <is>
          <t>Galaxy Surfactants Ltd</t>
        </is>
      </c>
      <c r="F62" s="31" t="inlineStr">
        <is>
          <t>Specialty Chemicals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22</v>
      </c>
      <c r="K62" s="31" t="n">
        <v>13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PANACHE</t>
        </is>
      </c>
      <c r="E63" s="31" t="inlineStr">
        <is>
          <t>Panache Digilife Ltd</t>
        </is>
      </c>
      <c r="F63" s="31" t="inlineStr">
        <is>
          <t>Computer Hardware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17</v>
      </c>
      <c r="K63" s="31" t="n">
        <v>18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SHREEJISPG</t>
        </is>
      </c>
      <c r="E64" s="31" t="inlineStr">
        <is>
          <t>Shreeji Shipping Global Ltd</t>
        </is>
      </c>
      <c r="F64" s="31" t="inlineStr">
        <is>
          <t>unknown</t>
        </is>
      </c>
      <c r="G64" s="31" t="n">
        <v>2</v>
      </c>
      <c r="H64" s="31" t="inlineStr">
        <is>
          <t>52W Breakout</t>
        </is>
      </c>
      <c r="I64" s="31" t="inlineStr">
        <is>
          <t>Yes</t>
        </is>
      </c>
      <c r="J64" s="31" t="n">
        <v>0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LAURUSLABS</t>
        </is>
      </c>
      <c r="E65" s="31" t="inlineStr">
        <is>
          <t>Laurus Labs Limited</t>
        </is>
      </c>
      <c r="F65" s="31" t="inlineStr">
        <is>
          <t>Pharma API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19</v>
      </c>
      <c r="K65" s="31" t="n">
        <v>29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PANAMAPET</t>
        </is>
      </c>
      <c r="E66" s="31" t="inlineStr">
        <is>
          <t>Panama Petrochem Limited</t>
        </is>
      </c>
      <c r="F66" s="31" t="inlineStr">
        <is>
          <t>Specialty Chemicals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18</v>
      </c>
      <c r="K66" s="31" t="n">
        <v>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CHENNPETRO</t>
        </is>
      </c>
      <c r="E67" s="31" t="inlineStr">
        <is>
          <t>Chennai Petroleum Corporation Limited</t>
        </is>
      </c>
      <c r="F67" s="31" t="inlineStr">
        <is>
          <t>Refineries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23</v>
      </c>
      <c r="K67" s="31" t="n">
        <v>12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SKYGOLD</t>
        </is>
      </c>
      <c r="E68" s="31" t="inlineStr">
        <is>
          <t>Sky Gold Ltd</t>
        </is>
      </c>
      <c r="F68" s="31" t="inlineStr">
        <is>
          <t>Diamond Gems and Jewellery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29</v>
      </c>
      <c r="K68" s="31" t="n">
        <v>19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EIMCOELECO</t>
        </is>
      </c>
      <c r="E69" s="31" t="inlineStr">
        <is>
          <t>Eimco Elecon (india) Limited</t>
        </is>
      </c>
      <c r="F69" s="31" t="inlineStr">
        <is>
          <t>Capital Goods Engineering Heavy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22</v>
      </c>
      <c r="K69" s="31" t="n">
        <v>24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SAMBHV</t>
        </is>
      </c>
      <c r="E70" s="31" t="inlineStr">
        <is>
          <t>Sambhv Steel Tubes Ltd</t>
        </is>
      </c>
      <c r="F70" s="31" t="inlineStr">
        <is>
          <t>Steel Tubes and Pipes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26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NEOGEN</t>
        </is>
      </c>
      <c r="E71" s="31" t="inlineStr">
        <is>
          <t>Neogen Chemicals Ltd</t>
        </is>
      </c>
      <c r="F71" s="31" t="inlineStr">
        <is>
          <t>Specialty Chemicals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17</v>
      </c>
      <c r="K71" s="31" t="n">
        <v>24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MUKANDLTD</t>
        </is>
      </c>
      <c r="E72" s="31" t="inlineStr">
        <is>
          <t>Mukand Limited</t>
        </is>
      </c>
      <c r="F72" s="31" t="inlineStr">
        <is>
          <t>Steel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18</v>
      </c>
      <c r="K72" s="31" t="n">
        <v>19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DYNAMATECH</t>
        </is>
      </c>
      <c r="E73" s="31" t="inlineStr">
        <is>
          <t>Dynamatic Technologies Limited</t>
        </is>
      </c>
      <c r="F73" s="31" t="inlineStr">
        <is>
          <t>Aerospace and Defence Equipment</t>
        </is>
      </c>
      <c r="G73" s="31" t="n">
        <v>2</v>
      </c>
      <c r="H73" s="31" t="inlineStr">
        <is>
          <t>52W Breakout</t>
        </is>
      </c>
      <c r="I73" s="31" t="inlineStr">
        <is>
          <t>Yes</t>
        </is>
      </c>
      <c r="J73" s="31" t="n">
        <v>16</v>
      </c>
      <c r="K73" s="31" t="n">
        <v>29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RUBYMILLS</t>
        </is>
      </c>
      <c r="E74" s="31" t="inlineStr">
        <is>
          <t>The Ruby Mills Limited</t>
        </is>
      </c>
      <c r="F74" s="31" t="inlineStr">
        <is>
          <t>unknown</t>
        </is>
      </c>
      <c r="G74" s="31" t="n">
        <v>2</v>
      </c>
      <c r="H74" s="31" t="inlineStr">
        <is>
          <t>52W Breakout</t>
        </is>
      </c>
      <c r="I74" s="31" t="inlineStr">
        <is>
          <t>Yes</t>
        </is>
      </c>
      <c r="J74" s="31" t="n">
        <v>0</v>
      </c>
      <c r="K74" s="31" t="n">
        <v>29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NAZARA</t>
        </is>
      </c>
      <c r="E75" s="31" t="inlineStr">
        <is>
          <t>Nazara Technologies Ltd</t>
        </is>
      </c>
      <c r="F75" s="31" t="inlineStr">
        <is>
          <t>unknown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0</v>
      </c>
      <c r="K75" s="31" t="n">
        <v>26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AEROFLEX</t>
        </is>
      </c>
      <c r="E76" s="31" t="inlineStr">
        <is>
          <t>Aeroflex Industries Ltd</t>
        </is>
      </c>
      <c r="F76" s="31" t="inlineStr">
        <is>
          <t>Stainless Steel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18</v>
      </c>
      <c r="K76" s="31" t="n">
        <v>16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SOTL</t>
        </is>
      </c>
      <c r="E77" s="31" t="inlineStr">
        <is>
          <t>Savita Oil Technologies Limited</t>
        </is>
      </c>
      <c r="F77" s="31" t="inlineStr">
        <is>
          <t>Petrochemicals Others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19</v>
      </c>
      <c r="K77" s="31" t="n">
        <v>15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PVRINOX</t>
        </is>
      </c>
      <c r="E78" s="31" t="inlineStr">
        <is>
          <t>PVR Inox Ltd</t>
        </is>
      </c>
      <c r="F78" s="31" t="inlineStr">
        <is>
          <t>Entertainment and Media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17</v>
      </c>
      <c r="K78" s="31" t="n">
        <v>17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VHLTD</t>
        </is>
      </c>
      <c r="E79" s="31" t="inlineStr">
        <is>
          <t>Viceroy Hotels Ltd</t>
        </is>
      </c>
      <c r="F79" s="31" t="inlineStr">
        <is>
          <t>Hotels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19</v>
      </c>
      <c r="K79" s="31" t="n">
        <v>9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STLTECH</t>
        </is>
      </c>
      <c r="E80" s="31" t="inlineStr">
        <is>
          <t>Sterlite Technologies Limited</t>
        </is>
      </c>
      <c r="F80" s="31" t="inlineStr">
        <is>
          <t>Cables Telecom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30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SBC</t>
        </is>
      </c>
      <c r="E81" s="31" t="inlineStr">
        <is>
          <t>SBC Exports Ltd</t>
        </is>
      </c>
      <c r="F81" s="31" t="inlineStr">
        <is>
          <t>Textiles Readymade Apparel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30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GPPL</t>
        </is>
      </c>
      <c r="E82" s="31" t="inlineStr">
        <is>
          <t>Gujarat Pipavav Port Limited</t>
        </is>
      </c>
      <c r="F82" s="31" t="inlineStr">
        <is>
          <t>Marine Port and Services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17</v>
      </c>
      <c r="K82" s="31" t="n">
        <v>14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GAEL</t>
        </is>
      </c>
      <c r="E83" s="31" t="inlineStr">
        <is>
          <t>Gujarat Ambuja Exports Limited</t>
        </is>
      </c>
      <c r="F83" s="31" t="inlineStr">
        <is>
          <t>Agricultural Processing Maize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17</v>
      </c>
      <c r="K83" s="31" t="n">
        <v>2</v>
      </c>
    </row>
  </sheetData>
  <autoFilter ref="A1:K83"/>
  <conditionalFormatting sqref="G2:G8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2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IF(B2=0,"",RANK(B2,$B$2:$B$220,0))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PIXTRANS</t>
        </is>
      </c>
      <c r="D2" s="31" t="inlineStr">
        <is>
          <t>Pix Transmission Ltd</t>
        </is>
      </c>
      <c r="E2" s="31" t="inlineStr">
        <is>
          <t>fmcg</t>
        </is>
      </c>
      <c r="F2" s="31" t="inlineStr">
        <is>
          <t>miscellaneous</t>
        </is>
      </c>
      <c r="G2" s="31" t="inlineStr">
        <is>
          <t>smallcap</t>
        </is>
      </c>
      <c r="H2" s="32" t="n">
        <v>2573.39</v>
      </c>
      <c r="I2" s="32" t="n">
        <v>1891.4</v>
      </c>
      <c r="J2" s="32" t="n">
        <v>0.14</v>
      </c>
      <c r="K2" s="32" t="n">
        <v>113333</v>
      </c>
      <c r="L2" s="31" t="inlineStr"/>
      <c r="M2" s="31" t="inlineStr"/>
      <c r="N2" s="32">
        <f>IF(M2="Underperforming",-5,IF(L2&gt;=95,15,IF(L2&gt;=90,10,IF(L2&gt;=80,5,0))))</f>
        <v/>
      </c>
      <c r="O2" s="32" t="n">
        <v>62.2</v>
      </c>
      <c r="P2" s="32" t="n">
        <v>42.34</v>
      </c>
      <c r="Q2" s="32" t="n">
        <v>1467.6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IF(B3=0,"",RANK(B3,$B$2:$B$220,0))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PASUPTAC</t>
        </is>
      </c>
      <c r="D3" s="31" t="inlineStr">
        <is>
          <t>Pasupati Acrylon Ltd</t>
        </is>
      </c>
      <c r="E3" s="31" t="inlineStr">
        <is>
          <t>textiles</t>
        </is>
      </c>
      <c r="F3" s="31" t="inlineStr">
        <is>
          <t>textiles - manmade</t>
        </is>
      </c>
      <c r="G3" s="31" t="inlineStr">
        <is>
          <t>smallcap</t>
        </is>
      </c>
      <c r="H3" s="32" t="n">
        <v>668.05</v>
      </c>
      <c r="I3" s="32" t="n">
        <v>84.28</v>
      </c>
      <c r="J3" s="32" t="n">
        <v>12.45</v>
      </c>
      <c r="K3" s="32" t="n">
        <v>5432892</v>
      </c>
      <c r="L3" s="31" t="n">
        <v>68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70.41</v>
      </c>
      <c r="P3" s="32" t="n">
        <v>49.43</v>
      </c>
      <c r="Q3" s="32" t="n">
        <v>62.18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-12.01</v>
      </c>
      <c r="U3" s="32" t="n">
        <v>94.95999999999999</v>
      </c>
      <c r="V3" s="32" t="n">
        <v>121.56</v>
      </c>
      <c r="W3" s="32" t="n">
        <v>24.13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IF(B4=0,"",RANK(B4,$B$2:$B$220,0))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KROSS</t>
        </is>
      </c>
      <c r="D4" s="31" t="inlineStr">
        <is>
          <t>Kross Ltd</t>
        </is>
      </c>
      <c r="E4" s="31" t="inlineStr">
        <is>
          <t>auto</t>
        </is>
      </c>
      <c r="F4" s="31" t="inlineStr">
        <is>
          <t>auto ancillaries</t>
        </is>
      </c>
      <c r="G4" s="31" t="inlineStr">
        <is>
          <t>smallcap</t>
        </is>
      </c>
      <c r="H4" s="32" t="n">
        <v>1572.74</v>
      </c>
      <c r="I4" s="32" t="n">
        <v>272.25</v>
      </c>
      <c r="J4" s="32" t="n">
        <v>11.67</v>
      </c>
      <c r="K4" s="32" t="n">
        <v>10379437</v>
      </c>
      <c r="L4" s="31" t="inlineStr"/>
      <c r="M4" s="31" t="inlineStr"/>
      <c r="N4" s="32">
        <f>IF(M4="Underperforming",-5,IF(L4&gt;=95,15,IF(L4&gt;=90,10,IF(L4&gt;=80,5,0))))</f>
        <v/>
      </c>
      <c r="O4" s="32" t="n">
        <v>67.81999999999999</v>
      </c>
      <c r="P4" s="32" t="n">
        <v>40.38</v>
      </c>
      <c r="Q4" s="32" t="n">
        <v>200.7</v>
      </c>
      <c r="R4" s="31" t="inlineStr">
        <is>
          <t>Volume Spike &amp; Near 52W High Breakout</t>
        </is>
      </c>
      <c r="S4" s="31" t="inlineStr">
        <is>
          <t>Nifty Auto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IF(B5=0,"",RANK(B5,$B$2:$B$220,0))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JGCHEM</t>
        </is>
      </c>
      <c r="D5" s="31" t="inlineStr">
        <is>
          <t>J.G.Chemicals Ltd</t>
        </is>
      </c>
      <c r="E5" s="31" t="inlineStr">
        <is>
          <t>chemicals</t>
        </is>
      </c>
      <c r="F5" s="31" t="inlineStr">
        <is>
          <t>chemicals</t>
        </is>
      </c>
      <c r="G5" s="31" t="inlineStr">
        <is>
          <t>smallcap</t>
        </is>
      </c>
      <c r="H5" s="32" t="n">
        <v>2479.69</v>
      </c>
      <c r="I5" s="32" t="n">
        <v>681.7</v>
      </c>
      <c r="J5" s="32" t="n">
        <v>7.73</v>
      </c>
      <c r="K5" s="32" t="n">
        <v>700401</v>
      </c>
      <c r="L5" s="31" t="n">
        <v>66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74.58</v>
      </c>
      <c r="P5" s="32" t="n">
        <v>50.18</v>
      </c>
      <c r="Q5" s="32" t="n">
        <v>504.3</v>
      </c>
      <c r="R5" s="31" t="inlineStr">
        <is>
          <t>Near 52W High Breakout</t>
        </is>
      </c>
      <c r="S5" s="31" t="inlineStr">
        <is>
          <t>Nifty 50</t>
        </is>
      </c>
      <c r="T5" s="32" t="n">
        <v>-12.01</v>
      </c>
      <c r="U5" s="32" t="n">
        <v>67.12</v>
      </c>
      <c r="V5" s="32" t="n">
        <v>89.92</v>
      </c>
      <c r="W5" s="32" t="n">
        <v>23.75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IF(B6=0,"",RANK(B6,$B$2:$B$220,0))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FCL</t>
        </is>
      </c>
      <c r="D6" s="31" t="inlineStr">
        <is>
          <t>Fineotex Chemical Limited</t>
        </is>
      </c>
      <c r="E6" s="31" t="inlineStr">
        <is>
          <t>chemicals</t>
        </is>
      </c>
      <c r="F6" s="31" t="inlineStr">
        <is>
          <t>chemicals</t>
        </is>
      </c>
      <c r="G6" s="31" t="inlineStr">
        <is>
          <t>midcap</t>
        </is>
      </c>
      <c r="H6" s="32" t="n">
        <v>6584.09</v>
      </c>
      <c r="I6" s="32" t="n">
        <v>59.86</v>
      </c>
      <c r="J6" s="32" t="n">
        <v>5.87</v>
      </c>
      <c r="K6" s="32" t="n">
        <v>48050516</v>
      </c>
      <c r="L6" s="31" t="n">
        <v>84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73.95999999999999</v>
      </c>
      <c r="P6" s="32" t="n">
        <v>49.97</v>
      </c>
      <c r="Q6" s="32" t="n">
        <v>43.77</v>
      </c>
      <c r="R6" s="31" t="inlineStr">
        <is>
          <t>Near 52W High Breakout</t>
        </is>
      </c>
      <c r="S6" s="31" t="inlineStr">
        <is>
          <t>Nifty 50</t>
        </is>
      </c>
      <c r="T6" s="32" t="n">
        <v>-12.01</v>
      </c>
      <c r="U6" s="32" t="n">
        <v>145.02</v>
      </c>
      <c r="V6" s="32" t="n">
        <v>178.46</v>
      </c>
      <c r="W6" s="32" t="n">
        <v>34.24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IF(B7=0,"",RANK(B7,$B$2:$B$220,0))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VINDHYATEL</t>
        </is>
      </c>
      <c r="D7" s="31" t="inlineStr">
        <is>
          <t>Vindhya Telelinks Limited</t>
        </is>
      </c>
      <c r="E7" s="31" t="inlineStr">
        <is>
          <t>realty</t>
        </is>
      </c>
      <c r="F7" s="31" t="inlineStr">
        <is>
          <t>construction</t>
        </is>
      </c>
      <c r="G7" s="31" t="inlineStr">
        <is>
          <t>smallcap</t>
        </is>
      </c>
      <c r="H7" s="32" t="n">
        <v>3353.44</v>
      </c>
      <c r="I7" s="32" t="n">
        <v>2955.6</v>
      </c>
      <c r="J7" s="32" t="n">
        <v>4.45</v>
      </c>
      <c r="K7" s="32" t="n">
        <v>108062</v>
      </c>
      <c r="L7" s="31" t="inlineStr"/>
      <c r="M7" s="31" t="inlineStr"/>
      <c r="N7" s="32">
        <f>IF(M7="Underperforming",-5,IF(L7&gt;=95,15,IF(L7&gt;=90,10,IF(L7&gt;=80,5,0))))</f>
        <v/>
      </c>
      <c r="O7" s="32" t="n">
        <v>70.16</v>
      </c>
      <c r="P7" s="32" t="n">
        <v>46.66</v>
      </c>
      <c r="Q7" s="32" t="n">
        <v>2153.96</v>
      </c>
      <c r="R7" s="31" t="inlineStr">
        <is>
          <t>Near 52W High Breakout</t>
        </is>
      </c>
      <c r="S7" s="31" t="inlineStr">
        <is>
          <t>Nifty Realty</t>
        </is>
      </c>
      <c r="T7" s="32" t="inlineStr"/>
      <c r="U7" s="32" t="inlineStr"/>
      <c r="V7" s="32" t="inlineStr"/>
      <c r="W7" s="32" t="inlineStr"/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IF(B8=0,"",RANK(B8,$B$2:$B$220,0))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IBULLSLTD</t>
        </is>
      </c>
      <c r="D8" s="31" t="inlineStr">
        <is>
          <t>Indiabulls Limited</t>
        </is>
      </c>
      <c r="E8" s="31" t="inlineStr">
        <is>
          <t>miscellaneous</t>
        </is>
      </c>
      <c r="F8" s="31" t="inlineStr">
        <is>
          <t>diversified - medium / small</t>
        </is>
      </c>
      <c r="G8" s="31" t="inlineStr">
        <is>
          <t>midcap</t>
        </is>
      </c>
      <c r="H8" s="32" t="n">
        <v>8521.469999999999</v>
      </c>
      <c r="I8" s="32" t="n">
        <v>37.64</v>
      </c>
      <c r="J8" s="32" t="n">
        <v>2.9</v>
      </c>
      <c r="K8" s="32" t="n">
        <v>15320341</v>
      </c>
      <c r="L8" s="31" t="n">
        <v>72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74.48999999999999</v>
      </c>
      <c r="P8" s="32" t="n">
        <v>40.06</v>
      </c>
      <c r="Q8" s="32" t="n">
        <v>26.84</v>
      </c>
      <c r="R8" s="31" t="inlineStr">
        <is>
          <t>Near 52W High Breakout</t>
        </is>
      </c>
      <c r="S8" s="31" t="inlineStr">
        <is>
          <t>Nifty 50</t>
        </is>
      </c>
      <c r="T8" s="32" t="n">
        <v>-12.01</v>
      </c>
      <c r="U8" s="32" t="n">
        <v>111.22</v>
      </c>
      <c r="V8" s="32" t="n">
        <v>140.05</v>
      </c>
      <c r="W8" s="32" t="n">
        <v>26.54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IF(B9=0,"",RANK(B9,$B$2:$B$220,0))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REDINGTON</t>
        </is>
      </c>
      <c r="D9" s="31" t="inlineStr">
        <is>
          <t>Redington (india) Limited</t>
        </is>
      </c>
      <c r="E9" s="31" t="inlineStr">
        <is>
          <t>services</t>
        </is>
      </c>
      <c r="F9" s="31" t="inlineStr">
        <is>
          <t>trading</t>
        </is>
      </c>
      <c r="G9" s="31" t="inlineStr">
        <is>
          <t>largecap</t>
        </is>
      </c>
      <c r="H9" s="32" t="n">
        <v>30641.65</v>
      </c>
      <c r="I9" s="32" t="n">
        <v>401.6</v>
      </c>
      <c r="J9" s="32" t="n">
        <v>2.46</v>
      </c>
      <c r="K9" s="32" t="n">
        <v>5910492</v>
      </c>
      <c r="L9" s="31" t="n">
        <v>58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69.5</v>
      </c>
      <c r="P9" s="32" t="n">
        <v>50.81</v>
      </c>
      <c r="Q9" s="32" t="n">
        <v>317.44</v>
      </c>
      <c r="R9" s="31" t="inlineStr">
        <is>
          <t>Near 52W High Breakout</t>
        </is>
      </c>
      <c r="S9" s="31" t="inlineStr">
        <is>
          <t>Nifty 50</t>
        </is>
      </c>
      <c r="T9" s="32" t="n">
        <v>-12.01</v>
      </c>
      <c r="U9" s="32" t="n">
        <v>52.63</v>
      </c>
      <c r="V9" s="32" t="n">
        <v>73.45999999999999</v>
      </c>
      <c r="W9" s="32" t="n">
        <v>19.77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IF(B10=0,"",RANK(B10,$B$2:$B$220,0))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PGIL</t>
        </is>
      </c>
      <c r="D10" s="31" t="inlineStr">
        <is>
          <t>Pearl Global Industries Limited</t>
        </is>
      </c>
      <c r="E10" s="31" t="inlineStr">
        <is>
          <t>readymade garments/apparels</t>
        </is>
      </c>
      <c r="F10" s="31" t="inlineStr">
        <is>
          <t>textiles - products</t>
        </is>
      </c>
      <c r="G10" s="31" t="inlineStr">
        <is>
          <t>midcap</t>
        </is>
      </c>
      <c r="H10" s="32" t="n">
        <v>11894.06</v>
      </c>
      <c r="I10" s="32" t="n">
        <v>1302.6</v>
      </c>
      <c r="J10" s="32" t="n">
        <v>1.17</v>
      </c>
      <c r="K10" s="32" t="n">
        <v>119383</v>
      </c>
      <c r="L10" s="31" t="n">
        <v>60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67.7</v>
      </c>
      <c r="P10" s="32" t="n">
        <v>59.84</v>
      </c>
      <c r="Q10" s="32" t="n">
        <v>1012.21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-12.01</v>
      </c>
      <c r="U10" s="32" t="n">
        <v>94.95</v>
      </c>
      <c r="V10" s="32" t="n">
        <v>121.55</v>
      </c>
      <c r="W10" s="32" t="n">
        <v>20.27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IF(B11=0,"",RANK(B11,$B$2:$B$220,0))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AURUM</t>
        </is>
      </c>
      <c r="D11" s="31" t="inlineStr">
        <is>
          <t>Aurum Proptech Ltd</t>
        </is>
      </c>
      <c r="E11" s="31" t="inlineStr">
        <is>
          <t>i.t</t>
        </is>
      </c>
      <c r="F11" s="31" t="inlineStr">
        <is>
          <t>computers - software - medium / small</t>
        </is>
      </c>
      <c r="G11" s="31" t="inlineStr">
        <is>
          <t>smallcap</t>
        </is>
      </c>
      <c r="H11" s="32" t="n">
        <v>2282.93</v>
      </c>
      <c r="I11" s="32" t="n">
        <v>242.18</v>
      </c>
      <c r="J11" s="32" t="n">
        <v>2.43</v>
      </c>
      <c r="K11" s="32" t="n">
        <v>453883</v>
      </c>
      <c r="L11" s="31" t="n">
        <v>23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66.54000000000001</v>
      </c>
      <c r="P11" s="32" t="n">
        <v>47.19</v>
      </c>
      <c r="Q11" s="32" t="n">
        <v>189.09</v>
      </c>
      <c r="R11" s="31" t="inlineStr">
        <is>
          <t>Volume Spike &amp; Near 52W High Breakout</t>
        </is>
      </c>
      <c r="S11" s="31" t="inlineStr">
        <is>
          <t>Nifty IT</t>
        </is>
      </c>
      <c r="T11" s="32" t="n">
        <v>-13.68</v>
      </c>
      <c r="U11" s="32" t="n">
        <v>34.95</v>
      </c>
      <c r="V11" s="32" t="n">
        <v>56.33</v>
      </c>
      <c r="W11" s="32" t="n">
        <v>7.32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IF(B12=0,"",RANK(B12,$B$2:$B$220,0))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AVTNPL</t>
        </is>
      </c>
      <c r="D12" s="31" t="inlineStr">
        <is>
          <t>Avt Natural Products Limited</t>
        </is>
      </c>
      <c r="E12" s="31" t="inlineStr">
        <is>
          <t>fmcg</t>
        </is>
      </c>
      <c r="F12" s="31" t="inlineStr">
        <is>
          <t>solvent extraction</t>
        </is>
      </c>
      <c r="G12" s="31" t="inlineStr">
        <is>
          <t>smallcap</t>
        </is>
      </c>
      <c r="H12" s="32" t="n">
        <v>1478.07</v>
      </c>
      <c r="I12" s="32" t="n">
        <v>98.84</v>
      </c>
      <c r="J12" s="32" t="n">
        <v>1.83</v>
      </c>
      <c r="K12" s="32" t="n">
        <v>441721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71.23</v>
      </c>
      <c r="P12" s="32" t="n">
        <v>55.28</v>
      </c>
      <c r="Q12" s="32" t="n">
        <v>75.3</v>
      </c>
      <c r="R12" s="31" t="inlineStr">
        <is>
          <t>Near 52W High Breakout</t>
        </is>
      </c>
      <c r="S12" s="31" t="inlineStr">
        <is>
          <t>Nifty FMCG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IF(B13=0,"",RANK(B13,$B$2:$B$220,0))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TBZ</t>
        </is>
      </c>
      <c r="D13" s="31" t="inlineStr">
        <is>
          <t>Tribhovandas Bhimji Zaveri Limited</t>
        </is>
      </c>
      <c r="E13" s="31" t="inlineStr">
        <is>
          <t>consumer discretionary</t>
        </is>
      </c>
      <c r="F13" s="31" t="inlineStr">
        <is>
          <t>diamond cutting / jewellery</t>
        </is>
      </c>
      <c r="G13" s="31" t="inlineStr">
        <is>
          <t>smallcap</t>
        </is>
      </c>
      <c r="H13" s="32" t="n">
        <v>4376.53</v>
      </c>
      <c r="I13" s="32" t="n">
        <v>688.6</v>
      </c>
      <c r="J13" s="32" t="n">
        <v>4.99</v>
      </c>
      <c r="K13" s="32" t="n">
        <v>296603</v>
      </c>
      <c r="L13" s="31" t="n">
        <v>98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84.06999999999999</v>
      </c>
      <c r="P13" s="32" t="n">
        <v>65.92</v>
      </c>
      <c r="Q13" s="32" t="n">
        <v>513.84</v>
      </c>
      <c r="R13" s="31" t="inlineStr">
        <is>
          <t>Near 52W High Breakout</t>
        </is>
      </c>
      <c r="S13" s="31" t="inlineStr">
        <is>
          <t>Nifty 50</t>
        </is>
      </c>
      <c r="T13" s="32" t="n">
        <v>-12.01</v>
      </c>
      <c r="U13" s="32" t="n">
        <v>277.46</v>
      </c>
      <c r="V13" s="32" t="n">
        <v>328.97</v>
      </c>
      <c r="W13" s="32" t="n">
        <v>78.02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Between 0.7 to 1.2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IF(B14=0,"",RANK(B14,$B$2:$B$220,0))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DPABHUSHAN</t>
        </is>
      </c>
      <c r="D14" s="31" t="inlineStr">
        <is>
          <t>D.P. Abhushan Ltd</t>
        </is>
      </c>
      <c r="E14" s="31" t="inlineStr">
        <is>
          <t>consumer discretionary</t>
        </is>
      </c>
      <c r="F14" s="31" t="inlineStr">
        <is>
          <t>trading</t>
        </is>
      </c>
      <c r="G14" s="31" t="inlineStr">
        <is>
          <t>midcap</t>
        </is>
      </c>
      <c r="H14" s="32" t="n">
        <v>5305.21</v>
      </c>
      <c r="I14" s="32" t="n">
        <v>2437.8</v>
      </c>
      <c r="J14" s="32" t="n">
        <v>4.9</v>
      </c>
      <c r="K14" s="32" t="n">
        <v>156708</v>
      </c>
      <c r="L14" s="31" t="n">
        <v>82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82.90000000000001</v>
      </c>
      <c r="P14" s="32" t="n">
        <v>43.23</v>
      </c>
      <c r="Q14" s="32" t="n">
        <v>1848.84</v>
      </c>
      <c r="R14" s="31" t="inlineStr">
        <is>
          <t>Near 52W High Breakout</t>
        </is>
      </c>
      <c r="S14" s="31" t="inlineStr">
        <is>
          <t>Nifty 50</t>
        </is>
      </c>
      <c r="T14" s="32" t="n">
        <v>-12.01</v>
      </c>
      <c r="U14" s="32" t="n">
        <v>75.38</v>
      </c>
      <c r="V14" s="32" t="n">
        <v>99.31</v>
      </c>
      <c r="W14" s="32" t="n">
        <v>33.35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IF(B15=0,"",RANK(B15,$B$2:$B$220,0))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ICIL</t>
        </is>
      </c>
      <c r="D15" s="31" t="inlineStr">
        <is>
          <t>Indo Count Industries Limited</t>
        </is>
      </c>
      <c r="E15" s="31" t="inlineStr">
        <is>
          <t>textiles</t>
        </is>
      </c>
      <c r="F15" s="31" t="inlineStr">
        <is>
          <t>textiles - cotton/blended</t>
        </is>
      </c>
      <c r="G15" s="31" t="inlineStr">
        <is>
          <t>midcap</t>
        </is>
      </c>
      <c r="H15" s="32" t="n">
        <v>8877.790000000001</v>
      </c>
      <c r="I15" s="32" t="n">
        <v>465.45</v>
      </c>
      <c r="J15" s="32" t="n">
        <v>3.84</v>
      </c>
      <c r="K15" s="32" t="n">
        <v>533258</v>
      </c>
      <c r="L15" s="31" t="n">
        <v>53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66.52</v>
      </c>
      <c r="P15" s="32" t="n">
        <v>50.32</v>
      </c>
      <c r="Q15" s="32" t="n">
        <v>338.99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-12.01</v>
      </c>
      <c r="U15" s="32" t="n">
        <v>75.08</v>
      </c>
      <c r="V15" s="32" t="n">
        <v>98.97</v>
      </c>
      <c r="W15" s="32" t="n">
        <v>16.98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IF(B16=0,"",RANK(B16,$B$2:$B$220,0))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KINGFA</t>
        </is>
      </c>
      <c r="D16" s="31" t="inlineStr">
        <is>
          <t>Kingfa Science &amp; Technology (india) Limited</t>
        </is>
      </c>
      <c r="E16" s="31" t="inlineStr">
        <is>
          <t>plastic products</t>
        </is>
      </c>
      <c r="F16" s="31" t="inlineStr">
        <is>
          <t>plastics products</t>
        </is>
      </c>
      <c r="G16" s="31" t="inlineStr">
        <is>
          <t>midcap</t>
        </is>
      </c>
      <c r="H16" s="32" t="n">
        <v>8777.91</v>
      </c>
      <c r="I16" s="32" t="n">
        <v>6671.5</v>
      </c>
      <c r="J16" s="32" t="n">
        <v>3</v>
      </c>
      <c r="K16" s="32" t="n">
        <v>7121</v>
      </c>
      <c r="L16" s="31" t="n">
        <v>45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72.72</v>
      </c>
      <c r="P16" s="32" t="n">
        <v>47.5</v>
      </c>
      <c r="Q16" s="32" t="n">
        <v>5392.44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-12.01</v>
      </c>
      <c r="U16" s="32" t="n">
        <v>41.52</v>
      </c>
      <c r="V16" s="32" t="n">
        <v>60.83</v>
      </c>
      <c r="W16" s="32" t="n">
        <v>14.61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IF(B17=0,"",RANK(B17,$B$2:$B$220,0))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WELSPUNLIV</t>
        </is>
      </c>
      <c r="D17" s="31" t="inlineStr">
        <is>
          <t>Welspun Living Ltd</t>
        </is>
      </c>
      <c r="E17" s="31" t="inlineStr">
        <is>
          <t>textiles</t>
        </is>
      </c>
      <c r="F17" s="31" t="inlineStr">
        <is>
          <t>textiles - products</t>
        </is>
      </c>
      <c r="G17" s="31" t="inlineStr">
        <is>
          <t>largecap</t>
        </is>
      </c>
      <c r="H17" s="32" t="n">
        <v>21363.69</v>
      </c>
      <c r="I17" s="32" t="n">
        <v>229.58</v>
      </c>
      <c r="J17" s="32" t="n">
        <v>1.53</v>
      </c>
      <c r="K17" s="32" t="n">
        <v>2935238</v>
      </c>
      <c r="L17" s="31" t="n">
        <v>65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74.08</v>
      </c>
      <c r="P17" s="32" t="n">
        <v>47.39</v>
      </c>
      <c r="Q17" s="32" t="n">
        <v>191.42</v>
      </c>
      <c r="R17" s="31" t="inlineStr">
        <is>
          <t>Near 52W High Breakout</t>
        </is>
      </c>
      <c r="S17" s="31" t="inlineStr">
        <is>
          <t>Nifty 50</t>
        </is>
      </c>
      <c r="T17" s="32" t="n">
        <v>-12.01</v>
      </c>
      <c r="U17" s="32" t="n">
        <v>88.8</v>
      </c>
      <c r="V17" s="32" t="n">
        <v>114.57</v>
      </c>
      <c r="W17" s="32" t="n">
        <v>22.71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IF(B18=0,"",RANK(B18,$B$2:$B$220,0))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OCCLLTD</t>
        </is>
      </c>
      <c r="D18" s="31" t="inlineStr">
        <is>
          <t>OCCL Ltd</t>
        </is>
      </c>
      <c r="E18" s="31" t="inlineStr">
        <is>
          <t>chemicals</t>
        </is>
      </c>
      <c r="F18" s="31" t="inlineStr">
        <is>
          <t>chemicals</t>
        </is>
      </c>
      <c r="G18" s="31" t="inlineStr">
        <is>
          <t>smallcap</t>
        </is>
      </c>
      <c r="H18" s="32" t="n">
        <v>1142.97</v>
      </c>
      <c r="I18" s="32" t="n">
        <v>230.76</v>
      </c>
      <c r="J18" s="32" t="n">
        <v>0.85</v>
      </c>
      <c r="K18" s="32" t="n">
        <v>301899</v>
      </c>
      <c r="L18" s="31" t="n">
        <v>81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83.22</v>
      </c>
      <c r="P18" s="32" t="n">
        <v>52.66</v>
      </c>
      <c r="Q18" s="32" t="n">
        <v>176.17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-12.01</v>
      </c>
      <c r="U18" s="32" t="n">
        <v>89.90000000000001</v>
      </c>
      <c r="V18" s="32" t="n">
        <v>115.82</v>
      </c>
      <c r="W18" s="32" t="n">
        <v>32.75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IF(B19=0,"",RANK(B19,$B$2:$B$220,0))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ORBTEXP</t>
        </is>
      </c>
      <c r="D19" s="31" t="inlineStr">
        <is>
          <t>Orbit Exports Limited</t>
        </is>
      </c>
      <c r="E19" s="31" t="inlineStr">
        <is>
          <t>textiles</t>
        </is>
      </c>
      <c r="F19" s="31" t="inlineStr">
        <is>
          <t>textiles - processing</t>
        </is>
      </c>
      <c r="G19" s="31" t="inlineStr">
        <is>
          <t>smallcap</t>
        </is>
      </c>
      <c r="H19" s="32" t="n">
        <v>688.63</v>
      </c>
      <c r="I19" s="32" t="n">
        <v>259.4</v>
      </c>
      <c r="J19" s="32" t="n">
        <v>-0.13</v>
      </c>
      <c r="K19" s="32" t="n">
        <v>2376</v>
      </c>
      <c r="L19" s="31" t="n">
        <v>32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65.95999999999999</v>
      </c>
      <c r="P19" s="32" t="n">
        <v>55.29</v>
      </c>
      <c r="Q19" s="32" t="n">
        <v>186.23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-12.01</v>
      </c>
      <c r="U19" s="32" t="n">
        <v>28.32</v>
      </c>
      <c r="V19" s="32" t="n">
        <v>45.84</v>
      </c>
      <c r="W19" s="32" t="n">
        <v>9.98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IF(B20=0,"",RANK(B20,$B$2:$B$220,0))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SHANTIGOLD</t>
        </is>
      </c>
      <c r="D20" s="31" t="inlineStr">
        <is>
          <t>Shanti Gold International Ltd</t>
        </is>
      </c>
      <c r="E20" s="31" t="inlineStr">
        <is>
          <t>consumer discretionary</t>
        </is>
      </c>
      <c r="F20" s="31" t="inlineStr">
        <is>
          <t>diamond cutting / jewellery</t>
        </is>
      </c>
      <c r="G20" s="31" t="inlineStr">
        <is>
          <t>smallcap</t>
        </is>
      </c>
      <c r="H20" s="32" t="n">
        <v>2996.29</v>
      </c>
      <c r="I20" s="32" t="n">
        <v>387.9</v>
      </c>
      <c r="J20" s="32" t="n">
        <v>-0.65</v>
      </c>
      <c r="K20" s="32" t="n">
        <v>2258231</v>
      </c>
      <c r="L20" s="31" t="n">
        <v>83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76.58</v>
      </c>
      <c r="P20" s="32" t="n">
        <v>47.89</v>
      </c>
      <c r="Q20" s="32" t="n">
        <v>290.07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-12.01</v>
      </c>
      <c r="U20" s="32" t="n">
        <v>89.22</v>
      </c>
      <c r="V20" s="32" t="n">
        <v>115.04</v>
      </c>
      <c r="W20" s="32" t="n">
        <v>33.75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IF(B21=0,"",RANK(B21,$B$2:$B$220,0))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FINCABLES</t>
        </is>
      </c>
      <c r="D21" s="31" t="inlineStr">
        <is>
          <t>Finolex Cables Limited</t>
        </is>
      </c>
      <c r="E21" s="31" t="inlineStr">
        <is>
          <t>industrials</t>
        </is>
      </c>
      <c r="F21" s="31" t="inlineStr">
        <is>
          <t>cables - power</t>
        </is>
      </c>
      <c r="G21" s="31" t="inlineStr">
        <is>
          <t>largecap</t>
        </is>
      </c>
      <c r="H21" s="32" t="n">
        <v>22550.91</v>
      </c>
      <c r="I21" s="32" t="n">
        <v>1446.3</v>
      </c>
      <c r="J21" s="32" t="n">
        <v>-1.91</v>
      </c>
      <c r="K21" s="32" t="n">
        <v>194686</v>
      </c>
      <c r="L21" s="31" t="inlineStr"/>
      <c r="M21" s="31" t="inlineStr"/>
      <c r="N21" s="32">
        <f>IF(M21="Underperforming",-5,IF(L21&gt;=95,15,IF(L21&gt;=90,10,IF(L21&gt;=80,5,0))))</f>
        <v/>
      </c>
      <c r="O21" s="32" t="n">
        <v>67.34</v>
      </c>
      <c r="P21" s="32" t="n">
        <v>42.29</v>
      </c>
      <c r="Q21" s="32" t="n">
        <v>1120.38</v>
      </c>
      <c r="R21" s="31" t="inlineStr">
        <is>
          <t>Near 52W High Breakout</t>
        </is>
      </c>
      <c r="S21" s="31" t="inlineStr">
        <is>
          <t>Nifty Energy</t>
        </is>
      </c>
      <c r="T21" s="32" t="inlineStr"/>
      <c r="U21" s="32" t="inlineStr"/>
      <c r="V21" s="32" t="inlineStr"/>
      <c r="W21" s="32" t="inlineStr"/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IF(B22=0,"",RANK(B22,$B$2:$B$220,0))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VENKEYS</t>
        </is>
      </c>
      <c r="D22" s="31" t="inlineStr">
        <is>
          <t>Venky's (india) Limited</t>
        </is>
      </c>
      <c r="E22" s="31" t="inlineStr">
        <is>
          <t>fmcg</t>
        </is>
      </c>
      <c r="F22" s="31" t="inlineStr">
        <is>
          <t>miscellaneous</t>
        </is>
      </c>
      <c r="G22" s="31" t="inlineStr">
        <is>
          <t>smallcap</t>
        </is>
      </c>
      <c r="H22" s="32" t="n">
        <v>2253.97</v>
      </c>
      <c r="I22" s="32" t="n">
        <v>1702</v>
      </c>
      <c r="J22" s="32" t="n">
        <v>6.38</v>
      </c>
      <c r="K22" s="32" t="n">
        <v>227581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59.89</v>
      </c>
      <c r="P22" s="32" t="n">
        <v>50.26</v>
      </c>
      <c r="Q22" s="32" t="n">
        <v>1398.37</v>
      </c>
      <c r="R22" s="31" t="inlineStr">
        <is>
          <t>Near 52W High Breakout</t>
        </is>
      </c>
      <c r="S22" s="31" t="inlineStr">
        <is>
          <t>Nifty FMCG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IF(B23=0,"",RANK(B23,$B$2:$B$220,0))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SAREGAMA</t>
        </is>
      </c>
      <c r="D23" s="31" t="inlineStr">
        <is>
          <t>Saregama India Limited</t>
        </is>
      </c>
      <c r="E23" s="31" t="inlineStr">
        <is>
          <t>media</t>
        </is>
      </c>
      <c r="F23" s="31" t="inlineStr">
        <is>
          <t>entertainment / electronic media software</t>
        </is>
      </c>
      <c r="G23" s="31" t="inlineStr">
        <is>
          <t>midcap</t>
        </is>
      </c>
      <c r="H23" s="32" t="n">
        <v>9662.65</v>
      </c>
      <c r="I23" s="32" t="n">
        <v>510.6</v>
      </c>
      <c r="J23" s="32" t="n">
        <v>1.89</v>
      </c>
      <c r="K23" s="32" t="n">
        <v>359440</v>
      </c>
      <c r="L23" s="31" t="n">
        <v>20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62.93</v>
      </c>
      <c r="P23" s="32" t="n">
        <v>42.66</v>
      </c>
      <c r="Q23" s="32" t="n">
        <v>417.54</v>
      </c>
      <c r="R23" s="31" t="inlineStr">
        <is>
          <t>Near 52W High Breakout</t>
        </is>
      </c>
      <c r="S23" s="31" t="inlineStr">
        <is>
          <t>Nifty IT</t>
        </is>
      </c>
      <c r="T23" s="32" t="n">
        <v>-13.68</v>
      </c>
      <c r="U23" s="32" t="n">
        <v>14.44</v>
      </c>
      <c r="V23" s="32" t="n">
        <v>32.57</v>
      </c>
      <c r="W23" s="32" t="n">
        <v>5.41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IF(B24=0,"",RANK(B24,$B$2:$B$220,0))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COFORGE</t>
        </is>
      </c>
      <c r="D24" s="31" t="inlineStr">
        <is>
          <t>Coforge (Niit Tech) Ltd</t>
        </is>
      </c>
      <c r="E24" s="31" t="inlineStr">
        <is>
          <t>i.t</t>
        </is>
      </c>
      <c r="F24" s="31" t="inlineStr">
        <is>
          <t>computers - software - large</t>
        </is>
      </c>
      <c r="G24" s="31" t="inlineStr">
        <is>
          <t>largecap</t>
        </is>
      </c>
      <c r="H24" s="32" t="n">
        <v>85395.06</v>
      </c>
      <c r="I24" s="32" t="n">
        <v>1928</v>
      </c>
      <c r="J24" s="32" t="n">
        <v>-0.05</v>
      </c>
      <c r="K24" s="32" t="n">
        <v>2743437</v>
      </c>
      <c r="L24" s="31" t="n">
        <v>31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64.56999999999999</v>
      </c>
      <c r="P24" s="32" t="n">
        <v>23.49</v>
      </c>
      <c r="Q24" s="32" t="n">
        <v>1636.72</v>
      </c>
      <c r="R24" s="31" t="inlineStr">
        <is>
          <t>Near 52W High Breakout</t>
        </is>
      </c>
      <c r="S24" s="31" t="inlineStr">
        <is>
          <t>Nifty IT</t>
        </is>
      </c>
      <c r="T24" s="32" t="n">
        <v>-13.68</v>
      </c>
      <c r="U24" s="32" t="n">
        <v>11.9</v>
      </c>
      <c r="V24" s="32" t="n">
        <v>29.63</v>
      </c>
      <c r="W24" s="32" t="n">
        <v>9.41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IF(B25=0,"",RANK(B25,$B$2:$B$220,0))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MANORAMA</t>
        </is>
      </c>
      <c r="D25" s="31" t="inlineStr">
        <is>
          <t>Manorama Industries Ltd</t>
        </is>
      </c>
      <c r="E25" s="31" t="inlineStr">
        <is>
          <t>fmcg</t>
        </is>
      </c>
      <c r="F25" s="31" t="inlineStr">
        <is>
          <t>food - processing - indian</t>
        </is>
      </c>
      <c r="G25" s="31" t="inlineStr">
        <is>
          <t>midcap</t>
        </is>
      </c>
      <c r="H25" s="32" t="n">
        <v>12640.26</v>
      </c>
      <c r="I25" s="32" t="n">
        <v>1993.1</v>
      </c>
      <c r="J25" s="32" t="n">
        <v>-0.47</v>
      </c>
      <c r="K25" s="32" t="n">
        <v>87184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65.19</v>
      </c>
      <c r="P25" s="32" t="n">
        <v>33.01</v>
      </c>
      <c r="Q25" s="32" t="n">
        <v>1627.4</v>
      </c>
      <c r="R25" s="31" t="inlineStr">
        <is>
          <t>Near 52W High Breakout</t>
        </is>
      </c>
      <c r="S25" s="31" t="inlineStr">
        <is>
          <t>Nifty FMCG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IF(B26=0,"",RANK(B26,$B$2:$B$220,0))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GLAND</t>
        </is>
      </c>
      <c r="D26" s="31" t="inlineStr">
        <is>
          <t>Gland Pharma Ltd</t>
        </is>
      </c>
      <c r="E26" s="31" t="inlineStr">
        <is>
          <t>healthcare</t>
        </is>
      </c>
      <c r="F26" s="31" t="inlineStr">
        <is>
          <t>pharmaceuticals - indian - formulations</t>
        </is>
      </c>
      <c r="G26" s="31" t="inlineStr">
        <is>
          <t>largecap</t>
        </is>
      </c>
      <c r="H26" s="32" t="n">
        <v>50990.69</v>
      </c>
      <c r="I26" s="32" t="n">
        <v>3052.3</v>
      </c>
      <c r="J26" s="32" t="n">
        <v>-1.26</v>
      </c>
      <c r="K26" s="32" t="n">
        <v>178927</v>
      </c>
      <c r="L26" s="31" t="n">
        <v>50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72.8</v>
      </c>
      <c r="P26" s="32" t="n">
        <v>62.67</v>
      </c>
      <c r="Q26" s="32" t="n">
        <v>2530.32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15.65</v>
      </c>
      <c r="U26" s="32" t="n">
        <v>58.7</v>
      </c>
      <c r="V26" s="32" t="n">
        <v>37.22</v>
      </c>
      <c r="W26" s="32" t="n">
        <v>16.16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IF(B27=0,"",RANK(B27,$B$2:$B$220,0))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ADVANCE</t>
        </is>
      </c>
      <c r="D27" s="31" t="inlineStr">
        <is>
          <t>Advance Agrolife Ltd</t>
        </is>
      </c>
      <c r="E27" s="31" t="inlineStr">
        <is>
          <t>chemicals</t>
        </is>
      </c>
      <c r="F27" s="31" t="inlineStr">
        <is>
          <t>pesticides / agrochemicals - indian</t>
        </is>
      </c>
      <c r="G27" s="31" t="inlineStr">
        <is>
          <t>smallcap</t>
        </is>
      </c>
      <c r="H27" s="32" t="n">
        <v>925.52</v>
      </c>
      <c r="I27" s="32" t="n">
        <v>155.67</v>
      </c>
      <c r="J27" s="32" t="n">
        <v>8.130000000000001</v>
      </c>
      <c r="K27" s="32" t="n">
        <v>8853796</v>
      </c>
      <c r="L27" s="31" t="n">
        <v>48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69.22</v>
      </c>
      <c r="P27" s="32" t="n">
        <v>21.57</v>
      </c>
      <c r="Q27" s="32" t="n">
        <v>114.16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-12.01</v>
      </c>
      <c r="U27" s="32" t="n">
        <v>43</v>
      </c>
      <c r="V27" s="32" t="n">
        <v>62.51</v>
      </c>
      <c r="W27" s="32" t="n">
        <v>15.87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IF(B28=0,"",RANK(B28,$B$2:$B$220,0))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SPORTKING</t>
        </is>
      </c>
      <c r="D28" s="31" t="inlineStr">
        <is>
          <t>Sportking India Ltd</t>
        </is>
      </c>
      <c r="E28" s="31" t="inlineStr">
        <is>
          <t>textiles</t>
        </is>
      </c>
      <c r="F28" s="31" t="inlineStr">
        <is>
          <t>textiles - spinning - synthetic / blended</t>
        </is>
      </c>
      <c r="G28" s="31" t="inlineStr">
        <is>
          <t>smallcap</t>
        </is>
      </c>
      <c r="H28" s="32" t="n">
        <v>2663.68</v>
      </c>
      <c r="I28" s="32" t="n">
        <v>225.87</v>
      </c>
      <c r="J28" s="32" t="n">
        <v>7.75</v>
      </c>
      <c r="K28" s="32" t="n">
        <v>2844583</v>
      </c>
      <c r="L28" s="31" t="n">
        <v>70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64.03</v>
      </c>
      <c r="P28" s="32" t="n">
        <v>63.03</v>
      </c>
      <c r="Q28" s="32" t="n">
        <v>167.1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-12.01</v>
      </c>
      <c r="U28" s="32" t="n">
        <v>137.82</v>
      </c>
      <c r="V28" s="32" t="n">
        <v>170.27</v>
      </c>
      <c r="W28" s="32" t="n">
        <v>25.05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IF(B29=0,"",RANK(B29,$B$2:$B$220,0))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NITINSPIN</t>
        </is>
      </c>
      <c r="D29" s="31" t="inlineStr">
        <is>
          <t>Nitin Spinners Limited</t>
        </is>
      </c>
      <c r="E29" s="31" t="inlineStr">
        <is>
          <t>textiles</t>
        </is>
      </c>
      <c r="F29" s="31" t="inlineStr">
        <is>
          <t>textiles - cotton/blended</t>
        </is>
      </c>
      <c r="G29" s="31" t="inlineStr">
        <is>
          <t>smallcap</t>
        </is>
      </c>
      <c r="H29" s="32" t="n">
        <v>3426.61</v>
      </c>
      <c r="I29" s="32" t="n">
        <v>642.75</v>
      </c>
      <c r="J29" s="32" t="n">
        <v>5.46</v>
      </c>
      <c r="K29" s="32" t="n">
        <v>175395</v>
      </c>
      <c r="L29" s="31" t="n">
        <v>58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68.14</v>
      </c>
      <c r="P29" s="32" t="n">
        <v>52.19</v>
      </c>
      <c r="Q29" s="32" t="n">
        <v>519.97</v>
      </c>
      <c r="R29" s="31" t="inlineStr">
        <is>
          <t>Near 52W High Breakout</t>
        </is>
      </c>
      <c r="S29" s="31" t="inlineStr">
        <is>
          <t>Nifty 50</t>
        </is>
      </c>
      <c r="T29" s="32" t="n">
        <v>-12.01</v>
      </c>
      <c r="U29" s="32" t="n">
        <v>102.77</v>
      </c>
      <c r="V29" s="32" t="n">
        <v>130.44</v>
      </c>
      <c r="W29" s="32" t="n">
        <v>19.36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IF(B30=0,"",RANK(B30,$B$2:$B$220,0))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MODISONLTD</t>
        </is>
      </c>
      <c r="D30" s="31" t="inlineStr">
        <is>
          <t>Modison Ltd</t>
        </is>
      </c>
      <c r="E30" s="31" t="inlineStr">
        <is>
          <t>industrials</t>
        </is>
      </c>
      <c r="F30" s="31" t="inlineStr">
        <is>
          <t>electric equipment</t>
        </is>
      </c>
      <c r="G30" s="31" t="inlineStr">
        <is>
          <t>smallcap</t>
        </is>
      </c>
      <c r="H30" s="32" t="n">
        <v>1685.94</v>
      </c>
      <c r="I30" s="32" t="n">
        <v>545.3</v>
      </c>
      <c r="J30" s="32" t="n">
        <v>4.96</v>
      </c>
      <c r="K30" s="32" t="n">
        <v>193413</v>
      </c>
      <c r="L30" s="31" t="n">
        <v>97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75.43000000000001</v>
      </c>
      <c r="P30" s="32" t="n">
        <v>57.62</v>
      </c>
      <c r="Q30" s="32" t="n">
        <v>392.69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-12.01</v>
      </c>
      <c r="U30" s="32" t="n">
        <v>259.52</v>
      </c>
      <c r="V30" s="32" t="n">
        <v>308.58</v>
      </c>
      <c r="W30" s="32" t="n">
        <v>53.56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IF(B31=0,"",RANK(B31,$B$2:$B$220,0))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STOVEKRAFT</t>
        </is>
      </c>
      <c r="D31" s="31" t="inlineStr">
        <is>
          <t>Stove Kraft Ltd</t>
        </is>
      </c>
      <c r="E31" s="31" t="inlineStr">
        <is>
          <t>consumer discretionary</t>
        </is>
      </c>
      <c r="F31" s="31" t="inlineStr">
        <is>
          <t>domestic appliances</t>
        </is>
      </c>
      <c r="G31" s="31" t="inlineStr">
        <is>
          <t>smallcap</t>
        </is>
      </c>
      <c r="H31" s="32" t="n">
        <v>2695.76</v>
      </c>
      <c r="I31" s="32" t="n">
        <v>850.8</v>
      </c>
      <c r="J31" s="32" t="n">
        <v>4.49</v>
      </c>
      <c r="K31" s="32" t="n">
        <v>324051</v>
      </c>
      <c r="L31" s="31" t="n">
        <v>28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69.2</v>
      </c>
      <c r="P31" s="32" t="n">
        <v>43.05</v>
      </c>
      <c r="Q31" s="32" t="n">
        <v>672.14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-12.01</v>
      </c>
      <c r="U31" s="32" t="n">
        <v>24.09</v>
      </c>
      <c r="V31" s="32" t="n">
        <v>41.02</v>
      </c>
      <c r="W31" s="32" t="n">
        <v>8.52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IF(B32=0,"",RANK(B32,$B$2:$B$220,0))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KRONOX</t>
        </is>
      </c>
      <c r="D32" s="31" t="inlineStr">
        <is>
          <t>Kronox Lab Sciences Ltd</t>
        </is>
      </c>
      <c r="E32" s="31" t="inlineStr">
        <is>
          <t>chemicals</t>
        </is>
      </c>
      <c r="F32" s="31" t="inlineStr">
        <is>
          <t>chemicals</t>
        </is>
      </c>
      <c r="G32" s="31" t="inlineStr">
        <is>
          <t>smallcap</t>
        </is>
      </c>
      <c r="H32" s="32" t="n">
        <v>794.1</v>
      </c>
      <c r="I32" s="32" t="n">
        <v>218.79</v>
      </c>
      <c r="J32" s="32" t="n">
        <v>2.23</v>
      </c>
      <c r="K32" s="32" t="n">
        <v>51371</v>
      </c>
      <c r="L32" s="31" t="n">
        <v>56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65.98</v>
      </c>
      <c r="P32" s="32" t="n">
        <v>53.3</v>
      </c>
      <c r="Q32" s="32" t="n">
        <v>150.35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-12.01</v>
      </c>
      <c r="U32" s="32" t="n">
        <v>44.88</v>
      </c>
      <c r="V32" s="32" t="n">
        <v>64.65000000000001</v>
      </c>
      <c r="W32" s="32" t="n">
        <v>18.24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Between 12 to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Between 1.5 to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IF(B33=0,"",RANK(B33,$B$2:$B$220,0))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NRL</t>
        </is>
      </c>
      <c r="D33" s="31" t="inlineStr">
        <is>
          <t>Nupur Recyclers Ltd</t>
        </is>
      </c>
      <c r="E33" s="31" t="inlineStr">
        <is>
          <t>services</t>
        </is>
      </c>
      <c r="F33" s="31" t="inlineStr">
        <is>
          <t>trading</t>
        </is>
      </c>
      <c r="G33" s="31" t="inlineStr">
        <is>
          <t>smallcap</t>
        </is>
      </c>
      <c r="H33" s="32" t="n">
        <v>1099.03</v>
      </c>
      <c r="I33" s="32" t="n">
        <v>162.3</v>
      </c>
      <c r="J33" s="32" t="n">
        <v>2</v>
      </c>
      <c r="K33" s="32" t="n">
        <v>82378</v>
      </c>
      <c r="L33" s="31" t="n">
        <v>87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87.52</v>
      </c>
      <c r="P33" s="32" t="n">
        <v>79.06999999999999</v>
      </c>
      <c r="Q33" s="32" t="n">
        <v>135.53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-12.01</v>
      </c>
      <c r="U33" s="32" t="n">
        <v>142.46</v>
      </c>
      <c r="V33" s="32" t="n">
        <v>175.54</v>
      </c>
      <c r="W33" s="32" t="n">
        <v>35.72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IF(B34=0,"",RANK(B34,$B$2:$B$220,0))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GHCLTEXTIL</t>
        </is>
      </c>
      <c r="D34" s="31" t="inlineStr">
        <is>
          <t>GHCL Textiles Ltd</t>
        </is>
      </c>
      <c r="E34" s="31" t="inlineStr">
        <is>
          <t>textiles</t>
        </is>
      </c>
      <c r="F34" s="31" t="inlineStr">
        <is>
          <t>textiles - spinning - synthetic / blended</t>
        </is>
      </c>
      <c r="G34" s="31" t="inlineStr">
        <is>
          <t>smallcap</t>
        </is>
      </c>
      <c r="H34" s="32" t="n">
        <v>1258</v>
      </c>
      <c r="I34" s="32" t="n">
        <v>133.9</v>
      </c>
      <c r="J34" s="32" t="n">
        <v>1.74</v>
      </c>
      <c r="K34" s="32" t="n">
        <v>281834</v>
      </c>
      <c r="L34" s="31" t="n">
        <v>50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63</v>
      </c>
      <c r="P34" s="32" t="n">
        <v>49.91</v>
      </c>
      <c r="Q34" s="32" t="n">
        <v>104.24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-12.01</v>
      </c>
      <c r="U34" s="32" t="n">
        <v>75.55</v>
      </c>
      <c r="V34" s="32" t="n">
        <v>99.5</v>
      </c>
      <c r="W34" s="32" t="n">
        <v>16.15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IF(B35=0,"",RANK(B35,$B$2:$B$220,0))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CPPLUS</t>
        </is>
      </c>
      <c r="D35" s="31" t="inlineStr">
        <is>
          <t>Aditya Infotech Ltd</t>
        </is>
      </c>
      <c r="E35" s="31" t="inlineStr">
        <is>
          <t>consumer discretionary</t>
        </is>
      </c>
      <c r="F35" s="31" t="inlineStr">
        <is>
          <t>trading</t>
        </is>
      </c>
      <c r="G35" s="31" t="inlineStr">
        <is>
          <t>largecap</t>
        </is>
      </c>
      <c r="H35" s="32" t="n">
        <v>53667.68</v>
      </c>
      <c r="I35" s="32" t="n">
        <v>4440.3</v>
      </c>
      <c r="J35" s="32" t="n">
        <v>1.46</v>
      </c>
      <c r="K35" s="32" t="n">
        <v>705365</v>
      </c>
      <c r="L35" s="31" t="n">
        <v>82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73.03</v>
      </c>
      <c r="P35" s="32" t="n">
        <v>41.97</v>
      </c>
      <c r="Q35" s="32" t="n">
        <v>3344.96</v>
      </c>
      <c r="R35" s="31" t="inlineStr">
        <is>
          <t>Near 52W High Breakout</t>
        </is>
      </c>
      <c r="S35" s="31" t="inlineStr">
        <is>
          <t>Nifty 50</t>
        </is>
      </c>
      <c r="T35" s="32" t="n">
        <v>-12.01</v>
      </c>
      <c r="U35" s="32" t="n">
        <v>217.97</v>
      </c>
      <c r="V35" s="32" t="n">
        <v>261.36</v>
      </c>
      <c r="W35" s="32" t="n">
        <v>33.6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IF(B36=0,"",RANK(B36,$B$2:$B$220,0))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VALIANTORG</t>
        </is>
      </c>
      <c r="D36" s="31" t="inlineStr">
        <is>
          <t>Valiant Organics Ltd</t>
        </is>
      </c>
      <c r="E36" s="31" t="inlineStr">
        <is>
          <t>chemicals</t>
        </is>
      </c>
      <c r="F36" s="31" t="inlineStr">
        <is>
          <t>chemicals</t>
        </is>
      </c>
      <c r="G36" s="31" t="inlineStr">
        <is>
          <t>smallcap</t>
        </is>
      </c>
      <c r="H36" s="32" t="n">
        <v>1267.44</v>
      </c>
      <c r="I36" s="32" t="n">
        <v>458.2</v>
      </c>
      <c r="J36" s="32" t="n">
        <v>1.35</v>
      </c>
      <c r="K36" s="32" t="n">
        <v>52883</v>
      </c>
      <c r="L36" s="31" t="n">
        <v>72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70.73999999999999</v>
      </c>
      <c r="P36" s="32" t="n">
        <v>51.26</v>
      </c>
      <c r="Q36" s="32" t="n">
        <v>345.17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-12.01</v>
      </c>
      <c r="U36" s="32" t="n">
        <v>56.84</v>
      </c>
      <c r="V36" s="32" t="n">
        <v>78.23999999999999</v>
      </c>
      <c r="W36" s="32" t="n">
        <v>26.44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IF(B37=0,"",RANK(B37,$B$2:$B$220,0))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CEIGALL</t>
        </is>
      </c>
      <c r="D37" s="31" t="inlineStr">
        <is>
          <t>Ceigall India Ltd</t>
        </is>
      </c>
      <c r="E37" s="31" t="inlineStr">
        <is>
          <t>realty</t>
        </is>
      </c>
      <c r="F37" s="31" t="inlineStr">
        <is>
          <t>construction</t>
        </is>
      </c>
      <c r="G37" s="31" t="inlineStr">
        <is>
          <t>midcap</t>
        </is>
      </c>
      <c r="H37" s="32" t="n">
        <v>6681.63</v>
      </c>
      <c r="I37" s="32" t="n">
        <v>388.35</v>
      </c>
      <c r="J37" s="32" t="n">
        <v>1.25</v>
      </c>
      <c r="K37" s="32" t="n">
        <v>447551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63.03</v>
      </c>
      <c r="P37" s="32" t="n">
        <v>22.03</v>
      </c>
      <c r="Q37" s="32" t="n">
        <v>307.88</v>
      </c>
      <c r="R37" s="31" t="inlineStr">
        <is>
          <t>Near 52W High Breakout</t>
        </is>
      </c>
      <c r="S37" s="31" t="inlineStr">
        <is>
          <t>Nifty Realty</t>
        </is>
      </c>
      <c r="T37" s="32" t="inlineStr"/>
      <c r="U37" s="32" t="inlineStr"/>
      <c r="V37" s="32" t="inlineStr"/>
      <c r="W37" s="32" t="inlineStr"/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IF(B38=0,"",RANK(B38,$B$2:$B$220,0))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GRWRHITECH</t>
        </is>
      </c>
      <c r="D38" s="31" t="inlineStr">
        <is>
          <t>Garware Hi Tech Films Ltd</t>
        </is>
      </c>
      <c r="E38" s="31" t="inlineStr">
        <is>
          <t>industrials</t>
        </is>
      </c>
      <c r="F38" s="31" t="inlineStr">
        <is>
          <t>packaging</t>
        </is>
      </c>
      <c r="G38" s="31" t="inlineStr">
        <is>
          <t>midcap</t>
        </is>
      </c>
      <c r="H38" s="32" t="n">
        <v>16729.65</v>
      </c>
      <c r="I38" s="32" t="n">
        <v>7203.5</v>
      </c>
      <c r="J38" s="32" t="n">
        <v>0.03</v>
      </c>
      <c r="K38" s="32" t="n">
        <v>27303</v>
      </c>
      <c r="L38" s="31" t="n">
        <v>65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68.73999999999999</v>
      </c>
      <c r="P38" s="32" t="n">
        <v>53.14</v>
      </c>
      <c r="Q38" s="32" t="n">
        <v>5646.19</v>
      </c>
      <c r="R38" s="31" t="inlineStr">
        <is>
          <t>Near 52W High Breakout</t>
        </is>
      </c>
      <c r="S38" s="31" t="inlineStr">
        <is>
          <t>Nifty 50</t>
        </is>
      </c>
      <c r="T38" s="32" t="n">
        <v>-12.01</v>
      </c>
      <c r="U38" s="32" t="n">
        <v>123.84</v>
      </c>
      <c r="V38" s="32" t="n">
        <v>154.39</v>
      </c>
      <c r="W38" s="32" t="n">
        <v>21.95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IF(B39=0,"",RANK(B39,$B$2:$B$220,0))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SWANDEF</t>
        </is>
      </c>
      <c r="D39" s="31" t="inlineStr">
        <is>
          <t>Swan Defence and Heavy Industries Ltd</t>
        </is>
      </c>
      <c r="E39" s="31" t="inlineStr">
        <is>
          <t>transportation</t>
        </is>
      </c>
      <c r="F39" s="31" t="inlineStr">
        <is>
          <t>miscellaneous</t>
        </is>
      </c>
      <c r="G39" s="31" t="inlineStr">
        <is>
          <t>midcap</t>
        </is>
      </c>
      <c r="H39" s="32" t="n">
        <v>15637.12</v>
      </c>
      <c r="I39" s="32" t="n">
        <v>2939.2</v>
      </c>
      <c r="J39" s="32" t="n">
        <v>-0.98</v>
      </c>
      <c r="K39" s="32" t="n">
        <v>20768</v>
      </c>
      <c r="L39" s="31" t="n">
        <v>96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71.56</v>
      </c>
      <c r="P39" s="32" t="n">
        <v>57.06</v>
      </c>
      <c r="Q39" s="32" t="n">
        <v>2273.29</v>
      </c>
      <c r="R39" s="31" t="inlineStr">
        <is>
          <t>Near 52W High Breakout</t>
        </is>
      </c>
      <c r="S39" s="31" t="inlineStr">
        <is>
          <t>Nifty 50</t>
        </is>
      </c>
      <c r="T39" s="32" t="n">
        <v>-12.01</v>
      </c>
      <c r="U39" s="32" t="n">
        <v>340</v>
      </c>
      <c r="V39" s="32" t="n">
        <v>400.04</v>
      </c>
      <c r="W39" s="32" t="n">
        <v>51.95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More than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IF(B40=0,"",RANK(B40,$B$2:$B$220,0))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PREMIERPOL</t>
        </is>
      </c>
      <c r="D40" s="31" t="inlineStr">
        <is>
          <t>Premier Polyfilm Limited</t>
        </is>
      </c>
      <c r="E40" s="31" t="inlineStr">
        <is>
          <t>plastic products</t>
        </is>
      </c>
      <c r="F40" s="31" t="inlineStr">
        <is>
          <t>plastics products</t>
        </is>
      </c>
      <c r="G40" s="31" t="inlineStr">
        <is>
          <t>smallcap</t>
        </is>
      </c>
      <c r="H40" s="32" t="n">
        <v>1152.59</v>
      </c>
      <c r="I40" s="32" t="n">
        <v>108.86</v>
      </c>
      <c r="J40" s="32" t="n">
        <v>-1.07</v>
      </c>
      <c r="K40" s="32" t="n">
        <v>647244</v>
      </c>
      <c r="L40" s="31" t="n">
        <v>79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70.53</v>
      </c>
      <c r="P40" s="32" t="n">
        <v>60.73</v>
      </c>
      <c r="Q40" s="32" t="n">
        <v>73.97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-12.01</v>
      </c>
      <c r="U40" s="32" t="n">
        <v>147.63</v>
      </c>
      <c r="V40" s="32" t="n">
        <v>181.43</v>
      </c>
      <c r="W40" s="32" t="n">
        <v>30.96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Less than 50%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IF(B41=0,"",RANK(B41,$B$2:$B$220,0))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SSWL</t>
        </is>
      </c>
      <c r="D41" s="31" t="inlineStr">
        <is>
          <t>Steel Strips Wheels Limited</t>
        </is>
      </c>
      <c r="E41" s="31" t="inlineStr">
        <is>
          <t>auto</t>
        </is>
      </c>
      <c r="F41" s="31" t="inlineStr">
        <is>
          <t>auto ancillaries</t>
        </is>
      </c>
      <c r="G41" s="31" t="inlineStr">
        <is>
          <t>midcap</t>
        </is>
      </c>
      <c r="H41" s="32" t="n">
        <v>6499.41</v>
      </c>
      <c r="I41" s="32" t="n">
        <v>406.75</v>
      </c>
      <c r="J41" s="32" t="n">
        <v>-1.63</v>
      </c>
      <c r="K41" s="32" t="n">
        <v>702841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83.31999999999999</v>
      </c>
      <c r="P41" s="32" t="n">
        <v>51.48</v>
      </c>
      <c r="Q41" s="32" t="n">
        <v>317.64</v>
      </c>
      <c r="R41" s="31" t="inlineStr">
        <is>
          <t>Near 52W High Breakout</t>
        </is>
      </c>
      <c r="S41" s="31" t="inlineStr">
        <is>
          <t>Nifty Auto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IF(B42=0,"",RANK(B42,$B$2:$B$220,0))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THELEELA</t>
        </is>
      </c>
      <c r="D42" s="31" t="inlineStr">
        <is>
          <t>Leela Palaces Hotels &amp; Resorts Ltd</t>
        </is>
      </c>
      <c r="E42" s="31" t="inlineStr">
        <is>
          <t>services</t>
        </is>
      </c>
      <c r="F42" s="31" t="inlineStr">
        <is>
          <t>hotels</t>
        </is>
      </c>
      <c r="G42" s="31" t="inlineStr">
        <is>
          <t>largecap</t>
        </is>
      </c>
      <c r="H42" s="32" t="n">
        <v>20079.22</v>
      </c>
      <c r="I42" s="32" t="n">
        <v>591.3</v>
      </c>
      <c r="J42" s="32" t="n">
        <v>-1.65</v>
      </c>
      <c r="K42" s="32" t="n">
        <v>1670581</v>
      </c>
      <c r="L42" s="31" t="n">
        <v>35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72.55</v>
      </c>
      <c r="P42" s="32" t="n">
        <v>42.89</v>
      </c>
      <c r="Q42" s="32" t="n">
        <v>479.61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-12.01</v>
      </c>
      <c r="U42" s="32" t="n">
        <v>33.88</v>
      </c>
      <c r="V42" s="32" t="n">
        <v>52.15</v>
      </c>
      <c r="W42" s="32" t="n">
        <v>10.79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IF(B43=0,"",RANK(B43,$B$2:$B$220,0))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BHAGERIA</t>
        </is>
      </c>
      <c r="D43" s="31" t="inlineStr">
        <is>
          <t>Bhageria Industries Limited</t>
        </is>
      </c>
      <c r="E43" s="31" t="inlineStr">
        <is>
          <t>chemicals</t>
        </is>
      </c>
      <c r="F43" s="31" t="inlineStr">
        <is>
          <t>dyes and pigments</t>
        </is>
      </c>
      <c r="G43" s="31" t="inlineStr">
        <is>
          <t>smallcap</t>
        </is>
      </c>
      <c r="H43" s="32" t="n">
        <v>1692.96</v>
      </c>
      <c r="I43" s="32" t="n">
        <v>376.45</v>
      </c>
      <c r="J43" s="32" t="n">
        <v>-2.95</v>
      </c>
      <c r="K43" s="32" t="n">
        <v>81967</v>
      </c>
      <c r="L43" s="31" t="n">
        <v>90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75.17</v>
      </c>
      <c r="P43" s="32" t="n">
        <v>49.37</v>
      </c>
      <c r="Q43" s="32" t="n">
        <v>296.83</v>
      </c>
      <c r="R43" s="31" t="inlineStr">
        <is>
          <t>Near 52W High Breakout</t>
        </is>
      </c>
      <c r="S43" s="31" t="inlineStr">
        <is>
          <t>Nifty 50</t>
        </is>
      </c>
      <c r="T43" s="32" t="n">
        <v>-12.01</v>
      </c>
      <c r="U43" s="32" t="n">
        <v>120.29</v>
      </c>
      <c r="V43" s="32" t="n">
        <v>150.35</v>
      </c>
      <c r="W43" s="32" t="n">
        <v>38.58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IF(B44=0,"",RANK(B44,$B$2:$B$220,0))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MOREPENLAB</t>
        </is>
      </c>
      <c r="D44" s="31" t="inlineStr">
        <is>
          <t>Morepen Laboratories Limited</t>
        </is>
      </c>
      <c r="E44" s="31" t="inlineStr">
        <is>
          <t>healthcare</t>
        </is>
      </c>
      <c r="F44" s="31" t="inlineStr">
        <is>
          <t>pharmaceuticals - indian - bulk drugs &amp; formln</t>
        </is>
      </c>
      <c r="G44" s="31" t="inlineStr">
        <is>
          <t>midcap</t>
        </is>
      </c>
      <c r="H44" s="32" t="n">
        <v>6697.09</v>
      </c>
      <c r="I44" s="32" t="n">
        <v>128.33</v>
      </c>
      <c r="J44" s="32" t="n">
        <v>5</v>
      </c>
      <c r="K44" s="32" t="n">
        <v>7118942</v>
      </c>
      <c r="L44" s="31" t="n">
        <v>96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83.36</v>
      </c>
      <c r="P44" s="32" t="n">
        <v>57.09</v>
      </c>
      <c r="Q44" s="32" t="n">
        <v>97.11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15.65</v>
      </c>
      <c r="U44" s="32" t="n">
        <v>167.3</v>
      </c>
      <c r="V44" s="32" t="n">
        <v>131.12</v>
      </c>
      <c r="W44" s="32" t="n">
        <v>53.32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IF(B45=0,"",RANK(B45,$B$2:$B$220,0))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MAWANASUG</t>
        </is>
      </c>
      <c r="D45" s="31" t="inlineStr">
        <is>
          <t>Mawana Sugars Limited</t>
        </is>
      </c>
      <c r="E45" s="31" t="inlineStr">
        <is>
          <t>fmcg</t>
        </is>
      </c>
      <c r="F45" s="31" t="inlineStr">
        <is>
          <t>sugar</t>
        </is>
      </c>
      <c r="G45" s="31" t="inlineStr">
        <is>
          <t>smallcap</t>
        </is>
      </c>
      <c r="H45" s="32" t="n">
        <v>683.41</v>
      </c>
      <c r="I45" s="32" t="n">
        <v>181.37</v>
      </c>
      <c r="J45" s="32" t="n">
        <v>3.81</v>
      </c>
      <c r="K45" s="32" t="n">
        <v>1484384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73.56</v>
      </c>
      <c r="P45" s="32" t="n">
        <v>46.26</v>
      </c>
      <c r="Q45" s="32" t="n">
        <v>130.29</v>
      </c>
      <c r="R45" s="31" t="inlineStr">
        <is>
          <t>Volume Spike &amp; Near 52W High Breakout</t>
        </is>
      </c>
      <c r="S45" s="31" t="inlineStr">
        <is>
          <t>Nifty FMCG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IF(B46=0,"",RANK(B46,$B$2:$B$220,0))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E2E</t>
        </is>
      </c>
      <c r="D46" s="31" t="inlineStr">
        <is>
          <t>E2E Networks Ltd</t>
        </is>
      </c>
      <c r="E46" s="31" t="inlineStr">
        <is>
          <t>i.t</t>
        </is>
      </c>
      <c r="F46" s="31" t="inlineStr">
        <is>
          <t>computers - software - medium / small</t>
        </is>
      </c>
      <c r="G46" s="31" t="inlineStr">
        <is>
          <t>midcap</t>
        </is>
      </c>
      <c r="H46" s="32" t="n">
        <v>15124.44</v>
      </c>
      <c r="I46" s="32" t="n">
        <v>748.3</v>
      </c>
      <c r="J46" s="32" t="n">
        <v>1.71</v>
      </c>
      <c r="K46" s="32" t="n">
        <v>929957</v>
      </c>
      <c r="L46" s="31" t="n">
        <v>93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78.13</v>
      </c>
      <c r="P46" s="32" t="n">
        <v>57.39</v>
      </c>
      <c r="Q46" s="32" t="n">
        <v>541.7</v>
      </c>
      <c r="R46" s="31" t="inlineStr">
        <is>
          <t>Near 52W High Breakout</t>
        </is>
      </c>
      <c r="S46" s="31" t="inlineStr">
        <is>
          <t>Nifty IT</t>
        </is>
      </c>
      <c r="T46" s="32" t="n">
        <v>-13.68</v>
      </c>
      <c r="U46" s="32" t="n">
        <v>130.86</v>
      </c>
      <c r="V46" s="32" t="n">
        <v>167.44</v>
      </c>
      <c r="W46" s="32" t="n">
        <v>41.72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IF(B47=0,"",RANK(B47,$B$2:$B$220,0))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63MOONS</t>
        </is>
      </c>
      <c r="D47" s="31" t="inlineStr">
        <is>
          <t>63 Moons Technologies Ltd</t>
        </is>
      </c>
      <c r="E47" s="31" t="inlineStr">
        <is>
          <t>i.t</t>
        </is>
      </c>
      <c r="F47" s="31" t="inlineStr">
        <is>
          <t>computers - software - medium / small</t>
        </is>
      </c>
      <c r="G47" s="31" t="inlineStr">
        <is>
          <t>smallcap</t>
        </is>
      </c>
      <c r="H47" s="32" t="n">
        <v>4167.34</v>
      </c>
      <c r="I47" s="32" t="n">
        <v>913.4</v>
      </c>
      <c r="J47" s="32" t="n">
        <v>1</v>
      </c>
      <c r="K47" s="32" t="n">
        <v>844097</v>
      </c>
      <c r="L47" s="31" t="n">
        <v>30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60.23</v>
      </c>
      <c r="P47" s="32" t="n">
        <v>37.4</v>
      </c>
      <c r="Q47" s="32" t="n">
        <v>650.73</v>
      </c>
      <c r="R47" s="31" t="inlineStr">
        <is>
          <t>Volume Spike &amp; Near 52W High Breakout</t>
        </is>
      </c>
      <c r="S47" s="31" t="inlineStr">
        <is>
          <t>Nifty IT</t>
        </is>
      </c>
      <c r="T47" s="32" t="n">
        <v>-13.68</v>
      </c>
      <c r="U47" s="32" t="n">
        <v>15.54</v>
      </c>
      <c r="V47" s="32" t="n">
        <v>33.84</v>
      </c>
      <c r="W47" s="32" t="n">
        <v>9.08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IF(B48=0,"",RANK(B48,$B$2:$B$220,0))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DALMIASUG</t>
        </is>
      </c>
      <c r="D48" s="31" t="inlineStr">
        <is>
          <t>Dalmia Bharat Sugar And Industries Limited</t>
        </is>
      </c>
      <c r="E48" s="31" t="inlineStr">
        <is>
          <t>fmcg</t>
        </is>
      </c>
      <c r="F48" s="31" t="inlineStr">
        <is>
          <t>sugar</t>
        </is>
      </c>
      <c r="G48" s="31" t="inlineStr">
        <is>
          <t>smallcap</t>
        </is>
      </c>
      <c r="H48" s="32" t="n">
        <v>3966.03</v>
      </c>
      <c r="I48" s="32" t="n">
        <v>484.15</v>
      </c>
      <c r="J48" s="32" t="n">
        <v>-1.19</v>
      </c>
      <c r="K48" s="32" t="n">
        <v>475657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63.09</v>
      </c>
      <c r="P48" s="32" t="n">
        <v>41.97</v>
      </c>
      <c r="Q48" s="32" t="n">
        <v>351.88</v>
      </c>
      <c r="R48" s="31" t="inlineStr">
        <is>
          <t>Near 52W High Breakout</t>
        </is>
      </c>
      <c r="S48" s="31" t="inlineStr">
        <is>
          <t>Nifty FMCG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Less than 12%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IF(B49=0,"",RANK(B49,$B$2:$B$220,0))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AEGISLOG</t>
        </is>
      </c>
      <c r="D49" s="31" t="inlineStr">
        <is>
          <t>Aegis Logistics Ltd</t>
        </is>
      </c>
      <c r="E49" s="31" t="inlineStr">
        <is>
          <t>services</t>
        </is>
      </c>
      <c r="F49" s="31" t="inlineStr">
        <is>
          <t>trading</t>
        </is>
      </c>
      <c r="G49" s="31" t="inlineStr">
        <is>
          <t>largecap</t>
        </is>
      </c>
      <c r="H49" s="32" t="n">
        <v>48859.2</v>
      </c>
      <c r="I49" s="32" t="n">
        <v>1489.1</v>
      </c>
      <c r="J49" s="32" t="n">
        <v>6.98</v>
      </c>
      <c r="K49" s="32" t="n">
        <v>4475806</v>
      </c>
      <c r="L49" s="31" t="n">
        <v>59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68.26000000000001</v>
      </c>
      <c r="P49" s="32" t="n">
        <v>54.72</v>
      </c>
      <c r="Q49" s="32" t="n">
        <v>1084.94</v>
      </c>
      <c r="R49" s="31" t="inlineStr">
        <is>
          <t>Near 52W High Breakout</t>
        </is>
      </c>
      <c r="S49" s="31" t="inlineStr">
        <is>
          <t>Nifty 50</t>
        </is>
      </c>
      <c r="T49" s="32" t="n">
        <v>-12.01</v>
      </c>
      <c r="U49" s="32" t="n">
        <v>85.76000000000001</v>
      </c>
      <c r="V49" s="32" t="n">
        <v>111.11</v>
      </c>
      <c r="W49" s="32" t="n">
        <v>20.01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IF(B50=0,"",RANK(B50,$B$2:$B$220,0))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KENNAMET</t>
        </is>
      </c>
      <c r="D50" s="31" t="inlineStr">
        <is>
          <t>Kennametal India Ltd</t>
        </is>
      </c>
      <c r="E50" s="31" t="inlineStr">
        <is>
          <t>castings, forgings &amp; fasteners</t>
        </is>
      </c>
      <c r="F50" s="31" t="inlineStr">
        <is>
          <t>castings &amp; forgings</t>
        </is>
      </c>
      <c r="G50" s="31" t="inlineStr">
        <is>
          <t>midcap</t>
        </is>
      </c>
      <c r="H50" s="32" t="n">
        <v>9275.26</v>
      </c>
      <c r="I50" s="32" t="n">
        <v>4482.8</v>
      </c>
      <c r="J50" s="32" t="n">
        <v>6.22</v>
      </c>
      <c r="K50" s="32" t="n">
        <v>60945</v>
      </c>
      <c r="L50" s="31" t="n">
        <v>78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71.06</v>
      </c>
      <c r="P50" s="32" t="n">
        <v>50.58</v>
      </c>
      <c r="Q50" s="32" t="n">
        <v>3586.27</v>
      </c>
      <c r="R50" s="31" t="inlineStr">
        <is>
          <t>Near 52W High Breakout</t>
        </is>
      </c>
      <c r="S50" s="31" t="inlineStr">
        <is>
          <t>Nifty 50</t>
        </is>
      </c>
      <c r="T50" s="32" t="n">
        <v>-12.01</v>
      </c>
      <c r="U50" s="32" t="n">
        <v>118.13</v>
      </c>
      <c r="V50" s="32" t="n">
        <v>147.89</v>
      </c>
      <c r="W50" s="32" t="n">
        <v>30.84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IF(B51=0,"",RANK(B51,$B$2:$B$220,0))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TATVA</t>
        </is>
      </c>
      <c r="D51" s="31" t="inlineStr">
        <is>
          <t>Tatva Chintan Pharma Chem Ltd</t>
        </is>
      </c>
      <c r="E51" s="31" t="inlineStr">
        <is>
          <t>chemicals</t>
        </is>
      </c>
      <c r="F51" s="31" t="inlineStr">
        <is>
          <t>chemicals</t>
        </is>
      </c>
      <c r="G51" s="31" t="inlineStr">
        <is>
          <t>smallcap</t>
        </is>
      </c>
      <c r="H51" s="32" t="n">
        <v>4307.18</v>
      </c>
      <c r="I51" s="32" t="n">
        <v>1940.6</v>
      </c>
      <c r="J51" s="32" t="n">
        <v>5.39</v>
      </c>
      <c r="K51" s="32" t="n">
        <v>109514</v>
      </c>
      <c r="L51" s="31" t="n">
        <v>48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71.06</v>
      </c>
      <c r="P51" s="32" t="n">
        <v>44.12</v>
      </c>
      <c r="Q51" s="32" t="n">
        <v>1456.64</v>
      </c>
      <c r="R51" s="31" t="inlineStr">
        <is>
          <t>Near 52W High Breakout</t>
        </is>
      </c>
      <c r="S51" s="31" t="inlineStr">
        <is>
          <t>Nifty 50</t>
        </is>
      </c>
      <c r="T51" s="32" t="n">
        <v>-12.01</v>
      </c>
      <c r="U51" s="32" t="n">
        <v>46.14</v>
      </c>
      <c r="V51" s="32" t="n">
        <v>66.08</v>
      </c>
      <c r="W51" s="32" t="n">
        <v>16.05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IF(B52=0,"",RANK(B52,$B$2:$B$220,0))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FILATEX</t>
        </is>
      </c>
      <c r="D52" s="31" t="inlineStr">
        <is>
          <t>Filatex India Limited</t>
        </is>
      </c>
      <c r="E52" s="31" t="inlineStr">
        <is>
          <t>textiles</t>
        </is>
      </c>
      <c r="F52" s="31" t="inlineStr">
        <is>
          <t>textiles - manmade</t>
        </is>
      </c>
      <c r="G52" s="31" t="inlineStr">
        <is>
          <t>smallcap</t>
        </is>
      </c>
      <c r="H52" s="32" t="n">
        <v>4722.12</v>
      </c>
      <c r="I52" s="32" t="n">
        <v>111.8</v>
      </c>
      <c r="J52" s="32" t="n">
        <v>5.13</v>
      </c>
      <c r="K52" s="32" t="n">
        <v>2556945</v>
      </c>
      <c r="L52" s="31" t="n">
        <v>78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83.62</v>
      </c>
      <c r="P52" s="32" t="n">
        <v>55.98</v>
      </c>
      <c r="Q52" s="32" t="n">
        <v>83.93000000000001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-12.01</v>
      </c>
      <c r="U52" s="32" t="n">
        <v>102.79</v>
      </c>
      <c r="V52" s="32" t="n">
        <v>130.47</v>
      </c>
      <c r="W52" s="32" t="n">
        <v>30.78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Between 12 to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IF(B53=0,"",RANK(B53,$B$2:$B$220,0))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KABRAEXTRU</t>
        </is>
      </c>
      <c r="D53" s="31" t="inlineStr">
        <is>
          <t>Kabra Extrusion Technik Limited</t>
        </is>
      </c>
      <c r="E53" s="31" t="inlineStr">
        <is>
          <t>industrials</t>
        </is>
      </c>
      <c r="F53" s="31" t="inlineStr">
        <is>
          <t>engineering</t>
        </is>
      </c>
      <c r="G53" s="31" t="inlineStr">
        <is>
          <t>smallcap</t>
        </is>
      </c>
      <c r="H53" s="32" t="n">
        <v>3093.79</v>
      </c>
      <c r="I53" s="32" t="n">
        <v>838.65</v>
      </c>
      <c r="J53" s="32" t="n">
        <v>5</v>
      </c>
      <c r="K53" s="32" t="n">
        <v>44804</v>
      </c>
      <c r="L53" s="31" t="n">
        <v>97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78.16</v>
      </c>
      <c r="P53" s="32" t="n">
        <v>77.41</v>
      </c>
      <c r="Q53" s="32" t="n">
        <v>623.71</v>
      </c>
      <c r="R53" s="31" t="inlineStr">
        <is>
          <t>Near 52W High Breakout</t>
        </is>
      </c>
      <c r="S53" s="31" t="inlineStr">
        <is>
          <t>Nifty 50</t>
        </is>
      </c>
      <c r="T53" s="32" t="n">
        <v>-12.01</v>
      </c>
      <c r="U53" s="32" t="n">
        <v>241.89</v>
      </c>
      <c r="V53" s="32" t="n">
        <v>288.54</v>
      </c>
      <c r="W53" s="32" t="n">
        <v>69.31999999999999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IF(B54=0,"",RANK(B54,$B$2:$B$220,0))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HITECHCORP</t>
        </is>
      </c>
      <c r="D54" s="31" t="inlineStr">
        <is>
          <t>Hitech Corporation</t>
        </is>
      </c>
      <c r="E54" s="31" t="inlineStr">
        <is>
          <t>industrials</t>
        </is>
      </c>
      <c r="F54" s="31" t="inlineStr">
        <is>
          <t>packaging</t>
        </is>
      </c>
      <c r="G54" s="31" t="inlineStr">
        <is>
          <t>smallcap</t>
        </is>
      </c>
      <c r="H54" s="32" t="n">
        <v>641.08</v>
      </c>
      <c r="I54" s="32" t="n">
        <v>391.9</v>
      </c>
      <c r="J54" s="32" t="n">
        <v>5</v>
      </c>
      <c r="K54" s="32" t="n">
        <v>5887</v>
      </c>
      <c r="L54" s="31" t="n">
        <v>75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86.05</v>
      </c>
      <c r="P54" s="32" t="n">
        <v>66.11</v>
      </c>
      <c r="Q54" s="32" t="n">
        <v>330.22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-12.01</v>
      </c>
      <c r="U54" s="32" t="n">
        <v>108.42</v>
      </c>
      <c r="V54" s="32" t="n">
        <v>136.87</v>
      </c>
      <c r="W54" s="32" t="n">
        <v>28.45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IF(B55=0,"",RANK(B55,$B$2:$B$220,0))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LOTUSDEV</t>
        </is>
      </c>
      <c r="D55" s="31" t="inlineStr">
        <is>
          <t>Sri Lotus Developers &amp; Realty Ltd</t>
        </is>
      </c>
      <c r="E55" s="31" t="inlineStr">
        <is>
          <t>realty</t>
        </is>
      </c>
      <c r="F55" s="31" t="inlineStr">
        <is>
          <t>construction</t>
        </is>
      </c>
      <c r="G55" s="31" t="inlineStr">
        <is>
          <t>midcap</t>
        </is>
      </c>
      <c r="H55" s="32" t="n">
        <v>11276.32</v>
      </c>
      <c r="I55" s="32" t="n">
        <v>238.42</v>
      </c>
      <c r="J55" s="32" t="n">
        <v>3.33</v>
      </c>
      <c r="K55" s="32" t="n">
        <v>447752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71.91</v>
      </c>
      <c r="P55" s="32" t="n">
        <v>36.59</v>
      </c>
      <c r="Q55" s="32" t="n">
        <v>184.47</v>
      </c>
      <c r="R55" s="31" t="inlineStr">
        <is>
          <t>Near 52W High Breakout</t>
        </is>
      </c>
      <c r="S55" s="31" t="inlineStr">
        <is>
          <t>Nifty Realty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IF(B56=0,"",RANK(B56,$B$2:$B$220,0))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CYIENTDLM</t>
        </is>
      </c>
      <c r="D56" s="31" t="inlineStr">
        <is>
          <t>Cyient DLM Ltd</t>
        </is>
      </c>
      <c r="E56" s="31" t="inlineStr">
        <is>
          <t>aerospace &amp; defence</t>
        </is>
      </c>
      <c r="F56" s="31" t="inlineStr">
        <is>
          <t>electronics - components</t>
        </is>
      </c>
      <c r="G56" s="31" t="inlineStr">
        <is>
          <t>midcap</t>
        </is>
      </c>
      <c r="H56" s="32" t="n">
        <v>8027.64</v>
      </c>
      <c r="I56" s="32" t="n">
        <v>1038.55</v>
      </c>
      <c r="J56" s="32" t="n">
        <v>2.7</v>
      </c>
      <c r="K56" s="32" t="n">
        <v>748639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86.81999999999999</v>
      </c>
      <c r="P56" s="32" t="n">
        <v>79.45</v>
      </c>
      <c r="Q56" s="32" t="n">
        <v>802.99</v>
      </c>
      <c r="R56" s="31" t="inlineStr">
        <is>
          <t>Near 52W High Breakout</t>
        </is>
      </c>
      <c r="S56" s="31" t="inlineStr">
        <is>
          <t>Nifty 50</t>
        </is>
      </c>
      <c r="T56" s="32" t="n">
        <v>-12.01</v>
      </c>
      <c r="U56" s="32" t="n">
        <v>134.07</v>
      </c>
      <c r="V56" s="32" t="n">
        <v>166.01</v>
      </c>
      <c r="W56" s="32" t="n">
        <v>40.79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IF(B57=0,"",RANK(B57,$B$2:$B$220,0))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PCJEWELLER</t>
        </is>
      </c>
      <c r="D57" s="31" t="inlineStr">
        <is>
          <t>Pc Jeweller Limited</t>
        </is>
      </c>
      <c r="E57" s="31" t="inlineStr">
        <is>
          <t>consumer discretionary</t>
        </is>
      </c>
      <c r="F57" s="31" t="inlineStr">
        <is>
          <t>diamond cutting / jewellery</t>
        </is>
      </c>
      <c r="G57" s="31" t="inlineStr">
        <is>
          <t>midcap</t>
        </is>
      </c>
      <c r="H57" s="32" t="n">
        <v>13691.85</v>
      </c>
      <c r="I57" s="32" t="n">
        <v>14.47</v>
      </c>
      <c r="J57" s="32" t="n">
        <v>2.62</v>
      </c>
      <c r="K57" s="32" t="n">
        <v>413069436</v>
      </c>
      <c r="L57" s="31" t="n">
        <v>47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65.5</v>
      </c>
      <c r="P57" s="32" t="n">
        <v>39.12</v>
      </c>
      <c r="Q57" s="32" t="n">
        <v>10.35</v>
      </c>
      <c r="R57" s="31" t="inlineStr">
        <is>
          <t>Near 52W High Breakout</t>
        </is>
      </c>
      <c r="S57" s="31" t="inlineStr">
        <is>
          <t>Nifty 50</t>
        </is>
      </c>
      <c r="T57" s="32" t="n">
        <v>-12.01</v>
      </c>
      <c r="U57" s="32" t="n">
        <v>19.88</v>
      </c>
      <c r="V57" s="32" t="n">
        <v>36.24</v>
      </c>
      <c r="W57" s="32" t="n">
        <v>15.6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IF(B58=0,"",RANK(B58,$B$2:$B$220,0))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RBZJEWEL</t>
        </is>
      </c>
      <c r="D58" s="31" t="inlineStr">
        <is>
          <t>RBZ Jewellers Ltd</t>
        </is>
      </c>
      <c r="E58" s="31" t="inlineStr">
        <is>
          <t>consumer discretionary</t>
        </is>
      </c>
      <c r="F58" s="31" t="inlineStr">
        <is>
          <t>diamond cutting / jewellery</t>
        </is>
      </c>
      <c r="G58" s="31" t="inlineStr">
        <is>
          <t>smallcap</t>
        </is>
      </c>
      <c r="H58" s="32" t="n">
        <v>755.88</v>
      </c>
      <c r="I58" s="32" t="n">
        <v>193.15</v>
      </c>
      <c r="J58" s="32" t="n">
        <v>2.21</v>
      </c>
      <c r="K58" s="32" t="n">
        <v>46691</v>
      </c>
      <c r="L58" s="31" t="n">
        <v>40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62.92</v>
      </c>
      <c r="P58" s="32" t="n">
        <v>36.95</v>
      </c>
      <c r="Q58" s="32" t="n">
        <v>142.53</v>
      </c>
      <c r="R58" s="31" t="inlineStr">
        <is>
          <t>Near 52W High Breakout</t>
        </is>
      </c>
      <c r="S58" s="31" t="inlineStr">
        <is>
          <t>Nifty 50</t>
        </is>
      </c>
      <c r="T58" s="32" t="n">
        <v>-12.01</v>
      </c>
      <c r="U58" s="32" t="n">
        <v>32.83</v>
      </c>
      <c r="V58" s="32" t="n">
        <v>50.96</v>
      </c>
      <c r="W58" s="32" t="n">
        <v>12.02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IF(B59=0,"",RANK(B59,$B$2:$B$220,0))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MVGJL</t>
        </is>
      </c>
      <c r="D59" s="31" t="inlineStr">
        <is>
          <t>Manoj Vaibhav Gems N Jewellers Ltd</t>
        </is>
      </c>
      <c r="E59" s="31" t="inlineStr">
        <is>
          <t>consumer discretionary</t>
        </is>
      </c>
      <c r="F59" s="31" t="inlineStr">
        <is>
          <t>diamond cutting / jewellery</t>
        </is>
      </c>
      <c r="G59" s="31" t="inlineStr">
        <is>
          <t>smallcap</t>
        </is>
      </c>
      <c r="H59" s="32" t="n">
        <v>1040.99</v>
      </c>
      <c r="I59" s="32" t="n">
        <v>215.79</v>
      </c>
      <c r="J59" s="32" t="n">
        <v>1.26</v>
      </c>
      <c r="K59" s="32" t="n">
        <v>551046</v>
      </c>
      <c r="L59" s="31" t="n">
        <v>40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65.12</v>
      </c>
      <c r="P59" s="32" t="n">
        <v>25.65</v>
      </c>
      <c r="Q59" s="32" t="n">
        <v>161.17</v>
      </c>
      <c r="R59" s="31" t="inlineStr">
        <is>
          <t>Near 52W High Breakout</t>
        </is>
      </c>
      <c r="S59" s="31" t="inlineStr">
        <is>
          <t>Nifty 50</t>
        </is>
      </c>
      <c r="T59" s="32" t="n">
        <v>-12.01</v>
      </c>
      <c r="U59" s="32" t="n">
        <v>15.42</v>
      </c>
      <c r="V59" s="32" t="n">
        <v>31.17</v>
      </c>
      <c r="W59" s="32" t="n">
        <v>12.02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IF(B60=0,"",RANK(B60,$B$2:$B$220,0))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DELTACORP</t>
        </is>
      </c>
      <c r="D60" s="31" t="inlineStr">
        <is>
          <t>Delta Corp Limited</t>
        </is>
      </c>
      <c r="E60" s="31" t="inlineStr">
        <is>
          <t>miscellaneous</t>
        </is>
      </c>
      <c r="F60" s="31" t="inlineStr">
        <is>
          <t>recreation / amusement parks</t>
        </is>
      </c>
      <c r="G60" s="31" t="inlineStr">
        <is>
          <t>smallcap</t>
        </is>
      </c>
      <c r="H60" s="32" t="n">
        <v>2150.2</v>
      </c>
      <c r="I60" s="32" t="n">
        <v>81.20999999999999</v>
      </c>
      <c r="J60" s="32" t="n">
        <v>1.13</v>
      </c>
      <c r="K60" s="32" t="n">
        <v>4533096</v>
      </c>
      <c r="L60" s="31" t="n">
        <v>22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65.23999999999999</v>
      </c>
      <c r="P60" s="32" t="n">
        <v>26.27</v>
      </c>
      <c r="Q60" s="32" t="n">
        <v>57.36</v>
      </c>
      <c r="R60" s="31" t="inlineStr">
        <is>
          <t>Near 52W High Breakout</t>
        </is>
      </c>
      <c r="S60" s="31" t="inlineStr">
        <is>
          <t>Nifty 50</t>
        </is>
      </c>
      <c r="T60" s="32" t="n">
        <v>-12.01</v>
      </c>
      <c r="U60" s="32" t="n">
        <v>3.42</v>
      </c>
      <c r="V60" s="32" t="n">
        <v>17.53</v>
      </c>
      <c r="W60" s="32" t="n">
        <v>7.12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IF(B61=0,"",RANK(B61,$B$2:$B$220,0))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RPEL</t>
        </is>
      </c>
      <c r="D61" s="31" t="inlineStr">
        <is>
          <t>Raghav Productivity Enhancers Ltd</t>
        </is>
      </c>
      <c r="E61" s="31" t="inlineStr">
        <is>
          <t>building materials</t>
        </is>
      </c>
      <c r="F61" s="31" t="inlineStr">
        <is>
          <t>refractories / intermediates</t>
        </is>
      </c>
      <c r="G61" s="31" t="inlineStr">
        <is>
          <t>midcap</t>
        </is>
      </c>
      <c r="H61" s="32" t="n">
        <v>8518.98</v>
      </c>
      <c r="I61" s="32" t="n">
        <v>1865.5</v>
      </c>
      <c r="J61" s="32" t="n">
        <v>0.5600000000000001</v>
      </c>
      <c r="K61" s="32" t="n">
        <v>150671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72.17</v>
      </c>
      <c r="P61" s="32" t="n">
        <v>61.66</v>
      </c>
      <c r="Q61" s="32" t="n">
        <v>1352.04</v>
      </c>
      <c r="R61" s="31" t="inlineStr">
        <is>
          <t>Near 52W High Breakout</t>
        </is>
      </c>
      <c r="S61" s="31" t="inlineStr">
        <is>
          <t>Nifty Infra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IF(B62=0,"",RANK(B62,$B$2:$B$220,0))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TCPLPACK</t>
        </is>
      </c>
      <c r="D62" s="31" t="inlineStr">
        <is>
          <t>TCPL Packaging Ltd</t>
        </is>
      </c>
      <c r="E62" s="31" t="inlineStr">
        <is>
          <t>industrials</t>
        </is>
      </c>
      <c r="F62" s="31" t="inlineStr">
        <is>
          <t>packaging</t>
        </is>
      </c>
      <c r="G62" s="31" t="inlineStr">
        <is>
          <t>smallcap</t>
        </is>
      </c>
      <c r="H62" s="32" t="n">
        <v>3969.15</v>
      </c>
      <c r="I62" s="32" t="n">
        <v>4380</v>
      </c>
      <c r="J62" s="32" t="n">
        <v>0.42</v>
      </c>
      <c r="K62" s="32" t="n">
        <v>5319</v>
      </c>
      <c r="L62" s="31" t="n">
        <v>44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69.16</v>
      </c>
      <c r="P62" s="32" t="n">
        <v>52.65</v>
      </c>
      <c r="Q62" s="32" t="n">
        <v>3386.12</v>
      </c>
      <c r="R62" s="31" t="inlineStr">
        <is>
          <t>Near 52W High Breakout</t>
        </is>
      </c>
      <c r="S62" s="31" t="inlineStr">
        <is>
          <t>Nifty 50</t>
        </is>
      </c>
      <c r="T62" s="32" t="n">
        <v>-12.01</v>
      </c>
      <c r="U62" s="32" t="n">
        <v>24.5</v>
      </c>
      <c r="V62" s="32" t="n">
        <v>41.49</v>
      </c>
      <c r="W62" s="32" t="n">
        <v>13.88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IF(B63=0,"",RANK(B63,$B$2:$B$220,0))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CARTRADE</t>
        </is>
      </c>
      <c r="D63" s="31" t="inlineStr">
        <is>
          <t>Cartrade Tech Ltd</t>
        </is>
      </c>
      <c r="E63" s="31" t="inlineStr">
        <is>
          <t>consumer discretionary</t>
        </is>
      </c>
      <c r="F63" s="31" t="inlineStr">
        <is>
          <t>miscellaneous</t>
        </is>
      </c>
      <c r="G63" s="31" t="inlineStr">
        <is>
          <t>midcap</t>
        </is>
      </c>
      <c r="H63" s="32" t="n">
        <v>15140.7</v>
      </c>
      <c r="I63" s="32" t="n">
        <v>3151.5</v>
      </c>
      <c r="J63" s="32" t="n">
        <v>-0.04</v>
      </c>
      <c r="K63" s="32" t="n">
        <v>272238</v>
      </c>
      <c r="L63" s="31" t="n">
        <v>37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65.38</v>
      </c>
      <c r="P63" s="32" t="n">
        <v>48.58</v>
      </c>
      <c r="Q63" s="32" t="n">
        <v>2373.73</v>
      </c>
      <c r="R63" s="31" t="inlineStr">
        <is>
          <t>Near 52W High Breakout</t>
        </is>
      </c>
      <c r="S63" s="31" t="inlineStr">
        <is>
          <t>Nifty 50</t>
        </is>
      </c>
      <c r="T63" s="32" t="n">
        <v>-12.01</v>
      </c>
      <c r="U63" s="32" t="n">
        <v>28.23</v>
      </c>
      <c r="V63" s="32" t="n">
        <v>45.73</v>
      </c>
      <c r="W63" s="32" t="n">
        <v>11.53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IF(B64=0,"",RANK(B64,$B$2:$B$220,0))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MATRIMONY</t>
        </is>
      </c>
      <c r="D64" s="31" t="inlineStr">
        <is>
          <t>Matrimony.com Ltd</t>
        </is>
      </c>
      <c r="E64" s="31" t="inlineStr">
        <is>
          <t>miscellaneous</t>
        </is>
      </c>
      <c r="F64" s="31" t="inlineStr">
        <is>
          <t>miscellaneous</t>
        </is>
      </c>
      <c r="G64" s="31" t="inlineStr">
        <is>
          <t>smallcap</t>
        </is>
      </c>
      <c r="H64" s="32" t="n">
        <v>1121.22</v>
      </c>
      <c r="I64" s="32" t="n">
        <v>539.75</v>
      </c>
      <c r="J64" s="32" t="n">
        <v>-0.48</v>
      </c>
      <c r="K64" s="32" t="n">
        <v>15053</v>
      </c>
      <c r="L64" s="31" t="n">
        <v>28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61.41</v>
      </c>
      <c r="P64" s="32" t="n">
        <v>44.82</v>
      </c>
      <c r="Q64" s="32" t="n">
        <v>414.73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-12.01</v>
      </c>
      <c r="U64" s="32" t="n">
        <v>7.96</v>
      </c>
      <c r="V64" s="32" t="n">
        <v>22.7</v>
      </c>
      <c r="W64" s="32" t="n">
        <v>8.17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IF(B65=0,"",RANK(B65,$B$2:$B$220,0))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DMCC</t>
        </is>
      </c>
      <c r="D65" s="31" t="inlineStr">
        <is>
          <t>DMCC Speciality Chemicals Ltd</t>
        </is>
      </c>
      <c r="E65" s="31" t="inlineStr">
        <is>
          <t>chemicals</t>
        </is>
      </c>
      <c r="F65" s="31" t="inlineStr">
        <is>
          <t>chemicals</t>
        </is>
      </c>
      <c r="G65" s="31" t="inlineStr">
        <is>
          <t>smallcap</t>
        </is>
      </c>
      <c r="H65" s="32" t="n">
        <v>853.4400000000001</v>
      </c>
      <c r="I65" s="32" t="n">
        <v>338.35</v>
      </c>
      <c r="J65" s="32" t="n">
        <v>-1.13</v>
      </c>
      <c r="K65" s="32" t="n">
        <v>101219</v>
      </c>
      <c r="L65" s="31" t="n">
        <v>34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67.81999999999999</v>
      </c>
      <c r="P65" s="32" t="n">
        <v>40.02</v>
      </c>
      <c r="Q65" s="32" t="n">
        <v>247.36</v>
      </c>
      <c r="R65" s="31" t="inlineStr">
        <is>
          <t>Near 52W High Breakout</t>
        </is>
      </c>
      <c r="S65" s="31" t="inlineStr">
        <is>
          <t>Nifty 50</t>
        </is>
      </c>
      <c r="T65" s="32" t="n">
        <v>-12.01</v>
      </c>
      <c r="U65" s="32" t="n">
        <v>12.54</v>
      </c>
      <c r="V65" s="32" t="n">
        <v>27.89</v>
      </c>
      <c r="W65" s="32" t="n">
        <v>10.32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IF(B66=0,"",RANK(B66,$B$2:$B$220,0))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SUNTV</t>
        </is>
      </c>
      <c r="D66" s="31" t="inlineStr">
        <is>
          <t>Sun Tv Network Limited</t>
        </is>
      </c>
      <c r="E66" s="31" t="inlineStr">
        <is>
          <t>media</t>
        </is>
      </c>
      <c r="F66" s="31" t="inlineStr">
        <is>
          <t>entertainment / electronic media software</t>
        </is>
      </c>
      <c r="G66" s="31" t="inlineStr">
        <is>
          <t>largecap</t>
        </is>
      </c>
      <c r="H66" s="32" t="n">
        <v>25065.75</v>
      </c>
      <c r="I66" s="32" t="n">
        <v>653.1</v>
      </c>
      <c r="J66" s="32" t="n">
        <v>2.68</v>
      </c>
      <c r="K66" s="32" t="n">
        <v>716120</v>
      </c>
      <c r="L66" s="31" t="n">
        <v>36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70.09</v>
      </c>
      <c r="P66" s="32" t="n">
        <v>23.29</v>
      </c>
      <c r="Q66" s="32" t="n">
        <v>518.4299999999999</v>
      </c>
      <c r="R66" s="31" t="inlineStr">
        <is>
          <t>Near 52W High Breakout</t>
        </is>
      </c>
      <c r="S66" s="31" t="inlineStr">
        <is>
          <t>Nifty IT</t>
        </is>
      </c>
      <c r="T66" s="32" t="n">
        <v>-13.68</v>
      </c>
      <c r="U66" s="32" t="n">
        <v>17.74</v>
      </c>
      <c r="V66" s="32" t="n">
        <v>36.39</v>
      </c>
      <c r="W66" s="32" t="n">
        <v>11.48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Between 12 to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IF(B67=0,"",RANK(B67,$B$2:$B$220,0))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CUPID</t>
        </is>
      </c>
      <c r="D67" s="31" t="inlineStr">
        <is>
          <t>Cupid Limited</t>
        </is>
      </c>
      <c r="E67" s="31" t="inlineStr">
        <is>
          <t>fmcg</t>
        </is>
      </c>
      <c r="F67" s="31" t="inlineStr">
        <is>
          <t>personal care - indian</t>
        </is>
      </c>
      <c r="G67" s="31" t="inlineStr">
        <is>
          <t>largecap</t>
        </is>
      </c>
      <c r="H67" s="32" t="n">
        <v>47479.97</v>
      </c>
      <c r="I67" s="32" t="n">
        <v>354.6</v>
      </c>
      <c r="J67" s="32" t="n">
        <v>0.42</v>
      </c>
      <c r="K67" s="32" t="n">
        <v>10980021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82.15000000000001</v>
      </c>
      <c r="P67" s="32" t="n">
        <v>65.09999999999999</v>
      </c>
      <c r="Q67" s="32" t="n">
        <v>281.76</v>
      </c>
      <c r="R67" s="31" t="inlineStr">
        <is>
          <t>Near 52W High Breakout</t>
        </is>
      </c>
      <c r="S67" s="31" t="inlineStr">
        <is>
          <t>Nifty FMCG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B2C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IF(B68=0,"",RANK(B68,$B$2:$B$220,0))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ZIMLAB</t>
        </is>
      </c>
      <c r="D68" s="31" t="inlineStr">
        <is>
          <t>Zim Laboratories Ltd</t>
        </is>
      </c>
      <c r="E68" s="31" t="inlineStr">
        <is>
          <t>healthcare</t>
        </is>
      </c>
      <c r="F68" s="31" t="inlineStr">
        <is>
          <t>pharmaceuticals - indian - bulk drugs &amp; formln</t>
        </is>
      </c>
      <c r="G68" s="31" t="inlineStr">
        <is>
          <t>smallcap</t>
        </is>
      </c>
      <c r="H68" s="32" t="n">
        <v>787.55</v>
      </c>
      <c r="I68" s="32" t="n">
        <v>145.43</v>
      </c>
      <c r="J68" s="32" t="n">
        <v>-0.91</v>
      </c>
      <c r="K68" s="32" t="n">
        <v>106571</v>
      </c>
      <c r="L68" s="31" t="n">
        <v>64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69.37</v>
      </c>
      <c r="P68" s="32" t="n">
        <v>58.67</v>
      </c>
      <c r="Q68" s="32" t="n">
        <v>109.74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15.65</v>
      </c>
      <c r="U68" s="32" t="n">
        <v>112.49</v>
      </c>
      <c r="V68" s="32" t="n">
        <v>83.73</v>
      </c>
      <c r="W68" s="32" t="n">
        <v>21.77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IF(B69=0,"",RANK(B69,$B$2:$B$220,0))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WSTCSTPAPR</t>
        </is>
      </c>
      <c r="D69" s="31" t="inlineStr">
        <is>
          <t>West Coast Paper Mills Limited</t>
        </is>
      </c>
      <c r="E69" s="31" t="inlineStr">
        <is>
          <t>building materials</t>
        </is>
      </c>
      <c r="F69" s="31" t="inlineStr">
        <is>
          <t>paper</t>
        </is>
      </c>
      <c r="G69" s="31" t="inlineStr">
        <is>
          <t>midcap</t>
        </is>
      </c>
      <c r="H69" s="32" t="n">
        <v>5470.17</v>
      </c>
      <c r="I69" s="32" t="n">
        <v>940.45</v>
      </c>
      <c r="J69" s="32" t="n">
        <v>13.55</v>
      </c>
      <c r="K69" s="32" t="n">
        <v>6111695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82.79000000000001</v>
      </c>
      <c r="P69" s="32" t="n">
        <v>67.01000000000001</v>
      </c>
      <c r="Q69" s="32" t="n">
        <v>739.8</v>
      </c>
      <c r="R69" s="31" t="inlineStr">
        <is>
          <t>Volume Spike &amp; Near 52W High Breakout</t>
        </is>
      </c>
      <c r="S69" s="31" t="inlineStr">
        <is>
          <t>Nifty Infra</t>
        </is>
      </c>
      <c r="T69" s="32" t="inlineStr"/>
      <c r="U69" s="32" t="inlineStr"/>
      <c r="V69" s="32" t="inlineStr"/>
      <c r="W69" s="32" t="inlineStr"/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IF(B70=0,"",RANK(B70,$B$2:$B$220,0))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WHEELS</t>
        </is>
      </c>
      <c r="D70" s="31" t="inlineStr">
        <is>
          <t>Wheels India Limited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midcap</t>
        </is>
      </c>
      <c r="H70" s="32" t="n">
        <v>6248.99</v>
      </c>
      <c r="I70" s="32" t="n">
        <v>2409.3</v>
      </c>
      <c r="J70" s="32" t="n">
        <v>3.57</v>
      </c>
      <c r="K70" s="32" t="n">
        <v>163438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76.89</v>
      </c>
      <c r="P70" s="32" t="n">
        <v>61.87</v>
      </c>
      <c r="Q70" s="32" t="n">
        <v>1796.87</v>
      </c>
      <c r="R70" s="31" t="inlineStr">
        <is>
          <t>Near 52W High Breakout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IF(B71=0,"",RANK(B71,$B$2:$B$220,0))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MAZDA</t>
        </is>
      </c>
      <c r="D71" s="31" t="inlineStr">
        <is>
          <t>Mazda Limited</t>
        </is>
      </c>
      <c r="E71" s="31" t="inlineStr">
        <is>
          <t>industrials</t>
        </is>
      </c>
      <c r="F71" s="31" t="inlineStr">
        <is>
          <t>engineering</t>
        </is>
      </c>
      <c r="G71" s="31" t="inlineStr">
        <is>
          <t>smallcap</t>
        </is>
      </c>
      <c r="H71" s="32" t="n">
        <v>622.58</v>
      </c>
      <c r="I71" s="32" t="n">
        <v>320.45</v>
      </c>
      <c r="J71" s="32" t="n">
        <v>3.07</v>
      </c>
      <c r="K71" s="32" t="n">
        <v>111970</v>
      </c>
      <c r="L71" s="31" t="n">
        <v>44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73.56</v>
      </c>
      <c r="P71" s="32" t="n">
        <v>37.32</v>
      </c>
      <c r="Q71" s="32" t="n">
        <v>243.07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-12.01</v>
      </c>
      <c r="U71" s="32" t="n">
        <v>16.59</v>
      </c>
      <c r="V71" s="32" t="n">
        <v>32.5</v>
      </c>
      <c r="W71" s="32" t="n">
        <v>13.87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IF(B72=0,"",RANK(B72,$B$2:$B$220,0))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NRAIL</t>
        </is>
      </c>
      <c r="D72" s="31" t="inlineStr">
        <is>
          <t>N R Agarwal Industries Ltd</t>
        </is>
      </c>
      <c r="E72" s="31" t="inlineStr">
        <is>
          <t>building materials</t>
        </is>
      </c>
      <c r="F72" s="31" t="inlineStr">
        <is>
          <t>paper</t>
        </is>
      </c>
      <c r="G72" s="31" t="inlineStr">
        <is>
          <t>smallcap</t>
        </is>
      </c>
      <c r="H72" s="32" t="n">
        <v>1283.41</v>
      </c>
      <c r="I72" s="32" t="n">
        <v>774.2</v>
      </c>
      <c r="J72" s="32" t="n">
        <v>2.67</v>
      </c>
      <c r="K72" s="32" t="n">
        <v>119109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74.91</v>
      </c>
      <c r="P72" s="32" t="n">
        <v>51.3</v>
      </c>
      <c r="Q72" s="32" t="n">
        <v>564.1900000000001</v>
      </c>
      <c r="R72" s="31" t="inlineStr">
        <is>
          <t>Volume Spike &amp; Near 52W High Breakout</t>
        </is>
      </c>
      <c r="S72" s="31" t="inlineStr">
        <is>
          <t>Nifty Infra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IF(B73=0,"",RANK(B73,$B$2:$B$220,0))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OAL</t>
        </is>
      </c>
      <c r="D73" s="31" t="inlineStr">
        <is>
          <t>Oriental Aromatics Ltd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smallcap</t>
        </is>
      </c>
      <c r="H73" s="32" t="n">
        <v>1719.53</v>
      </c>
      <c r="I73" s="32" t="n">
        <v>522.35</v>
      </c>
      <c r="J73" s="32" t="n">
        <v>2.23</v>
      </c>
      <c r="K73" s="32" t="n">
        <v>29094</v>
      </c>
      <c r="L73" s="31" t="n">
        <v>61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71.16</v>
      </c>
      <c r="P73" s="32" t="n">
        <v>43.85</v>
      </c>
      <c r="Q73" s="32" t="n">
        <v>388.78</v>
      </c>
      <c r="R73" s="31" t="inlineStr">
        <is>
          <t>Near 52W High Breakout</t>
        </is>
      </c>
      <c r="S73" s="31" t="inlineStr">
        <is>
          <t>Nifty 50</t>
        </is>
      </c>
      <c r="T73" s="32" t="n">
        <v>-12.01</v>
      </c>
      <c r="U73" s="32" t="n">
        <v>55.11</v>
      </c>
      <c r="V73" s="32" t="n">
        <v>76.28</v>
      </c>
      <c r="W73" s="32" t="n">
        <v>20.4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IF(B74=0,"",RANK(B74,$B$2:$B$220,0))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NAHARINDUS</t>
        </is>
      </c>
      <c r="D74" s="31" t="inlineStr">
        <is>
          <t>Nahar Industrial Enterprises Limited</t>
        </is>
      </c>
      <c r="E74" s="31" t="inlineStr">
        <is>
          <t>textiles</t>
        </is>
      </c>
      <c r="F74" s="31" t="inlineStr">
        <is>
          <t>textiles - cotton/blended</t>
        </is>
      </c>
      <c r="G74" s="31" t="inlineStr">
        <is>
          <t>smallcap</t>
        </is>
      </c>
      <c r="H74" s="32" t="n">
        <v>567.42</v>
      </c>
      <c r="I74" s="32" t="n">
        <v>133.57</v>
      </c>
      <c r="J74" s="32" t="n">
        <v>1.71</v>
      </c>
      <c r="K74" s="32" t="n">
        <v>13891</v>
      </c>
      <c r="L74" s="31" t="n">
        <v>22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60.79</v>
      </c>
      <c r="P74" s="32" t="n">
        <v>35.88</v>
      </c>
      <c r="Q74" s="32" t="n">
        <v>104.44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-12.01</v>
      </c>
      <c r="U74" s="32" t="n">
        <v>16.48</v>
      </c>
      <c r="V74" s="32" t="n">
        <v>32.38</v>
      </c>
      <c r="W74" s="32" t="n">
        <v>6.59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Between 1.5 to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IF(B75=0,"",RANK(B75,$B$2:$B$220,0))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KMEW</t>
        </is>
      </c>
      <c r="D75" s="31" t="inlineStr">
        <is>
          <t>Knowledge Marine &amp; Engineering Works Ltd</t>
        </is>
      </c>
      <c r="E75" s="31" t="inlineStr">
        <is>
          <t>transportation</t>
        </is>
      </c>
      <c r="F75" s="31" t="inlineStr">
        <is>
          <t>miscellaneous</t>
        </is>
      </c>
      <c r="G75" s="31" t="inlineStr">
        <is>
          <t>midcap</t>
        </is>
      </c>
      <c r="H75" s="32" t="n">
        <v>8173.58</v>
      </c>
      <c r="I75" s="32" t="n">
        <v>3287</v>
      </c>
      <c r="J75" s="32" t="n">
        <v>1.38</v>
      </c>
      <c r="K75" s="32" t="n">
        <v>83830</v>
      </c>
      <c r="L75" s="31" t="n">
        <v>85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78.97</v>
      </c>
      <c r="P75" s="32" t="n">
        <v>58.88</v>
      </c>
      <c r="Q75" s="32" t="n">
        <v>2431.28</v>
      </c>
      <c r="R75" s="31" t="inlineStr">
        <is>
          <t>Near 52W High Breakout</t>
        </is>
      </c>
      <c r="S75" s="31" t="inlineStr">
        <is>
          <t>Nifty 50</t>
        </is>
      </c>
      <c r="T75" s="32" t="n">
        <v>-12.01</v>
      </c>
      <c r="U75" s="32" t="n">
        <v>198.99</v>
      </c>
      <c r="V75" s="32" t="n">
        <v>239.8</v>
      </c>
      <c r="W75" s="32" t="n">
        <v>34.84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IF(B76=0,"",RANK(B76,$B$2:$B$220,0))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OPTIEMUS</t>
        </is>
      </c>
      <c r="D76" s="31" t="inlineStr">
        <is>
          <t>Optiemus Infracom Ltd</t>
        </is>
      </c>
      <c r="E76" s="31" t="inlineStr">
        <is>
          <t>telecom</t>
        </is>
      </c>
      <c r="F76" s="31" t="inlineStr">
        <is>
          <t>trading</t>
        </is>
      </c>
      <c r="G76" s="31" t="inlineStr">
        <is>
          <t>midcap</t>
        </is>
      </c>
      <c r="H76" s="32" t="n">
        <v>7136.22</v>
      </c>
      <c r="I76" s="32" t="n">
        <v>794.25</v>
      </c>
      <c r="J76" s="32" t="n">
        <v>0.35</v>
      </c>
      <c r="K76" s="32" t="n">
        <v>393035</v>
      </c>
      <c r="L76" s="31" t="n">
        <v>46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73.2</v>
      </c>
      <c r="P76" s="32" t="n">
        <v>46.56</v>
      </c>
      <c r="Q76" s="32" t="n">
        <v>593.1900000000001</v>
      </c>
      <c r="R76" s="31" t="inlineStr">
        <is>
          <t>Near 52W High Breakout</t>
        </is>
      </c>
      <c r="S76" s="31" t="inlineStr">
        <is>
          <t>Nifty 50</t>
        </is>
      </c>
      <c r="T76" s="32" t="n">
        <v>-12.01</v>
      </c>
      <c r="U76" s="32" t="n">
        <v>26.4</v>
      </c>
      <c r="V76" s="32" t="n">
        <v>43.65</v>
      </c>
      <c r="W76" s="32" t="n">
        <v>15.1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IF(B77=0,"",RANK(B77,$B$2:$B$220,0))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DIACABS</t>
        </is>
      </c>
      <c r="D77" s="31" t="inlineStr">
        <is>
          <t>Diamond Power Infrastructure Ltd</t>
        </is>
      </c>
      <c r="E77" s="31" t="inlineStr">
        <is>
          <t>industrials</t>
        </is>
      </c>
      <c r="F77" s="31" t="inlineStr">
        <is>
          <t>cables - power</t>
        </is>
      </c>
      <c r="G77" s="31" t="inlineStr">
        <is>
          <t>largecap</t>
        </is>
      </c>
      <c r="H77" s="32" t="n">
        <v>22580.17</v>
      </c>
      <c r="I77" s="32" t="n">
        <v>378.75</v>
      </c>
      <c r="J77" s="32" t="n">
        <v>0.32</v>
      </c>
      <c r="K77" s="32" t="n">
        <v>330128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73.31</v>
      </c>
      <c r="P77" s="32" t="n">
        <v>66.59</v>
      </c>
      <c r="Q77" s="32" t="n">
        <v>287.33</v>
      </c>
      <c r="R77" s="31" t="inlineStr">
        <is>
          <t>Near 52W High Breakout</t>
        </is>
      </c>
      <c r="S77" s="31" t="inlineStr">
        <is>
          <t>Nifty Energy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IF(B78=0,"",RANK(B78,$B$2:$B$220,0))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BOSCH-HCIL</t>
        </is>
      </c>
      <c r="D78" s="31" t="inlineStr">
        <is>
          <t>Bosch Home Comfort India Ltd</t>
        </is>
      </c>
      <c r="E78" s="31" t="inlineStr">
        <is>
          <t>consumer discretionary</t>
        </is>
      </c>
      <c r="F78" s="31" t="inlineStr">
        <is>
          <t>air-conditioners</t>
        </is>
      </c>
      <c r="G78" s="31" t="inlineStr">
        <is>
          <t>midcap</t>
        </is>
      </c>
      <c r="H78" s="32" t="n">
        <v>5192.37</v>
      </c>
      <c r="I78" s="32" t="n">
        <v>1902.2</v>
      </c>
      <c r="J78" s="32" t="n">
        <v>-0.39</v>
      </c>
      <c r="K78" s="32" t="n">
        <v>15699</v>
      </c>
      <c r="L78" s="31" t="n">
        <v>42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66.09999999999999</v>
      </c>
      <c r="P78" s="32" t="n">
        <v>42.61</v>
      </c>
      <c r="Q78" s="32" t="n">
        <v>1585.19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-12.01</v>
      </c>
      <c r="U78" s="32" t="n">
        <v>10.54</v>
      </c>
      <c r="V78" s="32" t="n">
        <v>25.63</v>
      </c>
      <c r="W78" s="32" t="n">
        <v>12.65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IF(B79=0,"",RANK(B79,$B$2:$B$220,0))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HFCL</t>
        </is>
      </c>
      <c r="D79" s="31" t="inlineStr">
        <is>
          <t>HFCL Ltd</t>
        </is>
      </c>
      <c r="E79" s="31" t="inlineStr">
        <is>
          <t>telecom</t>
        </is>
      </c>
      <c r="F79" s="31" t="inlineStr">
        <is>
          <t>cables - telephone</t>
        </is>
      </c>
      <c r="G79" s="31" t="inlineStr">
        <is>
          <t>largecap</t>
        </is>
      </c>
      <c r="H79" s="32" t="n">
        <v>40101.78</v>
      </c>
      <c r="I79" s="32" t="n">
        <v>256.65</v>
      </c>
      <c r="J79" s="32" t="n">
        <v>-2.04</v>
      </c>
      <c r="K79" s="32" t="n">
        <v>3054385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69.73</v>
      </c>
      <c r="P79" s="32" t="n">
        <v>48.32</v>
      </c>
      <c r="Q79" s="32" t="n">
        <v>187.96</v>
      </c>
      <c r="R79" s="31" t="inlineStr">
        <is>
          <t>Near 52W High Breakout</t>
        </is>
      </c>
      <c r="S79" s="31" t="inlineStr">
        <is>
          <t>Nifty Infra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IF(B80=0,"",RANK(B80,$B$2:$B$220,0))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BAFNAPH</t>
        </is>
      </c>
      <c r="D80" s="31" t="inlineStr">
        <is>
          <t>Bafna Pharmaceuticals Ltd</t>
        </is>
      </c>
      <c r="E80" s="31" t="inlineStr">
        <is>
          <t>healthcare</t>
        </is>
      </c>
      <c r="F80" s="31" t="inlineStr">
        <is>
          <t>pharmaceuticals - indian - formulations</t>
        </is>
      </c>
      <c r="G80" s="31" t="inlineStr">
        <is>
          <t>smallcap</t>
        </is>
      </c>
      <c r="H80" s="32" t="n">
        <v>1028.7</v>
      </c>
      <c r="I80" s="32" t="n">
        <v>443.5</v>
      </c>
      <c r="J80" s="32" t="n">
        <v>1.99</v>
      </c>
      <c r="K80" s="32" t="n">
        <v>2305</v>
      </c>
      <c r="L80" s="31" t="n">
        <v>95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84.68000000000001</v>
      </c>
      <c r="P80" s="32" t="n">
        <v>64.7</v>
      </c>
      <c r="Q80" s="32" t="n">
        <v>366.69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15.65</v>
      </c>
      <c r="U80" s="32" t="n">
        <v>208.2</v>
      </c>
      <c r="V80" s="32" t="n">
        <v>166.49</v>
      </c>
      <c r="W80" s="32" t="n">
        <v>50.54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IF(B81=0,"",RANK(B81,$B$2:$B$220,0))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ONEPOINT</t>
        </is>
      </c>
      <c r="D81" s="31" t="inlineStr">
        <is>
          <t>One Point One Solutions Ltd</t>
        </is>
      </c>
      <c r="E81" s="31" t="inlineStr">
        <is>
          <t>i.t</t>
        </is>
      </c>
      <c r="F81" s="31" t="inlineStr">
        <is>
          <t>computers - software - medium / small</t>
        </is>
      </c>
      <c r="G81" s="31" t="inlineStr">
        <is>
          <t>smallcap</t>
        </is>
      </c>
      <c r="H81" s="32" t="n">
        <v>2239.17</v>
      </c>
      <c r="I81" s="32" t="n">
        <v>85.14</v>
      </c>
      <c r="J81" s="32" t="n">
        <v>-0.02</v>
      </c>
      <c r="K81" s="32" t="n">
        <v>5042672</v>
      </c>
      <c r="L81" s="31" t="n">
        <v>73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79.05</v>
      </c>
      <c r="P81" s="32" t="n">
        <v>23.73</v>
      </c>
      <c r="Q81" s="32" t="n">
        <v>67.94</v>
      </c>
      <c r="R81" s="31" t="inlineStr">
        <is>
          <t>Near 52W High Breakout</t>
        </is>
      </c>
      <c r="S81" s="31" t="inlineStr">
        <is>
          <t>Nifty IT</t>
        </is>
      </c>
      <c r="T81" s="32" t="n">
        <v>-13.68</v>
      </c>
      <c r="U81" s="32" t="n">
        <v>91.15000000000001</v>
      </c>
      <c r="V81" s="32" t="n">
        <v>121.44</v>
      </c>
      <c r="W81" s="32" t="n">
        <v>27.09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IF(B82=0,"",RANK(B82,$B$2:$B$220,0))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NPST</t>
        </is>
      </c>
      <c r="D82" s="31" t="inlineStr">
        <is>
          <t>Network People Services Technologies Ltd</t>
        </is>
      </c>
      <c r="E82" s="31" t="inlineStr">
        <is>
          <t>i.t</t>
        </is>
      </c>
      <c r="F82" s="31" t="inlineStr">
        <is>
          <t>computers - software - medium / small</t>
        </is>
      </c>
      <c r="G82" s="31" t="inlineStr">
        <is>
          <t>smallcap</t>
        </is>
      </c>
      <c r="H82" s="32" t="n">
        <v>3821.57</v>
      </c>
      <c r="I82" s="32" t="n">
        <v>1831</v>
      </c>
      <c r="J82" s="32" t="n">
        <v>-0.04</v>
      </c>
      <c r="K82" s="32" t="n">
        <v>30039</v>
      </c>
      <c r="L82" s="31" t="n">
        <v>16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63.17</v>
      </c>
      <c r="P82" s="32" t="n">
        <v>32.8</v>
      </c>
      <c r="Q82" s="32" t="n">
        <v>1276.72</v>
      </c>
      <c r="R82" s="31" t="inlineStr">
        <is>
          <t>Near 52W High Breakout</t>
        </is>
      </c>
      <c r="S82" s="31" t="inlineStr">
        <is>
          <t>Nifty IT</t>
        </is>
      </c>
      <c r="T82" s="32" t="n">
        <v>-13.68</v>
      </c>
      <c r="U82" s="32" t="n">
        <v>-3.07</v>
      </c>
      <c r="V82" s="32" t="n">
        <v>12.29</v>
      </c>
      <c r="W82" s="32" t="n">
        <v>4.22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IF(B83=0,"",RANK(B83,$B$2:$B$220,0))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DBOL</t>
        </is>
      </c>
      <c r="D83" s="31" t="inlineStr">
        <is>
          <t>Dhampur Bio Organics Ltd</t>
        </is>
      </c>
      <c r="E83" s="31" t="inlineStr">
        <is>
          <t>fmcg</t>
        </is>
      </c>
      <c r="F83" s="31" t="inlineStr">
        <is>
          <t>sugar</t>
        </is>
      </c>
      <c r="G83" s="31" t="inlineStr">
        <is>
          <t>smallcap</t>
        </is>
      </c>
      <c r="H83" s="32" t="n">
        <v>970.1900000000001</v>
      </c>
      <c r="I83" s="32" t="n">
        <v>145.24</v>
      </c>
      <c r="J83" s="32" t="n">
        <v>-0.62</v>
      </c>
      <c r="K83" s="32" t="n">
        <v>456174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68.83</v>
      </c>
      <c r="P83" s="32" t="n">
        <v>36.6</v>
      </c>
      <c r="Q83" s="32" t="n">
        <v>107.73</v>
      </c>
      <c r="R83" s="31" t="inlineStr">
        <is>
          <t>Near 52W High Breakout</t>
        </is>
      </c>
      <c r="S83" s="31" t="inlineStr">
        <is>
          <t>Nifty FMCG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B2C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IF(B84=0,"",RANK(B84,$B$2:$B$220,0))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BALRAMCHIN</t>
        </is>
      </c>
      <c r="D84" s="31" t="inlineStr">
        <is>
          <t>Balrampur Chini Mills Limited</t>
        </is>
      </c>
      <c r="E84" s="31" t="inlineStr">
        <is>
          <t>fmcg</t>
        </is>
      </c>
      <c r="F84" s="31" t="inlineStr">
        <is>
          <t>sugar</t>
        </is>
      </c>
      <c r="G84" s="31" t="inlineStr">
        <is>
          <t>midcap</t>
        </is>
      </c>
      <c r="H84" s="32" t="n">
        <v>15239.25</v>
      </c>
      <c r="I84" s="32" t="n">
        <v>713.85</v>
      </c>
      <c r="J84" s="32" t="n">
        <v>-0.88</v>
      </c>
      <c r="K84" s="32" t="n">
        <v>2007330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65.34</v>
      </c>
      <c r="P84" s="32" t="n">
        <v>60.9</v>
      </c>
      <c r="Q84" s="32" t="n">
        <v>557.49</v>
      </c>
      <c r="R84" s="31" t="inlineStr">
        <is>
          <t>Near 52W High Breakout</t>
        </is>
      </c>
      <c r="S84" s="31" t="inlineStr">
        <is>
          <t>Nifty FMCG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IF(B85=0,"",RANK(B85,$B$2:$B$220,0))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BLUSPRING</t>
        </is>
      </c>
      <c r="D85" s="31" t="inlineStr">
        <is>
          <t>Bluspring Enterprises Ltd</t>
        </is>
      </c>
      <c r="E85" s="31" t="inlineStr">
        <is>
          <t>miscellaneous</t>
        </is>
      </c>
      <c r="F85" s="31" t="inlineStr">
        <is>
          <t>diversified - large</t>
        </is>
      </c>
      <c r="G85" s="31" t="inlineStr">
        <is>
          <t>smallcap</t>
        </is>
      </c>
      <c r="H85" s="32" t="n">
        <v>2350.56</v>
      </c>
      <c r="I85" s="32" t="n">
        <v>166.25</v>
      </c>
      <c r="J85" s="32" t="n">
        <v>5.7</v>
      </c>
      <c r="K85" s="32" t="n">
        <v>1034834</v>
      </c>
      <c r="L85" s="31" t="n">
        <v>77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75.25</v>
      </c>
      <c r="P85" s="32" t="n">
        <v>58.61</v>
      </c>
      <c r="Q85" s="32" t="n">
        <v>117.68</v>
      </c>
      <c r="R85" s="31" t="inlineStr">
        <is>
          <t>Volume Spike &amp; Near 52W High Breakout</t>
        </is>
      </c>
      <c r="S85" s="31" t="inlineStr">
        <is>
          <t>Nifty 50</t>
        </is>
      </c>
      <c r="T85" s="32" t="n">
        <v>-12.01</v>
      </c>
      <c r="U85" s="32" t="n">
        <v>108.12</v>
      </c>
      <c r="V85" s="32" t="n">
        <v>136.53</v>
      </c>
      <c r="W85" s="32" t="n">
        <v>29.9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IF(B86=0,"",RANK(B86,$B$2:$B$220,0))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INDORAMA</t>
        </is>
      </c>
      <c r="D86" s="31" t="inlineStr">
        <is>
          <t>Indo Rama Synthetics (india) Limited</t>
        </is>
      </c>
      <c r="E86" s="31" t="inlineStr">
        <is>
          <t>textiles</t>
        </is>
      </c>
      <c r="F86" s="31" t="inlineStr">
        <is>
          <t>textiles - manmade</t>
        </is>
      </c>
      <c r="G86" s="31" t="inlineStr">
        <is>
          <t>smallcap</t>
        </is>
      </c>
      <c r="H86" s="32" t="n">
        <v>2383.18</v>
      </c>
      <c r="I86" s="32" t="n">
        <v>96.34</v>
      </c>
      <c r="J86" s="32" t="n">
        <v>5.55</v>
      </c>
      <c r="K86" s="32" t="n">
        <v>790390</v>
      </c>
      <c r="L86" s="31" t="n">
        <v>85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77.88</v>
      </c>
      <c r="P86" s="32" t="n">
        <v>68.42</v>
      </c>
      <c r="Q86" s="32" t="n">
        <v>70.53</v>
      </c>
      <c r="R86" s="31" t="inlineStr">
        <is>
          <t>Near 52W High Breakout</t>
        </is>
      </c>
      <c r="S86" s="31" t="inlineStr">
        <is>
          <t>Nifty 50</t>
        </is>
      </c>
      <c r="T86" s="32" t="n">
        <v>-12.01</v>
      </c>
      <c r="U86" s="32" t="n">
        <v>59.77</v>
      </c>
      <c r="V86" s="32" t="n">
        <v>81.56999999999999</v>
      </c>
      <c r="W86" s="32" t="n">
        <v>34.94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IF(B87=0,"",RANK(B87,$B$2:$B$220,0))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BHEL</t>
        </is>
      </c>
      <c r="D87" s="31" t="inlineStr">
        <is>
          <t>Bharat Heavy Electricals Limited</t>
        </is>
      </c>
      <c r="E87" s="31" t="inlineStr">
        <is>
          <t>industrials</t>
        </is>
      </c>
      <c r="F87" s="31" t="inlineStr">
        <is>
          <t>electric equipment</t>
        </is>
      </c>
      <c r="G87" s="31" t="inlineStr">
        <is>
          <t>largecap</t>
        </is>
      </c>
      <c r="H87" s="32" t="n">
        <v>154029.07</v>
      </c>
      <c r="I87" s="32" t="n">
        <v>464</v>
      </c>
      <c r="J87" s="32" t="n">
        <v>4.89</v>
      </c>
      <c r="K87" s="32" t="n">
        <v>37460371</v>
      </c>
      <c r="L87" s="31" t="n">
        <v>55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69.20999999999999</v>
      </c>
      <c r="P87" s="32" t="n">
        <v>37.19</v>
      </c>
      <c r="Q87" s="32" t="n">
        <v>377.23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-12.01</v>
      </c>
      <c r="U87" s="32" t="n">
        <v>100.11</v>
      </c>
      <c r="V87" s="32" t="n">
        <v>127.42</v>
      </c>
      <c r="W87" s="32" t="n">
        <v>17.4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Between 1.5 to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IF(B88=0,"",RANK(B88,$B$2:$B$220,0))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SPECTRUM</t>
        </is>
      </c>
      <c r="D88" s="31" t="inlineStr">
        <is>
          <t>Spectrum Electrical Industries Ltd</t>
        </is>
      </c>
      <c r="E88" s="31" t="inlineStr">
        <is>
          <t>industrials</t>
        </is>
      </c>
      <c r="F88" s="31" t="inlineStr">
        <is>
          <t>electric equipment</t>
        </is>
      </c>
      <c r="G88" s="31" t="inlineStr">
        <is>
          <t>midcap</t>
        </is>
      </c>
      <c r="H88" s="32" t="n">
        <v>6292.29</v>
      </c>
      <c r="I88" s="32" t="n">
        <v>3857.5</v>
      </c>
      <c r="J88" s="32" t="n">
        <v>4.76</v>
      </c>
      <c r="K88" s="32" t="n">
        <v>19226</v>
      </c>
      <c r="L88" s="31" t="n">
        <v>95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82.78</v>
      </c>
      <c r="P88" s="32" t="n">
        <v>65.87</v>
      </c>
      <c r="Q88" s="32" t="n">
        <v>2888.63</v>
      </c>
      <c r="R88" s="31" t="inlineStr">
        <is>
          <t>Near 52W High Breakout</t>
        </is>
      </c>
      <c r="S88" s="31" t="inlineStr">
        <is>
          <t>Nifty 50</t>
        </is>
      </c>
      <c r="T88" s="32" t="n">
        <v>-12.01</v>
      </c>
      <c r="U88" s="32" t="n">
        <v>193.15</v>
      </c>
      <c r="V88" s="32" t="n">
        <v>233.15</v>
      </c>
      <c r="W88" s="32" t="n">
        <v>49.71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IF(B89=0,"",RANK(B89,$B$2:$B$220,0))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KRISHANA</t>
        </is>
      </c>
      <c r="D89" s="31" t="inlineStr">
        <is>
          <t>Krishana Phoschem Ltd</t>
        </is>
      </c>
      <c r="E89" s="31" t="inlineStr">
        <is>
          <t>chemicals</t>
        </is>
      </c>
      <c r="F89" s="31" t="inlineStr">
        <is>
          <t>fertilizers</t>
        </is>
      </c>
      <c r="G89" s="31" t="inlineStr">
        <is>
          <t>smallcap</t>
        </is>
      </c>
      <c r="H89" s="32" t="n">
        <v>1220.6</v>
      </c>
      <c r="I89" s="32" t="n">
        <v>206.47</v>
      </c>
      <c r="J89" s="32" t="n">
        <v>4.58</v>
      </c>
      <c r="K89" s="32" t="n">
        <v>2333790</v>
      </c>
      <c r="L89" s="31" t="n">
        <v>68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73.58</v>
      </c>
      <c r="P89" s="32" t="n">
        <v>54.22</v>
      </c>
      <c r="Q89" s="32" t="n">
        <v>160.31</v>
      </c>
      <c r="R89" s="31" t="inlineStr">
        <is>
          <t>Near 52W High Breakout</t>
        </is>
      </c>
      <c r="S89" s="31" t="inlineStr">
        <is>
          <t>Nifty 50</t>
        </is>
      </c>
      <c r="T89" s="32" t="n">
        <v>-12.01</v>
      </c>
      <c r="U89" s="32" t="n">
        <v>82.06</v>
      </c>
      <c r="V89" s="32" t="n">
        <v>106.91</v>
      </c>
      <c r="W89" s="32" t="n">
        <v>24.23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IF(B90=0,"",RANK(B90,$B$2:$B$220,0))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EBGNG</t>
        </is>
      </c>
      <c r="D90" s="31" t="inlineStr">
        <is>
          <t>GNG Electronics Ltd</t>
        </is>
      </c>
      <c r="E90" s="31" t="inlineStr">
        <is>
          <t>services</t>
        </is>
      </c>
      <c r="F90" s="31" t="inlineStr">
        <is>
          <t>trading</t>
        </is>
      </c>
      <c r="G90" s="31" t="inlineStr">
        <is>
          <t>midcap</t>
        </is>
      </c>
      <c r="H90" s="32" t="n">
        <v>7960.28</v>
      </c>
      <c r="I90" s="32" t="n">
        <v>729.4</v>
      </c>
      <c r="J90" s="32" t="n">
        <v>4.47</v>
      </c>
      <c r="K90" s="32" t="n">
        <v>857378</v>
      </c>
      <c r="L90" s="31" t="n">
        <v>73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68.13</v>
      </c>
      <c r="P90" s="32" t="n">
        <v>37.24</v>
      </c>
      <c r="Q90" s="32" t="n">
        <v>522.3</v>
      </c>
      <c r="R90" s="31" t="inlineStr">
        <is>
          <t>Near 52W High Breakout</t>
        </is>
      </c>
      <c r="S90" s="31" t="inlineStr">
        <is>
          <t>Nifty 50</t>
        </is>
      </c>
      <c r="T90" s="32" t="n">
        <v>-12.01</v>
      </c>
      <c r="U90" s="32" t="n">
        <v>126.07</v>
      </c>
      <c r="V90" s="32" t="n">
        <v>156.91</v>
      </c>
      <c r="W90" s="32" t="n">
        <v>26.83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IF(B91=0,"",RANK(B91,$B$2:$B$220,0))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EMAMIPAP</t>
        </is>
      </c>
      <c r="D91" s="31" t="inlineStr">
        <is>
          <t>Emami Paper Mills Ltd</t>
        </is>
      </c>
      <c r="E91" s="31" t="inlineStr">
        <is>
          <t>building materials</t>
        </is>
      </c>
      <c r="F91" s="31" t="inlineStr">
        <is>
          <t>paper</t>
        </is>
      </c>
      <c r="G91" s="31" t="inlineStr">
        <is>
          <t>smallcap</t>
        </is>
      </c>
      <c r="H91" s="32" t="n">
        <v>713.65</v>
      </c>
      <c r="I91" s="32" t="n">
        <v>122.19</v>
      </c>
      <c r="J91" s="32" t="n">
        <v>3.59</v>
      </c>
      <c r="K91" s="32" t="n">
        <v>96861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70.54000000000001</v>
      </c>
      <c r="P91" s="32" t="n">
        <v>43.65</v>
      </c>
      <c r="Q91" s="32" t="n">
        <v>92.78</v>
      </c>
      <c r="R91" s="31" t="inlineStr">
        <is>
          <t>Near 52W High Breakout</t>
        </is>
      </c>
      <c r="S91" s="31" t="inlineStr">
        <is>
          <t>Nifty Infra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More than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IF(B92=0,"",RANK(B92,$B$2:$B$220,0))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MAYURUNIQ</t>
        </is>
      </c>
      <c r="D92" s="31" t="inlineStr">
        <is>
          <t>Mayur Uniquoters Ltd</t>
        </is>
      </c>
      <c r="E92" s="31" t="inlineStr">
        <is>
          <t>consumer discretionary</t>
        </is>
      </c>
      <c r="F92" s="31" t="inlineStr">
        <is>
          <t>leather / leather products</t>
        </is>
      </c>
      <c r="G92" s="31" t="inlineStr">
        <is>
          <t>smallcap</t>
        </is>
      </c>
      <c r="H92" s="32" t="n">
        <v>3406.47</v>
      </c>
      <c r="I92" s="32" t="n">
        <v>803.9</v>
      </c>
      <c r="J92" s="32" t="n">
        <v>2.54</v>
      </c>
      <c r="K92" s="32" t="n">
        <v>73050</v>
      </c>
      <c r="L92" s="31" t="n">
        <v>38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61.74</v>
      </c>
      <c r="P92" s="32" t="n">
        <v>36.72</v>
      </c>
      <c r="Q92" s="32" t="n">
        <v>608.89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-12.01</v>
      </c>
      <c r="U92" s="32" t="n">
        <v>61.42</v>
      </c>
      <c r="V92" s="32" t="n">
        <v>83.45</v>
      </c>
      <c r="W92" s="32" t="n">
        <v>11.55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IF(B93=0,"",RANK(B93,$B$2:$B$220,0))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SHALPAINTS</t>
        </is>
      </c>
      <c r="D93" s="31" t="inlineStr">
        <is>
          <t>Shalimar Paints Limited</t>
        </is>
      </c>
      <c r="E93" s="31" t="inlineStr">
        <is>
          <t>building materials</t>
        </is>
      </c>
      <c r="F93" s="31" t="inlineStr">
        <is>
          <t>paints / varnishes</t>
        </is>
      </c>
      <c r="G93" s="31" t="inlineStr">
        <is>
          <t>smallcap</t>
        </is>
      </c>
      <c r="H93" s="32" t="n">
        <v>683.33</v>
      </c>
      <c r="I93" s="32" t="n">
        <v>83.25</v>
      </c>
      <c r="J93" s="32" t="n">
        <v>1.98</v>
      </c>
      <c r="K93" s="32" t="n">
        <v>223923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60.64</v>
      </c>
      <c r="P93" s="32" t="n">
        <v>36.49</v>
      </c>
      <c r="Q93" s="32" t="n">
        <v>65.88</v>
      </c>
      <c r="R93" s="31" t="inlineStr">
        <is>
          <t>Earnings / Momentum Support</t>
        </is>
      </c>
      <c r="S93" s="31" t="inlineStr">
        <is>
          <t>Nifty Infra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IF(B94=0,"",RANK(B94,$B$2:$B$220,0))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PANACHE</t>
        </is>
      </c>
      <c r="D94" s="31" t="inlineStr">
        <is>
          <t>Panache Digilife Ltd</t>
        </is>
      </c>
      <c r="E94" s="31" t="inlineStr">
        <is>
          <t>i.t</t>
        </is>
      </c>
      <c r="F94" s="31" t="inlineStr">
        <is>
          <t>computers - hardware</t>
        </is>
      </c>
      <c r="G94" s="31" t="inlineStr">
        <is>
          <t>smallcap</t>
        </is>
      </c>
      <c r="H94" s="32" t="n">
        <v>991.35</v>
      </c>
      <c r="I94" s="32" t="n">
        <v>631</v>
      </c>
      <c r="J94" s="32" t="n">
        <v>1.93</v>
      </c>
      <c r="K94" s="32" t="n">
        <v>15406</v>
      </c>
      <c r="L94" s="31" t="n">
        <v>62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78.92</v>
      </c>
      <c r="P94" s="32" t="n">
        <v>42.48</v>
      </c>
      <c r="Q94" s="32" t="n">
        <v>505.57</v>
      </c>
      <c r="R94" s="31" t="inlineStr">
        <is>
          <t>Near 52W High Breakout</t>
        </is>
      </c>
      <c r="S94" s="31" t="inlineStr">
        <is>
          <t>Nifty IT</t>
        </is>
      </c>
      <c r="T94" s="32" t="n">
        <v>-13.68</v>
      </c>
      <c r="U94" s="32" t="n">
        <v>50.38</v>
      </c>
      <c r="V94" s="32" t="n">
        <v>74.2</v>
      </c>
      <c r="W94" s="32" t="n">
        <v>21.43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IF(B95=0,"",RANK(B95,$B$2:$B$220,0))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RGL</t>
        </is>
      </c>
      <c r="D95" s="31" t="inlineStr">
        <is>
          <t>Renaissance Global Ltd</t>
        </is>
      </c>
      <c r="E95" s="31" t="inlineStr">
        <is>
          <t>consumer discretionary</t>
        </is>
      </c>
      <c r="F95" s="31" t="inlineStr">
        <is>
          <t>diamond cutting / jewellery</t>
        </is>
      </c>
      <c r="G95" s="31" t="inlineStr">
        <is>
          <t>smallcap</t>
        </is>
      </c>
      <c r="H95" s="32" t="n">
        <v>1801.43</v>
      </c>
      <c r="I95" s="32" t="n">
        <v>170.04</v>
      </c>
      <c r="J95" s="32" t="n">
        <v>1.35</v>
      </c>
      <c r="K95" s="32" t="n">
        <v>371202</v>
      </c>
      <c r="L95" s="31" t="n">
        <v>46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74.06</v>
      </c>
      <c r="P95" s="32" t="n">
        <v>38.84</v>
      </c>
      <c r="Q95" s="32" t="n">
        <v>128.69</v>
      </c>
      <c r="R95" s="31" t="inlineStr">
        <is>
          <t>Near 52W High Breakout</t>
        </is>
      </c>
      <c r="S95" s="31" t="inlineStr">
        <is>
          <t>Nifty 50</t>
        </is>
      </c>
      <c r="T95" s="32" t="n">
        <v>-12.01</v>
      </c>
      <c r="U95" s="32" t="n">
        <v>27.56</v>
      </c>
      <c r="V95" s="32" t="n">
        <v>44.97</v>
      </c>
      <c r="W95" s="32" t="n">
        <v>14.81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IF(B96=0,"",RANK(B96,$B$2:$B$220,0))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HAL</t>
        </is>
      </c>
      <c r="D96" s="31" t="inlineStr">
        <is>
          <t>Hindustan Aeronautics Ltd</t>
        </is>
      </c>
      <c r="E96" s="31" t="inlineStr">
        <is>
          <t>aerospace &amp; defence</t>
        </is>
      </c>
      <c r="F96" s="31" t="inlineStr">
        <is>
          <t>engineering</t>
        </is>
      </c>
      <c r="G96" s="31" t="inlineStr">
        <is>
          <t>largecap</t>
        </is>
      </c>
      <c r="H96" s="32" t="n">
        <v>325626.55</v>
      </c>
      <c r="I96" s="32" t="n">
        <v>4933</v>
      </c>
      <c r="J96" s="32" t="n">
        <v>1.31</v>
      </c>
      <c r="K96" s="32" t="n">
        <v>725704</v>
      </c>
      <c r="L96" s="31" t="n">
        <v>10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60.27</v>
      </c>
      <c r="P96" s="32" t="n">
        <v>24.93</v>
      </c>
      <c r="Q96" s="32" t="n">
        <v>4300.95</v>
      </c>
      <c r="R96" s="31" t="inlineStr">
        <is>
          <t>Near 52W High Breakout</t>
        </is>
      </c>
      <c r="S96" s="31" t="inlineStr">
        <is>
          <t>Nifty 50</t>
        </is>
      </c>
      <c r="T96" s="32" t="n">
        <v>-12.01</v>
      </c>
      <c r="U96" s="32" t="n">
        <v>2.16</v>
      </c>
      <c r="V96" s="32" t="n">
        <v>16.11</v>
      </c>
      <c r="W96" s="32" t="n">
        <v>2.58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IF(B97=0,"",RANK(B97,$B$2:$B$220,0))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GALAXYSURF</t>
        </is>
      </c>
      <c r="D97" s="31" t="inlineStr">
        <is>
          <t>Galaxy Surfactants Ltd</t>
        </is>
      </c>
      <c r="E97" s="31" t="inlineStr">
        <is>
          <t>chemicals</t>
        </is>
      </c>
      <c r="F97" s="31" t="inlineStr">
        <is>
          <t>chemicals</t>
        </is>
      </c>
      <c r="G97" s="31" t="inlineStr">
        <is>
          <t>midcap</t>
        </is>
      </c>
      <c r="H97" s="32" t="n">
        <v>9154.059999999999</v>
      </c>
      <c r="I97" s="32" t="n">
        <v>2609.3</v>
      </c>
      <c r="J97" s="32" t="n">
        <v>1.06</v>
      </c>
      <c r="K97" s="32" t="n">
        <v>46436</v>
      </c>
      <c r="L97" s="31" t="n">
        <v>41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70.02</v>
      </c>
      <c r="P97" s="32" t="n">
        <v>33.89</v>
      </c>
      <c r="Q97" s="32" t="n">
        <v>2077.22</v>
      </c>
      <c r="R97" s="31" t="inlineStr">
        <is>
          <t>Near 52W High Breakout</t>
        </is>
      </c>
      <c r="S97" s="31" t="inlineStr">
        <is>
          <t>Nifty 50</t>
        </is>
      </c>
      <c r="T97" s="32" t="n">
        <v>-12.01</v>
      </c>
      <c r="U97" s="32" t="n">
        <v>18.88</v>
      </c>
      <c r="V97" s="32" t="n">
        <v>35.11</v>
      </c>
      <c r="W97" s="32" t="n">
        <v>12.29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IF(B98=0,"",RANK(B98,$B$2:$B$220,0))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GABRIEL</t>
        </is>
      </c>
      <c r="D98" s="31" t="inlineStr">
        <is>
          <t>Gabriel India Limited</t>
        </is>
      </c>
      <c r="E98" s="31" t="inlineStr">
        <is>
          <t>auto</t>
        </is>
      </c>
      <c r="F98" s="31" t="inlineStr">
        <is>
          <t>auto ancillaries</t>
        </is>
      </c>
      <c r="G98" s="31" t="inlineStr">
        <is>
          <t>largecap</t>
        </is>
      </c>
      <c r="H98" s="32" t="n">
        <v>27056.84</v>
      </c>
      <c r="I98" s="32" t="n">
        <v>1420.3</v>
      </c>
      <c r="J98" s="32" t="n">
        <v>0.59</v>
      </c>
      <c r="K98" s="32" t="n">
        <v>146374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62.22</v>
      </c>
      <c r="P98" s="32" t="n">
        <v>44.3</v>
      </c>
      <c r="Q98" s="32" t="n">
        <v>1170.07</v>
      </c>
      <c r="R98" s="31" t="inlineStr">
        <is>
          <t>Earnings / Momentum Support</t>
        </is>
      </c>
      <c r="S98" s="31" t="inlineStr">
        <is>
          <t>Nifty Auto</t>
        </is>
      </c>
      <c r="T98" s="32" t="inlineStr"/>
      <c r="U98" s="32" t="inlineStr"/>
      <c r="V98" s="32" t="inlineStr"/>
      <c r="W98" s="32" t="inlineStr"/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IF(B99=0,"",RANK(B99,$B$2:$B$220,0))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SHREEJISPG</t>
        </is>
      </c>
      <c r="D99" s="31" t="inlineStr">
        <is>
          <t>Shreeji Shipping Global Ltd</t>
        </is>
      </c>
      <c r="E99" s="31" t="inlineStr">
        <is>
          <t>transportation</t>
        </is>
      </c>
      <c r="F99" s="31" t="inlineStr">
        <is>
          <t>shipping</t>
        </is>
      </c>
      <c r="G99" s="31" t="inlineStr">
        <is>
          <t>midcap</t>
        </is>
      </c>
      <c r="H99" s="32" t="n">
        <v>13437.5</v>
      </c>
      <c r="I99" s="32" t="n">
        <v>826.45</v>
      </c>
      <c r="J99" s="32" t="n">
        <v>0.2</v>
      </c>
      <c r="K99" s="32" t="n">
        <v>474822</v>
      </c>
      <c r="L99" s="31" t="n">
        <v>91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85.90000000000001</v>
      </c>
      <c r="P99" s="32" t="n">
        <v>56.86</v>
      </c>
      <c r="Q99" s="32" t="n">
        <v>701.73</v>
      </c>
      <c r="R99" s="31" t="inlineStr">
        <is>
          <t>Near 52W High Breakout</t>
        </is>
      </c>
      <c r="S99" s="31" t="inlineStr">
        <is>
          <t>Nifty 50</t>
        </is>
      </c>
      <c r="T99" s="32" t="n">
        <v>-12.01</v>
      </c>
      <c r="U99" s="32" t="n">
        <v>251.56</v>
      </c>
      <c r="V99" s="32" t="n">
        <v>299.53</v>
      </c>
      <c r="W99" s="32" t="n">
        <v>38.67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IF(B100=0,"",RANK(B100,$B$2:$B$220,0))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MGEL</t>
        </is>
      </c>
      <c r="D100" s="31" t="inlineStr">
        <is>
          <t>Mangalam Global Enterprise Ltd</t>
        </is>
      </c>
      <c r="E100" s="31" t="inlineStr">
        <is>
          <t>services</t>
        </is>
      </c>
      <c r="F100" s="31" t="inlineStr">
        <is>
          <t>trading</t>
        </is>
      </c>
      <c r="G100" s="31" t="inlineStr">
        <is>
          <t>smallcap</t>
        </is>
      </c>
      <c r="H100" s="32" t="n">
        <v>531.5700000000001</v>
      </c>
      <c r="I100" s="32" t="n">
        <v>16.05</v>
      </c>
      <c r="J100" s="32" t="n">
        <v>-0.5</v>
      </c>
      <c r="K100" s="32" t="n">
        <v>345121</v>
      </c>
      <c r="L100" s="31" t="n">
        <v>8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57.43</v>
      </c>
      <c r="P100" s="32" t="n">
        <v>29.23</v>
      </c>
      <c r="Q100" s="32" t="n">
        <v>12.22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-12.01</v>
      </c>
      <c r="U100" s="32" t="n">
        <v>6.36</v>
      </c>
      <c r="V100" s="32" t="n">
        <v>20.87</v>
      </c>
      <c r="W100" s="32" t="n">
        <v>1.84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IF(B101=0,"",RANK(B101,$B$2:$B$220,0))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MARINE</t>
        </is>
      </c>
      <c r="D101" s="31" t="inlineStr">
        <is>
          <t>Marine Electricals (India) Ltd</t>
        </is>
      </c>
      <c r="E101" s="31" t="inlineStr">
        <is>
          <t>industrials</t>
        </is>
      </c>
      <c r="F101" s="31" t="inlineStr">
        <is>
          <t>electric equipment</t>
        </is>
      </c>
      <c r="G101" s="31" t="inlineStr">
        <is>
          <t>midcap</t>
        </is>
      </c>
      <c r="H101" s="32" t="n">
        <v>6641.06</v>
      </c>
      <c r="I101" s="32" t="n">
        <v>470.2</v>
      </c>
      <c r="J101" s="32" t="n">
        <v>-0.92</v>
      </c>
      <c r="K101" s="32" t="n">
        <v>656703</v>
      </c>
      <c r="L101" s="31" t="n">
        <v>88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75.31999999999999</v>
      </c>
      <c r="P101" s="32" t="n">
        <v>52.01</v>
      </c>
      <c r="Q101" s="32" t="n">
        <v>348.08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-12.01</v>
      </c>
      <c r="U101" s="32" t="n">
        <v>105.7</v>
      </c>
      <c r="V101" s="32" t="n">
        <v>133.77</v>
      </c>
      <c r="W101" s="32" t="n">
        <v>37.83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IF(B102=0,"",RANK(B102,$B$2:$B$220,0))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UNIMECH</t>
        </is>
      </c>
      <c r="D102" s="31" t="inlineStr">
        <is>
          <t>Unimech Aerospace and Manufacturing Ltd</t>
        </is>
      </c>
      <c r="E102" s="31" t="inlineStr">
        <is>
          <t>aerospace &amp; defence</t>
        </is>
      </c>
      <c r="F102" s="31" t="inlineStr">
        <is>
          <t>engineering</t>
        </is>
      </c>
      <c r="G102" s="31" t="inlineStr">
        <is>
          <t>midcap</t>
        </is>
      </c>
      <c r="H102" s="32" t="n">
        <v>9330.85</v>
      </c>
      <c r="I102" s="32" t="n">
        <v>1800.2</v>
      </c>
      <c r="J102" s="32" t="n">
        <v>-1.79</v>
      </c>
      <c r="K102" s="32" t="n">
        <v>92934</v>
      </c>
      <c r="L102" s="31" t="n">
        <v>66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78.48999999999999</v>
      </c>
      <c r="P102" s="32" t="n">
        <v>52.48</v>
      </c>
      <c r="Q102" s="32" t="n">
        <v>1370.73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-12.01</v>
      </c>
      <c r="U102" s="32" t="n">
        <v>89.69</v>
      </c>
      <c r="V102" s="32" t="n">
        <v>115.58</v>
      </c>
      <c r="W102" s="32" t="n">
        <v>23.12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IF(B103=0,"",RANK(B103,$B$2:$B$220,0))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MBECL</t>
        </is>
      </c>
      <c r="D103" s="31" t="inlineStr">
        <is>
          <t>Mcnally Bharat Engineering Company Limited</t>
        </is>
      </c>
      <c r="E103" s="31" t="inlineStr">
        <is>
          <t>realty</t>
        </is>
      </c>
      <c r="F103" s="31" t="inlineStr">
        <is>
          <t>engineering - turnkey services</t>
        </is>
      </c>
      <c r="G103" s="31" t="inlineStr">
        <is>
          <t>smallcap</t>
        </is>
      </c>
      <c r="H103" s="32" t="n">
        <v>1488.33</v>
      </c>
      <c r="I103" s="32" t="n">
        <v>437.6</v>
      </c>
      <c r="J103" s="32" t="n">
        <v>-1.99</v>
      </c>
      <c r="K103" s="32" t="n">
        <v>204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84.76000000000001</v>
      </c>
      <c r="P103" s="32" t="n">
        <v>76.06999999999999</v>
      </c>
      <c r="Q103" s="32" t="n">
        <v>413.38</v>
      </c>
      <c r="R103" s="31" t="inlineStr">
        <is>
          <t>Earnings / Momentum Support</t>
        </is>
      </c>
      <c r="S103" s="31" t="inlineStr">
        <is>
          <t>Nifty Realty</t>
        </is>
      </c>
      <c r="T103" s="32" t="inlineStr"/>
      <c r="U103" s="32" t="inlineStr"/>
      <c r="V103" s="32" t="inlineStr"/>
      <c r="W103" s="32" t="inlineStr"/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IF(B104=0,"",RANK(B104,$B$2:$B$220,0))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PTCIL</t>
        </is>
      </c>
      <c r="D104" s="31" t="inlineStr">
        <is>
          <t>PTC Industries Ltd</t>
        </is>
      </c>
      <c r="E104" s="31" t="inlineStr">
        <is>
          <t>castings, forgings &amp; fasteners</t>
        </is>
      </c>
      <c r="F104" s="31" t="inlineStr">
        <is>
          <t>castings &amp; forgings</t>
        </is>
      </c>
      <c r="G104" s="31" t="inlineStr">
        <is>
          <t>largecap</t>
        </is>
      </c>
      <c r="H104" s="32" t="n">
        <v>38231</v>
      </c>
      <c r="I104" s="32" t="n">
        <v>24975</v>
      </c>
      <c r="J104" s="32" t="n">
        <v>-2.06</v>
      </c>
      <c r="K104" s="32" t="n">
        <v>21233</v>
      </c>
      <c r="L104" s="31" t="n">
        <v>55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73.13</v>
      </c>
      <c r="P104" s="32" t="n">
        <v>47.19</v>
      </c>
      <c r="Q104" s="32" t="n">
        <v>20165.03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-12.01</v>
      </c>
      <c r="U104" s="32" t="n">
        <v>49.02</v>
      </c>
      <c r="V104" s="32" t="n">
        <v>69.34999999999999</v>
      </c>
      <c r="W104" s="32" t="n">
        <v>17.45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Less than 50%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IF(B105=0,"",RANK(B105,$B$2:$B$220,0))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ABDL</t>
        </is>
      </c>
      <c r="D105" s="31" t="inlineStr">
        <is>
          <t>Allied Blenders &amp; Distillers Ltd</t>
        </is>
      </c>
      <c r="E105" s="31" t="inlineStr">
        <is>
          <t>fmcg</t>
        </is>
      </c>
      <c r="F105" s="31" t="inlineStr">
        <is>
          <t>breweries &amp; distilleries</t>
        </is>
      </c>
      <c r="G105" s="31" t="inlineStr">
        <is>
          <t>largecap</t>
        </is>
      </c>
      <c r="H105" s="32" t="n">
        <v>20095.78</v>
      </c>
      <c r="I105" s="32" t="n">
        <v>743.45</v>
      </c>
      <c r="J105" s="32" t="n">
        <v>3.48</v>
      </c>
      <c r="K105" s="32" t="n">
        <v>865111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69.2</v>
      </c>
      <c r="P105" s="32" t="n">
        <v>26.45</v>
      </c>
      <c r="Q105" s="32" t="n">
        <v>585.4299999999999</v>
      </c>
      <c r="R105" s="31" t="inlineStr">
        <is>
          <t>Near 52W High Breakout</t>
        </is>
      </c>
      <c r="S105" s="31" t="inlineStr">
        <is>
          <t>Nifty FMCG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B2C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IF(B106=0,"",RANK(B106,$B$2:$B$220,0))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BAJAJHIND</t>
        </is>
      </c>
      <c r="D106" s="31" t="inlineStr">
        <is>
          <t>Bajaj Hindusthan Sugar Limited</t>
        </is>
      </c>
      <c r="E106" s="31" t="inlineStr">
        <is>
          <t>fmcg</t>
        </is>
      </c>
      <c r="F106" s="31" t="inlineStr">
        <is>
          <t>sugar</t>
        </is>
      </c>
      <c r="G106" s="31" t="inlineStr">
        <is>
          <t>midcap</t>
        </is>
      </c>
      <c r="H106" s="32" t="n">
        <v>5120.81</v>
      </c>
      <c r="I106" s="32" t="n">
        <v>22.06</v>
      </c>
      <c r="J106" s="32" t="n">
        <v>2.99</v>
      </c>
      <c r="K106" s="32" t="n">
        <v>26523531</v>
      </c>
      <c r="L106" s="31" t="inlineStr"/>
      <c r="M106" s="31" t="inlineStr"/>
      <c r="N106" s="32">
        <f>IF(M106="Underperforming",-5,IF(L106&gt;=95,15,IF(L106&gt;=90,10,IF(L106&gt;=80,5,0))))</f>
        <v/>
      </c>
      <c r="O106" s="32" t="n">
        <v>58.96</v>
      </c>
      <c r="P106" s="32" t="n">
        <v>27.42</v>
      </c>
      <c r="Q106" s="32" t="n">
        <v>16.76</v>
      </c>
      <c r="R106" s="31" t="inlineStr">
        <is>
          <t>Near 52W High Breakout</t>
        </is>
      </c>
      <c r="S106" s="31" t="inlineStr">
        <is>
          <t>Nifty FMCG</t>
        </is>
      </c>
      <c r="T106" s="32" t="inlineStr"/>
      <c r="U106" s="32" t="inlineStr"/>
      <c r="V106" s="32" t="inlineStr"/>
      <c r="W106" s="32" t="inlineStr"/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B2C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IF(B107=0,"",RANK(B107,$B$2:$B$220,0))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UGARSUGAR</t>
        </is>
      </c>
      <c r="D107" s="31" t="inlineStr">
        <is>
          <t>The Ugar Sugar Works Limited</t>
        </is>
      </c>
      <c r="E107" s="31" t="inlineStr">
        <is>
          <t>fmcg</t>
        </is>
      </c>
      <c r="F107" s="31" t="inlineStr">
        <is>
          <t>sugar</t>
        </is>
      </c>
      <c r="G107" s="31" t="inlineStr">
        <is>
          <t>smallcap</t>
        </is>
      </c>
      <c r="H107" s="32" t="n">
        <v>658.91</v>
      </c>
      <c r="I107" s="32" t="n">
        <v>58.78</v>
      </c>
      <c r="J107" s="32" t="n">
        <v>0.36</v>
      </c>
      <c r="K107" s="32" t="n">
        <v>196454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64.79000000000001</v>
      </c>
      <c r="P107" s="32" t="n">
        <v>41.55</v>
      </c>
      <c r="Q107" s="32" t="n">
        <v>43.78</v>
      </c>
      <c r="R107" s="31" t="inlineStr">
        <is>
          <t>Earnings / Momentum Support</t>
        </is>
      </c>
      <c r="S107" s="31" t="inlineStr">
        <is>
          <t>Nifty FMCG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More than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IF(B108=0,"",RANK(B108,$B$2:$B$220,0))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LAURUSLABS</t>
        </is>
      </c>
      <c r="D108" s="31" t="inlineStr">
        <is>
          <t>Laurus Labs Limited</t>
        </is>
      </c>
      <c r="E108" s="31" t="inlineStr">
        <is>
          <t>healthcare</t>
        </is>
      </c>
      <c r="F108" s="31" t="inlineStr">
        <is>
          <t>pharmaceuticals - indian - bulk drugs &amp; formln</t>
        </is>
      </c>
      <c r="G108" s="31" t="inlineStr">
        <is>
          <t>largecap</t>
        </is>
      </c>
      <c r="H108" s="32" t="n">
        <v>111259</v>
      </c>
      <c r="I108" s="32" t="n">
        <v>2036.9</v>
      </c>
      <c r="J108" s="32" t="n">
        <v>-1.09</v>
      </c>
      <c r="K108" s="32" t="n">
        <v>1301046</v>
      </c>
      <c r="L108" s="31" t="n">
        <v>70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76.94</v>
      </c>
      <c r="P108" s="32" t="n">
        <v>78.81</v>
      </c>
      <c r="Q108" s="32" t="n">
        <v>1749.07</v>
      </c>
      <c r="R108" s="31" t="inlineStr">
        <is>
          <t>Near 52W High Breakout</t>
        </is>
      </c>
      <c r="S108" s="31" t="inlineStr">
        <is>
          <t>Nifty Pharma</t>
        </is>
      </c>
      <c r="T108" s="32" t="n">
        <v>15.65</v>
      </c>
      <c r="U108" s="32" t="n">
        <v>126.72</v>
      </c>
      <c r="V108" s="32" t="n">
        <v>96.04000000000001</v>
      </c>
      <c r="W108" s="32" t="n">
        <v>25.27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Yes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IF(B109=0,"",RANK(B109,$B$2:$B$220,0))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MAGADSUGAR</t>
        </is>
      </c>
      <c r="D109" s="31" t="inlineStr">
        <is>
          <t>Magadh Sugar &amp; Energy Ltd</t>
        </is>
      </c>
      <c r="E109" s="31" t="inlineStr">
        <is>
          <t>fmcg</t>
        </is>
      </c>
      <c r="F109" s="31" t="inlineStr">
        <is>
          <t>sugar</t>
        </is>
      </c>
      <c r="G109" s="31" t="inlineStr">
        <is>
          <t>smallcap</t>
        </is>
      </c>
      <c r="H109" s="32" t="n">
        <v>857.33</v>
      </c>
      <c r="I109" s="32" t="n">
        <v>599.8</v>
      </c>
      <c r="J109" s="32" t="n">
        <v>-1.41</v>
      </c>
      <c r="K109" s="32" t="n">
        <v>63162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62.19</v>
      </c>
      <c r="P109" s="32" t="n">
        <v>35.44</v>
      </c>
      <c r="Q109" s="32" t="n">
        <v>432.17</v>
      </c>
      <c r="R109" s="31" t="inlineStr">
        <is>
          <t>Near 52W High Breakout</t>
        </is>
      </c>
      <c r="S109" s="31" t="inlineStr">
        <is>
          <t>Nifty FMCG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B2C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IF(B110=0,"",RANK(B110,$B$2:$B$220,0))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EIMCOELECO</t>
        </is>
      </c>
      <c r="D110" s="31" t="inlineStr">
        <is>
          <t>Eimco Elecon (india)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smallcap</t>
        </is>
      </c>
      <c r="H110" s="32" t="n">
        <v>1291.77</v>
      </c>
      <c r="I110" s="32" t="n">
        <v>2454.2</v>
      </c>
      <c r="J110" s="32" t="n">
        <v>9.59</v>
      </c>
      <c r="K110" s="32" t="n">
        <v>245471</v>
      </c>
      <c r="L110" s="31" t="n">
        <v>45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74.09999999999999</v>
      </c>
      <c r="P110" s="32" t="n">
        <v>60.65</v>
      </c>
      <c r="Q110" s="32" t="n">
        <v>1919.1</v>
      </c>
      <c r="R110" s="31" t="inlineStr">
        <is>
          <t>Volume Spike &amp; Near 52W High Breakout</t>
        </is>
      </c>
      <c r="S110" s="31" t="inlineStr">
        <is>
          <t>Nifty 50</t>
        </is>
      </c>
      <c r="T110" s="32" t="n">
        <v>-12.01</v>
      </c>
      <c r="U110" s="32" t="n">
        <v>36.31</v>
      </c>
      <c r="V110" s="32" t="n">
        <v>54.91</v>
      </c>
      <c r="W110" s="32" t="n">
        <v>14.29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Less than 12%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IF(B111=0,"",RANK(B111,$B$2:$B$220,0))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CHENNPETRO</t>
        </is>
      </c>
      <c r="D111" s="31" t="inlineStr">
        <is>
          <t>Chennai Petroleum Corporation Limited</t>
        </is>
      </c>
      <c r="E111" s="31" t="inlineStr">
        <is>
          <t>energy</t>
        </is>
      </c>
      <c r="F111" s="31" t="inlineStr">
        <is>
          <t>refineries</t>
        </is>
      </c>
      <c r="G111" s="31" t="inlineStr">
        <is>
          <t>largecap</t>
        </is>
      </c>
      <c r="H111" s="32" t="n">
        <v>21739.58</v>
      </c>
      <c r="I111" s="32" t="n">
        <v>1546.1</v>
      </c>
      <c r="J111" s="32" t="n">
        <v>5.9</v>
      </c>
      <c r="K111" s="32" t="n">
        <v>4788653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67.64</v>
      </c>
      <c r="P111" s="32" t="n">
        <v>65.81</v>
      </c>
      <c r="Q111" s="32" t="n">
        <v>1129.04</v>
      </c>
      <c r="R111" s="31" t="inlineStr">
        <is>
          <t>Near 52W High Breakout</t>
        </is>
      </c>
      <c r="S111" s="31" t="inlineStr">
        <is>
          <t>Nifty Energy</t>
        </is>
      </c>
      <c r="T111" s="32" t="inlineStr"/>
      <c r="U111" s="32" t="inlineStr"/>
      <c r="V111" s="32" t="inlineStr"/>
      <c r="W111" s="32" t="inlineStr"/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Oligopoly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Cyclical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Volatile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Less than 1.5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IF(B112=0,"",RANK(B112,$B$2:$B$220,0))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JINDALSAW</t>
        </is>
      </c>
      <c r="D112" s="31" t="inlineStr">
        <is>
          <t>Jindal Saw Limited</t>
        </is>
      </c>
      <c r="E112" s="31" t="inlineStr">
        <is>
          <t>industrials</t>
        </is>
      </c>
      <c r="F112" s="31" t="inlineStr">
        <is>
          <t>steel - large</t>
        </is>
      </c>
      <c r="G112" s="31" t="inlineStr">
        <is>
          <t>midcap</t>
        </is>
      </c>
      <c r="H112" s="32" t="n">
        <v>18101.28</v>
      </c>
      <c r="I112" s="32" t="n">
        <v>297.1</v>
      </c>
      <c r="J112" s="32" t="n">
        <v>4.96</v>
      </c>
      <c r="K112" s="32" t="n">
        <v>2859637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61.11</v>
      </c>
      <c r="P112" s="32" t="n">
        <v>41.56</v>
      </c>
      <c r="Q112" s="32" t="n">
        <v>241.38</v>
      </c>
      <c r="R112" s="31" t="inlineStr">
        <is>
          <t>Near 52W High Breakout</t>
        </is>
      </c>
      <c r="S112" s="31" t="inlineStr">
        <is>
          <t>Nifty Metal</t>
        </is>
      </c>
      <c r="T112" s="32" t="inlineStr"/>
      <c r="U112" s="32" t="inlineStr"/>
      <c r="V112" s="32" t="inlineStr"/>
      <c r="W112" s="32" t="inlineStr"/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IF(B113=0,"",RANK(B113,$B$2:$B$220,0))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PANAMAPET</t>
        </is>
      </c>
      <c r="D113" s="31" t="inlineStr">
        <is>
          <t>Panama Petrochem Limited</t>
        </is>
      </c>
      <c r="E113" s="31" t="inlineStr">
        <is>
          <t>energy</t>
        </is>
      </c>
      <c r="F113" s="31" t="inlineStr">
        <is>
          <t>petrochemicals</t>
        </is>
      </c>
      <c r="G113" s="31" t="inlineStr">
        <is>
          <t>smallcap</t>
        </is>
      </c>
      <c r="H113" s="32" t="n">
        <v>3017.72</v>
      </c>
      <c r="I113" s="32" t="n">
        <v>513.55</v>
      </c>
      <c r="J113" s="32" t="n">
        <v>2.95</v>
      </c>
      <c r="K113" s="32" t="n">
        <v>219522</v>
      </c>
      <c r="L113" s="31" t="inlineStr"/>
      <c r="M113" s="31" t="inlineStr"/>
      <c r="N113" s="32">
        <f>IF(M113="Underperforming",-5,IF(L113&gt;=95,15,IF(L113&gt;=90,10,IF(L113&gt;=80,5,0))))</f>
        <v/>
      </c>
      <c r="O113" s="32" t="n">
        <v>65.04000000000001</v>
      </c>
      <c r="P113" s="32" t="n">
        <v>64.06</v>
      </c>
      <c r="Q113" s="32" t="n">
        <v>369.3</v>
      </c>
      <c r="R113" s="31" t="inlineStr">
        <is>
          <t>Near 52W High Breakout</t>
        </is>
      </c>
      <c r="S113" s="31" t="inlineStr">
        <is>
          <t>Nifty Energy</t>
        </is>
      </c>
      <c r="T113" s="32" t="inlineStr"/>
      <c r="U113" s="32" t="inlineStr"/>
      <c r="V113" s="32" t="inlineStr"/>
      <c r="W113" s="32" t="inlineStr"/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Oligopoly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Cyclical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Volatile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IF(B114=0,"",RANK(B114,$B$2:$B$220,0))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MAHLOG</t>
        </is>
      </c>
      <c r="D114" s="31" t="inlineStr">
        <is>
          <t>Mahindra Logistics Ltd</t>
        </is>
      </c>
      <c r="E114" s="31" t="inlineStr">
        <is>
          <t>transportation</t>
        </is>
      </c>
      <c r="F114" s="31" t="inlineStr">
        <is>
          <t>miscellaneous</t>
        </is>
      </c>
      <c r="G114" s="31" t="inlineStr">
        <is>
          <t>smallcap</t>
        </is>
      </c>
      <c r="H114" s="32" t="n">
        <v>4066.14</v>
      </c>
      <c r="I114" s="32" t="n">
        <v>421.5</v>
      </c>
      <c r="J114" s="32" t="n">
        <v>2.86</v>
      </c>
      <c r="K114" s="32" t="n">
        <v>228053</v>
      </c>
      <c r="L114" s="31" t="n">
        <v>26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58.91</v>
      </c>
      <c r="P114" s="32" t="n">
        <v>28.06</v>
      </c>
      <c r="Q114" s="32" t="n">
        <v>335.08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-12.01</v>
      </c>
      <c r="U114" s="32" t="n">
        <v>22.34</v>
      </c>
      <c r="V114" s="32" t="n">
        <v>39.04</v>
      </c>
      <c r="W114" s="32" t="n">
        <v>7.68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IF(B115=0,"",RANK(B115,$B$2:$B$220,0))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JAMNAAUTO</t>
        </is>
      </c>
      <c r="D115" s="31" t="inlineStr">
        <is>
          <t>Jamna Auto Industries Limited</t>
        </is>
      </c>
      <c r="E115" s="31" t="inlineStr">
        <is>
          <t>auto</t>
        </is>
      </c>
      <c r="F115" s="31" t="inlineStr">
        <is>
          <t>auto ancillaries</t>
        </is>
      </c>
      <c r="G115" s="31" t="inlineStr">
        <is>
          <t>midcap</t>
        </is>
      </c>
      <c r="H115" s="32" t="n">
        <v>5826.09</v>
      </c>
      <c r="I115" s="32" t="n">
        <v>149.57</v>
      </c>
      <c r="J115" s="32" t="n">
        <v>2.64</v>
      </c>
      <c r="K115" s="32" t="n">
        <v>1766684</v>
      </c>
      <c r="L115" s="31" t="inlineStr"/>
      <c r="M115" s="31" t="inlineStr"/>
      <c r="N115" s="32">
        <f>IF(M115="Underperforming",-5,IF(L115&gt;=95,15,IF(L115&gt;=90,10,IF(L115&gt;=80,5,0))))</f>
        <v/>
      </c>
      <c r="O115" s="32" t="n">
        <v>60.81</v>
      </c>
      <c r="P115" s="32" t="n">
        <v>35.33</v>
      </c>
      <c r="Q115" s="32" t="n">
        <v>112.32</v>
      </c>
      <c r="R115" s="31" t="inlineStr">
        <is>
          <t>Near 52W High Breakout</t>
        </is>
      </c>
      <c r="S115" s="31" t="inlineStr">
        <is>
          <t>Nifty Auto</t>
        </is>
      </c>
      <c r="T115" s="32" t="inlineStr"/>
      <c r="U115" s="32" t="inlineStr"/>
      <c r="V115" s="32" t="inlineStr"/>
      <c r="W115" s="32" t="inlineStr"/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IF(B116=0,"",RANK(B116,$B$2:$B$220,0))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RAYMOND</t>
        </is>
      </c>
      <c r="D116" s="31" t="inlineStr">
        <is>
          <t>Raymond Limited</t>
        </is>
      </c>
      <c r="E116" s="31" t="inlineStr">
        <is>
          <t>transportation</t>
        </is>
      </c>
      <c r="F116" s="31" t="inlineStr">
        <is>
          <t>transport - airlines</t>
        </is>
      </c>
      <c r="G116" s="31" t="inlineStr">
        <is>
          <t>midcap</t>
        </is>
      </c>
      <c r="H116" s="32" t="n">
        <v>7721.22</v>
      </c>
      <c r="I116" s="32" t="n">
        <v>1186.1</v>
      </c>
      <c r="J116" s="32" t="n">
        <v>2.27</v>
      </c>
      <c r="K116" s="32" t="n">
        <v>917341</v>
      </c>
      <c r="L116" s="31" t="n">
        <v>93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83.73</v>
      </c>
      <c r="P116" s="32" t="n">
        <v>61.57</v>
      </c>
      <c r="Q116" s="32" t="n">
        <v>895.02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-12.01</v>
      </c>
      <c r="U116" s="32" t="n">
        <v>105.76</v>
      </c>
      <c r="V116" s="32" t="n">
        <v>133.84</v>
      </c>
      <c r="W116" s="32" t="n">
        <v>42.16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IF(B117=0,"",RANK(B117,$B$2:$B$220,0))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TEXINFRA</t>
        </is>
      </c>
      <c r="D117" s="31" t="inlineStr">
        <is>
          <t>Texmaco Infrastructure &amp; Holdings Limited</t>
        </is>
      </c>
      <c r="E117" s="31" t="inlineStr">
        <is>
          <t>realty</t>
        </is>
      </c>
      <c r="F117" s="31" t="inlineStr">
        <is>
          <t>construction</t>
        </is>
      </c>
      <c r="G117" s="31" t="inlineStr">
        <is>
          <t>smallcap</t>
        </is>
      </c>
      <c r="H117" s="32" t="n">
        <v>1541.73</v>
      </c>
      <c r="I117" s="32" t="n">
        <v>122.87</v>
      </c>
      <c r="J117" s="32" t="n">
        <v>1.55</v>
      </c>
      <c r="K117" s="32" t="n">
        <v>214316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68.91</v>
      </c>
      <c r="P117" s="32" t="n">
        <v>40.64</v>
      </c>
      <c r="Q117" s="32" t="n">
        <v>97.51000000000001</v>
      </c>
      <c r="R117" s="31" t="inlineStr">
        <is>
          <t>Near 52W High Breakout</t>
        </is>
      </c>
      <c r="S117" s="31" t="inlineStr">
        <is>
          <t>Nifty Realty</t>
        </is>
      </c>
      <c r="T117" s="32" t="inlineStr"/>
      <c r="U117" s="32" t="inlineStr"/>
      <c r="V117" s="32" t="inlineStr"/>
      <c r="W117" s="32" t="inlineStr"/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IF(B118=0,"",RANK(B118,$B$2:$B$220,0))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VMART</t>
        </is>
      </c>
      <c r="D118" s="31" t="inlineStr">
        <is>
          <t>V-mart Retail Limited</t>
        </is>
      </c>
      <c r="E118" s="31" t="inlineStr">
        <is>
          <t>consumer discretionary</t>
        </is>
      </c>
      <c r="F118" s="31" t="inlineStr">
        <is>
          <t>trading</t>
        </is>
      </c>
      <c r="G118" s="31" t="inlineStr">
        <is>
          <t>midcap</t>
        </is>
      </c>
      <c r="H118" s="32" t="n">
        <v>6495.09</v>
      </c>
      <c r="I118" s="32" t="n">
        <v>827.65</v>
      </c>
      <c r="J118" s="32" t="n">
        <v>1.37</v>
      </c>
      <c r="K118" s="32" t="n">
        <v>47053</v>
      </c>
      <c r="L118" s="31" t="n">
        <v>13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60.21</v>
      </c>
      <c r="P118" s="32" t="n">
        <v>21.96</v>
      </c>
      <c r="Q118" s="32" t="n">
        <v>657.7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-12.01</v>
      </c>
      <c r="U118" s="32" t="n">
        <v>-3.33</v>
      </c>
      <c r="V118" s="32" t="n">
        <v>9.859999999999999</v>
      </c>
      <c r="W118" s="32" t="n">
        <v>3.07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IF(B119=0,"",RANK(B119,$B$2:$B$220,0))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DEEPINDS</t>
        </is>
      </c>
      <c r="D119" s="31" t="inlineStr">
        <is>
          <t>Deep Industries Ltd</t>
        </is>
      </c>
      <c r="E119" s="31" t="inlineStr">
        <is>
          <t>energy</t>
        </is>
      </c>
      <c r="F119" s="31" t="inlineStr">
        <is>
          <t>oil drilling / allied services</t>
        </is>
      </c>
      <c r="G119" s="31" t="inlineStr">
        <is>
          <t>smallcap</t>
        </is>
      </c>
      <c r="H119" s="32" t="n">
        <v>4928</v>
      </c>
      <c r="I119" s="32" t="n">
        <v>779.5</v>
      </c>
      <c r="J119" s="32" t="n">
        <v>1.23</v>
      </c>
      <c r="K119" s="32" t="n">
        <v>355842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71.3</v>
      </c>
      <c r="P119" s="32" t="n">
        <v>42.88</v>
      </c>
      <c r="Q119" s="32" t="n">
        <v>594.39</v>
      </c>
      <c r="R119" s="31" t="inlineStr">
        <is>
          <t>Near 52W High Breakout</t>
        </is>
      </c>
      <c r="S119" s="31" t="inlineStr">
        <is>
          <t>Nifty Energy</t>
        </is>
      </c>
      <c r="T119" s="32" t="inlineStr"/>
      <c r="U119" s="32" t="inlineStr"/>
      <c r="V119" s="32" t="inlineStr"/>
      <c r="W119" s="32" t="inlineStr"/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Oligopoly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Cyclical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Volatile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IF(B120=0,"",RANK(B120,$B$2:$B$220,0))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ALICON</t>
        </is>
      </c>
      <c r="D120" s="31" t="inlineStr">
        <is>
          <t>Alicon Castalloy Limited</t>
        </is>
      </c>
      <c r="E120" s="31" t="inlineStr">
        <is>
          <t>castings, forgings &amp; fasteners</t>
        </is>
      </c>
      <c r="F120" s="31" t="inlineStr">
        <is>
          <t>castings &amp; forgings</t>
        </is>
      </c>
      <c r="G120" s="31" t="inlineStr">
        <is>
          <t>smallcap</t>
        </is>
      </c>
      <c r="H120" s="32" t="n">
        <v>1420.94</v>
      </c>
      <c r="I120" s="32" t="n">
        <v>862.3</v>
      </c>
      <c r="J120" s="32" t="n">
        <v>-0.4</v>
      </c>
      <c r="K120" s="32" t="n">
        <v>71543</v>
      </c>
      <c r="L120" s="31" t="n">
        <v>30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67.5</v>
      </c>
      <c r="P120" s="32" t="n">
        <v>25.74</v>
      </c>
      <c r="Q120" s="32" t="n">
        <v>665.45</v>
      </c>
      <c r="R120" s="31" t="inlineStr">
        <is>
          <t>Earnings / Momentum Support</t>
        </is>
      </c>
      <c r="S120" s="31" t="inlineStr">
        <is>
          <t>Nifty 50</t>
        </is>
      </c>
      <c r="T120" s="32" t="n">
        <v>-12.01</v>
      </c>
      <c r="U120" s="32" t="n">
        <v>2.04</v>
      </c>
      <c r="V120" s="32" t="n">
        <v>15.97</v>
      </c>
      <c r="W120" s="32" t="n">
        <v>9.130000000000001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Between 1.5 to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IF(B121=0,"",RANK(B121,$B$2:$B$220,0))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SKYGOLD</t>
        </is>
      </c>
      <c r="D121" s="31" t="inlineStr">
        <is>
          <t>Sky Gold Ltd</t>
        </is>
      </c>
      <c r="E121" s="31" t="inlineStr">
        <is>
          <t>consumer discretionary</t>
        </is>
      </c>
      <c r="F121" s="31" t="inlineStr">
        <is>
          <t>diamond cutting / jewellery</t>
        </is>
      </c>
      <c r="G121" s="31" t="inlineStr">
        <is>
          <t>midcap</t>
        </is>
      </c>
      <c r="H121" s="32" t="n">
        <v>15150.54</v>
      </c>
      <c r="I121" s="32" t="n">
        <v>967.7</v>
      </c>
      <c r="J121" s="32" t="n">
        <v>-1.08</v>
      </c>
      <c r="K121" s="32" t="n">
        <v>663263</v>
      </c>
      <c r="L121" s="31" t="n">
        <v>88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80.78</v>
      </c>
      <c r="P121" s="32" t="n">
        <v>69.31999999999999</v>
      </c>
      <c r="Q121" s="32" t="n">
        <v>753.58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-12.01</v>
      </c>
      <c r="U121" s="32" t="n">
        <v>189.64</v>
      </c>
      <c r="V121" s="32" t="n">
        <v>229.17</v>
      </c>
      <c r="W121" s="32" t="n">
        <v>37.15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IF(B122=0,"",RANK(B122,$B$2:$B$220,0))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FAIRCHEMOR</t>
        </is>
      </c>
      <c r="D122" s="31" t="inlineStr">
        <is>
          <t>Fairchem Organics Ltd</t>
        </is>
      </c>
      <c r="E122" s="31" t="inlineStr">
        <is>
          <t>chemicals</t>
        </is>
      </c>
      <c r="F122" s="31" t="inlineStr">
        <is>
          <t>chemicals</t>
        </is>
      </c>
      <c r="G122" s="31" t="inlineStr">
        <is>
          <t>smallcap</t>
        </is>
      </c>
      <c r="H122" s="32" t="n">
        <v>1015.92</v>
      </c>
      <c r="I122" s="32" t="n">
        <v>792.55</v>
      </c>
      <c r="J122" s="32" t="n">
        <v>-1.74</v>
      </c>
      <c r="K122" s="32" t="n">
        <v>65652</v>
      </c>
      <c r="L122" s="31" t="n">
        <v>18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63.18</v>
      </c>
      <c r="P122" s="32" t="n">
        <v>23.96</v>
      </c>
      <c r="Q122" s="32" t="n">
        <v>603.5</v>
      </c>
      <c r="R122" s="31" t="inlineStr">
        <is>
          <t>Volume Spike &amp; Near 52W High Breakout</t>
        </is>
      </c>
      <c r="S122" s="31" t="inlineStr">
        <is>
          <t>Nifty 50</t>
        </is>
      </c>
      <c r="T122" s="32" t="n">
        <v>-12.01</v>
      </c>
      <c r="U122" s="32" t="n">
        <v>3.37</v>
      </c>
      <c r="V122" s="32" t="n">
        <v>17.48</v>
      </c>
      <c r="W122" s="32" t="n">
        <v>4.43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IF(B123=0,"",RANK(B123,$B$2:$B$220,0))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KOPRAN</t>
        </is>
      </c>
      <c r="D123" s="31" t="inlineStr">
        <is>
          <t>Kopran Limited</t>
        </is>
      </c>
      <c r="E123" s="31" t="inlineStr">
        <is>
          <t>healthcare</t>
        </is>
      </c>
      <c r="F123" s="31" t="inlineStr">
        <is>
          <t>pharmaceuticals - indian - bulk drugs &amp; formln</t>
        </is>
      </c>
      <c r="G123" s="31" t="inlineStr">
        <is>
          <t>smallcap</t>
        </is>
      </c>
      <c r="H123" s="32" t="n">
        <v>1277.5</v>
      </c>
      <c r="I123" s="32" t="n">
        <v>283.95</v>
      </c>
      <c r="J123" s="32" t="n">
        <v>7.41</v>
      </c>
      <c r="K123" s="32" t="n">
        <v>952484</v>
      </c>
      <c r="L123" s="31" t="n">
        <v>63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70.14</v>
      </c>
      <c r="P123" s="32" t="n">
        <v>44.75</v>
      </c>
      <c r="Q123" s="32" t="n">
        <v>207.63</v>
      </c>
      <c r="R123" s="31" t="inlineStr">
        <is>
          <t>Near 52W High Breakout</t>
        </is>
      </c>
      <c r="S123" s="31" t="inlineStr">
        <is>
          <t>Nifty Pharma</t>
        </is>
      </c>
      <c r="T123" s="32" t="n">
        <v>15.65</v>
      </c>
      <c r="U123" s="32" t="n">
        <v>73.90000000000001</v>
      </c>
      <c r="V123" s="32" t="n">
        <v>50.36</v>
      </c>
      <c r="W123" s="32" t="n">
        <v>21.73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Yes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IF(B124=0,"",RANK(B124,$B$2:$B$220,0))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DHAMPURSUG</t>
        </is>
      </c>
      <c r="D124" s="31" t="inlineStr">
        <is>
          <t>Dhampur Sugar Mills Limited</t>
        </is>
      </c>
      <c r="E124" s="31" t="inlineStr">
        <is>
          <t>fmcg</t>
        </is>
      </c>
      <c r="F124" s="31" t="inlineStr">
        <is>
          <t>sugar</t>
        </is>
      </c>
      <c r="G124" s="31" t="inlineStr">
        <is>
          <t>smallcap</t>
        </is>
      </c>
      <c r="H124" s="32" t="n">
        <v>1303.11</v>
      </c>
      <c r="I124" s="32" t="n">
        <v>207.63</v>
      </c>
      <c r="J124" s="32" t="n">
        <v>2.46</v>
      </c>
      <c r="K124" s="32" t="n">
        <v>3304387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71.93000000000001</v>
      </c>
      <c r="P124" s="32" t="n">
        <v>28.35</v>
      </c>
      <c r="Q124" s="32" t="n">
        <v>155.44</v>
      </c>
      <c r="R124" s="31" t="inlineStr">
        <is>
          <t>Near 52W High Breakout</t>
        </is>
      </c>
      <c r="S124" s="31" t="inlineStr">
        <is>
          <t>Nifty FMCG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B2C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Between 0.7 to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IF(B125=0,"",RANK(B125,$B$2:$B$220,0))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CYIENT</t>
        </is>
      </c>
      <c r="D125" s="31" t="inlineStr">
        <is>
          <t>Cyient Limited</t>
        </is>
      </c>
      <c r="E125" s="31" t="inlineStr">
        <is>
          <t>i.t</t>
        </is>
      </c>
      <c r="F125" s="31" t="inlineStr">
        <is>
          <t>computers - software - medium / small</t>
        </is>
      </c>
      <c r="G125" s="31" t="inlineStr">
        <is>
          <t>midcap</t>
        </is>
      </c>
      <c r="H125" s="32" t="n">
        <v>12310.3</v>
      </c>
      <c r="I125" s="32" t="n">
        <v>1195.4</v>
      </c>
      <c r="J125" s="32" t="n">
        <v>1.71</v>
      </c>
      <c r="K125" s="32" t="n">
        <v>751668</v>
      </c>
      <c r="L125" s="31" t="n">
        <v>35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71.31</v>
      </c>
      <c r="P125" s="32" t="n">
        <v>29.73</v>
      </c>
      <c r="Q125" s="32" t="n">
        <v>953.95</v>
      </c>
      <c r="R125" s="31" t="inlineStr">
        <is>
          <t>Near 52W High Breakout</t>
        </is>
      </c>
      <c r="S125" s="31" t="inlineStr">
        <is>
          <t>Nifty IT</t>
        </is>
      </c>
      <c r="T125" s="32" t="n">
        <v>-13.68</v>
      </c>
      <c r="U125" s="32" t="n">
        <v>3.48</v>
      </c>
      <c r="V125" s="32" t="n">
        <v>19.87</v>
      </c>
      <c r="W125" s="32" t="n">
        <v>10.56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IF(B126=0,"",RANK(B126,$B$2:$B$220,0))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UTTAMSUGAR</t>
        </is>
      </c>
      <c r="D126" s="31" t="inlineStr">
        <is>
          <t>Uttam Sugar Mills Limited</t>
        </is>
      </c>
      <c r="E126" s="31" t="inlineStr">
        <is>
          <t>fmcg</t>
        </is>
      </c>
      <c r="F126" s="31" t="inlineStr">
        <is>
          <t>sugar</t>
        </is>
      </c>
      <c r="G126" s="31" t="inlineStr">
        <is>
          <t>smallcap</t>
        </is>
      </c>
      <c r="H126" s="32" t="n">
        <v>1426.94</v>
      </c>
      <c r="I126" s="32" t="n">
        <v>380.05</v>
      </c>
      <c r="J126" s="32" t="n">
        <v>1.58</v>
      </c>
      <c r="K126" s="32" t="n">
        <v>2553021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70.93000000000001</v>
      </c>
      <c r="P126" s="32" t="n">
        <v>33.1</v>
      </c>
      <c r="Q126" s="32" t="n">
        <v>266.37</v>
      </c>
      <c r="R126" s="31" t="inlineStr">
        <is>
          <t>Volume Spike &amp; Near 52W High Breakout</t>
        </is>
      </c>
      <c r="S126" s="31" t="inlineStr">
        <is>
          <t>Nifty FMCG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B2C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IF(B127=0,"",RANK(B127,$B$2:$B$220,0))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ADFFOODS</t>
        </is>
      </c>
      <c r="D127" s="31" t="inlineStr">
        <is>
          <t>Adf Foods Limited</t>
        </is>
      </c>
      <c r="E127" s="31" t="inlineStr">
        <is>
          <t>fmcg</t>
        </is>
      </c>
      <c r="F127" s="31" t="inlineStr">
        <is>
          <t>food - processing - indian</t>
        </is>
      </c>
      <c r="G127" s="31" t="inlineStr">
        <is>
          <t>smallcap</t>
        </is>
      </c>
      <c r="H127" s="32" t="n">
        <v>3088.82</v>
      </c>
      <c r="I127" s="32" t="n">
        <v>283.2</v>
      </c>
      <c r="J127" s="32" t="n">
        <v>0.73</v>
      </c>
      <c r="K127" s="32" t="n">
        <v>44643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55.38</v>
      </c>
      <c r="P127" s="32" t="n">
        <v>25.27</v>
      </c>
      <c r="Q127" s="32" t="n">
        <v>232.92</v>
      </c>
      <c r="R127" s="31" t="inlineStr">
        <is>
          <t>Earnings / Momentum Support</t>
        </is>
      </c>
      <c r="S127" s="31" t="inlineStr">
        <is>
          <t>Nifty FMCG</t>
        </is>
      </c>
      <c r="T127" s="32" t="inlineStr"/>
      <c r="U127" s="32" t="inlineStr"/>
      <c r="V127" s="32" t="inlineStr"/>
      <c r="W127" s="32" t="inlineStr"/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B2C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IF(B128=0,"",RANK(B128,$B$2:$B$220,0))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AVADHSUGAR</t>
        </is>
      </c>
      <c r="D128" s="31" t="inlineStr">
        <is>
          <t>Avadh Sugar &amp; Energy</t>
        </is>
      </c>
      <c r="E128" s="31" t="inlineStr">
        <is>
          <t>fmcg</t>
        </is>
      </c>
      <c r="F128" s="31" t="inlineStr">
        <is>
          <t>sugar</t>
        </is>
      </c>
      <c r="G128" s="31" t="inlineStr">
        <is>
          <t>smallcap</t>
        </is>
      </c>
      <c r="H128" s="32" t="n">
        <v>1998.24</v>
      </c>
      <c r="I128" s="32" t="n">
        <v>996.15</v>
      </c>
      <c r="J128" s="32" t="n">
        <v>-0.21</v>
      </c>
      <c r="K128" s="32" t="n">
        <v>156025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78.34</v>
      </c>
      <c r="P128" s="32" t="n">
        <v>59.75</v>
      </c>
      <c r="Q128" s="32" t="n">
        <v>757.86</v>
      </c>
      <c r="R128" s="31" t="inlineStr">
        <is>
          <t>Near 52W High Breakout</t>
        </is>
      </c>
      <c r="S128" s="31" t="inlineStr">
        <is>
          <t>Nifty FMCG</t>
        </is>
      </c>
      <c r="T128" s="32" t="inlineStr"/>
      <c r="U128" s="32" t="inlineStr"/>
      <c r="V128" s="32" t="inlineStr"/>
      <c r="W128" s="32" t="inlineStr"/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B2C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More than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IF(B129=0,"",RANK(B129,$B$2:$B$220,0))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ALLDIGI</t>
        </is>
      </c>
      <c r="D129" s="31" t="inlineStr">
        <is>
          <t>Alldigi Tech Ltd</t>
        </is>
      </c>
      <c r="E129" s="31" t="inlineStr">
        <is>
          <t>i.t</t>
        </is>
      </c>
      <c r="F129" s="31" t="inlineStr">
        <is>
          <t>computers - software - medium / small</t>
        </is>
      </c>
      <c r="G129" s="31" t="inlineStr">
        <is>
          <t>smallcap</t>
        </is>
      </c>
      <c r="H129" s="32" t="n">
        <v>1293.28</v>
      </c>
      <c r="I129" s="32" t="n">
        <v>833.2</v>
      </c>
      <c r="J129" s="32" t="n">
        <v>-1.83</v>
      </c>
      <c r="K129" s="32" t="n">
        <v>7225</v>
      </c>
      <c r="L129" s="31" t="n">
        <v>8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58.79</v>
      </c>
      <c r="P129" s="32" t="n">
        <v>31.8</v>
      </c>
      <c r="Q129" s="32" t="n">
        <v>686.34</v>
      </c>
      <c r="R129" s="31" t="inlineStr">
        <is>
          <t>Volume Spike &amp; Near 52W High Breakout</t>
        </is>
      </c>
      <c r="S129" s="31" t="inlineStr">
        <is>
          <t>Nifty IT</t>
        </is>
      </c>
      <c r="T129" s="32" t="n">
        <v>-13.68</v>
      </c>
      <c r="U129" s="32" t="n">
        <v>2.72</v>
      </c>
      <c r="V129" s="32" t="n">
        <v>18.99</v>
      </c>
      <c r="W129" s="32" t="n">
        <v>1.93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1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IF(B130=0,"",RANK(B130,$B$2:$B$220,0))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KILITCH</t>
        </is>
      </c>
      <c r="D130" s="31" t="inlineStr">
        <is>
          <t>Kilitch Drugs (india) Limited</t>
        </is>
      </c>
      <c r="E130" s="31" t="inlineStr">
        <is>
          <t>healthcare</t>
        </is>
      </c>
      <c r="F130" s="31" t="inlineStr">
        <is>
          <t>pharmaceuticals - indian - formulations</t>
        </is>
      </c>
      <c r="G130" s="31" t="inlineStr">
        <is>
          <t>smallcap</t>
        </is>
      </c>
      <c r="H130" s="32" t="n">
        <v>822.51</v>
      </c>
      <c r="I130" s="32" t="n">
        <v>230.37</v>
      </c>
      <c r="J130" s="32" t="n">
        <v>-2.08</v>
      </c>
      <c r="K130" s="32" t="n">
        <v>67066</v>
      </c>
      <c r="L130" s="31" t="n">
        <v>38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65.04000000000001</v>
      </c>
      <c r="P130" s="32" t="n">
        <v>30.56</v>
      </c>
      <c r="Q130" s="32" t="n">
        <v>175.87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15.65</v>
      </c>
      <c r="U130" s="32" t="n">
        <v>23.44</v>
      </c>
      <c r="V130" s="32" t="n">
        <v>6.73</v>
      </c>
      <c r="W130" s="32" t="n">
        <v>11.66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IF(B131=0,"",RANK(B131,$B$2:$B$220,0))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RUBYMILLS</t>
        </is>
      </c>
      <c r="D131" s="31" t="inlineStr">
        <is>
          <t>The Ruby Mills Limited</t>
        </is>
      </c>
      <c r="E131" s="31" t="inlineStr">
        <is>
          <t>textiles</t>
        </is>
      </c>
      <c r="F131" s="31" t="inlineStr">
        <is>
          <t>textiles - composite</t>
        </is>
      </c>
      <c r="G131" s="31" t="inlineStr">
        <is>
          <t>smallcap</t>
        </is>
      </c>
      <c r="H131" s="32" t="n">
        <v>1645.42</v>
      </c>
      <c r="I131" s="32" t="n">
        <v>541.25</v>
      </c>
      <c r="J131" s="32" t="n">
        <v>10</v>
      </c>
      <c r="K131" s="32" t="n">
        <v>201214</v>
      </c>
      <c r="L131" s="31" t="n">
        <v>76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77.91</v>
      </c>
      <c r="P131" s="32" t="n">
        <v>52.71</v>
      </c>
      <c r="Q131" s="32" t="n">
        <v>392.54</v>
      </c>
      <c r="R131" s="31" t="inlineStr">
        <is>
          <t>Volume Spike &amp; Near 52W High Breakout</t>
        </is>
      </c>
      <c r="S131" s="31" t="inlineStr">
        <is>
          <t>Nifty 50</t>
        </is>
      </c>
      <c r="T131" s="32" t="n">
        <v>-12.01</v>
      </c>
      <c r="U131" s="32" t="n">
        <v>147.11</v>
      </c>
      <c r="V131" s="32" t="n">
        <v>180.84</v>
      </c>
      <c r="W131" s="32" t="n">
        <v>29.18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IF(B132=0,"",RANK(B132,$B$2:$B$220,0))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RAIN</t>
        </is>
      </c>
      <c r="D132" s="31" t="inlineStr">
        <is>
          <t>Rain Industries Limited</t>
        </is>
      </c>
      <c r="E132" s="31" t="inlineStr">
        <is>
          <t>miscellaneous</t>
        </is>
      </c>
      <c r="F132" s="31" t="inlineStr">
        <is>
          <t>miscellaneous</t>
        </is>
      </c>
      <c r="G132" s="31" t="inlineStr">
        <is>
          <t>midcap</t>
        </is>
      </c>
      <c r="H132" s="32" t="n">
        <v>7391.2</v>
      </c>
      <c r="I132" s="32" t="n">
        <v>237.08</v>
      </c>
      <c r="J132" s="32" t="n">
        <v>7.89</v>
      </c>
      <c r="K132" s="32" t="n">
        <v>14443836</v>
      </c>
      <c r="L132" s="31" t="n">
        <v>57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67.5</v>
      </c>
      <c r="P132" s="32" t="n">
        <v>41.16</v>
      </c>
      <c r="Q132" s="32" t="n">
        <v>179.26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-12.01</v>
      </c>
      <c r="U132" s="32" t="n">
        <v>88.76000000000001</v>
      </c>
      <c r="V132" s="32" t="n">
        <v>114.52</v>
      </c>
      <c r="W132" s="32" t="n">
        <v>18.43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Between 50% to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More than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IF(B133=0,"",RANK(B133,$B$2:$B$220,0))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NEOGEN</t>
        </is>
      </c>
      <c r="D133" s="31" t="inlineStr">
        <is>
          <t>Neogen Chemicals Ltd</t>
        </is>
      </c>
      <c r="E133" s="31" t="inlineStr">
        <is>
          <t>chemicals</t>
        </is>
      </c>
      <c r="F133" s="31" t="inlineStr">
        <is>
          <t>chemicals</t>
        </is>
      </c>
      <c r="G133" s="31" t="inlineStr">
        <is>
          <t>midcap</t>
        </is>
      </c>
      <c r="H133" s="32" t="n">
        <v>7720</v>
      </c>
      <c r="I133" s="32" t="n">
        <v>2687.9</v>
      </c>
      <c r="J133" s="32" t="n">
        <v>4.6</v>
      </c>
      <c r="K133" s="32" t="n">
        <v>719889</v>
      </c>
      <c r="L133" s="31" t="n">
        <v>57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73.36</v>
      </c>
      <c r="P133" s="32" t="n">
        <v>60.27</v>
      </c>
      <c r="Q133" s="32" t="n">
        <v>2050.53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-12.01</v>
      </c>
      <c r="U133" s="32" t="n">
        <v>84.22</v>
      </c>
      <c r="V133" s="32" t="n">
        <v>109.36</v>
      </c>
      <c r="W133" s="32" t="n">
        <v>19.22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IF(B134=0,"",RANK(B134,$B$2:$B$220,0))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MMP</t>
        </is>
      </c>
      <c r="D134" s="31" t="inlineStr">
        <is>
          <t>MMP Industries Ltd</t>
        </is>
      </c>
      <c r="E134" s="31" t="inlineStr">
        <is>
          <t>metals &amp; mining</t>
        </is>
      </c>
      <c r="F134" s="31" t="inlineStr">
        <is>
          <t>aluminium and aluminium products</t>
        </is>
      </c>
      <c r="G134" s="31" t="inlineStr">
        <is>
          <t>smallcap</t>
        </is>
      </c>
      <c r="H134" s="32" t="n">
        <v>1236.6</v>
      </c>
      <c r="I134" s="32" t="n">
        <v>508.65</v>
      </c>
      <c r="J134" s="32" t="n">
        <v>4.49</v>
      </c>
      <c r="K134" s="32" t="n">
        <v>219896</v>
      </c>
      <c r="L134" s="31" t="inlineStr"/>
      <c r="M134" s="31" t="inlineStr"/>
      <c r="N134" s="32">
        <f>IF(M134="Underperforming",-5,IF(L134&gt;=95,15,IF(L134&gt;=90,10,IF(L134&gt;=80,5,0))))</f>
        <v/>
      </c>
      <c r="O134" s="32" t="n">
        <v>82.43000000000001</v>
      </c>
      <c r="P134" s="32" t="n">
        <v>64.52</v>
      </c>
      <c r="Q134" s="32" t="n">
        <v>381.58</v>
      </c>
      <c r="R134" s="31" t="inlineStr">
        <is>
          <t>Near 52W High Breakout</t>
        </is>
      </c>
      <c r="S134" s="31" t="inlineStr">
        <is>
          <t>Nifty Metal</t>
        </is>
      </c>
      <c r="T134" s="32" t="inlineStr"/>
      <c r="U134" s="32" t="inlineStr"/>
      <c r="V134" s="32" t="inlineStr"/>
      <c r="W134" s="32" t="inlineStr"/>
      <c r="X134" s="31" t="inlineStr">
        <is>
          <t>Cyclical in an Upturn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Cyclical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Volatile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Above 40</t>
        </is>
      </c>
      <c r="AY134" s="31">
        <f>IF(AX134="Above 40",20,IF(AX134="20 to 40",10,IF(AX134="0 to 20",-5,0)))</f>
        <v/>
      </c>
      <c r="AZ134" s="31" t="inlineStr">
        <is>
          <t>Above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IF(B135=0,"",RANK(B135,$B$2:$B$220,0))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SHYAMMETL</t>
        </is>
      </c>
      <c r="D135" s="31" t="inlineStr">
        <is>
          <t>Shyam Metalics &amp; Energy Ltd</t>
        </is>
      </c>
      <c r="E135" s="31" t="inlineStr">
        <is>
          <t>metals &amp; mining</t>
        </is>
      </c>
      <c r="F135" s="31" t="inlineStr">
        <is>
          <t>steel - large</t>
        </is>
      </c>
      <c r="G135" s="31" t="inlineStr">
        <is>
          <t>largecap</t>
        </is>
      </c>
      <c r="H135" s="32" t="n">
        <v>30637.51</v>
      </c>
      <c r="I135" s="32" t="n">
        <v>1141.6</v>
      </c>
      <c r="J135" s="32" t="n">
        <v>4.01</v>
      </c>
      <c r="K135" s="32" t="n">
        <v>474420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67.16</v>
      </c>
      <c r="P135" s="32" t="n">
        <v>28.87</v>
      </c>
      <c r="Q135" s="32" t="n">
        <v>946.13</v>
      </c>
      <c r="R135" s="31" t="inlineStr">
        <is>
          <t>Near 52W High Breakout</t>
        </is>
      </c>
      <c r="S135" s="31" t="inlineStr">
        <is>
          <t>Nifty Metal</t>
        </is>
      </c>
      <c r="T135" s="32" t="inlineStr"/>
      <c r="U135" s="32" t="inlineStr"/>
      <c r="V135" s="32" t="inlineStr"/>
      <c r="W135" s="32" t="inlineStr"/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Cyclical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Volatile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IF(B136=0,"",RANK(B136,$B$2:$B$220,0))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DYNAMATECH</t>
        </is>
      </c>
      <c r="D136" s="31" t="inlineStr">
        <is>
          <t>Dynamatic Technologies Limited</t>
        </is>
      </c>
      <c r="E136" s="31" t="inlineStr">
        <is>
          <t>aerospace &amp; defence</t>
        </is>
      </c>
      <c r="F136" s="31" t="inlineStr">
        <is>
          <t>engineering</t>
        </is>
      </c>
      <c r="G136" s="31" t="inlineStr">
        <is>
          <t>midcap</t>
        </is>
      </c>
      <c r="H136" s="32" t="n">
        <v>9497.83</v>
      </c>
      <c r="I136" s="32" t="n">
        <v>14424</v>
      </c>
      <c r="J136" s="32" t="n">
        <v>3.14</v>
      </c>
      <c r="K136" s="32" t="n">
        <v>18300</v>
      </c>
      <c r="L136" s="31" t="n">
        <v>63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71.28</v>
      </c>
      <c r="P136" s="32" t="n">
        <v>35.55</v>
      </c>
      <c r="Q136" s="32" t="n">
        <v>11155.89</v>
      </c>
      <c r="R136" s="31" t="inlineStr">
        <is>
          <t>Near 52W High Breakout</t>
        </is>
      </c>
      <c r="S136" s="31" t="inlineStr">
        <is>
          <t>Nifty 50</t>
        </is>
      </c>
      <c r="T136" s="32" t="n">
        <v>-12.01</v>
      </c>
      <c r="U136" s="32" t="n">
        <v>82.95</v>
      </c>
      <c r="V136" s="32" t="n">
        <v>107.91</v>
      </c>
      <c r="W136" s="32" t="n">
        <v>21.74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Between 0.7 to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IF(B137=0,"",RANK(B137,$B$2:$B$220,0))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GANDHAR</t>
        </is>
      </c>
      <c r="D137" s="31" t="inlineStr">
        <is>
          <t>Gandhar Oil Refinery (India) Ltd</t>
        </is>
      </c>
      <c r="E137" s="31" t="inlineStr">
        <is>
          <t>energy</t>
        </is>
      </c>
      <c r="F137" s="31" t="inlineStr">
        <is>
          <t>refineries</t>
        </is>
      </c>
      <c r="G137" s="31" t="inlineStr">
        <is>
          <t>smallcap</t>
        </is>
      </c>
      <c r="H137" s="32" t="n">
        <v>2954.98</v>
      </c>
      <c r="I137" s="32" t="n">
        <v>310.95</v>
      </c>
      <c r="J137" s="32" t="n">
        <v>3</v>
      </c>
      <c r="K137" s="32" t="n">
        <v>1062167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73.88</v>
      </c>
      <c r="P137" s="32" t="n">
        <v>78.87</v>
      </c>
      <c r="Q137" s="32" t="n">
        <v>241.61</v>
      </c>
      <c r="R137" s="31" t="inlineStr">
        <is>
          <t>Near 52W High Breakout</t>
        </is>
      </c>
      <c r="S137" s="31" t="inlineStr">
        <is>
          <t>Nifty Energy</t>
        </is>
      </c>
      <c r="T137" s="32" t="inlineStr"/>
      <c r="U137" s="32" t="inlineStr"/>
      <c r="V137" s="32" t="inlineStr"/>
      <c r="W137" s="32" t="inlineStr"/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Oligopoly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Cyclical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Volatile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IF(B138=0,"",RANK(B138,$B$2:$B$220,0))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BEPL</t>
        </is>
      </c>
      <c r="D138" s="31" t="inlineStr">
        <is>
          <t>Bhansali Engineering Polymers Limited</t>
        </is>
      </c>
      <c r="E138" s="31" t="inlineStr">
        <is>
          <t>energy</t>
        </is>
      </c>
      <c r="F138" s="31" t="inlineStr">
        <is>
          <t>petrochemicals</t>
        </is>
      </c>
      <c r="G138" s="31" t="inlineStr">
        <is>
          <t>smallcap</t>
        </is>
      </c>
      <c r="H138" s="32" t="n">
        <v>3177.18</v>
      </c>
      <c r="I138" s="32" t="n">
        <v>130.89</v>
      </c>
      <c r="J138" s="32" t="n">
        <v>2.52</v>
      </c>
      <c r="K138" s="32" t="n">
        <v>1580090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69.67</v>
      </c>
      <c r="P138" s="32" t="n">
        <v>57.15</v>
      </c>
      <c r="Q138" s="32" t="n">
        <v>103.45</v>
      </c>
      <c r="R138" s="31" t="inlineStr">
        <is>
          <t>Near 52W High Breakout</t>
        </is>
      </c>
      <c r="S138" s="31" t="inlineStr">
        <is>
          <t>Nifty Energy</t>
        </is>
      </c>
      <c r="T138" s="32" t="inlineStr"/>
      <c r="U138" s="32" t="inlineStr"/>
      <c r="V138" s="32" t="inlineStr"/>
      <c r="W138" s="32" t="inlineStr"/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Oligopoly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Cyclical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Volatile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IF(B139=0,"",RANK(B139,$B$2:$B$220,0))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GREENPLY</t>
        </is>
      </c>
      <c r="D139" s="31" t="inlineStr">
        <is>
          <t>Greenply Industries Limited</t>
        </is>
      </c>
      <c r="E139" s="31" t="inlineStr">
        <is>
          <t>building materials</t>
        </is>
      </c>
      <c r="F139" s="31" t="inlineStr">
        <is>
          <t>miscellaneous</t>
        </is>
      </c>
      <c r="G139" s="31" t="inlineStr">
        <is>
          <t>smallcap</t>
        </is>
      </c>
      <c r="H139" s="32" t="n">
        <v>3915.68</v>
      </c>
      <c r="I139" s="32" t="n">
        <v>318.3</v>
      </c>
      <c r="J139" s="32" t="n">
        <v>1.53</v>
      </c>
      <c r="K139" s="32" t="n">
        <v>392666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62.39</v>
      </c>
      <c r="P139" s="32" t="n">
        <v>18.03</v>
      </c>
      <c r="Q139" s="32" t="n">
        <v>248.95</v>
      </c>
      <c r="R139" s="31" t="inlineStr">
        <is>
          <t>Near 52W High Breakout</t>
        </is>
      </c>
      <c r="S139" s="31" t="inlineStr">
        <is>
          <t>Nifty Infra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IF(B140=0,"",RANK(B140,$B$2:$B$220,0))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NAZARA</t>
        </is>
      </c>
      <c r="D140" s="31" t="inlineStr">
        <is>
          <t>Nazara Technologies Ltd</t>
        </is>
      </c>
      <c r="E140" s="31" t="inlineStr">
        <is>
          <t>i.t</t>
        </is>
      </c>
      <c r="F140" s="31" t="inlineStr">
        <is>
          <t>telecommunications - service provider</t>
        </is>
      </c>
      <c r="G140" s="31" t="inlineStr">
        <is>
          <t>midcap</t>
        </is>
      </c>
      <c r="H140" s="32" t="n">
        <v>15405.15</v>
      </c>
      <c r="I140" s="32" t="n">
        <v>405.2</v>
      </c>
      <c r="J140" s="32" t="n">
        <v>1.19</v>
      </c>
      <c r="K140" s="32" t="n">
        <v>1601176</v>
      </c>
      <c r="L140" s="31" t="n">
        <v>49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76.93000000000001</v>
      </c>
      <c r="P140" s="32" t="n">
        <v>36.97</v>
      </c>
      <c r="Q140" s="32" t="n">
        <v>333.18</v>
      </c>
      <c r="R140" s="31" t="inlineStr">
        <is>
          <t>Near 52W High Breakout</t>
        </is>
      </c>
      <c r="S140" s="31" t="inlineStr">
        <is>
          <t>Nifty IT</t>
        </is>
      </c>
      <c r="T140" s="32" t="n">
        <v>-13.68</v>
      </c>
      <c r="U140" s="32" t="n">
        <v>53.05</v>
      </c>
      <c r="V140" s="32" t="n">
        <v>77.3</v>
      </c>
      <c r="W140" s="32" t="n">
        <v>16.14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Oligopoly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Above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IF(B141=0,"",RANK(B141,$B$2:$B$220,0))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BIL</t>
        </is>
      </c>
      <c r="D141" s="31" t="inlineStr">
        <is>
          <t>Bhartiya International Limited</t>
        </is>
      </c>
      <c r="E141" s="31" t="inlineStr">
        <is>
          <t>consumer discretionary</t>
        </is>
      </c>
      <c r="F141" s="31" t="inlineStr">
        <is>
          <t>leather / leather products</t>
        </is>
      </c>
      <c r="G141" s="31" t="inlineStr">
        <is>
          <t>smallcap</t>
        </is>
      </c>
      <c r="H141" s="32" t="n">
        <v>1414.6</v>
      </c>
      <c r="I141" s="32" t="n">
        <v>1058.05</v>
      </c>
      <c r="J141" s="32" t="n">
        <v>0.3</v>
      </c>
      <c r="K141" s="32" t="n">
        <v>3212</v>
      </c>
      <c r="L141" s="31" t="n">
        <v>56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68.55</v>
      </c>
      <c r="P141" s="32" t="n">
        <v>34.14</v>
      </c>
      <c r="Q141" s="32" t="n">
        <v>800.0700000000001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-12.01</v>
      </c>
      <c r="U141" s="32" t="n">
        <v>40.04</v>
      </c>
      <c r="V141" s="32" t="n">
        <v>59.15</v>
      </c>
      <c r="W141" s="32" t="n">
        <v>17.97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Between 0.7 to 1.2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IF(B142=0,"",RANK(B142,$B$2:$B$220,0))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GESHIP</t>
        </is>
      </c>
      <c r="D142" s="31" t="inlineStr">
        <is>
          <t>The Great Eastern Shipping Company Limited</t>
        </is>
      </c>
      <c r="E142" s="31" t="inlineStr">
        <is>
          <t>transportation</t>
        </is>
      </c>
      <c r="F142" s="31" t="inlineStr">
        <is>
          <t>shipping</t>
        </is>
      </c>
      <c r="G142" s="31" t="inlineStr">
        <is>
          <t>largecap</t>
        </is>
      </c>
      <c r="H142" s="32" t="n">
        <v>22014.7</v>
      </c>
      <c r="I142" s="32" t="n">
        <v>1543.1</v>
      </c>
      <c r="J142" s="32" t="n">
        <v>0.07000000000000001</v>
      </c>
      <c r="K142" s="32" t="n">
        <v>679926</v>
      </c>
      <c r="L142" s="31" t="n">
        <v>43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62.07</v>
      </c>
      <c r="P142" s="32" t="n">
        <v>26.88</v>
      </c>
      <c r="Q142" s="32" t="n">
        <v>1232.41</v>
      </c>
      <c r="R142" s="31" t="inlineStr">
        <is>
          <t>Earnings / Momentum Support</t>
        </is>
      </c>
      <c r="S142" s="31" t="inlineStr">
        <is>
          <t>Nifty 50</t>
        </is>
      </c>
      <c r="T142" s="32" t="n">
        <v>-12.01</v>
      </c>
      <c r="U142" s="32" t="n">
        <v>53.88</v>
      </c>
      <c r="V142" s="32" t="n">
        <v>74.88</v>
      </c>
      <c r="W142" s="32" t="n">
        <v>12.8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IF(B143=0,"",RANK(B143,$B$2:$B$220,0))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SAMBHV</t>
        </is>
      </c>
      <c r="D143" s="31" t="inlineStr">
        <is>
          <t>Sambhv Steel Tubes Ltd</t>
        </is>
      </c>
      <c r="E143" s="31" t="inlineStr">
        <is>
          <t>metals &amp; mining</t>
        </is>
      </c>
      <c r="F143" s="31" t="inlineStr">
        <is>
          <t>steel - medium / small</t>
        </is>
      </c>
      <c r="G143" s="31" t="inlineStr">
        <is>
          <t>smallcap</t>
        </is>
      </c>
      <c r="H143" s="32" t="n">
        <v>4834.38</v>
      </c>
      <c r="I143" s="32" t="n">
        <v>163.85</v>
      </c>
      <c r="J143" s="32" t="n">
        <v>-0.13</v>
      </c>
      <c r="K143" s="32" t="n">
        <v>1367713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78.92</v>
      </c>
      <c r="P143" s="32" t="n">
        <v>52.43</v>
      </c>
      <c r="Q143" s="32" t="n">
        <v>127.3</v>
      </c>
      <c r="R143" s="31" t="inlineStr">
        <is>
          <t>Near 52W High Breakout</t>
        </is>
      </c>
      <c r="S143" s="31" t="inlineStr">
        <is>
          <t>Nifty Metal</t>
        </is>
      </c>
      <c r="T143" s="32" t="inlineStr"/>
      <c r="U143" s="32" t="inlineStr"/>
      <c r="V143" s="32" t="inlineStr"/>
      <c r="W143" s="32" t="inlineStr"/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IF(B144=0,"",RANK(B144,$B$2:$B$220,0))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MUKANDLTD</t>
        </is>
      </c>
      <c r="D144" s="31" t="inlineStr">
        <is>
          <t>Mukand Limited</t>
        </is>
      </c>
      <c r="E144" s="31" t="inlineStr">
        <is>
          <t>metals &amp; mining</t>
        </is>
      </c>
      <c r="F144" s="31" t="inlineStr">
        <is>
          <t>steel - medium / small</t>
        </is>
      </c>
      <c r="G144" s="31" t="inlineStr">
        <is>
          <t>smallcap</t>
        </is>
      </c>
      <c r="H144" s="32" t="n">
        <v>2550.78</v>
      </c>
      <c r="I144" s="32" t="n">
        <v>175.02</v>
      </c>
      <c r="J144" s="32" t="n">
        <v>-0.86</v>
      </c>
      <c r="K144" s="32" t="n">
        <v>105944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71.68000000000001</v>
      </c>
      <c r="P144" s="32" t="n">
        <v>46.1</v>
      </c>
      <c r="Q144" s="32" t="n">
        <v>138.45</v>
      </c>
      <c r="R144" s="31" t="inlineStr">
        <is>
          <t>Near 52W High Breakout</t>
        </is>
      </c>
      <c r="S144" s="31" t="inlineStr">
        <is>
          <t>Nifty Metal</t>
        </is>
      </c>
      <c r="T144" s="32" t="inlineStr"/>
      <c r="U144" s="32" t="inlineStr"/>
      <c r="V144" s="32" t="inlineStr"/>
      <c r="W144" s="32" t="inlineStr"/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Cyclical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Volatile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Above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IF(B145=0,"",RANK(B145,$B$2:$B$220,0))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MOBIKWIK</t>
        </is>
      </c>
      <c r="D145" s="31" t="inlineStr">
        <is>
          <t>One Mobikwik Systems Ltd</t>
        </is>
      </c>
      <c r="E145" s="31" t="inlineStr">
        <is>
          <t>i.t</t>
        </is>
      </c>
      <c r="F145" s="31" t="inlineStr">
        <is>
          <t>miscellaneous</t>
        </is>
      </c>
      <c r="G145" s="31" t="inlineStr">
        <is>
          <t>smallcap</t>
        </is>
      </c>
      <c r="H145" s="32" t="n">
        <v>1925.13</v>
      </c>
      <c r="I145" s="32" t="n">
        <v>242.23</v>
      </c>
      <c r="J145" s="32" t="n">
        <v>-0.92</v>
      </c>
      <c r="K145" s="32" t="n">
        <v>2049780</v>
      </c>
      <c r="L145" s="31" t="n">
        <v>5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63.23</v>
      </c>
      <c r="P145" s="32" t="n">
        <v>21.3</v>
      </c>
      <c r="Q145" s="32" t="n">
        <v>178.09</v>
      </c>
      <c r="R145" s="31" t="inlineStr">
        <is>
          <t>Earnings / Momentum Support</t>
        </is>
      </c>
      <c r="S145" s="31" t="inlineStr">
        <is>
          <t>Nifty IT</t>
        </is>
      </c>
      <c r="T145" s="32" t="n">
        <v>-13.68</v>
      </c>
      <c r="U145" s="32" t="n">
        <v>-9.43</v>
      </c>
      <c r="V145" s="32" t="n">
        <v>4.92</v>
      </c>
      <c r="W145" s="32" t="n">
        <v>0.89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IF(B146=0,"",RANK(B146,$B$2:$B$220,0))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SIGMAADV</t>
        </is>
      </c>
      <c r="D146" s="31" t="inlineStr">
        <is>
          <t>Sigma Advanced System Ltd</t>
        </is>
      </c>
      <c r="E146" s="31" t="inlineStr">
        <is>
          <t>aerospace &amp; defence</t>
        </is>
      </c>
      <c r="F146" s="31" t="inlineStr">
        <is>
          <t>electronics - components</t>
        </is>
      </c>
      <c r="G146" s="31" t="inlineStr">
        <is>
          <t>midcap</t>
        </is>
      </c>
      <c r="H146" s="32" t="n">
        <v>19050.05</v>
      </c>
      <c r="I146" s="32" t="n">
        <v>981.4</v>
      </c>
      <c r="J146" s="32" t="n">
        <v>-2.38</v>
      </c>
      <c r="K146" s="32" t="n">
        <v>246236</v>
      </c>
      <c r="L146" s="31" t="n">
        <v>98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74.68000000000001</v>
      </c>
      <c r="P146" s="32" t="n">
        <v>62.26</v>
      </c>
      <c r="Q146" s="32" t="n">
        <v>792.76</v>
      </c>
      <c r="R146" s="31" t="inlineStr">
        <is>
          <t>Earnings / Momentum Support</t>
        </is>
      </c>
      <c r="S146" s="31" t="inlineStr">
        <is>
          <t>Nifty 50</t>
        </is>
      </c>
      <c r="T146" s="32" t="n">
        <v>-12.01</v>
      </c>
      <c r="U146" s="32" t="n">
        <v>574.13</v>
      </c>
      <c r="V146" s="32" t="n">
        <v>666.12</v>
      </c>
      <c r="W146" s="32" t="n">
        <v>74.03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IF(B147=0,"",RANK(B147,$B$2:$B$220,0))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ONWARDTEC</t>
        </is>
      </c>
      <c r="D147" s="31" t="inlineStr">
        <is>
          <t>Onward Technologies Limited</t>
        </is>
      </c>
      <c r="E147" s="31" t="inlineStr">
        <is>
          <t>i.t</t>
        </is>
      </c>
      <c r="F147" s="31" t="inlineStr">
        <is>
          <t>computers - software - medium / small</t>
        </is>
      </c>
      <c r="G147" s="31" t="inlineStr">
        <is>
          <t>smallcap</t>
        </is>
      </c>
      <c r="H147" s="32" t="n">
        <v>727.4400000000001</v>
      </c>
      <c r="I147" s="32" t="n">
        <v>359.45</v>
      </c>
      <c r="J147" s="32" t="n">
        <v>9.94</v>
      </c>
      <c r="K147" s="32" t="n">
        <v>771831</v>
      </c>
      <c r="L147" s="31" t="n">
        <v>33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77.64</v>
      </c>
      <c r="P147" s="32" t="n">
        <v>22.04</v>
      </c>
      <c r="Q147" s="32" t="n">
        <v>284.06</v>
      </c>
      <c r="R147" s="31" t="inlineStr">
        <is>
          <t>Volume Spike &amp; Near 52W High Breakout</t>
        </is>
      </c>
      <c r="S147" s="31" t="inlineStr">
        <is>
          <t>Nifty IT</t>
        </is>
      </c>
      <c r="T147" s="32" t="n">
        <v>-13.68</v>
      </c>
      <c r="U147" s="32" t="n">
        <v>20.6</v>
      </c>
      <c r="V147" s="32" t="n">
        <v>39.7</v>
      </c>
      <c r="W147" s="32" t="n">
        <v>10.23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IF(B148=0,"",RANK(B148,$B$2:$B$220,0))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MUKKA</t>
        </is>
      </c>
      <c r="D148" s="31" t="inlineStr">
        <is>
          <t>Mukka Proteins Ltd</t>
        </is>
      </c>
      <c r="E148" s="31" t="inlineStr">
        <is>
          <t>fmcg</t>
        </is>
      </c>
      <c r="F148" s="31" t="inlineStr">
        <is>
          <t>food - processing - indian</t>
        </is>
      </c>
      <c r="G148" s="31" t="inlineStr">
        <is>
          <t>smallcap</t>
        </is>
      </c>
      <c r="H148" s="32" t="n">
        <v>823.2</v>
      </c>
      <c r="I148" s="32" t="n">
        <v>28.81</v>
      </c>
      <c r="J148" s="32" t="n">
        <v>4.99</v>
      </c>
      <c r="K148" s="32" t="n">
        <v>348308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58.34</v>
      </c>
      <c r="P148" s="32" t="n">
        <v>20.86</v>
      </c>
      <c r="Q148" s="32" t="n">
        <v>23.64</v>
      </c>
      <c r="R148" s="31" t="inlineStr">
        <is>
          <t>Earnings / Momentum Support</t>
        </is>
      </c>
      <c r="S148" s="31" t="inlineStr">
        <is>
          <t>Nifty FMCG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B2C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More than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IF(B149=0,"",RANK(B149,$B$2:$B$220,0))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CCL</t>
        </is>
      </c>
      <c r="D149" s="31" t="inlineStr">
        <is>
          <t>Ccl Products (india) Limited</t>
        </is>
      </c>
      <c r="E149" s="31" t="inlineStr">
        <is>
          <t>fmcg</t>
        </is>
      </c>
      <c r="F149" s="31" t="inlineStr">
        <is>
          <t>tea</t>
        </is>
      </c>
      <c r="G149" s="31" t="inlineStr">
        <is>
          <t>midcap</t>
        </is>
      </c>
      <c r="H149" s="32" t="n">
        <v>14296.83</v>
      </c>
      <c r="I149" s="32" t="n">
        <v>1100.6</v>
      </c>
      <c r="J149" s="32" t="n">
        <v>2.79</v>
      </c>
      <c r="K149" s="32" t="n">
        <v>153068</v>
      </c>
      <c r="L149" s="31" t="inlineStr"/>
      <c r="M149" s="31" t="inlineStr"/>
      <c r="N149" s="32">
        <f>IF(M149="Underperforming",-5,IF(L149&gt;=95,15,IF(L149&gt;=90,10,IF(L149&gt;=80,5,0))))</f>
        <v/>
      </c>
      <c r="O149" s="32" t="n">
        <v>52.3</v>
      </c>
      <c r="P149" s="32" t="n">
        <v>23.55</v>
      </c>
      <c r="Q149" s="32" t="n">
        <v>990.34</v>
      </c>
      <c r="R149" s="31" t="inlineStr">
        <is>
          <t>Earnings / Momentum Support</t>
        </is>
      </c>
      <c r="S149" s="31" t="inlineStr">
        <is>
          <t>Nifty FMCG</t>
        </is>
      </c>
      <c r="T149" s="32" t="inlineStr"/>
      <c r="U149" s="32" t="inlineStr"/>
      <c r="V149" s="32" t="inlineStr"/>
      <c r="W149" s="32" t="inlineStr"/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1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IF(B150=0,"",RANK(B150,$B$2:$B$220,0))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TECHM</t>
        </is>
      </c>
      <c r="D150" s="31" t="inlineStr">
        <is>
          <t>Tech Mahindra Limited</t>
        </is>
      </c>
      <c r="E150" s="31" t="inlineStr">
        <is>
          <t>i.t</t>
        </is>
      </c>
      <c r="F150" s="31" t="inlineStr">
        <is>
          <t>computers - software - large</t>
        </is>
      </c>
      <c r="G150" s="31" t="inlineStr">
        <is>
          <t>largecap</t>
        </is>
      </c>
      <c r="H150" s="32" t="n">
        <v>151271.95</v>
      </c>
      <c r="I150" s="32" t="n">
        <v>1575.2</v>
      </c>
      <c r="J150" s="32" t="n">
        <v>2.05</v>
      </c>
      <c r="K150" s="32" t="n">
        <v>3651697</v>
      </c>
      <c r="L150" s="31" t="n">
        <v>12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55.48</v>
      </c>
      <c r="P150" s="32" t="n">
        <v>12.08</v>
      </c>
      <c r="Q150" s="32" t="n">
        <v>1385.17</v>
      </c>
      <c r="R150" s="31" t="inlineStr">
        <is>
          <t>Earnings / Momentum Support</t>
        </is>
      </c>
      <c r="S150" s="31" t="inlineStr">
        <is>
          <t>Nifty IT</t>
        </is>
      </c>
      <c r="T150" s="32" t="n">
        <v>-13.68</v>
      </c>
      <c r="U150" s="32" t="n">
        <v>12.81</v>
      </c>
      <c r="V150" s="32" t="n">
        <v>30.68</v>
      </c>
      <c r="W150" s="32" t="n">
        <v>2.83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IF(B151=0,"",RANK(B151,$B$2:$B$220,0))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NINSYS</t>
        </is>
      </c>
      <c r="D151" s="31" t="inlineStr">
        <is>
          <t>NINtec Systems Ltd</t>
        </is>
      </c>
      <c r="E151" s="31" t="inlineStr">
        <is>
          <t>i.t</t>
        </is>
      </c>
      <c r="F151" s="31" t="inlineStr">
        <is>
          <t>computers - software - medium / small</t>
        </is>
      </c>
      <c r="G151" s="31" t="inlineStr">
        <is>
          <t>smallcap</t>
        </is>
      </c>
      <c r="H151" s="32" t="n">
        <v>1494.63</v>
      </c>
      <c r="I151" s="32" t="n">
        <v>820.35</v>
      </c>
      <c r="J151" s="32" t="n">
        <v>1.96</v>
      </c>
      <c r="K151" s="32" t="n">
        <v>6052</v>
      </c>
      <c r="L151" s="31" t="n">
        <v>54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68.2</v>
      </c>
      <c r="P151" s="32" t="n">
        <v>36.24</v>
      </c>
      <c r="Q151" s="32" t="n">
        <v>693.75</v>
      </c>
      <c r="R151" s="31" t="inlineStr">
        <is>
          <t>Earnings / Momentum Support</t>
        </is>
      </c>
      <c r="S151" s="31" t="inlineStr">
        <is>
          <t>Nifty IT</t>
        </is>
      </c>
      <c r="T151" s="32" t="n">
        <v>-13.68</v>
      </c>
      <c r="U151" s="32" t="n">
        <v>86.40000000000001</v>
      </c>
      <c r="V151" s="32" t="n">
        <v>115.93</v>
      </c>
      <c r="W151" s="32" t="n">
        <v>17.31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IF(B152=0,"",RANK(B152,$B$2:$B$220,0))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SBCL</t>
        </is>
      </c>
      <c r="D152" s="31" t="inlineStr">
        <is>
          <t>Shivalik Bimetal Controls Ltd</t>
        </is>
      </c>
      <c r="E152" s="31" t="inlineStr">
        <is>
          <t>metals &amp; mining</t>
        </is>
      </c>
      <c r="F152" s="31" t="inlineStr">
        <is>
          <t>mining / minerals / metals</t>
        </is>
      </c>
      <c r="G152" s="31" t="inlineStr">
        <is>
          <t>midcap</t>
        </is>
      </c>
      <c r="H152" s="32" t="n">
        <v>6379.67</v>
      </c>
      <c r="I152" s="32" t="n">
        <v>1127</v>
      </c>
      <c r="J152" s="32" t="n">
        <v>1.76</v>
      </c>
      <c r="K152" s="32" t="n">
        <v>139054</v>
      </c>
      <c r="L152" s="31" t="inlineStr"/>
      <c r="M152" s="31" t="inlineStr"/>
      <c r="N152" s="32">
        <f>IF(M152="Underperforming",-5,IF(L152&gt;=95,15,IF(L152&gt;=90,10,IF(L152&gt;=80,5,0))))</f>
        <v/>
      </c>
      <c r="O152" s="32" t="n">
        <v>69.45</v>
      </c>
      <c r="P152" s="32" t="n">
        <v>51.35</v>
      </c>
      <c r="Q152" s="32" t="n">
        <v>857.53</v>
      </c>
      <c r="R152" s="31" t="inlineStr">
        <is>
          <t>Near 52W High Breakout</t>
        </is>
      </c>
      <c r="S152" s="31" t="inlineStr">
        <is>
          <t>Nifty Metal</t>
        </is>
      </c>
      <c r="T152" s="32" t="inlineStr"/>
      <c r="U152" s="32" t="inlineStr"/>
      <c r="V152" s="32" t="inlineStr"/>
      <c r="W152" s="32" t="inlineStr"/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Monopoly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Shallow Cyclical (2 to 3 Years Growth)</t>
        </is>
      </c>
      <c r="AG152" s="31">
        <f>IF(AF152="Structural (10 Years Consistency)",10,IF(AF152="Shallow Cyclical (2 to 3 years growth)",5,0))</f>
        <v/>
      </c>
      <c r="AH152" s="31" t="inlineStr">
        <is>
          <t>Yes due to Product Mix change or Operating Leverage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Fully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Yes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Between 1.5 to 2</t>
        </is>
      </c>
      <c r="BU152" s="31">
        <f>IF(BT152="Above 2",0,IF(BT152="Between 1.5 to 2",5,IF(BT152="Less than 1.5",10,0)))</f>
        <v/>
      </c>
      <c r="BV152" s="31" t="inlineStr">
        <is>
          <t>Less than 50%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IF(B153=0,"",RANK(B153,$B$2:$B$220,0))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PARAGMILK</t>
        </is>
      </c>
      <c r="D153" s="31" t="inlineStr">
        <is>
          <t>Parag Milk Foods Limited</t>
        </is>
      </c>
      <c r="E153" s="31" t="inlineStr">
        <is>
          <t>fmcg</t>
        </is>
      </c>
      <c r="F153" s="31" t="inlineStr">
        <is>
          <t>food - processing - indian</t>
        </is>
      </c>
      <c r="G153" s="31" t="inlineStr">
        <is>
          <t>smallcap</t>
        </is>
      </c>
      <c r="H153" s="32" t="n">
        <v>3790.9</v>
      </c>
      <c r="I153" s="32" t="n">
        <v>305.5</v>
      </c>
      <c r="J153" s="32" t="n">
        <v>1.23</v>
      </c>
      <c r="K153" s="32" t="n">
        <v>811243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72.44</v>
      </c>
      <c r="P153" s="32" t="n">
        <v>26.78</v>
      </c>
      <c r="Q153" s="32" t="n">
        <v>232.44</v>
      </c>
      <c r="R153" s="31" t="inlineStr">
        <is>
          <t>Earnings / Momentum Support</t>
        </is>
      </c>
      <c r="S153" s="31" t="inlineStr">
        <is>
          <t>Nifty FMCG</t>
        </is>
      </c>
      <c r="T153" s="32" t="inlineStr"/>
      <c r="U153" s="32" t="inlineStr"/>
      <c r="V153" s="32" t="inlineStr"/>
      <c r="W153" s="32" t="inlineStr"/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B2C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IF(B154=0,"",RANK(B154,$B$2:$B$220,0))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PVRINOX</t>
        </is>
      </c>
      <c r="D154" s="31" t="inlineStr">
        <is>
          <t>PVR Inox Ltd</t>
        </is>
      </c>
      <c r="E154" s="31" t="inlineStr">
        <is>
          <t>media</t>
        </is>
      </c>
      <c r="F154" s="31" t="inlineStr">
        <is>
          <t>entertainment / electronic media software</t>
        </is>
      </c>
      <c r="G154" s="31" t="inlineStr">
        <is>
          <t>midcap</t>
        </is>
      </c>
      <c r="H154" s="32" t="n">
        <v>13501.6</v>
      </c>
      <c r="I154" s="32" t="n">
        <v>1381</v>
      </c>
      <c r="J154" s="32" t="n">
        <v>-1.67</v>
      </c>
      <c r="K154" s="32" t="n">
        <v>447080</v>
      </c>
      <c r="L154" s="31" t="n">
        <v>43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72</v>
      </c>
      <c r="P154" s="32" t="n">
        <v>37.1</v>
      </c>
      <c r="Q154" s="32" t="n">
        <v>1126</v>
      </c>
      <c r="R154" s="31" t="inlineStr">
        <is>
          <t>Near 52W High Breakout</t>
        </is>
      </c>
      <c r="S154" s="31" t="inlineStr">
        <is>
          <t>Nifty IT</t>
        </is>
      </c>
      <c r="T154" s="32" t="n">
        <v>-13.68</v>
      </c>
      <c r="U154" s="32" t="n">
        <v>26.4</v>
      </c>
      <c r="V154" s="32" t="n">
        <v>46.42</v>
      </c>
      <c r="W154" s="32" t="n">
        <v>13.66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IF(B155=0,"",RANK(B155,$B$2:$B$220,0))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MBAPL</t>
        </is>
      </c>
      <c r="D155" s="31" t="inlineStr">
        <is>
          <t>Madhya Bharat Agro Products Ltd</t>
        </is>
      </c>
      <c r="E155" s="31" t="inlineStr">
        <is>
          <t>chemicals</t>
        </is>
      </c>
      <c r="F155" s="31" t="inlineStr">
        <is>
          <t>fertilizers</t>
        </is>
      </c>
      <c r="G155" s="31" t="inlineStr">
        <is>
          <t>midcap</t>
        </is>
      </c>
      <c r="H155" s="32" t="n">
        <v>7476.17</v>
      </c>
      <c r="I155" s="32" t="n">
        <v>168.83</v>
      </c>
      <c r="J155" s="32" t="n">
        <v>3.62</v>
      </c>
      <c r="K155" s="32" t="n">
        <v>1078080</v>
      </c>
      <c r="L155" s="31" t="n">
        <v>59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73.68000000000001</v>
      </c>
      <c r="P155" s="32" t="n">
        <v>69.97</v>
      </c>
      <c r="Q155" s="32" t="n">
        <v>135.15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-12.01</v>
      </c>
      <c r="U155" s="32" t="n">
        <v>88.7</v>
      </c>
      <c r="V155" s="32" t="n">
        <v>114.45</v>
      </c>
      <c r="W155" s="32" t="n">
        <v>19.79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Between 12 to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IF(B156=0,"",RANK(B156,$B$2:$B$220,0))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VHLTD</t>
        </is>
      </c>
      <c r="D156" s="31" t="inlineStr">
        <is>
          <t>Viceroy Hotels Ltd</t>
        </is>
      </c>
      <c r="E156" s="31" t="inlineStr">
        <is>
          <t>services</t>
        </is>
      </c>
      <c r="F156" s="31" t="inlineStr">
        <is>
          <t>hotels</t>
        </is>
      </c>
      <c r="G156" s="31" t="inlineStr">
        <is>
          <t>smallcap</t>
        </is>
      </c>
      <c r="H156" s="32" t="n">
        <v>1137.22</v>
      </c>
      <c r="I156" s="32" t="n">
        <v>152.21</v>
      </c>
      <c r="J156" s="32" t="n">
        <v>2.77</v>
      </c>
      <c r="K156" s="32" t="n">
        <v>37110</v>
      </c>
      <c r="L156" s="31" t="n">
        <v>23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67.09</v>
      </c>
      <c r="P156" s="32" t="n">
        <v>19.6</v>
      </c>
      <c r="Q156" s="32" t="n">
        <v>118.55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-12.01</v>
      </c>
      <c r="U156" s="32" t="n">
        <v>19.65</v>
      </c>
      <c r="V156" s="32" t="n">
        <v>35.98</v>
      </c>
      <c r="W156" s="32" t="n">
        <v>7.28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Between 0.7 to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IF(B157=0,"",RANK(B157,$B$2:$B$220,0))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SHRINGARMS</t>
        </is>
      </c>
      <c r="D157" s="31" t="inlineStr">
        <is>
          <t>Shringar House of Mangalsutra Ltd</t>
        </is>
      </c>
      <c r="E157" s="31" t="inlineStr">
        <is>
          <t>consumer discretionary</t>
        </is>
      </c>
      <c r="F157" s="31" t="inlineStr">
        <is>
          <t>diamond cutting / jewellery</t>
        </is>
      </c>
      <c r="G157" s="31" t="inlineStr">
        <is>
          <t>smallcap</t>
        </is>
      </c>
      <c r="H157" s="32" t="n">
        <v>2997.59</v>
      </c>
      <c r="I157" s="32" t="n">
        <v>317.74</v>
      </c>
      <c r="J157" s="32" t="n">
        <v>2.22</v>
      </c>
      <c r="K157" s="32" t="n">
        <v>25069586</v>
      </c>
      <c r="L157" s="31" t="n">
        <v>60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77.8</v>
      </c>
      <c r="P157" s="32" t="n">
        <v>21.85</v>
      </c>
      <c r="Q157" s="32" t="n">
        <v>254.9</v>
      </c>
      <c r="R157" s="31" t="inlineStr">
        <is>
          <t>Volume Spike &amp; Near 52W High Breakout</t>
        </is>
      </c>
      <c r="S157" s="31" t="inlineStr">
        <is>
          <t>Nifty 50</t>
        </is>
      </c>
      <c r="T157" s="32" t="n">
        <v>-12.01</v>
      </c>
      <c r="U157" s="32" t="n">
        <v>61.2</v>
      </c>
      <c r="V157" s="32" t="n">
        <v>83.2</v>
      </c>
      <c r="W157" s="32" t="n">
        <v>20.15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IF(B158=0,"",RANK(B158,$B$2:$B$220,0))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AEROFLEX</t>
        </is>
      </c>
      <c r="D158" s="31" t="inlineStr">
        <is>
          <t>Aeroflex Industries Ltd</t>
        </is>
      </c>
      <c r="E158" s="31" t="inlineStr">
        <is>
          <t>metals &amp; mining</t>
        </is>
      </c>
      <c r="F158" s="31" t="inlineStr">
        <is>
          <t>steel - medium / small</t>
        </is>
      </c>
      <c r="G158" s="31" t="inlineStr">
        <is>
          <t>midcap</t>
        </is>
      </c>
      <c r="H158" s="32" t="n">
        <v>7378.76</v>
      </c>
      <c r="I158" s="32" t="n">
        <v>568.7</v>
      </c>
      <c r="J158" s="32" t="n">
        <v>1.99</v>
      </c>
      <c r="K158" s="32" t="n">
        <v>7996426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68.77</v>
      </c>
      <c r="P158" s="32" t="n">
        <v>46.32</v>
      </c>
      <c r="Q158" s="32" t="n">
        <v>397.97</v>
      </c>
      <c r="R158" s="31" t="inlineStr">
        <is>
          <t>Volume Spike &amp; Near 52W High Breakout</t>
        </is>
      </c>
      <c r="S158" s="31" t="inlineStr">
        <is>
          <t>Nifty Metal</t>
        </is>
      </c>
      <c r="T158" s="32" t="inlineStr"/>
      <c r="U158" s="32" t="inlineStr"/>
      <c r="V158" s="32" t="inlineStr"/>
      <c r="W158" s="32" t="inlineStr"/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IF(B159=0,"",RANK(B159,$B$2:$B$220,0))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FINEORG</t>
        </is>
      </c>
      <c r="D159" s="31" t="inlineStr">
        <is>
          <t>Fine Organic Industries Ltd</t>
        </is>
      </c>
      <c r="E159" s="31" t="inlineStr">
        <is>
          <t>chemicals</t>
        </is>
      </c>
      <c r="F159" s="31" t="inlineStr">
        <is>
          <t>chemicals</t>
        </is>
      </c>
      <c r="G159" s="31" t="inlineStr">
        <is>
          <t>midcap</t>
        </is>
      </c>
      <c r="H159" s="32" t="n">
        <v>16625.37</v>
      </c>
      <c r="I159" s="32" t="n">
        <v>5515</v>
      </c>
      <c r="J159" s="32" t="n">
        <v>1.71</v>
      </c>
      <c r="K159" s="32" t="n">
        <v>10475</v>
      </c>
      <c r="L159" s="31" t="n">
        <v>21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65.83</v>
      </c>
      <c r="P159" s="32" t="n">
        <v>17.05</v>
      </c>
      <c r="Q159" s="32" t="n">
        <v>4574.77</v>
      </c>
      <c r="R159" s="31" t="inlineStr">
        <is>
          <t>Near 52W High Breakout</t>
        </is>
      </c>
      <c r="S159" s="31" t="inlineStr">
        <is>
          <t>Nifty 50</t>
        </is>
      </c>
      <c r="T159" s="32" t="n">
        <v>-12.01</v>
      </c>
      <c r="U159" s="32" t="n">
        <v>22.27</v>
      </c>
      <c r="V159" s="32" t="n">
        <v>38.96</v>
      </c>
      <c r="W159" s="32" t="n">
        <v>6.38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IF(B160=0,"",RANK(B160,$B$2:$B$220,0))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CASTROLIND</t>
        </is>
      </c>
      <c r="D160" s="31" t="inlineStr">
        <is>
          <t>Castrol India Limited</t>
        </is>
      </c>
      <c r="E160" s="31" t="inlineStr">
        <is>
          <t>chemicals</t>
        </is>
      </c>
      <c r="F160" s="31" t="inlineStr">
        <is>
          <t>chemicals</t>
        </is>
      </c>
      <c r="G160" s="31" t="inlineStr">
        <is>
          <t>midcap</t>
        </is>
      </c>
      <c r="H160" s="32" t="n">
        <v>19187</v>
      </c>
      <c r="I160" s="32" t="n">
        <v>196.96</v>
      </c>
      <c r="J160" s="32" t="n">
        <v>1.54</v>
      </c>
      <c r="K160" s="32" t="n">
        <v>2253972</v>
      </c>
      <c r="L160" s="31" t="n">
        <v>14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64.45</v>
      </c>
      <c r="P160" s="32" t="n">
        <v>47.22</v>
      </c>
      <c r="Q160" s="32" t="n">
        <v>183.67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-12.01</v>
      </c>
      <c r="U160" s="32" t="n">
        <v>5.25</v>
      </c>
      <c r="V160" s="32" t="n">
        <v>19.61</v>
      </c>
      <c r="W160" s="32" t="n">
        <v>3.25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Between 50% to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IF(B161=0,"",RANK(B161,$B$2:$B$220,0))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SOTL</t>
        </is>
      </c>
      <c r="D161" s="31" t="inlineStr">
        <is>
          <t>Savita Oil Technologies Limited</t>
        </is>
      </c>
      <c r="E161" s="31" t="inlineStr">
        <is>
          <t>energy</t>
        </is>
      </c>
      <c r="F161" s="31" t="inlineStr">
        <is>
          <t>petrochemicals</t>
        </is>
      </c>
      <c r="G161" s="31" t="inlineStr">
        <is>
          <t>midcap</t>
        </is>
      </c>
      <c r="H161" s="32" t="n">
        <v>5218.48</v>
      </c>
      <c r="I161" s="32" t="n">
        <v>772.55</v>
      </c>
      <c r="J161" s="32" t="n">
        <v>1.5</v>
      </c>
      <c r="K161" s="32" t="n">
        <v>149070</v>
      </c>
      <c r="L161" s="31" t="inlineStr"/>
      <c r="M161" s="31" t="inlineStr"/>
      <c r="N161" s="32">
        <f>IF(M161="Underperforming",-5,IF(L161&gt;=95,15,IF(L161&gt;=90,10,IF(L161&gt;=80,5,0))))</f>
        <v/>
      </c>
      <c r="O161" s="32" t="n">
        <v>68.98</v>
      </c>
      <c r="P161" s="32" t="n">
        <v>67.58</v>
      </c>
      <c r="Q161" s="32" t="n">
        <v>535.76</v>
      </c>
      <c r="R161" s="31" t="inlineStr">
        <is>
          <t>Near 52W High Breakout</t>
        </is>
      </c>
      <c r="S161" s="31" t="inlineStr">
        <is>
          <t>Nifty Energy</t>
        </is>
      </c>
      <c r="T161" s="32" t="inlineStr"/>
      <c r="U161" s="32" t="inlineStr"/>
      <c r="V161" s="32" t="inlineStr"/>
      <c r="W161" s="32" t="inlineStr"/>
      <c r="X161" s="31" t="inlineStr">
        <is>
          <t>Cyclical in an Upturn</t>
        </is>
      </c>
      <c r="Y161" s="31">
        <f>IF(X161="Growing Industry",10,IF(X161="Cyclical in an Upturn",5,0))</f>
        <v/>
      </c>
      <c r="Z161" s="31" t="inlineStr">
        <is>
          <t>Oligopoly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Cyclical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Volatile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IF(B162=0,"",RANK(B162,$B$2:$B$220,0))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SVLL</t>
        </is>
      </c>
      <c r="D162" s="31" t="inlineStr">
        <is>
          <t>Shree Vasu Logistics Ltd</t>
        </is>
      </c>
      <c r="E162" s="31" t="inlineStr">
        <is>
          <t>transportation</t>
        </is>
      </c>
      <c r="F162" s="31" t="inlineStr">
        <is>
          <t>miscellaneous</t>
        </is>
      </c>
      <c r="G162" s="31" t="inlineStr">
        <is>
          <t>smallcap</t>
        </is>
      </c>
      <c r="H162" s="32" t="n">
        <v>970.9299999999999</v>
      </c>
      <c r="I162" s="32" t="n">
        <v>854.7</v>
      </c>
      <c r="J162" s="32" t="n">
        <v>1.18</v>
      </c>
      <c r="K162" s="32" t="n">
        <v>4972</v>
      </c>
      <c r="L162" s="31" t="n">
        <v>19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64.8</v>
      </c>
      <c r="P162" s="32" t="n">
        <v>38.09</v>
      </c>
      <c r="Q162" s="32" t="n">
        <v>633.79</v>
      </c>
      <c r="R162" s="31" t="inlineStr">
        <is>
          <t>Near 52W High Breakout</t>
        </is>
      </c>
      <c r="S162" s="31" t="inlineStr">
        <is>
          <t>Nifty 50</t>
        </is>
      </c>
      <c r="T162" s="32" t="n">
        <v>-12.01</v>
      </c>
      <c r="U162" s="32" t="n">
        <v>7.02</v>
      </c>
      <c r="V162" s="32" t="n">
        <v>21.63</v>
      </c>
      <c r="W162" s="32" t="n">
        <v>5.4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Between 1.5 to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More than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IF(B163=0,"",RANK(B163,$B$2:$B$220,0))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MANINDS</t>
        </is>
      </c>
      <c r="D163" s="31" t="inlineStr">
        <is>
          <t>Man Industries (india) Limited</t>
        </is>
      </c>
      <c r="E163" s="31" t="inlineStr">
        <is>
          <t>metals &amp; mining</t>
        </is>
      </c>
      <c r="F163" s="31" t="inlineStr">
        <is>
          <t>steel - medium / small</t>
        </is>
      </c>
      <c r="G163" s="31" t="inlineStr">
        <is>
          <t>midcap</t>
        </is>
      </c>
      <c r="H163" s="32" t="n">
        <v>6680.35</v>
      </c>
      <c r="I163" s="32" t="n">
        <v>899.05</v>
      </c>
      <c r="J163" s="32" t="n">
        <v>0.95</v>
      </c>
      <c r="K163" s="32" t="n">
        <v>402580</v>
      </c>
      <c r="L163" s="31" t="inlineStr"/>
      <c r="M163" s="31" t="inlineStr"/>
      <c r="N163" s="32">
        <f>IF(M163="Underperforming",-5,IF(L163&gt;=95,15,IF(L163&gt;=90,10,IF(L163&gt;=80,5,0))))</f>
        <v/>
      </c>
      <c r="O163" s="32" t="n">
        <v>67.37</v>
      </c>
      <c r="P163" s="32" t="n">
        <v>48.05</v>
      </c>
      <c r="Q163" s="32" t="n">
        <v>760.38</v>
      </c>
      <c r="R163" s="31" t="inlineStr">
        <is>
          <t>Earnings / Momentum Support</t>
        </is>
      </c>
      <c r="S163" s="31" t="inlineStr">
        <is>
          <t>Nifty Metal</t>
        </is>
      </c>
      <c r="T163" s="32" t="inlineStr"/>
      <c r="U163" s="32" t="inlineStr"/>
      <c r="V163" s="32" t="inlineStr"/>
      <c r="W163" s="32" t="inlineStr"/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Cyclical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Volatile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IF(B164=0,"",RANK(B164,$B$2:$B$220,0))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PRIMO</t>
        </is>
      </c>
      <c r="D164" s="31" t="inlineStr">
        <is>
          <t>Primo Chemicals Ltd</t>
        </is>
      </c>
      <c r="E164" s="31" t="inlineStr">
        <is>
          <t>chemicals</t>
        </is>
      </c>
      <c r="F164" s="31" t="inlineStr">
        <is>
          <t>chlor alkali / soda ash</t>
        </is>
      </c>
      <c r="G164" s="31" t="inlineStr">
        <is>
          <t>smallcap</t>
        </is>
      </c>
      <c r="H164" s="32" t="n">
        <v>632.27</v>
      </c>
      <c r="I164" s="32" t="n">
        <v>26.16</v>
      </c>
      <c r="J164" s="32" t="n">
        <v>0.27</v>
      </c>
      <c r="K164" s="32" t="n">
        <v>136179</v>
      </c>
      <c r="L164" s="31" t="n">
        <v>19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56.54</v>
      </c>
      <c r="P164" s="32" t="n">
        <v>21.8</v>
      </c>
      <c r="Q164" s="32" t="n">
        <v>16.95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-12.01</v>
      </c>
      <c r="U164" s="32" t="n">
        <v>10.94</v>
      </c>
      <c r="V164" s="32" t="n">
        <v>26.08</v>
      </c>
      <c r="W164" s="32" t="n">
        <v>4.78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IF(B165=0,"",RANK(B165,$B$2:$B$220,0))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NETWEB</t>
        </is>
      </c>
      <c r="D165" s="31" t="inlineStr">
        <is>
          <t>Netweb Technologies India Ltd</t>
        </is>
      </c>
      <c r="E165" s="31" t="inlineStr">
        <is>
          <t>i.t</t>
        </is>
      </c>
      <c r="F165" s="31" t="inlineStr">
        <is>
          <t>computers - hardware</t>
        </is>
      </c>
      <c r="G165" s="31" t="inlineStr">
        <is>
          <t>largecap</t>
        </is>
      </c>
      <c r="H165" s="32" t="n">
        <v>28781.24</v>
      </c>
      <c r="I165" s="32" t="n">
        <v>5067.7</v>
      </c>
      <c r="J165" s="32" t="n">
        <v>0.26</v>
      </c>
      <c r="K165" s="32" t="n">
        <v>1257948</v>
      </c>
      <c r="L165" s="31" t="n">
        <v>33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58.8</v>
      </c>
      <c r="P165" s="32" t="n">
        <v>27.26</v>
      </c>
      <c r="Q165" s="32" t="n">
        <v>4270.06</v>
      </c>
      <c r="R165" s="31" t="inlineStr">
        <is>
          <t>Earnings / Momentum Support</t>
        </is>
      </c>
      <c r="S165" s="31" t="inlineStr">
        <is>
          <t>Nifty IT</t>
        </is>
      </c>
      <c r="T165" s="32" t="n">
        <v>-13.68</v>
      </c>
      <c r="U165" s="32" t="n">
        <v>32.29</v>
      </c>
      <c r="V165" s="32" t="n">
        <v>53.25</v>
      </c>
      <c r="W165" s="32" t="n">
        <v>10.3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IF(B166=0,"",RANK(B166,$B$2:$B$220,0))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LOKESHMACH</t>
        </is>
      </c>
      <c r="D166" s="31" t="inlineStr">
        <is>
          <t>Lokesh Machines Limited</t>
        </is>
      </c>
      <c r="E166" s="31" t="inlineStr">
        <is>
          <t>industrials</t>
        </is>
      </c>
      <c r="F166" s="31" t="inlineStr">
        <is>
          <t>engineering</t>
        </is>
      </c>
      <c r="G166" s="31" t="inlineStr">
        <is>
          <t>smallcap</t>
        </is>
      </c>
      <c r="H166" s="32" t="n">
        <v>989.25</v>
      </c>
      <c r="I166" s="32" t="n">
        <v>445.85</v>
      </c>
      <c r="J166" s="32" t="n">
        <v>-1.76</v>
      </c>
      <c r="K166" s="32" t="n">
        <v>81259</v>
      </c>
      <c r="L166" s="31" t="n">
        <v>74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76.04000000000001</v>
      </c>
      <c r="P166" s="32" t="n">
        <v>40.01</v>
      </c>
      <c r="Q166" s="32" t="n">
        <v>335.25</v>
      </c>
      <c r="R166" s="31" t="inlineStr">
        <is>
          <t>Near 52W High Breakout</t>
        </is>
      </c>
      <c r="S166" s="31" t="inlineStr">
        <is>
          <t>Nifty 50</t>
        </is>
      </c>
      <c r="T166" s="32" t="n">
        <v>-12.01</v>
      </c>
      <c r="U166" s="32" t="n">
        <v>142.24</v>
      </c>
      <c r="V166" s="32" t="n">
        <v>175.3</v>
      </c>
      <c r="W166" s="32" t="n">
        <v>27.63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Above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IF(B167=0,"",RANK(B167,$B$2:$B$220,0))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GOODLUCK</t>
        </is>
      </c>
      <c r="D167" s="31" t="inlineStr">
        <is>
          <t>Goodluck India Limited</t>
        </is>
      </c>
      <c r="E167" s="31" t="inlineStr">
        <is>
          <t>metals &amp; mining</t>
        </is>
      </c>
      <c r="F167" s="31" t="inlineStr">
        <is>
          <t>steel - medium / small</t>
        </is>
      </c>
      <c r="G167" s="31" t="inlineStr">
        <is>
          <t>midcap</t>
        </is>
      </c>
      <c r="H167" s="32" t="n">
        <v>5650.38</v>
      </c>
      <c r="I167" s="32" t="n">
        <v>596.4</v>
      </c>
      <c r="J167" s="32" t="n">
        <v>5.25</v>
      </c>
      <c r="K167" s="32" t="n">
        <v>2229152</v>
      </c>
      <c r="L167" s="31" t="inlineStr"/>
      <c r="M167" s="31" t="inlineStr"/>
      <c r="N167" s="32">
        <f>IF(M167="Underperforming",-5,IF(L167&gt;=95,15,IF(L167&gt;=90,10,IF(L167&gt;=80,5,0))))</f>
        <v/>
      </c>
      <c r="O167" s="32" t="n">
        <v>66.81</v>
      </c>
      <c r="P167" s="32" t="n">
        <v>30.47</v>
      </c>
      <c r="Q167" s="32" t="n">
        <v>440.65</v>
      </c>
      <c r="R167" s="31" t="inlineStr">
        <is>
          <t>Volume Spike &amp; Near 52W High Breakout</t>
        </is>
      </c>
      <c r="S167" s="31" t="inlineStr">
        <is>
          <t>Nifty Metal</t>
        </is>
      </c>
      <c r="T167" s="32" t="inlineStr"/>
      <c r="U167" s="32" t="inlineStr"/>
      <c r="V167" s="32" t="inlineStr"/>
      <c r="W167" s="32" t="inlineStr"/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Cyclical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Volatile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IF(B168=0,"",RANK(B168,$B$2:$B$220,0))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UDS</t>
        </is>
      </c>
      <c r="D168" s="31" t="inlineStr">
        <is>
          <t>Updater Services Ltd</t>
        </is>
      </c>
      <c r="E168" s="31" t="inlineStr">
        <is>
          <t>miscellaneous</t>
        </is>
      </c>
      <c r="F168" s="31" t="inlineStr">
        <is>
          <t>miscellaneous</t>
        </is>
      </c>
      <c r="G168" s="31" t="inlineStr">
        <is>
          <t>smallcap</t>
        </is>
      </c>
      <c r="H168" s="32" t="n">
        <v>1401.47</v>
      </c>
      <c r="I168" s="32" t="n">
        <v>215.39</v>
      </c>
      <c r="J168" s="32" t="n">
        <v>2.9</v>
      </c>
      <c r="K168" s="32" t="n">
        <v>299994</v>
      </c>
      <c r="L168" s="31" t="n">
        <v>13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56.62</v>
      </c>
      <c r="P168" s="32" t="n">
        <v>36.25</v>
      </c>
      <c r="Q168" s="32" t="n">
        <v>184.27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-12.01</v>
      </c>
      <c r="U168" s="32" t="n">
        <v>-2.32</v>
      </c>
      <c r="V168" s="32" t="n">
        <v>11.01</v>
      </c>
      <c r="W168" s="32" t="n">
        <v>3.02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IF(B169=0,"",RANK(B169,$B$2:$B$220,0))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SANATHAN</t>
        </is>
      </c>
      <c r="D169" s="31" t="inlineStr">
        <is>
          <t>Sanathan Textiles Ltd</t>
        </is>
      </c>
      <c r="E169" s="31" t="inlineStr">
        <is>
          <t>textiles</t>
        </is>
      </c>
      <c r="F169" s="31" t="inlineStr">
        <is>
          <t>textiles - cotton/blended</t>
        </is>
      </c>
      <c r="G169" s="31" t="inlineStr">
        <is>
          <t>smallcap</t>
        </is>
      </c>
      <c r="H169" s="32" t="n">
        <v>4502.11</v>
      </c>
      <c r="I169" s="32" t="n">
        <v>548.15</v>
      </c>
      <c r="J169" s="32" t="n">
        <v>2.77</v>
      </c>
      <c r="K169" s="32" t="n">
        <v>548090</v>
      </c>
      <c r="L169" s="31" t="n">
        <v>25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70.31</v>
      </c>
      <c r="P169" s="32" t="n">
        <v>25.83</v>
      </c>
      <c r="Q169" s="32" t="n">
        <v>423.14</v>
      </c>
      <c r="R169" s="31" t="inlineStr">
        <is>
          <t>Volume Spike &amp; Near 52W High Breakout</t>
        </is>
      </c>
      <c r="S169" s="31" t="inlineStr">
        <is>
          <t>Nifty 50</t>
        </is>
      </c>
      <c r="T169" s="32" t="n">
        <v>-12.01</v>
      </c>
      <c r="U169" s="32" t="n">
        <v>10.95</v>
      </c>
      <c r="V169" s="32" t="n">
        <v>26.09</v>
      </c>
      <c r="W169" s="32" t="n">
        <v>7.66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IF(B170=0,"",RANK(B170,$B$2:$B$220,0))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RAYMONDREL</t>
        </is>
      </c>
      <c r="D170" s="31" t="inlineStr">
        <is>
          <t>Raymond Realty Ltd</t>
        </is>
      </c>
      <c r="E170" s="31" t="inlineStr">
        <is>
          <t>realty</t>
        </is>
      </c>
      <c r="F170" s="31" t="inlineStr">
        <is>
          <t>construction</t>
        </is>
      </c>
      <c r="G170" s="31" t="inlineStr">
        <is>
          <t>smallcap</t>
        </is>
      </c>
      <c r="H170" s="32" t="n">
        <v>4456.11</v>
      </c>
      <c r="I170" s="32" t="n">
        <v>672.95</v>
      </c>
      <c r="J170" s="32" t="n">
        <v>0.54</v>
      </c>
      <c r="K170" s="32" t="n">
        <v>528786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55.83</v>
      </c>
      <c r="P170" s="32" t="n">
        <v>28.14</v>
      </c>
      <c r="Q170" s="32" t="n">
        <v>494.5</v>
      </c>
      <c r="R170" s="31" t="inlineStr">
        <is>
          <t>Earnings / Momentum Support</t>
        </is>
      </c>
      <c r="S170" s="31" t="inlineStr">
        <is>
          <t>Nifty Realty</t>
        </is>
      </c>
      <c r="T170" s="32" t="inlineStr"/>
      <c r="U170" s="32" t="inlineStr"/>
      <c r="V170" s="32" t="inlineStr"/>
      <c r="W170" s="32" t="inlineStr"/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IF(B171=0,"",RANK(B171,$B$2:$B$220,0))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MOTISONS</t>
        </is>
      </c>
      <c r="D171" s="31" t="inlineStr">
        <is>
          <t>Motisons Jewellers Ltd</t>
        </is>
      </c>
      <c r="E171" s="31" t="inlineStr">
        <is>
          <t>consumer discretionary</t>
        </is>
      </c>
      <c r="F171" s="31" t="inlineStr">
        <is>
          <t>diamond cutting / jewellery</t>
        </is>
      </c>
      <c r="G171" s="31" t="inlineStr">
        <is>
          <t>smallcap</t>
        </is>
      </c>
      <c r="H171" s="32" t="n">
        <v>2050.92</v>
      </c>
      <c r="I171" s="32" t="n">
        <v>17.95</v>
      </c>
      <c r="J171" s="32" t="n">
        <v>-0.44</v>
      </c>
      <c r="K171" s="32" t="n">
        <v>11991500</v>
      </c>
      <c r="L171" s="31" t="n">
        <v>27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63.44</v>
      </c>
      <c r="P171" s="32" t="n">
        <v>30.08</v>
      </c>
      <c r="Q171" s="32" t="n">
        <v>12.94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-12.01</v>
      </c>
      <c r="U171" s="32" t="n">
        <v>5.22</v>
      </c>
      <c r="V171" s="32" t="n">
        <v>19.58</v>
      </c>
      <c r="W171" s="32" t="n">
        <v>8.16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IF(B172=0,"",RANK(B172,$B$2:$B$220,0))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INDOAMIN</t>
        </is>
      </c>
      <c r="D172" s="31" t="inlineStr">
        <is>
          <t>Indo Amines Ltd</t>
        </is>
      </c>
      <c r="E172" s="31" t="inlineStr">
        <is>
          <t>chemicals</t>
        </is>
      </c>
      <c r="F172" s="31" t="inlineStr">
        <is>
          <t>chemicals</t>
        </is>
      </c>
      <c r="G172" s="31" t="inlineStr">
        <is>
          <t>smallcap</t>
        </is>
      </c>
      <c r="H172" s="32" t="n">
        <v>1123</v>
      </c>
      <c r="I172" s="32" t="n">
        <v>152.3</v>
      </c>
      <c r="J172" s="32" t="n">
        <v>-1.56</v>
      </c>
      <c r="K172" s="32" t="n">
        <v>207879</v>
      </c>
      <c r="L172" s="31" t="n">
        <v>27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65.45</v>
      </c>
      <c r="P172" s="32" t="n">
        <v>26.33</v>
      </c>
      <c r="Q172" s="32" t="n">
        <v>118.09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-12.01</v>
      </c>
      <c r="U172" s="32" t="n">
        <v>13.92</v>
      </c>
      <c r="V172" s="32" t="n">
        <v>29.46</v>
      </c>
      <c r="W172" s="32" t="n">
        <v>8.140000000000001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IF(B173=0,"",RANK(B173,$B$2:$B$220,0))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STLTECH</t>
        </is>
      </c>
      <c r="D173" s="31" t="inlineStr">
        <is>
          <t>Sterlite Technologies Limited</t>
        </is>
      </c>
      <c r="E173" s="31" t="inlineStr">
        <is>
          <t>industrials</t>
        </is>
      </c>
      <c r="F173" s="31" t="inlineStr">
        <is>
          <t>cables - telephone</t>
        </is>
      </c>
      <c r="G173" s="31" t="inlineStr">
        <is>
          <t>largecap</t>
        </is>
      </c>
      <c r="H173" s="32" t="n">
        <v>49511.32</v>
      </c>
      <c r="I173" s="32" t="n">
        <v>924.65</v>
      </c>
      <c r="J173" s="32" t="n">
        <v>-4.03</v>
      </c>
      <c r="K173" s="32" t="n">
        <v>1508354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70.31999999999999</v>
      </c>
      <c r="P173" s="32" t="n">
        <v>72.43000000000001</v>
      </c>
      <c r="Q173" s="32" t="n">
        <v>743.35</v>
      </c>
      <c r="R173" s="31" t="inlineStr">
        <is>
          <t>Earnings / Momentum Support</t>
        </is>
      </c>
      <c r="S173" s="31" t="inlineStr">
        <is>
          <t>Nifty Infra</t>
        </is>
      </c>
      <c r="T173" s="32" t="inlineStr"/>
      <c r="U173" s="32" t="inlineStr"/>
      <c r="V173" s="32" t="inlineStr"/>
      <c r="W173" s="32" t="inlineStr"/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Between 0.7 to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IF(B174=0,"",RANK(B174,$B$2:$B$220,0))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ZOTA</t>
        </is>
      </c>
      <c r="D174" s="33" t="inlineStr">
        <is>
          <t>Zota Health Care Ltd</t>
        </is>
      </c>
      <c r="E174" s="31" t="inlineStr">
        <is>
          <t>healthcare</t>
        </is>
      </c>
      <c r="F174" s="31" t="inlineStr">
        <is>
          <t>pharmaceuticals - indian - bulk drugs &amp; formln</t>
        </is>
      </c>
      <c r="G174" s="31" t="inlineStr">
        <is>
          <t>smallcap</t>
        </is>
      </c>
      <c r="H174" s="32" t="n">
        <v>4506.39</v>
      </c>
      <c r="I174" s="32" t="n">
        <v>1420.1</v>
      </c>
      <c r="J174" s="32" t="n">
        <v>9.140000000000001</v>
      </c>
      <c r="K174" s="32" t="n">
        <v>281558</v>
      </c>
      <c r="L174" s="31" t="n">
        <v>4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59.32</v>
      </c>
      <c r="P174" s="32" t="n">
        <v>19.53</v>
      </c>
      <c r="Q174" s="32" t="n">
        <v>1038.11</v>
      </c>
      <c r="R174" s="31" t="inlineStr">
        <is>
          <t>Earnings / Momentum Support</t>
        </is>
      </c>
      <c r="S174" s="31" t="inlineStr">
        <is>
          <t>Nifty Pharma</t>
        </is>
      </c>
      <c r="T174" s="32" t="n">
        <v>15.65</v>
      </c>
      <c r="U174" s="32" t="n">
        <v>-6.65</v>
      </c>
      <c r="V174" s="32" t="n">
        <v>-19.28</v>
      </c>
      <c r="W174" s="32" t="n">
        <v>-0.08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IF(B175=0,"",RANK(B175,$B$2:$B$220,0))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APOLLO</t>
        </is>
      </c>
      <c r="D175" s="31" t="inlineStr">
        <is>
          <t>Apollo Micro Systems Ltd</t>
        </is>
      </c>
      <c r="E175" s="31" t="inlineStr">
        <is>
          <t>aerospace &amp; defence</t>
        </is>
      </c>
      <c r="F175" s="31" t="inlineStr">
        <is>
          <t>electronics - components</t>
        </is>
      </c>
      <c r="G175" s="31" t="inlineStr">
        <is>
          <t>midcap</t>
        </is>
      </c>
      <c r="H175" s="32" t="n">
        <v>15125.96</v>
      </c>
      <c r="I175" s="32" t="n">
        <v>421.7</v>
      </c>
      <c r="J175" s="32" t="n">
        <v>3.6</v>
      </c>
      <c r="K175" s="32" t="n">
        <v>8787563</v>
      </c>
      <c r="L175" s="31" t="n">
        <v>34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59.81</v>
      </c>
      <c r="P175" s="32" t="n">
        <v>28.6</v>
      </c>
      <c r="Q175" s="32" t="n">
        <v>310.37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-12.01</v>
      </c>
      <c r="U175" s="32" t="n">
        <v>43.69</v>
      </c>
      <c r="V175" s="32" t="n">
        <v>63.3</v>
      </c>
      <c r="W175" s="32" t="n">
        <v>10.31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Oligopoly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Cyclical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B2C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Fully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Yes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Between 1.5 to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IF(B176=0,"",RANK(B176,$B$2:$B$220,0))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SEJALLTD</t>
        </is>
      </c>
      <c r="D176" s="31" t="inlineStr">
        <is>
          <t>Sejal Glass Ltd</t>
        </is>
      </c>
      <c r="E176" s="31" t="inlineStr">
        <is>
          <t>building materials</t>
        </is>
      </c>
      <c r="F176" s="31" t="inlineStr">
        <is>
          <t>glass &amp; glass products</t>
        </is>
      </c>
      <c r="G176" s="31" t="inlineStr">
        <is>
          <t>smallcap</t>
        </is>
      </c>
      <c r="H176" s="32" t="n">
        <v>832.2</v>
      </c>
      <c r="I176" s="32" t="n">
        <v>876</v>
      </c>
      <c r="J176" s="32" t="n">
        <v>20</v>
      </c>
      <c r="K176" s="32" t="n">
        <v>116159</v>
      </c>
      <c r="L176" s="31" t="inlineStr"/>
      <c r="M176" s="31" t="inlineStr"/>
      <c r="N176" s="32">
        <f>IF(M176="Underperforming",-5,IF(L176&gt;=95,15,IF(L176&gt;=90,10,IF(L176&gt;=80,5,0))))</f>
        <v/>
      </c>
      <c r="O176" s="32" t="n">
        <v>63.23</v>
      </c>
      <c r="P176" s="32" t="n">
        <v>8.77</v>
      </c>
      <c r="Q176" s="32" t="n">
        <v>604.5700000000001</v>
      </c>
      <c r="R176" s="31" t="inlineStr">
        <is>
          <t>Volume Spike / Accumulation</t>
        </is>
      </c>
      <c r="S176" s="31" t="inlineStr">
        <is>
          <t>Nifty Infra</t>
        </is>
      </c>
      <c r="T176" s="32" t="inlineStr"/>
      <c r="U176" s="32" t="inlineStr"/>
      <c r="V176" s="32" t="inlineStr"/>
      <c r="W176" s="32" t="inlineStr"/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IF(B177=0,"",RANK(B177,$B$2:$B$220,0))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SHREEPUSHK</t>
        </is>
      </c>
      <c r="D177" s="31" t="inlineStr">
        <is>
          <t>Shree Pushkar Chemicals &amp; Fertilisers Limited</t>
        </is>
      </c>
      <c r="E177" s="31" t="inlineStr">
        <is>
          <t>chemicals</t>
        </is>
      </c>
      <c r="F177" s="31" t="inlineStr">
        <is>
          <t>dyes and pigments</t>
        </is>
      </c>
      <c r="G177" s="31" t="inlineStr">
        <is>
          <t>smallcap</t>
        </is>
      </c>
      <c r="H177" s="32" t="n">
        <v>1600.39</v>
      </c>
      <c r="I177" s="32" t="n">
        <v>513.8</v>
      </c>
      <c r="J177" s="32" t="n">
        <v>3.82</v>
      </c>
      <c r="K177" s="32" t="n">
        <v>67332</v>
      </c>
      <c r="L177" s="31" t="n">
        <v>37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68.56</v>
      </c>
      <c r="P177" s="32" t="n">
        <v>45.44</v>
      </c>
      <c r="Q177" s="32" t="n">
        <v>385.54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-12.01</v>
      </c>
      <c r="U177" s="32" t="n">
        <v>28.5</v>
      </c>
      <c r="V177" s="32" t="n">
        <v>46.03</v>
      </c>
      <c r="W177" s="32" t="n">
        <v>11.52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IF(B178=0,"",RANK(B178,$B$2:$B$220,0))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GPTINFRA</t>
        </is>
      </c>
      <c r="D178" s="31" t="inlineStr">
        <is>
          <t>Gpt Infraprojects Limited</t>
        </is>
      </c>
      <c r="E178" s="31" t="inlineStr">
        <is>
          <t>realty</t>
        </is>
      </c>
      <c r="F178" s="31" t="inlineStr">
        <is>
          <t>construction</t>
        </is>
      </c>
      <c r="G178" s="31" t="inlineStr">
        <is>
          <t>smallcap</t>
        </is>
      </c>
      <c r="H178" s="32" t="n">
        <v>1541.52</v>
      </c>
      <c r="I178" s="32" t="n">
        <v>125.13</v>
      </c>
      <c r="J178" s="32" t="n">
        <v>2.57</v>
      </c>
      <c r="K178" s="32" t="n">
        <v>212079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60.05</v>
      </c>
      <c r="P178" s="32" t="n">
        <v>16.26</v>
      </c>
      <c r="Q178" s="32" t="n">
        <v>95.67</v>
      </c>
      <c r="R178" s="31" t="inlineStr">
        <is>
          <t>Near 52W High Breakout</t>
        </is>
      </c>
      <c r="S178" s="31" t="inlineStr">
        <is>
          <t>Nifty Realty</t>
        </is>
      </c>
      <c r="T178" s="32" t="inlineStr"/>
      <c r="U178" s="32" t="inlineStr"/>
      <c r="V178" s="32" t="inlineStr"/>
      <c r="W178" s="32" t="inlineStr"/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IF(B179=0,"",RANK(B179,$B$2:$B$220,0))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SATIA</t>
        </is>
      </c>
      <c r="D179" s="31" t="inlineStr">
        <is>
          <t>Satia Industries Ltd</t>
        </is>
      </c>
      <c r="E179" s="31" t="inlineStr">
        <is>
          <t>building materials</t>
        </is>
      </c>
      <c r="F179" s="31" t="inlineStr">
        <is>
          <t>paper</t>
        </is>
      </c>
      <c r="G179" s="31" t="inlineStr">
        <is>
          <t>smallcap</t>
        </is>
      </c>
      <c r="H179" s="32" t="n">
        <v>679.7</v>
      </c>
      <c r="I179" s="32" t="n">
        <v>69.06999999999999</v>
      </c>
      <c r="J179" s="32" t="n">
        <v>1.62</v>
      </c>
      <c r="K179" s="32" t="n">
        <v>135034</v>
      </c>
      <c r="L179" s="31" t="inlineStr"/>
      <c r="M179" s="31" t="inlineStr"/>
      <c r="N179" s="32">
        <f>IF(M179="Underperforming",-5,IF(L179&gt;=95,15,IF(L179&gt;=90,10,IF(L179&gt;=80,5,0))))</f>
        <v/>
      </c>
      <c r="O179" s="32" t="n">
        <v>60.19</v>
      </c>
      <c r="P179" s="32" t="n">
        <v>12.01</v>
      </c>
      <c r="Q179" s="32" t="n">
        <v>53.66</v>
      </c>
      <c r="R179" s="31" t="inlineStr">
        <is>
          <t>Earnings / Momentum Support</t>
        </is>
      </c>
      <c r="S179" s="31" t="inlineStr">
        <is>
          <t>Nifty Infra</t>
        </is>
      </c>
      <c r="T179" s="32" t="inlineStr"/>
      <c r="U179" s="32" t="inlineStr"/>
      <c r="V179" s="32" t="inlineStr"/>
      <c r="W179" s="32" t="inlineStr"/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IF(B180=0,"",RANK(B180,$B$2:$B$220,0))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ROSSTECH</t>
        </is>
      </c>
      <c r="D180" s="31" t="inlineStr">
        <is>
          <t>Rossell Techsys Ltd</t>
        </is>
      </c>
      <c r="E180" s="31" t="inlineStr">
        <is>
          <t>aerospace &amp; defence</t>
        </is>
      </c>
      <c r="F180" s="31" t="inlineStr">
        <is>
          <t>engineering</t>
        </is>
      </c>
      <c r="G180" s="31" t="inlineStr">
        <is>
          <t>midcap</t>
        </is>
      </c>
      <c r="H180" s="32" t="n">
        <v>5815.81</v>
      </c>
      <c r="I180" s="32" t="n">
        <v>1566.3</v>
      </c>
      <c r="J180" s="32" t="n">
        <v>1.52</v>
      </c>
      <c r="K180" s="32" t="n">
        <v>162168</v>
      </c>
      <c r="L180" s="31" t="n">
        <v>83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81.04000000000001</v>
      </c>
      <c r="P180" s="32" t="n">
        <v>37.97</v>
      </c>
      <c r="Q180" s="32" t="n">
        <v>1175.23</v>
      </c>
      <c r="R180" s="31" t="inlineStr">
        <is>
          <t>Near 52W High Breakout</t>
        </is>
      </c>
      <c r="S180" s="31" t="inlineStr">
        <is>
          <t>Nifty 50</t>
        </is>
      </c>
      <c r="T180" s="32" t="n">
        <v>-12.01</v>
      </c>
      <c r="U180" s="32" t="n">
        <v>138.11</v>
      </c>
      <c r="V180" s="32" t="n">
        <v>170.6</v>
      </c>
      <c r="W180" s="32" t="n">
        <v>33.77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More than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IF(B181=0,"",RANK(B181,$B$2:$B$220,0))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GLOBAL</t>
        </is>
      </c>
      <c r="D181" s="31" t="inlineStr">
        <is>
          <t>Global Education Ltd</t>
        </is>
      </c>
      <c r="E181" s="31" t="inlineStr">
        <is>
          <t>services</t>
        </is>
      </c>
      <c r="F181" s="31" t="inlineStr">
        <is>
          <t>miscellaneous</t>
        </is>
      </c>
      <c r="G181" s="31" t="inlineStr">
        <is>
          <t>smallcap</t>
        </is>
      </c>
      <c r="H181" s="32" t="n">
        <v>727.74</v>
      </c>
      <c r="I181" s="32" t="n">
        <v>144.19</v>
      </c>
      <c r="J181" s="32" t="n">
        <v>0.85</v>
      </c>
      <c r="K181" s="32" t="n">
        <v>64455</v>
      </c>
      <c r="L181" s="31" t="n">
        <v>76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78.92</v>
      </c>
      <c r="P181" s="32" t="n">
        <v>33.82</v>
      </c>
      <c r="Q181" s="32" t="n">
        <v>113.19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-12.01</v>
      </c>
      <c r="U181" s="32" t="n">
        <v>138.86</v>
      </c>
      <c r="V181" s="32" t="n">
        <v>171.46</v>
      </c>
      <c r="W181" s="32" t="n">
        <v>29.55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Less than 50%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IF(B182=0,"",RANK(B182,$B$2:$B$220,0))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PREMEXPLN</t>
        </is>
      </c>
      <c r="D182" s="31" t="inlineStr">
        <is>
          <t>Premier Explosives Limited</t>
        </is>
      </c>
      <c r="E182" s="31" t="inlineStr">
        <is>
          <t>aerospace &amp; defence</t>
        </is>
      </c>
      <c r="F182" s="31" t="inlineStr">
        <is>
          <t>chemicals</t>
        </is>
      </c>
      <c r="G182" s="31" t="inlineStr">
        <is>
          <t>smallcap</t>
        </is>
      </c>
      <c r="H182" s="32" t="n">
        <v>3704.42</v>
      </c>
      <c r="I182" s="32" t="n">
        <v>690.15</v>
      </c>
      <c r="J182" s="32" t="n">
        <v>0.16</v>
      </c>
      <c r="K182" s="32" t="n">
        <v>159728</v>
      </c>
      <c r="L182" s="31" t="n">
        <v>17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59.48</v>
      </c>
      <c r="P182" s="32" t="n">
        <v>30.82</v>
      </c>
      <c r="Q182" s="32" t="n">
        <v>570.16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-12.01</v>
      </c>
      <c r="U182" s="32" t="n">
        <v>11.87</v>
      </c>
      <c r="V182" s="32" t="n">
        <v>27.13</v>
      </c>
      <c r="W182" s="32" t="n">
        <v>4.31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IF(B183=0,"",RANK(B183,$B$2:$B$220,0))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SBC</t>
        </is>
      </c>
      <c r="D183" s="31" t="inlineStr">
        <is>
          <t>SBC Exports Ltd</t>
        </is>
      </c>
      <c r="E183" s="31" t="inlineStr">
        <is>
          <t>textiles</t>
        </is>
      </c>
      <c r="F183" s="31" t="inlineStr">
        <is>
          <t>textiles - products</t>
        </is>
      </c>
      <c r="G183" s="31" t="inlineStr">
        <is>
          <t>smallcap</t>
        </is>
      </c>
      <c r="H183" s="32" t="n">
        <v>3054.76</v>
      </c>
      <c r="I183" s="32" t="n">
        <v>64.11</v>
      </c>
      <c r="J183" s="32" t="n">
        <v>-0.06</v>
      </c>
      <c r="K183" s="32" t="n">
        <v>16395983</v>
      </c>
      <c r="L183" s="31" t="n">
        <v>84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87.45</v>
      </c>
      <c r="P183" s="32" t="n">
        <v>32.84</v>
      </c>
      <c r="Q183" s="32" t="n">
        <v>52.95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-12.01</v>
      </c>
      <c r="U183" s="32" t="n">
        <v>175.5</v>
      </c>
      <c r="V183" s="32" t="n">
        <v>213.1</v>
      </c>
      <c r="W183" s="32" t="n">
        <v>33.95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IF(B184=0,"",RANK(B184,$B$2:$B$220,0))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MTARTECH</t>
        </is>
      </c>
      <c r="D184" s="31" t="inlineStr">
        <is>
          <t>MTAR Technologies Ltd</t>
        </is>
      </c>
      <c r="E184" s="31" t="inlineStr">
        <is>
          <t>aerospace &amp; defence</t>
        </is>
      </c>
      <c r="F184" s="31" t="inlineStr">
        <is>
          <t>engineering</t>
        </is>
      </c>
      <c r="G184" s="31" t="inlineStr">
        <is>
          <t>largecap</t>
        </is>
      </c>
      <c r="H184" s="32" t="n">
        <v>23740.25</v>
      </c>
      <c r="I184" s="32" t="n">
        <v>7672</v>
      </c>
      <c r="J184" s="32" t="n">
        <v>-0.6</v>
      </c>
      <c r="K184" s="32" t="n">
        <v>51395</v>
      </c>
      <c r="L184" s="31" t="n">
        <v>86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62.42</v>
      </c>
      <c r="P184" s="32" t="n">
        <v>18.43</v>
      </c>
      <c r="Q184" s="32" t="n">
        <v>5516.9</v>
      </c>
      <c r="R184" s="31" t="inlineStr">
        <is>
          <t>Earnings / Momentum Support</t>
        </is>
      </c>
      <c r="S184" s="31" t="inlineStr">
        <is>
          <t>Nifty 50</t>
        </is>
      </c>
      <c r="T184" s="32" t="n">
        <v>-12.01</v>
      </c>
      <c r="U184" s="32" t="n">
        <v>235.18</v>
      </c>
      <c r="V184" s="32" t="n">
        <v>280.92</v>
      </c>
      <c r="W184" s="32" t="n">
        <v>35.36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IF(B185=0,"",RANK(B185,$B$2:$B$220,0))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MANAKSTEEL</t>
        </is>
      </c>
      <c r="D185" s="31" t="inlineStr">
        <is>
          <t>Manaksia Steels Limited</t>
        </is>
      </c>
      <c r="E185" s="31" t="inlineStr">
        <is>
          <t>metals &amp; mining</t>
        </is>
      </c>
      <c r="F185" s="31" t="inlineStr">
        <is>
          <t>steel - medium / small</t>
        </is>
      </c>
      <c r="G185" s="31" t="inlineStr">
        <is>
          <t>smallcap</t>
        </is>
      </c>
      <c r="H185" s="32" t="n">
        <v>730.5700000000001</v>
      </c>
      <c r="I185" s="32" t="n">
        <v>110.22</v>
      </c>
      <c r="J185" s="32" t="n">
        <v>-1.13</v>
      </c>
      <c r="K185" s="32" t="n">
        <v>27090</v>
      </c>
      <c r="L185" s="31" t="inlineStr"/>
      <c r="M185" s="31" t="inlineStr"/>
      <c r="N185" s="32">
        <f>IF(M185="Underperforming",-5,IF(L185&gt;=95,15,IF(L185&gt;=90,10,IF(L185&gt;=80,5,0))))</f>
        <v/>
      </c>
      <c r="O185" s="32" t="n">
        <v>68.66</v>
      </c>
      <c r="P185" s="32" t="n">
        <v>49.22</v>
      </c>
      <c r="Q185" s="32" t="n">
        <v>87</v>
      </c>
      <c r="R185" s="31" t="inlineStr">
        <is>
          <t>Earnings / Momentum Support</t>
        </is>
      </c>
      <c r="S185" s="31" t="inlineStr">
        <is>
          <t>Nifty Metal</t>
        </is>
      </c>
      <c r="T185" s="32" t="inlineStr"/>
      <c r="U185" s="32" t="inlineStr"/>
      <c r="V185" s="32" t="inlineStr"/>
      <c r="W185" s="32" t="inlineStr"/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Cyclical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Volatile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IF(B186=0,"",RANK(B186,$B$2:$B$220,0))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TIPSMUSIC</t>
        </is>
      </c>
      <c r="D186" s="31" t="inlineStr">
        <is>
          <t>Tips Music Ltd</t>
        </is>
      </c>
      <c r="E186" s="31" t="inlineStr">
        <is>
          <t>media</t>
        </is>
      </c>
      <c r="F186" s="31" t="inlineStr">
        <is>
          <t>entertainment / electronic media software</t>
        </is>
      </c>
      <c r="G186" s="31" t="inlineStr">
        <is>
          <t>midcap</t>
        </is>
      </c>
      <c r="H186" s="32" t="n">
        <v>9037.049999999999</v>
      </c>
      <c r="I186" s="32" t="n">
        <v>718.25</v>
      </c>
      <c r="J186" s="32" t="n">
        <v>1.6</v>
      </c>
      <c r="K186" s="32" t="n">
        <v>603685</v>
      </c>
      <c r="L186" s="31" t="n">
        <v>29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61.63</v>
      </c>
      <c r="P186" s="32" t="n">
        <v>16.63</v>
      </c>
      <c r="Q186" s="32" t="n">
        <v>568.16</v>
      </c>
      <c r="R186" s="31" t="inlineStr">
        <is>
          <t>Volume Spike &amp; Near 52W High Breakout</t>
        </is>
      </c>
      <c r="S186" s="31" t="inlineStr">
        <is>
          <t>Nifty IT</t>
        </is>
      </c>
      <c r="T186" s="32" t="n">
        <v>-13.68</v>
      </c>
      <c r="U186" s="32" t="n">
        <v>42.6</v>
      </c>
      <c r="V186" s="32" t="n">
        <v>65.19</v>
      </c>
      <c r="W186" s="32" t="n">
        <v>8.949999999999999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IF(B187=0,"",RANK(B187,$B$2:$B$220,0))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VALIANTLAB</t>
        </is>
      </c>
      <c r="D187" s="31" t="inlineStr">
        <is>
          <t>Valiant Laboratories Ltd</t>
        </is>
      </c>
      <c r="E187" s="31" t="inlineStr">
        <is>
          <t>healthcare</t>
        </is>
      </c>
      <c r="F187" s="31" t="inlineStr">
        <is>
          <t>pharmaceuticals - indian - bulk drugs &amp; formln</t>
        </is>
      </c>
      <c r="G187" s="31" t="inlineStr">
        <is>
          <t>smallcap</t>
        </is>
      </c>
      <c r="H187" s="32" t="n">
        <v>662.99</v>
      </c>
      <c r="I187" s="32" t="n">
        <v>122.44</v>
      </c>
      <c r="J187" s="32" t="n">
        <v>0.3</v>
      </c>
      <c r="K187" s="32" t="n">
        <v>22087</v>
      </c>
      <c r="L187" s="31" t="n">
        <v>81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73.26000000000001</v>
      </c>
      <c r="P187" s="32" t="n">
        <v>39.44</v>
      </c>
      <c r="Q187" s="32" t="n">
        <v>93.88</v>
      </c>
      <c r="R187" s="31" t="inlineStr">
        <is>
          <t>Near 52W High Breakout</t>
        </is>
      </c>
      <c r="S187" s="31" t="inlineStr">
        <is>
          <t>Nifty Pharma</t>
        </is>
      </c>
      <c r="T187" s="32" t="n">
        <v>15.65</v>
      </c>
      <c r="U187" s="32" t="n">
        <v>47.98</v>
      </c>
      <c r="V187" s="32" t="n">
        <v>27.95</v>
      </c>
      <c r="W187" s="32" t="n">
        <v>32.53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IF(B188=0,"",RANK(B188,$B$2:$B$220,0))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AXISCADES</t>
        </is>
      </c>
      <c r="D188" s="31" t="inlineStr">
        <is>
          <t>AXISCADES Technologies Ltd</t>
        </is>
      </c>
      <c r="E188" s="31" t="inlineStr">
        <is>
          <t>aerospace &amp; defence</t>
        </is>
      </c>
      <c r="F188" s="31" t="inlineStr">
        <is>
          <t>computers - software - medium / small</t>
        </is>
      </c>
      <c r="G188" s="31" t="inlineStr">
        <is>
          <t>midcap</t>
        </is>
      </c>
      <c r="H188" s="32" t="n">
        <v>8875.790000000001</v>
      </c>
      <c r="I188" s="32" t="n">
        <v>2090.6</v>
      </c>
      <c r="J188" s="32" t="n">
        <v>0.18</v>
      </c>
      <c r="K188" s="32" t="n">
        <v>136067</v>
      </c>
      <c r="L188" s="31" t="n">
        <v>51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61.43</v>
      </c>
      <c r="P188" s="32" t="n">
        <v>17.02</v>
      </c>
      <c r="Q188" s="32" t="n">
        <v>1677.4</v>
      </c>
      <c r="R188" s="31" t="inlineStr">
        <is>
          <t>Earnings / Momentum Support</t>
        </is>
      </c>
      <c r="S188" s="31" t="inlineStr">
        <is>
          <t>Nifty IT</t>
        </is>
      </c>
      <c r="T188" s="32" t="n">
        <v>-13.68</v>
      </c>
      <c r="U188" s="32" t="n">
        <v>37.79</v>
      </c>
      <c r="V188" s="32" t="n">
        <v>59.62</v>
      </c>
      <c r="W188" s="32" t="n">
        <v>16.76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IF(B189=0,"",RANK(B189,$B$2:$B$220,0))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INDIAGLYCO</t>
        </is>
      </c>
      <c r="D189" s="31" t="inlineStr">
        <is>
          <t>India Glycols Limited</t>
        </is>
      </c>
      <c r="E189" s="31" t="inlineStr">
        <is>
          <t>fmcg</t>
        </is>
      </c>
      <c r="F189" s="31" t="inlineStr">
        <is>
          <t>breweries &amp; distilleries</t>
        </is>
      </c>
      <c r="G189" s="31" t="inlineStr">
        <is>
          <t>smallcap</t>
        </is>
      </c>
      <c r="H189" s="32" t="n">
        <v>2362.02</v>
      </c>
      <c r="I189" s="32" t="n">
        <v>349.85</v>
      </c>
      <c r="J189" s="32" t="n">
        <v>-0.72</v>
      </c>
      <c r="K189" s="32" t="n">
        <v>2807356</v>
      </c>
      <c r="L189" s="31" t="inlineStr"/>
      <c r="M189" s="31" t="inlineStr"/>
      <c r="N189" s="32">
        <f>IF(M189="Underperforming",-5,IF(L189&gt;=95,15,IF(L189&gt;=90,10,IF(L189&gt;=80,5,0))))</f>
        <v/>
      </c>
      <c r="O189" s="32" t="n">
        <v>30.32</v>
      </c>
      <c r="P189" s="32" t="n">
        <v>41.71</v>
      </c>
      <c r="Q189" s="32" t="n">
        <v>827.01</v>
      </c>
      <c r="R189" s="31" t="inlineStr">
        <is>
          <t>Volume Spike / Accumulation</t>
        </is>
      </c>
      <c r="S189" s="31" t="inlineStr">
        <is>
          <t>Nifty FMCG</t>
        </is>
      </c>
      <c r="T189" s="32" t="inlineStr"/>
      <c r="U189" s="32" t="inlineStr"/>
      <c r="V189" s="32" t="inlineStr"/>
      <c r="W189" s="32" t="inlineStr"/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B2C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Below 45</t>
        </is>
      </c>
      <c r="BA189" s="31">
        <f>IF(AZ189="Between 50 to 75",10,IF(AZ189="Above 75",0,0))</f>
        <v/>
      </c>
      <c r="BB189" s="31" t="inlineStr">
        <is>
          <t>Stage 4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No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IF(B190=0,"",RANK(B190,$B$2:$B$220,0))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SIMPLEXINF</t>
        </is>
      </c>
      <c r="D190" s="31" t="inlineStr">
        <is>
          <t>Simplex Infrastructures Limited</t>
        </is>
      </c>
      <c r="E190" s="31" t="inlineStr">
        <is>
          <t>realty</t>
        </is>
      </c>
      <c r="F190" s="31" t="inlineStr">
        <is>
          <t>construction</t>
        </is>
      </c>
      <c r="G190" s="31" t="inlineStr">
        <is>
          <t>smallcap</t>
        </is>
      </c>
      <c r="H190" s="32" t="n">
        <v>1967.97</v>
      </c>
      <c r="I190" s="32" t="n">
        <v>266.61</v>
      </c>
      <c r="J190" s="32" t="n">
        <v>7.15</v>
      </c>
      <c r="K190" s="32" t="n">
        <v>1050335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56.3</v>
      </c>
      <c r="P190" s="32" t="n">
        <v>14.82</v>
      </c>
      <c r="Q190" s="32" t="n">
        <v>197.4</v>
      </c>
      <c r="R190" s="31" t="inlineStr">
        <is>
          <t>Volume Spike / Accumulation</t>
        </is>
      </c>
      <c r="S190" s="31" t="inlineStr">
        <is>
          <t>Nifty Realty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More than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IF(B191=0,"",RANK(B191,$B$2:$B$220,0))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HINDCOMPOS</t>
        </is>
      </c>
      <c r="D191" s="31" t="inlineStr">
        <is>
          <t>Hindustan Composites Limited</t>
        </is>
      </c>
      <c r="E191" s="31" t="inlineStr">
        <is>
          <t>miscellaneous</t>
        </is>
      </c>
      <c r="F191" s="31" t="inlineStr">
        <is>
          <t>diversified - medium / small</t>
        </is>
      </c>
      <c r="G191" s="31" t="inlineStr">
        <is>
          <t>smallcap</t>
        </is>
      </c>
      <c r="H191" s="32" t="n">
        <v>649.02</v>
      </c>
      <c r="I191" s="32" t="n">
        <v>465.8</v>
      </c>
      <c r="J191" s="32" t="n">
        <v>6</v>
      </c>
      <c r="K191" s="32" t="n">
        <v>168618</v>
      </c>
      <c r="L191" s="31" t="n">
        <v>7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62.22</v>
      </c>
      <c r="P191" s="32" t="n">
        <v>22.54</v>
      </c>
      <c r="Q191" s="32" t="n">
        <v>360.01</v>
      </c>
      <c r="R191" s="31" t="inlineStr">
        <is>
          <t>Volume Spike &amp; Near 52W High Breakout</t>
        </is>
      </c>
      <c r="S191" s="31" t="inlineStr">
        <is>
          <t>Nifty 50</t>
        </is>
      </c>
      <c r="T191" s="32" t="n">
        <v>-12.01</v>
      </c>
      <c r="U191" s="32" t="n">
        <v>-1.63</v>
      </c>
      <c r="V191" s="32" t="n">
        <v>11.79</v>
      </c>
      <c r="W191" s="32" t="n">
        <v>1.56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1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Between 12 to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Between 1.5 to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IF(B192=0,"",RANK(B192,$B$2:$B$220,0))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YUKEN</t>
        </is>
      </c>
      <c r="D192" s="31" t="inlineStr">
        <is>
          <t>Yuken India Ltd</t>
        </is>
      </c>
      <c r="E192" s="31" t="inlineStr">
        <is>
          <t>industrials</t>
        </is>
      </c>
      <c r="F192" s="31" t="inlineStr">
        <is>
          <t>engineering</t>
        </is>
      </c>
      <c r="G192" s="31" t="inlineStr">
        <is>
          <t>smallcap</t>
        </is>
      </c>
      <c r="H192" s="32" t="n">
        <v>1544.91</v>
      </c>
      <c r="I192" s="32" t="n">
        <v>1133.4</v>
      </c>
      <c r="J192" s="32" t="n">
        <v>-0.34</v>
      </c>
      <c r="K192" s="32" t="n">
        <v>8118</v>
      </c>
      <c r="L192" s="31" t="n">
        <v>53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71.64</v>
      </c>
      <c r="P192" s="32" t="n">
        <v>44.45</v>
      </c>
      <c r="Q192" s="32" t="n">
        <v>854.99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-12.01</v>
      </c>
      <c r="U192" s="32" t="n">
        <v>22.21</v>
      </c>
      <c r="V192" s="32" t="n">
        <v>38.89</v>
      </c>
      <c r="W192" s="32" t="n">
        <v>17.11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IF(B193=0,"",RANK(B193,$B$2:$B$220,0))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ARIS</t>
        </is>
      </c>
      <c r="D193" s="33" t="inlineStr">
        <is>
          <t>Arisinfra Solutions Ltd</t>
        </is>
      </c>
      <c r="E193" s="31" t="inlineStr">
        <is>
          <t>services</t>
        </is>
      </c>
      <c r="F193" s="31" t="inlineStr">
        <is>
          <t>trading</t>
        </is>
      </c>
      <c r="G193" s="31" t="inlineStr">
        <is>
          <t>smallcap</t>
        </is>
      </c>
      <c r="H193" s="32" t="n">
        <v>1175.95</v>
      </c>
      <c r="I193" s="32" t="n">
        <v>143.1</v>
      </c>
      <c r="J193" s="32" t="n">
        <v>-0.47</v>
      </c>
      <c r="K193" s="32" t="n">
        <v>1469339</v>
      </c>
      <c r="L193" s="31" t="n">
        <v>17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57.12</v>
      </c>
      <c r="P193" s="32" t="n">
        <v>9.859999999999999</v>
      </c>
      <c r="Q193" s="32" t="n">
        <v>108</v>
      </c>
      <c r="R193" s="31" t="inlineStr">
        <is>
          <t>Earnings / Momentum Support</t>
        </is>
      </c>
      <c r="S193" s="31" t="inlineStr">
        <is>
          <t>Nifty 50</t>
        </is>
      </c>
      <c r="T193" s="32" t="n">
        <v>-12.01</v>
      </c>
      <c r="U193" s="32" t="n">
        <v>-15</v>
      </c>
      <c r="V193" s="32" t="n">
        <v>-3.4</v>
      </c>
      <c r="W193" s="32" t="n">
        <v>4.32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IF(B194=0,"",RANK(B194,$B$2:$B$220,0))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SUNFLAG</t>
        </is>
      </c>
      <c r="D194" s="31" t="inlineStr">
        <is>
          <t>Sunflag Iron And Steel Company Limited</t>
        </is>
      </c>
      <c r="E194" s="31" t="inlineStr">
        <is>
          <t>metals &amp; mining</t>
        </is>
      </c>
      <c r="F194" s="31" t="inlineStr">
        <is>
          <t>steel - medium / small</t>
        </is>
      </c>
      <c r="G194" s="31" t="inlineStr">
        <is>
          <t>midcap</t>
        </is>
      </c>
      <c r="H194" s="32" t="n">
        <v>7974.71</v>
      </c>
      <c r="I194" s="32" t="n">
        <v>435.6</v>
      </c>
      <c r="J194" s="32" t="n">
        <v>-1.56</v>
      </c>
      <c r="K194" s="32" t="n">
        <v>154108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69.81</v>
      </c>
      <c r="P194" s="32" t="n">
        <v>37.21</v>
      </c>
      <c r="Q194" s="32" t="n">
        <v>332</v>
      </c>
      <c r="R194" s="31" t="inlineStr">
        <is>
          <t>Near 52W High Breakout</t>
        </is>
      </c>
      <c r="S194" s="31" t="inlineStr">
        <is>
          <t>Nifty Metal</t>
        </is>
      </c>
      <c r="T194" s="32" t="inlineStr"/>
      <c r="U194" s="32" t="inlineStr"/>
      <c r="V194" s="32" t="inlineStr"/>
      <c r="W194" s="32" t="inlineStr"/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Cyclical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Volatile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IF(B195=0,"",RANK(B195,$B$2:$B$220,0))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PATELRMART</t>
        </is>
      </c>
      <c r="D195" s="31" t="inlineStr">
        <is>
          <t>Patel Retail Ltd</t>
        </is>
      </c>
      <c r="E195" s="31" t="inlineStr">
        <is>
          <t>consumer discretionary</t>
        </is>
      </c>
      <c r="F195" s="31" t="inlineStr">
        <is>
          <t>trading</t>
        </is>
      </c>
      <c r="G195" s="31" t="inlineStr">
        <is>
          <t>smallcap</t>
        </is>
      </c>
      <c r="H195" s="32" t="n">
        <v>802.61</v>
      </c>
      <c r="I195" s="32" t="n">
        <v>241.61</v>
      </c>
      <c r="J195" s="32" t="n">
        <v>0.55</v>
      </c>
      <c r="K195" s="32" t="n">
        <v>45856</v>
      </c>
      <c r="L195" s="31" t="n">
        <v>15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60.98</v>
      </c>
      <c r="P195" s="32" t="n">
        <v>16.01</v>
      </c>
      <c r="Q195" s="32" t="n">
        <v>184.96</v>
      </c>
      <c r="R195" s="31" t="inlineStr">
        <is>
          <t>Earnings / Momentum Support</t>
        </is>
      </c>
      <c r="S195" s="31" t="inlineStr">
        <is>
          <t>Nifty 50</t>
        </is>
      </c>
      <c r="T195" s="32" t="n">
        <v>-12.01</v>
      </c>
      <c r="U195" s="32" t="n">
        <v>4.33</v>
      </c>
      <c r="V195" s="32" t="n">
        <v>18.57</v>
      </c>
      <c r="W195" s="32" t="n">
        <v>3.86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IF(B196=0,"",RANK(B196,$B$2:$B$220,0))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ARFIN</t>
        </is>
      </c>
      <c r="D196" s="31" t="inlineStr">
        <is>
          <t>Arfin India Ltd</t>
        </is>
      </c>
      <c r="E196" s="31" t="inlineStr">
        <is>
          <t>metals &amp; mining</t>
        </is>
      </c>
      <c r="F196" s="31" t="inlineStr">
        <is>
          <t>aluminium and aluminium products</t>
        </is>
      </c>
      <c r="G196" s="31" t="inlineStr">
        <is>
          <t>smallcap</t>
        </is>
      </c>
      <c r="H196" s="32" t="n">
        <v>1826.76</v>
      </c>
      <c r="I196" s="32" t="n">
        <v>105.7</v>
      </c>
      <c r="J196" s="32" t="n">
        <v>-2.37</v>
      </c>
      <c r="K196" s="32" t="n">
        <v>2172699</v>
      </c>
      <c r="L196" s="31" t="inlineStr"/>
      <c r="M196" s="31" t="inlineStr"/>
      <c r="N196" s="32">
        <f>IF(M196="Underperforming",-5,IF(L196&gt;=95,15,IF(L196&gt;=90,10,IF(L196&gt;=80,5,0))))</f>
        <v/>
      </c>
      <c r="O196" s="32" t="n">
        <v>67.84</v>
      </c>
      <c r="P196" s="32" t="n">
        <v>26.21</v>
      </c>
      <c r="Q196" s="32" t="n">
        <v>78.09</v>
      </c>
      <c r="R196" s="31" t="inlineStr">
        <is>
          <t>Near 52W High Breakout</t>
        </is>
      </c>
      <c r="S196" s="31" t="inlineStr">
        <is>
          <t>Nifty Metal</t>
        </is>
      </c>
      <c r="T196" s="32" t="inlineStr"/>
      <c r="U196" s="32" t="inlineStr"/>
      <c r="V196" s="32" t="inlineStr"/>
      <c r="W196" s="32" t="inlineStr"/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Cyclical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Volatile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IF(B197=0,"",RANK(B197,$B$2:$B$220,0))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PERSISTENT</t>
        </is>
      </c>
      <c r="D197" s="31" t="inlineStr">
        <is>
          <t>Persistent Systems Limited</t>
        </is>
      </c>
      <c r="E197" s="31" t="inlineStr">
        <is>
          <t>i.t</t>
        </is>
      </c>
      <c r="F197" s="31" t="inlineStr">
        <is>
          <t>computers - software - large</t>
        </is>
      </c>
      <c r="G197" s="31" t="inlineStr">
        <is>
          <t>largecap</t>
        </is>
      </c>
      <c r="H197" s="32" t="n">
        <v>94460.7</v>
      </c>
      <c r="I197" s="32" t="n">
        <v>5898</v>
      </c>
      <c r="J197" s="32" t="n">
        <v>-1.5</v>
      </c>
      <c r="K197" s="32" t="n">
        <v>632681</v>
      </c>
      <c r="L197" s="31" t="n">
        <v>16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61.33</v>
      </c>
      <c r="P197" s="32" t="n">
        <v>13.98</v>
      </c>
      <c r="Q197" s="32" t="n">
        <v>4811.43</v>
      </c>
      <c r="R197" s="31" t="inlineStr">
        <is>
          <t>Earnings / Momentum Support</t>
        </is>
      </c>
      <c r="S197" s="31" t="inlineStr">
        <is>
          <t>Nifty IT</t>
        </is>
      </c>
      <c r="T197" s="32" t="n">
        <v>-13.68</v>
      </c>
      <c r="U197" s="32" t="n">
        <v>3.2</v>
      </c>
      <c r="V197" s="32" t="n">
        <v>19.55</v>
      </c>
      <c r="W197" s="32" t="n">
        <v>4.03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Between 12 to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Between 50% to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IF(B198=0,"",RANK(B198,$B$2:$B$220,0))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BMWVENTLTD</t>
        </is>
      </c>
      <c r="D198" s="31" t="inlineStr">
        <is>
          <t>BMW Ventures Ltd</t>
        </is>
      </c>
      <c r="E198" s="31" t="inlineStr">
        <is>
          <t>services</t>
        </is>
      </c>
      <c r="F198" s="31" t="inlineStr">
        <is>
          <t>trading</t>
        </is>
      </c>
      <c r="G198" s="31" t="inlineStr">
        <is>
          <t>smallcap</t>
        </is>
      </c>
      <c r="H198" s="32" t="n">
        <v>570.3200000000001</v>
      </c>
      <c r="I198" s="32" t="n">
        <v>65.48</v>
      </c>
      <c r="J198" s="32" t="n">
        <v>-0.44</v>
      </c>
      <c r="K198" s="32" t="n">
        <v>309272</v>
      </c>
      <c r="L198" s="31" t="n">
        <v>20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58.41</v>
      </c>
      <c r="P198" s="32" t="n">
        <v>13.35</v>
      </c>
      <c r="Q198" s="32" t="n">
        <v>50.23</v>
      </c>
      <c r="R198" s="31" t="inlineStr">
        <is>
          <t>Volume Spike &amp; Near 52W High Breakout</t>
        </is>
      </c>
      <c r="S198" s="31" t="inlineStr">
        <is>
          <t>Nifty 50</t>
        </is>
      </c>
      <c r="T198" s="32" t="n">
        <v>-12.01</v>
      </c>
      <c r="U198" s="32" t="n">
        <v>11.76</v>
      </c>
      <c r="V198" s="32" t="n">
        <v>27.01</v>
      </c>
      <c r="W198" s="32" t="n">
        <v>5.75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1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IF(B199=0,"",RANK(B199,$B$2:$B$220,0))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HERITGFOOD</t>
        </is>
      </c>
      <c r="D199" s="31" t="inlineStr">
        <is>
          <t>Heritage Foods Limited</t>
        </is>
      </c>
      <c r="E199" s="31" t="inlineStr">
        <is>
          <t>fmcg</t>
        </is>
      </c>
      <c r="F199" s="31" t="inlineStr">
        <is>
          <t>food - processing - indian</t>
        </is>
      </c>
      <c r="G199" s="31" t="inlineStr">
        <is>
          <t>smallcap</t>
        </is>
      </c>
      <c r="H199" s="32" t="n">
        <v>3659.41</v>
      </c>
      <c r="I199" s="32" t="n">
        <v>414.8</v>
      </c>
      <c r="J199" s="32" t="n">
        <v>5.19</v>
      </c>
      <c r="K199" s="32" t="n">
        <v>472069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62.85</v>
      </c>
      <c r="P199" s="32" t="n">
        <v>20.83</v>
      </c>
      <c r="Q199" s="32" t="n">
        <v>336.43</v>
      </c>
      <c r="R199" s="31" t="inlineStr">
        <is>
          <t>Earnings / Momentum Support</t>
        </is>
      </c>
      <c r="S199" s="31" t="inlineStr">
        <is>
          <t>Nifty FMCG</t>
        </is>
      </c>
      <c r="T199" s="32" t="inlineStr"/>
      <c r="U199" s="32" t="inlineStr"/>
      <c r="V199" s="32" t="inlineStr"/>
      <c r="W199" s="32" t="inlineStr"/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B2C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IF(B200=0,"",RANK(B200,$B$2:$B$220,0))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BBOX</t>
        </is>
      </c>
      <c r="D200" s="31" t="inlineStr">
        <is>
          <t>Black Box Ltd</t>
        </is>
      </c>
      <c r="E200" s="31" t="inlineStr">
        <is>
          <t>i.t</t>
        </is>
      </c>
      <c r="F200" s="31" t="inlineStr">
        <is>
          <t>computers - software - medium / small</t>
        </is>
      </c>
      <c r="G200" s="31" t="inlineStr">
        <is>
          <t>midcap</t>
        </is>
      </c>
      <c r="H200" s="32" t="n">
        <v>16371.98</v>
      </c>
      <c r="I200" s="32" t="n">
        <v>935.8</v>
      </c>
      <c r="J200" s="32" t="n">
        <v>1.51</v>
      </c>
      <c r="K200" s="32" t="n">
        <v>1058985</v>
      </c>
      <c r="L200" s="31" t="n">
        <v>51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63.78</v>
      </c>
      <c r="P200" s="32" t="n">
        <v>9.220000000000001</v>
      </c>
      <c r="Q200" s="32" t="n">
        <v>687.35</v>
      </c>
      <c r="R200" s="31" t="inlineStr">
        <is>
          <t>Earnings / Momentum Support</t>
        </is>
      </c>
      <c r="S200" s="31" t="inlineStr">
        <is>
          <t>Nifty IT</t>
        </is>
      </c>
      <c r="T200" s="32" t="n">
        <v>-13.68</v>
      </c>
      <c r="U200" s="32" t="n">
        <v>74.88</v>
      </c>
      <c r="V200" s="32" t="n">
        <v>102.58</v>
      </c>
      <c r="W200" s="32" t="n">
        <v>16.18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Between 12 to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IF(B201=0,"",RANK(B201,$B$2:$B$220,0))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STYLEBAAZA</t>
        </is>
      </c>
      <c r="D201" s="31" t="inlineStr">
        <is>
          <t>Baazar Style Retail Ltd</t>
        </is>
      </c>
      <c r="E201" s="31" t="inlineStr">
        <is>
          <t>consumer discretionary</t>
        </is>
      </c>
      <c r="F201" s="31" t="inlineStr">
        <is>
          <t>trading</t>
        </is>
      </c>
      <c r="G201" s="31" t="inlineStr">
        <is>
          <t>smallcap</t>
        </is>
      </c>
      <c r="H201" s="32" t="n">
        <v>2930.07</v>
      </c>
      <c r="I201" s="32" t="n">
        <v>394.3</v>
      </c>
      <c r="J201" s="32" t="n">
        <v>3.78</v>
      </c>
      <c r="K201" s="32" t="n">
        <v>1038676</v>
      </c>
      <c r="L201" s="31" t="n">
        <v>39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58.27</v>
      </c>
      <c r="P201" s="32" t="n">
        <v>20.48</v>
      </c>
      <c r="Q201" s="32" t="n">
        <v>297.77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-12.01</v>
      </c>
      <c r="U201" s="32" t="n">
        <v>21.9</v>
      </c>
      <c r="V201" s="32" t="n">
        <v>38.54</v>
      </c>
      <c r="W201" s="32" t="n">
        <v>11.89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More than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IF(B202=0,"",RANK(B202,$B$2:$B$220,0))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CRAFTSMAN</t>
        </is>
      </c>
      <c r="D202" s="31" t="inlineStr">
        <is>
          <t>Craftsman Automation Ltd</t>
        </is>
      </c>
      <c r="E202" s="31" t="inlineStr">
        <is>
          <t>auto</t>
        </is>
      </c>
      <c r="F202" s="31" t="inlineStr">
        <is>
          <t>auto ancillaries</t>
        </is>
      </c>
      <c r="G202" s="31" t="inlineStr">
        <is>
          <t>largecap</t>
        </is>
      </c>
      <c r="H202" s="32" t="n">
        <v>27917.24</v>
      </c>
      <c r="I202" s="32" t="n">
        <v>10997</v>
      </c>
      <c r="J202" s="32" t="n">
        <v>3.03</v>
      </c>
      <c r="K202" s="32" t="n">
        <v>54731</v>
      </c>
      <c r="L202" s="31" t="inlineStr"/>
      <c r="M202" s="31" t="inlineStr"/>
      <c r="N202" s="32">
        <f>IF(M202="Underperforming",-5,IF(L202&gt;=95,15,IF(L202&gt;=90,10,IF(L202&gt;=80,5,0))))</f>
        <v/>
      </c>
      <c r="O202" s="32" t="n">
        <v>62.46</v>
      </c>
      <c r="P202" s="32" t="n">
        <v>60.59</v>
      </c>
      <c r="Q202" s="32" t="n">
        <v>9449.73</v>
      </c>
      <c r="R202" s="31" t="inlineStr">
        <is>
          <t>Earnings / Momentum Support</t>
        </is>
      </c>
      <c r="S202" s="31" t="inlineStr">
        <is>
          <t>Nifty Auto</t>
        </is>
      </c>
      <c r="T202" s="32" t="inlineStr"/>
      <c r="U202" s="32" t="inlineStr"/>
      <c r="V202" s="32" t="inlineStr"/>
      <c r="W202" s="32" t="inlineStr"/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IF(B203=0,"",RANK(B203,$B$2:$B$220,0))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ISGEC</t>
        </is>
      </c>
      <c r="D203" s="31" t="inlineStr">
        <is>
          <t>ISGEC Heavy Engineering  Ltd</t>
        </is>
      </c>
      <c r="E203" s="31" t="inlineStr">
        <is>
          <t>realty</t>
        </is>
      </c>
      <c r="F203" s="31" t="inlineStr">
        <is>
          <t>engineering - turnkey services</t>
        </is>
      </c>
      <c r="G203" s="31" t="inlineStr">
        <is>
          <t>midcap</t>
        </is>
      </c>
      <c r="H203" s="32" t="n">
        <v>6709.2</v>
      </c>
      <c r="I203" s="32" t="n">
        <v>927.35</v>
      </c>
      <c r="J203" s="32" t="n">
        <v>1.63</v>
      </c>
      <c r="K203" s="32" t="n">
        <v>58163</v>
      </c>
      <c r="L203" s="31" t="inlineStr"/>
      <c r="M203" s="31" t="inlineStr"/>
      <c r="N203" s="32">
        <f>IF(M203="Underperforming",-5,IF(L203&gt;=95,15,IF(L203&gt;=90,10,IF(L203&gt;=80,5,0))))</f>
        <v/>
      </c>
      <c r="O203" s="32" t="n">
        <v>57</v>
      </c>
      <c r="P203" s="32" t="n">
        <v>19.71</v>
      </c>
      <c r="Q203" s="32" t="n">
        <v>734.62</v>
      </c>
      <c r="R203" s="31" t="inlineStr">
        <is>
          <t>Earnings / Momentum Support</t>
        </is>
      </c>
      <c r="S203" s="31" t="inlineStr">
        <is>
          <t>Nifty Realty</t>
        </is>
      </c>
      <c r="T203" s="32" t="inlineStr"/>
      <c r="U203" s="32" t="inlineStr"/>
      <c r="V203" s="32" t="inlineStr"/>
      <c r="W203" s="32" t="inlineStr"/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IF(B204=0,"",RANK(B204,$B$2:$B$220,0))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WELENT</t>
        </is>
      </c>
      <c r="D204" s="31" t="inlineStr">
        <is>
          <t>Welspun Enterprises Limited</t>
        </is>
      </c>
      <c r="E204" s="31" t="inlineStr">
        <is>
          <t>realty</t>
        </is>
      </c>
      <c r="F204" s="31" t="inlineStr">
        <is>
          <t>construction</t>
        </is>
      </c>
      <c r="G204" s="31" t="inlineStr">
        <is>
          <t>midcap</t>
        </is>
      </c>
      <c r="H204" s="32" t="n">
        <v>10195.56</v>
      </c>
      <c r="I204" s="32" t="n">
        <v>752.65</v>
      </c>
      <c r="J204" s="32" t="n">
        <v>2.18</v>
      </c>
      <c r="K204" s="32" t="n">
        <v>219495</v>
      </c>
      <c r="L204" s="31" t="inlineStr"/>
      <c r="M204" s="31" t="inlineStr"/>
      <c r="N204" s="32">
        <f>IF(M204="Underperforming",-5,IF(L204&gt;=95,15,IF(L204&gt;=90,10,IF(L204&gt;=80,5,0))))</f>
        <v/>
      </c>
      <c r="O204" s="32" t="n">
        <v>64.05</v>
      </c>
      <c r="P204" s="32" t="n">
        <v>34.65</v>
      </c>
      <c r="Q204" s="32" t="n">
        <v>651.62</v>
      </c>
      <c r="R204" s="31" t="inlineStr">
        <is>
          <t>Earnings / Momentum Support</t>
        </is>
      </c>
      <c r="S204" s="31" t="inlineStr">
        <is>
          <t>Nifty Realty</t>
        </is>
      </c>
      <c r="T204" s="32" t="inlineStr"/>
      <c r="U204" s="32" t="inlineStr"/>
      <c r="V204" s="32" t="inlineStr"/>
      <c r="W204" s="32" t="inlineStr"/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IF(B205=0,"",RANK(B205,$B$2:$B$220,0))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WESTLIFE</t>
        </is>
      </c>
      <c r="D205" s="31" t="inlineStr">
        <is>
          <t>Westlife Foodworld Ltd</t>
        </is>
      </c>
      <c r="E205" s="31" t="inlineStr">
        <is>
          <t>consumer discretionary</t>
        </is>
      </c>
      <c r="F205" s="31" t="inlineStr">
        <is>
          <t>hotels</t>
        </is>
      </c>
      <c r="G205" s="31" t="inlineStr">
        <is>
          <t>midcap</t>
        </is>
      </c>
      <c r="H205" s="32" t="n">
        <v>9283.66</v>
      </c>
      <c r="I205" s="32" t="n">
        <v>589.45</v>
      </c>
      <c r="J205" s="32" t="n">
        <v>-0.99</v>
      </c>
      <c r="K205" s="32" t="n">
        <v>69087</v>
      </c>
      <c r="L205" s="31" t="n">
        <v>21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60.15</v>
      </c>
      <c r="P205" s="32" t="n">
        <v>16.16</v>
      </c>
      <c r="Q205" s="32" t="n">
        <v>454.13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-12.01</v>
      </c>
      <c r="U205" s="32" t="n">
        <v>-1.63</v>
      </c>
      <c r="V205" s="32" t="n">
        <v>11.79</v>
      </c>
      <c r="W205" s="32" t="n">
        <v>6.48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IF(B206=0,"",RANK(B206,$B$2:$B$220,0))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BLKASHYAP</t>
        </is>
      </c>
      <c r="D206" s="31" t="inlineStr">
        <is>
          <t>B. L. Kashyap And Sons Limited</t>
        </is>
      </c>
      <c r="E206" s="31" t="inlineStr">
        <is>
          <t>realty</t>
        </is>
      </c>
      <c r="F206" s="31" t="inlineStr">
        <is>
          <t>construction</t>
        </is>
      </c>
      <c r="G206" s="31" t="inlineStr">
        <is>
          <t>smallcap</t>
        </is>
      </c>
      <c r="H206" s="32" t="n">
        <v>1382.85</v>
      </c>
      <c r="I206" s="32" t="n">
        <v>59.98</v>
      </c>
      <c r="J206" s="32" t="n">
        <v>-2.22</v>
      </c>
      <c r="K206" s="32" t="n">
        <v>1710629</v>
      </c>
      <c r="L206" s="31" t="inlineStr"/>
      <c r="M206" s="31" t="inlineStr"/>
      <c r="N206" s="32">
        <f>IF(M206="Underperforming",-5,IF(L206&gt;=95,15,IF(L206&gt;=90,10,IF(L206&gt;=80,5,0))))</f>
        <v/>
      </c>
      <c r="O206" s="32" t="n">
        <v>57.11</v>
      </c>
      <c r="P206" s="32" t="n">
        <v>19.58</v>
      </c>
      <c r="Q206" s="32" t="n">
        <v>42.32</v>
      </c>
      <c r="R206" s="31" t="inlineStr">
        <is>
          <t>Volume Spike &amp; Near 52W High Breakout</t>
        </is>
      </c>
      <c r="S206" s="31" t="inlineStr">
        <is>
          <t>Nifty Realty</t>
        </is>
      </c>
      <c r="T206" s="32" t="inlineStr"/>
      <c r="U206" s="32" t="inlineStr"/>
      <c r="V206" s="32" t="inlineStr"/>
      <c r="W206" s="32" t="inlineStr"/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1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IF(B207=0,"",RANK(B207,$B$2:$B$220,0))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SUPREMEIND</t>
        </is>
      </c>
      <c r="D207" s="33" t="inlineStr">
        <is>
          <t>Supreme Industries Limited</t>
        </is>
      </c>
      <c r="E207" s="31" t="inlineStr">
        <is>
          <t>plastic products</t>
        </is>
      </c>
      <c r="F207" s="31" t="inlineStr">
        <is>
          <t>plastics products</t>
        </is>
      </c>
      <c r="G207" s="31" t="inlineStr">
        <is>
          <t>largecap</t>
        </is>
      </c>
      <c r="H207" s="32" t="n">
        <v>44547.05</v>
      </c>
      <c r="I207" s="32" t="n">
        <v>3607</v>
      </c>
      <c r="J207" s="32" t="n">
        <v>2.85</v>
      </c>
      <c r="K207" s="32" t="n">
        <v>371467</v>
      </c>
      <c r="L207" s="31" t="n">
        <v>2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52.75</v>
      </c>
      <c r="P207" s="32" t="n">
        <v>19.75</v>
      </c>
      <c r="Q207" s="32" t="n">
        <v>3003.07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-12.01</v>
      </c>
      <c r="U207" s="32" t="n">
        <v>-13.45</v>
      </c>
      <c r="V207" s="32" t="n">
        <v>-1.64</v>
      </c>
      <c r="W207" s="32" t="n">
        <v>-1.45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1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Less than 1.5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IF(B208=0,"",RANK(B208,$B$2:$B$220,0))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TRENT</t>
        </is>
      </c>
      <c r="D208" s="33" t="inlineStr">
        <is>
          <t>Trent Limited</t>
        </is>
      </c>
      <c r="E208" s="31" t="inlineStr">
        <is>
          <t>consumer discretionary</t>
        </is>
      </c>
      <c r="F208" s="31" t="inlineStr">
        <is>
          <t>trading</t>
        </is>
      </c>
      <c r="G208" s="31" t="inlineStr">
        <is>
          <t>largecap</t>
        </is>
      </c>
      <c r="H208" s="32" t="n">
        <v>159319.15</v>
      </c>
      <c r="I208" s="32" t="n">
        <v>2971</v>
      </c>
      <c r="J208" s="32" t="n">
        <v>-0.5600000000000001</v>
      </c>
      <c r="K208" s="32" t="n">
        <v>681750</v>
      </c>
      <c r="L208" s="31" t="n">
        <v>1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51.31</v>
      </c>
      <c r="P208" s="32" t="n">
        <v>6.95</v>
      </c>
      <c r="Q208" s="32" t="n">
        <v>2463.39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-12.01</v>
      </c>
      <c r="U208" s="32" t="n">
        <v>-38.2</v>
      </c>
      <c r="V208" s="32" t="n">
        <v>-29.76</v>
      </c>
      <c r="W208" s="32" t="n">
        <v>-5.53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1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IF(B209=0,"",RANK(B209,$B$2:$B$220,0))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MPHASIS</t>
        </is>
      </c>
      <c r="D209" s="31" t="inlineStr">
        <is>
          <t>Mphasis Limited</t>
        </is>
      </c>
      <c r="E209" s="31" t="inlineStr">
        <is>
          <t>i.t</t>
        </is>
      </c>
      <c r="F209" s="31" t="inlineStr">
        <is>
          <t>computers - software - large</t>
        </is>
      </c>
      <c r="G209" s="31" t="inlineStr">
        <is>
          <t>largecap</t>
        </is>
      </c>
      <c r="H209" s="32" t="n">
        <v>47075.04</v>
      </c>
      <c r="I209" s="32" t="n">
        <v>2435.3</v>
      </c>
      <c r="J209" s="32" t="n">
        <v>-1.26</v>
      </c>
      <c r="K209" s="32" t="n">
        <v>492448</v>
      </c>
      <c r="L209" s="31" t="n">
        <v>3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54.89</v>
      </c>
      <c r="P209" s="32" t="n">
        <v>9.73</v>
      </c>
      <c r="Q209" s="32" t="n">
        <v>2064.03</v>
      </c>
      <c r="R209" s="31" t="inlineStr">
        <is>
          <t>Earnings / Momentum Support</t>
        </is>
      </c>
      <c r="S209" s="31" t="inlineStr">
        <is>
          <t>Nifty IT</t>
        </is>
      </c>
      <c r="T209" s="32" t="n">
        <v>-13.68</v>
      </c>
      <c r="U209" s="32" t="n">
        <v>-7.17</v>
      </c>
      <c r="V209" s="32" t="n">
        <v>7.54</v>
      </c>
      <c r="W209" s="32" t="n">
        <v>-0.85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1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Between 50% to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IF(B210=0,"",RANK(B210,$B$2:$B$220,0))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MRPL</t>
        </is>
      </c>
      <c r="D210" s="31" t="inlineStr">
        <is>
          <t>Mangalore Refinery And Petrochemicals Limited</t>
        </is>
      </c>
      <c r="E210" s="31" t="inlineStr">
        <is>
          <t>energy</t>
        </is>
      </c>
      <c r="F210" s="31" t="inlineStr">
        <is>
          <t>refineries</t>
        </is>
      </c>
      <c r="G210" s="31" t="inlineStr">
        <is>
          <t>largecap</t>
        </is>
      </c>
      <c r="H210" s="32" t="n">
        <v>30826.46</v>
      </c>
      <c r="I210" s="32" t="n">
        <v>185.26</v>
      </c>
      <c r="J210" s="32" t="n">
        <v>5.33</v>
      </c>
      <c r="K210" s="32" t="n">
        <v>19607669</v>
      </c>
      <c r="L210" s="31" t="inlineStr"/>
      <c r="M210" s="31" t="inlineStr"/>
      <c r="N210" s="32">
        <f>IF(M210="Underperforming",-5,IF(L210&gt;=95,15,IF(L210&gt;=90,10,IF(L210&gt;=80,5,0))))</f>
        <v/>
      </c>
      <c r="O210" s="32" t="n">
        <v>60.38</v>
      </c>
      <c r="P210" s="32" t="n">
        <v>31.62</v>
      </c>
      <c r="Q210" s="32" t="n">
        <v>136.98</v>
      </c>
      <c r="R210" s="31" t="inlineStr">
        <is>
          <t>Earnings / Momentum Support</t>
        </is>
      </c>
      <c r="S210" s="31" t="inlineStr">
        <is>
          <t>Nifty Energy</t>
        </is>
      </c>
      <c r="T210" s="32" t="inlineStr"/>
      <c r="U210" s="32" t="inlineStr"/>
      <c r="V210" s="32" t="inlineStr"/>
      <c r="W210" s="32" t="inlineStr"/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IF(B211=0,"",RANK(B211,$B$2:$B$220,0))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JAYNECOIND</t>
        </is>
      </c>
      <c r="D211" s="31" t="inlineStr">
        <is>
          <t>Jayaswal Neco Industries Limited</t>
        </is>
      </c>
      <c r="E211" s="31" t="inlineStr">
        <is>
          <t>metals &amp; mining</t>
        </is>
      </c>
      <c r="F211" s="31" t="inlineStr">
        <is>
          <t>steel - large</t>
        </is>
      </c>
      <c r="G211" s="31" t="inlineStr">
        <is>
          <t>midcap</t>
        </is>
      </c>
      <c r="H211" s="32" t="n">
        <v>9308.959999999999</v>
      </c>
      <c r="I211" s="32" t="n">
        <v>98.97</v>
      </c>
      <c r="J211" s="32" t="n">
        <v>3.23</v>
      </c>
      <c r="K211" s="32" t="n">
        <v>9534461</v>
      </c>
      <c r="L211" s="31" t="inlineStr"/>
      <c r="M211" s="31" t="inlineStr"/>
      <c r="N211" s="32">
        <f>IF(M211="Underperforming",-5,IF(L211&gt;=95,15,IF(L211&gt;=90,10,IF(L211&gt;=80,5,0))))</f>
        <v/>
      </c>
      <c r="O211" s="32" t="n">
        <v>58.74</v>
      </c>
      <c r="P211" s="32" t="n">
        <v>6.9</v>
      </c>
      <c r="Q211" s="32" t="n">
        <v>75.05</v>
      </c>
      <c r="R211" s="31" t="inlineStr">
        <is>
          <t>Earnings / Momentum Support</t>
        </is>
      </c>
      <c r="S211" s="31" t="inlineStr">
        <is>
          <t>Nifty Metal</t>
        </is>
      </c>
      <c r="T211" s="32" t="inlineStr"/>
      <c r="U211" s="32" t="inlineStr"/>
      <c r="V211" s="32" t="inlineStr"/>
      <c r="W211" s="32" t="inlineStr"/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Cyclical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Volatile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IF(B212=0,"",RANK(B212,$B$2:$B$220,0))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SEAMECLTD</t>
        </is>
      </c>
      <c r="D212" s="31" t="inlineStr">
        <is>
          <t>Seamec Limited</t>
        </is>
      </c>
      <c r="E212" s="31" t="inlineStr">
        <is>
          <t>miscellaneous</t>
        </is>
      </c>
      <c r="F212" s="31" t="inlineStr">
        <is>
          <t>miscellaneous</t>
        </is>
      </c>
      <c r="G212" s="31" t="inlineStr">
        <is>
          <t>smallcap</t>
        </is>
      </c>
      <c r="H212" s="32" t="n">
        <v>4154.45</v>
      </c>
      <c r="I212" s="32" t="n">
        <v>1694.4</v>
      </c>
      <c r="J212" s="32" t="n">
        <v>3.7</v>
      </c>
      <c r="K212" s="32" t="n">
        <v>41436</v>
      </c>
      <c r="L212" s="31" t="n">
        <v>62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59.67</v>
      </c>
      <c r="P212" s="32" t="n">
        <v>19.32</v>
      </c>
      <c r="Q212" s="32" t="n">
        <v>1408.17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-12.01</v>
      </c>
      <c r="U212" s="32" t="n">
        <v>101.74</v>
      </c>
      <c r="V212" s="32" t="n">
        <v>129.27</v>
      </c>
      <c r="W212" s="32" t="n">
        <v>21.47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IF(B213=0,"",RANK(B213,$B$2:$B$220,0))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BHARTIHEXA</t>
        </is>
      </c>
      <c r="D213" s="33" t="inlineStr">
        <is>
          <t>Bharti Hexacom Ltd</t>
        </is>
      </c>
      <c r="E213" s="31" t="inlineStr">
        <is>
          <t>telecom-service</t>
        </is>
      </c>
      <c r="F213" s="31" t="inlineStr">
        <is>
          <t>telecommunications - service provider</t>
        </is>
      </c>
      <c r="G213" s="31" t="inlineStr">
        <is>
          <t>largecap</t>
        </is>
      </c>
      <c r="H213" s="32" t="n">
        <v>77435</v>
      </c>
      <c r="I213" s="32" t="n">
        <v>1570.3</v>
      </c>
      <c r="J213" s="32" t="n">
        <v>1.39</v>
      </c>
      <c r="K213" s="32" t="n">
        <v>114430</v>
      </c>
      <c r="L213" s="31" t="n">
        <v>1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52.32</v>
      </c>
      <c r="P213" s="32" t="n">
        <v>16.14</v>
      </c>
      <c r="Q213" s="32" t="n">
        <v>1324.21</v>
      </c>
      <c r="R213" s="31" t="inlineStr">
        <is>
          <t>Earnings / Momentum Support</t>
        </is>
      </c>
      <c r="S213" s="31" t="inlineStr">
        <is>
          <t>Nifty 50</t>
        </is>
      </c>
      <c r="T213" s="32" t="n">
        <v>-12.01</v>
      </c>
      <c r="U213" s="32" t="n">
        <v>-12.59</v>
      </c>
      <c r="V213" s="32" t="n">
        <v>-0.66</v>
      </c>
      <c r="W213" s="32" t="n">
        <v>-2.74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1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Between 1.5 to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Between 0.7 to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IF(B214=0,"",RANK(B214,$B$2:$B$220,0))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TRIVENI</t>
        </is>
      </c>
      <c r="D214" s="31" t="inlineStr">
        <is>
          <t>Triveni Engineering &amp; Industries Limited</t>
        </is>
      </c>
      <c r="E214" s="31" t="inlineStr">
        <is>
          <t>fmcg</t>
        </is>
      </c>
      <c r="F214" s="31" t="inlineStr">
        <is>
          <t>sugar</t>
        </is>
      </c>
      <c r="G214" s="31" t="inlineStr">
        <is>
          <t>midcap</t>
        </is>
      </c>
      <c r="H214" s="32" t="n">
        <v>5609.34</v>
      </c>
      <c r="I214" s="32" t="n">
        <v>256.16</v>
      </c>
      <c r="J214" s="32" t="n">
        <v>0.63</v>
      </c>
      <c r="K214" s="32" t="n">
        <v>1264839</v>
      </c>
      <c r="L214" s="31" t="inlineStr"/>
      <c r="M214" s="31" t="inlineStr"/>
      <c r="N214" s="32">
        <f>IF(M214="Underperforming",-5,IF(L214&gt;=95,15,IF(L214&gt;=90,10,IF(L214&gt;=80,5,0))))</f>
        <v/>
      </c>
      <c r="O214" s="32" t="n">
        <v>40.78</v>
      </c>
      <c r="P214" s="32" t="n">
        <v>25.07</v>
      </c>
      <c r="Q214" s="32" t="n">
        <v>365.17</v>
      </c>
      <c r="R214" s="31" t="inlineStr">
        <is>
          <t>Earnings / Momentum Support</t>
        </is>
      </c>
      <c r="S214" s="31" t="inlineStr">
        <is>
          <t>Nifty FMCG</t>
        </is>
      </c>
      <c r="T214" s="32" t="inlineStr"/>
      <c r="U214" s="32" t="inlineStr"/>
      <c r="V214" s="32" t="inlineStr"/>
      <c r="W214" s="32" t="inlineStr"/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B2C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Below 45</t>
        </is>
      </c>
      <c r="BA214" s="31">
        <f>IF(AZ214="Between 50 to 75",10,IF(AZ214="Above 75",0,0))</f>
        <v/>
      </c>
      <c r="BB214" s="31" t="inlineStr">
        <is>
          <t>Stage 4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No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IF(B215=0,"",RANK(B215,$B$2:$B$220,0))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HINDOILEXP</t>
        </is>
      </c>
      <c r="D215" s="31" t="inlineStr">
        <is>
          <t>Hindustan Oil Exploration Company Limited</t>
        </is>
      </c>
      <c r="E215" s="31" t="inlineStr">
        <is>
          <t>energy</t>
        </is>
      </c>
      <c r="F215" s="31" t="inlineStr">
        <is>
          <t>oil drilling / allied services</t>
        </is>
      </c>
      <c r="G215" s="31" t="inlineStr">
        <is>
          <t>smallcap</t>
        </is>
      </c>
      <c r="H215" s="32" t="n">
        <v>2271.68</v>
      </c>
      <c r="I215" s="32" t="n">
        <v>175.21</v>
      </c>
      <c r="J215" s="32" t="n">
        <v>2</v>
      </c>
      <c r="K215" s="32" t="n">
        <v>863910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56.6</v>
      </c>
      <c r="P215" s="32" t="n">
        <v>41.22</v>
      </c>
      <c r="Q215" s="32" t="n">
        <v>143.32</v>
      </c>
      <c r="R215" s="31" t="inlineStr">
        <is>
          <t>Earnings / Momentum Support</t>
        </is>
      </c>
      <c r="S215" s="31" t="inlineStr">
        <is>
          <t>Nifty Energy</t>
        </is>
      </c>
      <c r="T215" s="32" t="inlineStr"/>
      <c r="U215" s="32" t="inlineStr"/>
      <c r="V215" s="32" t="inlineStr"/>
      <c r="W215" s="32" t="inlineStr"/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Oligopoly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Yes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Volatile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IF(B216=0,"",RANK(B216,$B$2:$B$220,0))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RAJRILTD</t>
        </is>
      </c>
      <c r="D216" s="31" t="inlineStr">
        <is>
          <t>Raj Rayon Industries Ltd</t>
        </is>
      </c>
      <c r="E216" s="31" t="inlineStr">
        <is>
          <t>textiles</t>
        </is>
      </c>
      <c r="F216" s="31" t="inlineStr">
        <is>
          <t>textiles - manmade</t>
        </is>
      </c>
      <c r="G216" s="31" t="inlineStr">
        <is>
          <t>smallcap</t>
        </is>
      </c>
      <c r="H216" s="32" t="n">
        <v>1227.27</v>
      </c>
      <c r="I216" s="32" t="n">
        <v>22.51</v>
      </c>
      <c r="J216" s="32" t="n">
        <v>1.99</v>
      </c>
      <c r="K216" s="32" t="n">
        <v>4376</v>
      </c>
      <c r="L216" s="31" t="n">
        <v>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54.59</v>
      </c>
      <c r="P216" s="32" t="n">
        <v>7.57</v>
      </c>
      <c r="Q216" s="32" t="n">
        <v>18.74</v>
      </c>
      <c r="R216" s="31" t="inlineStr">
        <is>
          <t>Earnings / Momentum Support</t>
        </is>
      </c>
      <c r="S216" s="31" t="inlineStr">
        <is>
          <t>Nifty 50</t>
        </is>
      </c>
      <c r="T216" s="32" t="n">
        <v>-12.01</v>
      </c>
      <c r="U216" s="32" t="n">
        <v>-8.9</v>
      </c>
      <c r="V216" s="32" t="n">
        <v>3.53</v>
      </c>
      <c r="W216" s="32" t="n">
        <v>-0.71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1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Between 12 to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More than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IF(B217=0,"",RANK(B217,$B$2:$B$220,0))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UNITEDPOLY</t>
        </is>
      </c>
      <c r="D217" s="31" t="inlineStr">
        <is>
          <t>United Polyfab Gujarat Ltd</t>
        </is>
      </c>
      <c r="E217" s="31" t="inlineStr">
        <is>
          <t>textiles</t>
        </is>
      </c>
      <c r="F217" s="31" t="inlineStr">
        <is>
          <t>textiles - products</t>
        </is>
      </c>
      <c r="G217" s="31" t="inlineStr">
        <is>
          <t>smallcap</t>
        </is>
      </c>
      <c r="H217" s="32" t="n">
        <v>1134.5</v>
      </c>
      <c r="I217" s="32" t="n">
        <v>51.68</v>
      </c>
      <c r="J217" s="32" t="n">
        <v>4.55</v>
      </c>
      <c r="K217" s="32" t="n">
        <v>1238854</v>
      </c>
      <c r="L217" s="31" t="n">
        <v>67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79.61</v>
      </c>
      <c r="P217" s="32" t="n">
        <v>32.81</v>
      </c>
      <c r="Q217" s="32" t="n">
        <v>38.43</v>
      </c>
      <c r="R217" s="31" t="inlineStr">
        <is>
          <t>Volume Spike &amp; Near 52W High Breakout</t>
        </is>
      </c>
      <c r="S217" s="31" t="inlineStr">
        <is>
          <t>Nifty 50</t>
        </is>
      </c>
      <c r="T217" s="32" t="n">
        <v>-12.01</v>
      </c>
      <c r="U217" s="32" t="n">
        <v>21.12</v>
      </c>
      <c r="V217" s="32" t="n">
        <v>37.64</v>
      </c>
      <c r="W217" s="32" t="n">
        <v>23.91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Shallow Cyclical (2 to 3 Years Growth)</t>
        </is>
      </c>
      <c r="AG217" s="31">
        <f>IF(AF217="Structural (10 Years Consistency)",10,IF(AF217="Shallow Cyclical (2 to 3 years growth)",5,0))</f>
        <v/>
      </c>
      <c r="AH217" s="31" t="inlineStr">
        <is>
          <t>Yes due to Product Mix change or Operating Leverage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Allocated capital in Non-core Areas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Sideways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Overhead supply in last 2 years in last 2 years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More than 15%</t>
        </is>
      </c>
      <c r="CC217" s="31">
        <f>IF(CB217="More than 15%",-10,IF(CB217="Less than 15%",10,0))</f>
        <v/>
      </c>
      <c r="CD217" s="31" t="inlineStr">
        <is>
          <t>Yes Upto 10%</t>
        </is>
      </c>
      <c r="CE217" s="31">
        <f>IF(CD217="Yes, more than 10%",-10,IF(CD217="No",10,0))</f>
        <v/>
      </c>
    </row>
    <row r="218">
      <c r="A218" s="31">
        <f>IF(B218=0,"",RANK(B218,$B$2:$B$220,0))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GAEL</t>
        </is>
      </c>
      <c r="D218" s="31" t="inlineStr">
        <is>
          <t>Gujarat Ambuja Exports Limited</t>
        </is>
      </c>
      <c r="E218" s="31" t="inlineStr">
        <is>
          <t>fmcg</t>
        </is>
      </c>
      <c r="F218" s="31" t="inlineStr">
        <is>
          <t>miscellaneous</t>
        </is>
      </c>
      <c r="G218" s="31" t="inlineStr">
        <is>
          <t>midcap</t>
        </is>
      </c>
      <c r="H218" s="32" t="n">
        <v>7946.93</v>
      </c>
      <c r="I218" s="32" t="n">
        <v>178.98</v>
      </c>
      <c r="J218" s="32" t="n">
        <v>3.3</v>
      </c>
      <c r="K218" s="32" t="n">
        <v>2125623</v>
      </c>
      <c r="L218" s="31" t="inlineStr"/>
      <c r="M218" s="31" t="inlineStr"/>
      <c r="N218" s="32">
        <f>IF(M218="Underperforming",-5,IF(L218&gt;=95,15,IF(L218&gt;=90,10,IF(L218&gt;=80,5,0))))</f>
        <v/>
      </c>
      <c r="O218" s="32" t="n">
        <v>61.8</v>
      </c>
      <c r="P218" s="32" t="n">
        <v>23.15</v>
      </c>
      <c r="Q218" s="32" t="n">
        <v>141.22</v>
      </c>
      <c r="R218" s="31" t="inlineStr">
        <is>
          <t>Near 52W High Breakout</t>
        </is>
      </c>
      <c r="S218" s="31" t="inlineStr">
        <is>
          <t>Nifty FMCG</t>
        </is>
      </c>
      <c r="T218" s="32" t="inlineStr"/>
      <c r="U218" s="32" t="inlineStr"/>
      <c r="V218" s="32" t="inlineStr"/>
      <c r="W218" s="32" t="inlineStr"/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Oligopoly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Shallow Cyclical (2 to 3 Years Growth)</t>
        </is>
      </c>
      <c r="AG218" s="31">
        <f>IF(AF218="Structural (10 Years Consistency)",10,IF(AF218="Shallow Cyclical (2 to 3 years growth)",5,0))</f>
        <v/>
      </c>
      <c r="AH218" s="31" t="inlineStr">
        <is>
          <t>Yes due to Product Mix change or Operating Leverage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Allocated capital in Non-core Areas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Sideways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Overhead supply in last 2 years in last 2 years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More than 15%</t>
        </is>
      </c>
      <c r="CC218" s="31">
        <f>IF(CB218="More than 15%",-10,IF(CB218="Less than 15%",10,0))</f>
        <v/>
      </c>
      <c r="CD218" s="31" t="inlineStr">
        <is>
          <t>Yes Upto 10%</t>
        </is>
      </c>
      <c r="CE218" s="31">
        <f>IF(CD218="Yes, more than 10%",-10,IF(CD218="No",10,0))</f>
        <v/>
      </c>
    </row>
    <row r="219">
      <c r="A219" s="31">
        <f>IF(B219=0,"",RANK(B219,$B$2:$B$220,0))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GPPL</t>
        </is>
      </c>
      <c r="D219" s="31" t="inlineStr">
        <is>
          <t>Gujarat Pipavav Port Limited</t>
        </is>
      </c>
      <c r="E219" s="31" t="inlineStr">
        <is>
          <t>transportation</t>
        </is>
      </c>
      <c r="F219" s="31" t="inlineStr">
        <is>
          <t>miscellaneous</t>
        </is>
      </c>
      <c r="G219" s="31" t="inlineStr">
        <is>
          <t>midcap</t>
        </is>
      </c>
      <c r="H219" s="32" t="n">
        <v>8298.25</v>
      </c>
      <c r="I219" s="32" t="n">
        <v>175.53</v>
      </c>
      <c r="J219" s="32" t="n">
        <v>2.26</v>
      </c>
      <c r="K219" s="32" t="n">
        <v>2310397</v>
      </c>
      <c r="L219" s="31" t="n">
        <v>26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70.39</v>
      </c>
      <c r="P219" s="32" t="n">
        <v>24.52</v>
      </c>
      <c r="Q219" s="32" t="n">
        <v>149.39</v>
      </c>
      <c r="R219" s="31" t="inlineStr">
        <is>
          <t>Earnings / Momentum Support</t>
        </is>
      </c>
      <c r="S219" s="31" t="inlineStr">
        <is>
          <t>Nifty 50</t>
        </is>
      </c>
      <c r="T219" s="32" t="n">
        <v>-12.01</v>
      </c>
      <c r="U219" s="32" t="n">
        <v>16.55</v>
      </c>
      <c r="V219" s="32" t="n">
        <v>32.46</v>
      </c>
      <c r="W219" s="32" t="n">
        <v>7.8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Oligopoly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Shallow Cyclical (2 to 3 Years Growth)</t>
        </is>
      </c>
      <c r="AG219" s="31">
        <f>IF(AF219="Structural (10 Years Consistency)",10,IF(AF219="Shallow Cyclical (2 to 3 years growth)",5,0))</f>
        <v/>
      </c>
      <c r="AH219" s="31" t="inlineStr">
        <is>
          <t>Yes due to Product Mix change or Operating Leverage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Volatile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Allocated capital in Non-core Areas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Sideways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Overhead supply in last 2 years in last 2 years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More than 15%</t>
        </is>
      </c>
      <c r="CC219" s="31">
        <f>IF(CB219="More than 15%",-10,IF(CB219="Less than 15%",10,0))</f>
        <v/>
      </c>
      <c r="CD219" s="31" t="inlineStr">
        <is>
          <t>Yes Upto 10%</t>
        </is>
      </c>
      <c r="CE219" s="31">
        <f>IF(CD219="Yes, more than 10%",-10,IF(CD219="No",10,0))</f>
        <v/>
      </c>
    </row>
    <row r="220">
      <c r="A220" s="31">
        <f>IF(B220=0,"",RANK(B220,$B$2:$B$220,0))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FLUOROCHEM</t>
        </is>
      </c>
      <c r="D220" s="31" t="inlineStr">
        <is>
          <t>Gujarat Fluorochemicals Ltd</t>
        </is>
      </c>
      <c r="E220" s="31" t="inlineStr">
        <is>
          <t>chemicals</t>
        </is>
      </c>
      <c r="F220" s="31" t="inlineStr">
        <is>
          <t>chemicals</t>
        </is>
      </c>
      <c r="G220" s="31" t="inlineStr">
        <is>
          <t>largecap</t>
        </is>
      </c>
      <c r="H220" s="32" t="n">
        <v>49990.54</v>
      </c>
      <c r="I220" s="32" t="n">
        <v>4632.1</v>
      </c>
      <c r="J220" s="32" t="n">
        <v>1.79</v>
      </c>
      <c r="K220" s="32" t="n">
        <v>141412</v>
      </c>
      <c r="L220" s="31" t="n">
        <v>24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60.57</v>
      </c>
      <c r="P220" s="32" t="n">
        <v>45.5</v>
      </c>
      <c r="Q220" s="32" t="n">
        <v>3910.08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-12.01</v>
      </c>
      <c r="U220" s="32" t="n">
        <v>24.65</v>
      </c>
      <c r="V220" s="32" t="n">
        <v>41.67</v>
      </c>
      <c r="W220" s="32" t="n">
        <v>7.46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Shallow Cyclical (2 to 3 Years Growth)</t>
        </is>
      </c>
      <c r="AG220" s="31">
        <f>IF(AF220="Structural (10 Years Consistency)",10,IF(AF220="Shallow Cyclical (2 to 3 years growth)",5,0))</f>
        <v/>
      </c>
      <c r="AH220" s="31" t="inlineStr">
        <is>
          <t>Yes due to Product Mix change or Operating Leverage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Allocated capital in Non-core Areas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Sideways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Overhead supply in last 2 years in last 2 years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More than 15%</t>
        </is>
      </c>
      <c r="CC220" s="31">
        <f>IF(CB220="More than 15%",-10,IF(CB220="Less than 15%",10,0))</f>
        <v/>
      </c>
      <c r="CD220" s="31" t="inlineStr">
        <is>
          <t>Yes Upto 10%</t>
        </is>
      </c>
      <c r="CE220" s="31">
        <f>IF(CD220="Yes, more than 10%",-10,IF(CD220="No",10,0))</f>
        <v/>
      </c>
    </row>
  </sheetData>
  <autoFilter ref="A1:CE220"/>
  <conditionalFormatting sqref="B2:B2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20">
    <cfRule type="cellIs" priority="36" operator="equal" dxfId="3" stopIfTrue="1">
      <formula>"Underperforming"</formula>
    </cfRule>
  </conditionalFormatting>
  <conditionalFormatting sqref="N2:N220">
    <cfRule type="cellIs" priority="37" operator="equal" dxfId="3" stopIfTrue="1">
      <formula>-5</formula>
    </cfRule>
  </conditionalFormatting>
  <conditionalFormatting sqref="Q2:Q22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20" showDropDown="0" showInputMessage="0" showErrorMessage="0" allowBlank="1" type="list">
      <formula1>"Growing Industry,Stagnant Industry,Cyclical in an Upturn"</formula1>
    </dataValidation>
    <dataValidation sqref="Z2:Z2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20" showDropDown="0" showInputMessage="0" showErrorMessage="0" allowBlank="1" type="list">
      <formula1>"Yes,No"</formula1>
    </dataValidation>
    <dataValidation sqref="AD2:AD220" showDropDown="0" showInputMessage="0" showErrorMessage="0" allowBlank="1" type="list">
      <formula1>"Tailwind,Headwind"</formula1>
    </dataValidation>
    <dataValidation sqref="AF2:AF220" showDropDown="0" showInputMessage="0" showErrorMessage="0" allowBlank="1" type="list">
      <formula1>"Structural (10 Years Consistency),Shallow Cyclical (2 to 3 Years Growth),Cyclical"</formula1>
    </dataValidation>
    <dataValidation sqref="AH2:AH220" showDropDown="0" showInputMessage="0" showErrorMessage="0" allowBlank="1" type="list">
      <formula1>"Yes due to Product Mix change or Operating Leverage,Yes, these are peak margins,No"</formula1>
    </dataValidation>
    <dataValidation sqref="AJ2:AJ220" showDropDown="0" showInputMessage="0" showErrorMessage="0" allowBlank="1" type="list">
      <formula1>"Stable,Volatile"</formula1>
    </dataValidation>
    <dataValidation sqref="AL2:AL220" showDropDown="0" showInputMessage="0" showErrorMessage="0" allowBlank="1" type="list">
      <formula1>"Yes,No"</formula1>
    </dataValidation>
    <dataValidation sqref="AN2:AN220" showDropDown="0" showInputMessage="0" showErrorMessage="0" allowBlank="1" type="list">
      <formula1>"B2C,B2B,B2G"</formula1>
    </dataValidation>
    <dataValidation sqref="AP2:AP220" showDropDown="0" showInputMessage="0" showErrorMessage="0" allowBlank="1" type="list">
      <formula1>"Yes,No"</formula1>
    </dataValidation>
    <dataValidation sqref="AR2:AR220" showDropDown="0" showInputMessage="0" showErrorMessage="0" allowBlank="1" type="list">
      <formula1>"Fully Annuity,Higher Annuity, Lower One time,Higher One Time, Lower Annuity,Fully One Time"</formula1>
    </dataValidation>
    <dataValidation sqref="AT2:AT220" showDropDown="0" showInputMessage="0" showErrorMessage="0" allowBlank="1" type="list">
      <formula1>"Good,Allocated capital in Non-core Areas"</formula1>
    </dataValidation>
    <dataValidation sqref="AV2:AV220" showDropDown="0" showInputMessage="0" showErrorMessage="0" allowBlank="1" type="list">
      <formula1>"Yes for more than 2 years,Yes only for next 1 to 2 years,No"</formula1>
    </dataValidation>
    <dataValidation sqref="AX2:AX220" showDropDown="0" showInputMessage="0" showErrorMessage="0" allowBlank="1" type="list">
      <formula1>"Above 40,20 to 40,0 to 20"</formula1>
    </dataValidation>
    <dataValidation sqref="AZ2:AZ220" showDropDown="0" showInputMessage="0" showErrorMessage="0" allowBlank="1" type="list">
      <formula1>"Between 50 to 75,Above 75,Below 45"</formula1>
    </dataValidation>
    <dataValidation sqref="BB2:BB220" showDropDown="0" showInputMessage="0" showErrorMessage="0" allowBlank="1" type="list">
      <formula1>"Stage 1,Stage 2,Stage 3,Stage 4"</formula1>
    </dataValidation>
    <dataValidation sqref="BD2:BD220" showDropDown="0" showInputMessage="0" showErrorMessage="0" allowBlank="1" type="list">
      <formula1>"Positive Trend,Negative Trend"</formula1>
    </dataValidation>
    <dataValidation sqref="BF2:BF220" showDropDown="0" showInputMessage="0" showErrorMessage="0" allowBlank="1" type="list">
      <formula1>"Uptrend,Sideways,Downtrend"</formula1>
    </dataValidation>
    <dataValidation sqref="BH2:BH220" showDropDown="0" showInputMessage="0" showErrorMessage="0" allowBlank="1" type="list">
      <formula1>"Uptrend,Sideways,Downtrend"</formula1>
    </dataValidation>
    <dataValidation sqref="BJ2:BJ2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20" showDropDown="0" showInputMessage="0" showErrorMessage="0" allowBlank="1" type="list">
      <formula1>"Yes,No"</formula1>
    </dataValidation>
    <dataValidation sqref="BN2:BN220" showDropDown="0" showInputMessage="0" showErrorMessage="0" allowBlank="1" type="list">
      <formula1>"More than 20%,Between 12 to 20%,Less than 12%"</formula1>
    </dataValidation>
    <dataValidation sqref="BP2:BP220" showDropDown="0" showInputMessage="0" showErrorMessage="0" allowBlank="1" type="list">
      <formula1>"Yes,No"</formula1>
    </dataValidation>
    <dataValidation sqref="BR2:BR220" showDropDown="0" showInputMessage="0" showErrorMessage="0" allowBlank="1" type="list">
      <formula1>"Yes,No"</formula1>
    </dataValidation>
    <dataValidation sqref="BT2:BT220" showDropDown="0" showInputMessage="0" showErrorMessage="0" allowBlank="1" type="list">
      <formula1>"Above 2,Between 1.5 to 2,Less than 1.5"</formula1>
    </dataValidation>
    <dataValidation sqref="BV2:BV220" showDropDown="0" showInputMessage="0" showErrorMessage="0" allowBlank="1" type="list">
      <formula1>"Above 70%,Between 50% to 70%,Less than 50%,Less than 50% and Borrowings are increasing,Negative"</formula1>
    </dataValidation>
    <dataValidation sqref="BX2:BX220" showDropDown="0" showInputMessage="0" showErrorMessage="0" allowBlank="1" type="list">
      <formula1>"More than 1.2,Between 0.7 to 1.2,Less than 0.7"</formula1>
    </dataValidation>
    <dataValidation sqref="BZ2:BZ220" showDropDown="0" showInputMessage="0" showErrorMessage="0" allowBlank="1" type="list">
      <formula1>"Yes,No"</formula1>
    </dataValidation>
    <dataValidation sqref="CB2:CB220" showDropDown="0" showInputMessage="0" showErrorMessage="0" allowBlank="1" type="list">
      <formula1>"More than 15%,Less than 15%"</formula1>
    </dataValidation>
    <dataValidation sqref="CD2:CD2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IF(B2=0,"",RANK(B2,$B$2:$B$24,0))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12951.57</v>
      </c>
      <c r="I2" s="32" t="n">
        <v>339.2</v>
      </c>
      <c r="J2" s="32" t="n">
        <v>-0.95</v>
      </c>
      <c r="K2" s="32" t="n">
        <v>1343039</v>
      </c>
      <c r="L2" s="31" t="n">
        <v>61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69.45</v>
      </c>
      <c r="P2" s="32" t="n">
        <v>58.64</v>
      </c>
      <c r="Q2" s="32" t="n">
        <v>280.55</v>
      </c>
      <c r="R2" s="31" t="inlineStr">
        <is>
          <t>Near 52W High Breakout</t>
        </is>
      </c>
      <c r="S2" s="31" t="inlineStr">
        <is>
          <t>Nifty Bank</t>
        </is>
      </c>
      <c r="T2" s="32" t="n">
        <v>-4.15</v>
      </c>
      <c r="U2" s="32" t="n">
        <v>100.37</v>
      </c>
      <c r="V2" s="32" t="n">
        <v>109.05</v>
      </c>
      <c r="W2" s="32" t="n">
        <v>20.63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IF(B3=0,"",RANK(B3,$B$2:$B$24,0))</f>
        <v/>
      </c>
      <c r="B3" s="32">
        <f>SUM(N3,Y3,AA3,AC3,AE3,AG3,AI3,AK3,AM3,AO3,AQ3,AS3,AU3,AW3,AY3,BA3,BC3,BE3,BG3,BI3,BK3,BM3,BO3,BQ3,BS3,BU3,BW3,BY3,CA3)</f>
        <v/>
      </c>
      <c r="C3" s="31" t="inlineStr">
        <is>
          <t>MANBA</t>
        </is>
      </c>
      <c r="D3" s="31" t="inlineStr">
        <is>
          <t>Manba Finance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706.72</v>
      </c>
      <c r="I3" s="32" t="n">
        <v>140.06</v>
      </c>
      <c r="J3" s="32" t="n">
        <v>-0.43</v>
      </c>
      <c r="K3" s="32" t="n">
        <v>100741</v>
      </c>
      <c r="L3" s="31" t="n">
        <v>10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61.95</v>
      </c>
      <c r="P3" s="32" t="n">
        <v>40.67</v>
      </c>
      <c r="Q3" s="32" t="n">
        <v>112.93</v>
      </c>
      <c r="R3" s="31" t="inlineStr">
        <is>
          <t>Near 52W High Breakout</t>
        </is>
      </c>
      <c r="S3" s="31" t="inlineStr">
        <is>
          <t>Nifty Bank</t>
        </is>
      </c>
      <c r="T3" s="32" t="n">
        <v>-4.15</v>
      </c>
      <c r="U3" s="32" t="n">
        <v>5.99</v>
      </c>
      <c r="V3" s="32" t="n">
        <v>10.58</v>
      </c>
      <c r="W3" s="32" t="n">
        <v>2.58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IF(B4=0,"",RANK(B4,$B$2:$B$24,0))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SMCGLOBAL</t>
        </is>
      </c>
      <c r="D4" s="31" t="inlineStr">
        <is>
          <t>SMC Global Securities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2458.15</v>
      </c>
      <c r="I4" s="32" t="n">
        <v>115.18</v>
      </c>
      <c r="J4" s="32" t="n">
        <v>-1.88</v>
      </c>
      <c r="K4" s="32" t="n">
        <v>4858493</v>
      </c>
      <c r="L4" s="31" t="n">
        <v>64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76.15000000000001</v>
      </c>
      <c r="P4" s="32" t="n">
        <v>43.19</v>
      </c>
      <c r="Q4" s="32" t="n">
        <v>87.06</v>
      </c>
      <c r="R4" s="31" t="inlineStr">
        <is>
          <t>Near 52W High Breakout</t>
        </is>
      </c>
      <c r="S4" s="31" t="inlineStr">
        <is>
          <t>Nifty Bank</t>
        </is>
      </c>
      <c r="T4" s="32" t="n">
        <v>-4.15</v>
      </c>
      <c r="U4" s="32" t="n">
        <v>72.52</v>
      </c>
      <c r="V4" s="32" t="n">
        <v>80</v>
      </c>
      <c r="W4" s="32" t="n">
        <v>21.87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IF(B5=0,"",RANK(B5,$B$2:$B$24,0))</f>
        <v/>
      </c>
      <c r="B5" s="32">
        <f>SUM(N5,Y5,AA5,AC5,AE5,AG5,AI5,AK5,AM5,AO5,AQ5,AS5,AU5,AW5,AY5,BA5,BC5,BE5,BG5,BI5,BK5,BM5,BO5,BQ5,BS5,BU5,BW5,BY5,CA5)</f>
        <v/>
      </c>
      <c r="C5" s="31" t="inlineStr">
        <is>
          <t>KARURVYSYA</t>
        </is>
      </c>
      <c r="D5" s="31" t="inlineStr">
        <is>
          <t>Karur Vysya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33698.07</v>
      </c>
      <c r="I5" s="32" t="n">
        <v>341.25</v>
      </c>
      <c r="J5" s="32" t="n">
        <v>-2.11</v>
      </c>
      <c r="K5" s="32" t="n">
        <v>2363970</v>
      </c>
      <c r="L5" s="31" t="n">
        <v>36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62.51</v>
      </c>
      <c r="P5" s="32" t="n">
        <v>31.61</v>
      </c>
      <c r="Q5" s="32" t="n">
        <v>291.67</v>
      </c>
      <c r="R5" s="31" t="inlineStr">
        <is>
          <t>Near 52W High Breakout</t>
        </is>
      </c>
      <c r="S5" s="31" t="inlineStr">
        <is>
          <t>Nifty Bank</t>
        </is>
      </c>
      <c r="T5" s="32" t="n">
        <v>-4.15</v>
      </c>
      <c r="U5" s="32" t="n">
        <v>51.24</v>
      </c>
      <c r="V5" s="32" t="n">
        <v>57.79</v>
      </c>
      <c r="W5" s="32" t="n">
        <v>11.01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IF(B6=0,"",RANK(B6,$B$2:$B$24,0))</f>
        <v/>
      </c>
      <c r="B6" s="32">
        <f>SUM(N6,Y6,AA6,AC6,AE6,AG6,AI6,AK6,AM6,AO6,AQ6,AS6,AU6,AW6,AY6,BA6,BC6,BE6,BG6,BI6,BK6,BM6,BO6,BQ6,BS6,BU6,BW6,BY6,CA6)</f>
        <v/>
      </c>
      <c r="C6" s="31" t="inlineStr">
        <is>
          <t>ARIHANTCAP</t>
        </is>
      </c>
      <c r="D6" s="31" t="inlineStr">
        <is>
          <t>Arihant Capital Markets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1055.68</v>
      </c>
      <c r="I6" s="32" t="n">
        <v>98.61</v>
      </c>
      <c r="J6" s="32" t="n">
        <v>2.39</v>
      </c>
      <c r="K6" s="32" t="n">
        <v>1002301</v>
      </c>
      <c r="L6" s="31" t="n">
        <v>29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69.06999999999999</v>
      </c>
      <c r="P6" s="32" t="n">
        <v>24.42</v>
      </c>
      <c r="Q6" s="32" t="n">
        <v>76.65000000000001</v>
      </c>
      <c r="R6" s="31" t="inlineStr">
        <is>
          <t>Near 52W High Breakout</t>
        </is>
      </c>
      <c r="S6" s="31" t="inlineStr">
        <is>
          <t>Nifty Bank</t>
        </is>
      </c>
      <c r="T6" s="32" t="n">
        <v>-4.15</v>
      </c>
      <c r="U6" s="32" t="n">
        <v>-0.51</v>
      </c>
      <c r="V6" s="32" t="n">
        <v>3.8</v>
      </c>
      <c r="W6" s="32" t="n">
        <v>8.81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IF(B7=0,"",RANK(B7,$B$2:$B$24,0))</f>
        <v/>
      </c>
      <c r="B7" s="32">
        <f>SUM(N7,Y7,AA7,AC7,AE7,AG7,AI7,AK7,AM7,AO7,AQ7,AS7,AU7,AW7,AY7,BA7,BC7,BE7,BG7,BI7,BK7,BM7,BO7,BQ7,BS7,BU7,BW7,BY7,CA7)</f>
        <v/>
      </c>
      <c r="C7" s="31" t="inlineStr">
        <is>
          <t>ESAFSFB</t>
        </is>
      </c>
      <c r="D7" s="31" t="inlineStr">
        <is>
          <t>ESAF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smallcap</t>
        </is>
      </c>
      <c r="H7" s="32" t="n">
        <v>2256.77</v>
      </c>
      <c r="I7" s="32" t="n">
        <v>44.39</v>
      </c>
      <c r="J7" s="32" t="n">
        <v>1.49</v>
      </c>
      <c r="K7" s="32" t="n">
        <v>363676</v>
      </c>
      <c r="L7" s="31" t="n">
        <v>52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63.76</v>
      </c>
      <c r="P7" s="32" t="n">
        <v>38.46</v>
      </c>
      <c r="Q7" s="32" t="n">
        <v>33.22</v>
      </c>
      <c r="R7" s="31" t="inlineStr">
        <is>
          <t>Near 52W High Breakout</t>
        </is>
      </c>
      <c r="S7" s="31" t="inlineStr">
        <is>
          <t>Nifty Bank</t>
        </is>
      </c>
      <c r="T7" s="32" t="n">
        <v>-4.15</v>
      </c>
      <c r="U7" s="32" t="n">
        <v>57.86</v>
      </c>
      <c r="V7" s="32" t="n">
        <v>64.7</v>
      </c>
      <c r="W7" s="32" t="n">
        <v>16.93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IF(B8=0,"",RANK(B8,$B$2:$B$24,0))</f>
        <v/>
      </c>
      <c r="B8" s="32">
        <f>SUM(N8,Y8,AA8,AC8,AE8,AG8,AI8,AK8,AM8,AO8,AQ8,AS8,AU8,AW8,AY8,BA8,BC8,BE8,BG8,BI8,BK8,BM8,BO8,BQ8,BS8,BU8,BW8,BY8,CA8)</f>
        <v/>
      </c>
      <c r="C8" s="31" t="inlineStr">
        <is>
          <t>DHANBANK</t>
        </is>
      </c>
      <c r="D8" s="31" t="inlineStr">
        <is>
          <t>Dhanlaxmi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1360.92</v>
      </c>
      <c r="I8" s="32" t="n">
        <v>34.41</v>
      </c>
      <c r="J8" s="32" t="n">
        <v>-0.2</v>
      </c>
      <c r="K8" s="32" t="n">
        <v>1741819</v>
      </c>
      <c r="L8" s="31" t="n">
        <v>24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58.8</v>
      </c>
      <c r="P8" s="32" t="n">
        <v>22.8</v>
      </c>
      <c r="Q8" s="32" t="n">
        <v>25.42</v>
      </c>
      <c r="R8" s="31" t="inlineStr">
        <is>
          <t>Near 52W High Breakout</t>
        </is>
      </c>
      <c r="S8" s="31" t="inlineStr">
        <is>
          <t>Nifty Bank</t>
        </is>
      </c>
      <c r="T8" s="32" t="n">
        <v>-4.15</v>
      </c>
      <c r="U8" s="32" t="n">
        <v>38.03</v>
      </c>
      <c r="V8" s="32" t="n">
        <v>44.01</v>
      </c>
      <c r="W8" s="32" t="n">
        <v>7.38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IF(B9=0,"",RANK(B9,$B$2:$B$24,0))</f>
        <v/>
      </c>
      <c r="B9" s="32">
        <f>SUM(N9,Y9,AA9,AC9,AE9,AG9,AI9,AK9,AM9,AO9,AQ9,AS9,AU9,AW9,AY9,BA9,BC9,BE9,BG9,BI9,BK9,BM9,BO9,BQ9,BS9,BU9,BW9,BY9,CA9)</f>
        <v/>
      </c>
      <c r="C9" s="31" t="inlineStr">
        <is>
          <t>MUFIN</t>
        </is>
      </c>
      <c r="D9" s="31" t="inlineStr">
        <is>
          <t>Mufin Green Finance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2725.32</v>
      </c>
      <c r="I9" s="32" t="n">
        <v>140.2</v>
      </c>
      <c r="J9" s="32" t="n">
        <v>1.94</v>
      </c>
      <c r="K9" s="32" t="n">
        <v>1064428</v>
      </c>
      <c r="L9" s="31" t="n">
        <v>31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63.53</v>
      </c>
      <c r="P9" s="32" t="n">
        <v>29.3</v>
      </c>
      <c r="Q9" s="32" t="n">
        <v>116.43</v>
      </c>
      <c r="R9" s="31" t="inlineStr">
        <is>
          <t>Near 52W High Breakout</t>
        </is>
      </c>
      <c r="S9" s="31" t="inlineStr">
        <is>
          <t>Nifty Bank</t>
        </is>
      </c>
      <c r="T9" s="32" t="n">
        <v>-4.15</v>
      </c>
      <c r="U9" s="32" t="n">
        <v>44.54</v>
      </c>
      <c r="V9" s="32" t="n">
        <v>50.8</v>
      </c>
      <c r="W9" s="32" t="n">
        <v>9.720000000000001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IF(B10=0,"",RANK(B10,$B$2:$B$24,0))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SGFIN</t>
        </is>
      </c>
      <c r="D10" s="31" t="inlineStr">
        <is>
          <t>SG Finserve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4480.86</v>
      </c>
      <c r="I10" s="32" t="n">
        <v>689.45</v>
      </c>
      <c r="J10" s="32" t="n">
        <v>1.39</v>
      </c>
      <c r="K10" s="32" t="n">
        <v>303616</v>
      </c>
      <c r="L10" s="31" t="n">
        <v>47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62.63</v>
      </c>
      <c r="P10" s="32" t="n">
        <v>27.65</v>
      </c>
      <c r="Q10" s="32" t="n">
        <v>530.86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-4.15</v>
      </c>
      <c r="U10" s="32" t="n">
        <v>86.19</v>
      </c>
      <c r="V10" s="32" t="n">
        <v>94.26000000000001</v>
      </c>
      <c r="W10" s="32" t="n">
        <v>15.6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IF(B11=0,"",RANK(B11,$B$2:$B$24,0))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TFCILTD</t>
        </is>
      </c>
      <c r="D11" s="31" t="inlineStr">
        <is>
          <t>Tourism Finance Corporation Of India Limited</t>
        </is>
      </c>
      <c r="E11" s="31" t="inlineStr">
        <is>
          <t>financials</t>
        </is>
      </c>
      <c r="F11" s="31" t="inlineStr">
        <is>
          <t>finance - term-lending institutions</t>
        </is>
      </c>
      <c r="G11" s="31" t="inlineStr">
        <is>
          <t>midcap</t>
        </is>
      </c>
      <c r="H11" s="32" t="n">
        <v>7346.99</v>
      </c>
      <c r="I11" s="32" t="n">
        <v>160.8</v>
      </c>
      <c r="J11" s="32" t="n">
        <v>1.33</v>
      </c>
      <c r="K11" s="32" t="n">
        <v>14513536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85.89</v>
      </c>
      <c r="P11" s="32" t="n">
        <v>76.20999999999999</v>
      </c>
      <c r="Q11" s="32" t="n">
        <v>129.48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-4.15</v>
      </c>
      <c r="U11" s="32" t="n">
        <v>119.95</v>
      </c>
      <c r="V11" s="32" t="n">
        <v>129.48</v>
      </c>
      <c r="W11" s="32" t="n">
        <v>39.28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IF(B12=0,"",RANK(B12,$B$2:$B$24,0))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SOUTHBANK</t>
        </is>
      </c>
      <c r="D12" s="31" t="inlineStr">
        <is>
          <t>The South Indian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midcap</t>
        </is>
      </c>
      <c r="H12" s="32" t="n">
        <v>12862.56</v>
      </c>
      <c r="I12" s="32" t="n">
        <v>49.64</v>
      </c>
      <c r="J12" s="32" t="n">
        <v>1.04</v>
      </c>
      <c r="K12" s="32" t="n">
        <v>12663720</v>
      </c>
      <c r="L12" s="31" t="n">
        <v>41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63.09</v>
      </c>
      <c r="P12" s="32" t="n">
        <v>39.29</v>
      </c>
      <c r="Q12" s="32" t="n">
        <v>40.63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-4.15</v>
      </c>
      <c r="U12" s="32" t="n">
        <v>53.53</v>
      </c>
      <c r="V12" s="32" t="n">
        <v>60.19</v>
      </c>
      <c r="W12" s="32" t="n">
        <v>12.52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IF(B13=0,"",RANK(B13,$B$2:$B$24,0))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KOTAKBANK</t>
        </is>
      </c>
      <c r="D13" s="31" t="inlineStr">
        <is>
          <t>Kotak Mahindra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436660.53</v>
      </c>
      <c r="I13" s="32" t="n">
        <v>438.05</v>
      </c>
      <c r="J13" s="32" t="n">
        <v>-0.22</v>
      </c>
      <c r="K13" s="32" t="n">
        <v>24974530</v>
      </c>
      <c r="L13" s="31" t="n">
        <v>11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63.05</v>
      </c>
      <c r="P13" s="32" t="n">
        <v>14.78</v>
      </c>
      <c r="Q13" s="32" t="n">
        <v>384.36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-4.15</v>
      </c>
      <c r="U13" s="32" t="n">
        <v>-0.53</v>
      </c>
      <c r="V13" s="32" t="n">
        <v>3.78</v>
      </c>
      <c r="W13" s="32" t="n">
        <v>2.6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IF(B14=0,"",RANK(B14,$B$2:$B$24,0))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PNBHOUSING</t>
        </is>
      </c>
      <c r="D14" s="31" t="inlineStr">
        <is>
          <t>Pnb Housing Finance Limited</t>
        </is>
      </c>
      <c r="E14" s="31" t="inlineStr">
        <is>
          <t>financials</t>
        </is>
      </c>
      <c r="F14" s="31" t="inlineStr">
        <is>
          <t>finance - housing</t>
        </is>
      </c>
      <c r="G14" s="31" t="inlineStr">
        <is>
          <t>largecap</t>
        </is>
      </c>
      <c r="H14" s="32" t="n">
        <v>31917.05</v>
      </c>
      <c r="I14" s="32" t="n">
        <v>1200</v>
      </c>
      <c r="J14" s="32" t="n">
        <v>-2.02</v>
      </c>
      <c r="K14" s="32" t="n">
        <v>735608</v>
      </c>
      <c r="L14" s="31" t="n">
        <v>32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65.91</v>
      </c>
      <c r="P14" s="32" t="n">
        <v>32.25</v>
      </c>
      <c r="Q14" s="32" t="n">
        <v>992.1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-4.15</v>
      </c>
      <c r="U14" s="32" t="n">
        <v>44.17</v>
      </c>
      <c r="V14" s="32" t="n">
        <v>50.42</v>
      </c>
      <c r="W14" s="32" t="n">
        <v>9.94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IF(B15=0,"",RANK(B15,$B$2:$B$24,0))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FEDFINA</t>
        </is>
      </c>
      <c r="D15" s="31" t="inlineStr">
        <is>
          <t>Fedbank Financial Services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midcap</t>
        </is>
      </c>
      <c r="H15" s="32" t="n">
        <v>5656.96</v>
      </c>
      <c r="I15" s="32" t="n">
        <v>159.94</v>
      </c>
      <c r="J15" s="32" t="n">
        <v>6</v>
      </c>
      <c r="K15" s="32" t="n">
        <v>2433865</v>
      </c>
      <c r="L15" s="31" t="n">
        <v>7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56.87</v>
      </c>
      <c r="P15" s="32" t="n">
        <v>23.85</v>
      </c>
      <c r="Q15" s="32" t="n">
        <v>127.43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-4.15</v>
      </c>
      <c r="U15" s="32" t="n">
        <v>6.67</v>
      </c>
      <c r="V15" s="32" t="n">
        <v>11.29</v>
      </c>
      <c r="W15" s="32" t="n">
        <v>1.63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1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IF(B16=0,"",RANK(B16,$B$2:$B$24,0))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PNB</t>
        </is>
      </c>
      <c r="D16" s="31" t="inlineStr">
        <is>
          <t>Punjab National Bank Ltd</t>
        </is>
      </c>
      <c r="E16" s="31" t="inlineStr">
        <is>
          <t>bank</t>
        </is>
      </c>
      <c r="F16" s="31" t="inlineStr">
        <is>
          <t>banks - public sector</t>
        </is>
      </c>
      <c r="G16" s="31" t="inlineStr">
        <is>
          <t>largecap</t>
        </is>
      </c>
      <c r="H16" s="32" t="n">
        <v>133950.25</v>
      </c>
      <c r="I16" s="32" t="n">
        <v>118.5</v>
      </c>
      <c r="J16" s="32" t="n">
        <v>1.67</v>
      </c>
      <c r="K16" s="32" t="n">
        <v>21611333</v>
      </c>
      <c r="L16" s="31" t="n">
        <v>18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58.08</v>
      </c>
      <c r="P16" s="32" t="n">
        <v>10.28</v>
      </c>
      <c r="Q16" s="32" t="n">
        <v>102.37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-4.15</v>
      </c>
      <c r="U16" s="32" t="n">
        <v>7.25</v>
      </c>
      <c r="V16" s="32" t="n">
        <v>11.9</v>
      </c>
      <c r="W16" s="32" t="n">
        <v>4.41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IF(B17=0,"",RANK(B17,$B$2:$B$24,0))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PRIMESECU</t>
        </is>
      </c>
      <c r="D17" s="31" t="inlineStr">
        <is>
          <t>Prime Securities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1017.19</v>
      </c>
      <c r="I17" s="32" t="n">
        <v>302.6</v>
      </c>
      <c r="J17" s="32" t="n">
        <v>0.97</v>
      </c>
      <c r="K17" s="32" t="n">
        <v>10607</v>
      </c>
      <c r="L17" s="31" t="n">
        <v>12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57.84</v>
      </c>
      <c r="P17" s="32" t="n">
        <v>34.94</v>
      </c>
      <c r="Q17" s="32" t="n">
        <v>237.38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-4.15</v>
      </c>
      <c r="U17" s="32" t="n">
        <v>7.23</v>
      </c>
      <c r="V17" s="32" t="n">
        <v>11.88</v>
      </c>
      <c r="W17" s="32" t="n">
        <v>2.96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IF(B18=0,"",RANK(B18,$B$2:$B$24,0))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GCSL</t>
        </is>
      </c>
      <c r="D18" s="31" t="inlineStr">
        <is>
          <t>Gretex Corporate Services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1842.02</v>
      </c>
      <c r="I18" s="32" t="n">
        <v>739</v>
      </c>
      <c r="J18" s="32" t="n">
        <v>0.32</v>
      </c>
      <c r="K18" s="32" t="n">
        <v>328605</v>
      </c>
      <c r="L18" s="31" t="n">
        <v>89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83.94</v>
      </c>
      <c r="P18" s="32" t="n">
        <v>35.34</v>
      </c>
      <c r="Q18" s="32" t="n">
        <v>609.64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-4.15</v>
      </c>
      <c r="U18" s="32" t="n">
        <v>235.61</v>
      </c>
      <c r="V18" s="32" t="n">
        <v>250.15</v>
      </c>
      <c r="W18" s="32" t="n">
        <v>37.96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Above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IF(B19=0,"",RANK(B19,$B$2:$B$24,0))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IIFLCAPS</t>
        </is>
      </c>
      <c r="D19" s="31" t="inlineStr">
        <is>
          <t>IIFL Capital Services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midcap</t>
        </is>
      </c>
      <c r="H19" s="32" t="n">
        <v>10749.79</v>
      </c>
      <c r="I19" s="32" t="n">
        <v>346.3</v>
      </c>
      <c r="J19" s="32" t="n">
        <v>0.98</v>
      </c>
      <c r="K19" s="32" t="n">
        <v>906661</v>
      </c>
      <c r="L19" s="31" t="n">
        <v>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57.26</v>
      </c>
      <c r="P19" s="32" t="n">
        <v>21.54</v>
      </c>
      <c r="Q19" s="32" t="n">
        <v>307.31</v>
      </c>
      <c r="R19" s="31" t="inlineStr">
        <is>
          <t>Earnings / Momentum Support</t>
        </is>
      </c>
      <c r="S19" s="31" t="inlineStr">
        <is>
          <t>Nifty Bank</t>
        </is>
      </c>
      <c r="T19" s="32" t="n">
        <v>-4.15</v>
      </c>
      <c r="U19" s="32" t="n">
        <v>2.53</v>
      </c>
      <c r="V19" s="32" t="n">
        <v>6.97</v>
      </c>
      <c r="W19" s="32" t="n">
        <v>1.52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IF(B20=0,"",RANK(B20,$B$2:$B$24,0))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VHL</t>
        </is>
      </c>
      <c r="D20" s="33" t="inlineStr">
        <is>
          <t>Vardhman Holdings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1154.73</v>
      </c>
      <c r="I20" s="32" t="n">
        <v>3711</v>
      </c>
      <c r="J20" s="32" t="n">
        <v>2.57</v>
      </c>
      <c r="K20" s="32" t="n">
        <v>2827</v>
      </c>
      <c r="L20" s="31" t="n">
        <v>5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59.15</v>
      </c>
      <c r="P20" s="32" t="n">
        <v>8</v>
      </c>
      <c r="Q20" s="32" t="n">
        <v>3077.44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-4.15</v>
      </c>
      <c r="U20" s="32" t="n">
        <v>-5.31</v>
      </c>
      <c r="V20" s="32" t="n">
        <v>-1.21</v>
      </c>
      <c r="W20" s="32" t="n">
        <v>0.34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1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IF(B21=0,"",RANK(B21,$B$2:$B$24,0))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INDIANB</t>
        </is>
      </c>
      <c r="D21" s="31" t="inlineStr">
        <is>
          <t>Indian Bank Ltd</t>
        </is>
      </c>
      <c r="E21" s="31" t="inlineStr">
        <is>
          <t>bank</t>
        </is>
      </c>
      <c r="F21" s="31" t="inlineStr">
        <is>
          <t>banks - public sector</t>
        </is>
      </c>
      <c r="G21" s="31" t="inlineStr">
        <is>
          <t>largecap</t>
        </is>
      </c>
      <c r="H21" s="32" t="n">
        <v>113353.75</v>
      </c>
      <c r="I21" s="32" t="n">
        <v>849.45</v>
      </c>
      <c r="J21" s="32" t="n">
        <v>0.9399999999999999</v>
      </c>
      <c r="K21" s="32" t="n">
        <v>1467309</v>
      </c>
      <c r="L21" s="31" t="n">
        <v>11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50.86</v>
      </c>
      <c r="P21" s="32" t="n">
        <v>12.17</v>
      </c>
      <c r="Q21" s="32" t="n">
        <v>754.27</v>
      </c>
      <c r="R21" s="31" t="inlineStr">
        <is>
          <t>Earnings / Momentum Support</t>
        </is>
      </c>
      <c r="S21" s="31" t="inlineStr">
        <is>
          <t>Nifty Bank</t>
        </is>
      </c>
      <c r="T21" s="32" t="n">
        <v>-4.15</v>
      </c>
      <c r="U21" s="32" t="n">
        <v>10.89</v>
      </c>
      <c r="V21" s="32" t="n">
        <v>15.7</v>
      </c>
      <c r="W21" s="32" t="n">
        <v>2.75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1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IF(B22=0,"",RANK(B22,$B$2:$B$24,0))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AXISBANK</t>
        </is>
      </c>
      <c r="D22" s="31" t="inlineStr">
        <is>
          <t>Axis Bank Limited</t>
        </is>
      </c>
      <c r="E22" s="31" t="inlineStr">
        <is>
          <t>bank</t>
        </is>
      </c>
      <c r="F22" s="31" t="inlineStr">
        <is>
          <t>banks - private sector</t>
        </is>
      </c>
      <c r="G22" s="31" t="inlineStr">
        <is>
          <t>largecap</t>
        </is>
      </c>
      <c r="H22" s="32" t="n">
        <v>394940.41</v>
      </c>
      <c r="I22" s="32" t="n">
        <v>1264.6</v>
      </c>
      <c r="J22" s="32" t="n">
        <v>-0.3</v>
      </c>
      <c r="K22" s="32" t="n">
        <v>11522506</v>
      </c>
      <c r="L22" s="31" t="n">
        <v>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50.01</v>
      </c>
      <c r="P22" s="32" t="n">
        <v>11.47</v>
      </c>
      <c r="Q22" s="32" t="n">
        <v>1164.26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-4.15</v>
      </c>
      <c r="U22" s="32" t="n">
        <v>5.45</v>
      </c>
      <c r="V22" s="32" t="n">
        <v>10.02</v>
      </c>
      <c r="W22" s="32" t="n">
        <v>0.21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1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IF(B23=0,"",RANK(B23,$B$2:$B$24,0))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5PAISA</t>
        </is>
      </c>
      <c r="D23" s="31" t="inlineStr">
        <is>
          <t>5Paisa Capital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1634.78</v>
      </c>
      <c r="I23" s="32" t="n">
        <v>351.15</v>
      </c>
      <c r="J23" s="32" t="n">
        <v>0.7</v>
      </c>
      <c r="K23" s="32" t="n">
        <v>19824</v>
      </c>
      <c r="L23" s="31" t="n">
        <v>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52.83</v>
      </c>
      <c r="P23" s="32" t="n">
        <v>18.59</v>
      </c>
      <c r="Q23" s="32" t="n">
        <v>290.86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-4.15</v>
      </c>
      <c r="U23" s="32" t="n">
        <v>12.26</v>
      </c>
      <c r="V23" s="32" t="n">
        <v>17.13</v>
      </c>
      <c r="W23" s="32" t="n">
        <v>2.25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1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IF(B24=0,"",RANK(B24,$B$2:$B$24,0))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ANGELONE</t>
        </is>
      </c>
      <c r="D24" s="31" t="inlineStr">
        <is>
          <t>Angel One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28319.09</v>
      </c>
      <c r="I24" s="32" t="n">
        <v>306.05</v>
      </c>
      <c r="J24" s="32" t="n">
        <v>-1.27</v>
      </c>
      <c r="K24" s="32" t="n">
        <v>3485802</v>
      </c>
      <c r="L24" s="31" t="n">
        <v>15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52.91</v>
      </c>
      <c r="P24" s="32" t="n">
        <v>9.85</v>
      </c>
      <c r="Q24" s="32" t="n">
        <v>258.26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-4.15</v>
      </c>
      <c r="U24" s="32" t="n">
        <v>24.96</v>
      </c>
      <c r="V24" s="32" t="n">
        <v>30.37</v>
      </c>
      <c r="W24" s="32" t="n">
        <v>3.59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1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</sheetData>
  <autoFilter ref="A1:CA24"/>
  <conditionalFormatting sqref="B2:B2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4">
    <cfRule type="cellIs" priority="34" operator="equal" dxfId="3" stopIfTrue="1">
      <formula>"Underperforming"</formula>
    </cfRule>
  </conditionalFormatting>
  <conditionalFormatting sqref="N2:N24">
    <cfRule type="cellIs" priority="35" operator="equal" dxfId="3" stopIfTrue="1">
      <formula>-5</formula>
    </cfRule>
  </conditionalFormatting>
  <conditionalFormatting sqref="Q2:Q2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4" showDropDown="0" showInputMessage="0" showErrorMessage="0" allowBlank="1" type="list">
      <formula1>"Growing Industry,Stagnant Industry,Cyclical in an Upturn"</formula1>
    </dataValidation>
    <dataValidation sqref="Z2:Z24" showDropDown="0" showInputMessage="0" showErrorMessage="0" allowBlank="1" type="list">
      <formula1>"Fragmented with Low ROE,Fragmented with High ROE,Highly Cyclical"</formula1>
    </dataValidation>
    <dataValidation sqref="AB2:AB24" showDropDown="0" showInputMessage="0" showErrorMessage="0" allowBlank="1" type="list">
      <formula1>"Yes,No"</formula1>
    </dataValidation>
    <dataValidation sqref="AD2:AD24" showDropDown="0" showInputMessage="0" showErrorMessage="0" allowBlank="1" type="list">
      <formula1>"Tailwind,Headwind"</formula1>
    </dataValidation>
    <dataValidation sqref="AF2:AF2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4" showDropDown="0" showInputMessage="0" showErrorMessage="0" allowBlank="1" type="list">
      <formula1>"Yes,No"</formula1>
    </dataValidation>
    <dataValidation sqref="AJ2:AJ24" showDropDown="0" showInputMessage="0" showErrorMessage="0" allowBlank="1" type="list">
      <formula1>"Yes,No,Not Applicable"</formula1>
    </dataValidation>
    <dataValidation sqref="AL2:AL24" showDropDown="0" showInputMessage="0" showErrorMessage="0" allowBlank="1" type="list">
      <formula1>"Yes,No"</formula1>
    </dataValidation>
    <dataValidation sqref="AN2:AN24" showDropDown="0" showInputMessage="0" showErrorMessage="0" allowBlank="1" type="list">
      <formula1>"Yes,No"</formula1>
    </dataValidation>
    <dataValidation sqref="AP2:AP24" showDropDown="0" showInputMessage="0" showErrorMessage="0" allowBlank="1" type="list">
      <formula1>"Yes,No"</formula1>
    </dataValidation>
    <dataValidation sqref="AR2:AR24" showDropDown="0" showInputMessage="0" showErrorMessage="0" allowBlank="1" type="list">
      <formula1>"Yes,No"</formula1>
    </dataValidation>
    <dataValidation sqref="AT2:AT24" showDropDown="0" showInputMessage="0" showErrorMessage="0" allowBlank="1" type="list">
      <formula1>"No,Yes"</formula1>
    </dataValidation>
    <dataValidation sqref="AV2:AV24" showDropDown="0" showInputMessage="0" showErrorMessage="0" allowBlank="1" type="list">
      <formula1>"No,Yes"</formula1>
    </dataValidation>
    <dataValidation sqref="AX2:AX24" showDropDown="0" showInputMessage="0" showErrorMessage="0" allowBlank="1" type="list">
      <formula1>"No,Yes CEO Resignation,Yes CEO Retirement"</formula1>
    </dataValidation>
    <dataValidation sqref="AZ2:AZ24" showDropDown="0" showInputMessage="0" showErrorMessage="0" allowBlank="1" type="list">
      <formula1>"No,Yes"</formula1>
    </dataValidation>
    <dataValidation sqref="BB2:BB24" showDropDown="0" showInputMessage="0" showErrorMessage="0" allowBlank="1" type="list">
      <formula1>"No,Yes"</formula1>
    </dataValidation>
    <dataValidation sqref="BD2:BD24" showDropDown="0" showInputMessage="0" showErrorMessage="0" allowBlank="1" type="list">
      <formula1>"Yes,No"</formula1>
    </dataValidation>
    <dataValidation sqref="BF2:BF24" showDropDown="0" showInputMessage="0" showErrorMessage="0" allowBlank="1" type="list">
      <formula1>"Yes,No"</formula1>
    </dataValidation>
    <dataValidation sqref="BH2:BH24" showDropDown="0" showInputMessage="0" showErrorMessage="0" allowBlank="1" type="list">
      <formula1>"Yes,No"</formula1>
    </dataValidation>
    <dataValidation sqref="BJ2:BJ2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4" showDropDown="0" showInputMessage="0" showErrorMessage="0" allowBlank="1" type="list">
      <formula1>"Above 40,20 to 40,0 to 20"</formula1>
    </dataValidation>
    <dataValidation sqref="BN2:BN24" showDropDown="0" showInputMessage="0" showErrorMessage="0" allowBlank="1" type="list">
      <formula1>"Between 50 to 75,Above 75,Below 45"</formula1>
    </dataValidation>
    <dataValidation sqref="BP2:BP24" showDropDown="0" showInputMessage="0" showErrorMessage="0" allowBlank="1" type="list">
      <formula1>"Stage 1,Stage 2,Stage 3,Stage 4"</formula1>
    </dataValidation>
    <dataValidation sqref="BR2:BR24" showDropDown="0" showInputMessage="0" showErrorMessage="0" allowBlank="1" type="list">
      <formula1>"Positive Trend,Negative Trend"</formula1>
    </dataValidation>
    <dataValidation sqref="BT2:BT24" showDropDown="0" showInputMessage="0" showErrorMessage="0" allowBlank="1" type="list">
      <formula1>"Uptrend,Sideways,Downtrend"</formula1>
    </dataValidation>
    <dataValidation sqref="BV2:BV24" showDropDown="0" showInputMessage="0" showErrorMessage="0" allowBlank="1" type="list">
      <formula1>"Uptrend,Sideways,Downtrend"</formula1>
    </dataValidation>
    <dataValidation sqref="BX2:BX2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139.1</v>
      </c>
      <c r="E2" s="32" t="inlineStr">
        <is>
          <t>5%</t>
        </is>
      </c>
      <c r="F2" s="32" t="n">
        <v>50000</v>
      </c>
      <c r="G2" s="32" t="n">
        <v>73</v>
      </c>
      <c r="H2" s="31" t="inlineStr">
        <is>
          <t>JGCHEM</t>
        </is>
      </c>
      <c r="I2" s="31" t="inlineStr">
        <is>
          <t>J.G.Chemicals Ltd</t>
        </is>
      </c>
      <c r="J2" s="31" t="inlineStr">
        <is>
          <t>chemicals</t>
        </is>
      </c>
      <c r="K2" s="31" t="inlineStr">
        <is>
          <t>chemicals</t>
        </is>
      </c>
      <c r="L2" s="31" t="inlineStr">
        <is>
          <t>smallcap</t>
        </is>
      </c>
      <c r="M2" s="32" t="n">
        <v>2479.69</v>
      </c>
      <c r="N2" s="32" t="n">
        <v>681.7</v>
      </c>
      <c r="O2" s="32" t="n">
        <v>7.73</v>
      </c>
      <c r="P2" s="32" t="n">
        <v>700401</v>
      </c>
      <c r="Q2" s="31" t="n">
        <v>66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74.58</v>
      </c>
      <c r="U2" s="32" t="n">
        <v>50.18</v>
      </c>
      <c r="V2" s="32" t="n">
        <v>504.3</v>
      </c>
      <c r="W2" s="31" t="inlineStr">
        <is>
          <t>Near 52W High Breakout</t>
        </is>
      </c>
      <c r="X2" s="31" t="inlineStr">
        <is>
          <t>Nifty 50</t>
        </is>
      </c>
      <c r="Y2" s="32" t="n">
        <v>-12.01</v>
      </c>
      <c r="Z2" s="32" t="n">
        <v>67.12</v>
      </c>
      <c r="AA2" s="32" t="n">
        <v>89.92</v>
      </c>
      <c r="AB2" s="32" t="n">
        <v>23.75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137.7</v>
      </c>
      <c r="E3" s="32" t="inlineStr">
        <is>
          <t>5%</t>
        </is>
      </c>
      <c r="F3" s="32" t="n">
        <v>50000</v>
      </c>
      <c r="G3" s="32" t="n">
        <v>20</v>
      </c>
      <c r="H3" s="31" t="inlineStr">
        <is>
          <t>DPABHUSHAN</t>
        </is>
      </c>
      <c r="I3" s="31" t="inlineStr">
        <is>
          <t>D.P. Abhushan Ltd</t>
        </is>
      </c>
      <c r="J3" s="31" t="inlineStr">
        <is>
          <t>consumer discretionary</t>
        </is>
      </c>
      <c r="K3" s="31" t="inlineStr">
        <is>
          <t>trading</t>
        </is>
      </c>
      <c r="L3" s="31" t="inlineStr">
        <is>
          <t>midcap</t>
        </is>
      </c>
      <c r="M3" s="32" t="n">
        <v>5305.21</v>
      </c>
      <c r="N3" s="32" t="n">
        <v>2437.8</v>
      </c>
      <c r="O3" s="32" t="n">
        <v>4.9</v>
      </c>
      <c r="P3" s="32" t="n">
        <v>156708</v>
      </c>
      <c r="Q3" s="31" t="n">
        <v>82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82.90000000000001</v>
      </c>
      <c r="U3" s="32" t="n">
        <v>43.23</v>
      </c>
      <c r="V3" s="32" t="n">
        <v>1848.84</v>
      </c>
      <c r="W3" s="31" t="inlineStr">
        <is>
          <t>Near 52W High Breakout</t>
        </is>
      </c>
      <c r="X3" s="31" t="inlineStr">
        <is>
          <t>Nifty 50</t>
        </is>
      </c>
      <c r="Y3" s="32" t="n">
        <v>-12.01</v>
      </c>
      <c r="Z3" s="32" t="n">
        <v>75.38</v>
      </c>
      <c r="AA3" s="32" t="n">
        <v>99.31</v>
      </c>
      <c r="AB3" s="32" t="n">
        <v>33.35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139.9</v>
      </c>
      <c r="E4" s="32" t="inlineStr">
        <is>
          <t>5%</t>
        </is>
      </c>
      <c r="F4" s="32" t="n">
        <v>50000</v>
      </c>
      <c r="G4" s="32" t="n">
        <v>91</v>
      </c>
      <c r="H4" s="31" t="inlineStr">
        <is>
          <t>MODISONLTD</t>
        </is>
      </c>
      <c r="I4" s="31" t="inlineStr">
        <is>
          <t>Modison Ltd</t>
        </is>
      </c>
      <c r="J4" s="31" t="inlineStr">
        <is>
          <t>industrials</t>
        </is>
      </c>
      <c r="K4" s="31" t="inlineStr">
        <is>
          <t>electric equipment</t>
        </is>
      </c>
      <c r="L4" s="31" t="inlineStr">
        <is>
          <t>smallcap</t>
        </is>
      </c>
      <c r="M4" s="32" t="n">
        <v>1685.94</v>
      </c>
      <c r="N4" s="32" t="n">
        <v>545.3</v>
      </c>
      <c r="O4" s="32" t="n">
        <v>4.96</v>
      </c>
      <c r="P4" s="32" t="n">
        <v>193413</v>
      </c>
      <c r="Q4" s="31" t="n">
        <v>97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75.43000000000001</v>
      </c>
      <c r="U4" s="32" t="n">
        <v>57.62</v>
      </c>
      <c r="V4" s="32" t="n">
        <v>392.69</v>
      </c>
      <c r="W4" s="31" t="inlineStr">
        <is>
          <t>Near 52W High Breakout</t>
        </is>
      </c>
      <c r="X4" s="31" t="inlineStr">
        <is>
          <t>Nifty 50</t>
        </is>
      </c>
      <c r="Y4" s="32" t="n">
        <v>-12.01</v>
      </c>
      <c r="Z4" s="32" t="n">
        <v>259.52</v>
      </c>
      <c r="AA4" s="32" t="n">
        <v>308.58</v>
      </c>
      <c r="AB4" s="32" t="n">
        <v>53.56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137.8</v>
      </c>
      <c r="E5" s="32" t="inlineStr">
        <is>
          <t>5%</t>
        </is>
      </c>
      <c r="F5" s="32" t="n">
        <v>50000</v>
      </c>
      <c r="G5" s="32" t="n">
        <v>66</v>
      </c>
      <c r="H5" s="31" t="inlineStr">
        <is>
          <t>E2E</t>
        </is>
      </c>
      <c r="I5" s="31" t="inlineStr">
        <is>
          <t>E2E Networks Ltd</t>
        </is>
      </c>
      <c r="J5" s="31" t="inlineStr">
        <is>
          <t>i.t</t>
        </is>
      </c>
      <c r="K5" s="31" t="inlineStr">
        <is>
          <t>computers - software - medium / small</t>
        </is>
      </c>
      <c r="L5" s="31" t="inlineStr">
        <is>
          <t>midcap</t>
        </is>
      </c>
      <c r="M5" s="32" t="n">
        <v>15124.44</v>
      </c>
      <c r="N5" s="32" t="n">
        <v>748.3</v>
      </c>
      <c r="O5" s="32" t="n">
        <v>1.71</v>
      </c>
      <c r="P5" s="32" t="n">
        <v>929957</v>
      </c>
      <c r="Q5" s="31" t="n">
        <v>93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78.13</v>
      </c>
      <c r="U5" s="32" t="n">
        <v>57.39</v>
      </c>
      <c r="V5" s="32" t="n">
        <v>541.7</v>
      </c>
      <c r="W5" s="31" t="inlineStr">
        <is>
          <t>Near 52W High Breakout</t>
        </is>
      </c>
      <c r="X5" s="31" t="inlineStr">
        <is>
          <t>Nifty IT</t>
        </is>
      </c>
      <c r="Y5" s="32" t="n">
        <v>-13.68</v>
      </c>
      <c r="Z5" s="32" t="n">
        <v>130.86</v>
      </c>
      <c r="AA5" s="32" t="n">
        <v>167.44</v>
      </c>
      <c r="AB5" s="32" t="n">
        <v>41.72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140</v>
      </c>
      <c r="E6" s="32" t="inlineStr">
        <is>
          <t>5%</t>
        </is>
      </c>
      <c r="F6" s="32" t="n">
        <v>50000</v>
      </c>
      <c r="G6" s="32" t="n">
        <v>127</v>
      </c>
      <c r="H6" s="31" t="inlineStr">
        <is>
          <t>HITECHCORP</t>
        </is>
      </c>
      <c r="I6" s="31" t="inlineStr">
        <is>
          <t>Hitech Corporation</t>
        </is>
      </c>
      <c r="J6" s="31" t="inlineStr">
        <is>
          <t>industrials</t>
        </is>
      </c>
      <c r="K6" s="31" t="inlineStr">
        <is>
          <t>packaging</t>
        </is>
      </c>
      <c r="L6" s="31" t="inlineStr">
        <is>
          <t>smallcap</t>
        </is>
      </c>
      <c r="M6" s="32" t="n">
        <v>641.08</v>
      </c>
      <c r="N6" s="32" t="n">
        <v>391.9</v>
      </c>
      <c r="O6" s="32" t="n">
        <v>5</v>
      </c>
      <c r="P6" s="32" t="n">
        <v>5887</v>
      </c>
      <c r="Q6" s="31" t="n">
        <v>75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86.05</v>
      </c>
      <c r="U6" s="32" t="n">
        <v>66.11</v>
      </c>
      <c r="V6" s="32" t="n">
        <v>330.22</v>
      </c>
      <c r="W6" s="31" t="inlineStr">
        <is>
          <t>Near 52W High Breakout</t>
        </is>
      </c>
      <c r="X6" s="31" t="inlineStr">
        <is>
          <t>Nifty 50</t>
        </is>
      </c>
      <c r="Y6" s="32" t="n">
        <v>-12.01</v>
      </c>
      <c r="Z6" s="32" t="n">
        <v>108.42</v>
      </c>
      <c r="AA6" s="32" t="n">
        <v>136.87</v>
      </c>
      <c r="AB6" s="32" t="n">
        <v>28.45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137.9</v>
      </c>
      <c r="E7" s="32" t="inlineStr">
        <is>
          <t>5%</t>
        </is>
      </c>
      <c r="F7" s="32" t="n">
        <v>50000</v>
      </c>
      <c r="G7" s="32" t="n">
        <v>48</v>
      </c>
      <c r="H7" s="31" t="inlineStr">
        <is>
          <t>CYIENTDLM</t>
        </is>
      </c>
      <c r="I7" s="31" t="inlineStr">
        <is>
          <t>Cyient DLM Ltd</t>
        </is>
      </c>
      <c r="J7" s="31" t="inlineStr">
        <is>
          <t>aerospace &amp; defence</t>
        </is>
      </c>
      <c r="K7" s="31" t="inlineStr">
        <is>
          <t>electronics - components</t>
        </is>
      </c>
      <c r="L7" s="31" t="inlineStr">
        <is>
          <t>midcap</t>
        </is>
      </c>
      <c r="M7" s="32" t="n">
        <v>8027.64</v>
      </c>
      <c r="N7" s="32" t="n">
        <v>1038.55</v>
      </c>
      <c r="O7" s="32" t="n">
        <v>2.7</v>
      </c>
      <c r="P7" s="32" t="n">
        <v>748639</v>
      </c>
      <c r="Q7" s="31" t="n">
        <v>92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86.81999999999999</v>
      </c>
      <c r="U7" s="32" t="n">
        <v>79.45</v>
      </c>
      <c r="V7" s="32" t="n">
        <v>802.99</v>
      </c>
      <c r="W7" s="31" t="inlineStr">
        <is>
          <t>Near 52W High Breakout</t>
        </is>
      </c>
      <c r="X7" s="31" t="inlineStr">
        <is>
          <t>Nifty 50</t>
        </is>
      </c>
      <c r="Y7" s="32" t="n">
        <v>-12.01</v>
      </c>
      <c r="Z7" s="32" t="n">
        <v>134.07</v>
      </c>
      <c r="AA7" s="32" t="n">
        <v>166.01</v>
      </c>
      <c r="AB7" s="32" t="n">
        <v>40.79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140</v>
      </c>
      <c r="E8" s="32" t="inlineStr">
        <is>
          <t>5%</t>
        </is>
      </c>
      <c r="F8" s="32" t="n">
        <v>50000</v>
      </c>
      <c r="G8" s="32" t="n">
        <v>107</v>
      </c>
      <c r="H8" s="31" t="inlineStr">
        <is>
          <t>BHEL</t>
        </is>
      </c>
      <c r="I8" s="31" t="inlineStr">
        <is>
          <t>Bharat Heavy Electricals Limited</t>
        </is>
      </c>
      <c r="J8" s="31" t="inlineStr">
        <is>
          <t>industrials</t>
        </is>
      </c>
      <c r="K8" s="31" t="inlineStr">
        <is>
          <t>electric equipment</t>
        </is>
      </c>
      <c r="L8" s="31" t="inlineStr">
        <is>
          <t>largecap</t>
        </is>
      </c>
      <c r="M8" s="32" t="n">
        <v>154029.07</v>
      </c>
      <c r="N8" s="32" t="n">
        <v>464</v>
      </c>
      <c r="O8" s="32" t="n">
        <v>4.89</v>
      </c>
      <c r="P8" s="32" t="n">
        <v>37460371</v>
      </c>
      <c r="Q8" s="31" t="n">
        <v>55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69.20999999999999</v>
      </c>
      <c r="U8" s="32" t="n">
        <v>37.19</v>
      </c>
      <c r="V8" s="32" t="n">
        <v>377.23</v>
      </c>
      <c r="W8" s="31" t="inlineStr">
        <is>
          <t>Volume Spike &amp; Near 52W High Breakout</t>
        </is>
      </c>
      <c r="X8" s="31" t="inlineStr">
        <is>
          <t>Nifty 50</t>
        </is>
      </c>
      <c r="Y8" s="32" t="n">
        <v>-12.01</v>
      </c>
      <c r="Z8" s="32" t="n">
        <v>100.11</v>
      </c>
      <c r="AA8" s="32" t="n">
        <v>127.42</v>
      </c>
      <c r="AB8" s="32" t="n">
        <v>17.4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Between 1.5 to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139.6</v>
      </c>
      <c r="E9" s="32" t="inlineStr">
        <is>
          <t>5%</t>
        </is>
      </c>
      <c r="F9" s="32" t="n">
        <v>50000</v>
      </c>
      <c r="G9" s="32" t="n">
        <v>60</v>
      </c>
      <c r="H9" s="31" t="inlineStr">
        <is>
          <t>SHREEJISPG</t>
        </is>
      </c>
      <c r="I9" s="31" t="inlineStr">
        <is>
          <t>Shreeji Shipping Global Ltd</t>
        </is>
      </c>
      <c r="J9" s="31" t="inlineStr">
        <is>
          <t>transportation</t>
        </is>
      </c>
      <c r="K9" s="31" t="inlineStr">
        <is>
          <t>shipping</t>
        </is>
      </c>
      <c r="L9" s="31" t="inlineStr">
        <is>
          <t>midcap</t>
        </is>
      </c>
      <c r="M9" s="32" t="n">
        <v>13437.5</v>
      </c>
      <c r="N9" s="32" t="n">
        <v>826.45</v>
      </c>
      <c r="O9" s="32" t="n">
        <v>0.2</v>
      </c>
      <c r="P9" s="32" t="n">
        <v>474822</v>
      </c>
      <c r="Q9" s="31" t="n">
        <v>91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85.90000000000001</v>
      </c>
      <c r="U9" s="32" t="n">
        <v>56.86</v>
      </c>
      <c r="V9" s="32" t="n">
        <v>701.73</v>
      </c>
      <c r="W9" s="31" t="inlineStr">
        <is>
          <t>Near 52W High Breakout</t>
        </is>
      </c>
      <c r="X9" s="31" t="inlineStr">
        <is>
          <t>Nifty 50</t>
        </is>
      </c>
      <c r="Y9" s="32" t="n">
        <v>-12.01</v>
      </c>
      <c r="Z9" s="32" t="n">
        <v>251.56</v>
      </c>
      <c r="AA9" s="32" t="n">
        <v>299.53</v>
      </c>
      <c r="AB9" s="32" t="n">
        <v>38.67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Less than 12%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</v>
      </c>
      <c r="E10" s="32" t="inlineStr">
        <is>
          <t>5%</t>
        </is>
      </c>
      <c r="F10" s="32" t="n">
        <v>50000</v>
      </c>
      <c r="G10" s="32" t="n">
        <v>300</v>
      </c>
      <c r="H10" s="31" t="inlineStr">
        <is>
          <t>BLUSPRING</t>
        </is>
      </c>
      <c r="I10" s="31" t="inlineStr">
        <is>
          <t>Bluspring Enterprises Ltd</t>
        </is>
      </c>
      <c r="J10" s="31" t="inlineStr">
        <is>
          <t>miscellaneous</t>
        </is>
      </c>
      <c r="K10" s="31" t="inlineStr">
        <is>
          <t>diversified - large</t>
        </is>
      </c>
      <c r="L10" s="31" t="inlineStr">
        <is>
          <t>smallcap</t>
        </is>
      </c>
      <c r="M10" s="32" t="n">
        <v>2350.56</v>
      </c>
      <c r="N10" s="32" t="n">
        <v>166.25</v>
      </c>
      <c r="O10" s="32" t="n">
        <v>5.7</v>
      </c>
      <c r="P10" s="32" t="n">
        <v>1034834</v>
      </c>
      <c r="Q10" s="31" t="n">
        <v>77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75.25</v>
      </c>
      <c r="U10" s="32" t="n">
        <v>58.61</v>
      </c>
      <c r="V10" s="32" t="n">
        <v>117.68</v>
      </c>
      <c r="W10" s="31" t="inlineStr">
        <is>
          <t>Volume Spike &amp; Near 52W High Breakout</t>
        </is>
      </c>
      <c r="X10" s="31" t="inlineStr">
        <is>
          <t>Nifty 50</t>
        </is>
      </c>
      <c r="Y10" s="32" t="n">
        <v>-12.01</v>
      </c>
      <c r="Z10" s="32" t="n">
        <v>108.12</v>
      </c>
      <c r="AA10" s="32" t="n">
        <v>136.53</v>
      </c>
      <c r="AB10" s="32" t="n">
        <v>29.9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138.2</v>
      </c>
      <c r="E11" s="32" t="inlineStr">
        <is>
          <t>5%</t>
        </is>
      </c>
      <c r="F11" s="32" t="n">
        <v>50000</v>
      </c>
      <c r="G11" s="32" t="n">
        <v>242</v>
      </c>
      <c r="H11" s="31" t="inlineStr">
        <is>
          <t>KRISHANA</t>
        </is>
      </c>
      <c r="I11" s="31" t="inlineStr">
        <is>
          <t>Krishana Phoschem Ltd</t>
        </is>
      </c>
      <c r="J11" s="31" t="inlineStr">
        <is>
          <t>chemicals</t>
        </is>
      </c>
      <c r="K11" s="31" t="inlineStr">
        <is>
          <t>fertilizers</t>
        </is>
      </c>
      <c r="L11" s="31" t="inlineStr">
        <is>
          <t>smallcap</t>
        </is>
      </c>
      <c r="M11" s="32" t="n">
        <v>1220.6</v>
      </c>
      <c r="N11" s="32" t="n">
        <v>206.47</v>
      </c>
      <c r="O11" s="32" t="n">
        <v>4.58</v>
      </c>
      <c r="P11" s="32" t="n">
        <v>2333790</v>
      </c>
      <c r="Q11" s="31" t="n">
        <v>68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73.58</v>
      </c>
      <c r="U11" s="32" t="n">
        <v>54.22</v>
      </c>
      <c r="V11" s="32" t="n">
        <v>160.31</v>
      </c>
      <c r="W11" s="31" t="inlineStr">
        <is>
          <t>Near 52W High Breakout</t>
        </is>
      </c>
      <c r="X11" s="31" t="inlineStr">
        <is>
          <t>Nifty 50</t>
        </is>
      </c>
      <c r="Y11" s="32" t="n">
        <v>-12.01</v>
      </c>
      <c r="Z11" s="32" t="n">
        <v>82.06</v>
      </c>
      <c r="AA11" s="32" t="n">
        <v>106.91</v>
      </c>
      <c r="AB11" s="32" t="n">
        <v>24.23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More than 1.2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138.6</v>
      </c>
      <c r="E12" s="32" t="inlineStr">
        <is>
          <t>5%</t>
        </is>
      </c>
      <c r="F12" s="32" t="n">
        <v>50000</v>
      </c>
      <c r="G12" s="32" t="n">
        <v>67</v>
      </c>
      <c r="H12" s="31" t="inlineStr">
        <is>
          <t>ABDL</t>
        </is>
      </c>
      <c r="I12" s="31" t="inlineStr">
        <is>
          <t>Allied Blenders &amp; Distillers Ltd</t>
        </is>
      </c>
      <c r="J12" s="31" t="inlineStr">
        <is>
          <t>fmcg</t>
        </is>
      </c>
      <c r="K12" s="31" t="inlineStr">
        <is>
          <t>breweries &amp; distilleries</t>
        </is>
      </c>
      <c r="L12" s="31" t="inlineStr">
        <is>
          <t>largecap</t>
        </is>
      </c>
      <c r="M12" s="32" t="n">
        <v>20095.78</v>
      </c>
      <c r="N12" s="32" t="n">
        <v>743.45</v>
      </c>
      <c r="O12" s="32" t="n">
        <v>3.48</v>
      </c>
      <c r="P12" s="32" t="n">
        <v>865111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69.2</v>
      </c>
      <c r="U12" s="32" t="n">
        <v>26.45</v>
      </c>
      <c r="V12" s="32" t="n">
        <v>585.4299999999999</v>
      </c>
      <c r="W12" s="31" t="inlineStr">
        <is>
          <t>Near 52W High Breakout</t>
        </is>
      </c>
      <c r="X12" s="31" t="inlineStr">
        <is>
          <t>Nifty FMCG</t>
        </is>
      </c>
      <c r="Y12" s="32" t="inlineStr"/>
      <c r="Z12" s="32" t="inlineStr"/>
      <c r="AA12" s="32" t="inlineStr"/>
      <c r="AB12" s="32" t="inlineStr"/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B2C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139.7</v>
      </c>
      <c r="E13" s="32" t="inlineStr">
        <is>
          <t>5%</t>
        </is>
      </c>
      <c r="F13" s="32" t="n">
        <v>50000</v>
      </c>
      <c r="G13" s="32" t="n">
        <v>160</v>
      </c>
      <c r="H13" s="31" t="inlineStr">
        <is>
          <t>GANDHAR</t>
        </is>
      </c>
      <c r="I13" s="31" t="inlineStr">
        <is>
          <t>Gandhar Oil Refinery (India) Ltd</t>
        </is>
      </c>
      <c r="J13" s="31" t="inlineStr">
        <is>
          <t>energy</t>
        </is>
      </c>
      <c r="K13" s="31" t="inlineStr">
        <is>
          <t>refineries</t>
        </is>
      </c>
      <c r="L13" s="31" t="inlineStr">
        <is>
          <t>smallcap</t>
        </is>
      </c>
      <c r="M13" s="32" t="n">
        <v>2954.98</v>
      </c>
      <c r="N13" s="32" t="n">
        <v>310.95</v>
      </c>
      <c r="O13" s="32" t="n">
        <v>3</v>
      </c>
      <c r="P13" s="32" t="n">
        <v>1062167</v>
      </c>
      <c r="Q13" s="31" t="inlineStr"/>
      <c r="R13" s="31" t="inlineStr"/>
      <c r="S13" s="32">
        <f>IF(R13="Underperforming",-5,IF(Q13&gt;=95,15,IF(Q13&gt;=90,10,IF(Q13&gt;=80,5,0))))</f>
        <v/>
      </c>
      <c r="T13" s="32" t="n">
        <v>73.88</v>
      </c>
      <c r="U13" s="32" t="n">
        <v>78.87</v>
      </c>
      <c r="V13" s="32" t="n">
        <v>241.61</v>
      </c>
      <c r="W13" s="31" t="inlineStr">
        <is>
          <t>Near 52W High Breakout</t>
        </is>
      </c>
      <c r="X13" s="31" t="inlineStr">
        <is>
          <t>Nifty Energy</t>
        </is>
      </c>
      <c r="Y13" s="32" t="inlineStr"/>
      <c r="Z13" s="32" t="inlineStr"/>
      <c r="AA13" s="32" t="inlineStr"/>
      <c r="AB13" s="32" t="inlineStr"/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Oligopoly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Cyclical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Volatile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Between 1.5 to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139.5</v>
      </c>
      <c r="E14" s="32" t="inlineStr">
        <is>
          <t>5%</t>
        </is>
      </c>
      <c r="F14" s="32" t="n">
        <v>50000</v>
      </c>
      <c r="G14" s="32" t="n">
        <v>3</v>
      </c>
      <c r="H14" s="31" t="inlineStr">
        <is>
          <t>DYNAMATECH</t>
        </is>
      </c>
      <c r="I14" s="31" t="inlineStr">
        <is>
          <t>Dynamatic Technologies Limited</t>
        </is>
      </c>
      <c r="J14" s="31" t="inlineStr">
        <is>
          <t>aerospace &amp; defence</t>
        </is>
      </c>
      <c r="K14" s="31" t="inlineStr">
        <is>
          <t>engineering</t>
        </is>
      </c>
      <c r="L14" s="31" t="inlineStr">
        <is>
          <t>midcap</t>
        </is>
      </c>
      <c r="M14" s="32" t="n">
        <v>9497.83</v>
      </c>
      <c r="N14" s="32" t="n">
        <v>14424</v>
      </c>
      <c r="O14" s="32" t="n">
        <v>3.14</v>
      </c>
      <c r="P14" s="32" t="n">
        <v>18300</v>
      </c>
      <c r="Q14" s="31" t="n">
        <v>63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71.28</v>
      </c>
      <c r="U14" s="32" t="n">
        <v>35.55</v>
      </c>
      <c r="V14" s="32" t="n">
        <v>11155.89</v>
      </c>
      <c r="W14" s="31" t="inlineStr">
        <is>
          <t>Near 52W High Breakout</t>
        </is>
      </c>
      <c r="X14" s="31" t="inlineStr">
        <is>
          <t>Nifty 50</t>
        </is>
      </c>
      <c r="Y14" s="32" t="n">
        <v>-12.01</v>
      </c>
      <c r="Z14" s="32" t="n">
        <v>82.95</v>
      </c>
      <c r="AA14" s="32" t="n">
        <v>107.91</v>
      </c>
      <c r="AB14" s="32" t="n">
        <v>21.74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138.9</v>
      </c>
      <c r="E15" s="32" t="inlineStr">
        <is>
          <t>5%</t>
        </is>
      </c>
      <c r="F15" s="32" t="n">
        <v>50000</v>
      </c>
      <c r="G15" s="32" t="n">
        <v>123</v>
      </c>
      <c r="H15" s="31" t="inlineStr">
        <is>
          <t>NAZARA</t>
        </is>
      </c>
      <c r="I15" s="31" t="inlineStr">
        <is>
          <t>Nazara Technologies Ltd</t>
        </is>
      </c>
      <c r="J15" s="31" t="inlineStr">
        <is>
          <t>i.t</t>
        </is>
      </c>
      <c r="K15" s="31" t="inlineStr">
        <is>
          <t>telecommunications - service provider</t>
        </is>
      </c>
      <c r="L15" s="31" t="inlineStr">
        <is>
          <t>midcap</t>
        </is>
      </c>
      <c r="M15" s="32" t="n">
        <v>15405.15</v>
      </c>
      <c r="N15" s="32" t="n">
        <v>405.2</v>
      </c>
      <c r="O15" s="32" t="n">
        <v>1.19</v>
      </c>
      <c r="P15" s="32" t="n">
        <v>1601176</v>
      </c>
      <c r="Q15" s="31" t="n">
        <v>49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76.93000000000001</v>
      </c>
      <c r="U15" s="32" t="n">
        <v>36.97</v>
      </c>
      <c r="V15" s="32" t="n">
        <v>333.18</v>
      </c>
      <c r="W15" s="31" t="inlineStr">
        <is>
          <t>Near 52W High Breakout</t>
        </is>
      </c>
      <c r="X15" s="31" t="inlineStr">
        <is>
          <t>Nifty IT</t>
        </is>
      </c>
      <c r="Y15" s="32" t="n">
        <v>-13.68</v>
      </c>
      <c r="Z15" s="32" t="n">
        <v>53.05</v>
      </c>
      <c r="AA15" s="32" t="n">
        <v>77.3</v>
      </c>
      <c r="AB15" s="32" t="n">
        <v>16.14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Oligopoly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No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138.6</v>
      </c>
      <c r="E16" s="32" t="inlineStr">
        <is>
          <t>5%</t>
        </is>
      </c>
      <c r="F16" s="32" t="n">
        <v>50000</v>
      </c>
      <c r="G16" s="32" t="n">
        <v>92</v>
      </c>
      <c r="H16" s="31" t="inlineStr">
        <is>
          <t>RUBYMILLS</t>
        </is>
      </c>
      <c r="I16" s="31" t="inlineStr">
        <is>
          <t>The Ruby Mills Limited</t>
        </is>
      </c>
      <c r="J16" s="31" t="inlineStr">
        <is>
          <t>textiles</t>
        </is>
      </c>
      <c r="K16" s="31" t="inlineStr">
        <is>
          <t>textiles - composite</t>
        </is>
      </c>
      <c r="L16" s="31" t="inlineStr">
        <is>
          <t>smallcap</t>
        </is>
      </c>
      <c r="M16" s="32" t="n">
        <v>1645.42</v>
      </c>
      <c r="N16" s="32" t="n">
        <v>541.25</v>
      </c>
      <c r="O16" s="32" t="n">
        <v>10</v>
      </c>
      <c r="P16" s="32" t="n">
        <v>201214</v>
      </c>
      <c r="Q16" s="31" t="n">
        <v>76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77.91</v>
      </c>
      <c r="U16" s="32" t="n">
        <v>52.71</v>
      </c>
      <c r="V16" s="32" t="n">
        <v>392.54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-12.01</v>
      </c>
      <c r="Z16" s="32" t="n">
        <v>147.11</v>
      </c>
      <c r="AA16" s="32" t="n">
        <v>180.84</v>
      </c>
      <c r="AB16" s="32" t="n">
        <v>29.18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137.8</v>
      </c>
      <c r="E17" s="32" t="inlineStr">
        <is>
          <t>5%</t>
        </is>
      </c>
      <c r="F17" s="32" t="n">
        <v>50000</v>
      </c>
      <c r="G17" s="32" t="n">
        <v>98</v>
      </c>
      <c r="H17" s="31" t="inlineStr">
        <is>
          <t>MMP</t>
        </is>
      </c>
      <c r="I17" s="31" t="inlineStr">
        <is>
          <t>MMP Industries Ltd</t>
        </is>
      </c>
      <c r="J17" s="31" t="inlineStr">
        <is>
          <t>metals &amp; mining</t>
        </is>
      </c>
      <c r="K17" s="31" t="inlineStr">
        <is>
          <t>aluminium and aluminium products</t>
        </is>
      </c>
      <c r="L17" s="31" t="inlineStr">
        <is>
          <t>smallcap</t>
        </is>
      </c>
      <c r="M17" s="32" t="n">
        <v>1236.6</v>
      </c>
      <c r="N17" s="32" t="n">
        <v>508.65</v>
      </c>
      <c r="O17" s="32" t="n">
        <v>4.49</v>
      </c>
      <c r="P17" s="32" t="n">
        <v>219896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82.43000000000001</v>
      </c>
      <c r="U17" s="32" t="n">
        <v>64.52</v>
      </c>
      <c r="V17" s="32" t="n">
        <v>381.58</v>
      </c>
      <c r="W17" s="31" t="inlineStr">
        <is>
          <t>Near 52W High Breakout</t>
        </is>
      </c>
      <c r="X17" s="31" t="inlineStr">
        <is>
          <t>Nifty Metal</t>
        </is>
      </c>
      <c r="Y17" s="32" t="inlineStr"/>
      <c r="Z17" s="32" t="inlineStr"/>
      <c r="AA17" s="32" t="inlineStr"/>
      <c r="AB17" s="32" t="inlineStr"/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Cyclical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Volatile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137.8</v>
      </c>
      <c r="E18" s="32" t="inlineStr">
        <is>
          <t>5%</t>
        </is>
      </c>
      <c r="F18" s="32" t="n">
        <v>50000</v>
      </c>
      <c r="G18" s="32" t="n">
        <v>157</v>
      </c>
      <c r="H18" s="31" t="inlineStr">
        <is>
          <t>SHRINGARMS</t>
        </is>
      </c>
      <c r="I18" s="31" t="inlineStr">
        <is>
          <t>Shringar House of Mangalsutra Ltd</t>
        </is>
      </c>
      <c r="J18" s="31" t="inlineStr">
        <is>
          <t>consumer discretionary</t>
        </is>
      </c>
      <c r="K18" s="31" t="inlineStr">
        <is>
          <t>diamond cutting / jewellery</t>
        </is>
      </c>
      <c r="L18" s="31" t="inlineStr">
        <is>
          <t>smallcap</t>
        </is>
      </c>
      <c r="M18" s="32" t="n">
        <v>2997.59</v>
      </c>
      <c r="N18" s="32" t="n">
        <v>317.74</v>
      </c>
      <c r="O18" s="32" t="n">
        <v>2.22</v>
      </c>
      <c r="P18" s="32" t="n">
        <v>25069586</v>
      </c>
      <c r="Q18" s="31" t="n">
        <v>60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77.8</v>
      </c>
      <c r="U18" s="32" t="n">
        <v>21.85</v>
      </c>
      <c r="V18" s="32" t="n">
        <v>254.9</v>
      </c>
      <c r="W18" s="31" t="inlineStr">
        <is>
          <t>Volume Spike &amp; Near 52W High Breakout</t>
        </is>
      </c>
      <c r="X18" s="31" t="inlineStr">
        <is>
          <t>Nifty 50</t>
        </is>
      </c>
      <c r="Y18" s="32" t="n">
        <v>-12.01</v>
      </c>
      <c r="Z18" s="32" t="n">
        <v>61.2</v>
      </c>
      <c r="AA18" s="32" t="n">
        <v>83.2</v>
      </c>
      <c r="AB18" s="32" t="n">
        <v>20.15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137.9</v>
      </c>
      <c r="E19" s="32" t="inlineStr">
        <is>
          <t>5%</t>
        </is>
      </c>
      <c r="F19" s="32" t="n">
        <v>50000</v>
      </c>
      <c r="G19" s="32" t="n">
        <v>83</v>
      </c>
      <c r="H19" s="31" t="inlineStr">
        <is>
          <t>GOODLUCK</t>
        </is>
      </c>
      <c r="I19" s="31" t="inlineStr">
        <is>
          <t>Goodluck India Limited</t>
        </is>
      </c>
      <c r="J19" s="31" t="inlineStr">
        <is>
          <t>metals &amp; mining</t>
        </is>
      </c>
      <c r="K19" s="31" t="inlineStr">
        <is>
          <t>steel - medium / small</t>
        </is>
      </c>
      <c r="L19" s="31" t="inlineStr">
        <is>
          <t>midcap</t>
        </is>
      </c>
      <c r="M19" s="32" t="n">
        <v>5650.38</v>
      </c>
      <c r="N19" s="32" t="n">
        <v>596.4</v>
      </c>
      <c r="O19" s="32" t="n">
        <v>5.25</v>
      </c>
      <c r="P19" s="32" t="n">
        <v>2229152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66.81</v>
      </c>
      <c r="U19" s="32" t="n">
        <v>30.47</v>
      </c>
      <c r="V19" s="32" t="n">
        <v>440.65</v>
      </c>
      <c r="W19" s="31" t="inlineStr">
        <is>
          <t>Volume Spike &amp; Near 52W High Breakout</t>
        </is>
      </c>
      <c r="X19" s="31" t="inlineStr">
        <is>
          <t>Nifty Metal</t>
        </is>
      </c>
      <c r="Y19" s="32" t="inlineStr"/>
      <c r="Z19" s="32" t="inlineStr"/>
      <c r="AA19" s="32" t="inlineStr"/>
      <c r="AB19" s="32" t="inlineStr"/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137.5</v>
      </c>
      <c r="E20" s="32" t="inlineStr">
        <is>
          <t>5%</t>
        </is>
      </c>
      <c r="F20" s="32" t="n">
        <v>50000</v>
      </c>
      <c r="G20" s="32" t="n">
        <v>967</v>
      </c>
      <c r="H20" s="31" t="inlineStr">
        <is>
          <t>UNITEDPOLY</t>
        </is>
      </c>
      <c r="I20" s="31" t="inlineStr">
        <is>
          <t>United Polyfab Gujarat Ltd</t>
        </is>
      </c>
      <c r="J20" s="31" t="inlineStr">
        <is>
          <t>textiles</t>
        </is>
      </c>
      <c r="K20" s="31" t="inlineStr">
        <is>
          <t>textiles - products</t>
        </is>
      </c>
      <c r="L20" s="31" t="inlineStr">
        <is>
          <t>smallcap</t>
        </is>
      </c>
      <c r="M20" s="32" t="n">
        <v>1134.5</v>
      </c>
      <c r="N20" s="32" t="n">
        <v>51.68</v>
      </c>
      <c r="O20" s="32" t="n">
        <v>4.55</v>
      </c>
      <c r="P20" s="32" t="n">
        <v>1238854</v>
      </c>
      <c r="Q20" s="31" t="n">
        <v>67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79.61</v>
      </c>
      <c r="U20" s="32" t="n">
        <v>32.81</v>
      </c>
      <c r="V20" s="32" t="n">
        <v>38.43</v>
      </c>
      <c r="W20" s="31" t="inlineStr">
        <is>
          <t>Volume Spike &amp; Near 52W High Breakout</t>
        </is>
      </c>
      <c r="X20" s="31" t="inlineStr">
        <is>
          <t>Nifty 50</t>
        </is>
      </c>
      <c r="Y20" s="32" t="n">
        <v>-12.01</v>
      </c>
      <c r="Z20" s="32" t="n">
        <v>21.12</v>
      </c>
      <c r="AA20" s="32" t="n">
        <v>37.64</v>
      </c>
      <c r="AB20" s="32" t="n">
        <v>23.91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Oligopoly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Shallow Cyclical (2 to 3 Years Growth)</t>
        </is>
      </c>
      <c r="AL20" s="31">
        <f>IF(AK20="Structural (10 Years Consistency)",10,IF(AK20="Shallow Cyclical (2 to 3 years growth)",5,0))</f>
        <v/>
      </c>
      <c r="AM20" s="31" t="inlineStr">
        <is>
          <t>Yes due to Product Mix change or Operating Leverage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Allocated capital in Non-core Areas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Above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Sideways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Overhead supply in last 2 years in last 2 years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More than 15%</t>
        </is>
      </c>
      <c r="CH20" s="31">
        <f>IF(CG20="More than 15%",-10,IF(CG20="Less than 15%",10,0))</f>
        <v/>
      </c>
      <c r="CI20" s="31" t="inlineStr">
        <is>
          <t>Yes Upto 10%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139.1</v>
      </c>
      <c r="E2" s="32" t="inlineStr">
        <is>
          <t>5%</t>
        </is>
      </c>
      <c r="F2" s="32" t="n">
        <v>50000</v>
      </c>
      <c r="G2" s="32" t="n">
        <v>356</v>
      </c>
      <c r="H2" s="31" t="inlineStr">
        <is>
          <t>MUFIN</t>
        </is>
      </c>
      <c r="I2" s="31" t="inlineStr">
        <is>
          <t>Mufin Green Finance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2725.32</v>
      </c>
      <c r="N2" s="32" t="n">
        <v>140.2</v>
      </c>
      <c r="O2" s="32" t="n">
        <v>1.94</v>
      </c>
      <c r="P2" s="32" t="n">
        <v>1064428</v>
      </c>
      <c r="Q2" s="31" t="n">
        <v>31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63.53</v>
      </c>
      <c r="U2" s="32" t="n">
        <v>29.3</v>
      </c>
      <c r="V2" s="32" t="n">
        <v>116.43</v>
      </c>
      <c r="W2" s="31" t="inlineStr">
        <is>
          <t>Near 52W High Breakout</t>
        </is>
      </c>
      <c r="X2" s="31" t="inlineStr">
        <is>
          <t>Nifty Bank</t>
        </is>
      </c>
      <c r="Y2" s="32" t="n">
        <v>-4.15</v>
      </c>
      <c r="Z2" s="32" t="n">
        <v>44.54</v>
      </c>
      <c r="AA2" s="32" t="n">
        <v>50.8</v>
      </c>
      <c r="AB2" s="32" t="n">
        <v>9.720000000000001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139.3</v>
      </c>
      <c r="E3" s="32" t="inlineStr">
        <is>
          <t>5%</t>
        </is>
      </c>
      <c r="F3" s="32" t="n">
        <v>50000</v>
      </c>
      <c r="G3" s="32" t="n">
        <v>310</v>
      </c>
      <c r="H3" s="31" t="inlineStr">
        <is>
          <t>TFCILTD</t>
        </is>
      </c>
      <c r="I3" s="31" t="inlineStr">
        <is>
          <t>Tourism Finance Corporation Of India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midcap</t>
        </is>
      </c>
      <c r="M3" s="32" t="n">
        <v>7346.99</v>
      </c>
      <c r="N3" s="32" t="n">
        <v>160.8</v>
      </c>
      <c r="O3" s="32" t="n">
        <v>1.33</v>
      </c>
      <c r="P3" s="32" t="n">
        <v>14513536</v>
      </c>
      <c r="Q3" s="31" t="n">
        <v>91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85.89</v>
      </c>
      <c r="U3" s="32" t="n">
        <v>76.20999999999999</v>
      </c>
      <c r="V3" s="32" t="n">
        <v>129.48</v>
      </c>
      <c r="W3" s="31" t="inlineStr">
        <is>
          <t>Near 52W High Breakout</t>
        </is>
      </c>
      <c r="X3" s="31" t="inlineStr">
        <is>
          <t>Nifty Bank</t>
        </is>
      </c>
      <c r="Y3" s="32" t="n">
        <v>-4.15</v>
      </c>
      <c r="Z3" s="32" t="n">
        <v>119.95</v>
      </c>
      <c r="AA3" s="32" t="n">
        <v>129.48</v>
      </c>
      <c r="AB3" s="32" t="n">
        <v>39.28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above 5x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139.7</v>
      </c>
      <c r="E4" s="32" t="inlineStr">
        <is>
          <t>5%</t>
        </is>
      </c>
      <c r="F4" s="32" t="n">
        <v>50000</v>
      </c>
      <c r="G4" s="32" t="n">
        <v>67</v>
      </c>
      <c r="H4" s="31" t="inlineStr">
        <is>
          <t>GCSL</t>
        </is>
      </c>
      <c r="I4" s="31" t="inlineStr">
        <is>
          <t>Gretex Corporate Services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smallcap</t>
        </is>
      </c>
      <c r="M4" s="32" t="n">
        <v>1842.02</v>
      </c>
      <c r="N4" s="32" t="n">
        <v>739</v>
      </c>
      <c r="O4" s="32" t="n">
        <v>0.32</v>
      </c>
      <c r="P4" s="32" t="n">
        <v>328605</v>
      </c>
      <c r="Q4" s="31" t="n">
        <v>89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83.94</v>
      </c>
      <c r="U4" s="32" t="n">
        <v>35.34</v>
      </c>
      <c r="V4" s="32" t="n">
        <v>609.64</v>
      </c>
      <c r="W4" s="31" t="inlineStr">
        <is>
          <t>Near 52W High Breakout</t>
        </is>
      </c>
      <c r="X4" s="31" t="inlineStr">
        <is>
          <t>Nifty Bank</t>
        </is>
      </c>
      <c r="Y4" s="32" t="n">
        <v>-4.15</v>
      </c>
      <c r="Z4" s="32" t="n">
        <v>235.61</v>
      </c>
      <c r="AA4" s="32" t="n">
        <v>250.15</v>
      </c>
      <c r="AB4" s="32" t="n">
        <v>37.96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above 5x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AXISOL</t>
        </is>
      </c>
      <c r="D2" s="31" t="inlineStr">
        <is>
          <t>Axis Solutions Ltd</t>
        </is>
      </c>
      <c r="E2" s="31" t="inlineStr">
        <is>
          <t>Industrials</t>
        </is>
      </c>
      <c r="F2" s="31" t="inlineStr">
        <is>
          <t>Engineering Light General</t>
        </is>
      </c>
      <c r="G2" s="31" t="inlineStr">
        <is>
          <t>smallcap</t>
        </is>
      </c>
      <c r="H2" s="32" t="n">
        <v>2902.25</v>
      </c>
      <c r="I2" s="32" t="n">
        <v>614.1</v>
      </c>
      <c r="J2" s="32" t="n">
        <v>1.99</v>
      </c>
      <c r="K2" s="32" t="n">
        <v>0</v>
      </c>
      <c r="L2" s="31" t="n">
        <v>99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72.25</v>
      </c>
      <c r="P2" s="32" t="n">
        <v>64.02</v>
      </c>
      <c r="Q2" s="32" t="n">
        <v>511.84</v>
      </c>
      <c r="R2" s="31" t="inlineStr">
        <is>
          <t>Near 52W High Breakout</t>
        </is>
      </c>
      <c r="S2" s="31" t="inlineStr">
        <is>
          <t>Nifty 50</t>
        </is>
      </c>
      <c r="T2" s="32" t="n">
        <v>-12.01</v>
      </c>
      <c r="U2" s="32" t="n">
        <v>1306.34</v>
      </c>
      <c r="V2" s="32" t="n">
        <v>1498.25</v>
      </c>
      <c r="W2" s="32" t="n">
        <v>101.15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17</t>
        </is>
      </c>
      <c r="CG2" s="31">
        <f>IF(CF2&gt;20,10,IF(CF2&gt;=10,5,2))</f>
        <v/>
      </c>
    </row>
    <row r="3">
      <c r="A3" s="31">
        <f>IF(B3=0,"",RANK(B3,$B$2:$B$96,0))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RPTECH</t>
        </is>
      </c>
      <c r="D3" s="31" t="inlineStr">
        <is>
          <t>Rashi Peripherals Ltd</t>
        </is>
      </c>
      <c r="E3" s="31" t="inlineStr">
        <is>
          <t>Technology</t>
        </is>
      </c>
      <c r="F3" s="31" t="inlineStr">
        <is>
          <t>Trading</t>
        </is>
      </c>
      <c r="G3" s="31" t="inlineStr">
        <is>
          <t>midcap</t>
        </is>
      </c>
      <c r="H3" s="32" t="n">
        <v>6010.05</v>
      </c>
      <c r="I3" s="32" t="n">
        <v>905.05</v>
      </c>
      <c r="J3" s="32" t="n">
        <v>1.65</v>
      </c>
      <c r="K3" s="32" t="n">
        <v>0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66.84</v>
      </c>
      <c r="P3" s="32" t="n">
        <v>66.47</v>
      </c>
      <c r="Q3" s="32" t="n">
        <v>702.61</v>
      </c>
      <c r="R3" s="31" t="inlineStr">
        <is>
          <t>Near 52W High Breakout</t>
        </is>
      </c>
      <c r="S3" s="31" t="inlineStr">
        <is>
          <t>Nifty 50</t>
        </is>
      </c>
      <c r="T3" s="32" t="n">
        <v>-12.01</v>
      </c>
      <c r="U3" s="32" t="n">
        <v>177.28</v>
      </c>
      <c r="V3" s="32" t="n">
        <v>215.12</v>
      </c>
      <c r="W3" s="32" t="n">
        <v>28.95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22</t>
        </is>
      </c>
      <c r="CG3" s="31">
        <f>IF(CF3&gt;20,10,IF(CF3&gt;=10,5,2))</f>
        <v/>
      </c>
    </row>
    <row r="4">
      <c r="A4" s="31">
        <f>IF(B4=0,"",RANK(B4,$B$2:$B$96,0))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PIXTRANS</t>
        </is>
      </c>
      <c r="D4" s="34" t="inlineStr">
        <is>
          <t>Pix Transmission Ltd</t>
        </is>
      </c>
      <c r="E4" s="31" t="inlineStr">
        <is>
          <t>fmcg</t>
        </is>
      </c>
      <c r="F4" s="31" t="inlineStr">
        <is>
          <t>Rubber Processing and Rubber Products</t>
        </is>
      </c>
      <c r="G4" s="31" t="inlineStr">
        <is>
          <t>smallcap</t>
        </is>
      </c>
      <c r="H4" s="32" t="n">
        <v>2548.59</v>
      </c>
      <c r="I4" s="32" t="n">
        <v>1870.5</v>
      </c>
      <c r="J4" s="32" t="n">
        <v>-0.96</v>
      </c>
      <c r="K4" s="32" t="n">
        <v>0</v>
      </c>
      <c r="L4" s="31" t="inlineStr"/>
      <c r="M4" s="31" t="inlineStr"/>
      <c r="N4" s="32">
        <f>IF(M4="Underperforming",-5,IF(L4&gt;=95,15,IF(L4&gt;=90,10,IF(L4&gt;=80,5,0))))</f>
        <v/>
      </c>
      <c r="O4" s="32" t="n">
        <v>62.2</v>
      </c>
      <c r="P4" s="32" t="n">
        <v>42.34</v>
      </c>
      <c r="Q4" s="32" t="n">
        <v>1467.6</v>
      </c>
      <c r="R4" s="31" t="inlineStr">
        <is>
          <t>Volume Spike &amp; Near 52W High Breakout</t>
        </is>
      </c>
      <c r="S4" s="31" t="inlineStr">
        <is>
          <t>Nifty FMCG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17</t>
        </is>
      </c>
      <c r="CG4" s="31">
        <f>IF(CF4&gt;20,10,IF(CF4&gt;=10,5,2))</f>
        <v/>
      </c>
    </row>
    <row r="5">
      <c r="A5" s="31">
        <f>IF(B5=0,"",RANK(B5,$B$2:$B$96,0))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IBULLSLTD</t>
        </is>
      </c>
      <c r="D5" s="31" t="inlineStr">
        <is>
          <t>Indiabulls Limited</t>
        </is>
      </c>
      <c r="E5" s="31" t="inlineStr">
        <is>
          <t>miscellaneous</t>
        </is>
      </c>
      <c r="F5" s="31" t="inlineStr">
        <is>
          <t>Diversified</t>
        </is>
      </c>
      <c r="G5" s="31" t="inlineStr">
        <is>
          <t>midcap</t>
        </is>
      </c>
      <c r="H5" s="32" t="n">
        <v>8792.41</v>
      </c>
      <c r="I5" s="32" t="n">
        <v>37.7</v>
      </c>
      <c r="J5" s="32" t="n">
        <v>3.06</v>
      </c>
      <c r="K5" s="32" t="n">
        <v>0</v>
      </c>
      <c r="L5" s="31" t="n">
        <v>72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74.48999999999999</v>
      </c>
      <c r="P5" s="32" t="n">
        <v>40.06</v>
      </c>
      <c r="Q5" s="32" t="n">
        <v>26.84</v>
      </c>
      <c r="R5" s="31" t="inlineStr">
        <is>
          <t>Near 52W High Breakout</t>
        </is>
      </c>
      <c r="S5" s="31" t="inlineStr">
        <is>
          <t>Nifty 50</t>
        </is>
      </c>
      <c r="T5" s="32" t="n">
        <v>-12.01</v>
      </c>
      <c r="U5" s="32" t="n">
        <v>111.22</v>
      </c>
      <c r="V5" s="32" t="n">
        <v>140.05</v>
      </c>
      <c r="W5" s="32" t="n">
        <v>26.54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IF(B6=0,"",RANK(B6,$B$2:$B$96,0))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PGIL</t>
        </is>
      </c>
      <c r="D6" s="31" t="inlineStr">
        <is>
          <t>Pearl Global Industries Ltd</t>
        </is>
      </c>
      <c r="E6" s="31" t="inlineStr">
        <is>
          <t>readymade garments/apparels</t>
        </is>
      </c>
      <c r="F6" s="31" t="inlineStr">
        <is>
          <t>Textiles Readymade Apparel</t>
        </is>
      </c>
      <c r="G6" s="31" t="inlineStr">
        <is>
          <t>midcap</t>
        </is>
      </c>
      <c r="H6" s="32" t="n">
        <v>12009.54</v>
      </c>
      <c r="I6" s="32" t="n">
        <v>1300</v>
      </c>
      <c r="J6" s="32" t="n">
        <v>0.97</v>
      </c>
      <c r="K6" s="32" t="n">
        <v>0</v>
      </c>
      <c r="L6" s="31" t="n">
        <v>60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67.7</v>
      </c>
      <c r="P6" s="32" t="n">
        <v>59.84</v>
      </c>
      <c r="Q6" s="32" t="n">
        <v>1012.21</v>
      </c>
      <c r="R6" s="31" t="inlineStr">
        <is>
          <t>Near 52W High Breakout</t>
        </is>
      </c>
      <c r="S6" s="31" t="inlineStr">
        <is>
          <t>Nifty 50</t>
        </is>
      </c>
      <c r="T6" s="32" t="n">
        <v>-12.01</v>
      </c>
      <c r="U6" s="32" t="n">
        <v>94.95</v>
      </c>
      <c r="V6" s="32" t="n">
        <v>121.55</v>
      </c>
      <c r="W6" s="32" t="n">
        <v>20.27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FCL</t>
        </is>
      </c>
      <c r="D7" s="31" t="inlineStr">
        <is>
          <t>Fineotex Chemical Ltd</t>
        </is>
      </c>
      <c r="E7" s="31" t="inlineStr">
        <is>
          <t>chemicals</t>
        </is>
      </c>
      <c r="F7" s="31" t="inlineStr">
        <is>
          <t>Specialty Chemicals</t>
        </is>
      </c>
      <c r="G7" s="31" t="inlineStr">
        <is>
          <t>midcap</t>
        </is>
      </c>
      <c r="H7" s="32" t="n">
        <v>6870.56</v>
      </c>
      <c r="I7" s="32" t="n">
        <v>59</v>
      </c>
      <c r="J7" s="32" t="n">
        <v>4.35</v>
      </c>
      <c r="K7" s="32" t="n">
        <v>0</v>
      </c>
      <c r="L7" s="31" t="n">
        <v>84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73.95999999999999</v>
      </c>
      <c r="P7" s="32" t="n">
        <v>49.97</v>
      </c>
      <c r="Q7" s="32" t="n">
        <v>43.77</v>
      </c>
      <c r="R7" s="31" t="inlineStr">
        <is>
          <t>Near 52W High Breakout</t>
        </is>
      </c>
      <c r="S7" s="31" t="inlineStr">
        <is>
          <t>Nifty 50</t>
        </is>
      </c>
      <c r="T7" s="32" t="n">
        <v>-12.01</v>
      </c>
      <c r="U7" s="32" t="n">
        <v>145.02</v>
      </c>
      <c r="V7" s="32" t="n">
        <v>178.46</v>
      </c>
      <c r="W7" s="32" t="n">
        <v>34.24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IF(B8=0,"",RANK(B8,$B$2:$B$96,0))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JGCHEM</t>
        </is>
      </c>
      <c r="D8" s="31" t="inlineStr">
        <is>
          <t>JGChemicals Ltd</t>
        </is>
      </c>
      <c r="E8" s="31" t="inlineStr">
        <is>
          <t>chemicals</t>
        </is>
      </c>
      <c r="F8" s="31" t="inlineStr">
        <is>
          <t>Chemicals Inorganic</t>
        </is>
      </c>
      <c r="G8" s="31" t="inlineStr">
        <is>
          <t>smallcap</t>
        </is>
      </c>
      <c r="H8" s="32" t="n">
        <v>2660.73</v>
      </c>
      <c r="I8" s="32" t="n">
        <v>679</v>
      </c>
      <c r="J8" s="32" t="n">
        <v>7.3</v>
      </c>
      <c r="K8" s="32" t="n">
        <v>0</v>
      </c>
      <c r="L8" s="31" t="n">
        <v>66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74.58</v>
      </c>
      <c r="P8" s="32" t="n">
        <v>50.18</v>
      </c>
      <c r="Q8" s="32" t="n">
        <v>504.3</v>
      </c>
      <c r="R8" s="31" t="inlineStr">
        <is>
          <t>Near 52W High Breakout</t>
        </is>
      </c>
      <c r="S8" s="31" t="inlineStr">
        <is>
          <t>Nifty 50</t>
        </is>
      </c>
      <c r="T8" s="32" t="n">
        <v>-12.01</v>
      </c>
      <c r="U8" s="32" t="n">
        <v>67.12</v>
      </c>
      <c r="V8" s="32" t="n">
        <v>89.92</v>
      </c>
      <c r="W8" s="32" t="n">
        <v>23.75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20</t>
        </is>
      </c>
      <c r="CG8" s="31">
        <f>IF(CF8&gt;20,10,IF(CF8&gt;=10,5,2))</f>
        <v/>
      </c>
    </row>
    <row r="9">
      <c r="A9" s="31">
        <f>IF(B9=0,"",RANK(B9,$B$2:$B$96,0))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KROSS</t>
        </is>
      </c>
      <c r="D9" s="34" t="inlineStr">
        <is>
          <t>Kross Ltd</t>
        </is>
      </c>
      <c r="E9" s="31" t="inlineStr">
        <is>
          <t>auto</t>
        </is>
      </c>
      <c r="F9" s="31" t="inlineStr">
        <is>
          <t>Auto Transmission</t>
        </is>
      </c>
      <c r="G9" s="31" t="inlineStr">
        <is>
          <t>smallcap</t>
        </is>
      </c>
      <c r="H9" s="32" t="n">
        <v>1743.37</v>
      </c>
      <c r="I9" s="32" t="n">
        <v>270.25</v>
      </c>
      <c r="J9" s="32" t="n">
        <v>10.85</v>
      </c>
      <c r="K9" s="32" t="n">
        <v>0</v>
      </c>
      <c r="L9" s="31" t="inlineStr"/>
      <c r="M9" s="31" t="inlineStr"/>
      <c r="N9" s="32">
        <f>IF(M9="Underperforming",-5,IF(L9&gt;=95,15,IF(L9&gt;=90,10,IF(L9&gt;=80,5,0))))</f>
        <v/>
      </c>
      <c r="O9" s="32" t="n">
        <v>67.81999999999999</v>
      </c>
      <c r="P9" s="32" t="n">
        <v>40.38</v>
      </c>
      <c r="Q9" s="32" t="n">
        <v>200.7</v>
      </c>
      <c r="R9" s="31" t="inlineStr">
        <is>
          <t>Volume Spike &amp; Near 52W High Breakout</t>
        </is>
      </c>
      <c r="S9" s="31" t="inlineStr">
        <is>
          <t>Nifty Auto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18</t>
        </is>
      </c>
      <c r="CG9" s="31">
        <f>IF(CF9&gt;20,10,IF(CF9&gt;=10,5,2))</f>
        <v/>
      </c>
    </row>
    <row r="10">
      <c r="A10" s="31">
        <f>IF(B10=0,"",RANK(B10,$B$2:$B$96,0))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AVTNPL</t>
        </is>
      </c>
      <c r="D10" s="31" t="inlineStr">
        <is>
          <t>AVT Natural Products Ltd</t>
        </is>
      </c>
      <c r="E10" s="31" t="inlineStr">
        <is>
          <t>fmcg</t>
        </is>
      </c>
      <c r="F10" s="31" t="inlineStr">
        <is>
          <t>Natural Extracts and Food Ingredients</t>
        </is>
      </c>
      <c r="G10" s="31" t="inlineStr">
        <is>
          <t>smallcap</t>
        </is>
      </c>
      <c r="H10" s="32" t="n">
        <v>1500.15</v>
      </c>
      <c r="I10" s="32" t="n">
        <v>98.51000000000001</v>
      </c>
      <c r="J10" s="32" t="n">
        <v>1.49</v>
      </c>
      <c r="K10" s="32" t="n">
        <v>0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71.23</v>
      </c>
      <c r="P10" s="32" t="n">
        <v>55.28</v>
      </c>
      <c r="Q10" s="32" t="n">
        <v>75.3</v>
      </c>
      <c r="R10" s="31" t="inlineStr">
        <is>
          <t>Near 52W High Breakout</t>
        </is>
      </c>
      <c r="S10" s="31" t="inlineStr">
        <is>
          <t>Nifty FMCG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TCPLPACK</t>
        </is>
      </c>
      <c r="D11" s="31" t="inlineStr">
        <is>
          <t>TCPL Packaging Ltd</t>
        </is>
      </c>
      <c r="E11" s="31" t="inlineStr">
        <is>
          <t>industrials</t>
        </is>
      </c>
      <c r="F11" s="31" t="inlineStr">
        <is>
          <t>Packaging FMCG and Consumers</t>
        </is>
      </c>
      <c r="G11" s="31" t="inlineStr">
        <is>
          <t>smallcap</t>
        </is>
      </c>
      <c r="H11" s="32" t="n">
        <v>3961.23</v>
      </c>
      <c r="I11" s="32" t="n">
        <v>4353</v>
      </c>
      <c r="J11" s="32" t="n">
        <v>-0.2</v>
      </c>
      <c r="K11" s="32" t="n">
        <v>0</v>
      </c>
      <c r="L11" s="31" t="n">
        <v>44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69.16</v>
      </c>
      <c r="P11" s="32" t="n">
        <v>52.65</v>
      </c>
      <c r="Q11" s="32" t="n">
        <v>3386.12</v>
      </c>
      <c r="R11" s="31" t="inlineStr">
        <is>
          <t>Near 52W High Breakout</t>
        </is>
      </c>
      <c r="S11" s="31" t="inlineStr">
        <is>
          <t>Nifty 50</t>
        </is>
      </c>
      <c r="T11" s="32" t="n">
        <v>-12.01</v>
      </c>
      <c r="U11" s="32" t="n">
        <v>24.5</v>
      </c>
      <c r="V11" s="32" t="n">
        <v>41.49</v>
      </c>
      <c r="W11" s="32" t="n">
        <v>13.88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Between 0.7 to 1.2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IF(B12=0,"",RANK(B12,$B$2:$B$96,0))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DPABHUSHAN</t>
        </is>
      </c>
      <c r="D12" s="31" t="inlineStr">
        <is>
          <t>DP Abhushan Ltd</t>
        </is>
      </c>
      <c r="E12" s="31" t="inlineStr">
        <is>
          <t>consumer discretionary</t>
        </is>
      </c>
      <c r="F12" s="31" t="inlineStr">
        <is>
          <t>Diamond Gems and Jewellery</t>
        </is>
      </c>
      <c r="G12" s="31" t="inlineStr">
        <is>
          <t>midcap</t>
        </is>
      </c>
      <c r="H12" s="32" t="n">
        <v>5570.01</v>
      </c>
      <c r="I12" s="32" t="n">
        <v>2440</v>
      </c>
      <c r="J12" s="32" t="n">
        <v>4.99</v>
      </c>
      <c r="K12" s="32" t="n">
        <v>0</v>
      </c>
      <c r="L12" s="31" t="n">
        <v>82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82.90000000000001</v>
      </c>
      <c r="P12" s="32" t="n">
        <v>43.23</v>
      </c>
      <c r="Q12" s="32" t="n">
        <v>1848.84</v>
      </c>
      <c r="R12" s="31" t="inlineStr">
        <is>
          <t>Near 52W High Breakout</t>
        </is>
      </c>
      <c r="S12" s="31" t="inlineStr">
        <is>
          <t>Nifty 50</t>
        </is>
      </c>
      <c r="T12" s="32" t="n">
        <v>-12.01</v>
      </c>
      <c r="U12" s="32" t="n">
        <v>75.38</v>
      </c>
      <c r="V12" s="32" t="n">
        <v>99.31</v>
      </c>
      <c r="W12" s="32" t="n">
        <v>33.35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28</t>
        </is>
      </c>
      <c r="CG12" s="31">
        <f>IF(CF12&gt;20,10,IF(CF12&gt;=10,5,2))</f>
        <v/>
      </c>
    </row>
    <row r="13">
      <c r="A13" s="31">
        <f>IF(B13=0,"",RANK(B13,$B$2:$B$96,0))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OCCLLTD</t>
        </is>
      </c>
      <c r="D13" s="31" t="inlineStr">
        <is>
          <t>OCCL Ltd</t>
        </is>
      </c>
      <c r="E13" s="31" t="inlineStr">
        <is>
          <t>chemicals</t>
        </is>
      </c>
      <c r="F13" s="31" t="inlineStr">
        <is>
          <t>Chemicals Organic</t>
        </is>
      </c>
      <c r="G13" s="31" t="inlineStr">
        <is>
          <t>smallcap</t>
        </is>
      </c>
      <c r="H13" s="32" t="n">
        <v>1150.86</v>
      </c>
      <c r="I13" s="32" t="n">
        <v>230.4</v>
      </c>
      <c r="J13" s="32" t="n">
        <v>0.6899999999999999</v>
      </c>
      <c r="K13" s="32" t="n">
        <v>0</v>
      </c>
      <c r="L13" s="31" t="n">
        <v>81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83.22</v>
      </c>
      <c r="P13" s="32" t="n">
        <v>52.66</v>
      </c>
      <c r="Q13" s="32" t="n">
        <v>176.17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-12.01</v>
      </c>
      <c r="U13" s="32" t="n">
        <v>89.90000000000001</v>
      </c>
      <c r="V13" s="32" t="n">
        <v>115.82</v>
      </c>
      <c r="W13" s="32" t="n">
        <v>32.75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IF(B14=0,"",RANK(B14,$B$2:$B$96,0))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TBZ</t>
        </is>
      </c>
      <c r="D14" s="31" t="inlineStr">
        <is>
          <t>Tribhovandas Bhimji Zaveri Ltd</t>
        </is>
      </c>
      <c r="E14" s="31" t="inlineStr">
        <is>
          <t>consumer discretionary</t>
        </is>
      </c>
      <c r="F14" s="31" t="inlineStr">
        <is>
          <t>Diamond Gems and Jewellery</t>
        </is>
      </c>
      <c r="G14" s="31" t="inlineStr">
        <is>
          <t>smallcap</t>
        </is>
      </c>
      <c r="H14" s="32" t="n">
        <v>4595.07</v>
      </c>
      <c r="I14" s="32" t="n">
        <v>688.6</v>
      </c>
      <c r="J14" s="32" t="n">
        <v>4.99</v>
      </c>
      <c r="K14" s="32" t="n">
        <v>0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84.06999999999999</v>
      </c>
      <c r="P14" s="32" t="n">
        <v>65.92</v>
      </c>
      <c r="Q14" s="32" t="n">
        <v>513.84</v>
      </c>
      <c r="R14" s="31" t="inlineStr">
        <is>
          <t>Near 52W High Breakout</t>
        </is>
      </c>
      <c r="S14" s="31" t="inlineStr">
        <is>
          <t>Nifty 50</t>
        </is>
      </c>
      <c r="T14" s="32" t="n">
        <v>-12.01</v>
      </c>
      <c r="U14" s="32" t="n">
        <v>277.46</v>
      </c>
      <c r="V14" s="32" t="n">
        <v>328.97</v>
      </c>
      <c r="W14" s="32" t="n">
        <v>78.02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Between 0.7 to 1.2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19</t>
        </is>
      </c>
      <c r="CG14" s="31">
        <f>IF(CF14&gt;20,10,IF(CF14&gt;=10,5,2))</f>
        <v/>
      </c>
    </row>
    <row r="15">
      <c r="A15" s="31">
        <f>IF(B15=0,"",RANK(B15,$B$2:$B$96,0))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SHANTIGOLD</t>
        </is>
      </c>
      <c r="D15" s="31" t="inlineStr">
        <is>
          <t>Shanti Gold International Ltd</t>
        </is>
      </c>
      <c r="E15" s="31" t="inlineStr">
        <is>
          <t>consumer discretionary</t>
        </is>
      </c>
      <c r="F15" s="31" t="inlineStr">
        <is>
          <t>Diamond Gems and Jewellery</t>
        </is>
      </c>
      <c r="G15" s="31" t="inlineStr">
        <is>
          <t>smallcap</t>
        </is>
      </c>
      <c r="H15" s="32" t="n">
        <v>2977.49</v>
      </c>
      <c r="I15" s="32" t="n">
        <v>388</v>
      </c>
      <c r="J15" s="32" t="n">
        <v>-0.63</v>
      </c>
      <c r="K15" s="32" t="n">
        <v>0</v>
      </c>
      <c r="L15" s="31" t="n">
        <v>83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76.58</v>
      </c>
      <c r="P15" s="32" t="n">
        <v>47.89</v>
      </c>
      <c r="Q15" s="32" t="n">
        <v>290.07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-12.01</v>
      </c>
      <c r="U15" s="32" t="n">
        <v>89.22</v>
      </c>
      <c r="V15" s="32" t="n">
        <v>115.04</v>
      </c>
      <c r="W15" s="32" t="n">
        <v>33.75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KINGFA</t>
        </is>
      </c>
      <c r="D16" s="31" t="inlineStr">
        <is>
          <t>Kingfa Science &amp; Technology (India) Ltd</t>
        </is>
      </c>
      <c r="E16" s="31" t="inlineStr">
        <is>
          <t>plastic products</t>
        </is>
      </c>
      <c r="F16" s="31" t="inlineStr">
        <is>
          <t>Plastics Plastic and Plastic Products</t>
        </is>
      </c>
      <c r="G16" s="31" t="inlineStr">
        <is>
          <t>midcap</t>
        </is>
      </c>
      <c r="H16" s="32" t="n">
        <v>9038.77</v>
      </c>
      <c r="I16" s="32" t="n">
        <v>6670</v>
      </c>
      <c r="J16" s="32" t="n">
        <v>2.97</v>
      </c>
      <c r="K16" s="32" t="n">
        <v>0</v>
      </c>
      <c r="L16" s="31" t="n">
        <v>45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72.72</v>
      </c>
      <c r="P16" s="32" t="n">
        <v>47.5</v>
      </c>
      <c r="Q16" s="32" t="n">
        <v>5392.44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-12.01</v>
      </c>
      <c r="U16" s="32" t="n">
        <v>41.52</v>
      </c>
      <c r="V16" s="32" t="n">
        <v>60.83</v>
      </c>
      <c r="W16" s="32" t="n">
        <v>14.61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19</t>
        </is>
      </c>
      <c r="CG16" s="31">
        <f>IF(CF16&gt;20,10,IF(CF16&gt;=10,5,2))</f>
        <v/>
      </c>
    </row>
    <row r="17">
      <c r="A17" s="31">
        <f>IF(B17=0,"",RANK(B17,$B$2:$B$96,0))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GLAND</t>
        </is>
      </c>
      <c r="D17" s="31" t="inlineStr">
        <is>
          <t>Gland Pharma Ltd</t>
        </is>
      </c>
      <c r="E17" s="31" t="inlineStr">
        <is>
          <t>healthcare</t>
        </is>
      </c>
      <c r="F17" s="31" t="inlineStr">
        <is>
          <t>Pharma Formulations</t>
        </is>
      </c>
      <c r="G17" s="31" t="inlineStr">
        <is>
          <t>largecap</t>
        </is>
      </c>
      <c r="H17" s="32" t="n">
        <v>50303.56</v>
      </c>
      <c r="I17" s="32" t="n">
        <v>3048.5</v>
      </c>
      <c r="J17" s="32" t="n">
        <v>-1.38</v>
      </c>
      <c r="K17" s="32" t="n">
        <v>0</v>
      </c>
      <c r="L17" s="31" t="n">
        <v>50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72.8</v>
      </c>
      <c r="P17" s="32" t="n">
        <v>62.67</v>
      </c>
      <c r="Q17" s="32" t="n">
        <v>2530.32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15.65</v>
      </c>
      <c r="U17" s="32" t="n">
        <v>58.7</v>
      </c>
      <c r="V17" s="32" t="n">
        <v>37.22</v>
      </c>
      <c r="W17" s="32" t="n">
        <v>16.16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16</t>
        </is>
      </c>
      <c r="CG17" s="31">
        <f>IF(CF17&gt;20,10,IF(CF17&gt;=10,5,2))</f>
        <v/>
      </c>
    </row>
    <row r="18">
      <c r="A18" s="31">
        <f>IF(B18=0,"",RANK(B18,$B$2:$B$96,0))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SWANDEF</t>
        </is>
      </c>
      <c r="D18" s="31" t="inlineStr">
        <is>
          <t>Swan Defence and Heavy Industries Ltd</t>
        </is>
      </c>
      <c r="E18" s="31" t="inlineStr">
        <is>
          <t>transportation</t>
        </is>
      </c>
      <c r="F18" s="31" t="inlineStr">
        <is>
          <t>Shipbuilding and Repairs</t>
        </is>
      </c>
      <c r="G18" s="31" t="inlineStr">
        <is>
          <t>midcap</t>
        </is>
      </c>
      <c r="H18" s="32" t="n">
        <v>15404.79</v>
      </c>
      <c r="I18" s="32" t="n">
        <v>2924.1</v>
      </c>
      <c r="J18" s="32" t="n">
        <v>-1.49</v>
      </c>
      <c r="K18" s="32" t="n">
        <v>0</v>
      </c>
      <c r="L18" s="31" t="n">
        <v>96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71.56</v>
      </c>
      <c r="P18" s="32" t="n">
        <v>57.06</v>
      </c>
      <c r="Q18" s="32" t="n">
        <v>2273.29</v>
      </c>
      <c r="R18" s="31" t="inlineStr">
        <is>
          <t>Near 52W High Breakout</t>
        </is>
      </c>
      <c r="S18" s="31" t="inlineStr">
        <is>
          <t>Nifty 50</t>
        </is>
      </c>
      <c r="T18" s="32" t="n">
        <v>-12.01</v>
      </c>
      <c r="U18" s="32" t="n">
        <v>340</v>
      </c>
      <c r="V18" s="32" t="n">
        <v>400.04</v>
      </c>
      <c r="W18" s="32" t="n">
        <v>51.95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More than 1.2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25</t>
        </is>
      </c>
      <c r="CG18" s="31">
        <f>IF(CF18&gt;20,10,IF(CF18&gt;=10,5,2))</f>
        <v/>
      </c>
    </row>
    <row r="19">
      <c r="A19" s="31">
        <f>IF(B19=0,"",RANK(B19,$B$2:$B$96,0))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MODISONLTD</t>
        </is>
      </c>
      <c r="D19" s="31" t="inlineStr">
        <is>
          <t>Modison Ltd</t>
        </is>
      </c>
      <c r="E19" s="31" t="inlineStr">
        <is>
          <t>industrials</t>
        </is>
      </c>
      <c r="F19" s="31" t="inlineStr">
        <is>
          <t>Capital Goods Electric General</t>
        </is>
      </c>
      <c r="G19" s="31" t="inlineStr">
        <is>
          <t>smallcap</t>
        </is>
      </c>
      <c r="H19" s="32" t="n">
        <v>1770.15</v>
      </c>
      <c r="I19" s="32" t="n">
        <v>545.5</v>
      </c>
      <c r="J19" s="32" t="n">
        <v>4.99</v>
      </c>
      <c r="K19" s="32" t="n">
        <v>0</v>
      </c>
      <c r="L19" s="31" t="n">
        <v>97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75.43000000000001</v>
      </c>
      <c r="P19" s="32" t="n">
        <v>57.62</v>
      </c>
      <c r="Q19" s="32" t="n">
        <v>392.69</v>
      </c>
      <c r="R19" s="31" t="inlineStr">
        <is>
          <t>Near 52W High Breakout</t>
        </is>
      </c>
      <c r="S19" s="31" t="inlineStr">
        <is>
          <t>Nifty 50</t>
        </is>
      </c>
      <c r="T19" s="32" t="n">
        <v>-12.01</v>
      </c>
      <c r="U19" s="32" t="n">
        <v>259.52</v>
      </c>
      <c r="V19" s="32" t="n">
        <v>308.58</v>
      </c>
      <c r="W19" s="32" t="n">
        <v>53.56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25</t>
        </is>
      </c>
      <c r="CG19" s="31">
        <f>IF(CF19&gt;20,10,IF(CF19&gt;=10,5,2))</f>
        <v/>
      </c>
    </row>
    <row r="20">
      <c r="A20" s="31">
        <f>IF(B20=0,"",RANK(B20,$B$2:$B$96,0))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THELEELA</t>
        </is>
      </c>
      <c r="D20" s="31" t="inlineStr">
        <is>
          <t>Leela Palaces Hotels &amp; Resorts Ltd</t>
        </is>
      </c>
      <c r="E20" s="31" t="inlineStr">
        <is>
          <t>services</t>
        </is>
      </c>
      <c r="F20" s="31" t="inlineStr">
        <is>
          <t>Hotels</t>
        </is>
      </c>
      <c r="G20" s="31" t="inlineStr">
        <is>
          <t>midcap</t>
        </is>
      </c>
      <c r="H20" s="32" t="n">
        <v>19700.18</v>
      </c>
      <c r="I20" s="32" t="n">
        <v>589.9</v>
      </c>
      <c r="J20" s="32" t="n">
        <v>-1.89</v>
      </c>
      <c r="K20" s="32" t="n">
        <v>0</v>
      </c>
      <c r="L20" s="31" t="n">
        <v>35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72.55</v>
      </c>
      <c r="P20" s="32" t="n">
        <v>42.89</v>
      </c>
      <c r="Q20" s="32" t="n">
        <v>479.61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-12.01</v>
      </c>
      <c r="U20" s="32" t="n">
        <v>33.88</v>
      </c>
      <c r="V20" s="32" t="n">
        <v>52.15</v>
      </c>
      <c r="W20" s="32" t="n">
        <v>10.79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22</t>
        </is>
      </c>
      <c r="CG20" s="31">
        <f>IF(CF20&gt;20,10,IF(CF20&gt;=10,5,2))</f>
        <v/>
      </c>
    </row>
    <row r="21">
      <c r="A21" s="31">
        <f>IF(B21=0,"",RANK(B21,$B$2:$B$96,0))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PREMIERPOL</t>
        </is>
      </c>
      <c r="D21" s="31" t="inlineStr">
        <is>
          <t>Premier Polyfilm Ltd</t>
        </is>
      </c>
      <c r="E21" s="31" t="inlineStr">
        <is>
          <t>plastic products</t>
        </is>
      </c>
      <c r="F21" s="31" t="inlineStr">
        <is>
          <t>Plastics Sheets and Films</t>
        </is>
      </c>
      <c r="G21" s="31" t="inlineStr">
        <is>
          <t>smallcap</t>
        </is>
      </c>
      <c r="H21" s="32" t="n">
        <v>1149.34</v>
      </c>
      <c r="I21" s="32" t="n">
        <v>109.73</v>
      </c>
      <c r="J21" s="32" t="n">
        <v>-0.28</v>
      </c>
      <c r="K21" s="32" t="n">
        <v>0</v>
      </c>
      <c r="L21" s="31" t="n">
        <v>79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70.53</v>
      </c>
      <c r="P21" s="32" t="n">
        <v>60.73</v>
      </c>
      <c r="Q21" s="32" t="n">
        <v>73.97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-12.01</v>
      </c>
      <c r="U21" s="32" t="n">
        <v>147.63</v>
      </c>
      <c r="V21" s="32" t="n">
        <v>181.43</v>
      </c>
      <c r="W21" s="32" t="n">
        <v>30.96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22</t>
        </is>
      </c>
      <c r="CG21" s="31">
        <f>IF(CF21&gt;20,10,IF(CF21&gt;=10,5,2))</f>
        <v/>
      </c>
    </row>
    <row r="22">
      <c r="A22" s="31">
        <f>IF(B22=0,"",RANK(B22,$B$2:$B$96,0))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ADVANCE</t>
        </is>
      </c>
      <c r="D22" s="34" t="inlineStr">
        <is>
          <t>Advance Agrolife Ltd</t>
        </is>
      </c>
      <c r="E22" s="31" t="inlineStr">
        <is>
          <t>chemicals</t>
        </is>
      </c>
      <c r="F22" s="31" t="inlineStr">
        <is>
          <t>Pesticides and Agrochemicals</t>
        </is>
      </c>
      <c r="G22" s="31" t="inlineStr">
        <is>
          <t>smallcap</t>
        </is>
      </c>
      <c r="H22" s="32" t="n">
        <v>1009.29</v>
      </c>
      <c r="I22" s="32" t="n">
        <v>157</v>
      </c>
      <c r="J22" s="32" t="n">
        <v>9.050000000000001</v>
      </c>
      <c r="K22" s="32" t="n">
        <v>0</v>
      </c>
      <c r="L22" s="31" t="n">
        <v>48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69.22</v>
      </c>
      <c r="P22" s="32" t="n">
        <v>21.57</v>
      </c>
      <c r="Q22" s="32" t="n">
        <v>114.16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-12.01</v>
      </c>
      <c r="U22" s="32" t="n">
        <v>43</v>
      </c>
      <c r="V22" s="32" t="n">
        <v>62.51</v>
      </c>
      <c r="W22" s="32" t="n">
        <v>15.87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IF(B23=0,"",RANK(B23,$B$2:$B$96,0))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SPORTKING</t>
        </is>
      </c>
      <c r="D23" s="34" t="inlineStr">
        <is>
          <t>Sportking India Ltd</t>
        </is>
      </c>
      <c r="E23" s="31" t="inlineStr">
        <is>
          <t>textiles</t>
        </is>
      </c>
      <c r="F23" s="31" t="inlineStr">
        <is>
          <t>Textiles Spinning</t>
        </is>
      </c>
      <c r="G23" s="31" t="inlineStr">
        <is>
          <t>smallcap</t>
        </is>
      </c>
      <c r="H23" s="32" t="n">
        <v>2884.53</v>
      </c>
      <c r="I23" s="32" t="n">
        <v>227</v>
      </c>
      <c r="J23" s="32" t="n">
        <v>8.289999999999999</v>
      </c>
      <c r="K23" s="32" t="n">
        <v>0</v>
      </c>
      <c r="L23" s="31" t="n">
        <v>70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64.03</v>
      </c>
      <c r="P23" s="32" t="n">
        <v>63.03</v>
      </c>
      <c r="Q23" s="32" t="n">
        <v>167.1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-12.01</v>
      </c>
      <c r="U23" s="32" t="n">
        <v>137.82</v>
      </c>
      <c r="V23" s="32" t="n">
        <v>170.27</v>
      </c>
      <c r="W23" s="32" t="n">
        <v>25.05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IF(B24=0,"",RANK(B24,$B$2:$B$96,0))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BHAGERIA</t>
        </is>
      </c>
      <c r="D24" s="31" t="inlineStr">
        <is>
          <t>Bhageria Industries Ltd</t>
        </is>
      </c>
      <c r="E24" s="31" t="inlineStr">
        <is>
          <t>chemicals</t>
        </is>
      </c>
      <c r="F24" s="31" t="inlineStr">
        <is>
          <t>Dyes and Pigments</t>
        </is>
      </c>
      <c r="G24" s="31" t="inlineStr">
        <is>
          <t>smallcap</t>
        </is>
      </c>
      <c r="H24" s="32" t="n">
        <v>1647.57</v>
      </c>
      <c r="I24" s="32" t="n">
        <v>377.5</v>
      </c>
      <c r="J24" s="32" t="n">
        <v>-2.68</v>
      </c>
      <c r="K24" s="32" t="n">
        <v>0</v>
      </c>
      <c r="L24" s="31" t="n">
        <v>90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75.17</v>
      </c>
      <c r="P24" s="32" t="n">
        <v>49.37</v>
      </c>
      <c r="Q24" s="32" t="n">
        <v>296.83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-12.01</v>
      </c>
      <c r="U24" s="32" t="n">
        <v>120.29</v>
      </c>
      <c r="V24" s="32" t="n">
        <v>150.35</v>
      </c>
      <c r="W24" s="32" t="n">
        <v>38.58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IF(B25=0,"",RANK(B25,$B$2:$B$96,0))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VALIANTORG</t>
        </is>
      </c>
      <c r="D25" s="34" t="inlineStr">
        <is>
          <t>Valiant Organics Ltd</t>
        </is>
      </c>
      <c r="E25" s="31" t="inlineStr">
        <is>
          <t>chemicals</t>
        </is>
      </c>
      <c r="F25" s="31" t="inlineStr">
        <is>
          <t>Chemicals Organic</t>
        </is>
      </c>
      <c r="G25" s="31" t="inlineStr">
        <is>
          <t>smallcap</t>
        </is>
      </c>
      <c r="H25" s="32" t="n">
        <v>1298</v>
      </c>
      <c r="I25" s="32" t="n">
        <v>463</v>
      </c>
      <c r="J25" s="32" t="n">
        <v>2.41</v>
      </c>
      <c r="K25" s="32" t="n">
        <v>0</v>
      </c>
      <c r="L25" s="31" t="n">
        <v>72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70.73999999999999</v>
      </c>
      <c r="P25" s="32" t="n">
        <v>51.26</v>
      </c>
      <c r="Q25" s="32" t="n">
        <v>345.17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-12.01</v>
      </c>
      <c r="U25" s="32" t="n">
        <v>56.84</v>
      </c>
      <c r="V25" s="32" t="n">
        <v>78.23999999999999</v>
      </c>
      <c r="W25" s="32" t="n">
        <v>26.44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17</t>
        </is>
      </c>
      <c r="CG25" s="31">
        <f>IF(CF25&gt;20,10,IF(CF25&gt;=10,5,2))</f>
        <v/>
      </c>
    </row>
    <row r="26">
      <c r="A26" s="31">
        <f>IF(B26=0,"",RANK(B26,$B$2:$B$96,0))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FINCABLES</t>
        </is>
      </c>
      <c r="D26" s="31" t="inlineStr">
        <is>
          <t>Finolex Cables Ltd</t>
        </is>
      </c>
      <c r="E26" s="31" t="inlineStr">
        <is>
          <t>industrials</t>
        </is>
      </c>
      <c r="F26" s="31" t="inlineStr">
        <is>
          <t>Cables Telecom</t>
        </is>
      </c>
      <c r="G26" s="31" t="inlineStr">
        <is>
          <t>largecap</t>
        </is>
      </c>
      <c r="H26" s="32" t="n">
        <v>22023.27</v>
      </c>
      <c r="I26" s="32" t="n">
        <v>1440</v>
      </c>
      <c r="J26" s="32" t="n">
        <v>-2.34</v>
      </c>
      <c r="K26" s="32" t="n">
        <v>0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67.34</v>
      </c>
      <c r="P26" s="32" t="n">
        <v>42.29</v>
      </c>
      <c r="Q26" s="32" t="n">
        <v>1120.38</v>
      </c>
      <c r="R26" s="31" t="inlineStr">
        <is>
          <t>Near 52W High Breakout</t>
        </is>
      </c>
      <c r="S26" s="31" t="inlineStr">
        <is>
          <t>Nifty Energy</t>
        </is>
      </c>
      <c r="T26" s="32" t="inlineStr"/>
      <c r="U26" s="32" t="inlineStr"/>
      <c r="V26" s="32" t="inlineStr"/>
      <c r="W26" s="32" t="inlineStr"/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Oligopoly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17</t>
        </is>
      </c>
      <c r="CG26" s="31">
        <f>IF(CF26&gt;20,10,IF(CF26&gt;=10,5,2))</f>
        <v/>
      </c>
    </row>
    <row r="27">
      <c r="A27" s="31">
        <f>IF(B27=0,"",RANK(B27,$B$2:$B$96,0))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CEIGALL</t>
        </is>
      </c>
      <c r="D27" s="34" t="inlineStr">
        <is>
          <t>Ceigall India Ltd</t>
        </is>
      </c>
      <c r="E27" s="31" t="inlineStr">
        <is>
          <t>realty</t>
        </is>
      </c>
      <c r="F27" s="31" t="inlineStr">
        <is>
          <t>Construction Civil and Turnkey</t>
        </is>
      </c>
      <c r="G27" s="31" t="inlineStr">
        <is>
          <t>midcap</t>
        </is>
      </c>
      <c r="H27" s="32" t="n">
        <v>6793.99</v>
      </c>
      <c r="I27" s="32" t="n">
        <v>390</v>
      </c>
      <c r="J27" s="32" t="n">
        <v>1.68</v>
      </c>
      <c r="K27" s="32" t="n">
        <v>0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63.03</v>
      </c>
      <c r="P27" s="32" t="n">
        <v>22.03</v>
      </c>
      <c r="Q27" s="32" t="n">
        <v>307.88</v>
      </c>
      <c r="R27" s="31" t="inlineStr">
        <is>
          <t>Near 52W High Breakout</t>
        </is>
      </c>
      <c r="S27" s="31" t="inlineStr">
        <is>
          <t>Nifty Realty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16</t>
        </is>
      </c>
      <c r="CG27" s="31">
        <f>IF(CF27&gt;20,10,IF(CF27&gt;=10,5,2))</f>
        <v/>
      </c>
    </row>
    <row r="28">
      <c r="A28" s="31">
        <f>IF(B28=0,"",RANK(B28,$B$2:$B$96,0))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COFORGE</t>
        </is>
      </c>
      <c r="D28" s="34" t="inlineStr">
        <is>
          <t>Coforge Ltd</t>
        </is>
      </c>
      <c r="E28" s="31" t="inlineStr">
        <is>
          <t>i.t</t>
        </is>
      </c>
      <c r="F28" s="31" t="inlineStr">
        <is>
          <t>IT Services</t>
        </is>
      </c>
      <c r="G28" s="31" t="inlineStr">
        <is>
          <t>largecap</t>
        </is>
      </c>
      <c r="H28" s="32" t="n">
        <v>85417.85000000001</v>
      </c>
      <c r="I28" s="32" t="n">
        <v>1928</v>
      </c>
      <c r="J28" s="32" t="n">
        <v>-0.05</v>
      </c>
      <c r="K28" s="32" t="n">
        <v>0</v>
      </c>
      <c r="L28" s="31" t="n">
        <v>31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64.56999999999999</v>
      </c>
      <c r="P28" s="32" t="n">
        <v>23.49</v>
      </c>
      <c r="Q28" s="32" t="n">
        <v>1636.72</v>
      </c>
      <c r="R28" s="31" t="inlineStr">
        <is>
          <t>Near 52W High Breakout</t>
        </is>
      </c>
      <c r="S28" s="31" t="inlineStr">
        <is>
          <t>Nifty IT</t>
        </is>
      </c>
      <c r="T28" s="32" t="n">
        <v>-13.68</v>
      </c>
      <c r="U28" s="32" t="n">
        <v>11.9</v>
      </c>
      <c r="V28" s="32" t="n">
        <v>29.63</v>
      </c>
      <c r="W28" s="32" t="n">
        <v>9.41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16</t>
        </is>
      </c>
      <c r="CG28" s="31">
        <f>IF(CF28&gt;20,10,IF(CF28&gt;=10,5,2))</f>
        <v/>
      </c>
    </row>
    <row r="29">
      <c r="A29" s="31">
        <f>IF(B29=0,"",RANK(B29,$B$2:$B$96,0))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VIKRAMTH</t>
        </is>
      </c>
      <c r="D29" s="31" t="inlineStr">
        <is>
          <t>Vikram Thermo (India) Ltd</t>
        </is>
      </c>
      <c r="E29" s="31" t="inlineStr">
        <is>
          <t>Healthcare</t>
        </is>
      </c>
      <c r="F29" s="31" t="inlineStr">
        <is>
          <t>Specialty Chemicals</t>
        </is>
      </c>
      <c r="G29" s="31" t="inlineStr">
        <is>
          <t>smallcap</t>
        </is>
      </c>
      <c r="H29" s="32" t="n">
        <v>1248.04</v>
      </c>
      <c r="I29" s="32" t="n">
        <v>398</v>
      </c>
      <c r="J29" s="32" t="n">
        <v>-5.7</v>
      </c>
      <c r="K29" s="32" t="n">
        <v>0</v>
      </c>
      <c r="L29" s="31" t="n">
        <v>87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77.92</v>
      </c>
      <c r="P29" s="32" t="n">
        <v>71.09</v>
      </c>
      <c r="Q29" s="32" t="n">
        <v>309.71</v>
      </c>
      <c r="R29" s="31" t="inlineStr">
        <is>
          <t>Volume Spike / Accumulation</t>
        </is>
      </c>
      <c r="S29" s="31" t="inlineStr">
        <is>
          <t>Nifty Pharma</t>
        </is>
      </c>
      <c r="T29" s="32" t="n">
        <v>15.65</v>
      </c>
      <c r="U29" s="32" t="n">
        <v>142.13</v>
      </c>
      <c r="V29" s="32" t="n">
        <v>109.36</v>
      </c>
      <c r="W29" s="32" t="n">
        <v>35.5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17</t>
        </is>
      </c>
      <c r="CG29" s="31">
        <f>IF(CF29&gt;20,10,IF(CF29&gt;=10,5,2))</f>
        <v/>
      </c>
    </row>
    <row r="30">
      <c r="A30" s="31">
        <f>IF(B30=0,"",RANK(B30,$B$2:$B$96,0))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HIIL</t>
        </is>
      </c>
      <c r="D30" s="31" t="inlineStr">
        <is>
          <t>Hindusthan Insulators &amp; Industries Ltd</t>
        </is>
      </c>
      <c r="E30" s="31" t="inlineStr">
        <is>
          <t>Industrials</t>
        </is>
      </c>
      <c r="F30" s="31" t="inlineStr">
        <is>
          <t>Electric Equipment General</t>
        </is>
      </c>
      <c r="G30" s="31" t="inlineStr">
        <is>
          <t>smallcap</t>
        </is>
      </c>
      <c r="H30" s="32" t="n">
        <v>1308.66</v>
      </c>
      <c r="I30" s="32" t="n">
        <v>604.65</v>
      </c>
      <c r="J30" s="32" t="n">
        <v>2</v>
      </c>
      <c r="K30" s="32" t="n">
        <v>0</v>
      </c>
      <c r="L30" s="31" t="n">
        <v>94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97.04000000000001</v>
      </c>
      <c r="P30" s="32" t="n">
        <v>85.79000000000001</v>
      </c>
      <c r="Q30" s="32" t="n">
        <v>554.76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-12.01</v>
      </c>
      <c r="U30" s="32" t="n">
        <v>332.07</v>
      </c>
      <c r="V30" s="32" t="n">
        <v>391.03</v>
      </c>
      <c r="W30" s="32" t="n">
        <v>45.24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27</t>
        </is>
      </c>
      <c r="CG30" s="31">
        <f>IF(CF30&gt;20,10,IF(CF30&gt;=10,5,2))</f>
        <v/>
      </c>
    </row>
    <row r="31">
      <c r="A31" s="31">
        <f>IF(B31=0,"",RANK(B31,$B$2:$B$96,0))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AEGISLOG</t>
        </is>
      </c>
      <c r="D31" s="31" t="inlineStr">
        <is>
          <t>Aegis Logistics Ltd</t>
        </is>
      </c>
      <c r="E31" s="31" t="inlineStr">
        <is>
          <t>services</t>
        </is>
      </c>
      <c r="F31" s="31" t="inlineStr">
        <is>
          <t>Logistics</t>
        </is>
      </c>
      <c r="G31" s="31" t="inlineStr">
        <is>
          <t>largecap</t>
        </is>
      </c>
      <c r="H31" s="32" t="n">
        <v>52148.07</v>
      </c>
      <c r="I31" s="32" t="n">
        <v>1485.7</v>
      </c>
      <c r="J31" s="32" t="n">
        <v>6.73</v>
      </c>
      <c r="K31" s="32" t="n">
        <v>0</v>
      </c>
      <c r="L31" s="31" t="n">
        <v>59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68.26000000000001</v>
      </c>
      <c r="P31" s="32" t="n">
        <v>54.72</v>
      </c>
      <c r="Q31" s="32" t="n">
        <v>1084.94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-12.01</v>
      </c>
      <c r="U31" s="32" t="n">
        <v>85.76000000000001</v>
      </c>
      <c r="V31" s="32" t="n">
        <v>111.11</v>
      </c>
      <c r="W31" s="32" t="n">
        <v>20.01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27</t>
        </is>
      </c>
      <c r="CG31" s="31">
        <f>IF(CF31&gt;20,10,IF(CF31&gt;=10,5,2))</f>
        <v/>
      </c>
    </row>
    <row r="32">
      <c r="A32" s="31">
        <f>IF(B32=0,"",RANK(B32,$B$2:$B$96,0))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LOTUSDEV</t>
        </is>
      </c>
      <c r="D32" s="31" t="inlineStr">
        <is>
          <t>Sri Lotus Developers &amp; Realty Ltd</t>
        </is>
      </c>
      <c r="E32" s="31" t="inlineStr">
        <is>
          <t>realty</t>
        </is>
      </c>
      <c r="F32" s="31" t="inlineStr">
        <is>
          <t>Construction Factories and Offices and Commercial</t>
        </is>
      </c>
      <c r="G32" s="31" t="inlineStr">
        <is>
          <t>midcap</t>
        </is>
      </c>
      <c r="H32" s="32" t="n">
        <v>11629.18</v>
      </c>
      <c r="I32" s="32" t="n">
        <v>237.95</v>
      </c>
      <c r="J32" s="32" t="n">
        <v>3.13</v>
      </c>
      <c r="K32" s="32" t="n">
        <v>0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71.91</v>
      </c>
      <c r="P32" s="32" t="n">
        <v>36.59</v>
      </c>
      <c r="Q32" s="32" t="n">
        <v>184.47</v>
      </c>
      <c r="R32" s="31" t="inlineStr">
        <is>
          <t>Near 52W High Breakout</t>
        </is>
      </c>
      <c r="S32" s="31" t="inlineStr">
        <is>
          <t>Nifty Realty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22</t>
        </is>
      </c>
      <c r="CG32" s="31">
        <f>IF(CF32&gt;20,10,IF(CF32&gt;=10,5,2))</f>
        <v/>
      </c>
    </row>
    <row r="33">
      <c r="A33" s="31">
        <f>IF(B33=0,"",RANK(B33,$B$2:$B$96,0))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TATVA</t>
        </is>
      </c>
      <c r="D33" s="31" t="inlineStr">
        <is>
          <t>Tatva Chintan Pharma Chem Ltd</t>
        </is>
      </c>
      <c r="E33" s="31" t="inlineStr">
        <is>
          <t>chemicals</t>
        </is>
      </c>
      <c r="F33" s="31" t="inlineStr">
        <is>
          <t>Specialty Chemicals</t>
        </is>
      </c>
      <c r="G33" s="31" t="inlineStr">
        <is>
          <t>smallcap</t>
        </is>
      </c>
      <c r="H33" s="32" t="n">
        <v>4526.6</v>
      </c>
      <c r="I33" s="32" t="n">
        <v>1935.1</v>
      </c>
      <c r="J33" s="32" t="n">
        <v>5.09</v>
      </c>
      <c r="K33" s="32" t="n">
        <v>0</v>
      </c>
      <c r="L33" s="31" t="n">
        <v>48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71.06</v>
      </c>
      <c r="P33" s="32" t="n">
        <v>44.12</v>
      </c>
      <c r="Q33" s="32" t="n">
        <v>1456.64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-12.01</v>
      </c>
      <c r="U33" s="32" t="n">
        <v>46.14</v>
      </c>
      <c r="V33" s="32" t="n">
        <v>66.08</v>
      </c>
      <c r="W33" s="32" t="n">
        <v>16.05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19</t>
        </is>
      </c>
      <c r="CG33" s="31">
        <f>IF(CF33&gt;20,10,IF(CF33&gt;=10,5,2))</f>
        <v/>
      </c>
    </row>
    <row r="34">
      <c r="A34" s="31">
        <f>IF(B34=0,"",RANK(B34,$B$2:$B$96,0))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DELTACORP</t>
        </is>
      </c>
      <c r="D34" s="31" t="inlineStr">
        <is>
          <t>Delta Corp Ltd</t>
        </is>
      </c>
      <c r="E34" s="31" t="inlineStr">
        <is>
          <t>miscellaneous</t>
        </is>
      </c>
      <c r="F34" s="31" t="inlineStr">
        <is>
          <t>Miscellaneous</t>
        </is>
      </c>
      <c r="G34" s="31" t="inlineStr">
        <is>
          <t>smallcap</t>
        </is>
      </c>
      <c r="H34" s="32" t="n">
        <v>2176.98</v>
      </c>
      <c r="I34" s="32" t="n">
        <v>81.3</v>
      </c>
      <c r="J34" s="32" t="n">
        <v>1.25</v>
      </c>
      <c r="K34" s="32" t="n">
        <v>0</v>
      </c>
      <c r="L34" s="31" t="n">
        <v>22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65.23999999999999</v>
      </c>
      <c r="P34" s="32" t="n">
        <v>26.27</v>
      </c>
      <c r="Q34" s="32" t="n">
        <v>57.36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-12.01</v>
      </c>
      <c r="U34" s="32" t="n">
        <v>3.42</v>
      </c>
      <c r="V34" s="32" t="n">
        <v>17.53</v>
      </c>
      <c r="W34" s="32" t="n">
        <v>7.12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18</t>
        </is>
      </c>
      <c r="CG34" s="31">
        <f>IF(CF34&gt;20,10,IF(CF34&gt;=10,5,2))</f>
        <v/>
      </c>
    </row>
    <row r="35">
      <c r="A35" s="31">
        <f>IF(B35=0,"",RANK(B35,$B$2:$B$96,0))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RPEL</t>
        </is>
      </c>
      <c r="D35" s="31" t="inlineStr">
        <is>
          <t>Raghav Productivity Enhancers Ltd</t>
        </is>
      </c>
      <c r="E35" s="31" t="inlineStr">
        <is>
          <t>building materials</t>
        </is>
      </c>
      <c r="F35" s="31" t="inlineStr">
        <is>
          <t>Refractories</t>
        </is>
      </c>
      <c r="G35" s="31" t="inlineStr">
        <is>
          <t>midcap</t>
        </is>
      </c>
      <c r="H35" s="32" t="n">
        <v>8550.67</v>
      </c>
      <c r="I35" s="32" t="n">
        <v>1862</v>
      </c>
      <c r="J35" s="32" t="n">
        <v>0.37</v>
      </c>
      <c r="K35" s="32" t="n">
        <v>0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72.17</v>
      </c>
      <c r="P35" s="32" t="n">
        <v>61.66</v>
      </c>
      <c r="Q35" s="32" t="n">
        <v>1352.04</v>
      </c>
      <c r="R35" s="31" t="inlineStr">
        <is>
          <t>Near 52W High Breakout</t>
        </is>
      </c>
      <c r="S35" s="31" t="inlineStr">
        <is>
          <t>Nifty Infra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18</t>
        </is>
      </c>
      <c r="CG35" s="31">
        <f>IF(CF35&gt;20,10,IF(CF35&gt;=10,5,2))</f>
        <v/>
      </c>
    </row>
    <row r="36">
      <c r="A36" s="31">
        <f>IF(B36=0,"",RANK(B36,$B$2:$B$96,0))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AIMTRON</t>
        </is>
      </c>
      <c r="D36" s="34" t="inlineStr">
        <is>
          <t>Aimtron Electronics Ltd</t>
        </is>
      </c>
      <c r="E36" s="31" t="inlineStr">
        <is>
          <t>unknown</t>
        </is>
      </c>
      <c r="F36" s="31" t="inlineStr">
        <is>
          <t>EMS</t>
        </is>
      </c>
      <c r="G36" s="31" t="inlineStr">
        <is>
          <t>smallcap</t>
        </is>
      </c>
      <c r="H36" s="32" t="n">
        <v>3950.67</v>
      </c>
      <c r="I36" s="32" t="n">
        <v>1857</v>
      </c>
      <c r="J36" s="32" t="n">
        <v>5.62</v>
      </c>
      <c r="K36" s="32" t="n">
        <v>0</v>
      </c>
      <c r="L36" s="31" t="n">
        <v>71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64.15000000000001</v>
      </c>
      <c r="P36" s="32" t="n">
        <v>63.56</v>
      </c>
      <c r="Q36" s="32" t="n">
        <v>1417.48</v>
      </c>
      <c r="R36" s="31" t="inlineStr">
        <is>
          <t>Earnings / Momentum Support</t>
        </is>
      </c>
      <c r="S36" s="31" t="inlineStr">
        <is>
          <t>Nifty 50</t>
        </is>
      </c>
      <c r="T36" s="32" t="n">
        <v>-12.01</v>
      </c>
      <c r="U36" s="32" t="n">
        <v>140.81</v>
      </c>
      <c r="V36" s="32" t="n">
        <v>173.67</v>
      </c>
      <c r="W36" s="32" t="n">
        <v>26.07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17</t>
        </is>
      </c>
      <c r="CG36" s="31">
        <f>IF(CF36&gt;20,10,IF(CF36&gt;=10,5,2))</f>
        <v/>
      </c>
    </row>
    <row r="37">
      <c r="A37" s="31">
        <f>IF(B37=0,"",RANK(B37,$B$2:$B$96,0))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FILATEX</t>
        </is>
      </c>
      <c r="D37" s="34" t="inlineStr">
        <is>
          <t>Filatex India Ltd</t>
        </is>
      </c>
      <c r="E37" s="31" t="inlineStr">
        <is>
          <t>textiles</t>
        </is>
      </c>
      <c r="F37" s="31" t="inlineStr">
        <is>
          <t>Textiles Manmade PFY and PSF</t>
        </is>
      </c>
      <c r="G37" s="31" t="inlineStr">
        <is>
          <t>smallcap</t>
        </is>
      </c>
      <c r="H37" s="32" t="n">
        <v>4943.7</v>
      </c>
      <c r="I37" s="32" t="n">
        <v>111.33</v>
      </c>
      <c r="J37" s="32" t="n">
        <v>4.69</v>
      </c>
      <c r="K37" s="32" t="n">
        <v>0</v>
      </c>
      <c r="L37" s="31" t="n">
        <v>78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83.62</v>
      </c>
      <c r="P37" s="32" t="n">
        <v>55.98</v>
      </c>
      <c r="Q37" s="32" t="n">
        <v>83.93000000000001</v>
      </c>
      <c r="R37" s="31" t="inlineStr">
        <is>
          <t>Near 52W High Breakout</t>
        </is>
      </c>
      <c r="S37" s="31" t="inlineStr">
        <is>
          <t>Nifty 50</t>
        </is>
      </c>
      <c r="T37" s="32" t="n">
        <v>-12.01</v>
      </c>
      <c r="U37" s="32" t="n">
        <v>102.79</v>
      </c>
      <c r="V37" s="32" t="n">
        <v>130.47</v>
      </c>
      <c r="W37" s="32" t="n">
        <v>30.78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Between 12 to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16</t>
        </is>
      </c>
      <c r="CG37" s="31">
        <f>IF(CF37&gt;20,10,IF(CF37&gt;=10,5,2))</f>
        <v/>
      </c>
    </row>
    <row r="38">
      <c r="A38" s="31">
        <f>IF(B38=0,"",RANK(B38,$B$2:$B$96,0))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CUPID</t>
        </is>
      </c>
      <c r="D38" s="31" t="inlineStr">
        <is>
          <t>Cupid Ltd</t>
        </is>
      </c>
      <c r="E38" s="31" t="inlineStr">
        <is>
          <t>fmcg</t>
        </is>
      </c>
      <c r="F38" s="31" t="inlineStr">
        <is>
          <t>Contraceptives and Protectives</t>
        </is>
      </c>
      <c r="G38" s="31" t="inlineStr">
        <is>
          <t>largecap</t>
        </is>
      </c>
      <c r="H38" s="32" t="n">
        <v>47701.84</v>
      </c>
      <c r="I38" s="32" t="n">
        <v>354.75</v>
      </c>
      <c r="J38" s="32" t="n">
        <v>0.47</v>
      </c>
      <c r="K38" s="32" t="n">
        <v>0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82.15000000000001</v>
      </c>
      <c r="P38" s="32" t="n">
        <v>65.09999999999999</v>
      </c>
      <c r="Q38" s="32" t="n">
        <v>281.76</v>
      </c>
      <c r="R38" s="31" t="inlineStr">
        <is>
          <t>Near 52W High Breakout</t>
        </is>
      </c>
      <c r="S38" s="31" t="inlineStr">
        <is>
          <t>Nifty FMCG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MODINSU</t>
        </is>
      </c>
      <c r="D39" s="31" t="inlineStr">
        <is>
          <t>Modern Insulators Ltd</t>
        </is>
      </c>
      <c r="E39" s="31" t="inlineStr">
        <is>
          <t>Technology</t>
        </is>
      </c>
      <c r="F39" s="31" t="inlineStr">
        <is>
          <t>Capital Goods Electric General</t>
        </is>
      </c>
      <c r="G39" s="31" t="inlineStr">
        <is>
          <t>smallcap</t>
        </is>
      </c>
      <c r="H39" s="32" t="n">
        <v>2422.96</v>
      </c>
      <c r="I39" s="32" t="n">
        <v>513.95</v>
      </c>
      <c r="J39" s="32" t="n">
        <v>-0.02</v>
      </c>
      <c r="K39" s="32" t="n">
        <v>0</v>
      </c>
      <c r="L39" s="31" t="n">
        <v>80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</v>
      </c>
      <c r="P39" s="32" t="n">
        <v>25.98</v>
      </c>
      <c r="Q39" s="32" t="n">
        <v>362.59</v>
      </c>
      <c r="R39" s="31" t="inlineStr">
        <is>
          <t>Earnings / Momentum Support</t>
        </is>
      </c>
      <c r="S39" s="31" t="inlineStr">
        <is>
          <t>Nifty 50</t>
        </is>
      </c>
      <c r="T39" s="32" t="n">
        <v>-12.01</v>
      </c>
      <c r="U39" s="32" t="n">
        <v>258.93</v>
      </c>
      <c r="V39" s="32" t="n">
        <v>307.91</v>
      </c>
      <c r="W39" s="32" t="n">
        <v>32.43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IF(B40=0,"",RANK(B40,$B$2:$B$96,0))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ASMTEC</t>
        </is>
      </c>
      <c r="D40" s="31" t="inlineStr">
        <is>
          <t>ASM Technologies Ltd</t>
        </is>
      </c>
      <c r="E40" s="31" t="inlineStr">
        <is>
          <t>Technology</t>
        </is>
      </c>
      <c r="F40" s="31" t="inlineStr">
        <is>
          <t>IT Services</t>
        </is>
      </c>
      <c r="G40" s="31" t="inlineStr">
        <is>
          <t>midcap</t>
        </is>
      </c>
      <c r="H40" s="32" t="n">
        <v>10064.8</v>
      </c>
      <c r="I40" s="32" t="n">
        <v>6900</v>
      </c>
      <c r="J40" s="32" t="n">
        <v>0.98</v>
      </c>
      <c r="K40" s="32" t="n">
        <v>0</v>
      </c>
      <c r="L40" s="31" t="n">
        <v>79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76.79000000000001</v>
      </c>
      <c r="P40" s="32" t="n">
        <v>60.68</v>
      </c>
      <c r="Q40" s="32" t="n">
        <v>5252.03</v>
      </c>
      <c r="R40" s="31" t="inlineStr">
        <is>
          <t>Near 52W High Breakout</t>
        </is>
      </c>
      <c r="S40" s="31" t="inlineStr">
        <is>
          <t>Nifty 50</t>
        </is>
      </c>
      <c r="T40" s="32" t="n">
        <v>-12.01</v>
      </c>
      <c r="U40" s="32" t="n">
        <v>94.59999999999999</v>
      </c>
      <c r="V40" s="32" t="n">
        <v>121.16</v>
      </c>
      <c r="W40" s="32" t="n">
        <v>31.36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17</t>
        </is>
      </c>
      <c r="CG40" s="31">
        <f>IF(CF40&gt;20,10,IF(CF40&gt;=10,5,2))</f>
        <v/>
      </c>
    </row>
    <row r="41">
      <c r="A41" s="31">
        <f>IF(B41=0,"",RANK(B41,$B$2:$B$96,0))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WSTCSTPAPR</t>
        </is>
      </c>
      <c r="D41" s="31" t="inlineStr">
        <is>
          <t>West Coast Paper Mills Ltd</t>
        </is>
      </c>
      <c r="E41" s="31" t="inlineStr">
        <is>
          <t>building materials</t>
        </is>
      </c>
      <c r="F41" s="31" t="inlineStr">
        <is>
          <t>Paper</t>
        </is>
      </c>
      <c r="G41" s="31" t="inlineStr">
        <is>
          <t>midcap</t>
        </is>
      </c>
      <c r="H41" s="32" t="n">
        <v>6201.99</v>
      </c>
      <c r="I41" s="32" t="n">
        <v>939</v>
      </c>
      <c r="J41" s="32" t="n">
        <v>13.38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82.79000000000001</v>
      </c>
      <c r="P41" s="32" t="n">
        <v>67.01000000000001</v>
      </c>
      <c r="Q41" s="32" t="n">
        <v>739.8</v>
      </c>
      <c r="R41" s="31" t="inlineStr">
        <is>
          <t>Volume Spike &amp; Near 52W High Breakout</t>
        </is>
      </c>
      <c r="S41" s="31" t="inlineStr">
        <is>
          <t>Nifty Infra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22</t>
        </is>
      </c>
      <c r="CG41" s="31">
        <f>IF(CF41&gt;20,10,IF(CF41&gt;=10,5,2))</f>
        <v/>
      </c>
    </row>
    <row r="42">
      <c r="A42" s="31">
        <f>IF(B42=0,"",RANK(B42,$B$2:$B$96,0))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KMEW</t>
        </is>
      </c>
      <c r="D42" s="31" t="inlineStr">
        <is>
          <t>Knowledge Marine &amp; Engineering Works Ltd</t>
        </is>
      </c>
      <c r="E42" s="31" t="inlineStr">
        <is>
          <t>transportation</t>
        </is>
      </c>
      <c r="F42" s="31" t="inlineStr">
        <is>
          <t>Shipping</t>
        </is>
      </c>
      <c r="G42" s="31" t="inlineStr">
        <is>
          <t>midcap</t>
        </is>
      </c>
      <c r="H42" s="32" t="n">
        <v>8347.02</v>
      </c>
      <c r="I42" s="32" t="n">
        <v>3290.85</v>
      </c>
      <c r="J42" s="32" t="n">
        <v>1.5</v>
      </c>
      <c r="K42" s="32" t="n">
        <v>0</v>
      </c>
      <c r="L42" s="31" t="n">
        <v>85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78.97</v>
      </c>
      <c r="P42" s="32" t="n">
        <v>58.88</v>
      </c>
      <c r="Q42" s="32" t="n">
        <v>2431.28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-12.01</v>
      </c>
      <c r="U42" s="32" t="n">
        <v>198.99</v>
      </c>
      <c r="V42" s="32" t="n">
        <v>239.8</v>
      </c>
      <c r="W42" s="32" t="n">
        <v>34.84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21</t>
        </is>
      </c>
      <c r="CG42" s="31">
        <f>IF(CF42&gt;20,10,IF(CF42&gt;=10,5,2))</f>
        <v/>
      </c>
    </row>
    <row r="43">
      <c r="A43" s="31">
        <f>IF(B43=0,"",RANK(B43,$B$2:$B$96,0))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SUNTV</t>
        </is>
      </c>
      <c r="D43" s="34" t="inlineStr">
        <is>
          <t>Sun TV Network Ltd</t>
        </is>
      </c>
      <c r="E43" s="31" t="inlineStr">
        <is>
          <t>media</t>
        </is>
      </c>
      <c r="F43" s="31" t="inlineStr">
        <is>
          <t>Entertainment and Media</t>
        </is>
      </c>
      <c r="G43" s="31" t="inlineStr">
        <is>
          <t>largecap</t>
        </is>
      </c>
      <c r="H43" s="32" t="n">
        <v>25745.55</v>
      </c>
      <c r="I43" s="32" t="n">
        <v>653.3</v>
      </c>
      <c r="J43" s="32" t="n">
        <v>2.71</v>
      </c>
      <c r="K43" s="32" t="n">
        <v>0</v>
      </c>
      <c r="L43" s="31" t="n">
        <v>36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70.09</v>
      </c>
      <c r="P43" s="32" t="n">
        <v>23.29</v>
      </c>
      <c r="Q43" s="32" t="n">
        <v>518.4299999999999</v>
      </c>
      <c r="R43" s="31" t="inlineStr">
        <is>
          <t>Near 52W High Breakout</t>
        </is>
      </c>
      <c r="S43" s="31" t="inlineStr">
        <is>
          <t>Nifty IT</t>
        </is>
      </c>
      <c r="T43" s="32" t="n">
        <v>-13.68</v>
      </c>
      <c r="U43" s="32" t="n">
        <v>17.74</v>
      </c>
      <c r="V43" s="32" t="n">
        <v>36.39</v>
      </c>
      <c r="W43" s="32" t="n">
        <v>11.48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Between 12 to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20</t>
        </is>
      </c>
      <c r="CG43" s="31">
        <f>IF(CF43&gt;20,10,IF(CF43&gt;=10,5,2))</f>
        <v/>
      </c>
    </row>
    <row r="44">
      <c r="A44" s="31">
        <f>IF(B44=0,"",RANK(B44,$B$2:$B$96,0))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EBGNG</t>
        </is>
      </c>
      <c r="D44" s="34" t="inlineStr">
        <is>
          <t>GNG Electronics Ltd</t>
        </is>
      </c>
      <c r="E44" s="31" t="inlineStr">
        <is>
          <t>services</t>
        </is>
      </c>
      <c r="F44" s="31" t="inlineStr">
        <is>
          <t>New age Platform E Retail</t>
        </is>
      </c>
      <c r="G44" s="31" t="inlineStr">
        <is>
          <t>midcap</t>
        </is>
      </c>
      <c r="H44" s="32" t="n">
        <v>8345.639999999999</v>
      </c>
      <c r="I44" s="32" t="n">
        <v>732</v>
      </c>
      <c r="J44" s="32" t="n">
        <v>4.84</v>
      </c>
      <c r="K44" s="32" t="n">
        <v>0</v>
      </c>
      <c r="L44" s="31" t="n">
        <v>73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68.13</v>
      </c>
      <c r="P44" s="32" t="n">
        <v>37.24</v>
      </c>
      <c r="Q44" s="32" t="n">
        <v>522.3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-12.01</v>
      </c>
      <c r="U44" s="32" t="n">
        <v>126.07</v>
      </c>
      <c r="V44" s="32" t="n">
        <v>156.91</v>
      </c>
      <c r="W44" s="32" t="n">
        <v>26.83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WHEELS</t>
        </is>
      </c>
      <c r="D45" s="31" t="inlineStr">
        <is>
          <t>Wheels India Ltd</t>
        </is>
      </c>
      <c r="E45" s="31" t="inlineStr">
        <is>
          <t>auto</t>
        </is>
      </c>
      <c r="F45" s="31" t="inlineStr">
        <is>
          <t>Auto Wheels</t>
        </is>
      </c>
      <c r="G45" s="31" t="inlineStr">
        <is>
          <t>midcap</t>
        </is>
      </c>
      <c r="H45" s="32" t="n">
        <v>6465.77</v>
      </c>
      <c r="I45" s="32" t="n">
        <v>2407</v>
      </c>
      <c r="J45" s="32" t="n">
        <v>3.47</v>
      </c>
      <c r="K45" s="32" t="n">
        <v>0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76.89</v>
      </c>
      <c r="P45" s="32" t="n">
        <v>61.87</v>
      </c>
      <c r="Q45" s="32" t="n">
        <v>1796.87</v>
      </c>
      <c r="R45" s="31" t="inlineStr">
        <is>
          <t>Near 52W High Breakout</t>
        </is>
      </c>
      <c r="S45" s="31" t="inlineStr">
        <is>
          <t>Nifty Auto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NRAIL</t>
        </is>
      </c>
      <c r="D46" s="31" t="inlineStr">
        <is>
          <t>N R Agarwal Industries Ltd</t>
        </is>
      </c>
      <c r="E46" s="31" t="inlineStr">
        <is>
          <t>building materials</t>
        </is>
      </c>
      <c r="F46" s="31" t="inlineStr">
        <is>
          <t>Paper</t>
        </is>
      </c>
      <c r="G46" s="31" t="inlineStr">
        <is>
          <t>smallcap</t>
        </is>
      </c>
      <c r="H46" s="32" t="n">
        <v>1310.98</v>
      </c>
      <c r="I46" s="32" t="n">
        <v>770.3</v>
      </c>
      <c r="J46" s="32" t="n">
        <v>2.15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74.91</v>
      </c>
      <c r="P46" s="32" t="n">
        <v>51.3</v>
      </c>
      <c r="Q46" s="32" t="n">
        <v>564.1900000000001</v>
      </c>
      <c r="R46" s="31" t="inlineStr">
        <is>
          <t>Volume Spike &amp; Near 52W High Breakout</t>
        </is>
      </c>
      <c r="S46" s="31" t="inlineStr">
        <is>
          <t>Nifty Infra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AZAD</t>
        </is>
      </c>
      <c r="D47" s="31" t="inlineStr">
        <is>
          <t>Azad Engineering Ltd</t>
        </is>
      </c>
      <c r="E47" s="31" t="inlineStr">
        <is>
          <t>Industrials</t>
        </is>
      </c>
      <c r="F47" s="31" t="inlineStr">
        <is>
          <t>Aerospace and Defence Equipment</t>
        </is>
      </c>
      <c r="G47" s="31" t="inlineStr">
        <is>
          <t>midcap</t>
        </is>
      </c>
      <c r="H47" s="32" t="n">
        <v>18460.69</v>
      </c>
      <c r="I47" s="32" t="n">
        <v>2858.5</v>
      </c>
      <c r="J47" s="32" t="n">
        <v>-4.26</v>
      </c>
      <c r="K47" s="32" t="n">
        <v>0</v>
      </c>
      <c r="L47" s="31" t="n">
        <v>54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66.06</v>
      </c>
      <c r="P47" s="32" t="n">
        <v>44.93</v>
      </c>
      <c r="Q47" s="32" t="n">
        <v>2201.16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-12.01</v>
      </c>
      <c r="U47" s="32" t="n">
        <v>74.56</v>
      </c>
      <c r="V47" s="32" t="n">
        <v>98.38</v>
      </c>
      <c r="W47" s="32" t="n">
        <v>17.22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16</t>
        </is>
      </c>
      <c r="CG47" s="31">
        <f>IF(CF47&gt;20,10,IF(CF47&gt;=10,5,2))</f>
        <v/>
      </c>
    </row>
    <row r="48">
      <c r="A48" s="31">
        <f>IF(B48=0,"",RANK(B48,$B$2:$B$96,0))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HFCL</t>
        </is>
      </c>
      <c r="D48" s="31" t="inlineStr">
        <is>
          <t>HFCL Ltd</t>
        </is>
      </c>
      <c r="E48" s="31" t="inlineStr">
        <is>
          <t>telecom</t>
        </is>
      </c>
      <c r="F48" s="31" t="inlineStr">
        <is>
          <t>Telecommunications Equipment</t>
        </is>
      </c>
      <c r="G48" s="31" t="inlineStr">
        <is>
          <t>largecap</t>
        </is>
      </c>
      <c r="H48" s="32" t="n">
        <v>39275.26</v>
      </c>
      <c r="I48" s="32" t="n">
        <v>256.6</v>
      </c>
      <c r="J48" s="32" t="n">
        <v>-2.06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69.73</v>
      </c>
      <c r="P48" s="32" t="n">
        <v>48.32</v>
      </c>
      <c r="Q48" s="32" t="n">
        <v>187.96</v>
      </c>
      <c r="R48" s="31" t="inlineStr">
        <is>
          <t>Near 52W High Breakout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Oligopoly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IF(B49=0,"",RANK(B49,$B$2:$B$96,0))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FREDUN</t>
        </is>
      </c>
      <c r="D49" s="31" t="inlineStr">
        <is>
          <t>Fredun Pharmaceuticals Ltd</t>
        </is>
      </c>
      <c r="E49" s="31" t="inlineStr">
        <is>
          <t>Healthcare</t>
        </is>
      </c>
      <c r="F49" s="31" t="inlineStr">
        <is>
          <t>Pharma Formulations</t>
        </is>
      </c>
      <c r="G49" s="31" t="inlineStr">
        <is>
          <t>smallcap</t>
        </is>
      </c>
      <c r="H49" s="32" t="n">
        <v>2518</v>
      </c>
      <c r="I49" s="32" t="n">
        <v>1522.55</v>
      </c>
      <c r="J49" s="32" t="n">
        <v>3.05</v>
      </c>
      <c r="K49" s="32" t="n">
        <v>0</v>
      </c>
      <c r="L49" s="31" t="n">
        <v>89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69.95</v>
      </c>
      <c r="P49" s="32" t="n">
        <v>62.71</v>
      </c>
      <c r="Q49" s="32" t="n">
        <v>1100.67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15.65</v>
      </c>
      <c r="U49" s="32" t="n">
        <v>187.6</v>
      </c>
      <c r="V49" s="32" t="n">
        <v>148.68</v>
      </c>
      <c r="W49" s="32" t="n">
        <v>37.97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18</t>
        </is>
      </c>
      <c r="CG49" s="31">
        <f>IF(CF49&gt;20,10,IF(CF49&gt;=10,5,2))</f>
        <v/>
      </c>
    </row>
    <row r="50">
      <c r="A50" s="31">
        <f>IF(B50=0,"",RANK(B50,$B$2:$B$96,0))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VALIANT</t>
        </is>
      </c>
      <c r="D50" s="31" t="inlineStr">
        <is>
          <t>Valiant Communications Ltd</t>
        </is>
      </c>
      <c r="E50" s="31" t="inlineStr">
        <is>
          <t>Technology</t>
        </is>
      </c>
      <c r="F50" s="31" t="inlineStr">
        <is>
          <t>Telecommunications Equipment</t>
        </is>
      </c>
      <c r="G50" s="31" t="inlineStr">
        <is>
          <t>smallcap</t>
        </is>
      </c>
      <c r="H50" s="32" t="n">
        <v>1987.89</v>
      </c>
      <c r="I50" s="32" t="n">
        <v>1700.2</v>
      </c>
      <c r="J50" s="32" t="n">
        <v>-2.16</v>
      </c>
      <c r="K50" s="32" t="n">
        <v>0</v>
      </c>
      <c r="L50" s="31" t="n">
        <v>86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78.01000000000001</v>
      </c>
      <c r="P50" s="32" t="n">
        <v>36.97</v>
      </c>
      <c r="Q50" s="32" t="n">
        <v>1183.78</v>
      </c>
      <c r="R50" s="31" t="inlineStr">
        <is>
          <t>Near 52W High Breakout</t>
        </is>
      </c>
      <c r="S50" s="31" t="inlineStr">
        <is>
          <t>Nifty 50</t>
        </is>
      </c>
      <c r="T50" s="32" t="n">
        <v>-12.01</v>
      </c>
      <c r="U50" s="32" t="n">
        <v>118.24</v>
      </c>
      <c r="V50" s="32" t="n">
        <v>148.02</v>
      </c>
      <c r="W50" s="32" t="n">
        <v>35.09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17</t>
        </is>
      </c>
      <c r="CG50" s="31">
        <f>IF(CF50&gt;20,10,IF(CF50&gt;=10,5,2))</f>
        <v/>
      </c>
    </row>
    <row r="51">
      <c r="A51" s="31">
        <f>IF(B51=0,"",RANK(B51,$B$2:$B$96,0))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BHEL</t>
        </is>
      </c>
      <c r="D51" s="31" t="inlineStr">
        <is>
          <t>Bharat Heavy Electricals Ltd</t>
        </is>
      </c>
      <c r="E51" s="31" t="inlineStr">
        <is>
          <t>industrials</t>
        </is>
      </c>
      <c r="F51" s="31" t="inlineStr">
        <is>
          <t>Capital Goods Engineering Heavy</t>
        </is>
      </c>
      <c r="G51" s="31" t="inlineStr">
        <is>
          <t>largecap</t>
        </is>
      </c>
      <c r="H51" s="32" t="n">
        <v>161567.74</v>
      </c>
      <c r="I51" s="32" t="n">
        <v>464</v>
      </c>
      <c r="J51" s="32" t="n">
        <v>4.89</v>
      </c>
      <c r="K51" s="32" t="n">
        <v>0</v>
      </c>
      <c r="L51" s="31" t="n">
        <v>55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69.20999999999999</v>
      </c>
      <c r="P51" s="32" t="n">
        <v>37.19</v>
      </c>
      <c r="Q51" s="32" t="n">
        <v>377.23</v>
      </c>
      <c r="R51" s="31" t="inlineStr">
        <is>
          <t>Volume Spike &amp; Near 52W High Breakout</t>
        </is>
      </c>
      <c r="S51" s="31" t="inlineStr">
        <is>
          <t>Nifty 50</t>
        </is>
      </c>
      <c r="T51" s="32" t="n">
        <v>-12.01</v>
      </c>
      <c r="U51" s="32" t="n">
        <v>100.11</v>
      </c>
      <c r="V51" s="32" t="n">
        <v>127.42</v>
      </c>
      <c r="W51" s="32" t="n">
        <v>17.4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24</t>
        </is>
      </c>
      <c r="CG51" s="31">
        <f>IF(CF51&gt;20,10,IF(CF51&gt;=10,5,2))</f>
        <v/>
      </c>
    </row>
    <row r="52">
      <c r="A52" s="31">
        <f>IF(B52=0,"",RANK(B52,$B$2:$B$96,0))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KRISHANA</t>
        </is>
      </c>
      <c r="D52" s="34" t="inlineStr">
        <is>
          <t>Krishana Phoschem Ltd</t>
        </is>
      </c>
      <c r="E52" s="31" t="inlineStr">
        <is>
          <t>chemicals</t>
        </is>
      </c>
      <c r="F52" s="31" t="inlineStr">
        <is>
          <t>Fertilisers</t>
        </is>
      </c>
      <c r="G52" s="31" t="inlineStr">
        <is>
          <t>midcap</t>
        </is>
      </c>
      <c r="H52" s="32" t="n">
        <v>6392.97</v>
      </c>
      <c r="I52" s="32" t="n">
        <v>206.8</v>
      </c>
      <c r="J52" s="32" t="n">
        <v>4.75</v>
      </c>
      <c r="K52" s="32" t="n">
        <v>0</v>
      </c>
      <c r="L52" s="31" t="n">
        <v>68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73.58</v>
      </c>
      <c r="P52" s="32" t="n">
        <v>54.22</v>
      </c>
      <c r="Q52" s="32" t="n">
        <v>160.31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-12.01</v>
      </c>
      <c r="U52" s="32" t="n">
        <v>82.06</v>
      </c>
      <c r="V52" s="32" t="n">
        <v>106.91</v>
      </c>
      <c r="W52" s="32" t="n">
        <v>24.23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More than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23</t>
        </is>
      </c>
      <c r="CG52" s="31">
        <f>IF(CF52&gt;20,10,IF(CF52&gt;=10,5,2))</f>
        <v/>
      </c>
    </row>
    <row r="53">
      <c r="A53" s="31">
        <f>IF(B53=0,"",RANK(B53,$B$2:$B$96,0))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ONEPOINT</t>
        </is>
      </c>
      <c r="D53" s="31" t="inlineStr">
        <is>
          <t>One Point One Solutions Ltd</t>
        </is>
      </c>
      <c r="E53" s="31" t="inlineStr">
        <is>
          <t>i.t</t>
        </is>
      </c>
      <c r="F53" s="31" t="inlineStr">
        <is>
          <t>IT Enabled Services</t>
        </is>
      </c>
      <c r="G53" s="31" t="inlineStr">
        <is>
          <t>smallcap</t>
        </is>
      </c>
      <c r="H53" s="32" t="n">
        <v>2237.59</v>
      </c>
      <c r="I53" s="32" t="n">
        <v>85.09999999999999</v>
      </c>
      <c r="J53" s="32" t="n">
        <v>-0.07000000000000001</v>
      </c>
      <c r="K53" s="32" t="n">
        <v>0</v>
      </c>
      <c r="L53" s="31" t="n">
        <v>73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79.05</v>
      </c>
      <c r="P53" s="32" t="n">
        <v>23.73</v>
      </c>
      <c r="Q53" s="32" t="n">
        <v>67.94</v>
      </c>
      <c r="R53" s="31" t="inlineStr">
        <is>
          <t>Near 52W High Breakout</t>
        </is>
      </c>
      <c r="S53" s="31" t="inlineStr">
        <is>
          <t>Nifty IT</t>
        </is>
      </c>
      <c r="T53" s="32" t="n">
        <v>-13.68</v>
      </c>
      <c r="U53" s="32" t="n">
        <v>91.15000000000001</v>
      </c>
      <c r="V53" s="32" t="n">
        <v>121.44</v>
      </c>
      <c r="W53" s="32" t="n">
        <v>27.09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GALAXYSURF</t>
        </is>
      </c>
      <c r="D54" s="31" t="inlineStr">
        <is>
          <t>Galaxy Surfactants Ltd</t>
        </is>
      </c>
      <c r="E54" s="31" t="inlineStr">
        <is>
          <t>chemicals</t>
        </is>
      </c>
      <c r="F54" s="31" t="inlineStr">
        <is>
          <t>Specialty Chemicals</t>
        </is>
      </c>
      <c r="G54" s="31" t="inlineStr">
        <is>
          <t>midcap</t>
        </is>
      </c>
      <c r="H54" s="32" t="n">
        <v>9250.139999999999</v>
      </c>
      <c r="I54" s="32" t="n">
        <v>2609</v>
      </c>
      <c r="J54" s="32" t="n">
        <v>1.05</v>
      </c>
      <c r="K54" s="32" t="n">
        <v>0</v>
      </c>
      <c r="L54" s="31" t="n">
        <v>41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70.02</v>
      </c>
      <c r="P54" s="32" t="n">
        <v>33.89</v>
      </c>
      <c r="Q54" s="32" t="n">
        <v>2077.22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-12.01</v>
      </c>
      <c r="U54" s="32" t="n">
        <v>18.88</v>
      </c>
      <c r="V54" s="32" t="n">
        <v>35.11</v>
      </c>
      <c r="W54" s="32" t="n">
        <v>12.29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22</t>
        </is>
      </c>
      <c r="CG54" s="31">
        <f>IF(CF54&gt;20,10,IF(CF54&gt;=10,5,2))</f>
        <v/>
      </c>
    </row>
    <row r="55">
      <c r="A55" s="31">
        <f>IF(B55=0,"",RANK(B55,$B$2:$B$96,0))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BLUSPRING</t>
        </is>
      </c>
      <c r="D55" s="31" t="inlineStr">
        <is>
          <t>Bluspring Enterprises Ltd</t>
        </is>
      </c>
      <c r="E55" s="31" t="inlineStr">
        <is>
          <t>miscellaneous</t>
        </is>
      </c>
      <c r="F55" s="31" t="inlineStr">
        <is>
          <t>Diversified</t>
        </is>
      </c>
      <c r="G55" s="31" t="inlineStr">
        <is>
          <t>smallcap</t>
        </is>
      </c>
      <c r="H55" s="32" t="n">
        <v>2511.64</v>
      </c>
      <c r="I55" s="32" t="n">
        <v>168</v>
      </c>
      <c r="J55" s="32" t="n">
        <v>6.81</v>
      </c>
      <c r="K55" s="32" t="n">
        <v>0</v>
      </c>
      <c r="L55" s="31" t="n">
        <v>77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75.25</v>
      </c>
      <c r="P55" s="32" t="n">
        <v>58.61</v>
      </c>
      <c r="Q55" s="32" t="n">
        <v>117.68</v>
      </c>
      <c r="R55" s="31" t="inlineStr">
        <is>
          <t>Volume Spike &amp; Near 52W High Breakout</t>
        </is>
      </c>
      <c r="S55" s="31" t="inlineStr">
        <is>
          <t>Nifty 50</t>
        </is>
      </c>
      <c r="T55" s="32" t="n">
        <v>-12.01</v>
      </c>
      <c r="U55" s="32" t="n">
        <v>108.12</v>
      </c>
      <c r="V55" s="32" t="n">
        <v>136.53</v>
      </c>
      <c r="W55" s="32" t="n">
        <v>29.9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MARINE</t>
        </is>
      </c>
      <c r="D56" s="31" t="inlineStr">
        <is>
          <t>Marine Electricals (India) Ltd</t>
        </is>
      </c>
      <c r="E56" s="31" t="inlineStr">
        <is>
          <t>industrials</t>
        </is>
      </c>
      <c r="F56" s="31" t="inlineStr">
        <is>
          <t>Shipping Proxy</t>
        </is>
      </c>
      <c r="G56" s="31" t="inlineStr">
        <is>
          <t>midcap</t>
        </is>
      </c>
      <c r="H56" s="32" t="n">
        <v>6591.38</v>
      </c>
      <c r="I56" s="32" t="n">
        <v>471</v>
      </c>
      <c r="J56" s="32" t="n">
        <v>-0.75</v>
      </c>
      <c r="K56" s="32" t="n">
        <v>0</v>
      </c>
      <c r="L56" s="31" t="n">
        <v>88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75.31999999999999</v>
      </c>
      <c r="P56" s="32" t="n">
        <v>52.01</v>
      </c>
      <c r="Q56" s="32" t="n">
        <v>348.08</v>
      </c>
      <c r="R56" s="31" t="inlineStr">
        <is>
          <t>Near 52W High Breakout</t>
        </is>
      </c>
      <c r="S56" s="31" t="inlineStr">
        <is>
          <t>Nifty 50</t>
        </is>
      </c>
      <c r="T56" s="32" t="n">
        <v>-12.01</v>
      </c>
      <c r="U56" s="32" t="n">
        <v>105.7</v>
      </c>
      <c r="V56" s="32" t="n">
        <v>133.77</v>
      </c>
      <c r="W56" s="32" t="n">
        <v>37.83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18</t>
        </is>
      </c>
      <c r="CG56" s="31">
        <f>IF(CF56&gt;20,10,IF(CF56&gt;=10,5,2))</f>
        <v/>
      </c>
    </row>
    <row r="57">
      <c r="A57" s="31">
        <f>IF(B57=0,"",RANK(B57,$B$2:$B$96,0))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PANACHE</t>
        </is>
      </c>
      <c r="D57" s="31" t="inlineStr">
        <is>
          <t>Panache Digilife Ltd</t>
        </is>
      </c>
      <c r="E57" s="31" t="inlineStr">
        <is>
          <t>i.t</t>
        </is>
      </c>
      <c r="F57" s="31" t="inlineStr">
        <is>
          <t>Computer Hardware</t>
        </is>
      </c>
      <c r="G57" s="31" t="inlineStr">
        <is>
          <t>smallcap</t>
        </is>
      </c>
      <c r="H57" s="32" t="n">
        <v>1010.48</v>
      </c>
      <c r="I57" s="32" t="n">
        <v>631</v>
      </c>
      <c r="J57" s="32" t="n">
        <v>1.93</v>
      </c>
      <c r="K57" s="32" t="n">
        <v>0</v>
      </c>
      <c r="L57" s="31" t="n">
        <v>62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78.92</v>
      </c>
      <c r="P57" s="32" t="n">
        <v>42.48</v>
      </c>
      <c r="Q57" s="32" t="n">
        <v>505.57</v>
      </c>
      <c r="R57" s="31" t="inlineStr">
        <is>
          <t>Near 52W High Breakout</t>
        </is>
      </c>
      <c r="S57" s="31" t="inlineStr">
        <is>
          <t>Nifty IT</t>
        </is>
      </c>
      <c r="T57" s="32" t="n">
        <v>-13.68</v>
      </c>
      <c r="U57" s="32" t="n">
        <v>50.38</v>
      </c>
      <c r="V57" s="32" t="n">
        <v>74.2</v>
      </c>
      <c r="W57" s="32" t="n">
        <v>21.43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17</t>
        </is>
      </c>
      <c r="CG57" s="31">
        <f>IF(CF57&gt;20,10,IF(CF57&gt;=10,5,2))</f>
        <v/>
      </c>
    </row>
    <row r="58">
      <c r="A58" s="31">
        <f>IF(B58=0,"",RANK(B58,$B$2:$B$96,0))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PTCIL</t>
        </is>
      </c>
      <c r="D58" s="31" t="inlineStr">
        <is>
          <t>PTC Industries Ltd</t>
        </is>
      </c>
      <c r="E58" s="31" t="inlineStr">
        <is>
          <t>castings, forgings &amp; fasteners</t>
        </is>
      </c>
      <c r="F58" s="31" t="inlineStr">
        <is>
          <t>Castings Steel and Alloy</t>
        </is>
      </c>
      <c r="G58" s="31" t="inlineStr">
        <is>
          <t>largecap</t>
        </is>
      </c>
      <c r="H58" s="32" t="n">
        <v>39618.12</v>
      </c>
      <c r="I58" s="32" t="n">
        <v>25000</v>
      </c>
      <c r="J58" s="32" t="n">
        <v>-1.96</v>
      </c>
      <c r="K58" s="32" t="n">
        <v>0</v>
      </c>
      <c r="L58" s="31" t="n">
        <v>55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73.13</v>
      </c>
      <c r="P58" s="32" t="n">
        <v>47.19</v>
      </c>
      <c r="Q58" s="32" t="n">
        <v>20165.03</v>
      </c>
      <c r="R58" s="31" t="inlineStr">
        <is>
          <t>Near 52W High Breakout</t>
        </is>
      </c>
      <c r="S58" s="31" t="inlineStr">
        <is>
          <t>Nifty 50</t>
        </is>
      </c>
      <c r="T58" s="32" t="n">
        <v>-12.01</v>
      </c>
      <c r="U58" s="32" t="n">
        <v>49.02</v>
      </c>
      <c r="V58" s="32" t="n">
        <v>69.34999999999999</v>
      </c>
      <c r="W58" s="32" t="n">
        <v>17.45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IF(B59=0,"",RANK(B59,$B$2:$B$96,0))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LAURUSLABS</t>
        </is>
      </c>
      <c r="D59" s="31" t="inlineStr">
        <is>
          <t>Laurus Labs Ltd</t>
        </is>
      </c>
      <c r="E59" s="31" t="inlineStr">
        <is>
          <t>healthcare</t>
        </is>
      </c>
      <c r="F59" s="31" t="inlineStr">
        <is>
          <t>Pharma API</t>
        </is>
      </c>
      <c r="G59" s="31" t="inlineStr">
        <is>
          <t>largecap</t>
        </is>
      </c>
      <c r="H59" s="32" t="n">
        <v>110056.2</v>
      </c>
      <c r="I59" s="32" t="n">
        <v>2036.9</v>
      </c>
      <c r="J59" s="32" t="n">
        <v>-1.09</v>
      </c>
      <c r="K59" s="32" t="n">
        <v>0</v>
      </c>
      <c r="L59" s="31" t="n">
        <v>70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76.94</v>
      </c>
      <c r="P59" s="32" t="n">
        <v>78.81</v>
      </c>
      <c r="Q59" s="32" t="n">
        <v>1749.07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15.65</v>
      </c>
      <c r="U59" s="32" t="n">
        <v>126.72</v>
      </c>
      <c r="V59" s="32" t="n">
        <v>96.04000000000001</v>
      </c>
      <c r="W59" s="32" t="n">
        <v>25.27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19</t>
        </is>
      </c>
      <c r="CG59" s="31">
        <f>IF(CF59&gt;20,10,IF(CF59&gt;=10,5,2))</f>
        <v/>
      </c>
    </row>
    <row r="60">
      <c r="A60" s="31">
        <f>IF(B60=0,"",RANK(B60,$B$2:$B$96,0))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ABDL</t>
        </is>
      </c>
      <c r="D60" s="34" t="inlineStr">
        <is>
          <t>Allied Blenders &amp; Distillers Ltd</t>
        </is>
      </c>
      <c r="E60" s="31" t="inlineStr">
        <is>
          <t>fmcg</t>
        </is>
      </c>
      <c r="F60" s="31" t="inlineStr">
        <is>
          <t>Alcoholic Beverages</t>
        </is>
      </c>
      <c r="G60" s="31" t="inlineStr">
        <is>
          <t>largecap</t>
        </is>
      </c>
      <c r="H60" s="32" t="n">
        <v>20760.09</v>
      </c>
      <c r="I60" s="32" t="n">
        <v>742.2</v>
      </c>
      <c r="J60" s="32" t="n">
        <v>3.31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69.2</v>
      </c>
      <c r="P60" s="32" t="n">
        <v>26.45</v>
      </c>
      <c r="Q60" s="32" t="n">
        <v>585.4299999999999</v>
      </c>
      <c r="R60" s="31" t="inlineStr">
        <is>
          <t>Near 52W High Breakout</t>
        </is>
      </c>
      <c r="S60" s="31" t="inlineStr">
        <is>
          <t>Nifty FMCG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IF(B61=0,"",RANK(B61,$B$2:$B$96,0))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SKYGOLD</t>
        </is>
      </c>
      <c r="D61" s="31" t="inlineStr">
        <is>
          <t>Sky Gold &amp; Diamonds Ltd</t>
        </is>
      </c>
      <c r="E61" s="31" t="inlineStr">
        <is>
          <t>consumer discretionary</t>
        </is>
      </c>
      <c r="F61" s="31" t="inlineStr">
        <is>
          <t>Diamond Gems and Jewellery</t>
        </is>
      </c>
      <c r="G61" s="31" t="inlineStr">
        <is>
          <t>midcap</t>
        </is>
      </c>
      <c r="H61" s="32" t="n">
        <v>15021.99</v>
      </c>
      <c r="I61" s="32" t="n">
        <v>969.95</v>
      </c>
      <c r="J61" s="32" t="n">
        <v>-0.85</v>
      </c>
      <c r="K61" s="32" t="n">
        <v>0</v>
      </c>
      <c r="L61" s="31" t="n">
        <v>88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80.78</v>
      </c>
      <c r="P61" s="32" t="n">
        <v>69.31999999999999</v>
      </c>
      <c r="Q61" s="32" t="n">
        <v>753.58</v>
      </c>
      <c r="R61" s="31" t="inlineStr">
        <is>
          <t>Near 52W High Breakout</t>
        </is>
      </c>
      <c r="S61" s="31" t="inlineStr">
        <is>
          <t>Nifty 50</t>
        </is>
      </c>
      <c r="T61" s="32" t="n">
        <v>-12.01</v>
      </c>
      <c r="U61" s="32" t="n">
        <v>189.64</v>
      </c>
      <c r="V61" s="32" t="n">
        <v>229.17</v>
      </c>
      <c r="W61" s="32" t="n">
        <v>37.15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29</t>
        </is>
      </c>
      <c r="CG61" s="31">
        <f>IF(CF61&gt;20,10,IF(CF61&gt;=10,5,2))</f>
        <v/>
      </c>
    </row>
    <row r="62">
      <c r="A62" s="31">
        <f>IF(B62=0,"",RANK(B62,$B$2:$B$96,0))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CHENNPETRO</t>
        </is>
      </c>
      <c r="D62" s="31" t="inlineStr">
        <is>
          <t>Chennai Petroleum Corporation Ltd</t>
        </is>
      </c>
      <c r="E62" s="31" t="inlineStr">
        <is>
          <t>energy</t>
        </is>
      </c>
      <c r="F62" s="31" t="inlineStr">
        <is>
          <t>Refineries</t>
        </is>
      </c>
      <c r="G62" s="31" t="inlineStr">
        <is>
          <t>largecap</t>
        </is>
      </c>
      <c r="H62" s="32" t="n">
        <v>22978.52</v>
      </c>
      <c r="I62" s="32" t="n">
        <v>1543.1</v>
      </c>
      <c r="J62" s="32" t="n">
        <v>5.7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67.64</v>
      </c>
      <c r="P62" s="32" t="n">
        <v>65.81</v>
      </c>
      <c r="Q62" s="32" t="n">
        <v>1129.04</v>
      </c>
      <c r="R62" s="31" t="inlineStr">
        <is>
          <t>Near 52W High Breakout</t>
        </is>
      </c>
      <c r="S62" s="31" t="inlineStr">
        <is>
          <t>Nifty Energy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Volatile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EIMCOELECO</t>
        </is>
      </c>
      <c r="D63" s="34" t="inlineStr">
        <is>
          <t>Eimco Elecon (India) Ltd</t>
        </is>
      </c>
      <c r="E63" s="31" t="inlineStr">
        <is>
          <t>industrials</t>
        </is>
      </c>
      <c r="F63" s="31" t="inlineStr">
        <is>
          <t>Capital Goods Engineering Heavy</t>
        </is>
      </c>
      <c r="G63" s="31" t="inlineStr">
        <is>
          <t>smallcap</t>
        </is>
      </c>
      <c r="H63" s="32" t="n">
        <v>1408.06</v>
      </c>
      <c r="I63" s="32" t="n">
        <v>2441</v>
      </c>
      <c r="J63" s="32" t="n">
        <v>9</v>
      </c>
      <c r="K63" s="32" t="n">
        <v>0</v>
      </c>
      <c r="L63" s="31" t="n">
        <v>45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74.09999999999999</v>
      </c>
      <c r="P63" s="32" t="n">
        <v>60.65</v>
      </c>
      <c r="Q63" s="32" t="n">
        <v>1919.1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-12.01</v>
      </c>
      <c r="U63" s="32" t="n">
        <v>36.31</v>
      </c>
      <c r="V63" s="32" t="n">
        <v>54.91</v>
      </c>
      <c r="W63" s="32" t="n">
        <v>14.29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22</t>
        </is>
      </c>
      <c r="CG63" s="31">
        <f>IF(CF63&gt;20,10,IF(CF63&gt;=10,5,2))</f>
        <v/>
      </c>
    </row>
    <row r="64">
      <c r="A64" s="31">
        <f>IF(B64=0,"",RANK(B64,$B$2:$B$96,0))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PANAMAPET</t>
        </is>
      </c>
      <c r="D64" s="31" t="inlineStr">
        <is>
          <t>Panama Petrochem Ltd</t>
        </is>
      </c>
      <c r="E64" s="31" t="inlineStr">
        <is>
          <t>energy</t>
        </is>
      </c>
      <c r="F64" s="31" t="inlineStr">
        <is>
          <t>Specialty Chemicals</t>
        </is>
      </c>
      <c r="G64" s="31" t="inlineStr">
        <is>
          <t>smallcap</t>
        </is>
      </c>
      <c r="H64" s="32" t="n">
        <v>3115.42</v>
      </c>
      <c r="I64" s="32" t="n">
        <v>515</v>
      </c>
      <c r="J64" s="32" t="n">
        <v>3.24</v>
      </c>
      <c r="K64" s="32" t="n">
        <v>0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65.04000000000001</v>
      </c>
      <c r="P64" s="32" t="n">
        <v>64.06</v>
      </c>
      <c r="Q64" s="32" t="n">
        <v>369.3</v>
      </c>
      <c r="R64" s="31" t="inlineStr">
        <is>
          <t>Near 52W High Breakout</t>
        </is>
      </c>
      <c r="S64" s="31" t="inlineStr">
        <is>
          <t>Nifty Energy</t>
        </is>
      </c>
      <c r="T64" s="32" t="inlineStr"/>
      <c r="U64" s="32" t="inlineStr"/>
      <c r="V64" s="32" t="inlineStr"/>
      <c r="W64" s="32" t="inlineStr"/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18</t>
        </is>
      </c>
      <c r="CG64" s="31">
        <f>IF(CF64&gt;20,10,IF(CF64&gt;=10,5,2))</f>
        <v/>
      </c>
    </row>
    <row r="65">
      <c r="A65" s="31">
        <f>IF(B65=0,"",RANK(B65,$B$2:$B$96,0))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TIMEX</t>
        </is>
      </c>
      <c r="D65" s="31" t="inlineStr">
        <is>
          <t>Timex Group India Ltd</t>
        </is>
      </c>
      <c r="E65" s="31" t="inlineStr">
        <is>
          <t>Consumer Cyclical</t>
        </is>
      </c>
      <c r="F65" s="31" t="inlineStr">
        <is>
          <t>Watches</t>
        </is>
      </c>
      <c r="G65" s="31" t="inlineStr">
        <is>
          <t>midcap</t>
        </is>
      </c>
      <c r="H65" s="32" t="n">
        <v>7224.49</v>
      </c>
      <c r="I65" s="32" t="n">
        <v>715.65</v>
      </c>
      <c r="J65" s="32" t="n">
        <v>-1.86</v>
      </c>
      <c r="K65" s="32" t="n">
        <v>0</v>
      </c>
      <c r="L65" s="31" t="n">
        <v>69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70.38</v>
      </c>
      <c r="P65" s="32" t="n">
        <v>59.34</v>
      </c>
      <c r="Q65" s="32" t="n">
        <v>558.75</v>
      </c>
      <c r="R65" s="31" t="inlineStr">
        <is>
          <t>Near 52W High Breakout</t>
        </is>
      </c>
      <c r="S65" s="31" t="inlineStr">
        <is>
          <t>Nifty 50</t>
        </is>
      </c>
      <c r="T65" s="32" t="n">
        <v>-12.01</v>
      </c>
      <c r="U65" s="32" t="n">
        <v>92.16</v>
      </c>
      <c r="V65" s="32" t="n">
        <v>118.38</v>
      </c>
      <c r="W65" s="32" t="n">
        <v>24.46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B2C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IF(B66=0,"",RANK(B66,$B$2:$B$96,0))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KMCSHIL</t>
        </is>
      </c>
      <c r="D66" s="31" t="inlineStr">
        <is>
          <t>KMC Speciality Hospitals (India) Ltd</t>
        </is>
      </c>
      <c r="E66" s="31" t="inlineStr">
        <is>
          <t>Healthcare</t>
        </is>
      </c>
      <c r="F66" s="31" t="inlineStr">
        <is>
          <t>Hospitals</t>
        </is>
      </c>
      <c r="G66" s="31" t="inlineStr">
        <is>
          <t>smallcap</t>
        </is>
      </c>
      <c r="H66" s="32" t="n">
        <v>2666.44</v>
      </c>
      <c r="I66" s="32" t="n">
        <v>163.5</v>
      </c>
      <c r="J66" s="32" t="n">
        <v>7.46</v>
      </c>
      <c r="K66" s="32" t="n">
        <v>0</v>
      </c>
      <c r="L66" s="31" t="n">
        <v>67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71.95999999999999</v>
      </c>
      <c r="P66" s="32" t="n">
        <v>49.36</v>
      </c>
      <c r="Q66" s="32" t="n">
        <v>128.86</v>
      </c>
      <c r="R66" s="31" t="inlineStr">
        <is>
          <t>Earnings / Momentum Support</t>
        </is>
      </c>
      <c r="S66" s="31" t="inlineStr">
        <is>
          <t>Nifty Pharma</t>
        </is>
      </c>
      <c r="T66" s="32" t="n">
        <v>15.65</v>
      </c>
      <c r="U66" s="32" t="n">
        <v>135.19</v>
      </c>
      <c r="V66" s="32" t="n">
        <v>103.36</v>
      </c>
      <c r="W66" s="32" t="n">
        <v>24.02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19</t>
        </is>
      </c>
      <c r="CG66" s="31">
        <f>IF(CF66&gt;20,10,IF(CF66&gt;=10,5,2))</f>
        <v/>
      </c>
    </row>
    <row r="67">
      <c r="A67" s="31">
        <f>IF(B67=0,"",RANK(B67,$B$2:$B$96,0))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GANDHAR</t>
        </is>
      </c>
      <c r="D67" s="31" t="inlineStr">
        <is>
          <t>Gandhar Oil Refinery (India) Ltd</t>
        </is>
      </c>
      <c r="E67" s="31" t="inlineStr">
        <is>
          <t>energy</t>
        </is>
      </c>
      <c r="F67" s="31" t="inlineStr">
        <is>
          <t>Refineries</t>
        </is>
      </c>
      <c r="G67" s="31" t="inlineStr">
        <is>
          <t>smallcap</t>
        </is>
      </c>
      <c r="H67" s="32" t="n">
        <v>3052.66</v>
      </c>
      <c r="I67" s="32" t="n">
        <v>311.85</v>
      </c>
      <c r="J67" s="32" t="n">
        <v>3.3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73.88</v>
      </c>
      <c r="P67" s="32" t="n">
        <v>78.87</v>
      </c>
      <c r="Q67" s="32" t="n">
        <v>241.61</v>
      </c>
      <c r="R67" s="31" t="inlineStr">
        <is>
          <t>Near 52W High Breakout</t>
        </is>
      </c>
      <c r="S67" s="31" t="inlineStr">
        <is>
          <t>Nifty Energy</t>
        </is>
      </c>
      <c r="T67" s="32" t="inlineStr"/>
      <c r="U67" s="32" t="inlineStr"/>
      <c r="V67" s="32" t="inlineStr"/>
      <c r="W67" s="32" t="inlineStr"/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25</t>
        </is>
      </c>
      <c r="CG67" s="31">
        <f>IF(CF67&gt;20,10,IF(CF67&gt;=10,5,2))</f>
        <v/>
      </c>
    </row>
    <row r="68">
      <c r="A68" s="31">
        <f>IF(B68=0,"",RANK(B68,$B$2:$B$96,0))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SAMBHV</t>
        </is>
      </c>
      <c r="D68" s="31" t="inlineStr">
        <is>
          <t>Sambhv Steel Tubes Ltd</t>
        </is>
      </c>
      <c r="E68" s="31" t="inlineStr">
        <is>
          <t>metals &amp; mining</t>
        </is>
      </c>
      <c r="F68" s="31" t="inlineStr">
        <is>
          <t>Steel Tubes and Pipes</t>
        </is>
      </c>
      <c r="G68" s="31" t="inlineStr">
        <is>
          <t>smallcap</t>
        </is>
      </c>
      <c r="H68" s="32" t="n">
        <v>4814.34</v>
      </c>
      <c r="I68" s="32" t="n">
        <v>163.38</v>
      </c>
      <c r="J68" s="32" t="n">
        <v>-0.41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78.92</v>
      </c>
      <c r="P68" s="32" t="n">
        <v>52.43</v>
      </c>
      <c r="Q68" s="32" t="n">
        <v>127.3</v>
      </c>
      <c r="R68" s="31" t="inlineStr">
        <is>
          <t>Near 52W High Breakout</t>
        </is>
      </c>
      <c r="S68" s="31" t="inlineStr">
        <is>
          <t>Nifty Metal</t>
        </is>
      </c>
      <c r="T68" s="32" t="inlineStr"/>
      <c r="U68" s="32" t="inlineStr"/>
      <c r="V68" s="32" t="inlineStr"/>
      <c r="W68" s="32" t="inlineStr"/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19</t>
        </is>
      </c>
      <c r="CG68" s="31">
        <f>IF(CF68&gt;20,10,IF(CF68&gt;=10,5,2))</f>
        <v/>
      </c>
    </row>
    <row r="69">
      <c r="A69" s="31">
        <f>IF(B69=0,"",RANK(B69,$B$2:$B$96,0))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MUKANDLTD</t>
        </is>
      </c>
      <c r="D69" s="31" t="inlineStr">
        <is>
          <t>Mukand Ltd</t>
        </is>
      </c>
      <c r="E69" s="31" t="inlineStr">
        <is>
          <t>metals &amp; mining</t>
        </is>
      </c>
      <c r="F69" s="31" t="inlineStr">
        <is>
          <t>Steel</t>
        </is>
      </c>
      <c r="G69" s="31" t="inlineStr">
        <is>
          <t>smallcap</t>
        </is>
      </c>
      <c r="H69" s="32" t="n">
        <v>2527.23</v>
      </c>
      <c r="I69" s="32" t="n">
        <v>174.9</v>
      </c>
      <c r="J69" s="32" t="n">
        <v>-0.92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71.68000000000001</v>
      </c>
      <c r="P69" s="32" t="n">
        <v>46.1</v>
      </c>
      <c r="Q69" s="32" t="n">
        <v>138.45</v>
      </c>
      <c r="R69" s="31" t="inlineStr">
        <is>
          <t>Near 52W High Breakout</t>
        </is>
      </c>
      <c r="S69" s="31" t="inlineStr">
        <is>
          <t>Nifty Metal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18</t>
        </is>
      </c>
      <c r="CG69" s="31">
        <f>IF(CF69&gt;20,10,IF(CF69&gt;=10,5,2))</f>
        <v/>
      </c>
    </row>
    <row r="70">
      <c r="A70" s="31">
        <f>IF(B70=0,"",RANK(B70,$B$2:$B$96,0))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NEOGEN</t>
        </is>
      </c>
      <c r="D70" s="31" t="inlineStr">
        <is>
          <t>Neogen Chemicals Ltd</t>
        </is>
      </c>
      <c r="E70" s="31" t="inlineStr">
        <is>
          <t>chemicals</t>
        </is>
      </c>
      <c r="F70" s="31" t="inlineStr">
        <is>
          <t>Specialty Chemicals</t>
        </is>
      </c>
      <c r="G70" s="31" t="inlineStr">
        <is>
          <t>midcap</t>
        </is>
      </c>
      <c r="H70" s="32" t="n">
        <v>8036.05</v>
      </c>
      <c r="I70" s="32" t="n">
        <v>2674.9</v>
      </c>
      <c r="J70" s="32" t="n">
        <v>4.09</v>
      </c>
      <c r="K70" s="32" t="n">
        <v>0</v>
      </c>
      <c r="L70" s="31" t="n">
        <v>57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73.36</v>
      </c>
      <c r="P70" s="32" t="n">
        <v>60.27</v>
      </c>
      <c r="Q70" s="32" t="n">
        <v>2050.53</v>
      </c>
      <c r="R70" s="31" t="inlineStr">
        <is>
          <t>Near 52W High Breakout</t>
        </is>
      </c>
      <c r="S70" s="31" t="inlineStr">
        <is>
          <t>Nifty 50</t>
        </is>
      </c>
      <c r="T70" s="32" t="n">
        <v>-12.01</v>
      </c>
      <c r="U70" s="32" t="n">
        <v>84.22</v>
      </c>
      <c r="V70" s="32" t="n">
        <v>109.36</v>
      </c>
      <c r="W70" s="32" t="n">
        <v>19.22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More than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17</t>
        </is>
      </c>
      <c r="CG70" s="31">
        <f>IF(CF70&gt;20,10,IF(CF70&gt;=10,5,2))</f>
        <v/>
      </c>
    </row>
    <row r="71">
      <c r="A71" s="31">
        <f>IF(B71=0,"",RANK(B71,$B$2:$B$96,0))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MMP</t>
        </is>
      </c>
      <c r="D71" s="34" t="inlineStr">
        <is>
          <t>MMP Industries Ltd</t>
        </is>
      </c>
      <c r="E71" s="31" t="inlineStr">
        <is>
          <t>metals &amp; mining</t>
        </is>
      </c>
      <c r="F71" s="31" t="inlineStr">
        <is>
          <t>Aluminium Products</t>
        </is>
      </c>
      <c r="G71" s="31" t="inlineStr">
        <is>
          <t>smallcap</t>
        </is>
      </c>
      <c r="H71" s="32" t="n">
        <v>1288.04</v>
      </c>
      <c r="I71" s="32" t="n">
        <v>507.05</v>
      </c>
      <c r="J71" s="32" t="n">
        <v>4.16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82.43000000000001</v>
      </c>
      <c r="P71" s="32" t="n">
        <v>64.52</v>
      </c>
      <c r="Q71" s="32" t="n">
        <v>381.58</v>
      </c>
      <c r="R71" s="31" t="inlineStr">
        <is>
          <t>Near 52W High Breakout</t>
        </is>
      </c>
      <c r="S71" s="31" t="inlineStr">
        <is>
          <t>Nifty Metal</t>
        </is>
      </c>
      <c r="T71" s="32" t="inlineStr"/>
      <c r="U71" s="32" t="inlineStr"/>
      <c r="V71" s="32" t="inlineStr"/>
      <c r="W71" s="32" t="inlineStr"/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IF(B72=0,"",RANK(B72,$B$2:$B$96,0))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DYNAMATECH</t>
        </is>
      </c>
      <c r="D72" s="31" t="inlineStr">
        <is>
          <t>Dynamatic Technologies Ltd</t>
        </is>
      </c>
      <c r="E72" s="31" t="inlineStr">
        <is>
          <t>aerospace &amp; defence</t>
        </is>
      </c>
      <c r="F72" s="31" t="inlineStr">
        <is>
          <t>Aerospace and Defence Equipment</t>
        </is>
      </c>
      <c r="G72" s="31" t="inlineStr">
        <is>
          <t>midcap</t>
        </is>
      </c>
      <c r="H72" s="32" t="n">
        <v>9840.799999999999</v>
      </c>
      <c r="I72" s="32" t="n">
        <v>14490</v>
      </c>
      <c r="J72" s="32" t="n">
        <v>3.61</v>
      </c>
      <c r="K72" s="32" t="n">
        <v>0</v>
      </c>
      <c r="L72" s="31" t="n">
        <v>63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71.28</v>
      </c>
      <c r="P72" s="32" t="n">
        <v>35.55</v>
      </c>
      <c r="Q72" s="32" t="n">
        <v>11155.89</v>
      </c>
      <c r="R72" s="31" t="inlineStr">
        <is>
          <t>Near 52W High Breakout</t>
        </is>
      </c>
      <c r="S72" s="31" t="inlineStr">
        <is>
          <t>Nifty 50</t>
        </is>
      </c>
      <c r="T72" s="32" t="n">
        <v>-12.01</v>
      </c>
      <c r="U72" s="32" t="n">
        <v>82.95</v>
      </c>
      <c r="V72" s="32" t="n">
        <v>107.91</v>
      </c>
      <c r="W72" s="32" t="n">
        <v>21.74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16</t>
        </is>
      </c>
      <c r="CG72" s="31">
        <f>IF(CF72&gt;20,10,IF(CF72&gt;=10,5,2))</f>
        <v/>
      </c>
    </row>
    <row r="73">
      <c r="A73" s="31">
        <f>IF(B73=0,"",RANK(B73,$B$2:$B$96,0))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BIRLACABLE</t>
        </is>
      </c>
      <c r="D73" s="31" t="inlineStr">
        <is>
          <t>Birla Cable Ltd</t>
        </is>
      </c>
      <c r="E73" s="31" t="inlineStr">
        <is>
          <t>Technology</t>
        </is>
      </c>
      <c r="F73" s="31" t="inlineStr">
        <is>
          <t>Cables Telecom</t>
        </is>
      </c>
      <c r="G73" s="31" t="inlineStr">
        <is>
          <t>smallcap</t>
        </is>
      </c>
      <c r="H73" s="32" t="n">
        <v>1134.9</v>
      </c>
      <c r="I73" s="32" t="n">
        <v>378.3</v>
      </c>
      <c r="J73" s="32" t="n">
        <v>1.06</v>
      </c>
      <c r="K73" s="32" t="n">
        <v>0</v>
      </c>
      <c r="L73" s="31" t="n">
        <v>94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70.23</v>
      </c>
      <c r="P73" s="32" t="n">
        <v>56.95</v>
      </c>
      <c r="Q73" s="32" t="n">
        <v>290.13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-12.01</v>
      </c>
      <c r="U73" s="32" t="n">
        <v>146.92</v>
      </c>
      <c r="V73" s="32" t="n">
        <v>180.62</v>
      </c>
      <c r="W73" s="32" t="n">
        <v>47.71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IF(B74=0,"",RANK(B74,$B$2:$B$96,0))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MMWL</t>
        </is>
      </c>
      <c r="D74" s="31" t="inlineStr">
        <is>
          <t>Media Matrix Worldwide Ltd</t>
        </is>
      </c>
      <c r="E74" s="31" t="inlineStr">
        <is>
          <t>Communication Services</t>
        </is>
      </c>
      <c r="F74" s="31" t="inlineStr">
        <is>
          <t>Technology Distribution</t>
        </is>
      </c>
      <c r="G74" s="31" t="inlineStr">
        <is>
          <t>smallcap</t>
        </is>
      </c>
      <c r="H74" s="32" t="n">
        <v>2591.71</v>
      </c>
      <c r="I74" s="32" t="n">
        <v>22.88</v>
      </c>
      <c r="J74" s="32" t="n">
        <v>-1.04</v>
      </c>
      <c r="K74" s="32" t="n">
        <v>0</v>
      </c>
      <c r="L74" s="31" t="n">
        <v>80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78.37</v>
      </c>
      <c r="P74" s="32" t="n">
        <v>37.98</v>
      </c>
      <c r="Q74" s="32" t="n">
        <v>16.83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-12.01</v>
      </c>
      <c r="U74" s="32" t="n">
        <v>114.98</v>
      </c>
      <c r="V74" s="32" t="n">
        <v>144.31</v>
      </c>
      <c r="W74" s="32" t="n">
        <v>31.7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SOTL</t>
        </is>
      </c>
      <c r="D75" s="31" t="inlineStr">
        <is>
          <t>Savita Oil Technologies Ltd</t>
        </is>
      </c>
      <c r="E75" s="31" t="inlineStr">
        <is>
          <t>energy</t>
        </is>
      </c>
      <c r="F75" s="31" t="inlineStr">
        <is>
          <t>Petrochemicals Others</t>
        </is>
      </c>
      <c r="G75" s="31" t="inlineStr">
        <is>
          <t>midcap</t>
        </is>
      </c>
      <c r="H75" s="32" t="n">
        <v>5289.44</v>
      </c>
      <c r="I75" s="32" t="n">
        <v>771.5</v>
      </c>
      <c r="J75" s="32" t="n">
        <v>1.36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68.98</v>
      </c>
      <c r="P75" s="32" t="n">
        <v>67.58</v>
      </c>
      <c r="Q75" s="32" t="n">
        <v>535.76</v>
      </c>
      <c r="R75" s="31" t="inlineStr">
        <is>
          <t>Near 52W High Breakout</t>
        </is>
      </c>
      <c r="S75" s="31" t="inlineStr">
        <is>
          <t>Nifty Energy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19</t>
        </is>
      </c>
      <c r="CG75" s="31">
        <f>IF(CF75&gt;20,10,IF(CF75&gt;=10,5,2))</f>
        <v/>
      </c>
    </row>
    <row r="76">
      <c r="A76" s="31">
        <f>IF(B76=0,"",RANK(B76,$B$2:$B$96,0))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VHLTD</t>
        </is>
      </c>
      <c r="D76" s="31" t="inlineStr">
        <is>
          <t>Viceroy Hotels Ltd</t>
        </is>
      </c>
      <c r="E76" s="31" t="inlineStr">
        <is>
          <t>services</t>
        </is>
      </c>
      <c r="F76" s="31" t="inlineStr">
        <is>
          <t>Hotels</t>
        </is>
      </c>
      <c r="G76" s="31" t="inlineStr">
        <is>
          <t>smallcap</t>
        </is>
      </c>
      <c r="H76" s="32" t="n">
        <v>1173.23</v>
      </c>
      <c r="I76" s="32" t="n">
        <v>152.8</v>
      </c>
      <c r="J76" s="32" t="n">
        <v>3.17</v>
      </c>
      <c r="K76" s="32" t="n">
        <v>0</v>
      </c>
      <c r="L76" s="31" t="n">
        <v>23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67.09</v>
      </c>
      <c r="P76" s="32" t="n">
        <v>19.6</v>
      </c>
      <c r="Q76" s="32" t="n">
        <v>118.55</v>
      </c>
      <c r="R76" s="31" t="inlineStr">
        <is>
          <t>Near 52W High Breakout</t>
        </is>
      </c>
      <c r="S76" s="31" t="inlineStr">
        <is>
          <t>Nifty 50</t>
        </is>
      </c>
      <c r="T76" s="32" t="n">
        <v>-12.01</v>
      </c>
      <c r="U76" s="32" t="n">
        <v>19.65</v>
      </c>
      <c r="V76" s="32" t="n">
        <v>35.98</v>
      </c>
      <c r="W76" s="32" t="n">
        <v>7.28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19</t>
        </is>
      </c>
      <c r="CG76" s="31">
        <f>IF(CF76&gt;20,10,IF(CF76&gt;=10,5,2))</f>
        <v/>
      </c>
    </row>
    <row r="77">
      <c r="A77" s="31">
        <f>IF(B77=0,"",RANK(B77,$B$2:$B$96,0))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SHRINGARMS</t>
        </is>
      </c>
      <c r="D77" s="31" t="inlineStr">
        <is>
          <t>Shringar House of Mangalsutra Ltd</t>
        </is>
      </c>
      <c r="E77" s="31" t="inlineStr">
        <is>
          <t>consumer discretionary</t>
        </is>
      </c>
      <c r="F77" s="31" t="inlineStr">
        <is>
          <t>Diamond Gems and Jewellery</t>
        </is>
      </c>
      <c r="G77" s="31" t="inlineStr">
        <is>
          <t>smallcap</t>
        </is>
      </c>
      <c r="H77" s="32" t="n">
        <v>3105.11</v>
      </c>
      <c r="I77" s="32" t="n">
        <v>322</v>
      </c>
      <c r="J77" s="32" t="n">
        <v>3.59</v>
      </c>
      <c r="K77" s="32" t="n">
        <v>0</v>
      </c>
      <c r="L77" s="31" t="n">
        <v>60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77.8</v>
      </c>
      <c r="P77" s="32" t="n">
        <v>21.85</v>
      </c>
      <c r="Q77" s="32" t="n">
        <v>254.9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-12.01</v>
      </c>
      <c r="U77" s="32" t="n">
        <v>61.2</v>
      </c>
      <c r="V77" s="32" t="n">
        <v>83.2</v>
      </c>
      <c r="W77" s="32" t="n">
        <v>20.15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19</t>
        </is>
      </c>
      <c r="CG77" s="31">
        <f>IF(CF77&gt;20,10,IF(CF77&gt;=10,5,2))</f>
        <v/>
      </c>
    </row>
    <row r="78">
      <c r="A78" s="31">
        <f>IF(B78=0,"",RANK(B78,$B$2:$B$96,0))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AEROFLEX</t>
        </is>
      </c>
      <c r="D78" s="31" t="inlineStr">
        <is>
          <t>Aeroflex Industries Ltd</t>
        </is>
      </c>
      <c r="E78" s="31" t="inlineStr">
        <is>
          <t>metals &amp; mining</t>
        </is>
      </c>
      <c r="F78" s="31" t="inlineStr">
        <is>
          <t>Stainless Steel</t>
        </is>
      </c>
      <c r="G78" s="31" t="inlineStr">
        <is>
          <t>midcap</t>
        </is>
      </c>
      <c r="H78" s="32" t="n">
        <v>7509.77</v>
      </c>
      <c r="I78" s="32" t="n">
        <v>567.5</v>
      </c>
      <c r="J78" s="32" t="n">
        <v>1.78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68.77</v>
      </c>
      <c r="P78" s="32" t="n">
        <v>46.32</v>
      </c>
      <c r="Q78" s="32" t="n">
        <v>397.97</v>
      </c>
      <c r="R78" s="31" t="inlineStr">
        <is>
          <t>Volume Spike &amp; Near 52W High Breakout</t>
        </is>
      </c>
      <c r="S78" s="31" t="inlineStr">
        <is>
          <t>Nifty Metal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18</t>
        </is>
      </c>
      <c r="CG78" s="31">
        <f>IF(CF78&gt;20,10,IF(CF78&gt;=10,5,2))</f>
        <v/>
      </c>
    </row>
    <row r="79">
      <c r="A79" s="31">
        <f>IF(B79=0,"",RANK(B79,$B$2:$B$96,0))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PVRINOX</t>
        </is>
      </c>
      <c r="D79" s="31" t="inlineStr">
        <is>
          <t>PVR Inox Ltd</t>
        </is>
      </c>
      <c r="E79" s="31" t="inlineStr">
        <is>
          <t>media</t>
        </is>
      </c>
      <c r="F79" s="31" t="inlineStr">
        <is>
          <t>Entertainment and Media</t>
        </is>
      </c>
      <c r="G79" s="31" t="inlineStr">
        <is>
          <t>midcap</t>
        </is>
      </c>
      <c r="H79" s="32" t="n">
        <v>13578.11</v>
      </c>
      <c r="I79" s="32" t="n">
        <v>1382.7</v>
      </c>
      <c r="J79" s="32" t="n">
        <v>-1.55</v>
      </c>
      <c r="K79" s="32" t="n">
        <v>0</v>
      </c>
      <c r="L79" s="31" t="n">
        <v>43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72</v>
      </c>
      <c r="P79" s="32" t="n">
        <v>37.1</v>
      </c>
      <c r="Q79" s="32" t="n">
        <v>1126</v>
      </c>
      <c r="R79" s="31" t="inlineStr">
        <is>
          <t>Near 52W High Breakout</t>
        </is>
      </c>
      <c r="S79" s="31" t="inlineStr">
        <is>
          <t>Nifty IT</t>
        </is>
      </c>
      <c r="T79" s="32" t="n">
        <v>-13.68</v>
      </c>
      <c r="U79" s="32" t="n">
        <v>26.4</v>
      </c>
      <c r="V79" s="32" t="n">
        <v>46.42</v>
      </c>
      <c r="W79" s="32" t="n">
        <v>13.66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17</t>
        </is>
      </c>
      <c r="CG79" s="31">
        <f>IF(CF79&gt;20,10,IF(CF79&gt;=10,5,2))</f>
        <v/>
      </c>
    </row>
    <row r="80">
      <c r="A80" s="31">
        <f>IF(B80=0,"",RANK(B80,$B$2:$B$96,0))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YASHHV</t>
        </is>
      </c>
      <c r="D80" s="31" t="inlineStr">
        <is>
          <t>Yash Highvoltage Ltd</t>
        </is>
      </c>
      <c r="E80" s="31" t="inlineStr">
        <is>
          <t>Industrials</t>
        </is>
      </c>
      <c r="F80" s="31" t="inlineStr">
        <is>
          <t>Electric Equipment General</t>
        </is>
      </c>
      <c r="G80" s="31" t="inlineStr">
        <is>
          <t>smallcap</t>
        </is>
      </c>
      <c r="H80" s="32" t="n">
        <v>3686.65</v>
      </c>
      <c r="I80" s="32" t="n">
        <v>1233.5</v>
      </c>
      <c r="J80" s="32" t="n">
        <v>2.17</v>
      </c>
      <c r="K80" s="32" t="n">
        <v>0</v>
      </c>
      <c r="L80" s="31" t="n">
        <v>77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79.98999999999999</v>
      </c>
      <c r="P80" s="32" t="n">
        <v>64.06</v>
      </c>
      <c r="Q80" s="32" t="n">
        <v>944.24</v>
      </c>
      <c r="R80" s="31" t="inlineStr">
        <is>
          <t>Near 52W High Breakout</t>
        </is>
      </c>
      <c r="S80" s="31" t="inlineStr">
        <is>
          <t>Nifty 50</t>
        </is>
      </c>
      <c r="T80" s="32" t="n">
        <v>-12.01</v>
      </c>
      <c r="U80" s="32" t="n">
        <v>150.26</v>
      </c>
      <c r="V80" s="32" t="n">
        <v>184.42</v>
      </c>
      <c r="W80" s="32" t="n">
        <v>29.9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IF(B81=0,"",RANK(B81,$B$2:$B$96,0))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GOODLUCK</t>
        </is>
      </c>
      <c r="D81" s="31" t="inlineStr">
        <is>
          <t>Goodluck India Ltd</t>
        </is>
      </c>
      <c r="E81" s="31" t="inlineStr">
        <is>
          <t>metals &amp; mining</t>
        </is>
      </c>
      <c r="F81" s="31" t="inlineStr">
        <is>
          <t>Steel Tubes and Pipes</t>
        </is>
      </c>
      <c r="G81" s="31" t="inlineStr">
        <is>
          <t>midcap</t>
        </is>
      </c>
      <c r="H81" s="32" t="n">
        <v>5920.11</v>
      </c>
      <c r="I81" s="32" t="n">
        <v>593.7</v>
      </c>
      <c r="J81" s="32" t="n">
        <v>4.77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66.81</v>
      </c>
      <c r="P81" s="32" t="n">
        <v>30.47</v>
      </c>
      <c r="Q81" s="32" t="n">
        <v>440.65</v>
      </c>
      <c r="R81" s="31" t="inlineStr">
        <is>
          <t>Volume Spike &amp; Near 52W High Breakout</t>
        </is>
      </c>
      <c r="S81" s="31" t="inlineStr">
        <is>
          <t>Nifty Metal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22</t>
        </is>
      </c>
      <c r="CG81" s="31">
        <f>IF(CF81&gt;20,10,IF(CF81&gt;=10,5,2))</f>
        <v/>
      </c>
    </row>
    <row r="82">
      <c r="A82" s="31">
        <f>IF(B82=0,"",RANK(B82,$B$2:$B$96,0))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INOVSYNTH</t>
        </is>
      </c>
      <c r="D82" s="31" t="inlineStr">
        <is>
          <t>Innovassynth Technologies (India) Ltd</t>
        </is>
      </c>
      <c r="E82" s="31" t="inlineStr">
        <is>
          <t>Basic Materials</t>
        </is>
      </c>
      <c r="F82" s="31" t="inlineStr">
        <is>
          <t>Specialty Chemicals</t>
        </is>
      </c>
      <c r="G82" s="31" t="inlineStr">
        <is>
          <t>smallcap</t>
        </is>
      </c>
      <c r="H82" s="32" t="n">
        <v>1609.74</v>
      </c>
      <c r="I82" s="32" t="n">
        <v>173.35</v>
      </c>
      <c r="J82" s="32" t="n">
        <v>-1.98</v>
      </c>
      <c r="K82" s="32" t="n">
        <v>0</v>
      </c>
      <c r="L82" s="31" t="n">
        <v>69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88.34</v>
      </c>
      <c r="P82" s="32" t="n">
        <v>60.99</v>
      </c>
      <c r="Q82" s="32" t="n">
        <v>152.11</v>
      </c>
      <c r="R82" s="31" t="inlineStr">
        <is>
          <t>Near 52W High Breakout</t>
        </is>
      </c>
      <c r="S82" s="31" t="inlineStr">
        <is>
          <t>Nifty 50</t>
        </is>
      </c>
      <c r="T82" s="32" t="n">
        <v>-12.01</v>
      </c>
      <c r="U82" s="32" t="n">
        <v>109.03</v>
      </c>
      <c r="V82" s="32" t="n">
        <v>137.56</v>
      </c>
      <c r="W82" s="32" t="n">
        <v>24.97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SBC</t>
        </is>
      </c>
      <c r="D83" s="31" t="inlineStr">
        <is>
          <t>SBC Exports Ltd</t>
        </is>
      </c>
      <c r="E83" s="31" t="inlineStr">
        <is>
          <t>textiles</t>
        </is>
      </c>
      <c r="F83" s="31" t="inlineStr">
        <is>
          <t>Textiles Readymade Apparel</t>
        </is>
      </c>
      <c r="G83" s="31" t="inlineStr">
        <is>
          <t>smallcap</t>
        </is>
      </c>
      <c r="H83" s="32" t="n">
        <v>3083.33</v>
      </c>
      <c r="I83" s="32" t="n">
        <v>64.75</v>
      </c>
      <c r="J83" s="32" t="n">
        <v>0.9399999999999999</v>
      </c>
      <c r="K83" s="32" t="n">
        <v>0</v>
      </c>
      <c r="L83" s="31" t="n">
        <v>84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87.45</v>
      </c>
      <c r="P83" s="32" t="n">
        <v>32.84</v>
      </c>
      <c r="Q83" s="32" t="n">
        <v>52.95</v>
      </c>
      <c r="R83" s="31" t="inlineStr">
        <is>
          <t>Near 52W High Breakout</t>
        </is>
      </c>
      <c r="S83" s="31" t="inlineStr">
        <is>
          <t>Nifty 50</t>
        </is>
      </c>
      <c r="T83" s="32" t="n">
        <v>-12.01</v>
      </c>
      <c r="U83" s="32" t="n">
        <v>175.5</v>
      </c>
      <c r="V83" s="32" t="n">
        <v>213.1</v>
      </c>
      <c r="W83" s="32" t="n">
        <v>33.95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20</t>
        </is>
      </c>
      <c r="CG83" s="31">
        <f>IF(CF83&gt;20,10,IF(CF83&gt;=10,5,2))</f>
        <v/>
      </c>
    </row>
    <row r="84">
      <c r="A84" s="31">
        <f>IF(B84=0,"",RANK(B84,$B$2:$B$96,0))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ACCENTMIC</t>
        </is>
      </c>
      <c r="D84" s="31" t="inlineStr">
        <is>
          <t>Accent Microcell Ltd</t>
        </is>
      </c>
      <c r="E84" s="31" t="inlineStr">
        <is>
          <t>unknown</t>
        </is>
      </c>
      <c r="F84" s="31" t="inlineStr">
        <is>
          <t>Pharma Formulations</t>
        </is>
      </c>
      <c r="G84" s="31" t="inlineStr">
        <is>
          <t>smallcap</t>
        </is>
      </c>
      <c r="H84" s="32" t="n">
        <v>1667.24</v>
      </c>
      <c r="I84" s="32" t="n">
        <v>695</v>
      </c>
      <c r="J84" s="32" t="n">
        <v>2.45</v>
      </c>
      <c r="K84" s="32" t="n">
        <v>0</v>
      </c>
      <c r="L84" s="31" t="n">
        <v>71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71.48999999999999</v>
      </c>
      <c r="P84" s="32" t="n">
        <v>67.92</v>
      </c>
      <c r="Q84" s="32" t="n">
        <v>588.83</v>
      </c>
      <c r="R84" s="31" t="inlineStr">
        <is>
          <t>Earnings / Momentum Support</t>
        </is>
      </c>
      <c r="S84" s="31" t="inlineStr">
        <is>
          <t>Nifty 50</t>
        </is>
      </c>
      <c r="T84" s="32" t="n">
        <v>-12.01</v>
      </c>
      <c r="U84" s="32" t="n">
        <v>139.7</v>
      </c>
      <c r="V84" s="32" t="n">
        <v>172.42</v>
      </c>
      <c r="W84" s="32" t="n">
        <v>26.04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18</t>
        </is>
      </c>
      <c r="CG84" s="31">
        <f>IF(CF84&gt;20,10,IF(CF84&gt;=10,5,2))</f>
        <v/>
      </c>
    </row>
    <row r="85">
      <c r="A85" s="31">
        <f>IF(B85=0,"",RANK(B85,$B$2:$B$96,0))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STLTECH</t>
        </is>
      </c>
      <c r="D85" s="31" t="inlineStr">
        <is>
          <t>Sterlite Technologies Ltd</t>
        </is>
      </c>
      <c r="E85" s="31" t="inlineStr">
        <is>
          <t>industrials</t>
        </is>
      </c>
      <c r="F85" s="31" t="inlineStr">
        <is>
          <t>Cables Telecom</t>
        </is>
      </c>
      <c r="G85" s="31" t="inlineStr">
        <is>
          <t>largecap</t>
        </is>
      </c>
      <c r="H85" s="32" t="n">
        <v>47442.36</v>
      </c>
      <c r="I85" s="32" t="n">
        <v>922.9</v>
      </c>
      <c r="J85" s="32" t="n">
        <v>-4.21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70.31999999999999</v>
      </c>
      <c r="P85" s="32" t="n">
        <v>72.43000000000001</v>
      </c>
      <c r="Q85" s="32" t="n">
        <v>743.35</v>
      </c>
      <c r="R85" s="31" t="inlineStr">
        <is>
          <t>Earnings / Momentum Support</t>
        </is>
      </c>
      <c r="S85" s="31" t="inlineStr">
        <is>
          <t>Nifty Infra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17</t>
        </is>
      </c>
      <c r="CG85" s="31">
        <f>IF(CF85&gt;20,10,IF(CF85&gt;=10,5,2))</f>
        <v/>
      </c>
    </row>
    <row r="86">
      <c r="A86" s="31">
        <f>IF(B86=0,"",RANK(B86,$B$2:$B$96,0))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KPL</t>
        </is>
      </c>
      <c r="D86" s="31" t="inlineStr">
        <is>
          <t>Kwality Pharmaceuticals Ltd</t>
        </is>
      </c>
      <c r="E86" s="31" t="inlineStr">
        <is>
          <t>Healthcare</t>
        </is>
      </c>
      <c r="F86" s="31" t="inlineStr">
        <is>
          <t>Pharma Formulations</t>
        </is>
      </c>
      <c r="G86" s="31" t="inlineStr">
        <is>
          <t>smallcap</t>
        </is>
      </c>
      <c r="H86" s="32" t="n">
        <v>3501.97</v>
      </c>
      <c r="I86" s="32" t="n">
        <v>3375</v>
      </c>
      <c r="J86" s="32" t="n">
        <v>-4.4</v>
      </c>
      <c r="K86" s="32" t="n">
        <v>0</v>
      </c>
      <c r="L86" s="31" t="n">
        <v>90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65.39</v>
      </c>
      <c r="P86" s="32" t="n">
        <v>66.73999999999999</v>
      </c>
      <c r="Q86" s="32" t="n">
        <v>2694.14</v>
      </c>
      <c r="R86" s="31" t="inlineStr">
        <is>
          <t>Earnings / Momentum Support</t>
        </is>
      </c>
      <c r="S86" s="31" t="inlineStr">
        <is>
          <t>Nifty Pharma</t>
        </is>
      </c>
      <c r="T86" s="32" t="n">
        <v>15.65</v>
      </c>
      <c r="U86" s="32" t="n">
        <v>290.84</v>
      </c>
      <c r="V86" s="32" t="n">
        <v>237.94</v>
      </c>
      <c r="W86" s="32" t="n">
        <v>38.33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16</t>
        </is>
      </c>
      <c r="CG86" s="31">
        <f>IF(CF86&gt;20,10,IF(CF86&gt;=10,5,2))</f>
        <v/>
      </c>
    </row>
    <row r="87">
      <c r="A87" s="31">
        <f>IF(B87=0,"",RANK(B87,$B$2:$B$96,0))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ANTELOPUS</t>
        </is>
      </c>
      <c r="D87" s="31" t="inlineStr">
        <is>
          <t>Antelopus Selan Energy Ltd</t>
        </is>
      </c>
      <c r="E87" s="31" t="inlineStr">
        <is>
          <t>Energy</t>
        </is>
      </c>
      <c r="F87" s="31" t="inlineStr">
        <is>
          <t>Oil Drilling and Exploration</t>
        </is>
      </c>
      <c r="G87" s="31" t="inlineStr">
        <is>
          <t>smallcap</t>
        </is>
      </c>
      <c r="H87" s="32" t="n">
        <v>3888.72</v>
      </c>
      <c r="I87" s="32" t="n">
        <v>1102</v>
      </c>
      <c r="J87" s="32" t="n">
        <v>2.61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63.99</v>
      </c>
      <c r="P87" s="32" t="n">
        <v>52.18</v>
      </c>
      <c r="Q87" s="32" t="n">
        <v>882.21</v>
      </c>
      <c r="R87" s="31" t="inlineStr">
        <is>
          <t>Earnings / Momentum Support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19</t>
        </is>
      </c>
      <c r="CG87" s="31">
        <f>IF(CF87&gt;20,10,IF(CF87&gt;=10,5,2))</f>
        <v/>
      </c>
    </row>
    <row r="88">
      <c r="A88" s="31">
        <f>IF(B88=0,"",RANK(B88,$B$2:$B$96,0))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SAHANA</t>
        </is>
      </c>
      <c r="D88" s="34" t="inlineStr">
        <is>
          <t>Sahana Systems Ltd</t>
        </is>
      </c>
      <c r="E88" s="31" t="inlineStr">
        <is>
          <t>unknown</t>
        </is>
      </c>
      <c r="F88" s="31" t="inlineStr">
        <is>
          <t>IT Services</t>
        </is>
      </c>
      <c r="G88" s="31" t="inlineStr">
        <is>
          <t>smallcap</t>
        </is>
      </c>
      <c r="H88" s="32" t="n">
        <v>1021.22</v>
      </c>
      <c r="I88" s="32" t="n">
        <v>963</v>
      </c>
      <c r="J88" s="32" t="n">
        <v>1.63</v>
      </c>
      <c r="K88" s="32" t="n">
        <v>0</v>
      </c>
      <c r="L88" s="31" t="n">
        <v>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55.06</v>
      </c>
      <c r="P88" s="32" t="n">
        <v>7.99</v>
      </c>
      <c r="Q88" s="32" t="n">
        <v>655.14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-12.01</v>
      </c>
      <c r="U88" s="32" t="n">
        <v>-1.96</v>
      </c>
      <c r="V88" s="32" t="n">
        <v>11.42</v>
      </c>
      <c r="W88" s="32" t="n">
        <v>1.02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0 to 20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1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17</t>
        </is>
      </c>
      <c r="CG88" s="31">
        <f>IF(CF88&gt;20,10,IF(CF88&gt;=10,5,2))</f>
        <v/>
      </c>
    </row>
    <row r="89">
      <c r="A89" s="31">
        <f>IF(B89=0,"",RANK(B89,$B$2:$B$96,0))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REMUS</t>
        </is>
      </c>
      <c r="D89" s="34" t="inlineStr">
        <is>
          <t>Remus Pharmaceuticals Ltd</t>
        </is>
      </c>
      <c r="E89" s="31" t="inlineStr">
        <is>
          <t>unknown</t>
        </is>
      </c>
      <c r="F89" s="31" t="inlineStr">
        <is>
          <t>Pharma Others</t>
        </is>
      </c>
      <c r="G89" s="31" t="inlineStr">
        <is>
          <t>smallcap</t>
        </is>
      </c>
      <c r="H89" s="32" t="n">
        <v>1204.32</v>
      </c>
      <c r="I89" s="32" t="n">
        <v>1022</v>
      </c>
      <c r="J89" s="32" t="n">
        <v>10.49</v>
      </c>
      <c r="K89" s="32" t="n">
        <v>0</v>
      </c>
      <c r="L89" s="31" t="n">
        <v>42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56.11</v>
      </c>
      <c r="P89" s="32" t="n">
        <v>38.04</v>
      </c>
      <c r="Q89" s="32" t="n">
        <v>702.9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-12.01</v>
      </c>
      <c r="U89" s="32" t="n">
        <v>39.22</v>
      </c>
      <c r="V89" s="32" t="n">
        <v>58.22</v>
      </c>
      <c r="W89" s="32" t="n">
        <v>12.71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16</t>
        </is>
      </c>
      <c r="CG89" s="31">
        <f>IF(CF89&gt;20,10,IF(CF89&gt;=10,5,2))</f>
        <v/>
      </c>
    </row>
    <row r="90">
      <c r="A90" s="31">
        <f>IF(B90=0,"",RANK(B90,$B$2:$B$96,0))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TARIL</t>
        </is>
      </c>
      <c r="D90" s="34" t="inlineStr">
        <is>
          <t>Transformers &amp; Rectifiers India Ltd</t>
        </is>
      </c>
      <c r="E90" s="31" t="inlineStr">
        <is>
          <t>Industrials</t>
        </is>
      </c>
      <c r="F90" s="31" t="inlineStr">
        <is>
          <t>Capital Goods Transformers</t>
        </is>
      </c>
      <c r="G90" s="31" t="inlineStr">
        <is>
          <t>midcap</t>
        </is>
      </c>
      <c r="H90" s="32" t="n">
        <v>10400.75</v>
      </c>
      <c r="I90" s="32" t="n">
        <v>346.5</v>
      </c>
      <c r="J90" s="32" t="n">
        <v>13.98</v>
      </c>
      <c r="K90" s="32" t="n">
        <v>0</v>
      </c>
      <c r="L90" s="31" t="n">
        <v>2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61.54</v>
      </c>
      <c r="P90" s="32" t="n">
        <v>9.33</v>
      </c>
      <c r="Q90" s="32" t="n">
        <v>260.96</v>
      </c>
      <c r="R90" s="31" t="inlineStr">
        <is>
          <t>Volume Spike / Accumulation</t>
        </is>
      </c>
      <c r="S90" s="31" t="inlineStr">
        <is>
          <t>Nifty 50</t>
        </is>
      </c>
      <c r="T90" s="32" t="n">
        <v>-12.01</v>
      </c>
      <c r="U90" s="32" t="n">
        <v>-27.75</v>
      </c>
      <c r="V90" s="32" t="n">
        <v>-17.89</v>
      </c>
      <c r="W90" s="32" t="n">
        <v>-1.77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1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Negative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21</t>
        </is>
      </c>
      <c r="CG90" s="31">
        <f>IF(CF90&gt;20,10,IF(CF90&gt;=10,5,2))</f>
        <v/>
      </c>
    </row>
    <row r="91">
      <c r="A91" s="31">
        <f>IF(B91=0,"",RANK(B91,$B$2:$B$96,0))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UNITEDPOLY</t>
        </is>
      </c>
      <c r="D91" s="31" t="inlineStr">
        <is>
          <t>United Polyfab Gujarat Ltd</t>
        </is>
      </c>
      <c r="E91" s="31" t="inlineStr">
        <is>
          <t>textiles</t>
        </is>
      </c>
      <c r="F91" s="31" t="inlineStr">
        <is>
          <t>Textiles Others</t>
        </is>
      </c>
      <c r="G91" s="31" t="inlineStr">
        <is>
          <t>smallcap</t>
        </is>
      </c>
      <c r="H91" s="32" t="n">
        <v>1177.64</v>
      </c>
      <c r="I91" s="32" t="n">
        <v>51.31</v>
      </c>
      <c r="J91" s="32" t="n">
        <v>3.8</v>
      </c>
      <c r="K91" s="32" t="n">
        <v>0</v>
      </c>
      <c r="L91" s="31" t="n">
        <v>67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79.61</v>
      </c>
      <c r="P91" s="32" t="n">
        <v>32.81</v>
      </c>
      <c r="Q91" s="32" t="n">
        <v>38.43</v>
      </c>
      <c r="R91" s="31" t="inlineStr">
        <is>
          <t>Volume Spike &amp; Near 52W High Breakout</t>
        </is>
      </c>
      <c r="S91" s="31" t="inlineStr">
        <is>
          <t>Nifty 50</t>
        </is>
      </c>
      <c r="T91" s="32" t="n">
        <v>-12.01</v>
      </c>
      <c r="U91" s="32" t="n">
        <v>21.12</v>
      </c>
      <c r="V91" s="32" t="n">
        <v>37.64</v>
      </c>
      <c r="W91" s="32" t="n">
        <v>23.91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Shallow Cyclical (2 to 3 Years Growth)</t>
        </is>
      </c>
      <c r="AG91" s="31">
        <f>IF(AF91="Structural (10 Years Consistency)",10,IF(AF91="Shallow Cyclical (2 to 3 years growth)",5,0))</f>
        <v/>
      </c>
      <c r="AH91" s="31" t="inlineStr">
        <is>
          <t>Yes due to Product Mix change or Operating Leverage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Allocated capital in Non-core Areas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Sideways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Overhead supply in last 2 years in last 2 years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More than 15%</t>
        </is>
      </c>
      <c r="CC91" s="31">
        <f>IF(CB91="More than 15%",-10,IF(CB91="Less than 15%",10,0))</f>
        <v/>
      </c>
      <c r="CD91" s="31" t="inlineStr">
        <is>
          <t>Yes Upto 10%</t>
        </is>
      </c>
      <c r="CE91" s="31">
        <f>IF(CD91="Yes, more than 10%",-10,IF(CD91="No",10,0))</f>
        <v/>
      </c>
      <c r="CF91" s="31" t="inlineStr">
        <is>
          <t>17</t>
        </is>
      </c>
      <c r="CG91" s="31">
        <f>IF(CF91&gt;20,10,IF(CF91&gt;=10,5,2))</f>
        <v/>
      </c>
    </row>
    <row r="92">
      <c r="A92" s="31">
        <f>IF(B92=0,"",RANK(B92,$B$2:$B$96,0))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4" t="inlineStr">
        <is>
          <t>GPPL</t>
        </is>
      </c>
      <c r="D92" s="34" t="inlineStr">
        <is>
          <t>Gujarat Pipavav Port Ltd</t>
        </is>
      </c>
      <c r="E92" s="31" t="inlineStr">
        <is>
          <t>transportation</t>
        </is>
      </c>
      <c r="F92" s="31" t="inlineStr">
        <is>
          <t>Marine Port and Services</t>
        </is>
      </c>
      <c r="G92" s="31" t="inlineStr">
        <is>
          <t>midcap</t>
        </is>
      </c>
      <c r="H92" s="32" t="n">
        <v>8450.530000000001</v>
      </c>
      <c r="I92" s="32" t="n">
        <v>174.8</v>
      </c>
      <c r="J92" s="32" t="n">
        <v>1.84</v>
      </c>
      <c r="K92" s="32" t="n">
        <v>0</v>
      </c>
      <c r="L92" s="31" t="n">
        <v>26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70.39</v>
      </c>
      <c r="P92" s="32" t="n">
        <v>24.52</v>
      </c>
      <c r="Q92" s="32" t="n">
        <v>149.39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-12.01</v>
      </c>
      <c r="U92" s="32" t="n">
        <v>16.55</v>
      </c>
      <c r="V92" s="32" t="n">
        <v>32.46</v>
      </c>
      <c r="W92" s="32" t="n">
        <v>7.8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Yes due to Product Mix change or Operating Leverage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Allocated capital in Non-core Areas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Sideways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Overhead supply in last 2 years in last 2 years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More than 15%</t>
        </is>
      </c>
      <c r="CC92" s="31">
        <f>IF(CB92="More than 15%",-10,IF(CB92="Less than 15%",10,0))</f>
        <v/>
      </c>
      <c r="CD92" s="31" t="inlineStr">
        <is>
          <t>Yes Upto 10%</t>
        </is>
      </c>
      <c r="CE92" s="31">
        <f>IF(CD92="Yes, more than 10%",-10,IF(CD92="No",10,0))</f>
        <v/>
      </c>
      <c r="CF92" s="31" t="inlineStr">
        <is>
          <t>17</t>
        </is>
      </c>
      <c r="CG92" s="31">
        <f>IF(CF92&gt;20,10,IF(CF92&gt;=10,5,2))</f>
        <v/>
      </c>
    </row>
    <row r="93">
      <c r="A93" s="31">
        <f>IF(B93=0,"",RANK(B93,$B$2:$B$96,0))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GAEL</t>
        </is>
      </c>
      <c r="D93" s="34" t="inlineStr">
        <is>
          <t>Gujarat Ambuja Exports Ltd</t>
        </is>
      </c>
      <c r="E93" s="31" t="inlineStr">
        <is>
          <t>fmcg</t>
        </is>
      </c>
      <c r="F93" s="31" t="inlineStr">
        <is>
          <t>Agricultural Processing Maize</t>
        </is>
      </c>
      <c r="G93" s="31" t="inlineStr">
        <is>
          <t>midcap</t>
        </is>
      </c>
      <c r="H93" s="32" t="n">
        <v>8210.200000000001</v>
      </c>
      <c r="I93" s="32" t="n">
        <v>179</v>
      </c>
      <c r="J93" s="32" t="n">
        <v>3.31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61.8</v>
      </c>
      <c r="P93" s="32" t="n">
        <v>23.15</v>
      </c>
      <c r="Q93" s="32" t="n">
        <v>141.22</v>
      </c>
      <c r="R93" s="31" t="inlineStr">
        <is>
          <t>Near 52W High Breakout</t>
        </is>
      </c>
      <c r="S93" s="31" t="inlineStr">
        <is>
          <t>Nifty FMCG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Oligopoly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Shallow Cyclical (2 to 3 Years Growth)</t>
        </is>
      </c>
      <c r="AG93" s="31">
        <f>IF(AF93="Structural (10 Years Consistency)",10,IF(AF93="Shallow Cyclical (2 to 3 years growth)",5,0))</f>
        <v/>
      </c>
      <c r="AH93" s="31" t="inlineStr">
        <is>
          <t>Yes due to Product Mix change or Operating Leverage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Allocated capital in Non-core Areas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Sideways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Overhead supply in last 2 years in last 2 years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More than 15%</t>
        </is>
      </c>
      <c r="CC93" s="31">
        <f>IF(CB93="More than 15%",-10,IF(CB93="Less than 15%",10,0))</f>
        <v/>
      </c>
      <c r="CD93" s="31" t="inlineStr">
        <is>
          <t>Yes Upto 10%</t>
        </is>
      </c>
      <c r="CE93" s="31">
        <f>IF(CD93="Yes, more than 10%",-10,IF(CD93="No",10,0))</f>
        <v/>
      </c>
      <c r="CF93" s="31" t="inlineStr">
        <is>
          <t>17</t>
        </is>
      </c>
      <c r="CG93" s="31">
        <f>IF(CF93&gt;20,10,IF(CF93&gt;=10,5,2))</f>
        <v/>
      </c>
    </row>
    <row r="94">
      <c r="A94" s="31">
        <f>IF(B94=0,"",RANK(B94,$B$2:$B$96,0))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UTSSAV</t>
        </is>
      </c>
      <c r="D94" s="31" t="inlineStr">
        <is>
          <t>Utssav CZ Gold Jewels Ltd</t>
        </is>
      </c>
      <c r="E94" s="31" t="inlineStr">
        <is>
          <t>unknown</t>
        </is>
      </c>
      <c r="F94" s="31" t="inlineStr">
        <is>
          <t>Diamond Gems and Jewellery</t>
        </is>
      </c>
      <c r="G94" s="31" t="inlineStr">
        <is>
          <t>smallcap</t>
        </is>
      </c>
      <c r="H94" s="32" t="n">
        <v>2245.76</v>
      </c>
      <c r="I94" s="32" t="n">
        <v>930</v>
      </c>
      <c r="J94" s="32" t="n">
        <v>4.66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5">
      <c r="A95" s="31">
        <f>IF(B95=0,"",RANK(B95,$B$2:$B$96,0))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RATNAVEER</t>
        </is>
      </c>
      <c r="D95" s="31" t="inlineStr">
        <is>
          <t>Ratnaveer Precision Engineering Ltd</t>
        </is>
      </c>
      <c r="E95" s="31" t="inlineStr">
        <is>
          <t>unknown</t>
        </is>
      </c>
      <c r="F95" s="31" t="inlineStr">
        <is>
          <t>Stainless Steel</t>
        </is>
      </c>
      <c r="G95" s="31" t="inlineStr">
        <is>
          <t>smallcap</t>
        </is>
      </c>
      <c r="H95" s="32" t="n">
        <v>2760.34</v>
      </c>
      <c r="I95" s="32" t="n">
        <v>328.9</v>
      </c>
      <c r="J95" s="32" t="n">
        <v>-3.65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IF(B96=0,"",RANK(B96,$B$2:$B$96,0))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UNIVCABLES</t>
        </is>
      </c>
      <c r="D96" s="31" t="inlineStr">
        <is>
          <t>Universal Cables Ltd</t>
        </is>
      </c>
      <c r="E96" s="31" t="inlineStr">
        <is>
          <t>unknown</t>
        </is>
      </c>
      <c r="F96" s="31" t="inlineStr">
        <is>
          <t>Cables Power</t>
        </is>
      </c>
      <c r="G96" s="31" t="inlineStr">
        <is>
          <t>midcap</t>
        </is>
      </c>
      <c r="H96" s="32" t="n">
        <v>5492.97</v>
      </c>
      <c r="I96" s="32" t="n">
        <v>1583.2</v>
      </c>
      <c r="J96" s="32" t="n">
        <v>4.82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100">
      <c r="A100" s="25" t="inlineStr">
        <is>
          <t>❌ REMOVED SCAN MATCH STOCKS (THIS WEEK)</t>
        </is>
      </c>
    </row>
    <row r="101">
      <c r="A101" s="35" t="inlineStr">
        <is>
          <t>Symbol</t>
        </is>
      </c>
      <c r="B101" s="35" t="inlineStr">
        <is>
          <t>Company Name</t>
        </is>
      </c>
      <c r="C101" s="35" t="inlineStr">
        <is>
          <t>Sector</t>
        </is>
      </c>
      <c r="D101" s="35" t="inlineStr">
        <is>
          <t>Date of Removal</t>
        </is>
      </c>
    </row>
    <row r="102">
      <c r="A102" s="36" t="inlineStr">
        <is>
          <t>AEROENTER</t>
        </is>
      </c>
      <c r="B102" s="37" t="inlineStr">
        <is>
          <t>AEROENTER</t>
        </is>
      </c>
      <c r="C102" s="37" t="inlineStr">
        <is>
          <t>unknown</t>
        </is>
      </c>
      <c r="D102" s="38" t="inlineStr">
        <is>
          <t>2026-10-13</t>
        </is>
      </c>
    </row>
    <row r="103">
      <c r="A103" s="36" t="inlineStr">
        <is>
          <t>AETHER</t>
        </is>
      </c>
      <c r="B103" s="37" t="inlineStr">
        <is>
          <t>AETHER</t>
        </is>
      </c>
      <c r="C103" s="37" t="inlineStr">
        <is>
          <t>unknown</t>
        </is>
      </c>
      <c r="D103" s="38" t="inlineStr">
        <is>
          <t>2026-10-13</t>
        </is>
      </c>
    </row>
    <row r="104">
      <c r="A104" s="36" t="inlineStr">
        <is>
          <t>AMAL</t>
        </is>
      </c>
      <c r="B104" s="37" t="inlineStr">
        <is>
          <t>AMAL</t>
        </is>
      </c>
      <c r="C104" s="37" t="inlineStr">
        <is>
          <t>unknown</t>
        </is>
      </c>
      <c r="D104" s="38" t="inlineStr">
        <is>
          <t>2026-10-14</t>
        </is>
      </c>
    </row>
    <row r="105">
      <c r="A105" s="36" t="inlineStr">
        <is>
          <t>ATLANTAELE</t>
        </is>
      </c>
      <c r="B105" s="37" t="inlineStr">
        <is>
          <t>Atlanta Electricals Limited</t>
        </is>
      </c>
      <c r="C105" s="37" t="inlineStr">
        <is>
          <t>Industrials</t>
        </is>
      </c>
      <c r="D105" s="38" t="inlineStr">
        <is>
          <t>2026-10-14</t>
        </is>
      </c>
    </row>
    <row r="106">
      <c r="A106" s="36" t="inlineStr">
        <is>
          <t>AVADHSUGAR</t>
        </is>
      </c>
      <c r="B106" s="37" t="inlineStr">
        <is>
          <t>Avadh Sugar &amp; Energy Limited</t>
        </is>
      </c>
      <c r="C106" s="37" t="inlineStr">
        <is>
          <t>Consumer Defensive</t>
        </is>
      </c>
      <c r="D106" s="38" t="inlineStr">
        <is>
          <t>2026-10-13</t>
        </is>
      </c>
    </row>
    <row r="107">
      <c r="A107" s="36" t="inlineStr">
        <is>
          <t>AVALON</t>
        </is>
      </c>
      <c r="B107" s="37" t="inlineStr">
        <is>
          <t>AVALON</t>
        </is>
      </c>
      <c r="C107" s="37" t="inlineStr">
        <is>
          <t>unknown</t>
        </is>
      </c>
      <c r="D107" s="38" t="inlineStr">
        <is>
          <t>2026-10-13</t>
        </is>
      </c>
    </row>
    <row r="108">
      <c r="A108" s="36" t="inlineStr">
        <is>
          <t>BLKASHYAP</t>
        </is>
      </c>
      <c r="B108" s="37" t="inlineStr">
        <is>
          <t>B.L. Kashyap and Sons Limited</t>
        </is>
      </c>
      <c r="C108" s="37" t="inlineStr">
        <is>
          <t>Industrials</t>
        </is>
      </c>
      <c r="D108" s="38" t="inlineStr">
        <is>
          <t>2026-10-14</t>
        </is>
      </c>
    </row>
    <row r="109">
      <c r="A109" s="36" t="inlineStr">
        <is>
          <t>BODALCHEM</t>
        </is>
      </c>
      <c r="B109" s="37" t="inlineStr">
        <is>
          <t>BODALCHEM</t>
        </is>
      </c>
      <c r="C109" s="37" t="inlineStr">
        <is>
          <t>unknown</t>
        </is>
      </c>
      <c r="D109" s="38" t="inlineStr">
        <is>
          <t>2026-10-14</t>
        </is>
      </c>
    </row>
    <row r="110">
      <c r="A110" s="36" t="inlineStr">
        <is>
          <t>DHAMPURSUG</t>
        </is>
      </c>
      <c r="B110" s="37" t="inlineStr">
        <is>
          <t>Dhampur Sugar Mills Limited</t>
        </is>
      </c>
      <c r="C110" s="37" t="inlineStr">
        <is>
          <t>Consumer Defensive</t>
        </is>
      </c>
      <c r="D110" s="38" t="inlineStr">
        <is>
          <t>2026-10-14</t>
        </is>
      </c>
    </row>
    <row r="111">
      <c r="A111" s="36" t="inlineStr">
        <is>
          <t>DYNAMATECH</t>
        </is>
      </c>
      <c r="B111" s="37" t="inlineStr">
        <is>
          <t>Dynamatic Technologies Limited</t>
        </is>
      </c>
      <c r="C111" s="37" t="inlineStr">
        <is>
          <t>Consumer Cyclical</t>
        </is>
      </c>
      <c r="D111" s="38" t="inlineStr">
        <is>
          <t>2026-10-14</t>
        </is>
      </c>
    </row>
    <row r="112">
      <c r="A112" s="36" t="inlineStr">
        <is>
          <t>E2E</t>
        </is>
      </c>
      <c r="B112" s="37" t="inlineStr">
        <is>
          <t>E2E Networks Limited</t>
        </is>
      </c>
      <c r="C112" s="37" t="inlineStr">
        <is>
          <t>Technology</t>
        </is>
      </c>
      <c r="D112" s="38" t="inlineStr">
        <is>
          <t>2026-10-13</t>
        </is>
      </c>
    </row>
    <row r="113">
      <c r="A113" s="36" t="inlineStr">
        <is>
          <t>ENGINERSIN</t>
        </is>
      </c>
      <c r="B113" s="37" t="inlineStr">
        <is>
          <t>ENGINERSIN</t>
        </is>
      </c>
      <c r="C113" s="37" t="inlineStr">
        <is>
          <t>unknown</t>
        </is>
      </c>
      <c r="D113" s="38" t="inlineStr">
        <is>
          <t>2026-10-13</t>
        </is>
      </c>
    </row>
    <row r="114">
      <c r="A114" s="36" t="inlineStr">
        <is>
          <t>FAIRCHEMOR</t>
        </is>
      </c>
      <c r="B114" s="37" t="inlineStr">
        <is>
          <t>Fairchem Organics Limited</t>
        </is>
      </c>
      <c r="C114" s="37" t="inlineStr">
        <is>
          <t>Basic Materials</t>
        </is>
      </c>
      <c r="D114" s="38" t="inlineStr">
        <is>
          <t>2026-10-14</t>
        </is>
      </c>
    </row>
    <row r="115">
      <c r="A115" s="36" t="inlineStr">
        <is>
          <t>GHCLTEXTIL</t>
        </is>
      </c>
      <c r="B115" s="37" t="inlineStr">
        <is>
          <t>GHCL Textiles Limited</t>
        </is>
      </c>
      <c r="C115" s="37" t="inlineStr">
        <is>
          <t>Consumer Cyclical</t>
        </is>
      </c>
      <c r="D115" s="38" t="inlineStr">
        <is>
          <t>2026-10-14</t>
        </is>
      </c>
    </row>
    <row r="116">
      <c r="A116" s="36" t="inlineStr">
        <is>
          <t>LALPATHLAB</t>
        </is>
      </c>
      <c r="B116" s="37" t="inlineStr">
        <is>
          <t>LALPATHLAB</t>
        </is>
      </c>
      <c r="C116" s="37" t="inlineStr">
        <is>
          <t>unknown</t>
        </is>
      </c>
      <c r="D116" s="38" t="inlineStr">
        <is>
          <t>2026-10-13</t>
        </is>
      </c>
    </row>
    <row r="117">
      <c r="A117" s="36" t="inlineStr">
        <is>
          <t>NAVINFLUOR</t>
        </is>
      </c>
      <c r="B117" s="37" t="inlineStr">
        <is>
          <t>NAVINFLUOR</t>
        </is>
      </c>
      <c r="C117" s="37" t="inlineStr">
        <is>
          <t>unknown</t>
        </is>
      </c>
      <c r="D117" s="38" t="inlineStr">
        <is>
          <t>2026-10-13</t>
        </is>
      </c>
    </row>
    <row r="118">
      <c r="A118" s="36" t="inlineStr">
        <is>
          <t>NAZARA</t>
        </is>
      </c>
      <c r="B118" s="37" t="inlineStr">
        <is>
          <t>Nazara Technologies Limited</t>
        </is>
      </c>
      <c r="C118" s="37" t="inlineStr">
        <is>
          <t>Communication Services</t>
        </is>
      </c>
      <c r="D118" s="38" t="inlineStr">
        <is>
          <t>2026-10-13</t>
        </is>
      </c>
    </row>
    <row r="119">
      <c r="A119" s="36" t="inlineStr">
        <is>
          <t>PCJEWELLER</t>
        </is>
      </c>
      <c r="B119" s="37" t="inlineStr">
        <is>
          <t>PC Jeweller Limited</t>
        </is>
      </c>
      <c r="C119" s="37" t="inlineStr">
        <is>
          <t>Consumer Cyclical</t>
        </is>
      </c>
      <c r="D119" s="38" t="inlineStr">
        <is>
          <t>2026-10-14</t>
        </is>
      </c>
    </row>
    <row r="120">
      <c r="A120" s="36" t="inlineStr">
        <is>
          <t>PNGSREVA</t>
        </is>
      </c>
      <c r="B120" s="37" t="inlineStr">
        <is>
          <t>PNGSREVA</t>
        </is>
      </c>
      <c r="C120" s="37" t="inlineStr">
        <is>
          <t>unknown</t>
        </is>
      </c>
      <c r="D120" s="38" t="inlineStr">
        <is>
          <t>2026-10-14</t>
        </is>
      </c>
    </row>
    <row r="121">
      <c r="A121" s="36" t="inlineStr">
        <is>
          <t>PRADPME</t>
        </is>
      </c>
      <c r="B121" s="37" t="inlineStr">
        <is>
          <t>PRADPME</t>
        </is>
      </c>
      <c r="C121" s="37" t="inlineStr">
        <is>
          <t>unknown</t>
        </is>
      </c>
      <c r="D121" s="38" t="inlineStr">
        <is>
          <t>2026-10-14</t>
        </is>
      </c>
    </row>
    <row r="122">
      <c r="A122" s="36" t="inlineStr">
        <is>
          <t>PRECWIRE</t>
        </is>
      </c>
      <c r="B122" s="37" t="inlineStr">
        <is>
          <t>PRECWIRE</t>
        </is>
      </c>
      <c r="C122" s="37" t="inlineStr">
        <is>
          <t>unknown</t>
        </is>
      </c>
      <c r="D122" s="38" t="inlineStr">
        <is>
          <t>2026-10-14</t>
        </is>
      </c>
    </row>
    <row r="123">
      <c r="A123" s="36" t="inlineStr">
        <is>
          <t>PTCIL</t>
        </is>
      </c>
      <c r="B123" s="37" t="inlineStr">
        <is>
          <t>PTC Industries Limited</t>
        </is>
      </c>
      <c r="C123" s="37" t="inlineStr">
        <is>
          <t>Industrials</t>
        </is>
      </c>
      <c r="D123" s="38" t="inlineStr">
        <is>
          <t>2026-10-14</t>
        </is>
      </c>
    </row>
    <row r="124">
      <c r="A124" s="36" t="inlineStr">
        <is>
          <t>RATNAVEER</t>
        </is>
      </c>
      <c r="B124" s="37" t="inlineStr">
        <is>
          <t>RATNAVEER</t>
        </is>
      </c>
      <c r="C124" s="37" t="inlineStr">
        <is>
          <t>unknown</t>
        </is>
      </c>
      <c r="D124" s="38" t="inlineStr">
        <is>
          <t>2026-10-14</t>
        </is>
      </c>
    </row>
    <row r="125">
      <c r="A125" s="36" t="inlineStr">
        <is>
          <t>SANSERA</t>
        </is>
      </c>
      <c r="B125" s="37" t="inlineStr">
        <is>
          <t>SANSERA</t>
        </is>
      </c>
      <c r="C125" s="37" t="inlineStr">
        <is>
          <t>unknown</t>
        </is>
      </c>
      <c r="D125" s="38" t="inlineStr">
        <is>
          <t>2026-10-14</t>
        </is>
      </c>
    </row>
    <row r="126">
      <c r="A126" s="36" t="inlineStr">
        <is>
          <t>SHILPAMED</t>
        </is>
      </c>
      <c r="B126" s="37" t="inlineStr">
        <is>
          <t>SHILPAMED</t>
        </is>
      </c>
      <c r="C126" s="37" t="inlineStr">
        <is>
          <t>unknown</t>
        </is>
      </c>
      <c r="D126" s="38" t="inlineStr">
        <is>
          <t>2026-10-13</t>
        </is>
      </c>
    </row>
    <row r="127">
      <c r="A127" s="36" t="inlineStr">
        <is>
          <t>SOMANYCERA</t>
        </is>
      </c>
      <c r="B127" s="37" t="inlineStr">
        <is>
          <t>SOMANYCERA</t>
        </is>
      </c>
      <c r="C127" s="37" t="inlineStr">
        <is>
          <t>unknown</t>
        </is>
      </c>
      <c r="D127" s="38" t="inlineStr">
        <is>
          <t>2026-10-13</t>
        </is>
      </c>
    </row>
    <row r="128">
      <c r="A128" s="36" t="inlineStr">
        <is>
          <t>SVRL</t>
        </is>
      </c>
      <c r="B128" s="37" t="inlineStr">
        <is>
          <t>SVRL</t>
        </is>
      </c>
      <c r="C128" s="37" t="inlineStr">
        <is>
          <t>unknown</t>
        </is>
      </c>
      <c r="D128" s="38" t="inlineStr">
        <is>
          <t>2026-10-14</t>
        </is>
      </c>
    </row>
    <row r="129">
      <c r="A129" s="36" t="inlineStr">
        <is>
          <t>SYRMA</t>
        </is>
      </c>
      <c r="B129" s="37" t="inlineStr">
        <is>
          <t>SYRMA</t>
        </is>
      </c>
      <c r="C129" s="37" t="inlineStr">
        <is>
          <t>unknown</t>
        </is>
      </c>
      <c r="D129" s="38" t="inlineStr">
        <is>
          <t>2026-10-13</t>
        </is>
      </c>
    </row>
    <row r="130">
      <c r="A130" s="36" t="inlineStr">
        <is>
          <t>TDPOWERSYS</t>
        </is>
      </c>
      <c r="B130" s="37" t="inlineStr">
        <is>
          <t>TDPOWERSYS</t>
        </is>
      </c>
      <c r="C130" s="37" t="inlineStr">
        <is>
          <t>unknown</t>
        </is>
      </c>
      <c r="D130" s="38" t="inlineStr">
        <is>
          <t>2026-10-14</t>
        </is>
      </c>
    </row>
    <row r="131">
      <c r="A131" s="36" t="inlineStr">
        <is>
          <t>UTTAMSUGAR</t>
        </is>
      </c>
      <c r="B131" s="37" t="inlineStr">
        <is>
          <t>Uttam Sugar Mills Limited</t>
        </is>
      </c>
      <c r="C131" s="37" t="inlineStr">
        <is>
          <t>Consumer Defensive</t>
        </is>
      </c>
      <c r="D131" s="38" t="inlineStr">
        <is>
          <t>2026-10-14</t>
        </is>
      </c>
    </row>
    <row r="132">
      <c r="A132" s="36" t="inlineStr">
        <is>
          <t>VINCOFE</t>
        </is>
      </c>
      <c r="B132" s="37" t="inlineStr">
        <is>
          <t>VINCOFE</t>
        </is>
      </c>
      <c r="C132" s="37" t="inlineStr">
        <is>
          <t>unknown</t>
        </is>
      </c>
      <c r="D132" s="38" t="inlineStr">
        <is>
          <t>2026-10-13</t>
        </is>
      </c>
    </row>
    <row r="133">
      <c r="A133" s="36" t="inlineStr">
        <is>
          <t>WELCORP</t>
        </is>
      </c>
      <c r="B133" s="37" t="inlineStr">
        <is>
          <t>WELCORP</t>
        </is>
      </c>
      <c r="C133" s="37" t="inlineStr">
        <is>
          <t>unknown</t>
        </is>
      </c>
      <c r="D133" s="38" t="inlineStr">
        <is>
          <t>2026-10-13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SMCGLOBAL</t>
        </is>
      </c>
      <c r="D2" s="31" t="inlineStr">
        <is>
          <t>SMC Global Securities Ltd</t>
        </is>
      </c>
      <c r="E2" s="31" t="inlineStr">
        <is>
          <t>financials</t>
        </is>
      </c>
      <c r="F2" s="31" t="inlineStr">
        <is>
          <t>Finance Capital Markets Brokers</t>
        </is>
      </c>
      <c r="G2" s="31" t="inlineStr">
        <is>
          <t>smallcap</t>
        </is>
      </c>
      <c r="H2" s="32" t="n">
        <v>2401.82</v>
      </c>
      <c r="I2" s="32" t="n">
        <v>114.7</v>
      </c>
      <c r="J2" s="32" t="n">
        <v>-2.29</v>
      </c>
      <c r="K2" s="32" t="n">
        <v>0</v>
      </c>
      <c r="L2" s="31" t="n">
        <v>64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76.15000000000001</v>
      </c>
      <c r="P2" s="32" t="n">
        <v>43.19</v>
      </c>
      <c r="Q2" s="32" t="n">
        <v>87.06</v>
      </c>
      <c r="R2" s="31" t="inlineStr">
        <is>
          <t>Near 52W High Breakout</t>
        </is>
      </c>
      <c r="S2" s="31" t="inlineStr">
        <is>
          <t>Nifty Bank</t>
        </is>
      </c>
      <c r="T2" s="32" t="n">
        <v>-4.15</v>
      </c>
      <c r="U2" s="32" t="n">
        <v>72.52</v>
      </c>
      <c r="V2" s="32" t="n">
        <v>80</v>
      </c>
      <c r="W2" s="32" t="n">
        <v>21.87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SGFIN</t>
        </is>
      </c>
      <c r="D3" s="31" t="inlineStr">
        <is>
          <t>SG Finserve Ltd</t>
        </is>
      </c>
      <c r="E3" s="31" t="inlineStr">
        <is>
          <t>financials</t>
        </is>
      </c>
      <c r="F3" s="31" t="inlineStr">
        <is>
          <t>Finance and Investments MSME Lending</t>
        </is>
      </c>
      <c r="G3" s="31" t="inlineStr">
        <is>
          <t>smallcap</t>
        </is>
      </c>
      <c r="H3" s="32" t="n">
        <v>4530.28</v>
      </c>
      <c r="I3" s="32" t="n">
        <v>687.5</v>
      </c>
      <c r="J3" s="32" t="n">
        <v>1.18</v>
      </c>
      <c r="K3" s="32" t="n">
        <v>0</v>
      </c>
      <c r="L3" s="31" t="n">
        <v>47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62.63</v>
      </c>
      <c r="P3" s="32" t="n">
        <v>27.65</v>
      </c>
      <c r="Q3" s="32" t="n">
        <v>530.86</v>
      </c>
      <c r="R3" s="31" t="inlineStr">
        <is>
          <t>Near 52W High Breakout</t>
        </is>
      </c>
      <c r="S3" s="31" t="inlineStr">
        <is>
          <t>Nifty Bank</t>
        </is>
      </c>
      <c r="T3" s="32" t="n">
        <v>-4.15</v>
      </c>
      <c r="U3" s="32" t="n">
        <v>86.19</v>
      </c>
      <c r="V3" s="32" t="n">
        <v>94.26000000000001</v>
      </c>
      <c r="W3" s="32" t="n">
        <v>15.6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19</t>
        </is>
      </c>
      <c r="CC3" s="31">
        <f>IF(CB3&gt;20,10,IF(CB3&gt;=10,5,2))</f>
        <v/>
      </c>
    </row>
    <row r="4">
      <c r="A4" s="31">
        <f>IF(B4=0,"",RANK(B4,$B$2:$B$6,0))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PSU Lending</t>
        </is>
      </c>
      <c r="G4" s="31" t="inlineStr">
        <is>
          <t>midcap</t>
        </is>
      </c>
      <c r="H4" s="32" t="n">
        <v>7398.38</v>
      </c>
      <c r="I4" s="32" t="n">
        <v>159.8</v>
      </c>
      <c r="J4" s="32" t="n">
        <v>0.7</v>
      </c>
      <c r="K4" s="32" t="n">
        <v>0</v>
      </c>
      <c r="L4" s="31" t="n">
        <v>91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85.89</v>
      </c>
      <c r="P4" s="32" t="n">
        <v>76.20999999999999</v>
      </c>
      <c r="Q4" s="32" t="n">
        <v>129.48</v>
      </c>
      <c r="R4" s="31" t="inlineStr">
        <is>
          <t>Near 52W High Breakout</t>
        </is>
      </c>
      <c r="S4" s="31" t="inlineStr">
        <is>
          <t>Nifty Bank</t>
        </is>
      </c>
      <c r="T4" s="32" t="n">
        <v>-4.15</v>
      </c>
      <c r="U4" s="32" t="n">
        <v>119.95</v>
      </c>
      <c r="V4" s="32" t="n">
        <v>129.48</v>
      </c>
      <c r="W4" s="32" t="n">
        <v>39.28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above 5x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GCSL</t>
        </is>
      </c>
      <c r="D5" s="31" t="inlineStr">
        <is>
          <t>Gretex Corporate Services Ltd</t>
        </is>
      </c>
      <c r="E5" s="31" t="inlineStr">
        <is>
          <t>financials</t>
        </is>
      </c>
      <c r="F5" s="31" t="inlineStr">
        <is>
          <t>Finance and Investments Others</t>
        </is>
      </c>
      <c r="G5" s="31" t="inlineStr">
        <is>
          <t>smallcap</t>
        </is>
      </c>
      <c r="H5" s="32" t="n">
        <v>1845.4</v>
      </c>
      <c r="I5" s="32" t="n">
        <v>738</v>
      </c>
      <c r="J5" s="32" t="n">
        <v>0.1</v>
      </c>
      <c r="K5" s="32" t="n">
        <v>0</v>
      </c>
      <c r="L5" s="31" t="n">
        <v>89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83.94</v>
      </c>
      <c r="P5" s="32" t="n">
        <v>35.34</v>
      </c>
      <c r="Q5" s="32" t="n">
        <v>609.64</v>
      </c>
      <c r="R5" s="31" t="inlineStr">
        <is>
          <t>Near 52W High Breakout</t>
        </is>
      </c>
      <c r="S5" s="31" t="inlineStr">
        <is>
          <t>Nifty Bank</t>
        </is>
      </c>
      <c r="T5" s="32" t="n">
        <v>-4.15</v>
      </c>
      <c r="U5" s="32" t="n">
        <v>235.61</v>
      </c>
      <c r="V5" s="32" t="n">
        <v>250.15</v>
      </c>
      <c r="W5" s="32" t="n">
        <v>37.96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16</t>
        </is>
      </c>
      <c r="CC5" s="31">
        <f>IF(CB5&gt;20,10,IF(CB5&gt;=10,5,2))</f>
        <v/>
      </c>
    </row>
    <row r="6">
      <c r="A6" s="31">
        <f>IF(B6=0,"",RANK(B6,$B$2:$B$6,0))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ALGOQUANT</t>
        </is>
      </c>
      <c r="D6" s="34" t="inlineStr">
        <is>
          <t>Algoquant Fintech Ltd</t>
        </is>
      </c>
      <c r="E6" s="31" t="inlineStr">
        <is>
          <t>Financial Services</t>
        </is>
      </c>
      <c r="F6" s="31" t="inlineStr">
        <is>
          <t>Finance and Investments Others</t>
        </is>
      </c>
      <c r="G6" s="31" t="inlineStr">
        <is>
          <t>smallcap</t>
        </is>
      </c>
      <c r="H6" s="32" t="n">
        <v>2015.46</v>
      </c>
      <c r="I6" s="32" t="n">
        <v>71.7</v>
      </c>
      <c r="J6" s="32" t="n">
        <v>6.4</v>
      </c>
      <c r="K6" s="32" t="n">
        <v>0</v>
      </c>
      <c r="L6" s="31" t="n">
        <v>14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61.02</v>
      </c>
      <c r="P6" s="32" t="n">
        <v>35.7</v>
      </c>
      <c r="Q6" s="32" t="n">
        <v>53.4</v>
      </c>
      <c r="R6" s="31" t="inlineStr">
        <is>
          <t>Near 52W High Breakout</t>
        </is>
      </c>
      <c r="S6" s="31" t="inlineStr">
        <is>
          <t>Nifty Bank</t>
        </is>
      </c>
      <c r="T6" s="32" t="n">
        <v>-6.64</v>
      </c>
      <c r="U6" s="32" t="n">
        <v>6.39</v>
      </c>
      <c r="V6" s="32" t="n">
        <v>13.96</v>
      </c>
      <c r="W6" s="32" t="n">
        <v>3.27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10">
      <c r="A10" s="25" t="inlineStr">
        <is>
          <t>❌ REMOVED SCAN MATCH STOCKS (THIS WEEK)</t>
        </is>
      </c>
    </row>
    <row r="11">
      <c r="A11" s="35" t="inlineStr">
        <is>
          <t>Symbol</t>
        </is>
      </c>
      <c r="B11" s="35" t="inlineStr">
        <is>
          <t>Company Name</t>
        </is>
      </c>
      <c r="C11" s="35" t="inlineStr">
        <is>
          <t>Sector</t>
        </is>
      </c>
      <c r="D11" s="35" t="inlineStr">
        <is>
          <t>Date of Removal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2026-10-14T15:14:12Z</dcterms:created>
  <dcterms:modified xmlns:dcterms="http://purl.org/dc/terms/" xmlns:xsi="http://www.w3.org/2001/XMLSchema-instance" xsi:type="dcterms:W3CDTF">2026-10-14T15:15:36Z</dcterms:modified>
</cp:coreProperties>
</file>