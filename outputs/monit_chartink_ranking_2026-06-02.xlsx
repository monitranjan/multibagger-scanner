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Monit Non Financial" sheetId="4" state="visible" r:id="rId4"/>
    <sheet xmlns:r="http://schemas.openxmlformats.org/officeDocument/2006/relationships" name="Monit Banks NBFC" sheetId="5" state="visible" r:id="rId5"/>
    <sheet xmlns:r="http://schemas.openxmlformats.org/officeDocument/2006/relationships" name="Scanner Non Financial" sheetId="6" state="visible" r:id="rId6"/>
    <sheet xmlns:r="http://schemas.openxmlformats.org/officeDocument/2006/relationships" name="Scanner Banks NBFC" sheetId="7" state="visible" r:id="rId7"/>
    <sheet xmlns:r="http://schemas.openxmlformats.org/officeDocument/2006/relationships" name="Scan Match Non Financial" sheetId="8" state="visible" r:id="rId8"/>
    <sheet xmlns:r="http://schemas.openxmlformats.org/officeDocument/2006/relationships" name="Scan Match Banks NBFC" sheetId="9" state="visible" r:id="rId9"/>
    <sheet xmlns:r="http://schemas.openxmlformats.org/officeDocument/2006/relationships" name="Confluence Overlap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Universe'!$A$1:$J$324</definedName>
    <definedName name="_xlnm._FilterDatabase" localSheetId="3" hidden="1">'Monit Non Financial'!$A$1:$BW$292</definedName>
    <definedName name="_xlnm._FilterDatabase" localSheetId="4" hidden="1">'Monit Banks NBFC'!$A$1:$BS$33</definedName>
    <definedName name="_xlnm._FilterDatabase" localSheetId="5" hidden="1">'Scanner Non Financial'!$A$1:$CB$23</definedName>
    <definedName name="_xlnm._FilterDatabase" localSheetId="7" hidden="1">'Scan Match Non Financial'!$A$1:$BY$95</definedName>
    <definedName name="_xlnm._FilterDatabase" localSheetId="8" hidden="1">'Scan Match Banks NBFC'!$A$1:$BU$7</definedName>
    <definedName name="_xlnm._FilterDatabase" localSheetId="9" hidden="1">'Confluence Overlap'!$A$1:$J$84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9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2F5597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5" borderId="6" applyAlignment="1" pivotButton="0" quotePrefix="0" xfId="0">
      <alignment horizontal="center"/>
    </xf>
    <xf numFmtId="0" fontId="17" fillId="0" borderId="0" pivotButton="0" quotePrefix="0" xfId="0"/>
    <xf numFmtId="0" fontId="18" fillId="0" borderId="0" pivotButton="0" quotePrefix="0" xfId="0"/>
    <xf numFmtId="0" fontId="14" fillId="6" borderId="6" applyAlignment="1" pivotButton="0" quotePrefix="0" xfId="0">
      <alignment horizontal="center" vertical="center" wrapText="1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Tuesday, 02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7" customWidth="1" min="2" max="2"/>
    <col width="25" customWidth="1" min="3" max="3"/>
    <col width="48" customWidth="1" min="4" max="4"/>
    <col width="21" customWidth="1" min="5" max="5"/>
    <col width="16" customWidth="1" min="6" max="6"/>
    <col width="16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378</v>
      </c>
      <c r="C6" s="17" t="inlineStr">
        <is>
          <t>GRANULES</t>
        </is>
      </c>
      <c r="D6" s="18" t="inlineStr">
        <is>
          <t>Granules India Limited</t>
        </is>
      </c>
      <c r="E6" s="18" t="inlineStr">
        <is>
          <t>healthcare</t>
        </is>
      </c>
      <c r="F6" s="16" t="n">
        <v>48</v>
      </c>
      <c r="G6" s="19" t="n">
        <v>19303.38</v>
      </c>
      <c r="H6" s="18" t="inlineStr">
        <is>
          <t>Potential Leader</t>
        </is>
      </c>
      <c r="J6" s="18" t="inlineStr">
        <is>
          <t>textiles</t>
        </is>
      </c>
      <c r="K6" s="16" t="n">
        <v>87</v>
      </c>
      <c r="L6" s="16" t="n">
        <v>17</v>
      </c>
      <c r="M6" s="20" t="inlineStr">
        <is>
          <t>411.8%</t>
        </is>
      </c>
    </row>
    <row r="7">
      <c r="A7" s="16" t="n">
        <v>2</v>
      </c>
      <c r="B7" s="17" t="n">
        <v>366</v>
      </c>
      <c r="C7" s="17" t="inlineStr">
        <is>
          <t>HONASA</t>
        </is>
      </c>
      <c r="D7" s="18" t="inlineStr">
        <is>
          <t>Honasa Consumer Ltd</t>
        </is>
      </c>
      <c r="E7" s="18" t="inlineStr">
        <is>
          <t>services</t>
        </is>
      </c>
      <c r="F7" s="16" t="n">
        <v>46</v>
      </c>
      <c r="G7" s="19" t="n">
        <v>13107.52</v>
      </c>
      <c r="H7" s="18" t="inlineStr">
        <is>
          <t>Potential Leader</t>
        </is>
      </c>
      <c r="J7" s="18" t="inlineStr">
        <is>
          <t>media</t>
        </is>
      </c>
      <c r="K7" s="16" t="n">
        <v>10</v>
      </c>
      <c r="L7" s="16" t="n">
        <v>2</v>
      </c>
      <c r="M7" s="20" t="inlineStr">
        <is>
          <t>400.0%</t>
        </is>
      </c>
    </row>
    <row r="8">
      <c r="A8" s="16" t="n">
        <v>3</v>
      </c>
      <c r="B8" s="17" t="n">
        <v>354</v>
      </c>
      <c r="C8" s="17" t="inlineStr">
        <is>
          <t>ADANIPOWER</t>
        </is>
      </c>
      <c r="D8" s="18" t="inlineStr">
        <is>
          <t>Adani Power Limited</t>
        </is>
      </c>
      <c r="E8" s="18" t="inlineStr">
        <is>
          <t>power &amp; utilities</t>
        </is>
      </c>
      <c r="F8" s="16" t="n">
        <v>44</v>
      </c>
      <c r="G8" s="19" t="n">
        <v>447983.46</v>
      </c>
      <c r="H8" s="18" t="inlineStr">
        <is>
          <t>Potential Leader</t>
        </is>
      </c>
      <c r="J8" s="18" t="inlineStr">
        <is>
          <t>telecom-service</t>
        </is>
      </c>
      <c r="K8" s="16" t="n">
        <v>10</v>
      </c>
      <c r="L8" s="16" t="n">
        <v>2</v>
      </c>
      <c r="M8" s="20" t="inlineStr">
        <is>
          <t>400.0%</t>
        </is>
      </c>
    </row>
    <row r="9">
      <c r="A9" s="16" t="n">
        <v>4</v>
      </c>
      <c r="B9" s="17" t="n">
        <v>354</v>
      </c>
      <c r="C9" s="17" t="inlineStr">
        <is>
          <t>BLISSGVS</t>
        </is>
      </c>
      <c r="D9" s="18" t="inlineStr">
        <is>
          <t>Bliss Gvs Pharma Limited</t>
        </is>
      </c>
      <c r="E9" s="18" t="inlineStr">
        <is>
          <t>healthcare</t>
        </is>
      </c>
      <c r="F9" s="16" t="n">
        <v>44</v>
      </c>
      <c r="G9" s="19" t="n">
        <v>4257.48</v>
      </c>
      <c r="H9" s="18" t="inlineStr">
        <is>
          <t>Potential Leader</t>
        </is>
      </c>
      <c r="J9" s="18" t="inlineStr">
        <is>
          <t>i.t</t>
        </is>
      </c>
      <c r="K9" s="16" t="n">
        <v>73</v>
      </c>
      <c r="L9" s="16" t="n">
        <v>15</v>
      </c>
      <c r="M9" s="20" t="inlineStr">
        <is>
          <t>386.7%</t>
        </is>
      </c>
    </row>
    <row r="10">
      <c r="A10" s="16" t="n">
        <v>5</v>
      </c>
      <c r="B10" s="17" t="n">
        <v>354</v>
      </c>
      <c r="C10" s="17" t="inlineStr">
        <is>
          <t>DEEDEV</t>
        </is>
      </c>
      <c r="D10" s="18" t="inlineStr">
        <is>
          <t>DEE Development Engineers Ltd</t>
        </is>
      </c>
      <c r="E10" s="18" t="inlineStr">
        <is>
          <t>metals &amp; mining</t>
        </is>
      </c>
      <c r="F10" s="16" t="n">
        <v>44</v>
      </c>
      <c r="G10" s="19" t="n">
        <v>4315.45</v>
      </c>
      <c r="H10" s="18" t="inlineStr">
        <is>
          <t>Potential Leader</t>
        </is>
      </c>
      <c r="J10" s="18" t="inlineStr">
        <is>
          <t>consumer discretionary</t>
        </is>
      </c>
      <c r="K10" s="16" t="n">
        <v>100</v>
      </c>
      <c r="L10" s="16" t="n">
        <v>22</v>
      </c>
      <c r="M10" s="20" t="inlineStr">
        <is>
          <t>354.5%</t>
        </is>
      </c>
    </row>
    <row r="11">
      <c r="A11" s="16" t="n">
        <v>6</v>
      </c>
      <c r="B11" s="17" t="n">
        <v>348</v>
      </c>
      <c r="C11" s="17" t="inlineStr">
        <is>
          <t>ARVIND</t>
        </is>
      </c>
      <c r="D11" s="18" t="inlineStr">
        <is>
          <t>Arvind Limited</t>
        </is>
      </c>
      <c r="E11" s="18" t="inlineStr">
        <is>
          <t>textiles</t>
        </is>
      </c>
      <c r="F11" s="16" t="n">
        <v>43</v>
      </c>
      <c r="G11" s="19" t="n">
        <v>12559.22</v>
      </c>
      <c r="H11" s="18" t="inlineStr">
        <is>
          <t>Potential Leader</t>
        </is>
      </c>
      <c r="J11" s="18" t="inlineStr">
        <is>
          <t>aerospace &amp; defence</t>
        </is>
      </c>
      <c r="K11" s="16" t="n">
        <v>59</v>
      </c>
      <c r="L11" s="16" t="n">
        <v>13</v>
      </c>
      <c r="M11" s="20" t="inlineStr">
        <is>
          <t>353.8%</t>
        </is>
      </c>
    </row>
    <row r="12">
      <c r="A12" s="16" t="n">
        <v>7</v>
      </c>
      <c r="B12" s="17" t="n">
        <v>348</v>
      </c>
      <c r="C12" s="17" t="inlineStr">
        <is>
          <t>NITINSPIN</t>
        </is>
      </c>
      <c r="D12" s="18" t="inlineStr">
        <is>
          <t>Nitin Spinners Limited</t>
        </is>
      </c>
      <c r="E12" s="18" t="inlineStr">
        <is>
          <t>textiles</t>
        </is>
      </c>
      <c r="F12" s="16" t="n">
        <v>43</v>
      </c>
      <c r="G12" s="19" t="n">
        <v>2834.61</v>
      </c>
      <c r="H12" s="18" t="inlineStr">
        <is>
          <t>Potential Leader</t>
        </is>
      </c>
      <c r="J12" s="18" t="inlineStr">
        <is>
          <t>financials</t>
        </is>
      </c>
      <c r="K12" s="16" t="n">
        <v>115</v>
      </c>
      <c r="L12" s="16" t="n">
        <v>27</v>
      </c>
      <c r="M12" s="20" t="inlineStr">
        <is>
          <t>325.9%</t>
        </is>
      </c>
    </row>
    <row r="13">
      <c r="A13" s="16" t="n">
        <v>8</v>
      </c>
      <c r="B13" s="17" t="n">
        <v>348</v>
      </c>
      <c r="C13" s="17" t="inlineStr">
        <is>
          <t>RPTECH</t>
        </is>
      </c>
      <c r="D13" s="18" t="inlineStr">
        <is>
          <t>Rashi Peripherals Ltd</t>
        </is>
      </c>
      <c r="E13" s="18" t="inlineStr">
        <is>
          <t>services</t>
        </is>
      </c>
      <c r="F13" s="16" t="n">
        <v>43</v>
      </c>
      <c r="G13" s="19" t="n">
        <v>3661.06</v>
      </c>
      <c r="H13" s="18" t="inlineStr">
        <is>
          <t>Potential Leader</t>
        </is>
      </c>
      <c r="J13" s="18" t="inlineStr">
        <is>
          <t>services</t>
        </is>
      </c>
      <c r="K13" s="16" t="n">
        <v>34</v>
      </c>
      <c r="L13" s="16" t="n">
        <v>8</v>
      </c>
      <c r="M13" s="20" t="inlineStr">
        <is>
          <t>325.0%</t>
        </is>
      </c>
    </row>
    <row r="14">
      <c r="A14" s="16" t="n">
        <v>9</v>
      </c>
      <c r="B14" s="17" t="n">
        <v>348</v>
      </c>
      <c r="C14" s="17" t="inlineStr">
        <is>
          <t>WELCORP</t>
        </is>
      </c>
      <c r="D14" s="18" t="inlineStr">
        <is>
          <t>Welspun Corp Limited</t>
        </is>
      </c>
      <c r="E14" s="18" t="inlineStr">
        <is>
          <t>industrials</t>
        </is>
      </c>
      <c r="F14" s="16" t="n">
        <v>43</v>
      </c>
      <c r="G14" s="19" t="n">
        <v>36339.8</v>
      </c>
      <c r="H14" s="18" t="inlineStr">
        <is>
          <t>Potential Leader</t>
        </is>
      </c>
      <c r="J14" s="18" t="inlineStr">
        <is>
          <t>industrials</t>
        </is>
      </c>
      <c r="K14" s="16" t="n">
        <v>246</v>
      </c>
      <c r="L14" s="16" t="n">
        <v>58</v>
      </c>
      <c r="M14" s="20" t="inlineStr">
        <is>
          <t>324.1%</t>
        </is>
      </c>
    </row>
    <row r="15">
      <c r="A15" s="16" t="n">
        <v>10</v>
      </c>
      <c r="B15" s="17" t="n">
        <v>342</v>
      </c>
      <c r="C15" s="17" t="inlineStr">
        <is>
          <t>BAJAJCON</t>
        </is>
      </c>
      <c r="D15" s="18" t="inlineStr">
        <is>
          <t>Bajaj Consumer Care Ltd</t>
        </is>
      </c>
      <c r="E15" s="18" t="inlineStr">
        <is>
          <t>fmcg</t>
        </is>
      </c>
      <c r="F15" s="16" t="n">
        <v>42</v>
      </c>
      <c r="G15" s="19" t="n">
        <v>7302.22</v>
      </c>
      <c r="H15" s="18" t="inlineStr">
        <is>
          <t>Potential Leader</t>
        </is>
      </c>
      <c r="J15" s="18" t="inlineStr">
        <is>
          <t>fmcg</t>
        </is>
      </c>
      <c r="K15" s="16" t="n">
        <v>65</v>
      </c>
      <c r="L15" s="16" t="n">
        <v>16</v>
      </c>
      <c r="M15" s="20" t="inlineStr">
        <is>
          <t>306.2%</t>
        </is>
      </c>
    </row>
    <row r="16">
      <c r="A16" s="16" t="n">
        <v>11</v>
      </c>
      <c r="B16" s="17" t="n">
        <v>342</v>
      </c>
      <c r="C16" s="17" t="inlineStr">
        <is>
          <t>STLTECH</t>
        </is>
      </c>
      <c r="D16" s="18" t="inlineStr">
        <is>
          <t>Sterlite Technologies Limited</t>
        </is>
      </c>
      <c r="E16" s="18" t="inlineStr">
        <is>
          <t>industrials</t>
        </is>
      </c>
      <c r="F16" s="16" t="n">
        <v>42</v>
      </c>
      <c r="G16" s="19" t="n">
        <v>27479.42</v>
      </c>
      <c r="H16" s="18" t="inlineStr">
        <is>
          <t>Potential Leader</t>
        </is>
      </c>
      <c r="J16" s="18" t="inlineStr">
        <is>
          <t>telecom</t>
        </is>
      </c>
      <c r="K16" s="16" t="n">
        <v>8</v>
      </c>
      <c r="L16" s="16" t="n">
        <v>2</v>
      </c>
      <c r="M16" s="20" t="inlineStr">
        <is>
          <t>300.0%</t>
        </is>
      </c>
    </row>
    <row r="17">
      <c r="A17" s="16" t="n">
        <v>12</v>
      </c>
      <c r="B17" s="17" t="n">
        <v>342</v>
      </c>
      <c r="C17" s="17" t="inlineStr">
        <is>
          <t>STYLAMIND</t>
        </is>
      </c>
      <c r="D17" s="18" t="inlineStr">
        <is>
          <t>Stylam Industries Ltd</t>
        </is>
      </c>
      <c r="E17" s="18" t="inlineStr">
        <is>
          <t>building materials</t>
        </is>
      </c>
      <c r="F17" s="16" t="n">
        <v>42</v>
      </c>
      <c r="G17" s="19" t="n">
        <v>5013.24</v>
      </c>
      <c r="H17" s="18" t="inlineStr">
        <is>
          <t>Potential Leader</t>
        </is>
      </c>
      <c r="J17" s="18" t="inlineStr">
        <is>
          <t>healthcare</t>
        </is>
      </c>
      <c r="K17" s="16" t="n">
        <v>224</v>
      </c>
      <c r="L17" s="16" t="n">
        <v>56</v>
      </c>
      <c r="M17" s="20" t="inlineStr">
        <is>
          <t>300.0%</t>
        </is>
      </c>
    </row>
    <row r="18">
      <c r="A18" s="16" t="n">
        <v>13</v>
      </c>
      <c r="B18" s="17" t="n">
        <v>336</v>
      </c>
      <c r="C18" s="17" t="inlineStr">
        <is>
          <t>POWERINDIA</t>
        </is>
      </c>
      <c r="D18" s="18" t="inlineStr">
        <is>
          <t>Hitachi Energy India Ltd</t>
        </is>
      </c>
      <c r="E18" s="18" t="inlineStr">
        <is>
          <t>industrials</t>
        </is>
      </c>
      <c r="F18" s="16" t="n">
        <v>41</v>
      </c>
      <c r="G18" s="19" t="n">
        <v>162154.26</v>
      </c>
      <c r="H18" s="18" t="inlineStr">
        <is>
          <t>Potential Leader</t>
        </is>
      </c>
      <c r="J18" s="18" t="inlineStr">
        <is>
          <t>auto</t>
        </is>
      </c>
      <c r="K18" s="16" t="n">
        <v>131</v>
      </c>
      <c r="L18" s="16" t="n">
        <v>33</v>
      </c>
      <c r="M18" s="20" t="inlineStr">
        <is>
          <t>297.0%</t>
        </is>
      </c>
    </row>
    <row r="19">
      <c r="A19" s="16" t="n">
        <v>14</v>
      </c>
      <c r="B19" s="17" t="n">
        <v>330</v>
      </c>
      <c r="C19" s="17" t="inlineStr">
        <is>
          <t>ADANIGREEN</t>
        </is>
      </c>
      <c r="D19" s="18" t="inlineStr">
        <is>
          <t>Adani Green Energy Ltd</t>
        </is>
      </c>
      <c r="E19" s="18" t="inlineStr">
        <is>
          <t>power &amp; utilities</t>
        </is>
      </c>
      <c r="F19" s="16" t="n">
        <v>40</v>
      </c>
      <c r="G19" s="19" t="n">
        <v>238329.92</v>
      </c>
      <c r="H19" s="18" t="inlineStr">
        <is>
          <t>Potential Leader</t>
        </is>
      </c>
      <c r="J19" s="18" t="inlineStr">
        <is>
          <t>realty</t>
        </is>
      </c>
      <c r="K19" s="16" t="n">
        <v>69</v>
      </c>
      <c r="L19" s="16" t="n">
        <v>18</v>
      </c>
      <c r="M19" s="20" t="inlineStr">
        <is>
          <t>283.3%</t>
        </is>
      </c>
    </row>
    <row r="20">
      <c r="A20" s="16" t="n">
        <v>15</v>
      </c>
      <c r="B20" s="17" t="n">
        <v>330</v>
      </c>
      <c r="C20" s="17" t="inlineStr">
        <is>
          <t>ADANIPORTS</t>
        </is>
      </c>
      <c r="D20" s="18" t="inlineStr">
        <is>
          <t>Adani Ports And Special Economic Zone Limited</t>
        </is>
      </c>
      <c r="E20" s="18" t="inlineStr">
        <is>
          <t>transportation</t>
        </is>
      </c>
      <c r="F20" s="16" t="n">
        <v>40</v>
      </c>
      <c r="G20" s="19" t="n">
        <v>410911.11</v>
      </c>
      <c r="H20" s="18" t="inlineStr">
        <is>
          <t>Potential Leader</t>
        </is>
      </c>
      <c r="J20" s="18" t="inlineStr">
        <is>
          <t>building materials</t>
        </is>
      </c>
      <c r="K20" s="16" t="n">
        <v>30</v>
      </c>
      <c r="L20" s="16" t="n">
        <v>8</v>
      </c>
      <c r="M20" s="20" t="inlineStr">
        <is>
          <t>275.0%</t>
        </is>
      </c>
    </row>
    <row r="21">
      <c r="A21" s="16" t="n">
        <v>16</v>
      </c>
      <c r="B21" s="17" t="n">
        <v>330</v>
      </c>
      <c r="C21" s="17" t="inlineStr">
        <is>
          <t>APCOTEXIND</t>
        </is>
      </c>
      <c r="D21" s="18" t="inlineStr">
        <is>
          <t>Apcotex Industries Limited</t>
        </is>
      </c>
      <c r="E21" s="18" t="inlineStr">
        <is>
          <t>chemicals</t>
        </is>
      </c>
      <c r="F21" s="16" t="n">
        <v>40</v>
      </c>
      <c r="G21" s="19" t="n">
        <v>2554.4</v>
      </c>
      <c r="H21" s="18" t="inlineStr">
        <is>
          <t>Potential Leader</t>
        </is>
      </c>
    </row>
    <row r="22">
      <c r="A22" s="16" t="n">
        <v>17</v>
      </c>
      <c r="B22" s="17" t="n">
        <v>330</v>
      </c>
      <c r="C22" s="17" t="inlineStr">
        <is>
          <t>BHEL</t>
        </is>
      </c>
      <c r="D22" s="18" t="inlineStr">
        <is>
          <t>Bharat Heavy Electricals Limited</t>
        </is>
      </c>
      <c r="E22" s="18" t="inlineStr">
        <is>
          <t>industrials</t>
        </is>
      </c>
      <c r="F22" s="16" t="n">
        <v>40</v>
      </c>
      <c r="G22" s="19" t="n">
        <v>140953.92</v>
      </c>
      <c r="H22" s="18" t="inlineStr">
        <is>
          <t>Potential Leader</t>
        </is>
      </c>
    </row>
    <row r="23">
      <c r="A23" s="16" t="n">
        <v>18</v>
      </c>
      <c r="B23" s="17" t="n">
        <v>330</v>
      </c>
      <c r="C23" s="17" t="inlineStr">
        <is>
          <t>CRAFTSMAN</t>
        </is>
      </c>
      <c r="D23" s="18" t="inlineStr">
        <is>
          <t>Craftsman Automation Ltd</t>
        </is>
      </c>
      <c r="E23" s="18" t="inlineStr">
        <is>
          <t>auto</t>
        </is>
      </c>
      <c r="F23" s="16" t="n">
        <v>40</v>
      </c>
      <c r="G23" s="19" t="n">
        <v>20924.92</v>
      </c>
      <c r="H23" s="18" t="inlineStr">
        <is>
          <t>Potential Leader</t>
        </is>
      </c>
    </row>
    <row r="24">
      <c r="A24" s="16" t="n">
        <v>19</v>
      </c>
      <c r="B24" s="17" t="n">
        <v>330</v>
      </c>
      <c r="C24" s="17" t="inlineStr">
        <is>
          <t>HFCL</t>
        </is>
      </c>
      <c r="D24" s="18" t="inlineStr">
        <is>
          <t>HFCL Ltd</t>
        </is>
      </c>
      <c r="E24" s="18" t="inlineStr">
        <is>
          <t>telecom</t>
        </is>
      </c>
      <c r="F24" s="16" t="n">
        <v>40</v>
      </c>
      <c r="G24" s="19" t="n">
        <v>27899.82</v>
      </c>
      <c r="H24" s="18" t="inlineStr">
        <is>
          <t>Potential Leader</t>
        </is>
      </c>
    </row>
    <row r="25">
      <c r="A25" s="16" t="n">
        <v>20</v>
      </c>
      <c r="B25" s="17" t="n">
        <v>330</v>
      </c>
      <c r="C25" s="17" t="inlineStr">
        <is>
          <t>NAM-INDIA</t>
        </is>
      </c>
      <c r="D25" s="18" t="inlineStr">
        <is>
          <t>Nippon Life India Asset Management Ltd</t>
        </is>
      </c>
      <c r="E25" s="18" t="inlineStr">
        <is>
          <t>financials</t>
        </is>
      </c>
      <c r="F25" s="16" t="n">
        <v>40</v>
      </c>
      <c r="G25" s="19" t="n">
        <v>69739.7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JAGRAN</t>
        </is>
      </c>
      <c r="B30" s="18" t="inlineStr">
        <is>
          <t>Jagran Prakashan Limited</t>
        </is>
      </c>
      <c r="C30" s="18" t="inlineStr">
        <is>
          <t>media</t>
        </is>
      </c>
      <c r="D30" s="16" t="n">
        <v>10</v>
      </c>
      <c r="E30" s="16" t="n">
        <v>1</v>
      </c>
      <c r="F30" s="19" t="n">
        <v>1661.36</v>
      </c>
      <c r="J30" s="17" t="inlineStr">
        <is>
          <t>KTKBANK</t>
        </is>
      </c>
      <c r="K30" s="18" t="inlineStr">
        <is>
          <t>bank</t>
        </is>
      </c>
      <c r="L30" s="19" t="n">
        <v>295</v>
      </c>
      <c r="M30" s="19" t="n">
        <v>10047.19</v>
      </c>
      <c r="N30" s="16" t="n">
        <v>23</v>
      </c>
    </row>
    <row r="31">
      <c r="A31" s="17" t="inlineStr">
        <is>
          <t>MINDACORP</t>
        </is>
      </c>
      <c r="B31" s="18" t="inlineStr">
        <is>
          <t>Minda Corporation Limited</t>
        </is>
      </c>
      <c r="C31" s="18" t="inlineStr">
        <is>
          <t>auto</t>
        </is>
      </c>
      <c r="D31" s="16" t="n">
        <v>10</v>
      </c>
      <c r="E31" s="16" t="n">
        <v>1</v>
      </c>
      <c r="F31" s="19" t="n">
        <v>14794.24</v>
      </c>
      <c r="J31" s="17" t="inlineStr">
        <is>
          <t>SEAMECLTD</t>
        </is>
      </c>
      <c r="K31" s="18" t="inlineStr">
        <is>
          <t>miscellaneous</t>
        </is>
      </c>
      <c r="L31" s="19" t="n">
        <v>290</v>
      </c>
      <c r="M31" s="19" t="n">
        <v>4130.04</v>
      </c>
      <c r="N31" s="16" t="n">
        <v>22</v>
      </c>
    </row>
    <row r="32">
      <c r="A32" s="17" t="inlineStr">
        <is>
          <t>SUPRAJIT</t>
        </is>
      </c>
      <c r="B32" s="18" t="inlineStr">
        <is>
          <t>Suprajit Engineering Limited</t>
        </is>
      </c>
      <c r="C32" s="18" t="inlineStr">
        <is>
          <t>auto</t>
        </is>
      </c>
      <c r="D32" s="16" t="n">
        <v>10</v>
      </c>
      <c r="E32" s="16" t="n">
        <v>1</v>
      </c>
      <c r="F32" s="19" t="n">
        <v>6351.02</v>
      </c>
      <c r="J32" s="17" t="inlineStr">
        <is>
          <t>GAYAPROJ</t>
        </is>
      </c>
      <c r="K32" s="18" t="inlineStr">
        <is>
          <t>realty</t>
        </is>
      </c>
      <c r="L32" s="19" t="n">
        <v>288</v>
      </c>
      <c r="M32" s="19" t="n">
        <v>581.73</v>
      </c>
      <c r="N32" s="16" t="n">
        <v>23</v>
      </c>
    </row>
    <row r="33">
      <c r="A33" s="17" t="inlineStr">
        <is>
          <t>CENTENKA</t>
        </is>
      </c>
      <c r="B33" s="18" t="inlineStr">
        <is>
          <t>Century Enka Limited</t>
        </is>
      </c>
      <c r="C33" s="18" t="inlineStr">
        <is>
          <t>textiles</t>
        </is>
      </c>
      <c r="D33" s="16" t="n">
        <v>10</v>
      </c>
      <c r="E33" s="16" t="n">
        <v>2</v>
      </c>
      <c r="F33" s="19" t="n">
        <v>1062.92</v>
      </c>
      <c r="J33" s="17" t="inlineStr">
        <is>
          <t>WELINV</t>
        </is>
      </c>
      <c r="K33" s="18" t="inlineStr">
        <is>
          <t>financials</t>
        </is>
      </c>
      <c r="L33" s="19" t="n">
        <v>285</v>
      </c>
      <c r="M33" s="19" t="n">
        <v>666.9400000000001</v>
      </c>
      <c r="N33" s="16" t="n">
        <v>30</v>
      </c>
    </row>
    <row r="34">
      <c r="A34" s="17" t="inlineStr">
        <is>
          <t>MONARCH</t>
        </is>
      </c>
      <c r="B34" s="18" t="inlineStr">
        <is>
          <t>Monarch Networth Capital Ltd</t>
        </is>
      </c>
      <c r="C34" s="18" t="inlineStr">
        <is>
          <t>financials</t>
        </is>
      </c>
      <c r="D34" s="16" t="n">
        <v>10</v>
      </c>
      <c r="E34" s="16" t="n">
        <v>0</v>
      </c>
      <c r="F34" s="19" t="n">
        <v>2614.27</v>
      </c>
      <c r="J34" s="17" t="inlineStr">
        <is>
          <t>FEDFINA</t>
        </is>
      </c>
      <c r="K34" s="18" t="inlineStr">
        <is>
          <t>financials</t>
        </is>
      </c>
      <c r="L34" s="19" t="n">
        <v>285</v>
      </c>
      <c r="M34" s="19" t="n">
        <v>5861.94</v>
      </c>
      <c r="N34" s="16" t="n">
        <v>24</v>
      </c>
    </row>
    <row r="35">
      <c r="A35" s="17" t="inlineStr">
        <is>
          <t>PGHL</t>
        </is>
      </c>
      <c r="B35" s="18" t="inlineStr">
        <is>
          <t>Procter &amp; Gamble Health Ltd</t>
        </is>
      </c>
      <c r="C35" s="18" t="inlineStr">
        <is>
          <t>healthcare</t>
        </is>
      </c>
      <c r="D35" s="16" t="n">
        <v>10</v>
      </c>
      <c r="E35" s="16" t="n">
        <v>1</v>
      </c>
      <c r="F35" s="19" t="n">
        <v>10064.21</v>
      </c>
      <c r="J35" s="17" t="inlineStr">
        <is>
          <t>RBLBANK</t>
        </is>
      </c>
      <c r="K35" s="18" t="inlineStr">
        <is>
          <t>bank</t>
        </is>
      </c>
      <c r="L35" s="19" t="n">
        <v>285</v>
      </c>
      <c r="M35" s="19" t="n">
        <v>20941.61</v>
      </c>
      <c r="N35" s="16" t="n">
        <v>21</v>
      </c>
    </row>
    <row r="36">
      <c r="A36" s="17" t="inlineStr">
        <is>
          <t>HONAUT</t>
        </is>
      </c>
      <c r="B36" s="18" t="inlineStr">
        <is>
          <t>Honeywell Automation India Limited</t>
        </is>
      </c>
      <c r="C36" s="18" t="inlineStr">
        <is>
          <t>consumer discretionary</t>
        </is>
      </c>
      <c r="D36" s="16" t="n">
        <v>10</v>
      </c>
      <c r="E36" s="16" t="n">
        <v>1</v>
      </c>
      <c r="F36" s="19" t="n">
        <v>31007.22</v>
      </c>
      <c r="J36" s="17" t="inlineStr">
        <is>
          <t>TMB</t>
        </is>
      </c>
      <c r="K36" s="18" t="inlineStr">
        <is>
          <t>bank</t>
        </is>
      </c>
      <c r="L36" s="19" t="n">
        <v>285</v>
      </c>
      <c r="M36" s="19" t="n">
        <v>11531.94</v>
      </c>
      <c r="N36" s="16" t="n">
        <v>11</v>
      </c>
    </row>
    <row r="37">
      <c r="A37" s="17" t="inlineStr">
        <is>
          <t>KOPRAN</t>
        </is>
      </c>
      <c r="B37" s="18" t="inlineStr">
        <is>
          <t>Kopran Limited</t>
        </is>
      </c>
      <c r="C37" s="18" t="inlineStr">
        <is>
          <t>healthcare</t>
        </is>
      </c>
      <c r="D37" s="16" t="n">
        <v>9</v>
      </c>
      <c r="E37" s="16" t="n">
        <v>1</v>
      </c>
      <c r="F37" s="19" t="n">
        <v>946.2</v>
      </c>
      <c r="J37" s="17" t="inlineStr">
        <is>
          <t>BAJAJCON</t>
        </is>
      </c>
      <c r="K37" s="18" t="inlineStr">
        <is>
          <t>fmcg</t>
        </is>
      </c>
      <c r="L37" s="19" t="n">
        <v>282</v>
      </c>
      <c r="M37" s="19" t="n">
        <v>7302.22</v>
      </c>
      <c r="N37" s="16" t="n">
        <v>30</v>
      </c>
    </row>
    <row r="38">
      <c r="A38" s="17" t="inlineStr">
        <is>
          <t>HESTERBIO</t>
        </is>
      </c>
      <c r="B38" s="18" t="inlineStr">
        <is>
          <t>Hester Biosciences Limited</t>
        </is>
      </c>
      <c r="C38" s="18" t="inlineStr">
        <is>
          <t>healthcare</t>
        </is>
      </c>
      <c r="D38" s="16" t="n">
        <v>9</v>
      </c>
      <c r="E38" s="16" t="n">
        <v>1</v>
      </c>
      <c r="F38" s="19" t="n">
        <v>1715.92</v>
      </c>
      <c r="J38" s="17" t="inlineStr">
        <is>
          <t>DHANBANK</t>
        </is>
      </c>
      <c r="K38" s="18" t="inlineStr">
        <is>
          <t>bank</t>
        </is>
      </c>
      <c r="L38" s="19" t="n">
        <v>282</v>
      </c>
      <c r="M38" s="19" t="n">
        <v>1323.03</v>
      </c>
      <c r="N38" s="16" t="n">
        <v>29</v>
      </c>
    </row>
    <row r="39">
      <c r="A39" s="17" t="inlineStr">
        <is>
          <t>TMPV</t>
        </is>
      </c>
      <c r="B39" s="18" t="inlineStr">
        <is>
          <t>Tata Motors Passenger Vehicles Ltd</t>
        </is>
      </c>
      <c r="C39" s="18" t="inlineStr">
        <is>
          <t>auto</t>
        </is>
      </c>
      <c r="D39" s="16" t="n">
        <v>9</v>
      </c>
      <c r="E39" s="16" t="n">
        <v>0</v>
      </c>
      <c r="F39" s="19" t="n">
        <v>141734.71</v>
      </c>
      <c r="J39" s="17" t="inlineStr">
        <is>
          <t>NGLFINE</t>
        </is>
      </c>
      <c r="K39" s="18" t="inlineStr">
        <is>
          <t>healthcare</t>
        </is>
      </c>
      <c r="L39" s="19" t="n">
        <v>282</v>
      </c>
      <c r="M39" s="19" t="n">
        <v>1692.78</v>
      </c>
      <c r="N39" s="16" t="n">
        <v>16</v>
      </c>
    </row>
    <row r="40">
      <c r="A40" s="17" t="inlineStr">
        <is>
          <t>IMPAL</t>
        </is>
      </c>
      <c r="B40" s="18" t="inlineStr">
        <is>
          <t>IMPAL</t>
        </is>
      </c>
      <c r="C40" s="18" t="inlineStr">
        <is>
          <t>unknown</t>
        </is>
      </c>
      <c r="D40" s="16" t="n">
        <v>8</v>
      </c>
      <c r="E40" s="16" t="n">
        <v>2</v>
      </c>
      <c r="F40" s="19" t="n">
        <v>0</v>
      </c>
      <c r="J40" s="17" t="inlineStr">
        <is>
          <t>INDOBORAX</t>
        </is>
      </c>
      <c r="K40" s="18" t="inlineStr">
        <is>
          <t>chemicals</t>
        </is>
      </c>
      <c r="L40" s="19" t="n">
        <v>280</v>
      </c>
      <c r="M40" s="19" t="n">
        <v>1101.65</v>
      </c>
      <c r="N40" s="16" t="n">
        <v>27</v>
      </c>
    </row>
    <row r="41">
      <c r="A41" s="17" t="inlineStr">
        <is>
          <t>ASAHIINDIA</t>
        </is>
      </c>
      <c r="B41" s="18" t="inlineStr">
        <is>
          <t>Asahi India Glass Limited</t>
        </is>
      </c>
      <c r="C41" s="18" t="inlineStr">
        <is>
          <t>building materials</t>
        </is>
      </c>
      <c r="D41" s="16" t="n">
        <v>8</v>
      </c>
      <c r="E41" s="16" t="n">
        <v>0</v>
      </c>
      <c r="F41" s="19" t="n">
        <v>22912.86</v>
      </c>
      <c r="J41" s="17" t="inlineStr">
        <is>
          <t>J&amp;KBANK</t>
        </is>
      </c>
      <c r="K41" s="18" t="inlineStr">
        <is>
          <t>bank</t>
        </is>
      </c>
      <c r="L41" s="19" t="n">
        <v>280</v>
      </c>
      <c r="M41" s="19" t="n">
        <v>15611.46</v>
      </c>
      <c r="N41" s="16" t="n">
        <v>23</v>
      </c>
    </row>
    <row r="42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4" t="inlineStr">
        <is>
          <t>symbol</t>
        </is>
      </c>
      <c r="B1" s="24" t="inlineStr">
        <is>
          <t>company</t>
        </is>
      </c>
      <c r="C1" s="24" t="inlineStr">
        <is>
          <t>sector</t>
        </is>
      </c>
      <c r="D1" s="24" t="inlineStr">
        <is>
          <t>industry</t>
        </is>
      </c>
      <c r="E1" s="24" t="inlineStr">
        <is>
          <t>marketcap_bucket</t>
        </is>
      </c>
      <c r="F1" s="24" t="inlineStr">
        <is>
          <t>marketcap_cr</t>
        </is>
      </c>
      <c r="G1" s="24" t="inlineStr">
        <is>
          <t>close</t>
        </is>
      </c>
      <c r="H1" s="24" t="inlineStr">
        <is>
          <t>today_return_pct</t>
        </is>
      </c>
      <c r="I1" s="24" t="inlineStr">
        <is>
          <t>volume</t>
        </is>
      </c>
      <c r="J1" s="24" t="inlineStr">
        <is>
          <t>bse_code</t>
        </is>
      </c>
    </row>
    <row r="2">
      <c r="A2" s="25" t="inlineStr">
        <is>
          <t>BALAMINES</t>
        </is>
      </c>
      <c r="B2" s="26" t="inlineStr">
        <is>
          <t>Balaji Amines Limited</t>
        </is>
      </c>
      <c r="C2" s="25" t="inlineStr">
        <is>
          <t>chemicals</t>
        </is>
      </c>
      <c r="D2" s="25" t="inlineStr">
        <is>
          <t>chemicals</t>
        </is>
      </c>
      <c r="E2" s="25" t="inlineStr">
        <is>
          <t>midcap</t>
        </is>
      </c>
      <c r="F2" s="25" t="n">
        <v>5676.01</v>
      </c>
      <c r="G2" s="25" t="n">
        <v>2016.1</v>
      </c>
      <c r="H2" s="26" t="n">
        <v>15.09</v>
      </c>
      <c r="I2" s="26" t="n">
        <v>2628387</v>
      </c>
      <c r="J2" s="26" t="inlineStr">
        <is>
          <t>530999</t>
        </is>
      </c>
    </row>
    <row r="3">
      <c r="A3" s="25" t="inlineStr">
        <is>
          <t>UNIVCABLES</t>
        </is>
      </c>
      <c r="B3" s="26" t="inlineStr">
        <is>
          <t>Universal Cables Limited</t>
        </is>
      </c>
      <c r="C3" s="25" t="inlineStr">
        <is>
          <t>industrials</t>
        </is>
      </c>
      <c r="D3" s="25" t="inlineStr">
        <is>
          <t>cables - power</t>
        </is>
      </c>
      <c r="E3" s="25" t="inlineStr">
        <is>
          <t>smallcap</t>
        </is>
      </c>
      <c r="F3" s="25" t="n">
        <v>3794.63</v>
      </c>
      <c r="G3" s="25" t="n">
        <v>1239.2</v>
      </c>
      <c r="H3" s="26" t="n">
        <v>13.3</v>
      </c>
      <c r="I3" s="26" t="n">
        <v>1121633</v>
      </c>
      <c r="J3" s="26" t="inlineStr">
        <is>
          <t>504212</t>
        </is>
      </c>
    </row>
    <row r="4">
      <c r="A4" s="25" t="inlineStr">
        <is>
          <t>SKMEGGPROD</t>
        </is>
      </c>
      <c r="B4" s="26" t="inlineStr">
        <is>
          <t>Skm Egg Products Export (india) Limited</t>
        </is>
      </c>
      <c r="C4" s="25" t="inlineStr">
        <is>
          <t>fmcg</t>
        </is>
      </c>
      <c r="D4" s="25" t="inlineStr">
        <is>
          <t>food - processing - indian</t>
        </is>
      </c>
      <c r="E4" s="25" t="inlineStr">
        <is>
          <t>smallcap</t>
        </is>
      </c>
      <c r="F4" s="25" t="n">
        <v>1085.74</v>
      </c>
      <c r="G4" s="25" t="n">
        <v>232.77</v>
      </c>
      <c r="H4" s="26" t="n">
        <v>12.9</v>
      </c>
      <c r="I4" s="26" t="n">
        <v>9987648</v>
      </c>
      <c r="J4" s="26" t="inlineStr">
        <is>
          <t>532143</t>
        </is>
      </c>
    </row>
    <row r="5">
      <c r="A5" s="25" t="inlineStr">
        <is>
          <t>SGIL</t>
        </is>
      </c>
      <c r="B5" s="26" t="inlineStr">
        <is>
          <t>Synergy Green Industries Ltd</t>
        </is>
      </c>
      <c r="C5" s="25" t="inlineStr">
        <is>
          <t>industrials</t>
        </is>
      </c>
      <c r="D5" s="25" t="inlineStr">
        <is>
          <t>castings &amp; forgings</t>
        </is>
      </c>
      <c r="E5" s="25" t="inlineStr">
        <is>
          <t>smallcap</t>
        </is>
      </c>
      <c r="F5" s="25" t="n">
        <v>821.45</v>
      </c>
      <c r="G5" s="25" t="n">
        <v>591.9</v>
      </c>
      <c r="H5" s="26" t="n">
        <v>12</v>
      </c>
      <c r="I5" s="26" t="n">
        <v>130165</v>
      </c>
      <c r="J5" s="26" t="inlineStr">
        <is>
          <t>541929</t>
        </is>
      </c>
    </row>
    <row r="6">
      <c r="A6" s="25" t="inlineStr">
        <is>
          <t>RUBYMILLS</t>
        </is>
      </c>
      <c r="B6" s="26" t="inlineStr">
        <is>
          <t>The Ruby Mills Limited</t>
        </is>
      </c>
      <c r="C6" s="25" t="inlineStr">
        <is>
          <t>textiles</t>
        </is>
      </c>
      <c r="D6" s="25" t="inlineStr">
        <is>
          <t>textiles - composite</t>
        </is>
      </c>
      <c r="E6" s="25" t="inlineStr">
        <is>
          <t>smallcap</t>
        </is>
      </c>
      <c r="F6" s="25" t="n">
        <v>838.17</v>
      </c>
      <c r="G6" s="25" t="n">
        <v>279.05</v>
      </c>
      <c r="H6" s="26" t="n">
        <v>11.33</v>
      </c>
      <c r="I6" s="26" t="n">
        <v>849410</v>
      </c>
      <c r="J6" s="26" t="inlineStr">
        <is>
          <t>503169</t>
        </is>
      </c>
    </row>
    <row r="7">
      <c r="A7" s="25" t="inlineStr">
        <is>
          <t>CONFIPET</t>
        </is>
      </c>
      <c r="B7" s="26" t="inlineStr">
        <is>
          <t>Confidence Petroleum India Ltd</t>
        </is>
      </c>
      <c r="C7" s="25" t="inlineStr">
        <is>
          <t>miscellaneous</t>
        </is>
      </c>
      <c r="D7" s="25" t="inlineStr">
        <is>
          <t>miscellaneous</t>
        </is>
      </c>
      <c r="E7" s="25" t="inlineStr">
        <is>
          <t>smallcap</t>
        </is>
      </c>
      <c r="F7" s="25" t="n">
        <v>2108.73</v>
      </c>
      <c r="G7" s="25" t="n">
        <v>69.81</v>
      </c>
      <c r="H7" s="26" t="n">
        <v>9.99</v>
      </c>
      <c r="I7" s="26" t="n">
        <v>4572557</v>
      </c>
      <c r="J7" s="26" t="inlineStr">
        <is>
          <t>526829</t>
        </is>
      </c>
    </row>
    <row r="8">
      <c r="A8" s="25" t="inlineStr">
        <is>
          <t>JAYBARMARU</t>
        </is>
      </c>
      <c r="B8" s="26" t="inlineStr">
        <is>
          <t>Jay Bharat Maruti Limited</t>
        </is>
      </c>
      <c r="C8" s="25" t="inlineStr">
        <is>
          <t>auto</t>
        </is>
      </c>
      <c r="D8" s="25" t="inlineStr">
        <is>
          <t>auto ancillaries</t>
        </is>
      </c>
      <c r="E8" s="25" t="inlineStr">
        <is>
          <t>smallcap</t>
        </is>
      </c>
      <c r="F8" s="25" t="n">
        <v>1241.41</v>
      </c>
      <c r="G8" s="25" t="n">
        <v>126.14</v>
      </c>
      <c r="H8" s="26" t="n">
        <v>9.99</v>
      </c>
      <c r="I8" s="26" t="n">
        <v>1586981</v>
      </c>
      <c r="J8" s="26" t="inlineStr">
        <is>
          <t>520066</t>
        </is>
      </c>
    </row>
    <row r="9">
      <c r="A9" s="25" t="inlineStr">
        <is>
          <t>ELECTHERM</t>
        </is>
      </c>
      <c r="B9" s="26" t="inlineStr">
        <is>
          <t>Electrotherm (india) Limited</t>
        </is>
      </c>
      <c r="C9" s="25" t="inlineStr">
        <is>
          <t>metals &amp; mining</t>
        </is>
      </c>
      <c r="D9" s="25" t="inlineStr">
        <is>
          <t>steel - medium / small</t>
        </is>
      </c>
      <c r="E9" s="25" t="inlineStr">
        <is>
          <t>smallcap</t>
        </is>
      </c>
      <c r="F9" s="25" t="n">
        <v>1199.48</v>
      </c>
      <c r="G9" s="25" t="n">
        <v>1028.3</v>
      </c>
      <c r="H9" s="26" t="n">
        <v>9.24</v>
      </c>
      <c r="I9" s="26" t="n">
        <v>713137</v>
      </c>
      <c r="J9" s="26" t="inlineStr">
        <is>
          <t>526608</t>
        </is>
      </c>
    </row>
    <row r="10">
      <c r="A10" s="25" t="inlineStr">
        <is>
          <t>ACMESOLAR</t>
        </is>
      </c>
      <c r="B10" s="26" t="inlineStr">
        <is>
          <t>ACME Solar Holdings Ltd</t>
        </is>
      </c>
      <c r="C10" s="25" t="inlineStr">
        <is>
          <t>realty</t>
        </is>
      </c>
      <c r="D10" s="25" t="inlineStr">
        <is>
          <t>engineering - turnkey services</t>
        </is>
      </c>
      <c r="E10" s="25" t="inlineStr">
        <is>
          <t>midcap</t>
        </is>
      </c>
      <c r="F10" s="25" t="n">
        <v>18615.45</v>
      </c>
      <c r="G10" s="25" t="n">
        <v>334.75</v>
      </c>
      <c r="H10" s="26" t="n">
        <v>8.970000000000001</v>
      </c>
      <c r="I10" s="26" t="n">
        <v>12451703</v>
      </c>
      <c r="J10" s="26" t="inlineStr">
        <is>
          <t>544283</t>
        </is>
      </c>
    </row>
    <row r="11">
      <c r="A11" s="25" t="inlineStr">
        <is>
          <t>PARACABLES</t>
        </is>
      </c>
      <c r="B11" s="26" t="inlineStr">
        <is>
          <t>Paramount Communications Limited</t>
        </is>
      </c>
      <c r="C11" s="25" t="inlineStr">
        <is>
          <t>industrials</t>
        </is>
      </c>
      <c r="D11" s="25" t="inlineStr">
        <is>
          <t>cables - power</t>
        </is>
      </c>
      <c r="E11" s="25" t="inlineStr">
        <is>
          <t>smallcap</t>
        </is>
      </c>
      <c r="F11" s="25" t="n">
        <v>1848.66</v>
      </c>
      <c r="G11" s="25" t="n">
        <v>65.90000000000001</v>
      </c>
      <c r="H11" s="26" t="n">
        <v>8.800000000000001</v>
      </c>
      <c r="I11" s="26" t="n">
        <v>5196198</v>
      </c>
      <c r="J11" s="26" t="inlineStr">
        <is>
          <t>530555</t>
        </is>
      </c>
    </row>
    <row r="12">
      <c r="A12" s="25" t="inlineStr">
        <is>
          <t>ROSSTECH</t>
        </is>
      </c>
      <c r="B12" s="26" t="inlineStr">
        <is>
          <t>Rossell Techsys Ltd</t>
        </is>
      </c>
      <c r="C12" s="25" t="inlineStr">
        <is>
          <t>aerospace &amp; defence</t>
        </is>
      </c>
      <c r="D12" s="25" t="inlineStr">
        <is>
          <t>engineering</t>
        </is>
      </c>
      <c r="E12" s="25" t="inlineStr">
        <is>
          <t>smallcap</t>
        </is>
      </c>
      <c r="F12" s="25" t="n">
        <v>3762.86</v>
      </c>
      <c r="G12" s="25" t="n">
        <v>1080.5</v>
      </c>
      <c r="H12" s="26" t="n">
        <v>8.24</v>
      </c>
      <c r="I12" s="26" t="n">
        <v>173450</v>
      </c>
      <c r="J12" s="26" t="inlineStr">
        <is>
          <t>544294</t>
        </is>
      </c>
    </row>
    <row r="13">
      <c r="A13" s="25" t="inlineStr">
        <is>
          <t>APOLLO</t>
        </is>
      </c>
      <c r="B13" s="26" t="inlineStr">
        <is>
          <t>Apollo Micro Systems Ltd</t>
        </is>
      </c>
      <c r="C13" s="25" t="inlineStr">
        <is>
          <t>aerospace &amp; defence</t>
        </is>
      </c>
      <c r="D13" s="25" t="inlineStr">
        <is>
          <t>electronics - components</t>
        </is>
      </c>
      <c r="E13" s="25" t="inlineStr">
        <is>
          <t>midcap</t>
        </is>
      </c>
      <c r="F13" s="25" t="n">
        <v>14439.97</v>
      </c>
      <c r="G13" s="25" t="n">
        <v>437</v>
      </c>
      <c r="H13" s="26" t="n">
        <v>8.130000000000001</v>
      </c>
      <c r="I13" s="26" t="n">
        <v>42775590</v>
      </c>
      <c r="J13" s="26" t="inlineStr">
        <is>
          <t>540879</t>
        </is>
      </c>
    </row>
    <row r="14">
      <c r="A14" s="25" t="inlineStr">
        <is>
          <t>DREDGECORP</t>
        </is>
      </c>
      <c r="B14" s="26" t="inlineStr">
        <is>
          <t>Dredging Corporation Of India Limited</t>
        </is>
      </c>
      <c r="C14" s="25" t="inlineStr">
        <is>
          <t>miscellaneous</t>
        </is>
      </c>
      <c r="D14" s="25" t="inlineStr">
        <is>
          <t>miscellaneous</t>
        </is>
      </c>
      <c r="E14" s="25" t="inlineStr">
        <is>
          <t>smallcap</t>
        </is>
      </c>
      <c r="F14" s="25" t="n">
        <v>3170.72</v>
      </c>
      <c r="G14" s="25" t="n">
        <v>1223.3</v>
      </c>
      <c r="H14" s="26" t="n">
        <v>8.029999999999999</v>
      </c>
      <c r="I14" s="26" t="n">
        <v>1064185</v>
      </c>
      <c r="J14" s="26" t="inlineStr">
        <is>
          <t>523618</t>
        </is>
      </c>
    </row>
    <row r="15">
      <c r="A15" s="25" t="inlineStr">
        <is>
          <t>AEROFLEX</t>
        </is>
      </c>
      <c r="B15" s="26" t="inlineStr">
        <is>
          <t>Aeroflex Industries Ltd</t>
        </is>
      </c>
      <c r="C15" s="25" t="inlineStr">
        <is>
          <t>metals &amp; mining</t>
        </is>
      </c>
      <c r="D15" s="25" t="inlineStr">
        <is>
          <t>steel - medium / small</t>
        </is>
      </c>
      <c r="E15" s="25" t="inlineStr">
        <is>
          <t>midcap</t>
        </is>
      </c>
      <c r="F15" s="25" t="n">
        <v>5139.07</v>
      </c>
      <c r="G15" s="25" t="n">
        <v>419.45</v>
      </c>
      <c r="H15" s="26" t="n">
        <v>8.01</v>
      </c>
      <c r="I15" s="26" t="n">
        <v>2773192</v>
      </c>
      <c r="J15" s="26" t="inlineStr">
        <is>
          <t>543972</t>
        </is>
      </c>
    </row>
    <row r="16">
      <c r="A16" s="25" t="inlineStr">
        <is>
          <t>BLISSGVS</t>
        </is>
      </c>
      <c r="B16" s="26" t="inlineStr">
        <is>
          <t>Bliss Gvs Pharma Limited</t>
        </is>
      </c>
      <c r="C16" s="25" t="inlineStr">
        <is>
          <t>healthcare</t>
        </is>
      </c>
      <c r="D16" s="25" t="inlineStr">
        <is>
          <t>pharmaceuticals - indian - formulations</t>
        </is>
      </c>
      <c r="E16" s="25" t="inlineStr">
        <is>
          <t>smallcap</t>
        </is>
      </c>
      <c r="F16" s="25" t="n">
        <v>4257.48</v>
      </c>
      <c r="G16" s="25" t="n">
        <v>434.45</v>
      </c>
      <c r="H16" s="26" t="n">
        <v>7.95</v>
      </c>
      <c r="I16" s="26" t="n">
        <v>3872581</v>
      </c>
      <c r="J16" s="26" t="inlineStr">
        <is>
          <t>506197</t>
        </is>
      </c>
    </row>
    <row r="17">
      <c r="A17" s="25" t="inlineStr">
        <is>
          <t>SKYGOLD</t>
        </is>
      </c>
      <c r="B17" s="26" t="inlineStr">
        <is>
          <t>Sky Gold Ltd</t>
        </is>
      </c>
      <c r="C17" s="25" t="inlineStr">
        <is>
          <t>consumer discretionary</t>
        </is>
      </c>
      <c r="D17" s="25" t="inlineStr">
        <is>
          <t>diamond cutting / jewellery</t>
        </is>
      </c>
      <c r="E17" s="25" t="inlineStr">
        <is>
          <t>midcap</t>
        </is>
      </c>
      <c r="F17" s="25" t="n">
        <v>8084.42</v>
      </c>
      <c r="G17" s="25" t="n">
        <v>559.7</v>
      </c>
      <c r="H17" s="26" t="n">
        <v>7.22</v>
      </c>
      <c r="I17" s="26" t="n">
        <v>3085263</v>
      </c>
      <c r="J17" s="26" t="inlineStr">
        <is>
          <t>541967</t>
        </is>
      </c>
    </row>
    <row r="18">
      <c r="A18" s="25" t="inlineStr">
        <is>
          <t>THANGAMAYL</t>
        </is>
      </c>
      <c r="B18" s="26" t="inlineStr">
        <is>
          <t>Thangamayil Jewellery Limited</t>
        </is>
      </c>
      <c r="C18" s="25" t="inlineStr">
        <is>
          <t>consumer discretionary</t>
        </is>
      </c>
      <c r="D18" s="25" t="inlineStr">
        <is>
          <t>diamond cutting / jewellery</t>
        </is>
      </c>
      <c r="E18" s="25" t="inlineStr">
        <is>
          <t>midcap</t>
        </is>
      </c>
      <c r="F18" s="25" t="n">
        <v>13315.85</v>
      </c>
      <c r="G18" s="25" t="n">
        <v>4590.7</v>
      </c>
      <c r="H18" s="26" t="n">
        <v>7.16</v>
      </c>
      <c r="I18" s="26" t="n">
        <v>304885</v>
      </c>
      <c r="J18" s="26" t="inlineStr">
        <is>
          <t>533158</t>
        </is>
      </c>
    </row>
    <row r="19">
      <c r="A19" s="25" t="inlineStr">
        <is>
          <t>CYIENTDLM</t>
        </is>
      </c>
      <c r="B19" s="26" t="inlineStr">
        <is>
          <t>Cyient DLM Ltd</t>
        </is>
      </c>
      <c r="C19" s="25" t="inlineStr">
        <is>
          <t>consumer discretionary</t>
        </is>
      </c>
      <c r="D19" s="25" t="inlineStr">
        <is>
          <t>electronics - components</t>
        </is>
      </c>
      <c r="E19" s="25" t="inlineStr">
        <is>
          <t>smallcap</t>
        </is>
      </c>
      <c r="F19" s="25" t="n">
        <v>3436.48</v>
      </c>
      <c r="G19" s="25" t="n">
        <v>463.9</v>
      </c>
      <c r="H19" s="26" t="n">
        <v>7.14</v>
      </c>
      <c r="I19" s="26" t="n">
        <v>727905</v>
      </c>
      <c r="J19" s="26" t="inlineStr">
        <is>
          <t>543933</t>
        </is>
      </c>
    </row>
    <row r="20">
      <c r="A20" s="25" t="inlineStr">
        <is>
          <t>IFCI</t>
        </is>
      </c>
      <c r="B20" s="26" t="inlineStr">
        <is>
          <t>Ifci Limited</t>
        </is>
      </c>
      <c r="C20" s="25" t="inlineStr">
        <is>
          <t>financials</t>
        </is>
      </c>
      <c r="D20" s="25" t="inlineStr">
        <is>
          <t>finance - term-lending institutions</t>
        </is>
      </c>
      <c r="E20" s="25" t="inlineStr">
        <is>
          <t>midcap</t>
        </is>
      </c>
      <c r="F20" s="25" t="n">
        <v>18111.18</v>
      </c>
      <c r="G20" s="25" t="n">
        <v>71.64</v>
      </c>
      <c r="H20" s="26" t="n">
        <v>6.58</v>
      </c>
      <c r="I20" s="26" t="n">
        <v>105743147</v>
      </c>
      <c r="J20" s="26" t="inlineStr">
        <is>
          <t>500106</t>
        </is>
      </c>
    </row>
    <row r="21">
      <c r="A21" s="25" t="inlineStr">
        <is>
          <t>DIACABS</t>
        </is>
      </c>
      <c r="B21" s="26" t="inlineStr">
        <is>
          <t>Diamond Power Infrastructure Ltd</t>
        </is>
      </c>
      <c r="C21" s="25" t="inlineStr">
        <is>
          <t>industrials</t>
        </is>
      </c>
      <c r="D21" s="25" t="inlineStr">
        <is>
          <t>cables - power</t>
        </is>
      </c>
      <c r="E21" s="25" t="inlineStr">
        <is>
          <t>midcap</t>
        </is>
      </c>
      <c r="F21" s="25" t="n">
        <v>9643.040000000001</v>
      </c>
      <c r="G21" s="25" t="n">
        <v>194.65</v>
      </c>
      <c r="H21" s="26" t="n">
        <v>6.37</v>
      </c>
      <c r="I21" s="26" t="n">
        <v>5733720</v>
      </c>
      <c r="J21" s="26" t="inlineStr">
        <is>
          <t>522163</t>
        </is>
      </c>
    </row>
    <row r="22">
      <c r="A22" s="25" t="inlineStr">
        <is>
          <t>ORCHPHARMA</t>
        </is>
      </c>
      <c r="B22" s="26" t="inlineStr">
        <is>
          <t>Orchid Pharma Ltd</t>
        </is>
      </c>
      <c r="C22" s="25" t="inlineStr">
        <is>
          <t>healthcare</t>
        </is>
      </c>
      <c r="D22" s="25" t="inlineStr">
        <is>
          <t>pharmaceuticals - indian - bulk drugs &amp; formln</t>
        </is>
      </c>
      <c r="E22" s="25" t="inlineStr">
        <is>
          <t>smallcap</t>
        </is>
      </c>
      <c r="F22" s="25" t="n">
        <v>3941.38</v>
      </c>
      <c r="G22" s="25" t="n">
        <v>824.8</v>
      </c>
      <c r="H22" s="26" t="n">
        <v>6.14</v>
      </c>
      <c r="I22" s="26" t="n">
        <v>105992</v>
      </c>
      <c r="J22" s="26" t="inlineStr">
        <is>
          <t>524372</t>
        </is>
      </c>
    </row>
    <row r="23">
      <c r="A23" s="25" t="inlineStr">
        <is>
          <t>VIJAYA</t>
        </is>
      </c>
      <c r="B23" s="26" t="inlineStr">
        <is>
          <t>Vijaya Diagnostic Centre Ltd</t>
        </is>
      </c>
      <c r="C23" s="25" t="inlineStr">
        <is>
          <t>healthcare</t>
        </is>
      </c>
      <c r="D23" s="25" t="inlineStr">
        <is>
          <t>healthcare</t>
        </is>
      </c>
      <c r="E23" s="25" t="inlineStr">
        <is>
          <t>midcap</t>
        </is>
      </c>
      <c r="F23" s="25" t="n">
        <v>12768.46</v>
      </c>
      <c r="G23" s="25" t="n">
        <v>1317</v>
      </c>
      <c r="H23" s="26" t="n">
        <v>6.13</v>
      </c>
      <c r="I23" s="26" t="n">
        <v>238201</v>
      </c>
      <c r="J23" s="26" t="inlineStr">
        <is>
          <t>543350</t>
        </is>
      </c>
    </row>
    <row r="24">
      <c r="A24" s="25" t="inlineStr">
        <is>
          <t>RPEL</t>
        </is>
      </c>
      <c r="B24" s="26" t="inlineStr">
        <is>
          <t>Raghav Productivity Enhancers Ltd</t>
        </is>
      </c>
      <c r="C24" s="25" t="inlineStr">
        <is>
          <t>building materials</t>
        </is>
      </c>
      <c r="D24" s="25" t="inlineStr">
        <is>
          <t>refractories / intermediates</t>
        </is>
      </c>
      <c r="E24" s="25" t="inlineStr">
        <is>
          <t>smallcap</t>
        </is>
      </c>
      <c r="F24" s="25" t="n">
        <v>4371.97</v>
      </c>
      <c r="G24" s="25" t="n">
        <v>1009.2</v>
      </c>
      <c r="H24" s="26" t="n">
        <v>5.98</v>
      </c>
      <c r="I24" s="26" t="n">
        <v>185887</v>
      </c>
      <c r="J24" s="26" t="inlineStr">
        <is>
          <t>539837</t>
        </is>
      </c>
    </row>
    <row r="25">
      <c r="A25" s="25" t="inlineStr">
        <is>
          <t>GPTHEALTH</t>
        </is>
      </c>
      <c r="B25" s="26" t="inlineStr">
        <is>
          <t>GPT Healthcare Ltd</t>
        </is>
      </c>
      <c r="C25" s="25" t="inlineStr">
        <is>
          <t>healthcare</t>
        </is>
      </c>
      <c r="D25" s="25" t="inlineStr">
        <is>
          <t>healthcare</t>
        </is>
      </c>
      <c r="E25" s="25" t="inlineStr">
        <is>
          <t>smallcap</t>
        </is>
      </c>
      <c r="F25" s="25" t="n">
        <v>1174.45</v>
      </c>
      <c r="G25" s="25" t="n">
        <v>151.41</v>
      </c>
      <c r="H25" s="26" t="n">
        <v>5.78</v>
      </c>
      <c r="I25" s="26" t="n">
        <v>419003</v>
      </c>
      <c r="J25" s="26" t="inlineStr">
        <is>
          <t>544131</t>
        </is>
      </c>
    </row>
    <row r="26">
      <c r="A26" s="25" t="inlineStr">
        <is>
          <t>CARYSIL</t>
        </is>
      </c>
      <c r="B26" s="26" t="inlineStr">
        <is>
          <t>Carysil Ltd</t>
        </is>
      </c>
      <c r="C26" s="25" t="inlineStr">
        <is>
          <t>consumer discretionary</t>
        </is>
      </c>
      <c r="D26" s="25" t="inlineStr">
        <is>
          <t>domestic appliances</t>
        </is>
      </c>
      <c r="E26" s="25" t="inlineStr">
        <is>
          <t>smallcap</t>
        </is>
      </c>
      <c r="F26" s="25" t="n">
        <v>3003.54</v>
      </c>
      <c r="G26" s="25" t="n">
        <v>1113.5</v>
      </c>
      <c r="H26" s="26" t="n">
        <v>5.45</v>
      </c>
      <c r="I26" s="26" t="n">
        <v>141083</v>
      </c>
      <c r="J26" s="26" t="inlineStr">
        <is>
          <t>524091</t>
        </is>
      </c>
    </row>
    <row r="27">
      <c r="A27" s="25" t="inlineStr">
        <is>
          <t>SYRMA</t>
        </is>
      </c>
      <c r="B27" s="26" t="inlineStr">
        <is>
          <t>Syrma SGS Technology Ltd</t>
        </is>
      </c>
      <c r="C27" s="25" t="inlineStr">
        <is>
          <t>consumer discretionary</t>
        </is>
      </c>
      <c r="D27" s="25" t="inlineStr">
        <is>
          <t>electronics - components</t>
        </is>
      </c>
      <c r="E27" s="25" t="inlineStr">
        <is>
          <t>largecap</t>
        </is>
      </c>
      <c r="F27" s="25" t="n">
        <v>21352.12</v>
      </c>
      <c r="G27" s="25" t="n">
        <v>1166.8</v>
      </c>
      <c r="H27" s="26" t="n">
        <v>5.37</v>
      </c>
      <c r="I27" s="26" t="n">
        <v>2269095</v>
      </c>
      <c r="J27" s="26" t="inlineStr">
        <is>
          <t>543573</t>
        </is>
      </c>
    </row>
    <row r="28">
      <c r="A28" s="25" t="inlineStr">
        <is>
          <t>SANSERA</t>
        </is>
      </c>
      <c r="B28" s="26" t="inlineStr">
        <is>
          <t>Sansera Engineering Ltd</t>
        </is>
      </c>
      <c r="C28" s="25" t="inlineStr">
        <is>
          <t>auto</t>
        </is>
      </c>
      <c r="D28" s="25" t="inlineStr">
        <is>
          <t>auto ancillaries</t>
        </is>
      </c>
      <c r="E28" s="25" t="inlineStr">
        <is>
          <t>midcap</t>
        </is>
      </c>
      <c r="F28" s="25" t="n">
        <v>17492.24</v>
      </c>
      <c r="G28" s="25" t="n">
        <v>2953.3</v>
      </c>
      <c r="H28" s="26" t="n">
        <v>5.24</v>
      </c>
      <c r="I28" s="26" t="n">
        <v>453791</v>
      </c>
      <c r="J28" s="26" t="inlineStr">
        <is>
          <t>543358</t>
        </is>
      </c>
    </row>
    <row r="29">
      <c r="A29" s="25" t="inlineStr">
        <is>
          <t>E2E</t>
        </is>
      </c>
      <c r="B29" s="26" t="inlineStr">
        <is>
          <t>E2E Networks Ltd</t>
        </is>
      </c>
      <c r="C29" s="25" t="inlineStr">
        <is>
          <t>i.t</t>
        </is>
      </c>
      <c r="D29" s="25" t="inlineStr">
        <is>
          <t>computers - software - medium / small</t>
        </is>
      </c>
      <c r="E29" s="25" t="inlineStr">
        <is>
          <t>midcap</t>
        </is>
      </c>
      <c r="F29" s="25" t="n">
        <v>8466.190000000001</v>
      </c>
      <c r="G29" s="25" t="n">
        <v>4324.4</v>
      </c>
      <c r="H29" s="26" t="n">
        <v>5</v>
      </c>
      <c r="I29" s="26" t="n">
        <v>204649</v>
      </c>
      <c r="J29" s="26" t="inlineStr">
        <is>
          <t>535080</t>
        </is>
      </c>
    </row>
    <row r="30">
      <c r="A30" s="25" t="inlineStr">
        <is>
          <t>DEEDEV</t>
        </is>
      </c>
      <c r="B30" s="26" t="inlineStr">
        <is>
          <t>DEE Development Engineers Ltd</t>
        </is>
      </c>
      <c r="C30" s="25" t="inlineStr">
        <is>
          <t>metals &amp; mining</t>
        </is>
      </c>
      <c r="D30" s="25" t="inlineStr">
        <is>
          <t>steel - medium / small</t>
        </is>
      </c>
      <c r="E30" s="25" t="inlineStr">
        <is>
          <t>smallcap</t>
        </is>
      </c>
      <c r="F30" s="25" t="n">
        <v>4315.45</v>
      </c>
      <c r="G30" s="25" t="n">
        <v>654.2</v>
      </c>
      <c r="H30" s="26" t="n">
        <v>5</v>
      </c>
      <c r="I30" s="26" t="n">
        <v>408158</v>
      </c>
      <c r="J30" s="26" t="n"/>
    </row>
    <row r="31">
      <c r="A31" s="25" t="inlineStr">
        <is>
          <t>ANTELOPUS</t>
        </is>
      </c>
      <c r="B31" s="26" t="inlineStr">
        <is>
          <t>Antelopus Selan Energy Ltd</t>
        </is>
      </c>
      <c r="C31" s="25" t="inlineStr">
        <is>
          <t>energy</t>
        </is>
      </c>
      <c r="D31" s="25" t="inlineStr">
        <is>
          <t>oil drilling / allied services</t>
        </is>
      </c>
      <c r="E31" s="25" t="inlineStr">
        <is>
          <t>smallcap</t>
        </is>
      </c>
      <c r="F31" s="25" t="n">
        <v>2860.63</v>
      </c>
      <c r="G31" s="25" t="n">
        <v>854.2</v>
      </c>
      <c r="H31" s="26" t="n">
        <v>5</v>
      </c>
      <c r="I31" s="26" t="n">
        <v>96185</v>
      </c>
      <c r="J31" s="26" t="inlineStr">
        <is>
          <t>530075</t>
        </is>
      </c>
    </row>
    <row r="32">
      <c r="A32" s="25" t="inlineStr">
        <is>
          <t>VENUSREM</t>
        </is>
      </c>
      <c r="B32" s="26" t="inlineStr">
        <is>
          <t>Venus Remedies Limited</t>
        </is>
      </c>
      <c r="C32" s="25" t="inlineStr">
        <is>
          <t>healthcare</t>
        </is>
      </c>
      <c r="D32" s="25" t="inlineStr">
        <is>
          <t>pharmaceuticals - indian - formulations</t>
        </is>
      </c>
      <c r="E32" s="25" t="inlineStr">
        <is>
          <t>smallcap</t>
        </is>
      </c>
      <c r="F32" s="25" t="n">
        <v>1796.66</v>
      </c>
      <c r="G32" s="25" t="n">
        <v>1411.3</v>
      </c>
      <c r="H32" s="26" t="n">
        <v>5</v>
      </c>
      <c r="I32" s="26" t="n">
        <v>244773</v>
      </c>
      <c r="J32" s="26" t="inlineStr">
        <is>
          <t>526953</t>
        </is>
      </c>
    </row>
    <row r="33">
      <c r="A33" s="25" t="inlineStr">
        <is>
          <t>INDOTECH</t>
        </is>
      </c>
      <c r="B33" s="26" t="inlineStr">
        <is>
          <t>Indo Tech Transformers Limited</t>
        </is>
      </c>
      <c r="C33" s="25" t="inlineStr">
        <is>
          <t>industrials</t>
        </is>
      </c>
      <c r="D33" s="25" t="inlineStr">
        <is>
          <t>electric equipment</t>
        </is>
      </c>
      <c r="E33" s="25" t="inlineStr">
        <is>
          <t>smallcap</t>
        </is>
      </c>
      <c r="F33" s="25" t="n">
        <v>2753.98</v>
      </c>
      <c r="G33" s="25" t="n">
        <v>2722.8</v>
      </c>
      <c r="H33" s="26" t="n">
        <v>5</v>
      </c>
      <c r="I33" s="26" t="n">
        <v>50952</v>
      </c>
      <c r="J33" s="26" t="inlineStr">
        <is>
          <t>532717</t>
        </is>
      </c>
    </row>
    <row r="34">
      <c r="A34" s="25" t="inlineStr">
        <is>
          <t>BIRLACABLE</t>
        </is>
      </c>
      <c r="B34" s="26" t="inlineStr">
        <is>
          <t>Birla Cable Limited</t>
        </is>
      </c>
      <c r="C34" s="25" t="inlineStr">
        <is>
          <t>industrials</t>
        </is>
      </c>
      <c r="D34" s="25" t="inlineStr">
        <is>
          <t>cables - telephone</t>
        </is>
      </c>
      <c r="E34" s="25" t="inlineStr">
        <is>
          <t>smallcap</t>
        </is>
      </c>
      <c r="F34" s="25" t="n">
        <v>610.8</v>
      </c>
      <c r="G34" s="25" t="n">
        <v>213.78</v>
      </c>
      <c r="H34" s="26" t="n">
        <v>5</v>
      </c>
      <c r="I34" s="26" t="n">
        <v>407317</v>
      </c>
      <c r="J34" s="26" t="inlineStr">
        <is>
          <t>500060</t>
        </is>
      </c>
    </row>
    <row r="35">
      <c r="A35" s="25" t="inlineStr">
        <is>
          <t>STLTECH</t>
        </is>
      </c>
      <c r="B35" s="26" t="inlineStr">
        <is>
          <t>Sterlite Technologies Limited</t>
        </is>
      </c>
      <c r="C35" s="25" t="inlineStr">
        <is>
          <t>industrials</t>
        </is>
      </c>
      <c r="D35" s="25" t="inlineStr">
        <is>
          <t>cables - telephone</t>
        </is>
      </c>
      <c r="E35" s="25" t="inlineStr">
        <is>
          <t>largecap</t>
        </is>
      </c>
      <c r="F35" s="25" t="n">
        <v>27479.42</v>
      </c>
      <c r="G35" s="25" t="n">
        <v>591.05</v>
      </c>
      <c r="H35" s="26" t="n">
        <v>4.99</v>
      </c>
      <c r="I35" s="26" t="n">
        <v>7891383</v>
      </c>
      <c r="J35" s="26" t="inlineStr">
        <is>
          <t>532374</t>
        </is>
      </c>
    </row>
    <row r="36">
      <c r="A36" s="25" t="inlineStr">
        <is>
          <t>MODISONLTD</t>
        </is>
      </c>
      <c r="B36" s="26" t="inlineStr">
        <is>
          <t>Modison Ltd</t>
        </is>
      </c>
      <c r="C36" s="25" t="inlineStr">
        <is>
          <t>industrials</t>
        </is>
      </c>
      <c r="D36" s="25" t="inlineStr">
        <is>
          <t>electric equipment</t>
        </is>
      </c>
      <c r="E36" s="25" t="inlineStr">
        <is>
          <t>smallcap</t>
        </is>
      </c>
      <c r="F36" s="25" t="n">
        <v>969.61</v>
      </c>
      <c r="G36" s="25" t="n">
        <v>313.7</v>
      </c>
      <c r="H36" s="26" t="n">
        <v>4.99</v>
      </c>
      <c r="I36" s="26" t="n">
        <v>121688</v>
      </c>
      <c r="J36" s="26" t="inlineStr">
        <is>
          <t>506261</t>
        </is>
      </c>
    </row>
    <row r="37">
      <c r="A37" s="25" t="inlineStr">
        <is>
          <t>BHAGYANGR</t>
        </is>
      </c>
      <c r="B37" s="26" t="inlineStr">
        <is>
          <t>Bhagyanagar India</t>
        </is>
      </c>
      <c r="C37" s="25" t="inlineStr">
        <is>
          <t>power &amp; utilities</t>
        </is>
      </c>
      <c r="D37" s="25" t="inlineStr">
        <is>
          <t>power generation and supply</t>
        </is>
      </c>
      <c r="E37" s="25" t="inlineStr">
        <is>
          <t>smallcap</t>
        </is>
      </c>
      <c r="F37" s="25" t="n">
        <v>984.97</v>
      </c>
      <c r="G37" s="25" t="n">
        <v>323.2</v>
      </c>
      <c r="H37" s="26" t="n">
        <v>4.99</v>
      </c>
      <c r="I37" s="26" t="n">
        <v>256537</v>
      </c>
      <c r="J37" s="26" t="inlineStr">
        <is>
          <t>512296</t>
        </is>
      </c>
    </row>
    <row r="38">
      <c r="A38" s="25" t="inlineStr">
        <is>
          <t>IBULLSLTD</t>
        </is>
      </c>
      <c r="B38" s="26" t="inlineStr">
        <is>
          <t>Indiabulls Limited</t>
        </is>
      </c>
      <c r="C38" s="25" t="inlineStr">
        <is>
          <t>miscellaneous</t>
        </is>
      </c>
      <c r="D38" s="25" t="inlineStr">
        <is>
          <t>diversified - medium / small</t>
        </is>
      </c>
      <c r="E38" s="25" t="inlineStr">
        <is>
          <t>midcap</t>
        </is>
      </c>
      <c r="F38" s="25" t="n">
        <v>5132.24</v>
      </c>
      <c r="G38" s="25" t="n">
        <v>23.18</v>
      </c>
      <c r="H38" s="26" t="n">
        <v>4.98</v>
      </c>
      <c r="I38" s="26" t="n">
        <v>14303450</v>
      </c>
      <c r="J38" s="26" t="inlineStr">
        <is>
          <t>533520</t>
        </is>
      </c>
    </row>
    <row r="39">
      <c r="A39" s="25" t="inlineStr">
        <is>
          <t>GAYAPROJ</t>
        </is>
      </c>
      <c r="B39" s="26" t="inlineStr">
        <is>
          <t>Gayatri Projects Limited</t>
        </is>
      </c>
      <c r="C39" s="25" t="inlineStr">
        <is>
          <t>realty</t>
        </is>
      </c>
      <c r="D39" s="25" t="inlineStr">
        <is>
          <t>construction</t>
        </is>
      </c>
      <c r="E39" s="25" t="inlineStr">
        <is>
          <t>smallcap</t>
        </is>
      </c>
      <c r="F39" s="25" t="n">
        <v>581.73</v>
      </c>
      <c r="G39" s="25" t="n">
        <v>20.61</v>
      </c>
      <c r="H39" s="26" t="n">
        <v>4.94</v>
      </c>
      <c r="I39" s="26" t="n">
        <v>1522375</v>
      </c>
      <c r="J39" s="26" t="inlineStr">
        <is>
          <t>532767</t>
        </is>
      </c>
    </row>
    <row r="40">
      <c r="A40" s="25" t="inlineStr">
        <is>
          <t>PTCIL</t>
        </is>
      </c>
      <c r="B40" s="26" t="inlineStr">
        <is>
          <t>PTC Industries Ltd</t>
        </is>
      </c>
      <c r="C40" s="25" t="inlineStr">
        <is>
          <t>industrials</t>
        </is>
      </c>
      <c r="D40" s="25" t="inlineStr">
        <is>
          <t>castings &amp; forgings</t>
        </is>
      </c>
      <c r="E40" s="25" t="inlineStr">
        <is>
          <t>largecap</t>
        </is>
      </c>
      <c r="F40" s="25" t="n">
        <v>27719.72</v>
      </c>
      <c r="G40" s="25" t="n">
        <v>19380</v>
      </c>
      <c r="H40" s="26" t="n">
        <v>4.82</v>
      </c>
      <c r="I40" s="26" t="n">
        <v>148647</v>
      </c>
      <c r="J40" s="26" t="inlineStr">
        <is>
          <t>539006</t>
        </is>
      </c>
    </row>
    <row r="41">
      <c r="A41" s="25" t="inlineStr">
        <is>
          <t>KDDL</t>
        </is>
      </c>
      <c r="B41" s="26" t="inlineStr">
        <is>
          <t>Kddl Limited</t>
        </is>
      </c>
      <c r="C41" s="25" t="inlineStr">
        <is>
          <t>consumer discretionary</t>
        </is>
      </c>
      <c r="D41" s="25" t="inlineStr">
        <is>
          <t>miscellaneous</t>
        </is>
      </c>
      <c r="E41" s="25" t="inlineStr">
        <is>
          <t>smallcap</t>
        </is>
      </c>
      <c r="F41" s="25" t="n">
        <v>3322.53</v>
      </c>
      <c r="G41" s="25" t="n">
        <v>2831.6</v>
      </c>
      <c r="H41" s="26" t="n">
        <v>4.82</v>
      </c>
      <c r="I41" s="26" t="n">
        <v>50316</v>
      </c>
      <c r="J41" s="26" t="inlineStr">
        <is>
          <t>532054</t>
        </is>
      </c>
    </row>
    <row r="42">
      <c r="A42" s="25" t="inlineStr">
        <is>
          <t>PARAS</t>
        </is>
      </c>
      <c r="B42" s="26" t="inlineStr">
        <is>
          <t>Paras Defence and Space Technologies Ltd</t>
        </is>
      </c>
      <c r="C42" s="25" t="inlineStr">
        <is>
          <t>aerospace &amp; defence</t>
        </is>
      </c>
      <c r="D42" s="25" t="inlineStr">
        <is>
          <t>engineering</t>
        </is>
      </c>
      <c r="E42" s="25" t="inlineStr">
        <is>
          <t>midcap</t>
        </is>
      </c>
      <c r="F42" s="25" t="n">
        <v>6563.84</v>
      </c>
      <c r="G42" s="25" t="n">
        <v>853.7</v>
      </c>
      <c r="H42" s="26" t="n">
        <v>4.81</v>
      </c>
      <c r="I42" s="26" t="n">
        <v>1624638</v>
      </c>
      <c r="J42" s="26" t="inlineStr">
        <is>
          <t>543367</t>
        </is>
      </c>
    </row>
    <row r="43">
      <c r="A43" s="25" t="inlineStr">
        <is>
          <t>SKIPPER</t>
        </is>
      </c>
      <c r="B43" s="26" t="inlineStr">
        <is>
          <t>Skipper Limited</t>
        </is>
      </c>
      <c r="C43" s="25" t="inlineStr">
        <is>
          <t>industrials</t>
        </is>
      </c>
      <c r="D43" s="25" t="inlineStr">
        <is>
          <t>engineering</t>
        </is>
      </c>
      <c r="E43" s="25" t="inlineStr">
        <is>
          <t>midcap</t>
        </is>
      </c>
      <c r="F43" s="25" t="n">
        <v>6179.8</v>
      </c>
      <c r="G43" s="25" t="n">
        <v>572.4</v>
      </c>
      <c r="H43" s="26" t="n">
        <v>4.58</v>
      </c>
      <c r="I43" s="26" t="n">
        <v>1868980</v>
      </c>
      <c r="J43" s="26" t="inlineStr">
        <is>
          <t>538562</t>
        </is>
      </c>
    </row>
    <row r="44">
      <c r="A44" s="25" t="inlineStr">
        <is>
          <t>GVPIL</t>
        </is>
      </c>
      <c r="B44" s="26" t="inlineStr">
        <is>
          <t>GE Power India Ltd</t>
        </is>
      </c>
      <c r="C44" s="25" t="inlineStr">
        <is>
          <t>realty</t>
        </is>
      </c>
      <c r="D44" s="25" t="inlineStr">
        <is>
          <t>engineering - turnkey services</t>
        </is>
      </c>
      <c r="E44" s="25" t="inlineStr">
        <is>
          <t>midcap</t>
        </is>
      </c>
      <c r="F44" s="25" t="n">
        <v>5525.43</v>
      </c>
      <c r="G44" s="25" t="n">
        <v>858.95</v>
      </c>
      <c r="H44" s="26" t="n">
        <v>4.51</v>
      </c>
      <c r="I44" s="26" t="n">
        <v>1113672</v>
      </c>
      <c r="J44" s="26" t="inlineStr">
        <is>
          <t>532309</t>
        </is>
      </c>
    </row>
    <row r="45">
      <c r="A45" s="25" t="inlineStr">
        <is>
          <t>ARVIND</t>
        </is>
      </c>
      <c r="B45" s="26" t="inlineStr">
        <is>
          <t>Arvind Limited</t>
        </is>
      </c>
      <c r="C45" s="25" t="inlineStr">
        <is>
          <t>textiles</t>
        </is>
      </c>
      <c r="D45" s="25" t="inlineStr">
        <is>
          <t>textiles - cotton/blended</t>
        </is>
      </c>
      <c r="E45" s="25" t="inlineStr">
        <is>
          <t>midcap</t>
        </is>
      </c>
      <c r="F45" s="25" t="n">
        <v>12559.22</v>
      </c>
      <c r="G45" s="25" t="n">
        <v>500.65</v>
      </c>
      <c r="H45" s="26" t="n">
        <v>4.49</v>
      </c>
      <c r="I45" s="26" t="n">
        <v>1476167</v>
      </c>
      <c r="J45" s="26" t="inlineStr">
        <is>
          <t>500101</t>
        </is>
      </c>
    </row>
    <row r="46">
      <c r="A46" s="25" t="inlineStr">
        <is>
          <t>IOLCP</t>
        </is>
      </c>
      <c r="B46" s="26" t="inlineStr">
        <is>
          <t>Iol Chemicals And Pharmaceuticals Limited</t>
        </is>
      </c>
      <c r="C46" s="25" t="inlineStr">
        <is>
          <t>healthcare</t>
        </is>
      </c>
      <c r="D46" s="25" t="inlineStr">
        <is>
          <t>pharmaceuticals - indian - bulk drugs &amp; formln</t>
        </is>
      </c>
      <c r="E46" s="25" t="inlineStr">
        <is>
          <t>smallcap</t>
        </is>
      </c>
      <c r="F46" s="25" t="n">
        <v>3694.63</v>
      </c>
      <c r="G46" s="25" t="n">
        <v>131.42</v>
      </c>
      <c r="H46" s="26" t="n">
        <v>4.41</v>
      </c>
      <c r="I46" s="26" t="n">
        <v>2702119</v>
      </c>
      <c r="J46" s="26" t="inlineStr">
        <is>
          <t>524164</t>
        </is>
      </c>
    </row>
    <row r="47">
      <c r="A47" s="25" t="inlineStr">
        <is>
          <t>SPAL</t>
        </is>
      </c>
      <c r="B47" s="26" t="inlineStr">
        <is>
          <t>S. P. Apparels Limited</t>
        </is>
      </c>
      <c r="C47" s="25" t="inlineStr">
        <is>
          <t>textiles</t>
        </is>
      </c>
      <c r="D47" s="25" t="inlineStr">
        <is>
          <t>textiles - products</t>
        </is>
      </c>
      <c r="E47" s="25" t="inlineStr">
        <is>
          <t>smallcap</t>
        </is>
      </c>
      <c r="F47" s="25" t="n">
        <v>1943.86</v>
      </c>
      <c r="G47" s="25" t="n">
        <v>807.1</v>
      </c>
      <c r="H47" s="26" t="n">
        <v>4.38</v>
      </c>
      <c r="I47" s="26" t="n">
        <v>28343</v>
      </c>
      <c r="J47" s="26" t="inlineStr">
        <is>
          <t>540048</t>
        </is>
      </c>
    </row>
    <row r="48">
      <c r="A48" s="25" t="inlineStr">
        <is>
          <t>SATIN</t>
        </is>
      </c>
      <c r="B48" s="26" t="inlineStr">
        <is>
          <t>Satin Creditcare Network Limited</t>
        </is>
      </c>
      <c r="C48" s="25" t="inlineStr">
        <is>
          <t>financials</t>
        </is>
      </c>
      <c r="D48" s="25" t="inlineStr">
        <is>
          <t>finance &amp; investments</t>
        </is>
      </c>
      <c r="E48" s="25" t="inlineStr">
        <is>
          <t>smallcap</t>
        </is>
      </c>
      <c r="F48" s="25" t="n">
        <v>2447.04</v>
      </c>
      <c r="G48" s="25" t="n">
        <v>231.12</v>
      </c>
      <c r="H48" s="26" t="n">
        <v>4.34</v>
      </c>
      <c r="I48" s="26" t="n">
        <v>702219</v>
      </c>
      <c r="J48" s="26" t="inlineStr">
        <is>
          <t>539404</t>
        </is>
      </c>
    </row>
    <row r="49">
      <c r="A49" s="25" t="inlineStr">
        <is>
          <t>VAIBHAVGBL</t>
        </is>
      </c>
      <c r="B49" s="26" t="inlineStr">
        <is>
          <t>Vaibhav Global Limited</t>
        </is>
      </c>
      <c r="C49" s="25" t="inlineStr">
        <is>
          <t>consumer discretionary</t>
        </is>
      </c>
      <c r="D49" s="25" t="inlineStr">
        <is>
          <t>diamond cutting / jewellery</t>
        </is>
      </c>
      <c r="E49" s="25" t="inlineStr">
        <is>
          <t>smallcap</t>
        </is>
      </c>
      <c r="F49" s="25" t="n">
        <v>3762.03</v>
      </c>
      <c r="G49" s="25" t="n">
        <v>234.74</v>
      </c>
      <c r="H49" s="26" t="n">
        <v>4.25</v>
      </c>
      <c r="I49" s="26" t="n">
        <v>547103</v>
      </c>
      <c r="J49" s="26" t="inlineStr">
        <is>
          <t>532156</t>
        </is>
      </c>
    </row>
    <row r="50">
      <c r="A50" s="25" t="inlineStr">
        <is>
          <t>SALSTEEL</t>
        </is>
      </c>
      <c r="B50" s="26" t="inlineStr">
        <is>
          <t>SAL Steel</t>
        </is>
      </c>
      <c r="C50" s="25" t="inlineStr">
        <is>
          <t>metals &amp; mining</t>
        </is>
      </c>
      <c r="D50" s="25" t="inlineStr">
        <is>
          <t>steel - sponge iron</t>
        </is>
      </c>
      <c r="E50" s="25" t="inlineStr">
        <is>
          <t>smallcap</t>
        </is>
      </c>
      <c r="F50" s="25" t="n">
        <v>856.58</v>
      </c>
      <c r="G50" s="25" t="n">
        <v>61.67</v>
      </c>
      <c r="H50" s="26" t="n">
        <v>4.23</v>
      </c>
      <c r="I50" s="26" t="n">
        <v>159153</v>
      </c>
      <c r="J50" s="26" t="inlineStr">
        <is>
          <t>532604</t>
        </is>
      </c>
    </row>
    <row r="51">
      <c r="A51" s="25" t="inlineStr">
        <is>
          <t>HFCL</t>
        </is>
      </c>
      <c r="B51" s="26" t="inlineStr">
        <is>
          <t>HFCL Ltd</t>
        </is>
      </c>
      <c r="C51" s="25" t="inlineStr">
        <is>
          <t>telecom</t>
        </is>
      </c>
      <c r="D51" s="25" t="inlineStr">
        <is>
          <t>cables - telephone</t>
        </is>
      </c>
      <c r="E51" s="25" t="inlineStr">
        <is>
          <t>largecap</t>
        </is>
      </c>
      <c r="F51" s="25" t="n">
        <v>27899.82</v>
      </c>
      <c r="G51" s="25" t="n">
        <v>189.94</v>
      </c>
      <c r="H51" s="26" t="n">
        <v>4.2</v>
      </c>
      <c r="I51" s="26" t="n">
        <v>64857457</v>
      </c>
      <c r="J51" s="26" t="inlineStr">
        <is>
          <t>500183</t>
        </is>
      </c>
    </row>
    <row r="52">
      <c r="A52" s="25" t="inlineStr">
        <is>
          <t>SOTL</t>
        </is>
      </c>
      <c r="B52" s="26" t="inlineStr">
        <is>
          <t>Savita Oil Technologies Limited</t>
        </is>
      </c>
      <c r="C52" s="25" t="inlineStr">
        <is>
          <t>energy</t>
        </is>
      </c>
      <c r="D52" s="25" t="inlineStr">
        <is>
          <t>petrochemicals</t>
        </is>
      </c>
      <c r="E52" s="25" t="inlineStr">
        <is>
          <t>smallcap</t>
        </is>
      </c>
      <c r="F52" s="25" t="n">
        <v>2880.57</v>
      </c>
      <c r="G52" s="25" t="n">
        <v>437.75</v>
      </c>
      <c r="H52" s="26" t="n">
        <v>4.19</v>
      </c>
      <c r="I52" s="26" t="n">
        <v>85250</v>
      </c>
      <c r="J52" s="26" t="inlineStr">
        <is>
          <t>524667</t>
        </is>
      </c>
    </row>
    <row r="53">
      <c r="A53" s="25" t="inlineStr">
        <is>
          <t>AVALON</t>
        </is>
      </c>
      <c r="B53" s="26" t="inlineStr">
        <is>
          <t>Avalon Technologies Ltd</t>
        </is>
      </c>
      <c r="C53" s="25" t="inlineStr">
        <is>
          <t>consumer discretionary</t>
        </is>
      </c>
      <c r="D53" s="25" t="inlineStr">
        <is>
          <t>electronics - components</t>
        </is>
      </c>
      <c r="E53" s="25" t="inlineStr">
        <is>
          <t>midcap</t>
        </is>
      </c>
      <c r="F53" s="25" t="n">
        <v>9693.110000000001</v>
      </c>
      <c r="G53" s="25" t="n">
        <v>1511.9</v>
      </c>
      <c r="H53" s="26" t="n">
        <v>4.14</v>
      </c>
      <c r="I53" s="26" t="n">
        <v>208330</v>
      </c>
      <c r="J53" s="26" t="inlineStr">
        <is>
          <t>543896</t>
        </is>
      </c>
    </row>
    <row r="54">
      <c r="A54" s="25" t="inlineStr">
        <is>
          <t>HINDOILEXP</t>
        </is>
      </c>
      <c r="B54" s="26" t="inlineStr">
        <is>
          <t>Hindustan Oil Exploration Company Limited</t>
        </is>
      </c>
      <c r="C54" s="25" t="inlineStr">
        <is>
          <t>energy</t>
        </is>
      </c>
      <c r="D54" s="25" t="inlineStr">
        <is>
          <t>oil drilling / allied services</t>
        </is>
      </c>
      <c r="E54" s="25" t="inlineStr">
        <is>
          <t>smallcap</t>
        </is>
      </c>
      <c r="F54" s="25" t="n">
        <v>2182.15</v>
      </c>
      <c r="G54" s="25" t="n">
        <v>171.79</v>
      </c>
      <c r="H54" s="26" t="n">
        <v>4.11</v>
      </c>
      <c r="I54" s="26" t="n">
        <v>1012446</v>
      </c>
      <c r="J54" s="26" t="inlineStr">
        <is>
          <t>500186</t>
        </is>
      </c>
    </row>
    <row r="55">
      <c r="A55" s="25" t="inlineStr">
        <is>
          <t>TITAGARH</t>
        </is>
      </c>
      <c r="B55" s="26" t="inlineStr">
        <is>
          <t>Titagarh Rail Systems Ltd</t>
        </is>
      </c>
      <c r="C55" s="25" t="inlineStr">
        <is>
          <t>industrials</t>
        </is>
      </c>
      <c r="D55" s="25" t="inlineStr">
        <is>
          <t>engineering</t>
        </is>
      </c>
      <c r="E55" s="25" t="inlineStr">
        <is>
          <t>midcap</t>
        </is>
      </c>
      <c r="F55" s="25" t="n">
        <v>10793.43</v>
      </c>
      <c r="G55" s="25" t="n">
        <v>834.4</v>
      </c>
      <c r="H55" s="26" t="n">
        <v>4.11</v>
      </c>
      <c r="I55" s="26" t="n">
        <v>995607</v>
      </c>
      <c r="J55" s="26" t="inlineStr">
        <is>
          <t>532966</t>
        </is>
      </c>
    </row>
    <row r="56">
      <c r="A56" s="25" t="inlineStr">
        <is>
          <t>CHENNPETRO</t>
        </is>
      </c>
      <c r="B56" s="26" t="inlineStr">
        <is>
          <t>Chennai Petroleum Corporation Limited</t>
        </is>
      </c>
      <c r="C56" s="25" t="inlineStr">
        <is>
          <t>energy</t>
        </is>
      </c>
      <c r="D56" s="25" t="inlineStr">
        <is>
          <t>refineries</t>
        </is>
      </c>
      <c r="E56" s="25" t="inlineStr">
        <is>
          <t>midcap</t>
        </is>
      </c>
      <c r="F56" s="25" t="n">
        <v>16334.09</v>
      </c>
      <c r="G56" s="25" t="n">
        <v>1141.6</v>
      </c>
      <c r="H56" s="26" t="n">
        <v>4.08</v>
      </c>
      <c r="I56" s="26" t="n">
        <v>1839119</v>
      </c>
      <c r="J56" s="26" t="inlineStr">
        <is>
          <t>500110</t>
        </is>
      </c>
    </row>
    <row r="57">
      <c r="A57" s="25" t="inlineStr">
        <is>
          <t>NSLNISP</t>
        </is>
      </c>
      <c r="B57" s="26" t="inlineStr">
        <is>
          <t>NMDC Steel Ltd</t>
        </is>
      </c>
      <c r="C57" s="25" t="inlineStr">
        <is>
          <t>metals &amp; mining</t>
        </is>
      </c>
      <c r="D57" s="25" t="inlineStr">
        <is>
          <t>steel - large</t>
        </is>
      </c>
      <c r="E57" s="25" t="inlineStr">
        <is>
          <t>midcap</t>
        </is>
      </c>
      <c r="F57" s="25" t="n">
        <v>14799.56</v>
      </c>
      <c r="G57" s="25" t="n">
        <v>52.55</v>
      </c>
      <c r="H57" s="26" t="n">
        <v>4.06</v>
      </c>
      <c r="I57" s="26" t="n">
        <v>57381090</v>
      </c>
      <c r="J57" s="26" t="inlineStr">
        <is>
          <t>543768</t>
        </is>
      </c>
    </row>
    <row r="58">
      <c r="A58" s="25" t="inlineStr">
        <is>
          <t>SPARC</t>
        </is>
      </c>
      <c r="B58" s="26" t="inlineStr">
        <is>
          <t>Sun Pharma Advanced Research Company Limited</t>
        </is>
      </c>
      <c r="C58" s="25" t="inlineStr">
        <is>
          <t>healthcare</t>
        </is>
      </c>
      <c r="D58" s="25" t="inlineStr">
        <is>
          <t>miscellaneous</t>
        </is>
      </c>
      <c r="E58" s="25" t="inlineStr">
        <is>
          <t>midcap</t>
        </is>
      </c>
      <c r="F58" s="25" t="n">
        <v>6372.63</v>
      </c>
      <c r="G58" s="25" t="n">
        <v>204.24</v>
      </c>
      <c r="H58" s="26" t="n">
        <v>4.01</v>
      </c>
      <c r="I58" s="26" t="n">
        <v>6984191</v>
      </c>
      <c r="J58" s="26" t="inlineStr">
        <is>
          <t>532872</t>
        </is>
      </c>
    </row>
    <row r="59">
      <c r="A59" s="25" t="inlineStr">
        <is>
          <t>ASAL</t>
        </is>
      </c>
      <c r="B59" s="26" t="inlineStr">
        <is>
          <t>Automotive Stampings And Assemblies Limited</t>
        </is>
      </c>
      <c r="C59" s="25" t="inlineStr">
        <is>
          <t>auto</t>
        </is>
      </c>
      <c r="D59" s="25" t="inlineStr">
        <is>
          <t>auto ancillaries</t>
        </is>
      </c>
      <c r="E59" s="25" t="inlineStr">
        <is>
          <t>smallcap</t>
        </is>
      </c>
      <c r="F59" s="25" t="n">
        <v>811.0700000000001</v>
      </c>
      <c r="G59" s="25" t="n">
        <v>531.7</v>
      </c>
      <c r="H59" s="26" t="n">
        <v>4</v>
      </c>
      <c r="I59" s="26" t="n">
        <v>48854</v>
      </c>
      <c r="J59" s="26" t="inlineStr">
        <is>
          <t>520119</t>
        </is>
      </c>
    </row>
    <row r="60">
      <c r="A60" s="25" t="inlineStr">
        <is>
          <t>CENTENKA</t>
        </is>
      </c>
      <c r="B60" s="26" t="inlineStr">
        <is>
          <t>Century Enka Limited</t>
        </is>
      </c>
      <c r="C60" s="25" t="inlineStr">
        <is>
          <t>textiles</t>
        </is>
      </c>
      <c r="D60" s="25" t="inlineStr">
        <is>
          <t>textiles - manmade</t>
        </is>
      </c>
      <c r="E60" s="25" t="inlineStr">
        <is>
          <t>smallcap</t>
        </is>
      </c>
      <c r="F60" s="25" t="n">
        <v>1062.92</v>
      </c>
      <c r="G60" s="25" t="n">
        <v>505.25</v>
      </c>
      <c r="H60" s="26" t="n">
        <v>3.86</v>
      </c>
      <c r="I60" s="26" t="n">
        <v>42095</v>
      </c>
      <c r="J60" s="26" t="inlineStr">
        <is>
          <t>500280</t>
        </is>
      </c>
    </row>
    <row r="61">
      <c r="A61" s="25" t="inlineStr">
        <is>
          <t>NLCINDIA</t>
        </is>
      </c>
      <c r="B61" s="26" t="inlineStr">
        <is>
          <t>Nlc India Limited</t>
        </is>
      </c>
      <c r="C61" s="25" t="inlineStr">
        <is>
          <t>power &amp; utilities</t>
        </is>
      </c>
      <c r="D61" s="25" t="inlineStr">
        <is>
          <t>power generation and supply</t>
        </is>
      </c>
      <c r="E61" s="25" t="inlineStr">
        <is>
          <t>largecap</t>
        </is>
      </c>
      <c r="F61" s="25" t="n">
        <v>46639.52</v>
      </c>
      <c r="G61" s="25" t="n">
        <v>349.1</v>
      </c>
      <c r="H61" s="26" t="n">
        <v>3.79</v>
      </c>
      <c r="I61" s="26" t="n">
        <v>6987173</v>
      </c>
      <c r="J61" s="26" t="inlineStr">
        <is>
          <t>513683</t>
        </is>
      </c>
    </row>
    <row r="62">
      <c r="A62" s="25" t="inlineStr">
        <is>
          <t>RAIN</t>
        </is>
      </c>
      <c r="B62" s="26" t="inlineStr">
        <is>
          <t>Rain Industries Limited</t>
        </is>
      </c>
      <c r="C62" s="25" t="inlineStr">
        <is>
          <t>miscellaneous</t>
        </is>
      </c>
      <c r="D62" s="25" t="inlineStr">
        <is>
          <t>miscellaneous</t>
        </is>
      </c>
      <c r="E62" s="25" t="inlineStr">
        <is>
          <t>midcap</t>
        </is>
      </c>
      <c r="F62" s="25" t="n">
        <v>6414.11</v>
      </c>
      <c r="G62" s="25" t="n">
        <v>197.9</v>
      </c>
      <c r="H62" s="26" t="n">
        <v>3.78</v>
      </c>
      <c r="I62" s="26" t="n">
        <v>10442480</v>
      </c>
      <c r="J62" s="26" t="inlineStr">
        <is>
          <t>500339</t>
        </is>
      </c>
    </row>
    <row r="63">
      <c r="A63" s="25" t="inlineStr">
        <is>
          <t>NEOGEN</t>
        </is>
      </c>
      <c r="B63" s="26" t="inlineStr">
        <is>
          <t>Neogen Chemicals Ltd</t>
        </is>
      </c>
      <c r="C63" s="25" t="inlineStr">
        <is>
          <t>chemicals</t>
        </is>
      </c>
      <c r="D63" s="25" t="inlineStr">
        <is>
          <t>chemicals</t>
        </is>
      </c>
      <c r="E63" s="25" t="inlineStr">
        <is>
          <t>smallcap</t>
        </is>
      </c>
      <c r="F63" s="25" t="n">
        <v>4955.26</v>
      </c>
      <c r="G63" s="25" t="n">
        <v>1876.9</v>
      </c>
      <c r="H63" s="26" t="n">
        <v>3.71</v>
      </c>
      <c r="I63" s="26" t="n">
        <v>262830</v>
      </c>
      <c r="J63" s="26" t="inlineStr">
        <is>
          <t>542665</t>
        </is>
      </c>
    </row>
    <row r="64">
      <c r="A64" s="25" t="inlineStr">
        <is>
          <t>APARINDS</t>
        </is>
      </c>
      <c r="B64" s="26" t="inlineStr">
        <is>
          <t>Apar Industries Limited</t>
        </is>
      </c>
      <c r="C64" s="25" t="inlineStr">
        <is>
          <t>industrials</t>
        </is>
      </c>
      <c r="D64" s="25" t="inlineStr">
        <is>
          <t>electric equipment</t>
        </is>
      </c>
      <c r="E64" s="25" t="inlineStr">
        <is>
          <t>largecap</t>
        </is>
      </c>
      <c r="F64" s="25" t="n">
        <v>51419.46</v>
      </c>
      <c r="G64" s="25" t="n">
        <v>13270</v>
      </c>
      <c r="H64" s="26" t="n">
        <v>3.66</v>
      </c>
      <c r="I64" s="26" t="n">
        <v>128084</v>
      </c>
      <c r="J64" s="26" t="inlineStr">
        <is>
          <t>532259</t>
        </is>
      </c>
    </row>
    <row r="65">
      <c r="A65" s="25" t="inlineStr">
        <is>
          <t>SHILPAMED</t>
        </is>
      </c>
      <c r="B65" s="26" t="inlineStr">
        <is>
          <t>Shilpa Medicare Limited</t>
        </is>
      </c>
      <c r="C65" s="25" t="inlineStr">
        <is>
          <t>healthcare</t>
        </is>
      </c>
      <c r="D65" s="25" t="inlineStr">
        <is>
          <t>pharmaceuticals - indian - formulations</t>
        </is>
      </c>
      <c r="E65" s="25" t="inlineStr">
        <is>
          <t>midcap</t>
        </is>
      </c>
      <c r="F65" s="25" t="n">
        <v>9764.42</v>
      </c>
      <c r="G65" s="25" t="n">
        <v>517.35</v>
      </c>
      <c r="H65" s="26" t="n">
        <v>3.63</v>
      </c>
      <c r="I65" s="26" t="n">
        <v>2867786</v>
      </c>
      <c r="J65" s="26" t="inlineStr">
        <is>
          <t>530549</t>
        </is>
      </c>
    </row>
    <row r="66">
      <c r="A66" s="25" t="inlineStr">
        <is>
          <t>SURYODAY</t>
        </is>
      </c>
      <c r="B66" s="26" t="inlineStr">
        <is>
          <t>Suryoday Small Finance Bank Ltd</t>
        </is>
      </c>
      <c r="C66" s="25" t="inlineStr">
        <is>
          <t>bank</t>
        </is>
      </c>
      <c r="D66" s="25" t="inlineStr">
        <is>
          <t>banks - private sector</t>
        </is>
      </c>
      <c r="E66" s="25" t="inlineStr">
        <is>
          <t>smallcap</t>
        </is>
      </c>
      <c r="F66" s="25" t="n">
        <v>1733.06</v>
      </c>
      <c r="G66" s="25" t="n">
        <v>168.92</v>
      </c>
      <c r="H66" s="26" t="n">
        <v>3.6</v>
      </c>
      <c r="I66" s="26" t="n">
        <v>381208</v>
      </c>
      <c r="J66" s="26" t="inlineStr">
        <is>
          <t>543279</t>
        </is>
      </c>
    </row>
    <row r="67">
      <c r="A67" s="25" t="inlineStr">
        <is>
          <t>FCL</t>
        </is>
      </c>
      <c r="B67" s="26" t="inlineStr">
        <is>
          <t>Fineotex Chemical Limited</t>
        </is>
      </c>
      <c r="C67" s="25" t="inlineStr">
        <is>
          <t>chemicals</t>
        </is>
      </c>
      <c r="D67" s="25" t="inlineStr">
        <is>
          <t>chemicals</t>
        </is>
      </c>
      <c r="E67" s="25" t="inlineStr">
        <is>
          <t>smallcap</t>
        </is>
      </c>
      <c r="F67" s="25" t="n">
        <v>4761.64</v>
      </c>
      <c r="G67" s="25" t="n">
        <v>42.36</v>
      </c>
      <c r="H67" s="26" t="n">
        <v>3.6</v>
      </c>
      <c r="I67" s="26" t="n">
        <v>31485151</v>
      </c>
      <c r="J67" s="26" t="inlineStr">
        <is>
          <t>533333</t>
        </is>
      </c>
    </row>
    <row r="68">
      <c r="A68" s="25" t="inlineStr">
        <is>
          <t>GOLDIAM</t>
        </is>
      </c>
      <c r="B68" s="26" t="inlineStr">
        <is>
          <t>Goldiam International Limited</t>
        </is>
      </c>
      <c r="C68" s="25" t="inlineStr">
        <is>
          <t>consumer discretionary</t>
        </is>
      </c>
      <c r="D68" s="25" t="inlineStr">
        <is>
          <t>diamond cutting / jewellery</t>
        </is>
      </c>
      <c r="E68" s="25" t="inlineStr">
        <is>
          <t>smallcap</t>
        </is>
      </c>
      <c r="F68" s="25" t="n">
        <v>4626.81</v>
      </c>
      <c r="G68" s="25" t="n">
        <v>424.45</v>
      </c>
      <c r="H68" s="26" t="n">
        <v>3.59</v>
      </c>
      <c r="I68" s="26" t="n">
        <v>1955838</v>
      </c>
      <c r="J68" s="26" t="inlineStr">
        <is>
          <t>526729</t>
        </is>
      </c>
    </row>
    <row r="69">
      <c r="A69" s="25" t="inlineStr">
        <is>
          <t>EXIDEIND</t>
        </is>
      </c>
      <c r="B69" s="26" t="inlineStr">
        <is>
          <t>Exide Industries Limited</t>
        </is>
      </c>
      <c r="C69" s="25" t="inlineStr">
        <is>
          <t>auto</t>
        </is>
      </c>
      <c r="D69" s="25" t="inlineStr">
        <is>
          <t>auto ancillaries</t>
        </is>
      </c>
      <c r="E69" s="25" t="inlineStr">
        <is>
          <t>largecap</t>
        </is>
      </c>
      <c r="F69" s="25" t="n">
        <v>33341.25</v>
      </c>
      <c r="G69" s="25" t="n">
        <v>406.25</v>
      </c>
      <c r="H69" s="26" t="n">
        <v>3.57</v>
      </c>
      <c r="I69" s="26" t="n">
        <v>7426529</v>
      </c>
      <c r="J69" s="26" t="inlineStr">
        <is>
          <t>500086</t>
        </is>
      </c>
    </row>
    <row r="70">
      <c r="A70" s="25" t="inlineStr">
        <is>
          <t>NETWEB</t>
        </is>
      </c>
      <c r="B70" s="26" t="inlineStr">
        <is>
          <t>Netweb Technologies India Ltd</t>
        </is>
      </c>
      <c r="C70" s="25" t="inlineStr">
        <is>
          <t>i.t</t>
        </is>
      </c>
      <c r="D70" s="25" t="inlineStr">
        <is>
          <t>computers - hardware</t>
        </is>
      </c>
      <c r="E70" s="25" t="inlineStr">
        <is>
          <t>largecap</t>
        </is>
      </c>
      <c r="F70" s="25" t="n">
        <v>26307.17</v>
      </c>
      <c r="G70" s="25" t="n">
        <v>4782.8</v>
      </c>
      <c r="H70" s="26" t="n">
        <v>3.52</v>
      </c>
      <c r="I70" s="26" t="n">
        <v>4220022</v>
      </c>
      <c r="J70" s="26" t="inlineStr">
        <is>
          <t>543945</t>
        </is>
      </c>
    </row>
    <row r="71">
      <c r="A71" s="25" t="inlineStr">
        <is>
          <t>ICIL</t>
        </is>
      </c>
      <c r="B71" s="26" t="inlineStr">
        <is>
          <t>Indo Count Industries Limited</t>
        </is>
      </c>
      <c r="C71" s="25" t="inlineStr">
        <is>
          <t>textiles</t>
        </is>
      </c>
      <c r="D71" s="25" t="inlineStr">
        <is>
          <t>textiles - cotton/blended</t>
        </is>
      </c>
      <c r="E71" s="25" t="inlineStr">
        <is>
          <t>midcap</t>
        </is>
      </c>
      <c r="F71" s="25" t="n">
        <v>6629.87</v>
      </c>
      <c r="G71" s="25" t="n">
        <v>346.25</v>
      </c>
      <c r="H71" s="26" t="n">
        <v>3.44</v>
      </c>
      <c r="I71" s="26" t="n">
        <v>2036293</v>
      </c>
      <c r="J71" s="26" t="inlineStr">
        <is>
          <t>521016</t>
        </is>
      </c>
    </row>
    <row r="72">
      <c r="A72" s="25" t="inlineStr">
        <is>
          <t>SHRIPISTON</t>
        </is>
      </c>
      <c r="B72" s="26" t="inlineStr">
        <is>
          <t>Shriram Pistons &amp; Rings Limited</t>
        </is>
      </c>
      <c r="C72" s="25" t="inlineStr">
        <is>
          <t>auto</t>
        </is>
      </c>
      <c r="D72" s="25" t="inlineStr">
        <is>
          <t>auto ancillaries</t>
        </is>
      </c>
      <c r="E72" s="25" t="inlineStr">
        <is>
          <t>midcap</t>
        </is>
      </c>
      <c r="F72" s="25" t="n">
        <v>14702.51</v>
      </c>
      <c r="G72" s="25" t="n">
        <v>3452.1</v>
      </c>
      <c r="H72" s="26" t="n">
        <v>3.43</v>
      </c>
      <c r="I72" s="26" t="n">
        <v>53083</v>
      </c>
      <c r="J72" s="26" t="n"/>
    </row>
    <row r="73">
      <c r="A73" s="25" t="inlineStr">
        <is>
          <t>NORTHARC</t>
        </is>
      </c>
      <c r="B73" s="26" t="inlineStr">
        <is>
          <t>Northern ARC Capital Ltd</t>
        </is>
      </c>
      <c r="C73" s="25" t="inlineStr">
        <is>
          <t>financials</t>
        </is>
      </c>
      <c r="D73" s="25" t="inlineStr">
        <is>
          <t>finance &amp; investments</t>
        </is>
      </c>
      <c r="E73" s="25" t="inlineStr">
        <is>
          <t>smallcap</t>
        </is>
      </c>
      <c r="F73" s="25" t="n">
        <v>4492.51</v>
      </c>
      <c r="G73" s="25" t="n">
        <v>287.4</v>
      </c>
      <c r="H73" s="26" t="n">
        <v>3.36</v>
      </c>
      <c r="I73" s="26" t="n">
        <v>505151</v>
      </c>
      <c r="J73" s="26" t="n"/>
    </row>
    <row r="74">
      <c r="A74" s="25" t="inlineStr">
        <is>
          <t>VENUSPIPES</t>
        </is>
      </c>
      <c r="B74" s="26" t="inlineStr">
        <is>
          <t>Venus Pipes &amp; Tubes Ltd</t>
        </is>
      </c>
      <c r="C74" s="25" t="inlineStr">
        <is>
          <t>metals &amp; mining</t>
        </is>
      </c>
      <c r="D74" s="25" t="inlineStr">
        <is>
          <t>steel - medium / small</t>
        </is>
      </c>
      <c r="E74" s="25" t="inlineStr">
        <is>
          <t>smallcap</t>
        </is>
      </c>
      <c r="F74" s="25" t="n">
        <v>2844.74</v>
      </c>
      <c r="G74" s="25" t="n">
        <v>1418.8</v>
      </c>
      <c r="H74" s="26" t="n">
        <v>3.32</v>
      </c>
      <c r="I74" s="26" t="n">
        <v>63831</v>
      </c>
      <c r="J74" s="26" t="inlineStr">
        <is>
          <t>543528</t>
        </is>
      </c>
    </row>
    <row r="75">
      <c r="A75" s="25" t="inlineStr">
        <is>
          <t>ADVENZYMES</t>
        </is>
      </c>
      <c r="B75" s="26" t="inlineStr">
        <is>
          <t>Advanced Enzyme Technologies Limited</t>
        </is>
      </c>
      <c r="C75" s="25" t="inlineStr">
        <is>
          <t>healthcare</t>
        </is>
      </c>
      <c r="D75" s="25" t="inlineStr">
        <is>
          <t>pharmaceuticals - indian - bulk drugs &amp; formln</t>
        </is>
      </c>
      <c r="E75" s="25" t="inlineStr">
        <is>
          <t>smallcap</t>
        </is>
      </c>
      <c r="F75" s="25" t="n">
        <v>4248.18</v>
      </c>
      <c r="G75" s="25" t="n">
        <v>392.1</v>
      </c>
      <c r="H75" s="26" t="n">
        <v>3.31</v>
      </c>
      <c r="I75" s="26" t="n">
        <v>369750</v>
      </c>
      <c r="J75" s="26" t="inlineStr">
        <is>
          <t>540025</t>
        </is>
      </c>
    </row>
    <row r="76">
      <c r="A76" s="25" t="inlineStr">
        <is>
          <t>HNDFDS</t>
        </is>
      </c>
      <c r="B76" s="26" t="inlineStr">
        <is>
          <t>Hindustan Foods Ltd</t>
        </is>
      </c>
      <c r="C76" s="25" t="inlineStr">
        <is>
          <t>fmcg</t>
        </is>
      </c>
      <c r="D76" s="25" t="inlineStr">
        <is>
          <t>diversified - large</t>
        </is>
      </c>
      <c r="E76" s="25" t="inlineStr">
        <is>
          <t>midcap</t>
        </is>
      </c>
      <c r="F76" s="25" t="n">
        <v>6249.49</v>
      </c>
      <c r="G76" s="25" t="n">
        <v>540.25</v>
      </c>
      <c r="H76" s="26" t="n">
        <v>3.29</v>
      </c>
      <c r="I76" s="26" t="n">
        <v>89638</v>
      </c>
      <c r="J76" s="26" t="inlineStr">
        <is>
          <t>519126</t>
        </is>
      </c>
    </row>
    <row r="77">
      <c r="A77" s="25" t="inlineStr">
        <is>
          <t>TATATECH</t>
        </is>
      </c>
      <c r="B77" s="26" t="inlineStr">
        <is>
          <t>Tata Technologies Ltd</t>
        </is>
      </c>
      <c r="C77" s="25" t="inlineStr">
        <is>
          <t>i.t</t>
        </is>
      </c>
      <c r="D77" s="25" t="inlineStr">
        <is>
          <t>computers - software - medium / small</t>
        </is>
      </c>
      <c r="E77" s="25" t="inlineStr">
        <is>
          <t>largecap</t>
        </is>
      </c>
      <c r="F77" s="25" t="n">
        <v>29019.4</v>
      </c>
      <c r="G77" s="25" t="n">
        <v>737.95</v>
      </c>
      <c r="H77" s="26" t="n">
        <v>3.24</v>
      </c>
      <c r="I77" s="26" t="n">
        <v>2515331</v>
      </c>
      <c r="J77" s="26" t="inlineStr">
        <is>
          <t>544028</t>
        </is>
      </c>
    </row>
    <row r="78">
      <c r="A78" s="25" t="inlineStr">
        <is>
          <t>MONARCH</t>
        </is>
      </c>
      <c r="B78" s="26" t="inlineStr">
        <is>
          <t>Monarch Networth Capital Ltd</t>
        </is>
      </c>
      <c r="C78" s="25" t="inlineStr">
        <is>
          <t>financials</t>
        </is>
      </c>
      <c r="D78" s="25" t="inlineStr">
        <is>
          <t>finance &amp; investments</t>
        </is>
      </c>
      <c r="E78" s="25" t="inlineStr">
        <is>
          <t>smallcap</t>
        </is>
      </c>
      <c r="F78" s="25" t="n">
        <v>2614.27</v>
      </c>
      <c r="G78" s="25" t="n">
        <v>340.4</v>
      </c>
      <c r="H78" s="26" t="n">
        <v>3.21</v>
      </c>
      <c r="I78" s="26" t="n">
        <v>85150</v>
      </c>
      <c r="J78" s="26" t="inlineStr">
        <is>
          <t>511551</t>
        </is>
      </c>
    </row>
    <row r="79">
      <c r="A79" s="25" t="inlineStr">
        <is>
          <t>NMDC</t>
        </is>
      </c>
      <c r="B79" s="26" t="inlineStr">
        <is>
          <t>Nmdc Limited</t>
        </is>
      </c>
      <c r="C79" s="25" t="inlineStr">
        <is>
          <t>metals &amp; mining</t>
        </is>
      </c>
      <c r="D79" s="25" t="inlineStr">
        <is>
          <t>mining / minerals / metals</t>
        </is>
      </c>
      <c r="E79" s="25" t="inlineStr">
        <is>
          <t>largecap</t>
        </is>
      </c>
      <c r="F79" s="25" t="n">
        <v>81210.02</v>
      </c>
      <c r="G79" s="25" t="n">
        <v>95.31</v>
      </c>
      <c r="H79" s="26" t="n">
        <v>3.18</v>
      </c>
      <c r="I79" s="26" t="n">
        <v>102137637</v>
      </c>
      <c r="J79" s="26" t="inlineStr">
        <is>
          <t>526371</t>
        </is>
      </c>
    </row>
    <row r="80">
      <c r="A80" s="25" t="inlineStr">
        <is>
          <t>TBZ</t>
        </is>
      </c>
      <c r="B80" s="26" t="inlineStr">
        <is>
          <t>Tribhovandas Bhimji Zaveri Limited</t>
        </is>
      </c>
      <c r="C80" s="25" t="inlineStr">
        <is>
          <t>consumer discretionary</t>
        </is>
      </c>
      <c r="D80" s="25" t="inlineStr">
        <is>
          <t>diamond cutting / jewellery</t>
        </is>
      </c>
      <c r="E80" s="25" t="inlineStr">
        <is>
          <t>smallcap</t>
        </is>
      </c>
      <c r="F80" s="25" t="n">
        <v>1156.91</v>
      </c>
      <c r="G80" s="25" t="n">
        <v>178.84</v>
      </c>
      <c r="H80" s="26" t="n">
        <v>3.16</v>
      </c>
      <c r="I80" s="26" t="n">
        <v>3843954</v>
      </c>
      <c r="J80" s="26" t="inlineStr">
        <is>
          <t>534369</t>
        </is>
      </c>
    </row>
    <row r="81">
      <c r="A81" s="25" t="inlineStr">
        <is>
          <t>SANDHAR</t>
        </is>
      </c>
      <c r="B81" s="26" t="inlineStr">
        <is>
          <t>Sandhar Technologies Limited</t>
        </is>
      </c>
      <c r="C81" s="25" t="inlineStr">
        <is>
          <t>auto</t>
        </is>
      </c>
      <c r="D81" s="25" t="inlineStr">
        <is>
          <t>auto ancillaries</t>
        </is>
      </c>
      <c r="E81" s="25" t="inlineStr">
        <is>
          <t>smallcap</t>
        </is>
      </c>
      <c r="F81" s="25" t="n">
        <v>4071.9</v>
      </c>
      <c r="G81" s="25" t="n">
        <v>697.15</v>
      </c>
      <c r="H81" s="26" t="n">
        <v>3.05</v>
      </c>
      <c r="I81" s="26" t="n">
        <v>1225449</v>
      </c>
      <c r="J81" s="26" t="inlineStr">
        <is>
          <t>541163</t>
        </is>
      </c>
    </row>
    <row r="82">
      <c r="A82" s="25" t="inlineStr">
        <is>
          <t>MANORAMA</t>
        </is>
      </c>
      <c r="B82" s="26" t="inlineStr">
        <is>
          <t>Manorama Industries Ltd</t>
        </is>
      </c>
      <c r="C82" s="25" t="inlineStr">
        <is>
          <t>fmcg</t>
        </is>
      </c>
      <c r="D82" s="25" t="inlineStr">
        <is>
          <t>food - processing - indian</t>
        </is>
      </c>
      <c r="E82" s="25" t="inlineStr">
        <is>
          <t>midcap</t>
        </is>
      </c>
      <c r="F82" s="25" t="n">
        <v>8585.49</v>
      </c>
      <c r="G82" s="25" t="n">
        <v>1481.4</v>
      </c>
      <c r="H82" s="26" t="n">
        <v>3.03</v>
      </c>
      <c r="I82" s="26" t="n">
        <v>348844</v>
      </c>
      <c r="J82" s="26" t="inlineStr">
        <is>
          <t>541974</t>
        </is>
      </c>
    </row>
    <row r="83">
      <c r="A83" s="25" t="inlineStr">
        <is>
          <t>SASKEN</t>
        </is>
      </c>
      <c r="B83" s="26" t="inlineStr">
        <is>
          <t>Sasken Communication Technologies Limited</t>
        </is>
      </c>
      <c r="C83" s="25" t="inlineStr">
        <is>
          <t>i.t</t>
        </is>
      </c>
      <c r="D83" s="25" t="inlineStr">
        <is>
          <t>computers - software - medium / small</t>
        </is>
      </c>
      <c r="E83" s="25" t="inlineStr">
        <is>
          <t>smallcap</t>
        </is>
      </c>
      <c r="F83" s="25" t="n">
        <v>3447.48</v>
      </c>
      <c r="G83" s="25" t="n">
        <v>2338.5</v>
      </c>
      <c r="H83" s="26" t="n">
        <v>3.01</v>
      </c>
      <c r="I83" s="26" t="n">
        <v>131551</v>
      </c>
      <c r="J83" s="26" t="inlineStr">
        <is>
          <t>532663</t>
        </is>
      </c>
    </row>
    <row r="84">
      <c r="A84" s="25" t="inlineStr">
        <is>
          <t>DEEPINDS</t>
        </is>
      </c>
      <c r="B84" s="26" t="inlineStr">
        <is>
          <t>Deep Industries Ltd</t>
        </is>
      </c>
      <c r="C84" s="25" t="inlineStr">
        <is>
          <t>energy</t>
        </is>
      </c>
      <c r="D84" s="25" t="inlineStr">
        <is>
          <t>oil drilling / allied services</t>
        </is>
      </c>
      <c r="E84" s="25" t="inlineStr">
        <is>
          <t>smallcap</t>
        </is>
      </c>
      <c r="F84" s="25" t="n">
        <v>3225.28</v>
      </c>
      <c r="G84" s="25" t="n">
        <v>518.8</v>
      </c>
      <c r="H84" s="26" t="n">
        <v>2.95</v>
      </c>
      <c r="I84" s="26" t="n">
        <v>1315721</v>
      </c>
      <c r="J84" s="26" t="inlineStr">
        <is>
          <t>543288</t>
        </is>
      </c>
    </row>
    <row r="85">
      <c r="A85" s="25" t="inlineStr">
        <is>
          <t>IDEAFORGE</t>
        </is>
      </c>
      <c r="B85" s="26" t="inlineStr">
        <is>
          <t>Ideaforge Technology Ltd</t>
        </is>
      </c>
      <c r="C85" s="25" t="inlineStr">
        <is>
          <t>aerospace &amp; defence</t>
        </is>
      </c>
      <c r="D85" s="25" t="inlineStr">
        <is>
          <t>engineering</t>
        </is>
      </c>
      <c r="E85" s="25" t="inlineStr">
        <is>
          <t>smallcap</t>
        </is>
      </c>
      <c r="F85" s="25" t="n">
        <v>3486.31</v>
      </c>
      <c r="G85" s="25" t="n">
        <v>828.9</v>
      </c>
      <c r="H85" s="26" t="n">
        <v>2.89</v>
      </c>
      <c r="I85" s="26" t="n">
        <v>261811</v>
      </c>
      <c r="J85" s="26" t="inlineStr">
        <is>
          <t>543932</t>
        </is>
      </c>
    </row>
    <row r="86">
      <c r="A86" s="25" t="inlineStr">
        <is>
          <t>SANSTAR</t>
        </is>
      </c>
      <c r="B86" s="26" t="inlineStr">
        <is>
          <t>Sanstar Ltd</t>
        </is>
      </c>
      <c r="C86" s="25" t="inlineStr">
        <is>
          <t>fmcg</t>
        </is>
      </c>
      <c r="D86" s="25" t="inlineStr">
        <is>
          <t>miscellaneous</t>
        </is>
      </c>
      <c r="E86" s="25" t="inlineStr">
        <is>
          <t>smallcap</t>
        </is>
      </c>
      <c r="F86" s="25" t="n">
        <v>2050.79</v>
      </c>
      <c r="G86" s="25" t="n">
        <v>115.77</v>
      </c>
      <c r="H86" s="26" t="n">
        <v>2.88</v>
      </c>
      <c r="I86" s="26" t="n">
        <v>974618</v>
      </c>
      <c r="J86" s="26" t="inlineStr">
        <is>
          <t>544217</t>
        </is>
      </c>
    </row>
    <row r="87">
      <c r="A87" s="25" t="inlineStr">
        <is>
          <t>SOUTHWEST</t>
        </is>
      </c>
      <c r="B87" s="26" t="inlineStr">
        <is>
          <t>South West Pinnacle Exploration Ltd</t>
        </is>
      </c>
      <c r="C87" s="25" t="inlineStr">
        <is>
          <t>metals &amp; mining</t>
        </is>
      </c>
      <c r="D87" s="25" t="inlineStr">
        <is>
          <t>mining / minerals / metals</t>
        </is>
      </c>
      <c r="E87" s="25" t="inlineStr">
        <is>
          <t>smallcap</t>
        </is>
      </c>
      <c r="F87" s="25" t="n">
        <v>769.02</v>
      </c>
      <c r="G87" s="25" t="n">
        <v>265</v>
      </c>
      <c r="H87" s="26" t="n">
        <v>2.79</v>
      </c>
      <c r="I87" s="26" t="n">
        <v>194936</v>
      </c>
      <c r="J87" s="26" t="inlineStr">
        <is>
          <t>535049</t>
        </is>
      </c>
    </row>
    <row r="88">
      <c r="A88" s="25" t="inlineStr">
        <is>
          <t>XPROINDIA</t>
        </is>
      </c>
      <c r="B88" s="26" t="inlineStr">
        <is>
          <t>Xpro India Limited</t>
        </is>
      </c>
      <c r="C88" s="25" t="inlineStr">
        <is>
          <t>industrials</t>
        </is>
      </c>
      <c r="D88" s="25" t="inlineStr">
        <is>
          <t>packaging</t>
        </is>
      </c>
      <c r="E88" s="25" t="inlineStr">
        <is>
          <t>smallcap</t>
        </is>
      </c>
      <c r="F88" s="25" t="n">
        <v>2632.91</v>
      </c>
      <c r="G88" s="25" t="n">
        <v>1152.9</v>
      </c>
      <c r="H88" s="26" t="n">
        <v>2.77</v>
      </c>
      <c r="I88" s="26" t="n">
        <v>22787</v>
      </c>
      <c r="J88" s="26" t="inlineStr">
        <is>
          <t>590013</t>
        </is>
      </c>
    </row>
    <row r="89">
      <c r="A89" s="25" t="inlineStr">
        <is>
          <t>MARINE</t>
        </is>
      </c>
      <c r="B89" s="26" t="inlineStr">
        <is>
          <t>Marine Electricals (India) Ltd</t>
        </is>
      </c>
      <c r="C89" s="25" t="inlineStr">
        <is>
          <t>industrials</t>
        </is>
      </c>
      <c r="D89" s="25" t="inlineStr">
        <is>
          <t>electric equipment</t>
        </is>
      </c>
      <c r="E89" s="25" t="inlineStr">
        <is>
          <t>smallcap</t>
        </is>
      </c>
      <c r="F89" s="25" t="n">
        <v>616.27</v>
      </c>
      <c r="G89" s="25" t="n">
        <v>258.1</v>
      </c>
      <c r="H89" s="26" t="n">
        <v>2.75</v>
      </c>
      <c r="I89" s="26" t="n">
        <v>1197837</v>
      </c>
      <c r="J89" s="26" t="inlineStr">
        <is>
          <t>535119</t>
        </is>
      </c>
    </row>
    <row r="90">
      <c r="A90" s="25" t="inlineStr">
        <is>
          <t>SPORTKING</t>
        </is>
      </c>
      <c r="B90" s="26" t="inlineStr">
        <is>
          <t>Sportking India Ltd</t>
        </is>
      </c>
      <c r="C90" s="25" t="inlineStr">
        <is>
          <t>textiles</t>
        </is>
      </c>
      <c r="D90" s="25" t="inlineStr">
        <is>
          <t>textiles - spinning - synthetic / blended</t>
        </is>
      </c>
      <c r="E90" s="25" t="inlineStr">
        <is>
          <t>smallcap</t>
        </is>
      </c>
      <c r="F90" s="25" t="n">
        <v>2359.35</v>
      </c>
      <c r="G90" s="25" t="n">
        <v>190.64</v>
      </c>
      <c r="H90" s="26" t="n">
        <v>2.68</v>
      </c>
      <c r="I90" s="26" t="n">
        <v>865679</v>
      </c>
      <c r="J90" s="26" t="inlineStr">
        <is>
          <t>539221</t>
        </is>
      </c>
    </row>
    <row r="91">
      <c r="A91" s="25" t="inlineStr">
        <is>
          <t>GOCLCORP</t>
        </is>
      </c>
      <c r="B91" s="26" t="inlineStr">
        <is>
          <t>Gocl Corporation Limited</t>
        </is>
      </c>
      <c r="C91" s="25" t="inlineStr">
        <is>
          <t>miscellaneous</t>
        </is>
      </c>
      <c r="D91" s="25" t="inlineStr">
        <is>
          <t>diversified - medium / small</t>
        </is>
      </c>
      <c r="E91" s="25" t="inlineStr">
        <is>
          <t>smallcap</t>
        </is>
      </c>
      <c r="F91" s="25" t="n">
        <v>1935.56</v>
      </c>
      <c r="G91" s="25" t="n">
        <v>400.8</v>
      </c>
      <c r="H91" s="26" t="n">
        <v>2.65</v>
      </c>
      <c r="I91" s="26" t="n">
        <v>235352</v>
      </c>
      <c r="J91" s="26" t="inlineStr">
        <is>
          <t>506480</t>
        </is>
      </c>
    </row>
    <row r="92">
      <c r="A92" s="25" t="inlineStr">
        <is>
          <t>SANGHVIMOV</t>
        </is>
      </c>
      <c r="B92" s="26" t="inlineStr">
        <is>
          <t>Sanghvi Movers Limited</t>
        </is>
      </c>
      <c r="C92" s="25" t="inlineStr">
        <is>
          <t>miscellaneous</t>
        </is>
      </c>
      <c r="D92" s="25" t="inlineStr">
        <is>
          <t>miscellaneous</t>
        </is>
      </c>
      <c r="E92" s="25" t="inlineStr">
        <is>
          <t>smallcap</t>
        </is>
      </c>
      <c r="F92" s="25" t="n">
        <v>3015.88</v>
      </c>
      <c r="G92" s="25" t="n">
        <v>357.45</v>
      </c>
      <c r="H92" s="26" t="n">
        <v>2.61</v>
      </c>
      <c r="I92" s="26" t="n">
        <v>236855</v>
      </c>
      <c r="J92" s="26" t="inlineStr">
        <is>
          <t>530073</t>
        </is>
      </c>
    </row>
    <row r="93">
      <c r="A93" s="25" t="inlineStr">
        <is>
          <t>TIPSMUSIC</t>
        </is>
      </c>
      <c r="B93" s="26" t="inlineStr">
        <is>
          <t>Tips Music Ltd</t>
        </is>
      </c>
      <c r="C93" s="25" t="inlineStr">
        <is>
          <t>media</t>
        </is>
      </c>
      <c r="D93" s="25" t="inlineStr">
        <is>
          <t>entertainment / electronic media software</t>
        </is>
      </c>
      <c r="E93" s="25" t="inlineStr">
        <is>
          <t>midcap</t>
        </is>
      </c>
      <c r="F93" s="25" t="n">
        <v>8375.530000000001</v>
      </c>
      <c r="G93" s="25" t="n">
        <v>672.3</v>
      </c>
      <c r="H93" s="26" t="n">
        <v>2.61</v>
      </c>
      <c r="I93" s="26" t="n">
        <v>112245</v>
      </c>
      <c r="J93" s="26" t="inlineStr">
        <is>
          <t>532375</t>
        </is>
      </c>
    </row>
    <row r="94">
      <c r="A94" s="25" t="inlineStr">
        <is>
          <t>CENTUM</t>
        </is>
      </c>
      <c r="B94" s="26" t="inlineStr">
        <is>
          <t>Centum Electronics Limited</t>
        </is>
      </c>
      <c r="C94" s="25" t="inlineStr">
        <is>
          <t>consumer discretionary</t>
        </is>
      </c>
      <c r="D94" s="25" t="inlineStr">
        <is>
          <t>electronics - components</t>
        </is>
      </c>
      <c r="E94" s="25" t="inlineStr">
        <is>
          <t>midcap</t>
        </is>
      </c>
      <c r="F94" s="25" t="n">
        <v>5176</v>
      </c>
      <c r="G94" s="25" t="n">
        <v>3600</v>
      </c>
      <c r="H94" s="26" t="n">
        <v>2.53</v>
      </c>
      <c r="I94" s="26" t="n">
        <v>57164</v>
      </c>
      <c r="J94" s="26" t="inlineStr">
        <is>
          <t>517544</t>
        </is>
      </c>
    </row>
    <row r="95">
      <c r="A95" s="25" t="inlineStr">
        <is>
          <t>DLINKINDIA</t>
        </is>
      </c>
      <c r="B95" s="26" t="inlineStr">
        <is>
          <t>D-link (india) Limited</t>
        </is>
      </c>
      <c r="C95" s="25" t="inlineStr">
        <is>
          <t>services</t>
        </is>
      </c>
      <c r="D95" s="25" t="inlineStr">
        <is>
          <t>trading</t>
        </is>
      </c>
      <c r="E95" s="25" t="inlineStr">
        <is>
          <t>smallcap</t>
        </is>
      </c>
      <c r="F95" s="25" t="n">
        <v>1646.54</v>
      </c>
      <c r="G95" s="25" t="n">
        <v>475.4</v>
      </c>
      <c r="H95" s="26" t="n">
        <v>2.51</v>
      </c>
      <c r="I95" s="26" t="n">
        <v>211103</v>
      </c>
      <c r="J95" s="26" t="inlineStr">
        <is>
          <t>533146</t>
        </is>
      </c>
    </row>
    <row r="96">
      <c r="A96" s="25" t="inlineStr">
        <is>
          <t>SOUTHBANK</t>
        </is>
      </c>
      <c r="B96" s="26" t="inlineStr">
        <is>
          <t>The South Indian Bank Limited</t>
        </is>
      </c>
      <c r="C96" s="25" t="inlineStr">
        <is>
          <t>bank</t>
        </is>
      </c>
      <c r="D96" s="25" t="inlineStr">
        <is>
          <t>banks - private sector</t>
        </is>
      </c>
      <c r="E96" s="25" t="inlineStr">
        <is>
          <t>midcap</t>
        </is>
      </c>
      <c r="F96" s="25" t="n">
        <v>10747.73</v>
      </c>
      <c r="G96" s="25" t="n">
        <v>42.08</v>
      </c>
      <c r="H96" s="26" t="n">
        <v>2.48</v>
      </c>
      <c r="I96" s="26" t="n">
        <v>18833837</v>
      </c>
      <c r="J96" s="26" t="inlineStr">
        <is>
          <t>532218</t>
        </is>
      </c>
    </row>
    <row r="97">
      <c r="A97" s="25" t="inlineStr">
        <is>
          <t>ATHERENERG</t>
        </is>
      </c>
      <c r="B97" s="26" t="inlineStr">
        <is>
          <t>Ather Energy Ltd</t>
        </is>
      </c>
      <c r="C97" s="25" t="inlineStr">
        <is>
          <t>auto</t>
        </is>
      </c>
      <c r="D97" s="25" t="inlineStr">
        <is>
          <t>automobiles - scooters and 3 - wheelers</t>
        </is>
      </c>
      <c r="E97" s="25" t="inlineStr">
        <is>
          <t>largecap</t>
        </is>
      </c>
      <c r="F97" s="25" t="n">
        <v>35871.78</v>
      </c>
      <c r="G97" s="25" t="n">
        <v>960.6</v>
      </c>
      <c r="H97" s="26" t="n">
        <v>2.47</v>
      </c>
      <c r="I97" s="26" t="n">
        <v>2527236</v>
      </c>
      <c r="J97" s="26" t="inlineStr">
        <is>
          <t>544397</t>
        </is>
      </c>
    </row>
    <row r="98">
      <c r="A98" s="25" t="inlineStr">
        <is>
          <t>SHYAMMETL</t>
        </is>
      </c>
      <c r="B98" s="26" t="inlineStr">
        <is>
          <t>Shyam Metalics &amp; Energy Ltd</t>
        </is>
      </c>
      <c r="C98" s="25" t="inlineStr">
        <is>
          <t>metals &amp; mining</t>
        </is>
      </c>
      <c r="D98" s="25" t="inlineStr">
        <is>
          <t>steel - large</t>
        </is>
      </c>
      <c r="E98" s="25" t="inlineStr">
        <is>
          <t>largecap</t>
        </is>
      </c>
      <c r="F98" s="25" t="n">
        <v>26835.74</v>
      </c>
      <c r="G98" s="25" t="n">
        <v>984.65</v>
      </c>
      <c r="H98" s="26" t="n">
        <v>2.42</v>
      </c>
      <c r="I98" s="26" t="n">
        <v>771612</v>
      </c>
      <c r="J98" s="26" t="inlineStr">
        <is>
          <t>543299</t>
        </is>
      </c>
    </row>
    <row r="99">
      <c r="A99" s="25" t="inlineStr">
        <is>
          <t>VADILALIND</t>
        </is>
      </c>
      <c r="B99" s="26" t="inlineStr">
        <is>
          <t>Vadilal Industries Limited</t>
        </is>
      </c>
      <c r="C99" s="25" t="inlineStr">
        <is>
          <t>fmcg</t>
        </is>
      </c>
      <c r="D99" s="25" t="inlineStr">
        <is>
          <t>food - processing - indian</t>
        </is>
      </c>
      <c r="E99" s="25" t="inlineStr">
        <is>
          <t>smallcap</t>
        </is>
      </c>
      <c r="F99" s="25" t="n">
        <v>3780.37</v>
      </c>
      <c r="G99" s="25" t="n">
        <v>5384.9</v>
      </c>
      <c r="H99" s="26" t="n">
        <v>2.39</v>
      </c>
      <c r="I99" s="26" t="n">
        <v>78202</v>
      </c>
      <c r="J99" s="26" t="inlineStr">
        <is>
          <t>519156</t>
        </is>
      </c>
    </row>
    <row r="100">
      <c r="A100" s="25" t="inlineStr">
        <is>
          <t>VTL</t>
        </is>
      </c>
      <c r="B100" s="26" t="inlineStr">
        <is>
          <t>Vardhman Textiles Limited</t>
        </is>
      </c>
      <c r="C100" s="25" t="inlineStr">
        <is>
          <t>textiles</t>
        </is>
      </c>
      <c r="D100" s="25" t="inlineStr">
        <is>
          <t>textiles - cotton/blended</t>
        </is>
      </c>
      <c r="E100" s="25" t="inlineStr">
        <is>
          <t>midcap</t>
        </is>
      </c>
      <c r="F100" s="25" t="n">
        <v>17345.34</v>
      </c>
      <c r="G100" s="25" t="n">
        <v>613.85</v>
      </c>
      <c r="H100" s="26" t="n">
        <v>2.38</v>
      </c>
      <c r="I100" s="26" t="n">
        <v>427539</v>
      </c>
      <c r="J100" s="26" t="inlineStr">
        <is>
          <t>502986</t>
        </is>
      </c>
    </row>
    <row r="101">
      <c r="A101" s="25" t="inlineStr">
        <is>
          <t>ADFFOODS</t>
        </is>
      </c>
      <c r="B101" s="26" t="inlineStr">
        <is>
          <t>Adf Foods Limited</t>
        </is>
      </c>
      <c r="C101" s="25" t="inlineStr">
        <is>
          <t>fmcg</t>
        </is>
      </c>
      <c r="D101" s="25" t="inlineStr">
        <is>
          <t>food - processing - indian</t>
        </is>
      </c>
      <c r="E101" s="25" t="inlineStr">
        <is>
          <t>smallcap</t>
        </is>
      </c>
      <c r="F101" s="25" t="n">
        <v>2931.16</v>
      </c>
      <c r="G101" s="25" t="n">
        <v>273.15</v>
      </c>
      <c r="H101" s="26" t="n">
        <v>2.38</v>
      </c>
      <c r="I101" s="26" t="n">
        <v>141228</v>
      </c>
      <c r="J101" s="26" t="inlineStr">
        <is>
          <t>519183</t>
        </is>
      </c>
    </row>
    <row r="102">
      <c r="A102" s="25" t="inlineStr">
        <is>
          <t>CRAFTSMAN</t>
        </is>
      </c>
      <c r="B102" s="26" t="inlineStr">
        <is>
          <t>Craftsman Automation Ltd</t>
        </is>
      </c>
      <c r="C102" s="25" t="inlineStr">
        <is>
          <t>auto</t>
        </is>
      </c>
      <c r="D102" s="25" t="inlineStr">
        <is>
          <t>auto ancillaries</t>
        </is>
      </c>
      <c r="E102" s="25" t="inlineStr">
        <is>
          <t>largecap</t>
        </is>
      </c>
      <c r="F102" s="25" t="n">
        <v>20924.92</v>
      </c>
      <c r="G102" s="25" t="n">
        <v>8979</v>
      </c>
      <c r="H102" s="26" t="n">
        <v>2.37</v>
      </c>
      <c r="I102" s="26" t="n">
        <v>42669</v>
      </c>
      <c r="J102" s="26" t="inlineStr">
        <is>
          <t>543276</t>
        </is>
      </c>
    </row>
    <row r="103">
      <c r="A103" s="25" t="inlineStr">
        <is>
          <t>VINCOFE</t>
        </is>
      </c>
      <c r="B103" s="26" t="inlineStr">
        <is>
          <t>Vintage Coffee &amp; Beverages Ltd</t>
        </is>
      </c>
      <c r="C103" s="25" t="inlineStr">
        <is>
          <t>consumer discretionary</t>
        </is>
      </c>
      <c r="D103" s="25" t="inlineStr">
        <is>
          <t>trading</t>
        </is>
      </c>
      <c r="E103" s="25" t="inlineStr">
        <is>
          <t>smallcap</t>
        </is>
      </c>
      <c r="F103" s="25" t="n">
        <v>2094.71</v>
      </c>
      <c r="G103" s="25" t="n">
        <v>147.11</v>
      </c>
      <c r="H103" s="26" t="n">
        <v>2.32</v>
      </c>
      <c r="I103" s="26" t="n">
        <v>1140349</v>
      </c>
      <c r="J103" s="26" t="inlineStr">
        <is>
          <t>538920</t>
        </is>
      </c>
    </row>
    <row r="104">
      <c r="A104" s="25" t="inlineStr">
        <is>
          <t>ADANIENSOL</t>
        </is>
      </c>
      <c r="B104" s="26" t="inlineStr">
        <is>
          <t>Adani Energy Solutions Ltd</t>
        </is>
      </c>
      <c r="C104" s="25" t="inlineStr">
        <is>
          <t>power &amp; utilities</t>
        </is>
      </c>
      <c r="D104" s="25" t="inlineStr">
        <is>
          <t>power generation and supply</t>
        </is>
      </c>
      <c r="E104" s="25" t="inlineStr">
        <is>
          <t>largecap</t>
        </is>
      </c>
      <c r="F104" s="25" t="n">
        <v>179771.95</v>
      </c>
      <c r="G104" s="25" t="n">
        <v>1530.6</v>
      </c>
      <c r="H104" s="26" t="n">
        <v>2.28</v>
      </c>
      <c r="I104" s="26" t="n">
        <v>2826067</v>
      </c>
      <c r="J104" s="26" t="inlineStr">
        <is>
          <t>539254</t>
        </is>
      </c>
    </row>
    <row r="105">
      <c r="A105" s="25" t="inlineStr">
        <is>
          <t>ARVINDFASN</t>
        </is>
      </c>
      <c r="B105" s="26" t="inlineStr">
        <is>
          <t>Arvind Fashions Ltd</t>
        </is>
      </c>
      <c r="C105" s="25" t="inlineStr">
        <is>
          <t>consumer discretionary</t>
        </is>
      </c>
      <c r="D105" s="25" t="inlineStr">
        <is>
          <t>trading</t>
        </is>
      </c>
      <c r="E105" s="25" t="inlineStr">
        <is>
          <t>midcap</t>
        </is>
      </c>
      <c r="F105" s="25" t="n">
        <v>6222.31</v>
      </c>
      <c r="G105" s="25" t="n">
        <v>476.05</v>
      </c>
      <c r="H105" s="26" t="n">
        <v>2.26</v>
      </c>
      <c r="I105" s="26" t="n">
        <v>188668</v>
      </c>
      <c r="J105" s="26" t="inlineStr">
        <is>
          <t>542484</t>
        </is>
      </c>
    </row>
    <row r="106">
      <c r="A106" s="25" t="inlineStr">
        <is>
          <t>BAJAJCON</t>
        </is>
      </c>
      <c r="B106" s="26" t="inlineStr">
        <is>
          <t>Bajaj Consumer Care Ltd</t>
        </is>
      </c>
      <c r="C106" s="25" t="inlineStr">
        <is>
          <t>fmcg</t>
        </is>
      </c>
      <c r="D106" s="25" t="inlineStr">
        <is>
          <t>personal care - indian</t>
        </is>
      </c>
      <c r="E106" s="25" t="inlineStr">
        <is>
          <t>midcap</t>
        </is>
      </c>
      <c r="F106" s="25" t="n">
        <v>7302.22</v>
      </c>
      <c r="G106" s="25" t="n">
        <v>571.65</v>
      </c>
      <c r="H106" s="26" t="n">
        <v>2.25</v>
      </c>
      <c r="I106" s="26" t="n">
        <v>428439</v>
      </c>
      <c r="J106" s="26" t="inlineStr">
        <is>
          <t>533229</t>
        </is>
      </c>
    </row>
    <row r="107">
      <c r="A107" s="25" t="inlineStr">
        <is>
          <t>MOTHERSON</t>
        </is>
      </c>
      <c r="B107" s="26" t="inlineStr">
        <is>
          <t>Samvardhana Motherson International Ltd</t>
        </is>
      </c>
      <c r="C107" s="25" t="inlineStr">
        <is>
          <t>auto</t>
        </is>
      </c>
      <c r="D107" s="25" t="inlineStr">
        <is>
          <t>auto ancillaries</t>
        </is>
      </c>
      <c r="E107" s="25" t="inlineStr">
        <is>
          <t>largecap</t>
        </is>
      </c>
      <c r="F107" s="25" t="n">
        <v>149630.33</v>
      </c>
      <c r="G107" s="25" t="n">
        <v>144.89</v>
      </c>
      <c r="H107" s="26" t="n">
        <v>2.2</v>
      </c>
      <c r="I107" s="26" t="n">
        <v>25070101</v>
      </c>
      <c r="J107" s="26" t="inlineStr">
        <is>
          <t>517334</t>
        </is>
      </c>
    </row>
    <row r="108">
      <c r="A108" s="25" t="inlineStr">
        <is>
          <t>VBL</t>
        </is>
      </c>
      <c r="B108" s="26" t="inlineStr">
        <is>
          <t>Varun Beverages Limited</t>
        </is>
      </c>
      <c r="C108" s="25" t="inlineStr">
        <is>
          <t>fmcg</t>
        </is>
      </c>
      <c r="D108" s="25" t="inlineStr">
        <is>
          <t>food - processing - indian</t>
        </is>
      </c>
      <c r="E108" s="25" t="inlineStr">
        <is>
          <t>largecap</t>
        </is>
      </c>
      <c r="F108" s="25" t="n">
        <v>177729.06</v>
      </c>
      <c r="G108" s="25" t="n">
        <v>537</v>
      </c>
      <c r="H108" s="26" t="n">
        <v>2.19</v>
      </c>
      <c r="I108" s="26" t="n">
        <v>8512936</v>
      </c>
      <c r="J108" s="26" t="inlineStr">
        <is>
          <t>540180</t>
        </is>
      </c>
    </row>
    <row r="109">
      <c r="A109" s="25" t="inlineStr">
        <is>
          <t>PIXTRANS</t>
        </is>
      </c>
      <c r="B109" s="26" t="inlineStr">
        <is>
          <t>Pix Transmission Ltd</t>
        </is>
      </c>
      <c r="C109" s="25" t="inlineStr">
        <is>
          <t>fmcg</t>
        </is>
      </c>
      <c r="D109" s="25" t="inlineStr">
        <is>
          <t>miscellaneous</t>
        </is>
      </c>
      <c r="E109" s="25" t="inlineStr">
        <is>
          <t>smallcap</t>
        </is>
      </c>
      <c r="F109" s="25" t="n">
        <v>2145.29</v>
      </c>
      <c r="G109" s="25" t="n">
        <v>1608.9</v>
      </c>
      <c r="H109" s="26" t="n">
        <v>2.18</v>
      </c>
      <c r="I109" s="26" t="n">
        <v>13335</v>
      </c>
      <c r="J109" s="26" t="inlineStr">
        <is>
          <t>500333</t>
        </is>
      </c>
    </row>
    <row r="110">
      <c r="A110" s="25" t="inlineStr">
        <is>
          <t>ANGELONE</t>
        </is>
      </c>
      <c r="B110" s="26" t="inlineStr">
        <is>
          <t>Angel One Ltd</t>
        </is>
      </c>
      <c r="C110" s="25" t="inlineStr">
        <is>
          <t>financials</t>
        </is>
      </c>
      <c r="D110" s="25" t="inlineStr">
        <is>
          <t>finance &amp; investments</t>
        </is>
      </c>
      <c r="E110" s="25" t="inlineStr">
        <is>
          <t>largecap</t>
        </is>
      </c>
      <c r="F110" s="25" t="n">
        <v>30568.44</v>
      </c>
      <c r="G110" s="25" t="n">
        <v>342.65</v>
      </c>
      <c r="H110" s="26" t="n">
        <v>2.1</v>
      </c>
      <c r="I110" s="26" t="n">
        <v>6132413</v>
      </c>
      <c r="J110" s="26" t="n"/>
    </row>
    <row r="111">
      <c r="A111" s="25" t="inlineStr">
        <is>
          <t>MTARTECH</t>
        </is>
      </c>
      <c r="B111" s="26" t="inlineStr">
        <is>
          <t>MTAR Technologies Ltd</t>
        </is>
      </c>
      <c r="C111" s="25" t="inlineStr">
        <is>
          <t>aerospace &amp; defence</t>
        </is>
      </c>
      <c r="D111" s="25" t="inlineStr">
        <is>
          <t>engineering</t>
        </is>
      </c>
      <c r="E111" s="25" t="inlineStr">
        <is>
          <t>largecap</t>
        </is>
      </c>
      <c r="F111" s="25" t="n">
        <v>21745.49</v>
      </c>
      <c r="G111" s="25" t="n">
        <v>7216</v>
      </c>
      <c r="H111" s="26" t="n">
        <v>2.07</v>
      </c>
      <c r="I111" s="26" t="n">
        <v>1975339</v>
      </c>
      <c r="J111" s="26" t="inlineStr">
        <is>
          <t>543270</t>
        </is>
      </c>
    </row>
    <row r="112">
      <c r="A112" s="25" t="inlineStr">
        <is>
          <t>PREMIERENE</t>
        </is>
      </c>
      <c r="B112" s="26" t="inlineStr">
        <is>
          <t>Premier Energies Ltd</t>
        </is>
      </c>
      <c r="C112" s="25" t="inlineStr">
        <is>
          <t>services</t>
        </is>
      </c>
      <c r="D112" s="25" t="inlineStr">
        <is>
          <t>trading</t>
        </is>
      </c>
      <c r="E112" s="25" t="inlineStr">
        <is>
          <t>largecap</t>
        </is>
      </c>
      <c r="F112" s="25" t="n">
        <v>47686.72</v>
      </c>
      <c r="G112" s="25" t="n">
        <v>1074.4</v>
      </c>
      <c r="H112" s="26" t="n">
        <v>2.06</v>
      </c>
      <c r="I112" s="26" t="n">
        <v>1609616</v>
      </c>
      <c r="J112" s="26" t="n"/>
    </row>
    <row r="113">
      <c r="A113" s="25" t="inlineStr">
        <is>
          <t>ADANIENT</t>
        </is>
      </c>
      <c r="B113" s="26" t="inlineStr">
        <is>
          <t>Adani Enterprises Limited</t>
        </is>
      </c>
      <c r="C113" s="25" t="inlineStr">
        <is>
          <t>services</t>
        </is>
      </c>
      <c r="D113" s="25" t="inlineStr">
        <is>
          <t>trading</t>
        </is>
      </c>
      <c r="E113" s="25" t="inlineStr">
        <is>
          <t>largecap</t>
        </is>
      </c>
      <c r="F113" s="25" t="n">
        <v>376093.02</v>
      </c>
      <c r="G113" s="25" t="n">
        <v>2968.1</v>
      </c>
      <c r="H113" s="26" t="n">
        <v>2.02</v>
      </c>
      <c r="I113" s="26" t="n">
        <v>2066890</v>
      </c>
      <c r="J113" s="26" t="inlineStr">
        <is>
          <t>512599</t>
        </is>
      </c>
    </row>
    <row r="114">
      <c r="A114" s="25" t="inlineStr">
        <is>
          <t>AVTNPL</t>
        </is>
      </c>
      <c r="B114" s="26" t="inlineStr">
        <is>
          <t>Avt Natural Products Limited</t>
        </is>
      </c>
      <c r="C114" s="25" t="inlineStr">
        <is>
          <t>fmcg</t>
        </is>
      </c>
      <c r="D114" s="25" t="inlineStr">
        <is>
          <t>solvent extraction</t>
        </is>
      </c>
      <c r="E114" s="25" t="inlineStr">
        <is>
          <t>smallcap</t>
        </is>
      </c>
      <c r="F114" s="25" t="n">
        <v>1060.2</v>
      </c>
      <c r="G114" s="25" t="n">
        <v>71.01000000000001</v>
      </c>
      <c r="H114" s="26" t="n">
        <v>2</v>
      </c>
      <c r="I114" s="26" t="n">
        <v>273073</v>
      </c>
      <c r="J114" s="26" t="inlineStr">
        <is>
          <t>519105</t>
        </is>
      </c>
    </row>
    <row r="115">
      <c r="A115" s="25" t="inlineStr">
        <is>
          <t>IKS</t>
        </is>
      </c>
      <c r="B115" s="26" t="inlineStr">
        <is>
          <t>Inventurus Knowledge Solutions Ltd</t>
        </is>
      </c>
      <c r="C115" s="25" t="inlineStr">
        <is>
          <t>i.t</t>
        </is>
      </c>
      <c r="D115" s="25" t="inlineStr">
        <is>
          <t>computers - software - medium / small</t>
        </is>
      </c>
      <c r="E115" s="25" t="inlineStr">
        <is>
          <t>largecap</t>
        </is>
      </c>
      <c r="F115" s="25" t="n">
        <v>28122.56</v>
      </c>
      <c r="G115" s="25" t="n">
        <v>1670.2</v>
      </c>
      <c r="H115" s="26" t="n">
        <v>1.9</v>
      </c>
      <c r="I115" s="26" t="n">
        <v>123660</v>
      </c>
      <c r="J115" s="26" t="inlineStr">
        <is>
          <t>544309</t>
        </is>
      </c>
    </row>
    <row r="116">
      <c r="A116" s="25" t="inlineStr">
        <is>
          <t>WELINV</t>
        </is>
      </c>
      <c r="B116" s="26" t="inlineStr">
        <is>
          <t>Welspun Investments And Commercials Limited</t>
        </is>
      </c>
      <c r="C116" s="25" t="inlineStr">
        <is>
          <t>financials</t>
        </is>
      </c>
      <c r="D116" s="25" t="inlineStr">
        <is>
          <t>finance &amp; investments</t>
        </is>
      </c>
      <c r="E116" s="25" t="inlineStr">
        <is>
          <t>smallcap</t>
        </is>
      </c>
      <c r="F116" s="25" t="n">
        <v>666.9400000000001</v>
      </c>
      <c r="G116" s="25" t="n">
        <v>1859</v>
      </c>
      <c r="H116" s="26" t="n">
        <v>1.86</v>
      </c>
      <c r="I116" s="26" t="n">
        <v>58</v>
      </c>
      <c r="J116" s="26" t="inlineStr">
        <is>
          <t>533252</t>
        </is>
      </c>
    </row>
    <row r="117">
      <c r="A117" s="25" t="inlineStr">
        <is>
          <t>SONACOMS</t>
        </is>
      </c>
      <c r="B117" s="26" t="inlineStr">
        <is>
          <t>Sona BLW Precision Forgings Ltd</t>
        </is>
      </c>
      <c r="C117" s="25" t="inlineStr">
        <is>
          <t>auto</t>
        </is>
      </c>
      <c r="D117" s="25" t="inlineStr">
        <is>
          <t>auto ancillaries</t>
        </is>
      </c>
      <c r="E117" s="25" t="inlineStr">
        <is>
          <t>largecap</t>
        </is>
      </c>
      <c r="F117" s="25" t="n">
        <v>37323.25</v>
      </c>
      <c r="G117" s="25" t="n">
        <v>611.35</v>
      </c>
      <c r="H117" s="26" t="n">
        <v>1.86</v>
      </c>
      <c r="I117" s="26" t="n">
        <v>1611420</v>
      </c>
      <c r="J117" s="26" t="inlineStr">
        <is>
          <t>543300</t>
        </is>
      </c>
    </row>
    <row r="118">
      <c r="A118" s="25" t="inlineStr">
        <is>
          <t>TECHM</t>
        </is>
      </c>
      <c r="B118" s="26" t="inlineStr">
        <is>
          <t>Tech Mahindra Limited</t>
        </is>
      </c>
      <c r="C118" s="25" t="inlineStr">
        <is>
          <t>i.t</t>
        </is>
      </c>
      <c r="D118" s="25" t="inlineStr">
        <is>
          <t>computers - software - large</t>
        </is>
      </c>
      <c r="E118" s="25" t="inlineStr">
        <is>
          <t>largecap</t>
        </is>
      </c>
      <c r="F118" s="25" t="n">
        <v>151209.1</v>
      </c>
      <c r="G118" s="25" t="n">
        <v>1571.4</v>
      </c>
      <c r="H118" s="26" t="n">
        <v>1.83</v>
      </c>
      <c r="I118" s="26" t="n">
        <v>4169279</v>
      </c>
      <c r="J118" s="26" t="inlineStr">
        <is>
          <t>532755</t>
        </is>
      </c>
    </row>
    <row r="119">
      <c r="A119" s="25" t="inlineStr">
        <is>
          <t>TPLPLASTEH</t>
        </is>
      </c>
      <c r="B119" s="26" t="inlineStr">
        <is>
          <t>Tpl Plastech Limited</t>
        </is>
      </c>
      <c r="C119" s="25" t="inlineStr">
        <is>
          <t>industrials</t>
        </is>
      </c>
      <c r="D119" s="25" t="inlineStr">
        <is>
          <t>packaging</t>
        </is>
      </c>
      <c r="E119" s="25" t="inlineStr">
        <is>
          <t>smallcap</t>
        </is>
      </c>
      <c r="F119" s="25" t="n">
        <v>545.48</v>
      </c>
      <c r="G119" s="25" t="n">
        <v>71.20999999999999</v>
      </c>
      <c r="H119" s="26" t="n">
        <v>1.83</v>
      </c>
      <c r="I119" s="26" t="n">
        <v>135476</v>
      </c>
      <c r="J119" s="26" t="inlineStr">
        <is>
          <t>526582</t>
        </is>
      </c>
    </row>
    <row r="120">
      <c r="A120" s="25" t="inlineStr">
        <is>
          <t>NAHARINDUS</t>
        </is>
      </c>
      <c r="B120" s="26" t="inlineStr">
        <is>
          <t>Nahar Industrial Enterprises Limited</t>
        </is>
      </c>
      <c r="C120" s="25" t="inlineStr">
        <is>
          <t>textiles</t>
        </is>
      </c>
      <c r="D120" s="25" t="inlineStr">
        <is>
          <t>textiles - cotton/blended</t>
        </is>
      </c>
      <c r="E120" s="25" t="inlineStr">
        <is>
          <t>smallcap</t>
        </is>
      </c>
      <c r="F120" s="25" t="n">
        <v>518.64</v>
      </c>
      <c r="G120" s="25" t="n">
        <v>122.21</v>
      </c>
      <c r="H120" s="26" t="n">
        <v>1.81</v>
      </c>
      <c r="I120" s="26" t="n">
        <v>39987</v>
      </c>
      <c r="J120" s="26" t="inlineStr">
        <is>
          <t>519136</t>
        </is>
      </c>
    </row>
    <row r="121">
      <c r="A121" s="25" t="inlineStr">
        <is>
          <t>ZIMLAB</t>
        </is>
      </c>
      <c r="B121" s="26" t="inlineStr">
        <is>
          <t>Zim Laboratories Ltd</t>
        </is>
      </c>
      <c r="C121" s="25" t="inlineStr">
        <is>
          <t>healthcare</t>
        </is>
      </c>
      <c r="D121" s="25" t="inlineStr">
        <is>
          <t>pharmaceuticals - indian - bulk drugs &amp; formln</t>
        </is>
      </c>
      <c r="E121" s="25" t="inlineStr">
        <is>
          <t>smallcap</t>
        </is>
      </c>
      <c r="F121" s="25" t="n">
        <v>546.08</v>
      </c>
      <c r="G121" s="25" t="n">
        <v>103.91</v>
      </c>
      <c r="H121" s="26" t="n">
        <v>1.8</v>
      </c>
      <c r="I121" s="26" t="n">
        <v>30595</v>
      </c>
      <c r="J121" s="26" t="inlineStr">
        <is>
          <t>541400</t>
        </is>
      </c>
    </row>
    <row r="122">
      <c r="A122" s="25" t="inlineStr">
        <is>
          <t>MINDACORP</t>
        </is>
      </c>
      <c r="B122" s="26" t="inlineStr">
        <is>
          <t>Minda Corporation Limited</t>
        </is>
      </c>
      <c r="C122" s="25" t="inlineStr">
        <is>
          <t>auto</t>
        </is>
      </c>
      <c r="D122" s="25" t="inlineStr">
        <is>
          <t>auto ancillaries</t>
        </is>
      </c>
      <c r="E122" s="25" t="inlineStr">
        <is>
          <t>midcap</t>
        </is>
      </c>
      <c r="F122" s="25" t="n">
        <v>14794.24</v>
      </c>
      <c r="G122" s="25" t="n">
        <v>629.85</v>
      </c>
      <c r="H122" s="26" t="n">
        <v>1.79</v>
      </c>
      <c r="I122" s="26" t="n">
        <v>572134</v>
      </c>
      <c r="J122" s="26" t="inlineStr">
        <is>
          <t>538962</t>
        </is>
      </c>
    </row>
    <row r="123">
      <c r="A123" s="25" t="inlineStr">
        <is>
          <t>TIINDIA</t>
        </is>
      </c>
      <c r="B123" s="26" t="inlineStr">
        <is>
          <t>Tube Investments of India Ltd</t>
        </is>
      </c>
      <c r="C123" s="25" t="inlineStr">
        <is>
          <t>industrials</t>
        </is>
      </c>
      <c r="D123" s="25" t="inlineStr">
        <is>
          <t>steel - large</t>
        </is>
      </c>
      <c r="E123" s="25" t="inlineStr">
        <is>
          <t>largecap</t>
        </is>
      </c>
      <c r="F123" s="25" t="n">
        <v>59161.37</v>
      </c>
      <c r="G123" s="25" t="n">
        <v>3110.7</v>
      </c>
      <c r="H123" s="26" t="n">
        <v>1.77</v>
      </c>
      <c r="I123" s="26" t="n">
        <v>352838</v>
      </c>
      <c r="J123" s="26" t="inlineStr">
        <is>
          <t>540762</t>
        </is>
      </c>
    </row>
    <row r="124">
      <c r="A124" s="25" t="inlineStr">
        <is>
          <t>JAYAGROGN</t>
        </is>
      </c>
      <c r="B124" s="26" t="inlineStr">
        <is>
          <t>Jayant Agro Organics Limited</t>
        </is>
      </c>
      <c r="C124" s="25" t="inlineStr">
        <is>
          <t>chemicals</t>
        </is>
      </c>
      <c r="D124" s="25" t="inlineStr">
        <is>
          <t>chemicals</t>
        </is>
      </c>
      <c r="E124" s="25" t="inlineStr">
        <is>
          <t>smallcap</t>
        </is>
      </c>
      <c r="F124" s="25" t="n">
        <v>694.65</v>
      </c>
      <c r="G124" s="25" t="n">
        <v>235.63</v>
      </c>
      <c r="H124" s="26" t="n">
        <v>1.76</v>
      </c>
      <c r="I124" s="26" t="n">
        <v>10092</v>
      </c>
      <c r="J124" s="26" t="inlineStr">
        <is>
          <t>524330</t>
        </is>
      </c>
    </row>
    <row r="125">
      <c r="A125" s="25" t="inlineStr">
        <is>
          <t>NAHARSPING</t>
        </is>
      </c>
      <c r="B125" s="26" t="inlineStr">
        <is>
          <t>Nahar Spinning Mills Limited</t>
        </is>
      </c>
      <c r="C125" s="25" t="inlineStr">
        <is>
          <t>textiles</t>
        </is>
      </c>
      <c r="D125" s="25" t="inlineStr">
        <is>
          <t>textiles - cotton/blended</t>
        </is>
      </c>
      <c r="E125" s="25" t="inlineStr">
        <is>
          <t>smallcap</t>
        </is>
      </c>
      <c r="F125" s="25" t="n">
        <v>974.66</v>
      </c>
      <c r="G125" s="25" t="n">
        <v>275</v>
      </c>
      <c r="H125" s="26" t="n">
        <v>1.76</v>
      </c>
      <c r="I125" s="26" t="n">
        <v>12798</v>
      </c>
      <c r="J125" s="26" t="inlineStr">
        <is>
          <t>500296</t>
        </is>
      </c>
    </row>
    <row r="126">
      <c r="A126" s="25" t="inlineStr">
        <is>
          <t>ADANIPORTS</t>
        </is>
      </c>
      <c r="B126" s="26" t="inlineStr">
        <is>
          <t>Adani Ports And Special Economic Zone Limited</t>
        </is>
      </c>
      <c r="C126" s="25" t="inlineStr">
        <is>
          <t>transportation</t>
        </is>
      </c>
      <c r="D126" s="25" t="inlineStr">
        <is>
          <t>miscellaneous</t>
        </is>
      </c>
      <c r="E126" s="25" t="inlineStr">
        <is>
          <t>largecap</t>
        </is>
      </c>
      <c r="F126" s="25" t="n">
        <v>410911.11</v>
      </c>
      <c r="G126" s="25" t="n">
        <v>1814.5</v>
      </c>
      <c r="H126" s="26" t="n">
        <v>1.74</v>
      </c>
      <c r="I126" s="26" t="n">
        <v>2256569</v>
      </c>
      <c r="J126" s="26" t="inlineStr">
        <is>
          <t>532921</t>
        </is>
      </c>
    </row>
    <row r="127">
      <c r="A127" s="25" t="inlineStr">
        <is>
          <t>HIRECT</t>
        </is>
      </c>
      <c r="B127" s="26" t="inlineStr">
        <is>
          <t>Hind Rectifiers Limited</t>
        </is>
      </c>
      <c r="C127" s="25" t="inlineStr">
        <is>
          <t>consumer discretionary</t>
        </is>
      </c>
      <c r="D127" s="25" t="inlineStr">
        <is>
          <t>electronics - components</t>
        </is>
      </c>
      <c r="E127" s="25" t="inlineStr">
        <is>
          <t>smallcap</t>
        </is>
      </c>
      <c r="F127" s="25" t="n">
        <v>3747.79</v>
      </c>
      <c r="G127" s="25" t="n">
        <v>1109.5</v>
      </c>
      <c r="H127" s="26" t="n">
        <v>1.74</v>
      </c>
      <c r="I127" s="26" t="n">
        <v>120557</v>
      </c>
      <c r="J127" s="26" t="inlineStr">
        <is>
          <t>504036</t>
        </is>
      </c>
    </row>
    <row r="128">
      <c r="A128" s="25" t="inlineStr">
        <is>
          <t>WSTCSTPAPR</t>
        </is>
      </c>
      <c r="B128" s="26" t="inlineStr">
        <is>
          <t>West Coast Paper Mills Limited</t>
        </is>
      </c>
      <c r="C128" s="25" t="inlineStr">
        <is>
          <t>building materials</t>
        </is>
      </c>
      <c r="D128" s="25" t="inlineStr">
        <is>
          <t>paper</t>
        </is>
      </c>
      <c r="E128" s="25" t="inlineStr">
        <is>
          <t>smallcap</t>
        </is>
      </c>
      <c r="F128" s="25" t="n">
        <v>3381.37</v>
      </c>
      <c r="G128" s="25" t="n">
        <v>520.75</v>
      </c>
      <c r="H128" s="26" t="n">
        <v>1.72</v>
      </c>
      <c r="I128" s="26" t="n">
        <v>174064</v>
      </c>
      <c r="J128" s="26" t="inlineStr">
        <is>
          <t>500444</t>
        </is>
      </c>
    </row>
    <row r="129">
      <c r="A129" s="25" t="inlineStr">
        <is>
          <t>CEIGALL</t>
        </is>
      </c>
      <c r="B129" s="26" t="inlineStr">
        <is>
          <t>Ceigall India Ltd</t>
        </is>
      </c>
      <c r="C129" s="25" t="inlineStr">
        <is>
          <t>realty</t>
        </is>
      </c>
      <c r="D129" s="25" t="inlineStr">
        <is>
          <t>construction</t>
        </is>
      </c>
      <c r="E129" s="25" t="inlineStr">
        <is>
          <t>midcap</t>
        </is>
      </c>
      <c r="F129" s="25" t="n">
        <v>5957.81</v>
      </c>
      <c r="G129" s="25" t="n">
        <v>347.8</v>
      </c>
      <c r="H129" s="26" t="n">
        <v>1.7</v>
      </c>
      <c r="I129" s="26" t="n">
        <v>356472</v>
      </c>
      <c r="J129" s="26" t="inlineStr">
        <is>
          <t>544223</t>
        </is>
      </c>
    </row>
    <row r="130">
      <c r="A130" s="25" t="inlineStr">
        <is>
          <t>FIEMIND</t>
        </is>
      </c>
      <c r="B130" s="26" t="inlineStr">
        <is>
          <t>Fiem Industries Limited</t>
        </is>
      </c>
      <c r="C130" s="25" t="inlineStr">
        <is>
          <t>auto</t>
        </is>
      </c>
      <c r="D130" s="25" t="inlineStr">
        <is>
          <t>auto ancillaries</t>
        </is>
      </c>
      <c r="E130" s="25" t="inlineStr">
        <is>
          <t>midcap</t>
        </is>
      </c>
      <c r="F130" s="25" t="n">
        <v>5883.76</v>
      </c>
      <c r="G130" s="25" t="n">
        <v>2273.4</v>
      </c>
      <c r="H130" s="26" t="n">
        <v>1.7</v>
      </c>
      <c r="I130" s="26" t="n">
        <v>56044</v>
      </c>
      <c r="J130" s="26" t="inlineStr">
        <is>
          <t>532768</t>
        </is>
      </c>
    </row>
    <row r="131">
      <c r="A131" s="25" t="inlineStr">
        <is>
          <t>KEI</t>
        </is>
      </c>
      <c r="B131" s="26" t="inlineStr">
        <is>
          <t>Kei Industries Limited</t>
        </is>
      </c>
      <c r="C131" s="25" t="inlineStr">
        <is>
          <t>industrials</t>
        </is>
      </c>
      <c r="D131" s="25" t="inlineStr">
        <is>
          <t>cables - power</t>
        </is>
      </c>
      <c r="E131" s="25" t="inlineStr">
        <is>
          <t>largecap</t>
        </is>
      </c>
      <c r="F131" s="25" t="n">
        <v>49463.75</v>
      </c>
      <c r="G131" s="25" t="n">
        <v>5261.5</v>
      </c>
      <c r="H131" s="26" t="n">
        <v>1.69</v>
      </c>
      <c r="I131" s="26" t="n">
        <v>204472</v>
      </c>
      <c r="J131" s="26" t="inlineStr">
        <is>
          <t>517569</t>
        </is>
      </c>
    </row>
    <row r="132">
      <c r="A132" s="25" t="inlineStr">
        <is>
          <t>ABB</t>
        </is>
      </c>
      <c r="B132" s="26" t="inlineStr">
        <is>
          <t>Abb India Limited</t>
        </is>
      </c>
      <c r="C132" s="25" t="inlineStr">
        <is>
          <t>industrials</t>
        </is>
      </c>
      <c r="D132" s="25" t="inlineStr">
        <is>
          <t>electric equipment</t>
        </is>
      </c>
      <c r="E132" s="25" t="inlineStr">
        <is>
          <t>largecap</t>
        </is>
      </c>
      <c r="F132" s="25" t="n">
        <v>148918.61</v>
      </c>
      <c r="G132" s="25" t="n">
        <v>7146</v>
      </c>
      <c r="H132" s="26" t="n">
        <v>1.69</v>
      </c>
      <c r="I132" s="26" t="n">
        <v>511846</v>
      </c>
      <c r="J132" s="26" t="inlineStr">
        <is>
          <t>500002</t>
        </is>
      </c>
    </row>
    <row r="133">
      <c r="A133" s="25" t="inlineStr">
        <is>
          <t>FEDERALBNK</t>
        </is>
      </c>
      <c r="B133" s="26" t="inlineStr">
        <is>
          <t>The Federal Bank  Limited</t>
        </is>
      </c>
      <c r="C133" s="25" t="inlineStr">
        <is>
          <t>bank</t>
        </is>
      </c>
      <c r="D133" s="25" t="inlineStr">
        <is>
          <t>banks - private sector</t>
        </is>
      </c>
      <c r="E133" s="25" t="inlineStr">
        <is>
          <t>largecap</t>
        </is>
      </c>
      <c r="F133" s="25" t="n">
        <v>71020.62</v>
      </c>
      <c r="G133" s="25" t="n">
        <v>293.05</v>
      </c>
      <c r="H133" s="26" t="n">
        <v>1.68</v>
      </c>
      <c r="I133" s="26" t="n">
        <v>5900487</v>
      </c>
      <c r="J133" s="26" t="inlineStr">
        <is>
          <t>500469</t>
        </is>
      </c>
    </row>
    <row r="134">
      <c r="A134" s="25" t="inlineStr">
        <is>
          <t>UFBL</t>
        </is>
      </c>
      <c r="B134" s="26" t="inlineStr">
        <is>
          <t>United Foodbrands Ltd</t>
        </is>
      </c>
      <c r="C134" s="25" t="inlineStr">
        <is>
          <t>consumer discretionary</t>
        </is>
      </c>
      <c r="D134" s="25" t="inlineStr">
        <is>
          <t>hotels</t>
        </is>
      </c>
      <c r="E134" s="25" t="inlineStr">
        <is>
          <t>smallcap</t>
        </is>
      </c>
      <c r="F134" s="25" t="n">
        <v>1872.82</v>
      </c>
      <c r="G134" s="25" t="n">
        <v>487.2</v>
      </c>
      <c r="H134" s="26" t="n">
        <v>1.68</v>
      </c>
      <c r="I134" s="26" t="n">
        <v>90837</v>
      </c>
      <c r="J134" s="26" t="inlineStr">
        <is>
          <t>543283</t>
        </is>
      </c>
    </row>
    <row r="135">
      <c r="A135" s="25" t="inlineStr">
        <is>
          <t>KSL</t>
        </is>
      </c>
      <c r="B135" s="26" t="inlineStr">
        <is>
          <t>Kalyani Steels Limited</t>
        </is>
      </c>
      <c r="C135" s="25" t="inlineStr">
        <is>
          <t>metals &amp; mining</t>
        </is>
      </c>
      <c r="D135" s="25" t="inlineStr">
        <is>
          <t>steel - medium / small</t>
        </is>
      </c>
      <c r="E135" s="25" t="inlineStr">
        <is>
          <t>smallcap</t>
        </is>
      </c>
      <c r="F135" s="25" t="n">
        <v>3671</v>
      </c>
      <c r="G135" s="25" t="n">
        <v>854.8</v>
      </c>
      <c r="H135" s="26" t="n">
        <v>1.65</v>
      </c>
      <c r="I135" s="26" t="n">
        <v>59345</v>
      </c>
      <c r="J135" s="26" t="inlineStr">
        <is>
          <t>500235</t>
        </is>
      </c>
    </row>
    <row r="136">
      <c r="A136" s="25" t="inlineStr">
        <is>
          <t>RANEHOLDIN</t>
        </is>
      </c>
      <c r="B136" s="26" t="inlineStr">
        <is>
          <t>Rane Holdings Limited</t>
        </is>
      </c>
      <c r="C136" s="25" t="inlineStr">
        <is>
          <t>financials</t>
        </is>
      </c>
      <c r="D136" s="25" t="inlineStr">
        <is>
          <t>finance &amp; investments</t>
        </is>
      </c>
      <c r="E136" s="25" t="inlineStr">
        <is>
          <t>smallcap</t>
        </is>
      </c>
      <c r="F136" s="25" t="n">
        <v>2053.86</v>
      </c>
      <c r="G136" s="25" t="n">
        <v>1462</v>
      </c>
      <c r="H136" s="26" t="n">
        <v>1.63</v>
      </c>
      <c r="I136" s="26" t="n">
        <v>10304</v>
      </c>
      <c r="J136" s="26" t="inlineStr">
        <is>
          <t>505800</t>
        </is>
      </c>
    </row>
    <row r="137">
      <c r="A137" s="25" t="inlineStr">
        <is>
          <t>SPECTRUM</t>
        </is>
      </c>
      <c r="B137" s="26" t="inlineStr">
        <is>
          <t>Spectrum Electrical Industries Ltd</t>
        </is>
      </c>
      <c r="C137" s="25" t="inlineStr">
        <is>
          <t>industrials</t>
        </is>
      </c>
      <c r="D137" s="25" t="inlineStr">
        <is>
          <t>electric equipment</t>
        </is>
      </c>
      <c r="E137" s="25" t="inlineStr">
        <is>
          <t>smallcap</t>
        </is>
      </c>
      <c r="F137" s="25" t="n">
        <v>2278.82</v>
      </c>
      <c r="G137" s="25" t="n">
        <v>1473.7</v>
      </c>
      <c r="H137" s="26" t="n">
        <v>1.62</v>
      </c>
      <c r="I137" s="26" t="n">
        <v>12992</v>
      </c>
      <c r="J137" s="26" t="inlineStr">
        <is>
          <t>535112</t>
        </is>
      </c>
    </row>
    <row r="138">
      <c r="A138" s="25" t="inlineStr">
        <is>
          <t>KIRLPNU</t>
        </is>
      </c>
      <c r="B138" s="26" t="inlineStr">
        <is>
          <t>Kirloskar Pneumatic Company Ltd</t>
        </is>
      </c>
      <c r="C138" s="25" t="inlineStr">
        <is>
          <t>industrials</t>
        </is>
      </c>
      <c r="D138" s="25" t="inlineStr">
        <is>
          <t>compressors / drilling equipment</t>
        </is>
      </c>
      <c r="E138" s="25" t="inlineStr">
        <is>
          <t>midcap</t>
        </is>
      </c>
      <c r="F138" s="25" t="n">
        <v>10089.96</v>
      </c>
      <c r="G138" s="25" t="n">
        <v>1578.5</v>
      </c>
      <c r="H138" s="26" t="n">
        <v>1.62</v>
      </c>
      <c r="I138" s="26" t="n">
        <v>91216</v>
      </c>
      <c r="J138" s="26" t="inlineStr">
        <is>
          <t>505283</t>
        </is>
      </c>
    </row>
    <row r="139">
      <c r="A139" s="25" t="inlineStr">
        <is>
          <t>RBLBANK</t>
        </is>
      </c>
      <c r="B139" s="26" t="inlineStr">
        <is>
          <t>Rbl Bank Limited</t>
        </is>
      </c>
      <c r="C139" s="25" t="inlineStr">
        <is>
          <t>bank</t>
        </is>
      </c>
      <c r="D139" s="25" t="inlineStr">
        <is>
          <t>banks - private sector</t>
        </is>
      </c>
      <c r="E139" s="25" t="inlineStr">
        <is>
          <t>largecap</t>
        </is>
      </c>
      <c r="F139" s="25" t="n">
        <v>20941.61</v>
      </c>
      <c r="G139" s="25" t="n">
        <v>344.15</v>
      </c>
      <c r="H139" s="26" t="n">
        <v>1.58</v>
      </c>
      <c r="I139" s="26" t="n">
        <v>4119267</v>
      </c>
      <c r="J139" s="26" t="inlineStr">
        <is>
          <t>540065</t>
        </is>
      </c>
    </row>
    <row r="140">
      <c r="A140" s="25" t="inlineStr">
        <is>
          <t>TMB</t>
        </is>
      </c>
      <c r="B140" s="26" t="inlineStr">
        <is>
          <t>Tamilnad Mercantile Bank Ltd</t>
        </is>
      </c>
      <c r="C140" s="25" t="inlineStr">
        <is>
          <t>bank</t>
        </is>
      </c>
      <c r="D140" s="25" t="inlineStr">
        <is>
          <t>banks - private sector</t>
        </is>
      </c>
      <c r="E140" s="25" t="inlineStr">
        <is>
          <t>midcap</t>
        </is>
      </c>
      <c r="F140" s="25" t="n">
        <v>11531.94</v>
      </c>
      <c r="G140" s="25" t="n">
        <v>739.75</v>
      </c>
      <c r="H140" s="26" t="n">
        <v>1.58</v>
      </c>
      <c r="I140" s="26" t="n">
        <v>325759</v>
      </c>
      <c r="J140" s="26" t="inlineStr">
        <is>
          <t>543596</t>
        </is>
      </c>
    </row>
    <row r="141">
      <c r="A141" s="25" t="inlineStr">
        <is>
          <t>ELGIEQUIP</t>
        </is>
      </c>
      <c r="B141" s="26" t="inlineStr">
        <is>
          <t>Elgi Equipments Limited</t>
        </is>
      </c>
      <c r="C141" s="25" t="inlineStr">
        <is>
          <t>industrials</t>
        </is>
      </c>
      <c r="D141" s="25" t="inlineStr">
        <is>
          <t>compressors / drilling equipment</t>
        </is>
      </c>
      <c r="E141" s="25" t="inlineStr">
        <is>
          <t>midcap</t>
        </is>
      </c>
      <c r="F141" s="25" t="n">
        <v>18388.65</v>
      </c>
      <c r="G141" s="25" t="n">
        <v>589.35</v>
      </c>
      <c r="H141" s="26" t="n">
        <v>1.57</v>
      </c>
      <c r="I141" s="26" t="n">
        <v>403156</v>
      </c>
      <c r="J141" s="26" t="inlineStr">
        <is>
          <t>522074</t>
        </is>
      </c>
    </row>
    <row r="142">
      <c r="A142" s="25" t="inlineStr">
        <is>
          <t>AVANTEL</t>
        </is>
      </c>
      <c r="B142" s="26" t="inlineStr">
        <is>
          <t>Avantel Ltd</t>
        </is>
      </c>
      <c r="C142" s="25" t="inlineStr">
        <is>
          <t>aerospace &amp; defence</t>
        </is>
      </c>
      <c r="D142" s="25" t="inlineStr">
        <is>
          <t>telecommunications - equipment</t>
        </is>
      </c>
      <c r="E142" s="25" t="inlineStr">
        <is>
          <t>smallcap</t>
        </is>
      </c>
      <c r="F142" s="25" t="n">
        <v>4607.69</v>
      </c>
      <c r="G142" s="25" t="n">
        <v>176.14</v>
      </c>
      <c r="H142" s="26" t="n">
        <v>1.57</v>
      </c>
      <c r="I142" s="26" t="n">
        <v>1941394</v>
      </c>
      <c r="J142" s="26" t="inlineStr">
        <is>
          <t>532406</t>
        </is>
      </c>
    </row>
    <row r="143">
      <c r="A143" s="25" t="inlineStr">
        <is>
          <t>NH</t>
        </is>
      </c>
      <c r="B143" s="26" t="inlineStr">
        <is>
          <t>Narayana Hrudayalaya Ltd.</t>
        </is>
      </c>
      <c r="C143" s="25" t="inlineStr">
        <is>
          <t>healthcare</t>
        </is>
      </c>
      <c r="D143" s="25" t="inlineStr">
        <is>
          <t>healthcare</t>
        </is>
      </c>
      <c r="E143" s="25" t="inlineStr">
        <is>
          <t>largecap</t>
        </is>
      </c>
      <c r="F143" s="25" t="n">
        <v>38920.52</v>
      </c>
      <c r="G143" s="25" t="n">
        <v>1934.2</v>
      </c>
      <c r="H143" s="26" t="n">
        <v>1.56</v>
      </c>
      <c r="I143" s="26" t="n">
        <v>246722</v>
      </c>
      <c r="J143" s="26" t="inlineStr">
        <is>
          <t>539551</t>
        </is>
      </c>
    </row>
    <row r="144">
      <c r="A144" s="25" t="inlineStr">
        <is>
          <t>ADANIPOWER</t>
        </is>
      </c>
      <c r="B144" s="26" t="inlineStr">
        <is>
          <t>Adani Power Limited</t>
        </is>
      </c>
      <c r="C144" s="25" t="inlineStr">
        <is>
          <t>power &amp; utilities</t>
        </is>
      </c>
      <c r="D144" s="25" t="inlineStr">
        <is>
          <t>power generation and supply</t>
        </is>
      </c>
      <c r="E144" s="25" t="inlineStr">
        <is>
          <t>largecap</t>
        </is>
      </c>
      <c r="F144" s="25" t="n">
        <v>447983.46</v>
      </c>
      <c r="G144" s="25" t="n">
        <v>235.93</v>
      </c>
      <c r="H144" s="26" t="n">
        <v>1.56</v>
      </c>
      <c r="I144" s="26" t="n">
        <v>40494771</v>
      </c>
      <c r="J144" s="26" t="inlineStr">
        <is>
          <t>533096</t>
        </is>
      </c>
    </row>
    <row r="145">
      <c r="A145" s="25" t="inlineStr">
        <is>
          <t>HARDWYN</t>
        </is>
      </c>
      <c r="B145" s="26" t="inlineStr">
        <is>
          <t>Hardwyn India Ltd</t>
        </is>
      </c>
      <c r="C145" s="25" t="inlineStr">
        <is>
          <t>services</t>
        </is>
      </c>
      <c r="D145" s="25" t="inlineStr">
        <is>
          <t>trading</t>
        </is>
      </c>
      <c r="E145" s="25" t="inlineStr">
        <is>
          <t>smallcap</t>
        </is>
      </c>
      <c r="F145" s="25" t="n">
        <v>1223.53</v>
      </c>
      <c r="G145" s="25" t="n">
        <v>25.44</v>
      </c>
      <c r="H145" s="26" t="n">
        <v>1.56</v>
      </c>
      <c r="I145" s="26" t="n">
        <v>4751717</v>
      </c>
      <c r="J145" s="26" t="inlineStr">
        <is>
          <t>541276</t>
        </is>
      </c>
    </row>
    <row r="146">
      <c r="A146" s="25" t="inlineStr">
        <is>
          <t>OFSS</t>
        </is>
      </c>
      <c r="B146" s="26" t="inlineStr">
        <is>
          <t>Oracle Financial Services Software Limited</t>
        </is>
      </c>
      <c r="C146" s="25" t="inlineStr">
        <is>
          <t>i.t</t>
        </is>
      </c>
      <c r="D146" s="25" t="inlineStr">
        <is>
          <t>computers - software - large</t>
        </is>
      </c>
      <c r="E146" s="25" t="inlineStr">
        <is>
          <t>largecap</t>
        </is>
      </c>
      <c r="F146" s="25" t="n">
        <v>88697.5</v>
      </c>
      <c r="G146" s="25" t="n">
        <v>10344.5</v>
      </c>
      <c r="H146" s="26" t="n">
        <v>1.51</v>
      </c>
      <c r="I146" s="26" t="n">
        <v>528415</v>
      </c>
      <c r="J146" s="26" t="inlineStr">
        <is>
          <t>532466</t>
        </is>
      </c>
    </row>
    <row r="147">
      <c r="A147" s="25" t="inlineStr">
        <is>
          <t>IDEA</t>
        </is>
      </c>
      <c r="B147" s="26" t="inlineStr">
        <is>
          <t>Vodafone Idea Ltd</t>
        </is>
      </c>
      <c r="C147" s="25" t="inlineStr">
        <is>
          <t>telecom-service</t>
        </is>
      </c>
      <c r="D147" s="25" t="inlineStr">
        <is>
          <t>telecommunications - service provider</t>
        </is>
      </c>
      <c r="E147" s="25" t="inlineStr">
        <is>
          <t>largecap</t>
        </is>
      </c>
      <c r="F147" s="25" t="n">
        <v>151138.53</v>
      </c>
      <c r="G147" s="25" t="n">
        <v>14.16</v>
      </c>
      <c r="H147" s="26" t="n">
        <v>1.51</v>
      </c>
      <c r="I147" s="26" t="n">
        <v>541502060</v>
      </c>
      <c r="J147" s="26" t="inlineStr">
        <is>
          <t>532822</t>
        </is>
      </c>
    </row>
    <row r="148">
      <c r="A148" s="25" t="inlineStr">
        <is>
          <t>LMW</t>
        </is>
      </c>
      <c r="B148" s="26" t="inlineStr">
        <is>
          <t>LMW Ltd</t>
        </is>
      </c>
      <c r="C148" s="25" t="inlineStr">
        <is>
          <t>industrials</t>
        </is>
      </c>
      <c r="D148" s="25" t="inlineStr">
        <is>
          <t>textile machinery</t>
        </is>
      </c>
      <c r="E148" s="25" t="inlineStr">
        <is>
          <t>midcap</t>
        </is>
      </c>
      <c r="F148" s="25" t="n">
        <v>16672.96</v>
      </c>
      <c r="G148" s="25" t="n">
        <v>15843</v>
      </c>
      <c r="H148" s="26" t="n">
        <v>1.51</v>
      </c>
      <c r="I148" s="26" t="n">
        <v>2779</v>
      </c>
      <c r="J148" s="26" t="inlineStr">
        <is>
          <t>500252</t>
        </is>
      </c>
    </row>
    <row r="149">
      <c r="A149" s="25" t="inlineStr">
        <is>
          <t>CGPOWER</t>
        </is>
      </c>
      <c r="B149" s="26" t="inlineStr">
        <is>
          <t>CG Power and Industrial Solutions Ltd</t>
        </is>
      </c>
      <c r="C149" s="25" t="inlineStr">
        <is>
          <t>industrials</t>
        </is>
      </c>
      <c r="D149" s="25" t="inlineStr">
        <is>
          <t>electric equipment</t>
        </is>
      </c>
      <c r="E149" s="25" t="inlineStr">
        <is>
          <t>largecap</t>
        </is>
      </c>
      <c r="F149" s="25" t="n">
        <v>140853.08</v>
      </c>
      <c r="G149" s="25" t="n">
        <v>907.7</v>
      </c>
      <c r="H149" s="26" t="n">
        <v>1.49</v>
      </c>
      <c r="I149" s="26" t="n">
        <v>4931769</v>
      </c>
      <c r="J149" s="26" t="inlineStr">
        <is>
          <t>500093</t>
        </is>
      </c>
    </row>
    <row r="150">
      <c r="A150" s="25" t="inlineStr">
        <is>
          <t>BHEL</t>
        </is>
      </c>
      <c r="B150" s="26" t="inlineStr">
        <is>
          <t>Bharat Heavy Electricals Limited</t>
        </is>
      </c>
      <c r="C150" s="25" t="inlineStr">
        <is>
          <t>industrials</t>
        </is>
      </c>
      <c r="D150" s="25" t="inlineStr">
        <is>
          <t>electric equipment</t>
        </is>
      </c>
      <c r="E150" s="25" t="inlineStr">
        <is>
          <t>largecap</t>
        </is>
      </c>
      <c r="F150" s="25" t="n">
        <v>140953.92</v>
      </c>
      <c r="G150" s="25" t="n">
        <v>410.75</v>
      </c>
      <c r="H150" s="26" t="n">
        <v>1.47</v>
      </c>
      <c r="I150" s="26" t="n">
        <v>8510633</v>
      </c>
      <c r="J150" s="26" t="inlineStr">
        <is>
          <t>500103</t>
        </is>
      </c>
    </row>
    <row r="151">
      <c r="A151" s="25" t="inlineStr">
        <is>
          <t>MAITHANALL</t>
        </is>
      </c>
      <c r="B151" s="26" t="inlineStr">
        <is>
          <t>Maithan Alloys Limited</t>
        </is>
      </c>
      <c r="C151" s="25" t="inlineStr">
        <is>
          <t>metals &amp; mining</t>
        </is>
      </c>
      <c r="D151" s="25" t="inlineStr">
        <is>
          <t>mining / minerals / metals</t>
        </is>
      </c>
      <c r="E151" s="25" t="inlineStr">
        <is>
          <t>smallcap</t>
        </is>
      </c>
      <c r="F151" s="25" t="n">
        <v>3015.08</v>
      </c>
      <c r="G151" s="25" t="n">
        <v>1050.7</v>
      </c>
      <c r="H151" s="26" t="n">
        <v>1.45</v>
      </c>
      <c r="I151" s="26" t="n">
        <v>70198</v>
      </c>
      <c r="J151" s="26" t="inlineStr">
        <is>
          <t>590078</t>
        </is>
      </c>
    </row>
    <row r="152">
      <c r="A152" s="25" t="inlineStr">
        <is>
          <t>MAYURUNIQ</t>
        </is>
      </c>
      <c r="B152" s="26" t="inlineStr">
        <is>
          <t>Mayur Uniquoters Ltd</t>
        </is>
      </c>
      <c r="C152" s="25" t="inlineStr">
        <is>
          <t>consumer discretionary</t>
        </is>
      </c>
      <c r="D152" s="25" t="inlineStr">
        <is>
          <t>leather / leather products</t>
        </is>
      </c>
      <c r="E152" s="25" t="inlineStr">
        <is>
          <t>smallcap</t>
        </is>
      </c>
      <c r="F152" s="25" t="n">
        <v>3192.68</v>
      </c>
      <c r="G152" s="25" t="n">
        <v>745.25</v>
      </c>
      <c r="H152" s="26" t="n">
        <v>1.43</v>
      </c>
      <c r="I152" s="26" t="n">
        <v>200689</v>
      </c>
      <c r="J152" s="26" t="inlineStr">
        <is>
          <t>522249</t>
        </is>
      </c>
    </row>
    <row r="153">
      <c r="A153" s="25" t="inlineStr">
        <is>
          <t>TVSSRICHAK</t>
        </is>
      </c>
      <c r="B153" s="26" t="inlineStr">
        <is>
          <t>Tvs Srichakra Limited</t>
        </is>
      </c>
      <c r="C153" s="25" t="inlineStr">
        <is>
          <t>auto</t>
        </is>
      </c>
      <c r="D153" s="25" t="inlineStr">
        <is>
          <t>tyres</t>
        </is>
      </c>
      <c r="E153" s="25" t="inlineStr">
        <is>
          <t>smallcap</t>
        </is>
      </c>
      <c r="F153" s="25" t="n">
        <v>2986.1</v>
      </c>
      <c r="G153" s="25" t="n">
        <v>3955.2</v>
      </c>
      <c r="H153" s="26" t="n">
        <v>1.42</v>
      </c>
      <c r="I153" s="26" t="n">
        <v>4661</v>
      </c>
      <c r="J153" s="26" t="inlineStr">
        <is>
          <t>509243</t>
        </is>
      </c>
    </row>
    <row r="154">
      <c r="A154" s="25" t="inlineStr">
        <is>
          <t>MUFIN</t>
        </is>
      </c>
      <c r="B154" s="26" t="inlineStr">
        <is>
          <t>Mufin Green Finance Ltd</t>
        </is>
      </c>
      <c r="C154" s="25" t="inlineStr">
        <is>
          <t>financials</t>
        </is>
      </c>
      <c r="D154" s="25" t="inlineStr">
        <is>
          <t>finance &amp; investments</t>
        </is>
      </c>
      <c r="E154" s="25" t="inlineStr">
        <is>
          <t>smallcap</t>
        </is>
      </c>
      <c r="F154" s="25" t="n">
        <v>2394</v>
      </c>
      <c r="G154" s="25" t="n">
        <v>122.5</v>
      </c>
      <c r="H154" s="26" t="n">
        <v>1.4</v>
      </c>
      <c r="I154" s="26" t="n">
        <v>1337679</v>
      </c>
      <c r="J154" s="26" t="inlineStr">
        <is>
          <t>542774</t>
        </is>
      </c>
    </row>
    <row r="155">
      <c r="A155" s="25" t="inlineStr">
        <is>
          <t>BOSCHLTD</t>
        </is>
      </c>
      <c r="B155" s="26" t="inlineStr">
        <is>
          <t>Bosch Limited</t>
        </is>
      </c>
      <c r="C155" s="25" t="inlineStr">
        <is>
          <t>auto</t>
        </is>
      </c>
      <c r="D155" s="25" t="inlineStr">
        <is>
          <t>auto ancillaries</t>
        </is>
      </c>
      <c r="E155" s="25" t="inlineStr">
        <is>
          <t>largecap</t>
        </is>
      </c>
      <c r="F155" s="25" t="n">
        <v>108256.41</v>
      </c>
      <c r="G155" s="25" t="n">
        <v>37220</v>
      </c>
      <c r="H155" s="26" t="n">
        <v>1.4</v>
      </c>
      <c r="I155" s="26" t="n">
        <v>53220</v>
      </c>
      <c r="J155" s="26" t="inlineStr">
        <is>
          <t>500530</t>
        </is>
      </c>
    </row>
    <row r="156">
      <c r="A156" s="25" t="inlineStr">
        <is>
          <t>GRWRHITECH</t>
        </is>
      </c>
      <c r="B156" s="26" t="inlineStr">
        <is>
          <t>Garware Hi Tech Films Ltd</t>
        </is>
      </c>
      <c r="C156" s="25" t="inlineStr">
        <is>
          <t>industrials</t>
        </is>
      </c>
      <c r="D156" s="25" t="inlineStr">
        <is>
          <t>packaging</t>
        </is>
      </c>
      <c r="E156" s="25" t="inlineStr">
        <is>
          <t>midcap</t>
        </is>
      </c>
      <c r="F156" s="25" t="n">
        <v>13506.15</v>
      </c>
      <c r="G156" s="25" t="n">
        <v>5894.5</v>
      </c>
      <c r="H156" s="26" t="n">
        <v>1.39</v>
      </c>
      <c r="I156" s="26" t="n">
        <v>116546</v>
      </c>
      <c r="J156" s="26" t="inlineStr">
        <is>
          <t>500655</t>
        </is>
      </c>
    </row>
    <row r="157">
      <c r="A157" s="25" t="inlineStr">
        <is>
          <t>TMPV</t>
        </is>
      </c>
      <c r="B157" s="26" t="inlineStr">
        <is>
          <t>Tata Motors Passenger Vehicles Ltd</t>
        </is>
      </c>
      <c r="C157" s="25" t="inlineStr">
        <is>
          <t>auto</t>
        </is>
      </c>
      <c r="D157" s="25" t="inlineStr">
        <is>
          <t>automobiles - passenger cars</t>
        </is>
      </c>
      <c r="E157" s="25" t="inlineStr">
        <is>
          <t>largecap</t>
        </is>
      </c>
      <c r="F157" s="25" t="n">
        <v>141734.71</v>
      </c>
      <c r="G157" s="25" t="n">
        <v>390.2</v>
      </c>
      <c r="H157" s="26" t="n">
        <v>1.38</v>
      </c>
      <c r="I157" s="26" t="n">
        <v>12789321</v>
      </c>
      <c r="J157" s="26" t="inlineStr">
        <is>
          <t>500570</t>
        </is>
      </c>
    </row>
    <row r="158">
      <c r="A158" s="25" t="inlineStr">
        <is>
          <t>AMBIKCO</t>
        </is>
      </c>
      <c r="B158" s="26" t="inlineStr">
        <is>
          <t>Ambika Cotton Mills Limited</t>
        </is>
      </c>
      <c r="C158" s="25" t="inlineStr">
        <is>
          <t>textiles</t>
        </is>
      </c>
      <c r="D158" s="25" t="inlineStr">
        <is>
          <t>textiles - cotton/blended</t>
        </is>
      </c>
      <c r="E158" s="25" t="inlineStr">
        <is>
          <t>smallcap</t>
        </is>
      </c>
      <c r="F158" s="25" t="n">
        <v>958.9400000000001</v>
      </c>
      <c r="G158" s="25" t="n">
        <v>1697.6</v>
      </c>
      <c r="H158" s="26" t="n">
        <v>1.35</v>
      </c>
      <c r="I158" s="26" t="n">
        <v>7760</v>
      </c>
      <c r="J158" s="26" t="inlineStr">
        <is>
          <t>531978</t>
        </is>
      </c>
    </row>
    <row r="159">
      <c r="A159" s="25" t="inlineStr">
        <is>
          <t>KAJARIACER</t>
        </is>
      </c>
      <c r="B159" s="26" t="inlineStr">
        <is>
          <t>Kajaria Ceramics Limited</t>
        </is>
      </c>
      <c r="C159" s="25" t="inlineStr">
        <is>
          <t>building materials</t>
        </is>
      </c>
      <c r="D159" s="25" t="inlineStr">
        <is>
          <t>ceramics - tiles / sanitaryware</t>
        </is>
      </c>
      <c r="E159" s="25" t="inlineStr">
        <is>
          <t>midcap</t>
        </is>
      </c>
      <c r="F159" s="25" t="n">
        <v>17547.03</v>
      </c>
      <c r="G159" s="25" t="n">
        <v>1116.4</v>
      </c>
      <c r="H159" s="26" t="n">
        <v>1.33</v>
      </c>
      <c r="I159" s="26" t="n">
        <v>175052</v>
      </c>
      <c r="J159" s="26" t="inlineStr">
        <is>
          <t>500233</t>
        </is>
      </c>
    </row>
    <row r="160">
      <c r="A160" s="25" t="inlineStr">
        <is>
          <t>JSFB</t>
        </is>
      </c>
      <c r="B160" s="26" t="inlineStr">
        <is>
          <t>Jana Small Finance Bank Ltd</t>
        </is>
      </c>
      <c r="C160" s="25" t="inlineStr">
        <is>
          <t>bank</t>
        </is>
      </c>
      <c r="D160" s="25" t="inlineStr">
        <is>
          <t>banks - private sector</t>
        </is>
      </c>
      <c r="E160" s="25" t="inlineStr">
        <is>
          <t>midcap</t>
        </is>
      </c>
      <c r="F160" s="25" t="n">
        <v>5101.39</v>
      </c>
      <c r="G160" s="25" t="n">
        <v>490.75</v>
      </c>
      <c r="H160" s="26" t="n">
        <v>1.32</v>
      </c>
      <c r="I160" s="26" t="n">
        <v>2467966</v>
      </c>
      <c r="J160" s="26" t="n"/>
    </row>
    <row r="161">
      <c r="A161" s="25" t="inlineStr">
        <is>
          <t>PREMEXPLN</t>
        </is>
      </c>
      <c r="B161" s="26" t="inlineStr">
        <is>
          <t>Premier Explosives Limited</t>
        </is>
      </c>
      <c r="C161" s="25" t="inlineStr">
        <is>
          <t>aerospace &amp; defence</t>
        </is>
      </c>
      <c r="D161" s="25" t="inlineStr">
        <is>
          <t>chemicals</t>
        </is>
      </c>
      <c r="E161" s="25" t="inlineStr">
        <is>
          <t>smallcap</t>
        </is>
      </c>
      <c r="F161" s="25" t="n">
        <v>3460.07</v>
      </c>
      <c r="G161" s="25" t="n">
        <v>651.85</v>
      </c>
      <c r="H161" s="26" t="n">
        <v>1.28</v>
      </c>
      <c r="I161" s="26" t="n">
        <v>525642</v>
      </c>
      <c r="J161" s="26" t="inlineStr">
        <is>
          <t>526247</t>
        </is>
      </c>
    </row>
    <row r="162">
      <c r="A162" s="25" t="inlineStr">
        <is>
          <t>PERSISTENT</t>
        </is>
      </c>
      <c r="B162" s="26" t="inlineStr">
        <is>
          <t>Persistent Systems Limited</t>
        </is>
      </c>
      <c r="C162" s="25" t="inlineStr">
        <is>
          <t>i.t</t>
        </is>
      </c>
      <c r="D162" s="25" t="inlineStr">
        <is>
          <t>computers - software - large</t>
        </is>
      </c>
      <c r="E162" s="25" t="inlineStr">
        <is>
          <t>largecap</t>
        </is>
      </c>
      <c r="F162" s="25" t="n">
        <v>85216.55</v>
      </c>
      <c r="G162" s="25" t="n">
        <v>5470.5</v>
      </c>
      <c r="H162" s="26" t="n">
        <v>1.27</v>
      </c>
      <c r="I162" s="26" t="n">
        <v>1368824</v>
      </c>
      <c r="J162" s="26" t="inlineStr">
        <is>
          <t>533179</t>
        </is>
      </c>
    </row>
    <row r="163">
      <c r="A163" s="25" t="inlineStr">
        <is>
          <t>WELENT</t>
        </is>
      </c>
      <c r="B163" s="26" t="inlineStr">
        <is>
          <t>Welspun Enterprises Limited</t>
        </is>
      </c>
      <c r="C163" s="25" t="inlineStr">
        <is>
          <t>realty</t>
        </is>
      </c>
      <c r="D163" s="25" t="inlineStr">
        <is>
          <t>construction</t>
        </is>
      </c>
      <c r="E163" s="25" t="inlineStr">
        <is>
          <t>midcap</t>
        </is>
      </c>
      <c r="F163" s="25" t="n">
        <v>7074.33</v>
      </c>
      <c r="G163" s="25" t="n">
        <v>517.5</v>
      </c>
      <c r="H163" s="26" t="n">
        <v>1.25</v>
      </c>
      <c r="I163" s="26" t="n">
        <v>128950</v>
      </c>
      <c r="J163" s="26" t="inlineStr">
        <is>
          <t>532553</t>
        </is>
      </c>
    </row>
    <row r="164">
      <c r="A164" s="25" t="inlineStr">
        <is>
          <t>FEDFINA</t>
        </is>
      </c>
      <c r="B164" s="26" t="inlineStr">
        <is>
          <t>Fedbank Financial Services Ltd</t>
        </is>
      </c>
      <c r="C164" s="25" t="inlineStr">
        <is>
          <t>financials</t>
        </is>
      </c>
      <c r="D164" s="25" t="inlineStr">
        <is>
          <t>finance &amp; investments</t>
        </is>
      </c>
      <c r="E164" s="25" t="inlineStr">
        <is>
          <t>midcap</t>
        </is>
      </c>
      <c r="F164" s="25" t="n">
        <v>5861.94</v>
      </c>
      <c r="G164" s="25" t="n">
        <v>158.53</v>
      </c>
      <c r="H164" s="26" t="n">
        <v>1.2</v>
      </c>
      <c r="I164" s="26" t="n">
        <v>541104</v>
      </c>
      <c r="J164" s="26" t="inlineStr">
        <is>
          <t>544027</t>
        </is>
      </c>
    </row>
    <row r="165">
      <c r="A165" s="25" t="inlineStr">
        <is>
          <t>SIS</t>
        </is>
      </c>
      <c r="B165" s="26" t="inlineStr">
        <is>
          <t>Security &amp; Intelligence Services India</t>
        </is>
      </c>
      <c r="C165" s="25" t="inlineStr">
        <is>
          <t>miscellaneous</t>
        </is>
      </c>
      <c r="D165" s="25" t="inlineStr">
        <is>
          <t>miscellaneous</t>
        </is>
      </c>
      <c r="E165" s="25" t="inlineStr">
        <is>
          <t>midcap</t>
        </is>
      </c>
      <c r="F165" s="25" t="n">
        <v>5758.25</v>
      </c>
      <c r="G165" s="25" t="n">
        <v>412.5</v>
      </c>
      <c r="H165" s="26" t="n">
        <v>1.2</v>
      </c>
      <c r="I165" s="26" t="n">
        <v>55768</v>
      </c>
      <c r="J165" s="26" t="inlineStr">
        <is>
          <t>540673</t>
        </is>
      </c>
    </row>
    <row r="166">
      <c r="A166" s="25" t="inlineStr">
        <is>
          <t>LLOYDSENGG</t>
        </is>
      </c>
      <c r="B166" s="26" t="inlineStr">
        <is>
          <t>Lloyds Engineering Works Ltd</t>
        </is>
      </c>
      <c r="C166" s="25" t="inlineStr">
        <is>
          <t>industrials</t>
        </is>
      </c>
      <c r="D166" s="25" t="inlineStr">
        <is>
          <t>engineering</t>
        </is>
      </c>
      <c r="E166" s="25" t="inlineStr">
        <is>
          <t>midcap</t>
        </is>
      </c>
      <c r="F166" s="25" t="n">
        <v>10551.51</v>
      </c>
      <c r="G166" s="25" t="n">
        <v>72.13</v>
      </c>
      <c r="H166" s="26" t="n">
        <v>1.18</v>
      </c>
      <c r="I166" s="26" t="n">
        <v>6134581</v>
      </c>
      <c r="J166" s="26" t="inlineStr">
        <is>
          <t>539992</t>
        </is>
      </c>
    </row>
    <row r="167">
      <c r="A167" s="25" t="inlineStr">
        <is>
          <t>SEAMECLTD</t>
        </is>
      </c>
      <c r="B167" s="26" t="inlineStr">
        <is>
          <t>Seamec Limited</t>
        </is>
      </c>
      <c r="C167" s="25" t="inlineStr">
        <is>
          <t>miscellaneous</t>
        </is>
      </c>
      <c r="D167" s="25" t="inlineStr">
        <is>
          <t>miscellaneous</t>
        </is>
      </c>
      <c r="E167" s="25" t="inlineStr">
        <is>
          <t>smallcap</t>
        </is>
      </c>
      <c r="F167" s="25" t="n">
        <v>4130.04</v>
      </c>
      <c r="G167" s="25" t="n">
        <v>1643.3</v>
      </c>
      <c r="H167" s="26" t="n">
        <v>1.16</v>
      </c>
      <c r="I167" s="26" t="n">
        <v>56094</v>
      </c>
      <c r="J167" s="26" t="inlineStr">
        <is>
          <t>526807</t>
        </is>
      </c>
    </row>
    <row r="168">
      <c r="A168" s="25" t="inlineStr">
        <is>
          <t>VERANDA</t>
        </is>
      </c>
      <c r="B168" s="26" t="inlineStr">
        <is>
          <t>Veranda Learning Solutions Ltd</t>
        </is>
      </c>
      <c r="C168" s="25" t="inlineStr">
        <is>
          <t>services</t>
        </is>
      </c>
      <c r="D168" s="25" t="inlineStr">
        <is>
          <t>miscellaneous</t>
        </is>
      </c>
      <c r="E168" s="25" t="inlineStr">
        <is>
          <t>smallcap</t>
        </is>
      </c>
      <c r="F168" s="25" t="n">
        <v>2227.96</v>
      </c>
      <c r="G168" s="25" t="n">
        <v>234.29</v>
      </c>
      <c r="H168" s="26" t="n">
        <v>1.13</v>
      </c>
      <c r="I168" s="26" t="n">
        <v>420680</v>
      </c>
      <c r="J168" s="26" t="inlineStr">
        <is>
          <t>543514</t>
        </is>
      </c>
    </row>
    <row r="169">
      <c r="A169" s="25" t="inlineStr">
        <is>
          <t>VISHNU</t>
        </is>
      </c>
      <c r="B169" s="26" t="inlineStr">
        <is>
          <t>Vishnu Chemicals Limited</t>
        </is>
      </c>
      <c r="C169" s="25" t="inlineStr">
        <is>
          <t>chemicals</t>
        </is>
      </c>
      <c r="D169" s="25" t="inlineStr">
        <is>
          <t>chemicals</t>
        </is>
      </c>
      <c r="E169" s="25" t="inlineStr">
        <is>
          <t>smallcap</t>
        </is>
      </c>
      <c r="F169" s="25" t="n">
        <v>4171.86</v>
      </c>
      <c r="G169" s="25" t="n">
        <v>626.7</v>
      </c>
      <c r="H169" s="26" t="n">
        <v>1.12</v>
      </c>
      <c r="I169" s="26" t="n">
        <v>455702</v>
      </c>
      <c r="J169" s="26" t="inlineStr">
        <is>
          <t>516072</t>
        </is>
      </c>
    </row>
    <row r="170">
      <c r="A170" s="25" t="inlineStr">
        <is>
          <t>ASIANPAINT</t>
        </is>
      </c>
      <c r="B170" s="26" t="inlineStr">
        <is>
          <t>Asian Paints Limited</t>
        </is>
      </c>
      <c r="C170" s="25" t="inlineStr">
        <is>
          <t>building materials</t>
        </is>
      </c>
      <c r="D170" s="25" t="inlineStr">
        <is>
          <t>paints / varnishes</t>
        </is>
      </c>
      <c r="E170" s="25" t="inlineStr">
        <is>
          <t>largecap</t>
        </is>
      </c>
      <c r="F170" s="25" t="n">
        <v>252499.23</v>
      </c>
      <c r="G170" s="25" t="n">
        <v>2660.7</v>
      </c>
      <c r="H170" s="26" t="n">
        <v>1.08</v>
      </c>
      <c r="I170" s="26" t="n">
        <v>1026319</v>
      </c>
      <c r="J170" s="26" t="inlineStr">
        <is>
          <t>500820</t>
        </is>
      </c>
    </row>
    <row r="171">
      <c r="A171" s="25" t="inlineStr">
        <is>
          <t>UNIPARTS</t>
        </is>
      </c>
      <c r="B171" s="26" t="inlineStr">
        <is>
          <t>Uniparts India Ltd</t>
        </is>
      </c>
      <c r="C171" s="25" t="inlineStr">
        <is>
          <t>industrials</t>
        </is>
      </c>
      <c r="D171" s="25" t="inlineStr">
        <is>
          <t>engineering</t>
        </is>
      </c>
      <c r="E171" s="25" t="inlineStr">
        <is>
          <t>smallcap</t>
        </is>
      </c>
      <c r="F171" s="25" t="n">
        <v>2676.54</v>
      </c>
      <c r="G171" s="25" t="n">
        <v>599.2</v>
      </c>
      <c r="H171" s="26" t="n">
        <v>1.06</v>
      </c>
      <c r="I171" s="26" t="n">
        <v>186067</v>
      </c>
      <c r="J171" s="26" t="inlineStr">
        <is>
          <t>543689</t>
        </is>
      </c>
    </row>
    <row r="172">
      <c r="A172" s="25" t="inlineStr">
        <is>
          <t>SAIL</t>
        </is>
      </c>
      <c r="B172" s="26" t="inlineStr">
        <is>
          <t>Steel Authority Of India Limited</t>
        </is>
      </c>
      <c r="C172" s="25" t="inlineStr">
        <is>
          <t>metals &amp; mining</t>
        </is>
      </c>
      <c r="D172" s="25" t="inlineStr">
        <is>
          <t>steel - large</t>
        </is>
      </c>
      <c r="E172" s="25" t="inlineStr">
        <is>
          <t>largecap</t>
        </is>
      </c>
      <c r="F172" s="25" t="n">
        <v>84134.67</v>
      </c>
      <c r="G172" s="25" t="n">
        <v>205.85</v>
      </c>
      <c r="H172" s="26" t="n">
        <v>1.06</v>
      </c>
      <c r="I172" s="26" t="n">
        <v>16404349</v>
      </c>
      <c r="J172" s="26" t="inlineStr">
        <is>
          <t>500113</t>
        </is>
      </c>
    </row>
    <row r="173">
      <c r="A173" s="25" t="inlineStr">
        <is>
          <t>MARKSANS</t>
        </is>
      </c>
      <c r="B173" s="26" t="inlineStr">
        <is>
          <t>Marksans Pharma Limited</t>
        </is>
      </c>
      <c r="C173" s="25" t="inlineStr">
        <is>
          <t>healthcare</t>
        </is>
      </c>
      <c r="D173" s="25" t="inlineStr">
        <is>
          <t>pharmaceuticals - indian - formulations</t>
        </is>
      </c>
      <c r="E173" s="25" t="inlineStr">
        <is>
          <t>midcap</t>
        </is>
      </c>
      <c r="F173" s="25" t="n">
        <v>10816.11</v>
      </c>
      <c r="G173" s="25" t="n">
        <v>241.19</v>
      </c>
      <c r="H173" s="26" t="n">
        <v>1.05</v>
      </c>
      <c r="I173" s="26" t="n">
        <v>2681082</v>
      </c>
      <c r="J173" s="26" t="inlineStr">
        <is>
          <t>524404</t>
        </is>
      </c>
    </row>
    <row r="174">
      <c r="A174" s="25" t="inlineStr">
        <is>
          <t>NUVAMA</t>
        </is>
      </c>
      <c r="B174" s="26" t="inlineStr">
        <is>
          <t>Nuvama Wealth Management Ltd</t>
        </is>
      </c>
      <c r="C174" s="25" t="inlineStr">
        <is>
          <t>financials</t>
        </is>
      </c>
      <c r="D174" s="25" t="inlineStr">
        <is>
          <t>finance &amp; investments</t>
        </is>
      </c>
      <c r="E174" s="25" t="inlineStr">
        <is>
          <t>largecap</t>
        </is>
      </c>
      <c r="F174" s="25" t="n">
        <v>28343.86</v>
      </c>
      <c r="G174" s="25" t="n">
        <v>1573.4</v>
      </c>
      <c r="H174" s="26" t="n">
        <v>1.05</v>
      </c>
      <c r="I174" s="26" t="n">
        <v>627948</v>
      </c>
      <c r="J174" s="26" t="inlineStr">
        <is>
          <t>543988</t>
        </is>
      </c>
    </row>
    <row r="175">
      <c r="A175" s="25" t="inlineStr">
        <is>
          <t>HONASA</t>
        </is>
      </c>
      <c r="B175" s="26" t="inlineStr">
        <is>
          <t>Honasa Consumer Ltd</t>
        </is>
      </c>
      <c r="C175" s="25" t="inlineStr">
        <is>
          <t>services</t>
        </is>
      </c>
      <c r="D175" s="25" t="inlineStr">
        <is>
          <t>trading</t>
        </is>
      </c>
      <c r="E175" s="25" t="inlineStr">
        <is>
          <t>midcap</t>
        </is>
      </c>
      <c r="F175" s="25" t="n">
        <v>13107.52</v>
      </c>
      <c r="G175" s="25" t="n">
        <v>407.05</v>
      </c>
      <c r="H175" s="26" t="n">
        <v>1.04</v>
      </c>
      <c r="I175" s="26" t="n">
        <v>899490</v>
      </c>
      <c r="J175" s="26" t="inlineStr">
        <is>
          <t>544014</t>
        </is>
      </c>
    </row>
    <row r="176">
      <c r="A176" s="25" t="inlineStr">
        <is>
          <t>SOLARINDS</t>
        </is>
      </c>
      <c r="B176" s="26" t="inlineStr">
        <is>
          <t>Solar Industries India Limited</t>
        </is>
      </c>
      <c r="C176" s="25" t="inlineStr">
        <is>
          <t>aerospace &amp; defence</t>
        </is>
      </c>
      <c r="D176" s="25" t="inlineStr">
        <is>
          <t>chemicals</t>
        </is>
      </c>
      <c r="E176" s="25" t="inlineStr">
        <is>
          <t>largecap</t>
        </is>
      </c>
      <c r="F176" s="25" t="n">
        <v>164719.05</v>
      </c>
      <c r="G176" s="25" t="n">
        <v>18386</v>
      </c>
      <c r="H176" s="26" t="n">
        <v>1.01</v>
      </c>
      <c r="I176" s="26" t="n">
        <v>184106</v>
      </c>
      <c r="J176" s="26" t="inlineStr">
        <is>
          <t>532725</t>
        </is>
      </c>
    </row>
    <row r="177">
      <c r="A177" s="25" t="inlineStr">
        <is>
          <t>KRISHANA</t>
        </is>
      </c>
      <c r="B177" s="26" t="inlineStr">
        <is>
          <t>Krishana Phoschem Ltd</t>
        </is>
      </c>
      <c r="C177" s="25" t="inlineStr">
        <is>
          <t>chemicals</t>
        </is>
      </c>
      <c r="D177" s="25" t="inlineStr">
        <is>
          <t>fertilizers</t>
        </is>
      </c>
      <c r="E177" s="25" t="inlineStr">
        <is>
          <t>smallcap</t>
        </is>
      </c>
      <c r="F177" s="25" t="n">
        <v>4202.73</v>
      </c>
      <c r="G177" s="25" t="n">
        <v>686.45</v>
      </c>
      <c r="H177" s="26" t="n">
        <v>0.99</v>
      </c>
      <c r="I177" s="26" t="n">
        <v>309341</v>
      </c>
      <c r="J177" s="26" t="inlineStr">
        <is>
          <t>538405</t>
        </is>
      </c>
    </row>
    <row r="178">
      <c r="A178" s="25" t="inlineStr">
        <is>
          <t>BFINVEST</t>
        </is>
      </c>
      <c r="B178" s="26" t="inlineStr">
        <is>
          <t>Bf Investment Limited</t>
        </is>
      </c>
      <c r="C178" s="25" t="inlineStr">
        <is>
          <t>financials</t>
        </is>
      </c>
      <c r="D178" s="25" t="inlineStr">
        <is>
          <t>finance &amp; investments</t>
        </is>
      </c>
      <c r="E178" s="25" t="inlineStr">
        <is>
          <t>smallcap</t>
        </is>
      </c>
      <c r="F178" s="25" t="n">
        <v>1625.73</v>
      </c>
      <c r="G178" s="25" t="n">
        <v>435.75</v>
      </c>
      <c r="H178" s="26" t="n">
        <v>0.96</v>
      </c>
      <c r="I178" s="26" t="n">
        <v>32681</v>
      </c>
      <c r="J178" s="26" t="inlineStr">
        <is>
          <t>533303</t>
        </is>
      </c>
    </row>
    <row r="179">
      <c r="A179" s="25" t="inlineStr">
        <is>
          <t>MIRCELECTR</t>
        </is>
      </c>
      <c r="B179" s="26" t="inlineStr">
        <is>
          <t>Mirc Electronics Limited</t>
        </is>
      </c>
      <c r="C179" s="25" t="inlineStr">
        <is>
          <t>consumer discretionary</t>
        </is>
      </c>
      <c r="D179" s="25" t="inlineStr">
        <is>
          <t>electronics - consumer</t>
        </is>
      </c>
      <c r="E179" s="25" t="inlineStr">
        <is>
          <t>smallcap</t>
        </is>
      </c>
      <c r="F179" s="25" t="n">
        <v>1502.32</v>
      </c>
      <c r="G179" s="25" t="n">
        <v>41.04</v>
      </c>
      <c r="H179" s="26" t="n">
        <v>0.91</v>
      </c>
      <c r="I179" s="26" t="n">
        <v>362760</v>
      </c>
      <c r="J179" s="26" t="inlineStr">
        <is>
          <t>500279</t>
        </is>
      </c>
    </row>
    <row r="180">
      <c r="A180" s="25" t="inlineStr">
        <is>
          <t>SAMMAANCAP</t>
        </is>
      </c>
      <c r="B180" s="26" t="inlineStr">
        <is>
          <t>Sammaan Capital Ltd</t>
        </is>
      </c>
      <c r="C180" s="25" t="inlineStr">
        <is>
          <t>financials</t>
        </is>
      </c>
      <c r="D180" s="25" t="inlineStr">
        <is>
          <t>finance - housing</t>
        </is>
      </c>
      <c r="E180" s="25" t="inlineStr">
        <is>
          <t>largecap</t>
        </is>
      </c>
      <c r="F180" s="25" t="n">
        <v>20602.46</v>
      </c>
      <c r="G180" s="25" t="n">
        <v>178.91</v>
      </c>
      <c r="H180" s="26" t="n">
        <v>0.88</v>
      </c>
      <c r="I180" s="26" t="n">
        <v>13620177</v>
      </c>
      <c r="J180" s="26" t="inlineStr">
        <is>
          <t>535789</t>
        </is>
      </c>
    </row>
    <row r="181">
      <c r="A181" s="25" t="inlineStr">
        <is>
          <t>PGIL</t>
        </is>
      </c>
      <c r="B181" s="26" t="inlineStr">
        <is>
          <t>Pearl Global Industries Limited</t>
        </is>
      </c>
      <c r="C181" s="25" t="inlineStr">
        <is>
          <t>consumer discretionary</t>
        </is>
      </c>
      <c r="D181" s="25" t="inlineStr">
        <is>
          <t>textiles - products</t>
        </is>
      </c>
      <c r="E181" s="25" t="inlineStr">
        <is>
          <t>midcap</t>
        </is>
      </c>
      <c r="F181" s="25" t="n">
        <v>7525.49</v>
      </c>
      <c r="G181" s="25" t="n">
        <v>1645.1</v>
      </c>
      <c r="H181" s="26" t="n">
        <v>0.88</v>
      </c>
      <c r="I181" s="26" t="n">
        <v>34733</v>
      </c>
      <c r="J181" s="26" t="inlineStr">
        <is>
          <t>532808</t>
        </is>
      </c>
    </row>
    <row r="182">
      <c r="A182" s="25" t="inlineStr">
        <is>
          <t>JSWSTEEL</t>
        </is>
      </c>
      <c r="B182" s="26" t="inlineStr">
        <is>
          <t>Jsw Steel Limited</t>
        </is>
      </c>
      <c r="C182" s="25" t="inlineStr">
        <is>
          <t>metals &amp; mining</t>
        </is>
      </c>
      <c r="D182" s="25" t="inlineStr">
        <is>
          <t>steel - large</t>
        </is>
      </c>
      <c r="E182" s="25" t="inlineStr">
        <is>
          <t>largecap</t>
        </is>
      </c>
      <c r="F182" s="25" t="n">
        <v>317762.29</v>
      </c>
      <c r="G182" s="25" t="n">
        <v>1310.8</v>
      </c>
      <c r="H182" s="26" t="n">
        <v>0.88</v>
      </c>
      <c r="I182" s="26" t="n">
        <v>1602109</v>
      </c>
      <c r="J182" s="26" t="inlineStr">
        <is>
          <t>500228</t>
        </is>
      </c>
    </row>
    <row r="183">
      <c r="A183" s="25" t="inlineStr">
        <is>
          <t>JSWENERGY</t>
        </is>
      </c>
      <c r="B183" s="26" t="inlineStr">
        <is>
          <t>Jsw Energy Limited</t>
        </is>
      </c>
      <c r="C183" s="25" t="inlineStr">
        <is>
          <t>power &amp; utilities</t>
        </is>
      </c>
      <c r="D183" s="25" t="inlineStr">
        <is>
          <t>power generation and supply</t>
        </is>
      </c>
      <c r="E183" s="25" t="inlineStr">
        <is>
          <t>largecap</t>
        </is>
      </c>
      <c r="F183" s="25" t="n">
        <v>102529.22</v>
      </c>
      <c r="G183" s="25" t="n">
        <v>588.55</v>
      </c>
      <c r="H183" s="26" t="n">
        <v>0.87</v>
      </c>
      <c r="I183" s="26" t="n">
        <v>4070897</v>
      </c>
      <c r="J183" s="26" t="inlineStr">
        <is>
          <t>533148</t>
        </is>
      </c>
    </row>
    <row r="184">
      <c r="A184" s="25" t="inlineStr">
        <is>
          <t>TEGA</t>
        </is>
      </c>
      <c r="B184" s="26" t="inlineStr">
        <is>
          <t>Tega Industries Ltd</t>
        </is>
      </c>
      <c r="C184" s="25" t="inlineStr">
        <is>
          <t>industrials</t>
        </is>
      </c>
      <c r="D184" s="25" t="inlineStr">
        <is>
          <t>engineering</t>
        </is>
      </c>
      <c r="E184" s="25" t="inlineStr">
        <is>
          <t>midcap</t>
        </is>
      </c>
      <c r="F184" s="25" t="n">
        <v>13608.63</v>
      </c>
      <c r="G184" s="25" t="n">
        <v>1827.1</v>
      </c>
      <c r="H184" s="26" t="n">
        <v>0.87</v>
      </c>
      <c r="I184" s="26" t="n">
        <v>370014</v>
      </c>
      <c r="J184" s="26" t="inlineStr">
        <is>
          <t>543413</t>
        </is>
      </c>
    </row>
    <row r="185">
      <c r="A185" s="25" t="inlineStr">
        <is>
          <t>JAGRAN</t>
        </is>
      </c>
      <c r="B185" s="26" t="inlineStr">
        <is>
          <t>Jagran Prakashan Limited</t>
        </is>
      </c>
      <c r="C185" s="25" t="inlineStr">
        <is>
          <t>media</t>
        </is>
      </c>
      <c r="D185" s="25" t="inlineStr">
        <is>
          <t>entertainment / electronic media software</t>
        </is>
      </c>
      <c r="E185" s="25" t="inlineStr">
        <is>
          <t>smallcap</t>
        </is>
      </c>
      <c r="F185" s="25" t="n">
        <v>1661.36</v>
      </c>
      <c r="G185" s="25" t="n">
        <v>76.98999999999999</v>
      </c>
      <c r="H185" s="26" t="n">
        <v>0.86</v>
      </c>
      <c r="I185" s="26" t="n">
        <v>1667190</v>
      </c>
      <c r="J185" s="26" t="inlineStr">
        <is>
          <t>532705</t>
        </is>
      </c>
    </row>
    <row r="186">
      <c r="A186" s="25" t="inlineStr">
        <is>
          <t>BALRAMCHIN</t>
        </is>
      </c>
      <c r="B186" s="26" t="inlineStr">
        <is>
          <t>Balrampur Chini Mills Limited</t>
        </is>
      </c>
      <c r="C186" s="25" t="inlineStr">
        <is>
          <t>fmcg</t>
        </is>
      </c>
      <c r="D186" s="25" t="inlineStr">
        <is>
          <t>sugar</t>
        </is>
      </c>
      <c r="E186" s="25" t="inlineStr">
        <is>
          <t>midcap</t>
        </is>
      </c>
      <c r="F186" s="25" t="n">
        <v>10761.94</v>
      </c>
      <c r="G186" s="25" t="n">
        <v>537.4</v>
      </c>
      <c r="H186" s="26" t="n">
        <v>0.84</v>
      </c>
      <c r="I186" s="26" t="n">
        <v>448955</v>
      </c>
      <c r="J186" s="26" t="inlineStr">
        <is>
          <t>500038</t>
        </is>
      </c>
    </row>
    <row r="187">
      <c r="A187" s="25" t="inlineStr">
        <is>
          <t>KINGFA</t>
        </is>
      </c>
      <c r="B187" s="26" t="inlineStr">
        <is>
          <t>Kingfa Science &amp; Technology (india) Limited</t>
        </is>
      </c>
      <c r="C187" s="25" t="inlineStr">
        <is>
          <t>plastic products</t>
        </is>
      </c>
      <c r="D187" s="25" t="inlineStr">
        <is>
          <t>plastics products</t>
        </is>
      </c>
      <c r="E187" s="25" t="inlineStr">
        <is>
          <t>midcap</t>
        </is>
      </c>
      <c r="F187" s="25" t="n">
        <v>7176.81</v>
      </c>
      <c r="G187" s="25" t="n">
        <v>5340</v>
      </c>
      <c r="H187" s="26" t="n">
        <v>0.83</v>
      </c>
      <c r="I187" s="26" t="n">
        <v>3306</v>
      </c>
      <c r="J187" s="26" t="inlineStr">
        <is>
          <t>524019</t>
        </is>
      </c>
    </row>
    <row r="188">
      <c r="A188" s="25" t="inlineStr">
        <is>
          <t>INDOBORAX</t>
        </is>
      </c>
      <c r="B188" s="26" t="inlineStr">
        <is>
          <t>Indo Borax &amp; Chemicals Ltd</t>
        </is>
      </c>
      <c r="C188" s="25" t="inlineStr">
        <is>
          <t>chemicals</t>
        </is>
      </c>
      <c r="D188" s="25" t="inlineStr">
        <is>
          <t>chemicals</t>
        </is>
      </c>
      <c r="E188" s="25" t="inlineStr">
        <is>
          <t>smallcap</t>
        </is>
      </c>
      <c r="F188" s="25" t="n">
        <v>1101.65</v>
      </c>
      <c r="G188" s="25" t="n">
        <v>345.9</v>
      </c>
      <c r="H188" s="26" t="n">
        <v>0.76</v>
      </c>
      <c r="I188" s="26" t="n">
        <v>183066</v>
      </c>
      <c r="J188" s="26" t="inlineStr">
        <is>
          <t>524342</t>
        </is>
      </c>
    </row>
    <row r="189">
      <c r="A189" s="25" t="inlineStr">
        <is>
          <t>MSPL</t>
        </is>
      </c>
      <c r="B189" s="26" t="inlineStr">
        <is>
          <t>Msp Steel &amp; Power Limited</t>
        </is>
      </c>
      <c r="C189" s="25" t="inlineStr">
        <is>
          <t>metals &amp; mining</t>
        </is>
      </c>
      <c r="D189" s="25" t="inlineStr">
        <is>
          <t>steel - medium / small</t>
        </is>
      </c>
      <c r="E189" s="25" t="inlineStr">
        <is>
          <t>smallcap</t>
        </is>
      </c>
      <c r="F189" s="25" t="n">
        <v>2304.6</v>
      </c>
      <c r="G189" s="25" t="n">
        <v>40.97</v>
      </c>
      <c r="H189" s="26" t="n">
        <v>0.76</v>
      </c>
      <c r="I189" s="26" t="n">
        <v>8818404</v>
      </c>
      <c r="J189" s="26" t="inlineStr">
        <is>
          <t>532650</t>
        </is>
      </c>
    </row>
    <row r="190">
      <c r="A190" s="25" t="inlineStr">
        <is>
          <t>MIDHANI</t>
        </is>
      </c>
      <c r="B190" s="26" t="inlineStr">
        <is>
          <t>Mishra Dhatu Nigam Ltd</t>
        </is>
      </c>
      <c r="C190" s="25" t="inlineStr">
        <is>
          <t>aerospace &amp; defence</t>
        </is>
      </c>
      <c r="D190" s="25" t="inlineStr">
        <is>
          <t>steel - medium / small</t>
        </is>
      </c>
      <c r="E190" s="25" t="inlineStr">
        <is>
          <t>midcap</t>
        </is>
      </c>
      <c r="F190" s="25" t="n">
        <v>7639.73</v>
      </c>
      <c r="G190" s="25" t="n">
        <v>410.75</v>
      </c>
      <c r="H190" s="26" t="n">
        <v>0.72</v>
      </c>
      <c r="I190" s="26" t="n">
        <v>954518</v>
      </c>
      <c r="J190" s="26" t="inlineStr">
        <is>
          <t>541195</t>
        </is>
      </c>
    </row>
    <row r="191">
      <c r="A191" s="25" t="inlineStr">
        <is>
          <t>RML</t>
        </is>
      </c>
      <c r="B191" s="26" t="inlineStr">
        <is>
          <t>Rane (madras) Limited</t>
        </is>
      </c>
      <c r="C191" s="25" t="inlineStr">
        <is>
          <t>auto</t>
        </is>
      </c>
      <c r="D191" s="25" t="inlineStr">
        <is>
          <t>auto ancillaries</t>
        </is>
      </c>
      <c r="E191" s="25" t="inlineStr">
        <is>
          <t>smallcap</t>
        </is>
      </c>
      <c r="F191" s="25" t="n">
        <v>2520.23</v>
      </c>
      <c r="G191" s="25" t="n">
        <v>918.35</v>
      </c>
      <c r="H191" s="26" t="n">
        <v>0.71</v>
      </c>
      <c r="I191" s="26" t="n">
        <v>11459</v>
      </c>
      <c r="J191" s="26" t="inlineStr">
        <is>
          <t>532661</t>
        </is>
      </c>
    </row>
    <row r="192">
      <c r="A192" s="25" t="inlineStr">
        <is>
          <t>GUFICBIO</t>
        </is>
      </c>
      <c r="B192" s="26" t="inlineStr">
        <is>
          <t>Gufic Biosciences Limited</t>
        </is>
      </c>
      <c r="C192" s="25" t="inlineStr">
        <is>
          <t>healthcare</t>
        </is>
      </c>
      <c r="D192" s="25" t="inlineStr">
        <is>
          <t>pharmaceuticals - indian - bulk drugs &amp; formln</t>
        </is>
      </c>
      <c r="E192" s="25" t="inlineStr">
        <is>
          <t>smallcap</t>
        </is>
      </c>
      <c r="F192" s="25" t="n">
        <v>3476.79</v>
      </c>
      <c r="G192" s="25" t="n">
        <v>349.15</v>
      </c>
      <c r="H192" s="26" t="n">
        <v>0.71</v>
      </c>
      <c r="I192" s="26" t="n">
        <v>172285</v>
      </c>
      <c r="J192" s="26" t="inlineStr">
        <is>
          <t>509079</t>
        </is>
      </c>
    </row>
    <row r="193">
      <c r="A193" s="25" t="inlineStr">
        <is>
          <t>GALAPREC</t>
        </is>
      </c>
      <c r="B193" s="26" t="inlineStr">
        <is>
          <t>Gala Precision Engineering Ltd</t>
        </is>
      </c>
      <c r="C193" s="25" t="inlineStr">
        <is>
          <t>industrials</t>
        </is>
      </c>
      <c r="D193" s="25" t="inlineStr">
        <is>
          <t>fasteners</t>
        </is>
      </c>
      <c r="E193" s="25" t="inlineStr">
        <is>
          <t>smallcap</t>
        </is>
      </c>
      <c r="F193" s="25" t="n">
        <v>1145.93</v>
      </c>
      <c r="G193" s="25" t="n">
        <v>904.9</v>
      </c>
      <c r="H193" s="26" t="n">
        <v>0.68</v>
      </c>
      <c r="I193" s="26" t="n">
        <v>21800</v>
      </c>
      <c r="J193" s="26" t="inlineStr">
        <is>
          <t>544244</t>
        </is>
      </c>
    </row>
    <row r="194">
      <c r="A194" s="25" t="inlineStr">
        <is>
          <t>ADOR</t>
        </is>
      </c>
      <c r="B194" s="26" t="inlineStr">
        <is>
          <t>Ador Welding Ltd</t>
        </is>
      </c>
      <c r="C194" s="25" t="inlineStr">
        <is>
          <t>industrials</t>
        </is>
      </c>
      <c r="D194" s="25" t="inlineStr">
        <is>
          <t>electrodes - welding equipment</t>
        </is>
      </c>
      <c r="E194" s="25" t="inlineStr">
        <is>
          <t>smallcap</t>
        </is>
      </c>
      <c r="F194" s="25" t="n">
        <v>1916.75</v>
      </c>
      <c r="G194" s="25" t="n">
        <v>1108.8</v>
      </c>
      <c r="H194" s="26" t="n">
        <v>0.67</v>
      </c>
      <c r="I194" s="26" t="n">
        <v>18453</v>
      </c>
      <c r="J194" s="26" t="inlineStr">
        <is>
          <t>517041</t>
        </is>
      </c>
    </row>
    <row r="195">
      <c r="A195" s="25" t="inlineStr">
        <is>
          <t>WELCORP</t>
        </is>
      </c>
      <c r="B195" s="26" t="inlineStr">
        <is>
          <t>Welspun Corp Limited</t>
        </is>
      </c>
      <c r="C195" s="25" t="inlineStr">
        <is>
          <t>industrials</t>
        </is>
      </c>
      <c r="D195" s="25" t="inlineStr">
        <is>
          <t>steel - large</t>
        </is>
      </c>
      <c r="E195" s="25" t="inlineStr">
        <is>
          <t>largecap</t>
        </is>
      </c>
      <c r="F195" s="25" t="n">
        <v>36339.8</v>
      </c>
      <c r="G195" s="25" t="n">
        <v>1386.8</v>
      </c>
      <c r="H195" s="26" t="n">
        <v>0.67</v>
      </c>
      <c r="I195" s="26" t="n">
        <v>632341</v>
      </c>
      <c r="J195" s="26" t="inlineStr">
        <is>
          <t>532144</t>
        </is>
      </c>
    </row>
    <row r="196">
      <c r="A196" s="25" t="inlineStr">
        <is>
          <t>AIAENG</t>
        </is>
      </c>
      <c r="B196" s="26" t="inlineStr">
        <is>
          <t>Aia Engineering Limited</t>
        </is>
      </c>
      <c r="C196" s="25" t="inlineStr">
        <is>
          <t>industrials</t>
        </is>
      </c>
      <c r="D196" s="25" t="inlineStr">
        <is>
          <t>castings &amp; forgings</t>
        </is>
      </c>
      <c r="E196" s="25" t="inlineStr">
        <is>
          <t>largecap</t>
        </is>
      </c>
      <c r="F196" s="25" t="n">
        <v>42206</v>
      </c>
      <c r="G196" s="25" t="n">
        <v>4552.3</v>
      </c>
      <c r="H196" s="26" t="n">
        <v>0.65</v>
      </c>
      <c r="I196" s="26" t="n">
        <v>74628</v>
      </c>
      <c r="J196" s="26" t="inlineStr">
        <is>
          <t>532683</t>
        </is>
      </c>
    </row>
    <row r="197">
      <c r="A197" s="25" t="inlineStr">
        <is>
          <t>ACUTAAS</t>
        </is>
      </c>
      <c r="B197" s="26" t="inlineStr">
        <is>
          <t>Acutaas Chemicals Ltd</t>
        </is>
      </c>
      <c r="C197" s="25" t="inlineStr">
        <is>
          <t>healthcare</t>
        </is>
      </c>
      <c r="D197" s="25" t="inlineStr">
        <is>
          <t>pharmaceuticals - indian - bulk drugs</t>
        </is>
      </c>
      <c r="E197" s="25" t="inlineStr">
        <is>
          <t>largecap</t>
        </is>
      </c>
      <c r="F197" s="25" t="n">
        <v>24716.07</v>
      </c>
      <c r="G197" s="25" t="n">
        <v>3037.6</v>
      </c>
      <c r="H197" s="26" t="n">
        <v>0.62</v>
      </c>
      <c r="I197" s="26" t="n">
        <v>430122</v>
      </c>
      <c r="J197" s="26" t="inlineStr">
        <is>
          <t>543349</t>
        </is>
      </c>
    </row>
    <row r="198">
      <c r="A198" s="25" t="inlineStr">
        <is>
          <t>NITINSPIN</t>
        </is>
      </c>
      <c r="B198" s="26" t="inlineStr">
        <is>
          <t>Nitin Spinners Limited</t>
        </is>
      </c>
      <c r="C198" s="25" t="inlineStr">
        <is>
          <t>textiles</t>
        </is>
      </c>
      <c r="D198" s="25" t="inlineStr">
        <is>
          <t>textiles - cotton/blended</t>
        </is>
      </c>
      <c r="E198" s="25" t="inlineStr">
        <is>
          <t>smallcap</t>
        </is>
      </c>
      <c r="F198" s="25" t="n">
        <v>2834.61</v>
      </c>
      <c r="G198" s="25" t="n">
        <v>507.3</v>
      </c>
      <c r="H198" s="26" t="n">
        <v>0.61</v>
      </c>
      <c r="I198" s="26" t="n">
        <v>93795</v>
      </c>
      <c r="J198" s="26" t="inlineStr">
        <is>
          <t>532698</t>
        </is>
      </c>
    </row>
    <row r="199">
      <c r="A199" s="25" t="inlineStr">
        <is>
          <t>HSCL</t>
        </is>
      </c>
      <c r="B199" s="26" t="inlineStr">
        <is>
          <t>Himadri Speciality Chemical Limited</t>
        </is>
      </c>
      <c r="C199" s="25" t="inlineStr">
        <is>
          <t>chemicals</t>
        </is>
      </c>
      <c r="D199" s="25" t="inlineStr">
        <is>
          <t>chemicals</t>
        </is>
      </c>
      <c r="E199" s="25" t="inlineStr">
        <is>
          <t>largecap</t>
        </is>
      </c>
      <c r="F199" s="25" t="n">
        <v>30444.04</v>
      </c>
      <c r="G199" s="25" t="n">
        <v>607.1</v>
      </c>
      <c r="H199" s="26" t="n">
        <v>0.61</v>
      </c>
      <c r="I199" s="26" t="n">
        <v>7233121</v>
      </c>
      <c r="J199" s="26" t="inlineStr">
        <is>
          <t>500184</t>
        </is>
      </c>
    </row>
    <row r="200">
      <c r="A200" s="25" t="inlineStr">
        <is>
          <t>GRINDWELL</t>
        </is>
      </c>
      <c r="B200" s="26" t="inlineStr">
        <is>
          <t>Grindwell Norton Limited</t>
        </is>
      </c>
      <c r="C200" s="25" t="inlineStr">
        <is>
          <t>industrials</t>
        </is>
      </c>
      <c r="D200" s="25" t="inlineStr">
        <is>
          <t>abrasives and grinding wheels</t>
        </is>
      </c>
      <c r="E200" s="25" t="inlineStr">
        <is>
          <t>largecap</t>
        </is>
      </c>
      <c r="F200" s="25" t="n">
        <v>20461.06</v>
      </c>
      <c r="G200" s="25" t="n">
        <v>1859</v>
      </c>
      <c r="H200" s="26" t="n">
        <v>0.6</v>
      </c>
      <c r="I200" s="26" t="n">
        <v>47514</v>
      </c>
      <c r="J200" s="26" t="inlineStr">
        <is>
          <t>506076</t>
        </is>
      </c>
    </row>
    <row r="201">
      <c r="A201" s="25" t="inlineStr">
        <is>
          <t>DHANBANK</t>
        </is>
      </c>
      <c r="B201" s="26" t="inlineStr">
        <is>
          <t>Dhanlaxmi Bank Limited</t>
        </is>
      </c>
      <c r="C201" s="25" t="inlineStr">
        <is>
          <t>bank</t>
        </is>
      </c>
      <c r="D201" s="25" t="inlineStr">
        <is>
          <t>banks - private sector</t>
        </is>
      </c>
      <c r="E201" s="25" t="inlineStr">
        <is>
          <t>smallcap</t>
        </is>
      </c>
      <c r="F201" s="25" t="n">
        <v>1323.03</v>
      </c>
      <c r="G201" s="25" t="n">
        <v>33.72</v>
      </c>
      <c r="H201" s="26" t="n">
        <v>0.6</v>
      </c>
      <c r="I201" s="26" t="n">
        <v>1347739</v>
      </c>
      <c r="J201" s="26" t="inlineStr">
        <is>
          <t>532180</t>
        </is>
      </c>
    </row>
    <row r="202">
      <c r="A202" s="25" t="inlineStr">
        <is>
          <t>CONSOFINVT</t>
        </is>
      </c>
      <c r="B202" s="26" t="inlineStr">
        <is>
          <t>Consolidated Finvest &amp; Holdings Limited</t>
        </is>
      </c>
      <c r="C202" s="25" t="inlineStr">
        <is>
          <t>financials</t>
        </is>
      </c>
      <c r="D202" s="25" t="inlineStr">
        <is>
          <t>finance &amp; investments</t>
        </is>
      </c>
      <c r="E202" s="25" t="inlineStr">
        <is>
          <t>smallcap</t>
        </is>
      </c>
      <c r="F202" s="25" t="n">
        <v>774.38</v>
      </c>
      <c r="G202" s="25" t="n">
        <v>240.97</v>
      </c>
      <c r="H202" s="26" t="n">
        <v>0.59</v>
      </c>
      <c r="I202" s="26" t="n">
        <v>18897</v>
      </c>
      <c r="J202" s="26" t="inlineStr">
        <is>
          <t>500226</t>
        </is>
      </c>
    </row>
    <row r="203">
      <c r="A203" s="25" t="inlineStr">
        <is>
          <t>ATGL</t>
        </is>
      </c>
      <c r="B203" s="26" t="inlineStr">
        <is>
          <t>Adani Total Gas Ltd</t>
        </is>
      </c>
      <c r="C203" s="25" t="inlineStr">
        <is>
          <t>energy</t>
        </is>
      </c>
      <c r="D203" s="25" t="inlineStr">
        <is>
          <t>miscellaneous</t>
        </is>
      </c>
      <c r="E203" s="25" t="inlineStr">
        <is>
          <t>largecap</t>
        </is>
      </c>
      <c r="F203" s="25" t="n">
        <v>80704.06</v>
      </c>
      <c r="G203" s="25" t="n">
        <v>738.15</v>
      </c>
      <c r="H203" s="26" t="n">
        <v>0.59</v>
      </c>
      <c r="I203" s="26" t="n">
        <v>15735942</v>
      </c>
      <c r="J203" s="26" t="inlineStr">
        <is>
          <t>542066</t>
        </is>
      </c>
    </row>
    <row r="204">
      <c r="A204" s="25" t="inlineStr">
        <is>
          <t>ASTRAMICRO</t>
        </is>
      </c>
      <c r="B204" s="26" t="inlineStr">
        <is>
          <t>Astra Microwave Products Limited</t>
        </is>
      </c>
      <c r="C204" s="25" t="inlineStr">
        <is>
          <t>aerospace &amp; defence</t>
        </is>
      </c>
      <c r="D204" s="25" t="inlineStr">
        <is>
          <t>telecommunications - equipment</t>
        </is>
      </c>
      <c r="E204" s="25" t="inlineStr">
        <is>
          <t>midcap</t>
        </is>
      </c>
      <c r="F204" s="25" t="n">
        <v>12496.66</v>
      </c>
      <c r="G204" s="25" t="n">
        <v>1323.8</v>
      </c>
      <c r="H204" s="26" t="n">
        <v>0.58</v>
      </c>
      <c r="I204" s="26" t="n">
        <v>762930</v>
      </c>
      <c r="J204" s="26" t="inlineStr">
        <is>
          <t>532493</t>
        </is>
      </c>
    </row>
    <row r="205">
      <c r="A205" s="25" t="inlineStr">
        <is>
          <t>GVT&amp;D</t>
        </is>
      </c>
      <c r="B205" s="26" t="inlineStr">
        <is>
          <t>GE Vernova T&amp;D India Ltd</t>
        </is>
      </c>
      <c r="C205" s="25" t="inlineStr">
        <is>
          <t>industrials</t>
        </is>
      </c>
      <c r="D205" s="25" t="inlineStr">
        <is>
          <t>electric equipment</t>
        </is>
      </c>
      <c r="E205" s="25" t="inlineStr">
        <is>
          <t>largecap</t>
        </is>
      </c>
      <c r="F205" s="25" t="n">
        <v>121750.13</v>
      </c>
      <c r="G205" s="25" t="n">
        <v>4781</v>
      </c>
      <c r="H205" s="26" t="n">
        <v>0.55</v>
      </c>
      <c r="I205" s="26" t="n">
        <v>1308469</v>
      </c>
      <c r="J205" s="26" t="inlineStr">
        <is>
          <t>522275</t>
        </is>
      </c>
    </row>
    <row r="206">
      <c r="A206" s="25" t="inlineStr">
        <is>
          <t>POLYCAB</t>
        </is>
      </c>
      <c r="B206" s="26" t="inlineStr">
        <is>
          <t>Polycab India Ltd</t>
        </is>
      </c>
      <c r="C206" s="25" t="inlineStr">
        <is>
          <t>industrials</t>
        </is>
      </c>
      <c r="D206" s="25" t="inlineStr">
        <is>
          <t>cables - power</t>
        </is>
      </c>
      <c r="E206" s="25" t="inlineStr">
        <is>
          <t>largecap</t>
        </is>
      </c>
      <c r="F206" s="25" t="n">
        <v>142729.41</v>
      </c>
      <c r="G206" s="25" t="n">
        <v>9531.5</v>
      </c>
      <c r="H206" s="26" t="n">
        <v>0.54</v>
      </c>
      <c r="I206" s="26" t="n">
        <v>256995</v>
      </c>
      <c r="J206" s="26" t="inlineStr">
        <is>
          <t>542652</t>
        </is>
      </c>
    </row>
    <row r="207">
      <c r="A207" s="25" t="inlineStr">
        <is>
          <t>PRECOT</t>
        </is>
      </c>
      <c r="B207" s="26" t="inlineStr">
        <is>
          <t>Precot Meridian Limited</t>
        </is>
      </c>
      <c r="C207" s="25" t="inlineStr">
        <is>
          <t>textiles</t>
        </is>
      </c>
      <c r="D207" s="25" t="inlineStr">
        <is>
          <t>textiles - cotton/blended</t>
        </is>
      </c>
      <c r="E207" s="25" t="inlineStr">
        <is>
          <t>smallcap</t>
        </is>
      </c>
      <c r="F207" s="25" t="n">
        <v>915.1799999999999</v>
      </c>
      <c r="G207" s="25" t="n">
        <v>766.7</v>
      </c>
      <c r="H207" s="26" t="n">
        <v>0.53</v>
      </c>
      <c r="I207" s="26" t="n">
        <v>5661</v>
      </c>
      <c r="J207" s="26" t="inlineStr">
        <is>
          <t>521184</t>
        </is>
      </c>
    </row>
    <row r="208">
      <c r="A208" s="25" t="inlineStr">
        <is>
          <t>SBCL</t>
        </is>
      </c>
      <c r="B208" s="26" t="inlineStr">
        <is>
          <t>Shivalik Bimetal Controls Ltd</t>
        </is>
      </c>
      <c r="C208" s="25" t="inlineStr">
        <is>
          <t>metals &amp; mining</t>
        </is>
      </c>
      <c r="D208" s="25" t="inlineStr">
        <is>
          <t>mining / minerals / metals</t>
        </is>
      </c>
      <c r="E208" s="25" t="inlineStr">
        <is>
          <t>smallcap</t>
        </is>
      </c>
      <c r="F208" s="25" t="n">
        <v>4209.71</v>
      </c>
      <c r="G208" s="25" t="n">
        <v>734.55</v>
      </c>
      <c r="H208" s="26" t="n">
        <v>0.51</v>
      </c>
      <c r="I208" s="26" t="n">
        <v>140241</v>
      </c>
      <c r="J208" s="26" t="inlineStr">
        <is>
          <t>513097</t>
        </is>
      </c>
    </row>
    <row r="209">
      <c r="A209" s="25" t="inlineStr">
        <is>
          <t>BLSE</t>
        </is>
      </c>
      <c r="B209" s="26" t="inlineStr">
        <is>
          <t>BLS E-Services Ltd</t>
        </is>
      </c>
      <c r="C209" s="25" t="inlineStr">
        <is>
          <t>i.t</t>
        </is>
      </c>
      <c r="D209" s="25" t="inlineStr">
        <is>
          <t>computers - software - medium / small</t>
        </is>
      </c>
      <c r="E209" s="25" t="inlineStr">
        <is>
          <t>smallcap</t>
        </is>
      </c>
      <c r="F209" s="25" t="n">
        <v>2026.74</v>
      </c>
      <c r="G209" s="25" t="n">
        <v>224.21</v>
      </c>
      <c r="H209" s="26" t="n">
        <v>0.51</v>
      </c>
      <c r="I209" s="26" t="n">
        <v>285565</v>
      </c>
      <c r="J209" s="26" t="inlineStr">
        <is>
          <t>544107</t>
        </is>
      </c>
    </row>
    <row r="210">
      <c r="A210" s="25" t="inlineStr">
        <is>
          <t>EQUITASBNK</t>
        </is>
      </c>
      <c r="B210" s="26" t="inlineStr">
        <is>
          <t>Equitas Small Finance Bank Ltd</t>
        </is>
      </c>
      <c r="C210" s="25" t="inlineStr">
        <is>
          <t>bank</t>
        </is>
      </c>
      <c r="D210" s="25" t="inlineStr">
        <is>
          <t>banks - private sector</t>
        </is>
      </c>
      <c r="E210" s="25" t="inlineStr">
        <is>
          <t>midcap</t>
        </is>
      </c>
      <c r="F210" s="25" t="n">
        <v>7919.98</v>
      </c>
      <c r="G210" s="25" t="n">
        <v>69.76000000000001</v>
      </c>
      <c r="H210" s="26" t="n">
        <v>0.5</v>
      </c>
      <c r="I210" s="26" t="n">
        <v>2734512</v>
      </c>
      <c r="J210" s="26" t="inlineStr">
        <is>
          <t>543243</t>
        </is>
      </c>
    </row>
    <row r="211">
      <c r="A211" s="25" t="inlineStr">
        <is>
          <t>CUMMINSIND</t>
        </is>
      </c>
      <c r="B211" s="26" t="inlineStr">
        <is>
          <t>Cummins India Limited</t>
        </is>
      </c>
      <c r="C211" s="25" t="inlineStr">
        <is>
          <t>industrials</t>
        </is>
      </c>
      <c r="D211" s="25" t="inlineStr">
        <is>
          <t>engines</t>
        </is>
      </c>
      <c r="E211" s="25" t="inlineStr">
        <is>
          <t>largecap</t>
        </is>
      </c>
      <c r="F211" s="25" t="n">
        <v>157463.46</v>
      </c>
      <c r="G211" s="25" t="n">
        <v>5708</v>
      </c>
      <c r="H211" s="26" t="n">
        <v>0.48</v>
      </c>
      <c r="I211" s="26" t="n">
        <v>702121</v>
      </c>
      <c r="J211" s="26" t="inlineStr">
        <is>
          <t>500480</t>
        </is>
      </c>
    </row>
    <row r="212">
      <c r="A212" s="25" t="inlineStr">
        <is>
          <t>SJS</t>
        </is>
      </c>
      <c r="B212" s="26" t="inlineStr">
        <is>
          <t>S J S Enterprises Ltd</t>
        </is>
      </c>
      <c r="C212" s="25" t="inlineStr">
        <is>
          <t>auto</t>
        </is>
      </c>
      <c r="D212" s="25" t="inlineStr">
        <is>
          <t>plastics products</t>
        </is>
      </c>
      <c r="E212" s="25" t="inlineStr">
        <is>
          <t>midcap</t>
        </is>
      </c>
      <c r="F212" s="25" t="n">
        <v>6426.55</v>
      </c>
      <c r="G212" s="25" t="n">
        <v>2018.2</v>
      </c>
      <c r="H212" s="26" t="n">
        <v>0.48</v>
      </c>
      <c r="I212" s="26" t="n">
        <v>116994</v>
      </c>
      <c r="J212" s="26" t="inlineStr">
        <is>
          <t>543387</t>
        </is>
      </c>
    </row>
    <row r="213">
      <c r="A213" s="25" t="inlineStr">
        <is>
          <t>HINDALCO</t>
        </is>
      </c>
      <c r="B213" s="26" t="inlineStr">
        <is>
          <t>Hindalco Industries Limited</t>
        </is>
      </c>
      <c r="C213" s="25" t="inlineStr">
        <is>
          <t>metals &amp; mining</t>
        </is>
      </c>
      <c r="D213" s="25" t="inlineStr">
        <is>
          <t>aluminium and aluminium products</t>
        </is>
      </c>
      <c r="E213" s="25" t="inlineStr">
        <is>
          <t>largecap</t>
        </is>
      </c>
      <c r="F213" s="25" t="n">
        <v>256475.96</v>
      </c>
      <c r="G213" s="25" t="n">
        <v>1146.3</v>
      </c>
      <c r="H213" s="26" t="n">
        <v>0.44</v>
      </c>
      <c r="I213" s="26" t="n">
        <v>5325199</v>
      </c>
      <c r="J213" s="26" t="inlineStr">
        <is>
          <t>500440</t>
        </is>
      </c>
    </row>
    <row r="214">
      <c r="A214" s="25" t="inlineStr">
        <is>
          <t>INDNIPPON</t>
        </is>
      </c>
      <c r="B214" s="26" t="inlineStr">
        <is>
          <t>India Nippon Electricals Limited</t>
        </is>
      </c>
      <c r="C214" s="25" t="inlineStr">
        <is>
          <t>auto</t>
        </is>
      </c>
      <c r="D214" s="25" t="inlineStr">
        <is>
          <t>auto ancillaries</t>
        </is>
      </c>
      <c r="E214" s="25" t="inlineStr">
        <is>
          <t>smallcap</t>
        </is>
      </c>
      <c r="F214" s="25" t="n">
        <v>2017.94</v>
      </c>
      <c r="G214" s="25" t="n">
        <v>895.7</v>
      </c>
      <c r="H214" s="26" t="n">
        <v>0.41</v>
      </c>
      <c r="I214" s="26" t="n">
        <v>43683</v>
      </c>
      <c r="J214" s="26" t="inlineStr">
        <is>
          <t>532240</t>
        </is>
      </c>
    </row>
    <row r="215">
      <c r="A215" s="25" t="inlineStr">
        <is>
          <t>GOKULAGRO</t>
        </is>
      </c>
      <c r="B215" s="26" t="inlineStr">
        <is>
          <t>Gokul Agro Resources Limited</t>
        </is>
      </c>
      <c r="C215" s="25" t="inlineStr">
        <is>
          <t>fmcg</t>
        </is>
      </c>
      <c r="D215" s="25" t="inlineStr">
        <is>
          <t>solvent extraction</t>
        </is>
      </c>
      <c r="E215" s="25" t="inlineStr">
        <is>
          <t>midcap</t>
        </is>
      </c>
      <c r="F215" s="25" t="n">
        <v>6874.05</v>
      </c>
      <c r="G215" s="25" t="n">
        <v>233.86</v>
      </c>
      <c r="H215" s="26" t="n">
        <v>0.39</v>
      </c>
      <c r="I215" s="26" t="n">
        <v>248205</v>
      </c>
      <c r="J215" s="26" t="inlineStr">
        <is>
          <t>539725</t>
        </is>
      </c>
    </row>
    <row r="216">
      <c r="A216" s="25" t="inlineStr">
        <is>
          <t>CGCL</t>
        </is>
      </c>
      <c r="B216" s="26" t="inlineStr">
        <is>
          <t>Capri Global Capital Limited</t>
        </is>
      </c>
      <c r="C216" s="25" t="inlineStr">
        <is>
          <t>financials</t>
        </is>
      </c>
      <c r="D216" s="25" t="inlineStr">
        <is>
          <t>finance &amp; investments</t>
        </is>
      </c>
      <c r="E216" s="25" t="inlineStr">
        <is>
          <t>midcap</t>
        </is>
      </c>
      <c r="F216" s="25" t="n">
        <v>19053.53</v>
      </c>
      <c r="G216" s="25" t="n">
        <v>198.77</v>
      </c>
      <c r="H216" s="26" t="n">
        <v>0.37</v>
      </c>
      <c r="I216" s="26" t="n">
        <v>2013593</v>
      </c>
      <c r="J216" s="26" t="inlineStr">
        <is>
          <t>531595</t>
        </is>
      </c>
    </row>
    <row r="217">
      <c r="A217" s="25" t="inlineStr">
        <is>
          <t>SUNFLAG</t>
        </is>
      </c>
      <c r="B217" s="26" t="inlineStr">
        <is>
          <t>Sunflag Iron And Steel Company Limited</t>
        </is>
      </c>
      <c r="C217" s="25" t="inlineStr">
        <is>
          <t>metals &amp; mining</t>
        </is>
      </c>
      <c r="D217" s="25" t="inlineStr">
        <is>
          <t>steel - medium / small</t>
        </is>
      </c>
      <c r="E217" s="25" t="inlineStr">
        <is>
          <t>midcap</t>
        </is>
      </c>
      <c r="F217" s="25" t="n">
        <v>6749.22</v>
      </c>
      <c r="G217" s="25" t="n">
        <v>375.85</v>
      </c>
      <c r="H217" s="26" t="n">
        <v>0.36</v>
      </c>
      <c r="I217" s="26" t="n">
        <v>312883</v>
      </c>
      <c r="J217" s="26" t="inlineStr">
        <is>
          <t>500404</t>
        </is>
      </c>
    </row>
    <row r="218">
      <c r="A218" s="25" t="inlineStr">
        <is>
          <t>AJAXENGG</t>
        </is>
      </c>
      <c r="B218" s="26" t="inlineStr">
        <is>
          <t>Ajax Engineering Ltd</t>
        </is>
      </c>
      <c r="C218" s="25" t="inlineStr">
        <is>
          <t>industrials</t>
        </is>
      </c>
      <c r="D218" s="25" t="inlineStr">
        <is>
          <t>engineering</t>
        </is>
      </c>
      <c r="E218" s="25" t="inlineStr">
        <is>
          <t>midcap</t>
        </is>
      </c>
      <c r="F218" s="25" t="n">
        <v>6731.12</v>
      </c>
      <c r="G218" s="25" t="n">
        <v>590.4</v>
      </c>
      <c r="H218" s="26" t="n">
        <v>0.35</v>
      </c>
      <c r="I218" s="26" t="n">
        <v>34541</v>
      </c>
      <c r="J218" s="26" t="inlineStr">
        <is>
          <t>544356</t>
        </is>
      </c>
    </row>
    <row r="219">
      <c r="A219" s="25" t="inlineStr">
        <is>
          <t>PSPPROJECT</t>
        </is>
      </c>
      <c r="B219" s="26" t="inlineStr">
        <is>
          <t>PSP Projects Ltd</t>
        </is>
      </c>
      <c r="C219" s="25" t="inlineStr">
        <is>
          <t>realty</t>
        </is>
      </c>
      <c r="D219" s="25" t="inlineStr">
        <is>
          <t>construction</t>
        </is>
      </c>
      <c r="E219" s="25" t="inlineStr">
        <is>
          <t>smallcap</t>
        </is>
      </c>
      <c r="F219" s="25" t="n">
        <v>3329.32</v>
      </c>
      <c r="G219" s="25" t="n">
        <v>842.65</v>
      </c>
      <c r="H219" s="26" t="n">
        <v>0.33</v>
      </c>
      <c r="I219" s="26" t="n">
        <v>70581</v>
      </c>
      <c r="J219" s="26" t="inlineStr">
        <is>
          <t>540544</t>
        </is>
      </c>
    </row>
    <row r="220">
      <c r="A220" s="25" t="inlineStr">
        <is>
          <t>SANGAMIND</t>
        </is>
      </c>
      <c r="B220" s="26" t="inlineStr">
        <is>
          <t>Sangam (india) Limited</t>
        </is>
      </c>
      <c r="C220" s="25" t="inlineStr">
        <is>
          <t>textiles</t>
        </is>
      </c>
      <c r="D220" s="25" t="inlineStr">
        <is>
          <t>textiles - spinning - synthetic / blended</t>
        </is>
      </c>
      <c r="E220" s="25" t="inlineStr">
        <is>
          <t>smallcap</t>
        </is>
      </c>
      <c r="F220" s="25" t="n">
        <v>2641.71</v>
      </c>
      <c r="G220" s="25" t="n">
        <v>527.2</v>
      </c>
      <c r="H220" s="26" t="n">
        <v>0.28</v>
      </c>
      <c r="I220" s="26" t="n">
        <v>32615</v>
      </c>
      <c r="J220" s="26" t="inlineStr">
        <is>
          <t>514234</t>
        </is>
      </c>
    </row>
    <row r="221">
      <c r="A221" s="25" t="inlineStr">
        <is>
          <t>APCOTEXIND</t>
        </is>
      </c>
      <c r="B221" s="26" t="inlineStr">
        <is>
          <t>Apcotex Industries Limited</t>
        </is>
      </c>
      <c r="C221" s="25" t="inlineStr">
        <is>
          <t>chemicals</t>
        </is>
      </c>
      <c r="D221" s="25" t="inlineStr">
        <is>
          <t>miscellaneous</t>
        </is>
      </c>
      <c r="E221" s="25" t="inlineStr">
        <is>
          <t>smallcap</t>
        </is>
      </c>
      <c r="F221" s="25" t="n">
        <v>2554.4</v>
      </c>
      <c r="G221" s="25" t="n">
        <v>494.1</v>
      </c>
      <c r="H221" s="26" t="n">
        <v>0.28</v>
      </c>
      <c r="I221" s="26" t="n">
        <v>36108</v>
      </c>
      <c r="J221" s="26" t="inlineStr">
        <is>
          <t>523694</t>
        </is>
      </c>
    </row>
    <row r="222">
      <c r="A222" s="25" t="inlineStr">
        <is>
          <t>GEECEE</t>
        </is>
      </c>
      <c r="B222" s="26" t="inlineStr">
        <is>
          <t>Geecee Ventures Limited</t>
        </is>
      </c>
      <c r="C222" s="25" t="inlineStr">
        <is>
          <t>realty</t>
        </is>
      </c>
      <c r="D222" s="25" t="inlineStr">
        <is>
          <t>construction</t>
        </is>
      </c>
      <c r="E222" s="25" t="inlineStr">
        <is>
          <t>smallcap</t>
        </is>
      </c>
      <c r="F222" s="25" t="n">
        <v>676.8099999999999</v>
      </c>
      <c r="G222" s="25" t="n">
        <v>324.45</v>
      </c>
      <c r="H222" s="26" t="n">
        <v>0.25</v>
      </c>
      <c r="I222" s="26" t="n">
        <v>3115</v>
      </c>
      <c r="J222" s="26" t="inlineStr">
        <is>
          <t>532764</t>
        </is>
      </c>
    </row>
    <row r="223">
      <c r="A223" s="25" t="inlineStr">
        <is>
          <t>USHAMART</t>
        </is>
      </c>
      <c r="B223" s="26" t="inlineStr">
        <is>
          <t>Usha Martin Limited</t>
        </is>
      </c>
      <c r="C223" s="25" t="inlineStr">
        <is>
          <t>metals &amp; mining</t>
        </is>
      </c>
      <c r="D223" s="25" t="inlineStr">
        <is>
          <t>steel - medium / small</t>
        </is>
      </c>
      <c r="E223" s="25" t="inlineStr">
        <is>
          <t>midcap</t>
        </is>
      </c>
      <c r="F223" s="25" t="n">
        <v>14955.21</v>
      </c>
      <c r="G223" s="25" t="n">
        <v>492</v>
      </c>
      <c r="H223" s="26" t="n">
        <v>0.25</v>
      </c>
      <c r="I223" s="26" t="n">
        <v>442814</v>
      </c>
      <c r="J223" s="26" t="inlineStr">
        <is>
          <t>517146</t>
        </is>
      </c>
    </row>
    <row r="224">
      <c r="A224" s="25" t="inlineStr">
        <is>
          <t>MAHASTEEL</t>
        </is>
      </c>
      <c r="B224" s="26" t="inlineStr">
        <is>
          <t>Mahamaya Steel Industries Limited</t>
        </is>
      </c>
      <c r="C224" s="25" t="inlineStr">
        <is>
          <t>metals &amp; mining</t>
        </is>
      </c>
      <c r="D224" s="25" t="inlineStr">
        <is>
          <t>steel - medium / small</t>
        </is>
      </c>
      <c r="E224" s="25" t="inlineStr">
        <is>
          <t>smallcap</t>
        </is>
      </c>
      <c r="F224" s="25" t="n">
        <v>1563.9</v>
      </c>
      <c r="G224" s="25" t="n">
        <v>953.9</v>
      </c>
      <c r="H224" s="26" t="n">
        <v>0.24</v>
      </c>
      <c r="I224" s="26" t="n">
        <v>1862</v>
      </c>
      <c r="J224" s="26" t="inlineStr">
        <is>
          <t>513554</t>
        </is>
      </c>
    </row>
    <row r="225">
      <c r="A225" s="25" t="inlineStr">
        <is>
          <t>LLOYDSME</t>
        </is>
      </c>
      <c r="B225" s="26" t="inlineStr">
        <is>
          <t>Lloyds Metals &amp; Energy Ltd</t>
        </is>
      </c>
      <c r="C225" s="25" t="inlineStr">
        <is>
          <t>metals &amp; mining</t>
        </is>
      </c>
      <c r="D225" s="25" t="inlineStr">
        <is>
          <t>mining / minerals / metals</t>
        </is>
      </c>
      <c r="E225" s="25" t="inlineStr">
        <is>
          <t>largecap</t>
        </is>
      </c>
      <c r="F225" s="25" t="n">
        <v>102291.82</v>
      </c>
      <c r="G225" s="25" t="n">
        <v>1821.7</v>
      </c>
      <c r="H225" s="26" t="n">
        <v>0.23</v>
      </c>
      <c r="I225" s="26" t="n">
        <v>355876</v>
      </c>
      <c r="J225" s="26" t="inlineStr">
        <is>
          <t>512455</t>
        </is>
      </c>
    </row>
    <row r="226">
      <c r="A226" s="25" t="inlineStr">
        <is>
          <t>INNOVACAP</t>
        </is>
      </c>
      <c r="B226" s="26" t="inlineStr">
        <is>
          <t>Innova Captab Ltd</t>
        </is>
      </c>
      <c r="C226" s="25" t="inlineStr">
        <is>
          <t>healthcare</t>
        </is>
      </c>
      <c r="D226" s="25" t="inlineStr">
        <is>
          <t>pharmaceuticals - indian - bulk drugs &amp; formln</t>
        </is>
      </c>
      <c r="E226" s="25" t="inlineStr">
        <is>
          <t>smallcap</t>
        </is>
      </c>
      <c r="F226" s="25" t="n">
        <v>4925.92</v>
      </c>
      <c r="G226" s="25" t="n">
        <v>862.4</v>
      </c>
      <c r="H226" s="26" t="n">
        <v>0.19</v>
      </c>
      <c r="I226" s="26" t="n">
        <v>35650</v>
      </c>
      <c r="J226" s="26" t="inlineStr">
        <is>
          <t>544067</t>
        </is>
      </c>
    </row>
    <row r="227">
      <c r="A227" s="25" t="inlineStr">
        <is>
          <t>ADANIGREEN</t>
        </is>
      </c>
      <c r="B227" s="26" t="inlineStr">
        <is>
          <t>Adani Green Energy Ltd</t>
        </is>
      </c>
      <c r="C227" s="25" t="inlineStr">
        <is>
          <t>power &amp; utilities</t>
        </is>
      </c>
      <c r="D227" s="25" t="inlineStr">
        <is>
          <t>power generation and supply</t>
        </is>
      </c>
      <c r="E227" s="25" t="inlineStr">
        <is>
          <t>largecap</t>
        </is>
      </c>
      <c r="F227" s="25" t="n">
        <v>238329.92</v>
      </c>
      <c r="G227" s="25" t="n">
        <v>1449.4</v>
      </c>
      <c r="H227" s="26" t="n">
        <v>0.17</v>
      </c>
      <c r="I227" s="26" t="n">
        <v>4897662</v>
      </c>
      <c r="J227" s="26" t="inlineStr">
        <is>
          <t>541450</t>
        </is>
      </c>
    </row>
    <row r="228">
      <c r="A228" s="25" t="inlineStr">
        <is>
          <t>STARHEALTH</t>
        </is>
      </c>
      <c r="B228" s="26" t="inlineStr">
        <is>
          <t>Star Health &amp; Allied Insurance Company Ltd</t>
        </is>
      </c>
      <c r="C228" s="25" t="inlineStr">
        <is>
          <t>financials</t>
        </is>
      </c>
      <c r="D228" s="25" t="inlineStr">
        <is>
          <t>finance &amp; investments</t>
        </is>
      </c>
      <c r="E228" s="25" t="inlineStr">
        <is>
          <t>largecap</t>
        </is>
      </c>
      <c r="F228" s="25" t="n">
        <v>31358.96</v>
      </c>
      <c r="G228" s="25" t="n">
        <v>533.7</v>
      </c>
      <c r="H228" s="26" t="n">
        <v>0.14</v>
      </c>
      <c r="I228" s="26" t="n">
        <v>740259</v>
      </c>
      <c r="J228" s="26" t="inlineStr">
        <is>
          <t>543412</t>
        </is>
      </c>
    </row>
    <row r="229">
      <c r="A229" s="25" t="inlineStr">
        <is>
          <t>SUVEN</t>
        </is>
      </c>
      <c r="B229" s="26" t="inlineStr">
        <is>
          <t>Suven Life Sciences Limited</t>
        </is>
      </c>
      <c r="C229" s="25" t="inlineStr">
        <is>
          <t>healthcare</t>
        </is>
      </c>
      <c r="D229" s="25" t="inlineStr">
        <is>
          <t>miscellaneous</t>
        </is>
      </c>
      <c r="E229" s="25" t="inlineStr">
        <is>
          <t>midcap</t>
        </is>
      </c>
      <c r="F229" s="25" t="n">
        <v>7248.36</v>
      </c>
      <c r="G229" s="25" t="n">
        <v>275.2</v>
      </c>
      <c r="H229" s="26" t="n">
        <v>0.13</v>
      </c>
      <c r="I229" s="26" t="n">
        <v>2766020</v>
      </c>
      <c r="J229" s="26" t="inlineStr">
        <is>
          <t>530239</t>
        </is>
      </c>
    </row>
    <row r="230">
      <c r="A230" s="25" t="inlineStr">
        <is>
          <t>METROPOLIS</t>
        </is>
      </c>
      <c r="B230" s="26" t="inlineStr">
        <is>
          <t>Metropolis Healthcare Ltd</t>
        </is>
      </c>
      <c r="C230" s="25" t="inlineStr">
        <is>
          <t>healthcare</t>
        </is>
      </c>
      <c r="D230" s="25" t="inlineStr">
        <is>
          <t>healthcare</t>
        </is>
      </c>
      <c r="E230" s="25" t="inlineStr">
        <is>
          <t>midcap</t>
        </is>
      </c>
      <c r="F230" s="25" t="n">
        <v>11213.32</v>
      </c>
      <c r="G230" s="25" t="n">
        <v>541.5</v>
      </c>
      <c r="H230" s="26" t="n">
        <v>0.12</v>
      </c>
      <c r="I230" s="26" t="n">
        <v>189608</v>
      </c>
      <c r="J230" s="26" t="inlineStr">
        <is>
          <t>542650</t>
        </is>
      </c>
    </row>
    <row r="231">
      <c r="A231" s="25" t="inlineStr">
        <is>
          <t>J&amp;KBANK</t>
        </is>
      </c>
      <c r="B231" s="26" t="inlineStr">
        <is>
          <t>The Jammu &amp; Kashmir Bank Limited</t>
        </is>
      </c>
      <c r="C231" s="25" t="inlineStr">
        <is>
          <t>bank</t>
        </is>
      </c>
      <c r="D231" s="25" t="inlineStr">
        <is>
          <t>banks - private sector</t>
        </is>
      </c>
      <c r="E231" s="25" t="inlineStr">
        <is>
          <t>midcap</t>
        </is>
      </c>
      <c r="F231" s="25" t="n">
        <v>15611.46</v>
      </c>
      <c r="G231" s="25" t="n">
        <v>141.92</v>
      </c>
      <c r="H231" s="26" t="n">
        <v>0.11</v>
      </c>
      <c r="I231" s="26" t="n">
        <v>2547071</v>
      </c>
      <c r="J231" s="26" t="inlineStr">
        <is>
          <t>532209</t>
        </is>
      </c>
    </row>
    <row r="232">
      <c r="A232" s="25" t="inlineStr">
        <is>
          <t>JINDALSAW</t>
        </is>
      </c>
      <c r="B232" s="26" t="inlineStr">
        <is>
          <t>Jindal Saw Limited</t>
        </is>
      </c>
      <c r="C232" s="25" t="inlineStr">
        <is>
          <t>industrials</t>
        </is>
      </c>
      <c r="D232" s="25" t="inlineStr">
        <is>
          <t>steel - large</t>
        </is>
      </c>
      <c r="E232" s="25" t="inlineStr">
        <is>
          <t>midcap</t>
        </is>
      </c>
      <c r="F232" s="25" t="n">
        <v>15404.47</v>
      </c>
      <c r="G232" s="25" t="n">
        <v>241.12</v>
      </c>
      <c r="H232" s="26" t="n">
        <v>0.1</v>
      </c>
      <c r="I232" s="26" t="n">
        <v>1169758</v>
      </c>
      <c r="J232" s="26" t="inlineStr">
        <is>
          <t>500378</t>
        </is>
      </c>
    </row>
    <row r="233">
      <c r="A233" s="25" t="inlineStr">
        <is>
          <t>JBMA</t>
        </is>
      </c>
      <c r="B233" s="26" t="inlineStr">
        <is>
          <t>Jbm Auto Limited</t>
        </is>
      </c>
      <c r="C233" s="25" t="inlineStr">
        <is>
          <t>auto</t>
        </is>
      </c>
      <c r="D233" s="25" t="inlineStr">
        <is>
          <t>auto ancillaries</t>
        </is>
      </c>
      <c r="E233" s="25" t="inlineStr">
        <is>
          <t>midcap</t>
        </is>
      </c>
      <c r="F233" s="25" t="n">
        <v>15298.81</v>
      </c>
      <c r="G233" s="25" t="n">
        <v>647.35</v>
      </c>
      <c r="H233" s="26" t="n">
        <v>0.07000000000000001</v>
      </c>
      <c r="I233" s="26" t="n">
        <v>655980</v>
      </c>
      <c r="J233" s="26" t="inlineStr">
        <is>
          <t>532605</t>
        </is>
      </c>
    </row>
    <row r="234">
      <c r="A234" s="25" t="inlineStr">
        <is>
          <t>NATIONALUM</t>
        </is>
      </c>
      <c r="B234" s="26" t="inlineStr">
        <is>
          <t>National Aluminium Company Limited</t>
        </is>
      </c>
      <c r="C234" s="25" t="inlineStr">
        <is>
          <t>metals &amp; mining</t>
        </is>
      </c>
      <c r="D234" s="25" t="inlineStr">
        <is>
          <t>aluminium and aluminium products</t>
        </is>
      </c>
      <c r="E234" s="25" t="inlineStr">
        <is>
          <t>largecap</t>
        </is>
      </c>
      <c r="F234" s="25" t="n">
        <v>79746.55</v>
      </c>
      <c r="G234" s="25" t="n">
        <v>434.4</v>
      </c>
      <c r="H234" s="26" t="n">
        <v>0.05</v>
      </c>
      <c r="I234" s="26" t="n">
        <v>10368957</v>
      </c>
      <c r="J234" s="26" t="inlineStr">
        <is>
          <t>532234</t>
        </is>
      </c>
    </row>
    <row r="235">
      <c r="A235" s="25" t="inlineStr">
        <is>
          <t>ASAHIINDIA</t>
        </is>
      </c>
      <c r="B235" s="26" t="inlineStr">
        <is>
          <t>Asahi India Glass Limited</t>
        </is>
      </c>
      <c r="C235" s="25" t="inlineStr">
        <is>
          <t>building materials</t>
        </is>
      </c>
      <c r="D235" s="25" t="inlineStr">
        <is>
          <t>glass &amp; glass products</t>
        </is>
      </c>
      <c r="E235" s="25" t="inlineStr">
        <is>
          <t>largecap</t>
        </is>
      </c>
      <c r="F235" s="25" t="n">
        <v>22912.86</v>
      </c>
      <c r="G235" s="25" t="n">
        <v>899.15</v>
      </c>
      <c r="H235" s="26" t="n">
        <v>0.04</v>
      </c>
      <c r="I235" s="26" t="n">
        <v>72297</v>
      </c>
      <c r="J235" s="26" t="inlineStr">
        <is>
          <t>515030</t>
        </is>
      </c>
    </row>
    <row r="236">
      <c r="A236" s="25" t="inlineStr">
        <is>
          <t>STYLAMIND</t>
        </is>
      </c>
      <c r="B236" s="26" t="inlineStr">
        <is>
          <t>Stylam Industries Ltd</t>
        </is>
      </c>
      <c r="C236" s="25" t="inlineStr">
        <is>
          <t>building materials</t>
        </is>
      </c>
      <c r="D236" s="25" t="inlineStr">
        <is>
          <t>miscellaneous</t>
        </is>
      </c>
      <c r="E236" s="25" t="inlineStr">
        <is>
          <t>midcap</t>
        </is>
      </c>
      <c r="F236" s="25" t="n">
        <v>5013.24</v>
      </c>
      <c r="G236" s="25" t="n">
        <v>2957.9</v>
      </c>
      <c r="H236" s="26" t="n">
        <v>0</v>
      </c>
      <c r="I236" s="26" t="n">
        <v>25484</v>
      </c>
      <c r="J236" s="26" t="inlineStr">
        <is>
          <t>526951</t>
        </is>
      </c>
    </row>
    <row r="237">
      <c r="A237" s="25" t="inlineStr">
        <is>
          <t>HEALTHX</t>
        </is>
      </c>
      <c r="B237" s="26" t="inlineStr">
        <is>
          <t>Health X Platform Ltd</t>
        </is>
      </c>
      <c r="C237" s="25" t="inlineStr">
        <is>
          <t>financials</t>
        </is>
      </c>
      <c r="D237" s="25" t="inlineStr">
        <is>
          <t>finance &amp; investments</t>
        </is>
      </c>
      <c r="E237" s="25" t="inlineStr">
        <is>
          <t>smallcap</t>
        </is>
      </c>
      <c r="F237" s="25" t="n">
        <v>958.9299999999999</v>
      </c>
      <c r="G237" s="25" t="n">
        <v>301.45</v>
      </c>
      <c r="H237" s="26" t="n">
        <v>0</v>
      </c>
      <c r="I237" s="26" t="n">
        <v>4767</v>
      </c>
      <c r="J237" s="26" t="inlineStr">
        <is>
          <t>533259</t>
        </is>
      </c>
    </row>
    <row r="238">
      <c r="A238" s="25" t="inlineStr">
        <is>
          <t>KOPRAN</t>
        </is>
      </c>
      <c r="B238" s="26" t="inlineStr">
        <is>
          <t>Kopran Limited</t>
        </is>
      </c>
      <c r="C238" s="25" t="inlineStr">
        <is>
          <t>healthcare</t>
        </is>
      </c>
      <c r="D238" s="25" t="inlineStr">
        <is>
          <t>pharmaceuticals - indian - bulk drugs &amp; formln</t>
        </is>
      </c>
      <c r="E238" s="25" t="inlineStr">
        <is>
          <t>smallcap</t>
        </is>
      </c>
      <c r="F238" s="25" t="n">
        <v>946.2</v>
      </c>
      <c r="G238" s="25" t="n">
        <v>195.92</v>
      </c>
      <c r="H238" s="26" t="n">
        <v>-0.02</v>
      </c>
      <c r="I238" s="26" t="n">
        <v>490179</v>
      </c>
      <c r="J238" s="26" t="inlineStr">
        <is>
          <t>524280</t>
        </is>
      </c>
    </row>
    <row r="239">
      <c r="A239" s="25" t="inlineStr">
        <is>
          <t>HESTERBIO</t>
        </is>
      </c>
      <c r="B239" s="26" t="inlineStr">
        <is>
          <t>Hester Biosciences Limited</t>
        </is>
      </c>
      <c r="C239" s="25" t="inlineStr">
        <is>
          <t>healthcare</t>
        </is>
      </c>
      <c r="D239" s="25" t="inlineStr">
        <is>
          <t>pharmaceuticals - indian - formulations</t>
        </is>
      </c>
      <c r="E239" s="25" t="inlineStr">
        <is>
          <t>smallcap</t>
        </is>
      </c>
      <c r="F239" s="25" t="n">
        <v>1715.92</v>
      </c>
      <c r="G239" s="25" t="n">
        <v>2015.4</v>
      </c>
      <c r="H239" s="26" t="n">
        <v>-0.08</v>
      </c>
      <c r="I239" s="26" t="n">
        <v>4673</v>
      </c>
      <c r="J239" s="26" t="inlineStr">
        <is>
          <t>524669</t>
        </is>
      </c>
    </row>
    <row r="240">
      <c r="A240" s="25" t="inlineStr">
        <is>
          <t>COALINDIA</t>
        </is>
      </c>
      <c r="B240" s="26" t="inlineStr">
        <is>
          <t>Coal India Limited</t>
        </is>
      </c>
      <c r="C240" s="25" t="inlineStr">
        <is>
          <t>metals &amp; mining</t>
        </is>
      </c>
      <c r="D240" s="25" t="inlineStr">
        <is>
          <t>mining / minerals / metals</t>
        </is>
      </c>
      <c r="E240" s="25" t="inlineStr">
        <is>
          <t>largecap</t>
        </is>
      </c>
      <c r="F240" s="25" t="n">
        <v>291250.54</v>
      </c>
      <c r="G240" s="25" t="n">
        <v>472.15</v>
      </c>
      <c r="H240" s="26" t="n">
        <v>-0.1</v>
      </c>
      <c r="I240" s="26" t="n">
        <v>24933269</v>
      </c>
      <c r="J240" s="26" t="inlineStr">
        <is>
          <t>533278</t>
        </is>
      </c>
    </row>
    <row r="241">
      <c r="A241" s="25" t="inlineStr">
        <is>
          <t>MENONBE</t>
        </is>
      </c>
      <c r="B241" s="26" t="inlineStr">
        <is>
          <t>Menon Bearings Limited</t>
        </is>
      </c>
      <c r="C241" s="25" t="inlineStr">
        <is>
          <t>auto</t>
        </is>
      </c>
      <c r="D241" s="25" t="inlineStr">
        <is>
          <t>auto ancillaries</t>
        </is>
      </c>
      <c r="E241" s="25" t="inlineStr">
        <is>
          <t>smallcap</t>
        </is>
      </c>
      <c r="F241" s="25" t="n">
        <v>798.1799999999999</v>
      </c>
      <c r="G241" s="25" t="n">
        <v>142.28</v>
      </c>
      <c r="H241" s="26" t="n">
        <v>-0.11</v>
      </c>
      <c r="I241" s="26" t="n">
        <v>61228</v>
      </c>
      <c r="J241" s="26" t="inlineStr">
        <is>
          <t>523828</t>
        </is>
      </c>
    </row>
    <row r="242">
      <c r="A242" s="25" t="inlineStr">
        <is>
          <t>SBC</t>
        </is>
      </c>
      <c r="B242" s="26" t="inlineStr">
        <is>
          <t>SBC Exports Ltd</t>
        </is>
      </c>
      <c r="C242" s="25" t="inlineStr">
        <is>
          <t>textiles</t>
        </is>
      </c>
      <c r="D242" s="25" t="inlineStr">
        <is>
          <t>textiles - products</t>
        </is>
      </c>
      <c r="E242" s="25" t="inlineStr">
        <is>
          <t>smallcap</t>
        </is>
      </c>
      <c r="F242" s="25" t="n">
        <v>1754.76</v>
      </c>
      <c r="G242" s="25" t="n">
        <v>36.81</v>
      </c>
      <c r="H242" s="26" t="n">
        <v>-0.11</v>
      </c>
      <c r="I242" s="26" t="n">
        <v>18525390</v>
      </c>
      <c r="J242" s="26" t="inlineStr">
        <is>
          <t>542725</t>
        </is>
      </c>
    </row>
    <row r="243">
      <c r="A243" s="25" t="inlineStr">
        <is>
          <t>TIRUPATIFL</t>
        </is>
      </c>
      <c r="B243" s="26" t="inlineStr">
        <is>
          <t>Tirupati Forge Ltd</t>
        </is>
      </c>
      <c r="C243" s="25" t="inlineStr">
        <is>
          <t>industrials</t>
        </is>
      </c>
      <c r="D243" s="25" t="inlineStr">
        <is>
          <t>castings &amp; forgings</t>
        </is>
      </c>
      <c r="E243" s="25" t="inlineStr">
        <is>
          <t>smallcap</t>
        </is>
      </c>
      <c r="F243" s="25" t="n">
        <v>582.78</v>
      </c>
      <c r="G243" s="25" t="n">
        <v>45.05</v>
      </c>
      <c r="H243" s="26" t="n">
        <v>-0.13</v>
      </c>
      <c r="I243" s="26" t="n">
        <v>807053</v>
      </c>
      <c r="J243" s="26" t="inlineStr">
        <is>
          <t>535021</t>
        </is>
      </c>
    </row>
    <row r="244">
      <c r="A244" s="25" t="inlineStr">
        <is>
          <t>SAKAR</t>
        </is>
      </c>
      <c r="B244" s="26" t="inlineStr">
        <is>
          <t>Sakar Healthcare Ltd</t>
        </is>
      </c>
      <c r="C244" s="25" t="inlineStr">
        <is>
          <t>healthcare</t>
        </is>
      </c>
      <c r="D244" s="25" t="inlineStr">
        <is>
          <t>pharmaceuticals - indian - bulk drugs &amp; formln</t>
        </is>
      </c>
      <c r="E244" s="25" t="inlineStr">
        <is>
          <t>smallcap</t>
        </is>
      </c>
      <c r="F244" s="25" t="n">
        <v>1859.43</v>
      </c>
      <c r="G244" s="25" t="n">
        <v>834.6</v>
      </c>
      <c r="H244" s="26" t="n">
        <v>-0.13</v>
      </c>
      <c r="I244" s="26" t="n">
        <v>134303</v>
      </c>
      <c r="J244" s="26" t="inlineStr">
        <is>
          <t>538377</t>
        </is>
      </c>
    </row>
    <row r="245">
      <c r="A245" s="25" t="inlineStr">
        <is>
          <t>THYROCARE</t>
        </is>
      </c>
      <c r="B245" s="26" t="inlineStr">
        <is>
          <t>Thyrocare Technologies Limited</t>
        </is>
      </c>
      <c r="C245" s="25" t="inlineStr">
        <is>
          <t>healthcare</t>
        </is>
      </c>
      <c r="D245" s="25" t="inlineStr">
        <is>
          <t>healthcare</t>
        </is>
      </c>
      <c r="E245" s="25" t="inlineStr">
        <is>
          <t>midcap</t>
        </is>
      </c>
      <c r="F245" s="25" t="n">
        <v>8314</v>
      </c>
      <c r="G245" s="25" t="n">
        <v>521.65</v>
      </c>
      <c r="H245" s="26" t="n">
        <v>-0.13</v>
      </c>
      <c r="I245" s="26" t="n">
        <v>503536</v>
      </c>
      <c r="J245" s="26" t="inlineStr">
        <is>
          <t>539871</t>
        </is>
      </c>
    </row>
    <row r="246">
      <c r="A246" s="25" t="inlineStr">
        <is>
          <t>GRASIM</t>
        </is>
      </c>
      <c r="B246" s="26" t="inlineStr">
        <is>
          <t>Grasim Industries Limited</t>
        </is>
      </c>
      <c r="C246" s="25" t="inlineStr">
        <is>
          <t>textiles</t>
        </is>
      </c>
      <c r="D246" s="25" t="inlineStr">
        <is>
          <t>textiles - manmade</t>
        </is>
      </c>
      <c r="E246" s="25" t="inlineStr">
        <is>
          <t>largecap</t>
        </is>
      </c>
      <c r="F246" s="25" t="n">
        <v>211156.93</v>
      </c>
      <c r="G246" s="25" t="n">
        <v>3097.6</v>
      </c>
      <c r="H246" s="26" t="n">
        <v>-0.16</v>
      </c>
      <c r="I246" s="26" t="n">
        <v>461140</v>
      </c>
      <c r="J246" s="26" t="inlineStr">
        <is>
          <t>500300</t>
        </is>
      </c>
    </row>
    <row r="247">
      <c r="A247" s="25" t="inlineStr">
        <is>
          <t>VIYASH</t>
        </is>
      </c>
      <c r="B247" s="26" t="inlineStr">
        <is>
          <t>Viyash Scientific Ltd</t>
        </is>
      </c>
      <c r="C247" s="25" t="inlineStr">
        <is>
          <t>healthcare</t>
        </is>
      </c>
      <c r="D247" s="25" t="inlineStr">
        <is>
          <t>pharmaceuticals - indian - bulk drugs &amp; formln</t>
        </is>
      </c>
      <c r="E247" s="25" t="inlineStr">
        <is>
          <t>midcap</t>
        </is>
      </c>
      <c r="F247" s="25" t="n">
        <v>10938.74</v>
      </c>
      <c r="G247" s="25" t="n">
        <v>249.95</v>
      </c>
      <c r="H247" s="26" t="n">
        <v>-0.18</v>
      </c>
      <c r="I247" s="26" t="n">
        <v>2640036</v>
      </c>
      <c r="J247" s="26" t="inlineStr">
        <is>
          <t>512529</t>
        </is>
      </c>
    </row>
    <row r="248">
      <c r="A248" s="25" t="inlineStr">
        <is>
          <t>GRANULES</t>
        </is>
      </c>
      <c r="B248" s="26" t="inlineStr">
        <is>
          <t>Granules India Limited</t>
        </is>
      </c>
      <c r="C248" s="25" t="inlineStr">
        <is>
          <t>healthcare</t>
        </is>
      </c>
      <c r="D248" s="25" t="inlineStr">
        <is>
          <t>pharmaceuticals - indian - bulk drugs &amp; formln</t>
        </is>
      </c>
      <c r="E248" s="25" t="inlineStr">
        <is>
          <t>midcap</t>
        </is>
      </c>
      <c r="F248" s="25" t="n">
        <v>19303.38</v>
      </c>
      <c r="G248" s="25" t="n">
        <v>777.55</v>
      </c>
      <c r="H248" s="26" t="n">
        <v>-0.19</v>
      </c>
      <c r="I248" s="26" t="n">
        <v>427014</v>
      </c>
      <c r="J248" s="26" t="inlineStr">
        <is>
          <t>532482</t>
        </is>
      </c>
    </row>
    <row r="249">
      <c r="A249" s="25" t="inlineStr">
        <is>
          <t>RRKABEL</t>
        </is>
      </c>
      <c r="B249" s="26" t="inlineStr">
        <is>
          <t>R R Kabel Ltd</t>
        </is>
      </c>
      <c r="C249" s="25" t="inlineStr">
        <is>
          <t>industrials</t>
        </is>
      </c>
      <c r="D249" s="25" t="inlineStr">
        <is>
          <t>cables - power</t>
        </is>
      </c>
      <c r="E249" s="25" t="inlineStr">
        <is>
          <t>largecap</t>
        </is>
      </c>
      <c r="F249" s="25" t="n">
        <v>22936.67</v>
      </c>
      <c r="G249" s="25" t="n">
        <v>2023.8</v>
      </c>
      <c r="H249" s="26" t="n">
        <v>-0.2</v>
      </c>
      <c r="I249" s="26" t="n">
        <v>412951</v>
      </c>
      <c r="J249" s="26" t="inlineStr">
        <is>
          <t>543981</t>
        </is>
      </c>
    </row>
    <row r="250">
      <c r="A250" s="25" t="inlineStr">
        <is>
          <t>ASTRAZEN</t>
        </is>
      </c>
      <c r="B250" s="26" t="inlineStr">
        <is>
          <t>Astrazeneca Pharma India Limited</t>
        </is>
      </c>
      <c r="C250" s="25" t="inlineStr">
        <is>
          <t>healthcare</t>
        </is>
      </c>
      <c r="D250" s="25" t="inlineStr">
        <is>
          <t>pharmaceuticals - multinational</t>
        </is>
      </c>
      <c r="E250" s="25" t="inlineStr">
        <is>
          <t>largecap</t>
        </is>
      </c>
      <c r="F250" s="25" t="n">
        <v>21822.5</v>
      </c>
      <c r="G250" s="25" t="n">
        <v>8710</v>
      </c>
      <c r="H250" s="26" t="n">
        <v>-0.22</v>
      </c>
      <c r="I250" s="26" t="n">
        <v>4052</v>
      </c>
      <c r="J250" s="26" t="inlineStr">
        <is>
          <t>506820</t>
        </is>
      </c>
    </row>
    <row r="251">
      <c r="A251" s="25" t="inlineStr">
        <is>
          <t>VARROC</t>
        </is>
      </c>
      <c r="B251" s="26" t="inlineStr">
        <is>
          <t>Varroc Engineering Ltd</t>
        </is>
      </c>
      <c r="C251" s="25" t="inlineStr">
        <is>
          <t>auto</t>
        </is>
      </c>
      <c r="D251" s="25" t="inlineStr">
        <is>
          <t>auto ancillaries</t>
        </is>
      </c>
      <c r="E251" s="25" t="inlineStr">
        <is>
          <t>midcap</t>
        </is>
      </c>
      <c r="F251" s="25" t="n">
        <v>8795.15</v>
      </c>
      <c r="G251" s="25" t="n">
        <v>574.3</v>
      </c>
      <c r="H251" s="26" t="n">
        <v>-0.23</v>
      </c>
      <c r="I251" s="26" t="n">
        <v>79462</v>
      </c>
      <c r="J251" s="26" t="inlineStr">
        <is>
          <t>541578</t>
        </is>
      </c>
    </row>
    <row r="252">
      <c r="A252" s="25" t="inlineStr">
        <is>
          <t>RPTECH</t>
        </is>
      </c>
      <c r="B252" s="26" t="inlineStr">
        <is>
          <t>Rashi Peripherals Ltd</t>
        </is>
      </c>
      <c r="C252" s="25" t="inlineStr">
        <is>
          <t>services</t>
        </is>
      </c>
      <c r="D252" s="25" t="inlineStr">
        <is>
          <t>trading</t>
        </is>
      </c>
      <c r="E252" s="25" t="inlineStr">
        <is>
          <t>smallcap</t>
        </is>
      </c>
      <c r="F252" s="25" t="n">
        <v>3661.06</v>
      </c>
      <c r="G252" s="25" t="n">
        <v>554.2</v>
      </c>
      <c r="H252" s="26" t="n">
        <v>-0.24</v>
      </c>
      <c r="I252" s="26" t="n">
        <v>244051</v>
      </c>
      <c r="J252" s="26" t="n"/>
    </row>
    <row r="253">
      <c r="A253" s="25" t="inlineStr">
        <is>
          <t>NAM-INDIA</t>
        </is>
      </c>
      <c r="B253" s="26" t="inlineStr">
        <is>
          <t>Nippon Life India Asset Management Ltd</t>
        </is>
      </c>
      <c r="C253" s="25" t="inlineStr">
        <is>
          <t>financials</t>
        </is>
      </c>
      <c r="D253" s="25" t="inlineStr">
        <is>
          <t>finance &amp; investments</t>
        </is>
      </c>
      <c r="E253" s="25" t="inlineStr">
        <is>
          <t>largecap</t>
        </is>
      </c>
      <c r="F253" s="25" t="n">
        <v>69739.7</v>
      </c>
      <c r="G253" s="25" t="n">
        <v>1089.9</v>
      </c>
      <c r="H253" s="26" t="n">
        <v>-0.27</v>
      </c>
      <c r="I253" s="26" t="n">
        <v>1153544</v>
      </c>
      <c r="J253" s="26" t="inlineStr">
        <is>
          <t>540767</t>
        </is>
      </c>
    </row>
    <row r="254">
      <c r="A254" s="25" t="inlineStr">
        <is>
          <t>WABAG</t>
        </is>
      </c>
      <c r="B254" s="26" t="inlineStr">
        <is>
          <t>Va Tech Wabag Limited</t>
        </is>
      </c>
      <c r="C254" s="25" t="inlineStr">
        <is>
          <t>realty</t>
        </is>
      </c>
      <c r="D254" s="25" t="inlineStr">
        <is>
          <t>engineering - turnkey services</t>
        </is>
      </c>
      <c r="E254" s="25" t="inlineStr">
        <is>
          <t>midcap</t>
        </is>
      </c>
      <c r="F254" s="25" t="n">
        <v>9695.370000000001</v>
      </c>
      <c r="G254" s="25" t="n">
        <v>1551.8</v>
      </c>
      <c r="H254" s="26" t="n">
        <v>-0.27</v>
      </c>
      <c r="I254" s="26" t="n">
        <v>249997</v>
      </c>
      <c r="J254" s="26" t="inlineStr">
        <is>
          <t>533269</t>
        </is>
      </c>
    </row>
    <row r="255">
      <c r="A255" s="25" t="inlineStr">
        <is>
          <t>RATEGAIN</t>
        </is>
      </c>
      <c r="B255" s="26" t="inlineStr">
        <is>
          <t>Rategain Travel Technologies Ltd</t>
        </is>
      </c>
      <c r="C255" s="25" t="inlineStr">
        <is>
          <t>i.t</t>
        </is>
      </c>
      <c r="D255" s="25" t="inlineStr">
        <is>
          <t>computers - software - medium / small</t>
        </is>
      </c>
      <c r="E255" s="25" t="inlineStr">
        <is>
          <t>midcap</t>
        </is>
      </c>
      <c r="F255" s="25" t="n">
        <v>9183.23</v>
      </c>
      <c r="G255" s="25" t="n">
        <v>774.8</v>
      </c>
      <c r="H255" s="26" t="n">
        <v>-0.3</v>
      </c>
      <c r="I255" s="26" t="n">
        <v>786893</v>
      </c>
      <c r="J255" s="26" t="inlineStr">
        <is>
          <t>543417</t>
        </is>
      </c>
    </row>
    <row r="256">
      <c r="A256" s="25" t="inlineStr">
        <is>
          <t>PAISALO</t>
        </is>
      </c>
      <c r="B256" s="26" t="inlineStr">
        <is>
          <t>Paisalo Digital Ltd</t>
        </is>
      </c>
      <c r="C256" s="25" t="inlineStr">
        <is>
          <t>financials</t>
        </is>
      </c>
      <c r="D256" s="25" t="inlineStr">
        <is>
          <t>finance &amp; investments</t>
        </is>
      </c>
      <c r="E256" s="25" t="inlineStr">
        <is>
          <t>smallcap</t>
        </is>
      </c>
      <c r="F256" s="25" t="n">
        <v>4807.73</v>
      </c>
      <c r="G256" s="25" t="n">
        <v>52.69</v>
      </c>
      <c r="H256" s="26" t="n">
        <v>-0.32</v>
      </c>
      <c r="I256" s="26" t="n">
        <v>12520625</v>
      </c>
      <c r="J256" s="26" t="inlineStr">
        <is>
          <t>532900</t>
        </is>
      </c>
    </row>
    <row r="257">
      <c r="A257" s="25" t="inlineStr">
        <is>
          <t>TALBROAUTO</t>
        </is>
      </c>
      <c r="B257" s="26" t="inlineStr">
        <is>
          <t>Talbros Automotive Components Limited</t>
        </is>
      </c>
      <c r="C257" s="25" t="inlineStr">
        <is>
          <t>auto</t>
        </is>
      </c>
      <c r="D257" s="25" t="inlineStr">
        <is>
          <t>auto ancillaries</t>
        </is>
      </c>
      <c r="E257" s="25" t="inlineStr">
        <is>
          <t>smallcap</t>
        </is>
      </c>
      <c r="F257" s="25" t="n">
        <v>2120.36</v>
      </c>
      <c r="G257" s="25" t="n">
        <v>342.35</v>
      </c>
      <c r="H257" s="26" t="n">
        <v>-0.33</v>
      </c>
      <c r="I257" s="26" t="n">
        <v>91878</v>
      </c>
      <c r="J257" s="26" t="inlineStr">
        <is>
          <t>505160</t>
        </is>
      </c>
    </row>
    <row r="258">
      <c r="A258" s="25" t="inlineStr">
        <is>
          <t>BANDHANBNK</t>
        </is>
      </c>
      <c r="B258" s="26" t="inlineStr">
        <is>
          <t>Bandhan Bank Ltd</t>
        </is>
      </c>
      <c r="C258" s="25" t="inlineStr">
        <is>
          <t>bank</t>
        </is>
      </c>
      <c r="D258" s="25" t="inlineStr">
        <is>
          <t>banks - private sector</t>
        </is>
      </c>
      <c r="E258" s="25" t="inlineStr">
        <is>
          <t>largecap</t>
        </is>
      </c>
      <c r="F258" s="25" t="n">
        <v>33369.68</v>
      </c>
      <c r="G258" s="25" t="n">
        <v>206.33</v>
      </c>
      <c r="H258" s="26" t="n">
        <v>-0.39</v>
      </c>
      <c r="I258" s="26" t="n">
        <v>7625242</v>
      </c>
      <c r="J258" s="26" t="inlineStr">
        <is>
          <t>541153</t>
        </is>
      </c>
    </row>
    <row r="259">
      <c r="A259" s="25" t="inlineStr">
        <is>
          <t>LAURUSLABS</t>
        </is>
      </c>
      <c r="B259" s="26" t="inlineStr">
        <is>
          <t>Laurus Labs Limited</t>
        </is>
      </c>
      <c r="C259" s="25" t="inlineStr">
        <is>
          <t>healthcare</t>
        </is>
      </c>
      <c r="D259" s="25" t="inlineStr">
        <is>
          <t>pharmaceuticals - indian - bulk drugs &amp; formln</t>
        </is>
      </c>
      <c r="E259" s="25" t="inlineStr">
        <is>
          <t>largecap</t>
        </is>
      </c>
      <c r="F259" s="25" t="n">
        <v>74953.69</v>
      </c>
      <c r="G259" s="25" t="n">
        <v>1382.6</v>
      </c>
      <c r="H259" s="26" t="n">
        <v>-0.42</v>
      </c>
      <c r="I259" s="26" t="n">
        <v>2356089</v>
      </c>
      <c r="J259" s="26" t="inlineStr">
        <is>
          <t>540222</t>
        </is>
      </c>
    </row>
    <row r="260">
      <c r="A260" s="25" t="inlineStr">
        <is>
          <t>THERMAX</t>
        </is>
      </c>
      <c r="B260" s="26" t="inlineStr">
        <is>
          <t>Thermax Limited</t>
        </is>
      </c>
      <c r="C260" s="25" t="inlineStr">
        <is>
          <t>industrials</t>
        </is>
      </c>
      <c r="D260" s="25" t="inlineStr">
        <is>
          <t>electric equipment</t>
        </is>
      </c>
      <c r="E260" s="25" t="inlineStr">
        <is>
          <t>largecap</t>
        </is>
      </c>
      <c r="F260" s="25" t="n">
        <v>59492.36</v>
      </c>
      <c r="G260" s="25" t="n">
        <v>4969.7</v>
      </c>
      <c r="H260" s="26" t="n">
        <v>-0.46</v>
      </c>
      <c r="I260" s="26" t="n">
        <v>334807</v>
      </c>
      <c r="J260" s="26" t="inlineStr">
        <is>
          <t>500411</t>
        </is>
      </c>
    </row>
    <row r="261">
      <c r="A261" s="25" t="inlineStr">
        <is>
          <t>HONAUT</t>
        </is>
      </c>
      <c r="B261" s="26" t="inlineStr">
        <is>
          <t>Honeywell Automation India Limited</t>
        </is>
      </c>
      <c r="C261" s="25" t="inlineStr">
        <is>
          <t>consumer discretionary</t>
        </is>
      </c>
      <c r="D261" s="25" t="inlineStr">
        <is>
          <t>electronics - components</t>
        </is>
      </c>
      <c r="E261" s="25" t="inlineStr">
        <is>
          <t>largecap</t>
        </is>
      </c>
      <c r="F261" s="25" t="n">
        <v>31007.22</v>
      </c>
      <c r="G261" s="25" t="n">
        <v>34895</v>
      </c>
      <c r="H261" s="26" t="n">
        <v>-0.5</v>
      </c>
      <c r="I261" s="26" t="n">
        <v>29968</v>
      </c>
      <c r="J261" s="26" t="inlineStr">
        <is>
          <t>517174</t>
        </is>
      </c>
    </row>
    <row r="262">
      <c r="A262" s="25" t="inlineStr">
        <is>
          <t>ONESOURCE</t>
        </is>
      </c>
      <c r="B262" s="26" t="inlineStr">
        <is>
          <t>OneSource Specialty Pharma Ltd</t>
        </is>
      </c>
      <c r="C262" s="25" t="inlineStr">
        <is>
          <t>healthcare</t>
        </is>
      </c>
      <c r="D262" s="25" t="inlineStr">
        <is>
          <t>pharmaceuticals - indian - bulk drugs &amp; formln</t>
        </is>
      </c>
      <c r="E262" s="25" t="inlineStr">
        <is>
          <t>largecap</t>
        </is>
      </c>
      <c r="F262" s="25" t="n">
        <v>21065.08</v>
      </c>
      <c r="G262" s="25" t="n">
        <v>1828.6</v>
      </c>
      <c r="H262" s="26" t="n">
        <v>-0.5</v>
      </c>
      <c r="I262" s="26" t="n">
        <v>364118</v>
      </c>
      <c r="J262" s="26" t="inlineStr">
        <is>
          <t>544292</t>
        </is>
      </c>
    </row>
    <row r="263">
      <c r="A263" s="25" t="inlineStr">
        <is>
          <t>KOVAI</t>
        </is>
      </c>
      <c r="B263" s="26" t="inlineStr">
        <is>
          <t>Kovai Medical Center &amp; Hospital Ltd</t>
        </is>
      </c>
      <c r="C263" s="25" t="inlineStr">
        <is>
          <t>healthcare</t>
        </is>
      </c>
      <c r="D263" s="25" t="inlineStr">
        <is>
          <t>healthcare</t>
        </is>
      </c>
      <c r="E263" s="25" t="inlineStr">
        <is>
          <t>midcap</t>
        </is>
      </c>
      <c r="F263" s="25" t="n">
        <v>5875.45</v>
      </c>
      <c r="G263" s="25" t="n">
        <v>5342</v>
      </c>
      <c r="H263" s="26" t="n">
        <v>-0.51</v>
      </c>
      <c r="I263" s="26" t="n">
        <v>1772</v>
      </c>
      <c r="J263" s="26" t="inlineStr">
        <is>
          <t>523323</t>
        </is>
      </c>
    </row>
    <row r="264">
      <c r="A264" s="25" t="inlineStr">
        <is>
          <t>RADICO</t>
        </is>
      </c>
      <c r="B264" s="26" t="inlineStr">
        <is>
          <t>Radico Khaitan Limited</t>
        </is>
      </c>
      <c r="C264" s="25" t="inlineStr">
        <is>
          <t>fmcg</t>
        </is>
      </c>
      <c r="D264" s="25" t="inlineStr">
        <is>
          <t>breweries &amp; distilleries</t>
        </is>
      </c>
      <c r="E264" s="25" t="inlineStr">
        <is>
          <t>largecap</t>
        </is>
      </c>
      <c r="F264" s="25" t="n">
        <v>46945.95</v>
      </c>
      <c r="G264" s="25" t="n">
        <v>3487.5</v>
      </c>
      <c r="H264" s="26" t="n">
        <v>-0.53</v>
      </c>
      <c r="I264" s="26" t="n">
        <v>263853</v>
      </c>
      <c r="J264" s="26" t="inlineStr">
        <is>
          <t>532497</t>
        </is>
      </c>
    </row>
    <row r="265">
      <c r="A265" s="25" t="inlineStr">
        <is>
          <t>CAPLIPOINT</t>
        </is>
      </c>
      <c r="B265" s="26" t="inlineStr">
        <is>
          <t>Caplin Point Laboratories Limited</t>
        </is>
      </c>
      <c r="C265" s="25" t="inlineStr">
        <is>
          <t>healthcare</t>
        </is>
      </c>
      <c r="D265" s="25" t="inlineStr">
        <is>
          <t>pharmaceuticals - indian - formulations</t>
        </is>
      </c>
      <c r="E265" s="25" t="inlineStr">
        <is>
          <t>midcap</t>
        </is>
      </c>
      <c r="F265" s="25" t="n">
        <v>15193.98</v>
      </c>
      <c r="G265" s="25" t="n">
        <v>1988.1</v>
      </c>
      <c r="H265" s="26" t="n">
        <v>-0.54</v>
      </c>
      <c r="I265" s="26" t="n">
        <v>75756</v>
      </c>
      <c r="J265" s="26" t="inlineStr">
        <is>
          <t>524742</t>
        </is>
      </c>
    </row>
    <row r="266">
      <c r="A266" s="25" t="inlineStr">
        <is>
          <t>PGHL</t>
        </is>
      </c>
      <c r="B266" s="26" t="inlineStr">
        <is>
          <t>Procter &amp; Gamble Health Ltd</t>
        </is>
      </c>
      <c r="C266" s="25" t="inlineStr">
        <is>
          <t>healthcare</t>
        </is>
      </c>
      <c r="D266" s="25" t="inlineStr">
        <is>
          <t>pharmaceuticals - multinational</t>
        </is>
      </c>
      <c r="E266" s="25" t="inlineStr">
        <is>
          <t>midcap</t>
        </is>
      </c>
      <c r="F266" s="25" t="n">
        <v>10064.21</v>
      </c>
      <c r="G266" s="25" t="n">
        <v>6030.5</v>
      </c>
      <c r="H266" s="26" t="n">
        <v>-0.54</v>
      </c>
      <c r="I266" s="26" t="n">
        <v>14718</v>
      </c>
      <c r="J266" s="26" t="inlineStr">
        <is>
          <t>500126</t>
        </is>
      </c>
    </row>
    <row r="267">
      <c r="A267" s="25" t="inlineStr">
        <is>
          <t>NIVABUPA</t>
        </is>
      </c>
      <c r="B267" s="26" t="inlineStr">
        <is>
          <t>Niva Bupa Health Insurance Company Ltd</t>
        </is>
      </c>
      <c r="C267" s="25" t="inlineStr">
        <is>
          <t>financials</t>
        </is>
      </c>
      <c r="D267" s="25" t="inlineStr">
        <is>
          <t>finance &amp; investments</t>
        </is>
      </c>
      <c r="E267" s="25" t="inlineStr">
        <is>
          <t>midcap</t>
        </is>
      </c>
      <c r="F267" s="25" t="n">
        <v>15611.01</v>
      </c>
      <c r="G267" s="25" t="n">
        <v>84.03</v>
      </c>
      <c r="H267" s="26" t="n">
        <v>-0.5600000000000001</v>
      </c>
      <c r="I267" s="26" t="n">
        <v>2197963</v>
      </c>
      <c r="J267" s="26" t="n"/>
    </row>
    <row r="268">
      <c r="A268" s="25" t="inlineStr">
        <is>
          <t>CUPID</t>
        </is>
      </c>
      <c r="B268" s="26" t="inlineStr">
        <is>
          <t>Cupid Limited</t>
        </is>
      </c>
      <c r="C268" s="25" t="inlineStr">
        <is>
          <t>fmcg</t>
        </is>
      </c>
      <c r="D268" s="25" t="inlineStr">
        <is>
          <t>personal care - indian</t>
        </is>
      </c>
      <c r="E268" s="25" t="inlineStr">
        <is>
          <t>midcap</t>
        </is>
      </c>
      <c r="F268" s="25" t="n">
        <v>17358.23</v>
      </c>
      <c r="G268" s="25" t="n">
        <v>128.35</v>
      </c>
      <c r="H268" s="26" t="n">
        <v>-0.57</v>
      </c>
      <c r="I268" s="26" t="n">
        <v>13950546</v>
      </c>
      <c r="J268" s="26" t="inlineStr">
        <is>
          <t>530843</t>
        </is>
      </c>
    </row>
    <row r="269">
      <c r="A269" s="25" t="inlineStr">
        <is>
          <t>KTKBANK</t>
        </is>
      </c>
      <c r="B269" s="26" t="inlineStr">
        <is>
          <t>The Karnataka Bank Limited</t>
        </is>
      </c>
      <c r="C269" s="25" t="inlineStr">
        <is>
          <t>bank</t>
        </is>
      </c>
      <c r="D269" s="25" t="inlineStr">
        <is>
          <t>banks - private sector</t>
        </is>
      </c>
      <c r="E269" s="25" t="inlineStr">
        <is>
          <t>midcap</t>
        </is>
      </c>
      <c r="F269" s="25" t="n">
        <v>10047.19</v>
      </c>
      <c r="G269" s="25" t="n">
        <v>264</v>
      </c>
      <c r="H269" s="26" t="n">
        <v>-0.64</v>
      </c>
      <c r="I269" s="26" t="n">
        <v>3219483</v>
      </c>
      <c r="J269" s="26" t="inlineStr">
        <is>
          <t>532652</t>
        </is>
      </c>
    </row>
    <row r="270">
      <c r="A270" s="25" t="inlineStr">
        <is>
          <t>REDTAPE</t>
        </is>
      </c>
      <c r="B270" s="26" t="inlineStr">
        <is>
          <t>Redtape Ltd</t>
        </is>
      </c>
      <c r="C270" s="25" t="inlineStr">
        <is>
          <t>consumer discretionary</t>
        </is>
      </c>
      <c r="D270" s="25" t="inlineStr">
        <is>
          <t>trading</t>
        </is>
      </c>
      <c r="E270" s="25" t="inlineStr">
        <is>
          <t>midcap</t>
        </is>
      </c>
      <c r="F270" s="25" t="n">
        <v>7679.05</v>
      </c>
      <c r="G270" s="25" t="n">
        <v>137.99</v>
      </c>
      <c r="H270" s="26" t="n">
        <v>-0.66</v>
      </c>
      <c r="I270" s="26" t="n">
        <v>1101878</v>
      </c>
      <c r="J270" s="26" t="inlineStr">
        <is>
          <t>543957</t>
        </is>
      </c>
    </row>
    <row r="271">
      <c r="A271" s="25" t="inlineStr">
        <is>
          <t>RITCO</t>
        </is>
      </c>
      <c r="B271" s="26" t="inlineStr">
        <is>
          <t>Ritco Logistics Ltd</t>
        </is>
      </c>
      <c r="C271" s="25" t="inlineStr">
        <is>
          <t>transportation</t>
        </is>
      </c>
      <c r="D271" s="25" t="inlineStr">
        <is>
          <t>miscellaneous</t>
        </is>
      </c>
      <c r="E271" s="25" t="inlineStr">
        <is>
          <t>smallcap</t>
        </is>
      </c>
      <c r="F271" s="25" t="n">
        <v>762.51</v>
      </c>
      <c r="G271" s="25" t="n">
        <v>264.65</v>
      </c>
      <c r="H271" s="26" t="n">
        <v>-0.66</v>
      </c>
      <c r="I271" s="26" t="n">
        <v>114911</v>
      </c>
      <c r="J271" s="26" t="inlineStr">
        <is>
          <t>542383</t>
        </is>
      </c>
    </row>
    <row r="272">
      <c r="A272" s="25" t="inlineStr">
        <is>
          <t>GLAND</t>
        </is>
      </c>
      <c r="B272" s="26" t="inlineStr">
        <is>
          <t>Gland Pharma Ltd</t>
        </is>
      </c>
      <c r="C272" s="25" t="inlineStr">
        <is>
          <t>healthcare</t>
        </is>
      </c>
      <c r="D272" s="25" t="inlineStr">
        <is>
          <t>pharmaceuticals - indian - formulations</t>
        </is>
      </c>
      <c r="E272" s="25" t="inlineStr">
        <is>
          <t>largecap</t>
        </is>
      </c>
      <c r="F272" s="25" t="n">
        <v>37768.76</v>
      </c>
      <c r="G272" s="25" t="n">
        <v>2277</v>
      </c>
      <c r="H272" s="26" t="n">
        <v>-0.67</v>
      </c>
      <c r="I272" s="26" t="n">
        <v>482075</v>
      </c>
      <c r="J272" s="26" t="inlineStr">
        <is>
          <t>543245</t>
        </is>
      </c>
    </row>
    <row r="273">
      <c r="A273" s="25" t="inlineStr">
        <is>
          <t>TRITURBINE</t>
        </is>
      </c>
      <c r="B273" s="26" t="inlineStr">
        <is>
          <t>Triveni Turbine Limited</t>
        </is>
      </c>
      <c r="C273" s="25" t="inlineStr">
        <is>
          <t>industrials</t>
        </is>
      </c>
      <c r="D273" s="25" t="inlineStr">
        <is>
          <t>electric equipment</t>
        </is>
      </c>
      <c r="E273" s="25" t="inlineStr">
        <is>
          <t>largecap</t>
        </is>
      </c>
      <c r="F273" s="25" t="n">
        <v>22077.81</v>
      </c>
      <c r="G273" s="25" t="n">
        <v>689.25</v>
      </c>
      <c r="H273" s="26" t="n">
        <v>-0.76</v>
      </c>
      <c r="I273" s="26" t="n">
        <v>959302</v>
      </c>
      <c r="J273" s="26" t="inlineStr">
        <is>
          <t>533655</t>
        </is>
      </c>
    </row>
    <row r="274">
      <c r="A274" s="25" t="inlineStr">
        <is>
          <t>YESBANK</t>
        </is>
      </c>
      <c r="B274" s="26" t="inlineStr">
        <is>
          <t>Yes Bank Limited</t>
        </is>
      </c>
      <c r="C274" s="25" t="inlineStr">
        <is>
          <t>bank</t>
        </is>
      </c>
      <c r="D274" s="25" t="inlineStr">
        <is>
          <t>banks - private sector</t>
        </is>
      </c>
      <c r="E274" s="25" t="inlineStr">
        <is>
          <t>largecap</t>
        </is>
      </c>
      <c r="F274" s="25" t="n">
        <v>72201.8</v>
      </c>
      <c r="G274" s="25" t="n">
        <v>22.83</v>
      </c>
      <c r="H274" s="26" t="n">
        <v>-0.78</v>
      </c>
      <c r="I274" s="26" t="n">
        <v>165063885</v>
      </c>
      <c r="J274" s="26" t="inlineStr">
        <is>
          <t>532648</t>
        </is>
      </c>
    </row>
    <row r="275">
      <c r="A275" s="25" t="inlineStr">
        <is>
          <t>SUPRAJIT</t>
        </is>
      </c>
      <c r="B275" s="26" t="inlineStr">
        <is>
          <t>Suprajit Engineering Limited</t>
        </is>
      </c>
      <c r="C275" s="25" t="inlineStr">
        <is>
          <t>auto</t>
        </is>
      </c>
      <c r="D275" s="25" t="inlineStr">
        <is>
          <t>auto ancillaries</t>
        </is>
      </c>
      <c r="E275" s="25" t="inlineStr">
        <is>
          <t>midcap</t>
        </is>
      </c>
      <c r="F275" s="25" t="n">
        <v>6351.02</v>
      </c>
      <c r="G275" s="25" t="n">
        <v>459.25</v>
      </c>
      <c r="H275" s="26" t="n">
        <v>-0.8100000000000001</v>
      </c>
      <c r="I275" s="26" t="n">
        <v>179753</v>
      </c>
      <c r="J275" s="26" t="inlineStr">
        <is>
          <t>532509</t>
        </is>
      </c>
    </row>
    <row r="276">
      <c r="A276" s="25" t="inlineStr">
        <is>
          <t>LUMAXTECH</t>
        </is>
      </c>
      <c r="B276" s="26" t="inlineStr">
        <is>
          <t>Lumax Auto Technologies Limited</t>
        </is>
      </c>
      <c r="C276" s="25" t="inlineStr">
        <is>
          <t>auto</t>
        </is>
      </c>
      <c r="D276" s="25" t="inlineStr">
        <is>
          <t>auto ancillaries</t>
        </is>
      </c>
      <c r="E276" s="25" t="inlineStr">
        <is>
          <t>midcap</t>
        </is>
      </c>
      <c r="F276" s="25" t="n">
        <v>12003.94</v>
      </c>
      <c r="G276" s="25" t="n">
        <v>1746.8</v>
      </c>
      <c r="H276" s="26" t="n">
        <v>-0.82</v>
      </c>
      <c r="I276" s="26" t="n">
        <v>273298</v>
      </c>
      <c r="J276" s="26" t="inlineStr">
        <is>
          <t>532796</t>
        </is>
      </c>
    </row>
    <row r="277">
      <c r="A277" s="25" t="inlineStr">
        <is>
          <t>KPIL</t>
        </is>
      </c>
      <c r="B277" s="26" t="inlineStr">
        <is>
          <t>Kalpataru Projects International Ltd</t>
        </is>
      </c>
      <c r="C277" s="25" t="inlineStr">
        <is>
          <t>realty</t>
        </is>
      </c>
      <c r="D277" s="25" t="inlineStr">
        <is>
          <t>transmisson line towers / equipment</t>
        </is>
      </c>
      <c r="E277" s="25" t="inlineStr">
        <is>
          <t>largecap</t>
        </is>
      </c>
      <c r="F277" s="25" t="n">
        <v>22231.17</v>
      </c>
      <c r="G277" s="25" t="n">
        <v>1290.8</v>
      </c>
      <c r="H277" s="26" t="n">
        <v>-0.85</v>
      </c>
      <c r="I277" s="26" t="n">
        <v>164078</v>
      </c>
      <c r="J277" s="26" t="inlineStr">
        <is>
          <t>522287</t>
        </is>
      </c>
    </row>
    <row r="278">
      <c r="A278" s="25" t="inlineStr">
        <is>
          <t>AEGISLOG</t>
        </is>
      </c>
      <c r="B278" s="26" t="inlineStr">
        <is>
          <t>Aegis Logistics Ltd</t>
        </is>
      </c>
      <c r="C278" s="25" t="inlineStr">
        <is>
          <t>services</t>
        </is>
      </c>
      <c r="D278" s="25" t="inlineStr">
        <is>
          <t>trading</t>
        </is>
      </c>
      <c r="E278" s="25" t="inlineStr">
        <is>
          <t>largecap</t>
        </is>
      </c>
      <c r="F278" s="25" t="n">
        <v>27176.18</v>
      </c>
      <c r="G278" s="25" t="n">
        <v>767.15</v>
      </c>
      <c r="H278" s="26" t="n">
        <v>-0.92</v>
      </c>
      <c r="I278" s="26" t="n">
        <v>581365</v>
      </c>
      <c r="J278" s="26" t="inlineStr">
        <is>
          <t>500003</t>
        </is>
      </c>
    </row>
    <row r="279">
      <c r="A279" s="25" t="inlineStr">
        <is>
          <t>SHRIRAMPPS</t>
        </is>
      </c>
      <c r="B279" s="26" t="inlineStr">
        <is>
          <t>Shriram Properties Ltd</t>
        </is>
      </c>
      <c r="C279" s="25" t="inlineStr">
        <is>
          <t>realty</t>
        </is>
      </c>
      <c r="D279" s="25" t="inlineStr">
        <is>
          <t>construction</t>
        </is>
      </c>
      <c r="E279" s="25" t="inlineStr">
        <is>
          <t>smallcap</t>
        </is>
      </c>
      <c r="F279" s="25" t="n">
        <v>1525.65</v>
      </c>
      <c r="G279" s="25" t="n">
        <v>88.56999999999999</v>
      </c>
      <c r="H279" s="26" t="n">
        <v>-0.93</v>
      </c>
      <c r="I279" s="26" t="n">
        <v>720360</v>
      </c>
      <c r="J279" s="26" t="inlineStr">
        <is>
          <t>543419</t>
        </is>
      </c>
    </row>
    <row r="280">
      <c r="A280" s="25" t="inlineStr">
        <is>
          <t>GUJTHEM</t>
        </is>
      </c>
      <c r="B280" s="26" t="inlineStr">
        <is>
          <t>Gujarat Themis Biosyn Ltd</t>
        </is>
      </c>
      <c r="C280" s="25" t="inlineStr">
        <is>
          <t>healthcare</t>
        </is>
      </c>
      <c r="D280" s="25" t="inlineStr">
        <is>
          <t>pharmaceuticals - indian - bulk drugs</t>
        </is>
      </c>
      <c r="E280" s="25" t="inlineStr">
        <is>
          <t>smallcap</t>
        </is>
      </c>
      <c r="F280" s="25" t="n">
        <v>4345.53</v>
      </c>
      <c r="G280" s="25" t="n">
        <v>395</v>
      </c>
      <c r="H280" s="26" t="n">
        <v>-0.95</v>
      </c>
      <c r="I280" s="26" t="n">
        <v>78848</v>
      </c>
      <c r="J280" s="26" t="inlineStr">
        <is>
          <t>506879</t>
        </is>
      </c>
    </row>
    <row r="281">
      <c r="A281" s="25" t="inlineStr">
        <is>
          <t>AGARWALEYE</t>
        </is>
      </c>
      <c r="B281" s="26" t="inlineStr">
        <is>
          <t>Dr Agarwals Health Care Ltd</t>
        </is>
      </c>
      <c r="C281" s="25" t="inlineStr">
        <is>
          <t>healthcare</t>
        </is>
      </c>
      <c r="D281" s="25" t="inlineStr">
        <is>
          <t>healthcare</t>
        </is>
      </c>
      <c r="E281" s="25" t="inlineStr">
        <is>
          <t>midcap</t>
        </is>
      </c>
      <c r="F281" s="25" t="n">
        <v>15249.53</v>
      </c>
      <c r="G281" s="25" t="n">
        <v>476.55</v>
      </c>
      <c r="H281" s="26" t="n">
        <v>-1</v>
      </c>
      <c r="I281" s="26" t="n">
        <v>80796</v>
      </c>
      <c r="J281" s="26" t="inlineStr">
        <is>
          <t>544350</t>
        </is>
      </c>
    </row>
    <row r="282">
      <c r="A282" s="25" t="inlineStr">
        <is>
          <t>NRBBEARING</t>
        </is>
      </c>
      <c r="B282" s="26" t="inlineStr">
        <is>
          <t>Nrb Bearing Limited</t>
        </is>
      </c>
      <c r="C282" s="25" t="inlineStr">
        <is>
          <t>industrials</t>
        </is>
      </c>
      <c r="D282" s="25" t="inlineStr">
        <is>
          <t>bearings</t>
        </is>
      </c>
      <c r="E282" s="25" t="inlineStr">
        <is>
          <t>smallcap</t>
        </is>
      </c>
      <c r="F282" s="25" t="n">
        <v>3490.18</v>
      </c>
      <c r="G282" s="25" t="n">
        <v>356.45</v>
      </c>
      <c r="H282" s="26" t="n">
        <v>-1.01</v>
      </c>
      <c r="I282" s="26" t="n">
        <v>220704</v>
      </c>
      <c r="J282" s="26" t="inlineStr">
        <is>
          <t>530367</t>
        </is>
      </c>
    </row>
    <row r="283">
      <c r="A283" s="25" t="inlineStr">
        <is>
          <t>YASHO</t>
        </is>
      </c>
      <c r="B283" s="26" t="inlineStr">
        <is>
          <t>Yasho Industries Ltd</t>
        </is>
      </c>
      <c r="C283" s="25" t="inlineStr">
        <is>
          <t>chemicals</t>
        </is>
      </c>
      <c r="D283" s="25" t="inlineStr">
        <is>
          <t>chemicals</t>
        </is>
      </c>
      <c r="E283" s="25" t="inlineStr">
        <is>
          <t>smallcap</t>
        </is>
      </c>
      <c r="F283" s="25" t="n">
        <v>2640.74</v>
      </c>
      <c r="G283" s="25" t="n">
        <v>2168</v>
      </c>
      <c r="H283" s="26" t="n">
        <v>-1.01</v>
      </c>
      <c r="I283" s="26" t="n">
        <v>22316</v>
      </c>
      <c r="J283" s="26" t="inlineStr">
        <is>
          <t>541167</t>
        </is>
      </c>
    </row>
    <row r="284">
      <c r="A284" s="25" t="inlineStr">
        <is>
          <t>WELSPUNLIV</t>
        </is>
      </c>
      <c r="B284" s="26" t="inlineStr">
        <is>
          <t>Welspun Living Ltd</t>
        </is>
      </c>
      <c r="C284" s="25" t="inlineStr">
        <is>
          <t>textiles</t>
        </is>
      </c>
      <c r="D284" s="25" t="inlineStr">
        <is>
          <t>textiles - products</t>
        </is>
      </c>
      <c r="E284" s="25" t="inlineStr">
        <is>
          <t>midcap</t>
        </is>
      </c>
      <c r="F284" s="25" t="n">
        <v>13920.18</v>
      </c>
      <c r="G284" s="25" t="n">
        <v>143.65</v>
      </c>
      <c r="H284" s="26" t="n">
        <v>-1.02</v>
      </c>
      <c r="I284" s="26" t="n">
        <v>1201692</v>
      </c>
      <c r="J284" s="26" t="inlineStr">
        <is>
          <t>514162</t>
        </is>
      </c>
    </row>
    <row r="285">
      <c r="A285" s="25" t="inlineStr">
        <is>
          <t>SILVERTUC</t>
        </is>
      </c>
      <c r="B285" s="26" t="inlineStr">
        <is>
          <t>Silver Touch Technologies Ltd</t>
        </is>
      </c>
      <c r="C285" s="25" t="inlineStr">
        <is>
          <t>i.t</t>
        </is>
      </c>
      <c r="D285" s="25" t="inlineStr">
        <is>
          <t>computers - software - medium / small</t>
        </is>
      </c>
      <c r="E285" s="25" t="inlineStr">
        <is>
          <t>smallcap</t>
        </is>
      </c>
      <c r="F285" s="25" t="n">
        <v>2240.99</v>
      </c>
      <c r="G285" s="25" t="n">
        <v>174.83</v>
      </c>
      <c r="H285" s="26" t="n">
        <v>-1.07</v>
      </c>
      <c r="I285" s="26" t="n">
        <v>1036095</v>
      </c>
      <c r="J285" s="26" t="inlineStr">
        <is>
          <t>535031</t>
        </is>
      </c>
    </row>
    <row r="286">
      <c r="A286" s="25" t="inlineStr">
        <is>
          <t>VEDL</t>
        </is>
      </c>
      <c r="B286" s="26" t="inlineStr">
        <is>
          <t>Vedanta Limited</t>
        </is>
      </c>
      <c r="C286" s="25" t="inlineStr">
        <is>
          <t>metals &amp; mining</t>
        </is>
      </c>
      <c r="D286" s="25" t="inlineStr">
        <is>
          <t>mining / minerals / metals</t>
        </is>
      </c>
      <c r="E286" s="25" t="inlineStr">
        <is>
          <t>largecap</t>
        </is>
      </c>
      <c r="F286" s="25" t="n">
        <v>131838.73</v>
      </c>
      <c r="G286" s="25" t="n">
        <v>333.55</v>
      </c>
      <c r="H286" s="26" t="n">
        <v>-1.07</v>
      </c>
      <c r="I286" s="26" t="n">
        <v>30249461</v>
      </c>
      <c r="J286" s="26" t="inlineStr">
        <is>
          <t>500295</t>
        </is>
      </c>
    </row>
    <row r="287">
      <c r="A287" s="25" t="inlineStr">
        <is>
          <t>MGEL</t>
        </is>
      </c>
      <c r="B287" s="26" t="inlineStr">
        <is>
          <t>Mangalam Global Enterprise Ltd</t>
        </is>
      </c>
      <c r="C287" s="25" t="inlineStr">
        <is>
          <t>services</t>
        </is>
      </c>
      <c r="D287" s="25" t="inlineStr">
        <is>
          <t>trading</t>
        </is>
      </c>
      <c r="E287" s="25" t="inlineStr">
        <is>
          <t>smallcap</t>
        </is>
      </c>
      <c r="F287" s="25" t="n">
        <v>506.86</v>
      </c>
      <c r="G287" s="25" t="n">
        <v>15.21</v>
      </c>
      <c r="H287" s="26" t="n">
        <v>-1.11</v>
      </c>
      <c r="I287" s="26" t="n">
        <v>502685</v>
      </c>
      <c r="J287" s="26" t="inlineStr">
        <is>
          <t>535349</t>
        </is>
      </c>
    </row>
    <row r="288">
      <c r="A288" s="25" t="inlineStr">
        <is>
          <t>ZYDUSLIFE</t>
        </is>
      </c>
      <c r="B288" s="26" t="inlineStr">
        <is>
          <t>Zydus Lifesciences Ltd</t>
        </is>
      </c>
      <c r="C288" s="25" t="inlineStr">
        <is>
          <t>healthcare</t>
        </is>
      </c>
      <c r="D288" s="25" t="inlineStr">
        <is>
          <t>pharmaceuticals - indian - bulk drugs &amp; formln</t>
        </is>
      </c>
      <c r="E288" s="25" t="inlineStr">
        <is>
          <t>largecap</t>
        </is>
      </c>
      <c r="F288" s="25" t="n">
        <v>109800.25</v>
      </c>
      <c r="G288" s="25" t="n">
        <v>1078.3</v>
      </c>
      <c r="H288" s="26" t="n">
        <v>-1.18</v>
      </c>
      <c r="I288" s="26" t="n">
        <v>1928305</v>
      </c>
      <c r="J288" s="26" t="inlineStr">
        <is>
          <t>532321</t>
        </is>
      </c>
    </row>
    <row r="289">
      <c r="A289" s="25" t="inlineStr">
        <is>
          <t>ASIANENE</t>
        </is>
      </c>
      <c r="B289" s="26" t="inlineStr">
        <is>
          <t>Asian Energy Services Ltd</t>
        </is>
      </c>
      <c r="C289" s="25" t="inlineStr">
        <is>
          <t>energy</t>
        </is>
      </c>
      <c r="D289" s="25" t="inlineStr">
        <is>
          <t>oil drilling / allied services</t>
        </is>
      </c>
      <c r="E289" s="25" t="inlineStr">
        <is>
          <t>smallcap</t>
        </is>
      </c>
      <c r="F289" s="25" t="n">
        <v>1706</v>
      </c>
      <c r="G289" s="25" t="n">
        <v>346.8</v>
      </c>
      <c r="H289" s="26" t="n">
        <v>-1.18</v>
      </c>
      <c r="I289" s="26" t="n">
        <v>332195</v>
      </c>
      <c r="J289" s="26" t="inlineStr">
        <is>
          <t>530355</t>
        </is>
      </c>
    </row>
    <row r="290">
      <c r="A290" s="25" t="inlineStr">
        <is>
          <t>INDSWFTLAB</t>
        </is>
      </c>
      <c r="B290" s="26" t="inlineStr">
        <is>
          <t>Ind-swift Laboratories Limited</t>
        </is>
      </c>
      <c r="C290" s="25" t="inlineStr">
        <is>
          <t>healthcare</t>
        </is>
      </c>
      <c r="D290" s="25" t="inlineStr">
        <is>
          <t>pharmaceuticals - indian - bulk drugs &amp; formln</t>
        </is>
      </c>
      <c r="E290" s="25" t="inlineStr">
        <is>
          <t>smallcap</t>
        </is>
      </c>
      <c r="F290" s="25" t="n">
        <v>1425.77</v>
      </c>
      <c r="G290" s="25" t="n">
        <v>162.1</v>
      </c>
      <c r="H290" s="26" t="n">
        <v>-1.27</v>
      </c>
      <c r="I290" s="26" t="n">
        <v>1573479</v>
      </c>
      <c r="J290" s="26" t="inlineStr">
        <is>
          <t>532305</t>
        </is>
      </c>
    </row>
    <row r="291">
      <c r="A291" s="25" t="inlineStr">
        <is>
          <t>HAPPYFORGE</t>
        </is>
      </c>
      <c r="B291" s="26" t="inlineStr">
        <is>
          <t>Happy Forgings Ltd</t>
        </is>
      </c>
      <c r="C291" s="25" t="inlineStr">
        <is>
          <t>industrials</t>
        </is>
      </c>
      <c r="D291" s="25" t="inlineStr">
        <is>
          <t>castings &amp; forgings</t>
        </is>
      </c>
      <c r="E291" s="25" t="inlineStr">
        <is>
          <t>midcap</t>
        </is>
      </c>
      <c r="F291" s="25" t="n">
        <v>13473.25</v>
      </c>
      <c r="G291" s="25" t="n">
        <v>1409</v>
      </c>
      <c r="H291" s="26" t="n">
        <v>-1.33</v>
      </c>
      <c r="I291" s="26" t="n">
        <v>177989</v>
      </c>
      <c r="J291" s="26" t="inlineStr">
        <is>
          <t>544057</t>
        </is>
      </c>
    </row>
    <row r="292">
      <c r="A292" s="25" t="inlineStr">
        <is>
          <t>BBOX</t>
        </is>
      </c>
      <c r="B292" s="26" t="inlineStr">
        <is>
          <t>Black Box Ltd</t>
        </is>
      </c>
      <c r="C292" s="25" t="inlineStr">
        <is>
          <t>i.t</t>
        </is>
      </c>
      <c r="D292" s="25" t="inlineStr">
        <is>
          <t>computers - software - medium / small</t>
        </is>
      </c>
      <c r="E292" s="25" t="inlineStr">
        <is>
          <t>midcap</t>
        </is>
      </c>
      <c r="F292" s="25" t="n">
        <v>18576.65</v>
      </c>
      <c r="G292" s="25" t="n">
        <v>1031.8</v>
      </c>
      <c r="H292" s="26" t="n">
        <v>-1.41</v>
      </c>
      <c r="I292" s="26" t="n">
        <v>770759</v>
      </c>
      <c r="J292" s="26" t="inlineStr">
        <is>
          <t>500463</t>
        </is>
      </c>
    </row>
    <row r="293">
      <c r="A293" s="25" t="inlineStr">
        <is>
          <t>DIAMONDYD</t>
        </is>
      </c>
      <c r="B293" s="26" t="inlineStr">
        <is>
          <t>Prataap Snacks Ltd</t>
        </is>
      </c>
      <c r="C293" s="25" t="inlineStr">
        <is>
          <t>fmcg</t>
        </is>
      </c>
      <c r="D293" s="25" t="inlineStr">
        <is>
          <t>food - processing - indian</t>
        </is>
      </c>
      <c r="E293" s="25" t="inlineStr">
        <is>
          <t>smallcap</t>
        </is>
      </c>
      <c r="F293" s="25" t="n">
        <v>2636.56</v>
      </c>
      <c r="G293" s="25" t="n">
        <v>1087.1</v>
      </c>
      <c r="H293" s="26" t="n">
        <v>-1.44</v>
      </c>
      <c r="I293" s="26" t="n">
        <v>49277</v>
      </c>
      <c r="J293" s="26" t="inlineStr">
        <is>
          <t>540724</t>
        </is>
      </c>
    </row>
    <row r="294">
      <c r="A294" s="25" t="inlineStr">
        <is>
          <t>SAILIFE</t>
        </is>
      </c>
      <c r="B294" s="26" t="inlineStr">
        <is>
          <t>Sai Life Sciences Ltd</t>
        </is>
      </c>
      <c r="C294" s="25" t="inlineStr">
        <is>
          <t>healthcare</t>
        </is>
      </c>
      <c r="D294" s="25" t="inlineStr">
        <is>
          <t>pharmaceuticals - indian - bulk drugs &amp; formln</t>
        </is>
      </c>
      <c r="E294" s="25" t="inlineStr">
        <is>
          <t>largecap</t>
        </is>
      </c>
      <c r="F294" s="25" t="n">
        <v>24252.96</v>
      </c>
      <c r="G294" s="25" t="n">
        <v>1128.3</v>
      </c>
      <c r="H294" s="26" t="n">
        <v>-1.48</v>
      </c>
      <c r="I294" s="26" t="n">
        <v>295848</v>
      </c>
      <c r="J294" s="26" t="inlineStr">
        <is>
          <t>544306</t>
        </is>
      </c>
    </row>
    <row r="295">
      <c r="A295" s="25" t="inlineStr">
        <is>
          <t>SOMANYCERA</t>
        </is>
      </c>
      <c r="B295" s="26" t="inlineStr">
        <is>
          <t>Somany Ceramics Limited</t>
        </is>
      </c>
      <c r="C295" s="25" t="inlineStr">
        <is>
          <t>building materials</t>
        </is>
      </c>
      <c r="D295" s="25" t="inlineStr">
        <is>
          <t>ceramics - tiles / sanitaryware</t>
        </is>
      </c>
      <c r="E295" s="25" t="inlineStr">
        <is>
          <t>smallcap</t>
        </is>
      </c>
      <c r="F295" s="25" t="n">
        <v>2157.27</v>
      </c>
      <c r="G295" s="25" t="n">
        <v>518.05</v>
      </c>
      <c r="H295" s="26" t="n">
        <v>-1.51</v>
      </c>
      <c r="I295" s="26" t="n">
        <v>172505</v>
      </c>
      <c r="J295" s="26" t="inlineStr">
        <is>
          <t>531548</t>
        </is>
      </c>
    </row>
    <row r="296">
      <c r="A296" s="25" t="inlineStr">
        <is>
          <t>V2RETAIL</t>
        </is>
      </c>
      <c r="B296" s="26" t="inlineStr">
        <is>
          <t>V2 Retail Limited</t>
        </is>
      </c>
      <c r="C296" s="25" t="inlineStr">
        <is>
          <t>consumer discretionary</t>
        </is>
      </c>
      <c r="D296" s="25" t="inlineStr">
        <is>
          <t>textiles - products</t>
        </is>
      </c>
      <c r="E296" s="25" t="inlineStr">
        <is>
          <t>midcap</t>
        </is>
      </c>
      <c r="F296" s="25" t="n">
        <v>8908.459999999999</v>
      </c>
      <c r="G296" s="25" t="n">
        <v>240.32</v>
      </c>
      <c r="H296" s="26" t="n">
        <v>-1.63</v>
      </c>
      <c r="I296" s="26" t="n">
        <v>1392661</v>
      </c>
      <c r="J296" s="26" t="inlineStr">
        <is>
          <t>532867</t>
        </is>
      </c>
    </row>
    <row r="297">
      <c r="A297" s="25" t="inlineStr">
        <is>
          <t>ENDURANCE</t>
        </is>
      </c>
      <c r="B297" s="26" t="inlineStr">
        <is>
          <t>Endurance Technologies Limited</t>
        </is>
      </c>
      <c r="C297" s="25" t="inlineStr">
        <is>
          <t>auto</t>
        </is>
      </c>
      <c r="D297" s="25" t="inlineStr">
        <is>
          <t>auto ancillaries</t>
        </is>
      </c>
      <c r="E297" s="25" t="inlineStr">
        <is>
          <t>largecap</t>
        </is>
      </c>
      <c r="F297" s="25" t="n">
        <v>38431.9</v>
      </c>
      <c r="G297" s="25" t="n">
        <v>2687.4</v>
      </c>
      <c r="H297" s="26" t="n">
        <v>-1.64</v>
      </c>
      <c r="I297" s="26" t="n">
        <v>64807</v>
      </c>
      <c r="J297" s="26" t="inlineStr">
        <is>
          <t>540153</t>
        </is>
      </c>
    </row>
    <row r="298">
      <c r="A298" s="25" t="inlineStr">
        <is>
          <t>NEULANDLAB</t>
        </is>
      </c>
      <c r="B298" s="26" t="inlineStr">
        <is>
          <t>Neuland Laboratories Limited</t>
        </is>
      </c>
      <c r="C298" s="25" t="inlineStr">
        <is>
          <t>healthcare</t>
        </is>
      </c>
      <c r="D298" s="25" t="inlineStr">
        <is>
          <t>pharmaceuticals - indian - bulk drugs</t>
        </is>
      </c>
      <c r="E298" s="25" t="inlineStr">
        <is>
          <t>largecap</t>
        </is>
      </c>
      <c r="F298" s="25" t="n">
        <v>22064.84</v>
      </c>
      <c r="G298" s="25" t="n">
        <v>16909</v>
      </c>
      <c r="H298" s="26" t="n">
        <v>-1.68</v>
      </c>
      <c r="I298" s="26" t="n">
        <v>36516</v>
      </c>
      <c r="J298" s="26" t="inlineStr">
        <is>
          <t>524558</t>
        </is>
      </c>
    </row>
    <row r="299">
      <c r="A299" s="25" t="inlineStr">
        <is>
          <t>PRECWIRE</t>
        </is>
      </c>
      <c r="B299" s="26" t="inlineStr">
        <is>
          <t>Precision Wires India Limited</t>
        </is>
      </c>
      <c r="C299" s="25" t="inlineStr">
        <is>
          <t>metals &amp; mining</t>
        </is>
      </c>
      <c r="D299" s="25" t="inlineStr">
        <is>
          <t>mining / minerals / metals</t>
        </is>
      </c>
      <c r="E299" s="25" t="inlineStr">
        <is>
          <t>midcap</t>
        </is>
      </c>
      <c r="F299" s="25" t="n">
        <v>7967.69</v>
      </c>
      <c r="G299" s="25" t="n">
        <v>428.45</v>
      </c>
      <c r="H299" s="26" t="n">
        <v>-1.7</v>
      </c>
      <c r="I299" s="26" t="n">
        <v>490075</v>
      </c>
      <c r="J299" s="26" t="inlineStr">
        <is>
          <t>523539</t>
        </is>
      </c>
    </row>
    <row r="300">
      <c r="A300" s="25" t="inlineStr">
        <is>
          <t>PASUPTAC</t>
        </is>
      </c>
      <c r="B300" s="26" t="inlineStr">
        <is>
          <t>Pasupati Acrylon Ltd</t>
        </is>
      </c>
      <c r="C300" s="25" t="inlineStr">
        <is>
          <t>textiles</t>
        </is>
      </c>
      <c r="D300" s="25" t="inlineStr">
        <is>
          <t>textiles - manmade</t>
        </is>
      </c>
      <c r="E300" s="25" t="inlineStr">
        <is>
          <t>smallcap</t>
        </is>
      </c>
      <c r="F300" s="25" t="n">
        <v>617.4299999999999</v>
      </c>
      <c r="G300" s="25" t="n">
        <v>68.09</v>
      </c>
      <c r="H300" s="26" t="n">
        <v>-1.7</v>
      </c>
      <c r="I300" s="26" t="n">
        <v>2607829</v>
      </c>
      <c r="J300" s="26" t="inlineStr">
        <is>
          <t>500456</t>
        </is>
      </c>
    </row>
    <row r="301">
      <c r="A301" s="25" t="inlineStr">
        <is>
          <t>KERNEX</t>
        </is>
      </c>
      <c r="B301" s="26" t="inlineStr">
        <is>
          <t>Kernex Microsystems (india) Limited</t>
        </is>
      </c>
      <c r="C301" s="25" t="inlineStr">
        <is>
          <t>consumer discretionary</t>
        </is>
      </c>
      <c r="D301" s="25" t="inlineStr">
        <is>
          <t>electronics - components</t>
        </is>
      </c>
      <c r="E301" s="25" t="inlineStr">
        <is>
          <t>smallcap</t>
        </is>
      </c>
      <c r="F301" s="25" t="n">
        <v>3086.1</v>
      </c>
      <c r="G301" s="25" t="n">
        <v>1804.7</v>
      </c>
      <c r="H301" s="26" t="n">
        <v>-1.74</v>
      </c>
      <c r="I301" s="26" t="n">
        <v>1151405</v>
      </c>
      <c r="J301" s="26" t="inlineStr">
        <is>
          <t>532686</t>
        </is>
      </c>
    </row>
    <row r="302">
      <c r="A302" s="25" t="inlineStr">
        <is>
          <t>NINSYS</t>
        </is>
      </c>
      <c r="B302" s="26" t="inlineStr">
        <is>
          <t>NINtec Systems Ltd</t>
        </is>
      </c>
      <c r="C302" s="25" t="inlineStr">
        <is>
          <t>i.t</t>
        </is>
      </c>
      <c r="D302" s="25" t="inlineStr">
        <is>
          <t>computers - software - medium / small</t>
        </is>
      </c>
      <c r="E302" s="25" t="inlineStr">
        <is>
          <t>smallcap</t>
        </is>
      </c>
      <c r="F302" s="25" t="n">
        <v>1364.59</v>
      </c>
      <c r="G302" s="25" t="n">
        <v>721.35</v>
      </c>
      <c r="H302" s="26" t="n">
        <v>-1.8</v>
      </c>
      <c r="I302" s="26" t="n">
        <v>4941</v>
      </c>
      <c r="J302" s="26" t="inlineStr">
        <is>
          <t>539843</t>
        </is>
      </c>
    </row>
    <row r="303">
      <c r="A303" s="25" t="inlineStr">
        <is>
          <t>TATACOMM</t>
        </is>
      </c>
      <c r="B303" s="26" t="inlineStr">
        <is>
          <t>Tata Communications Limited</t>
        </is>
      </c>
      <c r="C303" s="25" t="inlineStr">
        <is>
          <t>telecom-service</t>
        </is>
      </c>
      <c r="D303" s="25" t="inlineStr">
        <is>
          <t>telecommunications - service provider</t>
        </is>
      </c>
      <c r="E303" s="25" t="inlineStr">
        <is>
          <t>largecap</t>
        </is>
      </c>
      <c r="F303" s="25" t="n">
        <v>55364.1</v>
      </c>
      <c r="G303" s="25" t="n">
        <v>1906.2</v>
      </c>
      <c r="H303" s="26" t="n">
        <v>-1.87</v>
      </c>
      <c r="I303" s="26" t="n">
        <v>496274</v>
      </c>
      <c r="J303" s="26" t="inlineStr">
        <is>
          <t>500483</t>
        </is>
      </c>
    </row>
    <row r="304">
      <c r="A304" s="25" t="inlineStr">
        <is>
          <t>MCLEODRUSS</t>
        </is>
      </c>
      <c r="B304" s="26" t="inlineStr">
        <is>
          <t>Mcleod Russel India Limited</t>
        </is>
      </c>
      <c r="C304" s="25" t="inlineStr">
        <is>
          <t>fmcg</t>
        </is>
      </c>
      <c r="D304" s="25" t="inlineStr">
        <is>
          <t>tea</t>
        </is>
      </c>
      <c r="E304" s="25" t="inlineStr">
        <is>
          <t>smallcap</t>
        </is>
      </c>
      <c r="F304" s="25" t="n">
        <v>802.74</v>
      </c>
      <c r="G304" s="25" t="n">
        <v>75.31999999999999</v>
      </c>
      <c r="H304" s="26" t="n">
        <v>-1.99</v>
      </c>
      <c r="I304" s="26" t="n">
        <v>634503</v>
      </c>
      <c r="J304" s="26" t="inlineStr">
        <is>
          <t>532654</t>
        </is>
      </c>
    </row>
    <row r="305">
      <c r="A305" s="25" t="inlineStr">
        <is>
          <t>RAINBOW</t>
        </is>
      </c>
      <c r="B305" s="26" t="inlineStr">
        <is>
          <t>Rainbow Childrens Medicare Ltd</t>
        </is>
      </c>
      <c r="C305" s="25" t="inlineStr">
        <is>
          <t>healthcare</t>
        </is>
      </c>
      <c r="D305" s="25" t="inlineStr">
        <is>
          <t>healthcare</t>
        </is>
      </c>
      <c r="E305" s="25" t="inlineStr">
        <is>
          <t>midcap</t>
        </is>
      </c>
      <c r="F305" s="25" t="n">
        <v>13909.54</v>
      </c>
      <c r="G305" s="25" t="n">
        <v>1341.4</v>
      </c>
      <c r="H305" s="26" t="n">
        <v>-2.06</v>
      </c>
      <c r="I305" s="26" t="n">
        <v>137432</v>
      </c>
      <c r="J305" s="26" t="inlineStr">
        <is>
          <t>543524</t>
        </is>
      </c>
    </row>
    <row r="306">
      <c r="A306" s="25" t="inlineStr">
        <is>
          <t>RSWM</t>
        </is>
      </c>
      <c r="B306" s="26" t="inlineStr">
        <is>
          <t>Rswm Limited</t>
        </is>
      </c>
      <c r="C306" s="25" t="inlineStr">
        <is>
          <t>textiles</t>
        </is>
      </c>
      <c r="D306" s="25" t="inlineStr">
        <is>
          <t>textiles - cotton/blended</t>
        </is>
      </c>
      <c r="E306" s="25" t="inlineStr">
        <is>
          <t>smallcap</t>
        </is>
      </c>
      <c r="F306" s="25" t="n">
        <v>824.66</v>
      </c>
      <c r="G306" s="25" t="n">
        <v>171.46</v>
      </c>
      <c r="H306" s="26" t="n">
        <v>-2.07</v>
      </c>
      <c r="I306" s="26" t="n">
        <v>111974</v>
      </c>
      <c r="J306" s="26" t="inlineStr">
        <is>
          <t>500350</t>
        </is>
      </c>
    </row>
    <row r="307">
      <c r="A307" s="25" t="inlineStr">
        <is>
          <t>BIOCON</t>
        </is>
      </c>
      <c r="B307" s="26" t="inlineStr">
        <is>
          <t>Biocon Limited</t>
        </is>
      </c>
      <c r="C307" s="25" t="inlineStr">
        <is>
          <t>healthcare</t>
        </is>
      </c>
      <c r="D307" s="25" t="inlineStr">
        <is>
          <t>pharmaceuticals - indian - bulk drugs &amp; formln</t>
        </is>
      </c>
      <c r="E307" s="25" t="inlineStr">
        <is>
          <t>largecap</t>
        </is>
      </c>
      <c r="F307" s="25" t="n">
        <v>68993.94</v>
      </c>
      <c r="G307" s="25" t="n">
        <v>416.8</v>
      </c>
      <c r="H307" s="26" t="n">
        <v>-2.08</v>
      </c>
      <c r="I307" s="26" t="n">
        <v>3030795</v>
      </c>
      <c r="J307" s="26" t="inlineStr">
        <is>
          <t>532523</t>
        </is>
      </c>
    </row>
    <row r="308">
      <c r="A308" s="25" t="inlineStr">
        <is>
          <t>DIVGIITTS</t>
        </is>
      </c>
      <c r="B308" s="26" t="inlineStr">
        <is>
          <t>Divgi Torqtransfer Systems Ltd</t>
        </is>
      </c>
      <c r="C308" s="25" t="inlineStr">
        <is>
          <t>auto</t>
        </is>
      </c>
      <c r="D308" s="25" t="inlineStr">
        <is>
          <t>auto ancillaries</t>
        </is>
      </c>
      <c r="E308" s="25" t="inlineStr">
        <is>
          <t>smallcap</t>
        </is>
      </c>
      <c r="F308" s="25" t="n">
        <v>2466.21</v>
      </c>
      <c r="G308" s="25" t="n">
        <v>789.45</v>
      </c>
      <c r="H308" s="26" t="n">
        <v>-2.1</v>
      </c>
      <c r="I308" s="26" t="n">
        <v>44740</v>
      </c>
      <c r="J308" s="26" t="inlineStr">
        <is>
          <t>543812</t>
        </is>
      </c>
    </row>
    <row r="309">
      <c r="A309" s="25" t="inlineStr">
        <is>
          <t>GHCLTEXTIL</t>
        </is>
      </c>
      <c r="B309" s="26" t="inlineStr">
        <is>
          <t>GHCL Textiles Ltd</t>
        </is>
      </c>
      <c r="C309" s="25" t="inlineStr">
        <is>
          <t>textiles</t>
        </is>
      </c>
      <c r="D309" s="25" t="inlineStr">
        <is>
          <t>textiles - spinning - synthetic / blended</t>
        </is>
      </c>
      <c r="E309" s="25" t="inlineStr">
        <is>
          <t>smallcap</t>
        </is>
      </c>
      <c r="F309" s="25" t="n">
        <v>950.6</v>
      </c>
      <c r="G309" s="25" t="n">
        <v>97.17</v>
      </c>
      <c r="H309" s="26" t="n">
        <v>-2.29</v>
      </c>
      <c r="I309" s="26" t="n">
        <v>373108</v>
      </c>
      <c r="J309" s="26" t="inlineStr">
        <is>
          <t>543918</t>
        </is>
      </c>
    </row>
    <row r="310">
      <c r="A310" s="25" t="inlineStr">
        <is>
          <t>SIGMAADV</t>
        </is>
      </c>
      <c r="B310" s="26" t="inlineStr">
        <is>
          <t>Sigma Advanced System Ltd</t>
        </is>
      </c>
      <c r="C310" s="25" t="inlineStr">
        <is>
          <t>aerospace &amp; defence</t>
        </is>
      </c>
      <c r="D310" s="25" t="inlineStr">
        <is>
          <t>electronics - components</t>
        </is>
      </c>
      <c r="E310" s="25" t="inlineStr">
        <is>
          <t>midcap</t>
        </is>
      </c>
      <c r="F310" s="25" t="n">
        <v>7514.86</v>
      </c>
      <c r="G310" s="25" t="n">
        <v>416.1</v>
      </c>
      <c r="H310" s="26" t="n">
        <v>-2.42</v>
      </c>
      <c r="I310" s="26" t="n">
        <v>575360</v>
      </c>
      <c r="J310" s="26" t="inlineStr">
        <is>
          <t>532408</t>
        </is>
      </c>
    </row>
    <row r="311">
      <c r="A311" s="25" t="inlineStr">
        <is>
          <t>WHEELS</t>
        </is>
      </c>
      <c r="B311" s="26" t="inlineStr">
        <is>
          <t>Wheels India Limited</t>
        </is>
      </c>
      <c r="C311" s="25" t="inlineStr">
        <is>
          <t>auto</t>
        </is>
      </c>
      <c r="D311" s="25" t="inlineStr">
        <is>
          <t>auto ancillaries</t>
        </is>
      </c>
      <c r="E311" s="25" t="inlineStr">
        <is>
          <t>smallcap</t>
        </is>
      </c>
      <c r="F311" s="25" t="n">
        <v>3803.24</v>
      </c>
      <c r="G311" s="25" t="n">
        <v>1517.9</v>
      </c>
      <c r="H311" s="26" t="n">
        <v>-2.49</v>
      </c>
      <c r="I311" s="26" t="n">
        <v>76131</v>
      </c>
      <c r="J311" s="26" t="inlineStr">
        <is>
          <t>590073</t>
        </is>
      </c>
    </row>
    <row r="312">
      <c r="A312" s="25" t="inlineStr">
        <is>
          <t>NOVARTIND</t>
        </is>
      </c>
      <c r="B312" s="26" t="inlineStr">
        <is>
          <t>Novartis India Ltd</t>
        </is>
      </c>
      <c r="C312" s="25" t="inlineStr">
        <is>
          <t>healthcare</t>
        </is>
      </c>
      <c r="D312" s="25" t="inlineStr">
        <is>
          <t>pharmaceuticals - multinational</t>
        </is>
      </c>
      <c r="E312" s="25" t="inlineStr">
        <is>
          <t>smallcap</t>
        </is>
      </c>
      <c r="F312" s="25" t="n">
        <v>3726.09</v>
      </c>
      <c r="G312" s="25" t="n">
        <v>1465.5</v>
      </c>
      <c r="H312" s="26" t="n">
        <v>-2.89</v>
      </c>
      <c r="I312" s="26" t="n">
        <v>14088</v>
      </c>
      <c r="J312" s="26" t="inlineStr">
        <is>
          <t>500672</t>
        </is>
      </c>
    </row>
    <row r="313">
      <c r="A313" s="25" t="inlineStr">
        <is>
          <t>CEMPRO</t>
        </is>
      </c>
      <c r="B313" s="26" t="inlineStr">
        <is>
          <t>Cemindia Projects Ltd</t>
        </is>
      </c>
      <c r="C313" s="25" t="inlineStr">
        <is>
          <t>realty</t>
        </is>
      </c>
      <c r="D313" s="25" t="inlineStr">
        <is>
          <t>construction</t>
        </is>
      </c>
      <c r="E313" s="25" t="inlineStr">
        <is>
          <t>midcap</t>
        </is>
      </c>
      <c r="F313" s="25" t="n">
        <v>18446.55</v>
      </c>
      <c r="G313" s="25" t="n">
        <v>1041.7</v>
      </c>
      <c r="H313" s="26" t="n">
        <v>-2.99</v>
      </c>
      <c r="I313" s="26" t="n">
        <v>547401</v>
      </c>
      <c r="J313" s="26" t="inlineStr">
        <is>
          <t>509496</t>
        </is>
      </c>
    </row>
    <row r="314">
      <c r="A314" s="25" t="inlineStr">
        <is>
          <t>VINDHYATEL</t>
        </is>
      </c>
      <c r="B314" s="26" t="inlineStr">
        <is>
          <t>Vindhya Telelinks Limited</t>
        </is>
      </c>
      <c r="C314" s="25" t="inlineStr">
        <is>
          <t>realty</t>
        </is>
      </c>
      <c r="D314" s="25" t="inlineStr">
        <is>
          <t>construction</t>
        </is>
      </c>
      <c r="E314" s="25" t="inlineStr">
        <is>
          <t>smallcap</t>
        </is>
      </c>
      <c r="F314" s="25" t="n">
        <v>2588.11</v>
      </c>
      <c r="G314" s="25" t="n">
        <v>2117.9</v>
      </c>
      <c r="H314" s="26" t="n">
        <v>-3.02</v>
      </c>
      <c r="I314" s="26" t="n">
        <v>153726</v>
      </c>
      <c r="J314" s="26" t="inlineStr">
        <is>
          <t>517015</t>
        </is>
      </c>
    </row>
    <row r="315">
      <c r="A315" s="25" t="inlineStr">
        <is>
          <t>NGLFINE</t>
        </is>
      </c>
      <c r="B315" s="26" t="inlineStr">
        <is>
          <t>NGL Fine Chem Ltd</t>
        </is>
      </c>
      <c r="C315" s="25" t="inlineStr">
        <is>
          <t>healthcare</t>
        </is>
      </c>
      <c r="D315" s="25" t="inlineStr">
        <is>
          <t>pharmaceuticals - indian - bulk drugs</t>
        </is>
      </c>
      <c r="E315" s="25" t="inlineStr">
        <is>
          <t>smallcap</t>
        </is>
      </c>
      <c r="F315" s="25" t="n">
        <v>1692.78</v>
      </c>
      <c r="G315" s="25" t="n">
        <v>2654.5</v>
      </c>
      <c r="H315" s="26" t="n">
        <v>-3.12</v>
      </c>
      <c r="I315" s="26" t="n">
        <v>9490</v>
      </c>
      <c r="J315" s="26" t="inlineStr">
        <is>
          <t>524774</t>
        </is>
      </c>
    </row>
    <row r="316">
      <c r="A316" s="25" t="inlineStr">
        <is>
          <t>KIRLOSENG</t>
        </is>
      </c>
      <c r="B316" s="26" t="inlineStr">
        <is>
          <t>Kirloskar Oil Engines Limited</t>
        </is>
      </c>
      <c r="C316" s="25" t="inlineStr">
        <is>
          <t>industrials</t>
        </is>
      </c>
      <c r="D316" s="25" t="inlineStr">
        <is>
          <t>engines</t>
        </is>
      </c>
      <c r="E316" s="25" t="inlineStr">
        <is>
          <t>largecap</t>
        </is>
      </c>
      <c r="F316" s="25" t="n">
        <v>27887.16</v>
      </c>
      <c r="G316" s="25" t="n">
        <v>1856.9</v>
      </c>
      <c r="H316" s="26" t="n">
        <v>-3.21</v>
      </c>
      <c r="I316" s="26" t="n">
        <v>648217</v>
      </c>
      <c r="J316" s="26" t="inlineStr">
        <is>
          <t>533293</t>
        </is>
      </c>
    </row>
    <row r="317">
      <c r="A317" s="25" t="inlineStr">
        <is>
          <t>SHAILY</t>
        </is>
      </c>
      <c r="B317" s="26" t="inlineStr">
        <is>
          <t>Shaily Engineering Plastics Ltd</t>
        </is>
      </c>
      <c r="C317" s="25" t="inlineStr">
        <is>
          <t>plastic products</t>
        </is>
      </c>
      <c r="D317" s="25" t="inlineStr">
        <is>
          <t>plastics products</t>
        </is>
      </c>
      <c r="E317" s="25" t="inlineStr">
        <is>
          <t>midcap</t>
        </is>
      </c>
      <c r="F317" s="25" t="n">
        <v>14451.96</v>
      </c>
      <c r="G317" s="25" t="n">
        <v>3038</v>
      </c>
      <c r="H317" s="26" t="n">
        <v>-3.4</v>
      </c>
      <c r="I317" s="26" t="n">
        <v>418046</v>
      </c>
      <c r="J317" s="26" t="inlineStr">
        <is>
          <t>501423</t>
        </is>
      </c>
    </row>
    <row r="318">
      <c r="A318" s="25" t="inlineStr">
        <is>
          <t>POWERINDIA</t>
        </is>
      </c>
      <c r="B318" s="26" t="inlineStr">
        <is>
          <t>Hitachi Energy India Ltd</t>
        </is>
      </c>
      <c r="C318" s="25" t="inlineStr">
        <is>
          <t>industrials</t>
        </is>
      </c>
      <c r="D318" s="25" t="inlineStr">
        <is>
          <t>electric equipment</t>
        </is>
      </c>
      <c r="E318" s="25" t="inlineStr">
        <is>
          <t>largecap</t>
        </is>
      </c>
      <c r="F318" s="25" t="n">
        <v>162154.26</v>
      </c>
      <c r="G318" s="25" t="n">
        <v>35105</v>
      </c>
      <c r="H318" s="26" t="n">
        <v>-3.5</v>
      </c>
      <c r="I318" s="26" t="n">
        <v>244798</v>
      </c>
      <c r="J318" s="26" t="inlineStr">
        <is>
          <t>543187</t>
        </is>
      </c>
    </row>
    <row r="319">
      <c r="A319" s="25" t="inlineStr">
        <is>
          <t>SOFTTECH</t>
        </is>
      </c>
      <c r="B319" s="26" t="inlineStr">
        <is>
          <t>Softtech Engineers Ltd</t>
        </is>
      </c>
      <c r="C319" s="25" t="inlineStr">
        <is>
          <t>i.t</t>
        </is>
      </c>
      <c r="D319" s="25" t="inlineStr">
        <is>
          <t>computers - software - medium / small</t>
        </is>
      </c>
      <c r="E319" s="25" t="inlineStr">
        <is>
          <t>smallcap</t>
        </is>
      </c>
      <c r="F319" s="25" t="n">
        <v>666.15</v>
      </c>
      <c r="G319" s="25" t="n">
        <v>463</v>
      </c>
      <c r="H319" s="26" t="n">
        <v>-3.79</v>
      </c>
      <c r="I319" s="26" t="n">
        <v>4574</v>
      </c>
      <c r="J319" s="26" t="inlineStr">
        <is>
          <t>535078</t>
        </is>
      </c>
    </row>
    <row r="320">
      <c r="A320" s="25" t="inlineStr">
        <is>
          <t>SWANDEF</t>
        </is>
      </c>
      <c r="B320" s="26" t="inlineStr">
        <is>
          <t>Swan Defence and Heavy Industries Ltd</t>
        </is>
      </c>
      <c r="C320" s="25" t="inlineStr">
        <is>
          <t>transportation</t>
        </is>
      </c>
      <c r="D320" s="25" t="inlineStr">
        <is>
          <t>miscellaneous</t>
        </is>
      </c>
      <c r="E320" s="25" t="inlineStr">
        <is>
          <t>midcap</t>
        </is>
      </c>
      <c r="F320" s="25" t="n">
        <v>11249.22</v>
      </c>
      <c r="G320" s="25" t="n">
        <v>2038.3</v>
      </c>
      <c r="H320" s="26" t="n">
        <v>-4.54</v>
      </c>
      <c r="I320" s="26" t="n">
        <v>26355</v>
      </c>
      <c r="J320" s="26" t="inlineStr">
        <is>
          <t>533107</t>
        </is>
      </c>
    </row>
    <row r="321">
      <c r="A321" s="25" t="inlineStr">
        <is>
          <t>OMAXAUTO</t>
        </is>
      </c>
      <c r="B321" s="26" t="inlineStr">
        <is>
          <t>Omax Autos Limited</t>
        </is>
      </c>
      <c r="C321" s="25" t="inlineStr">
        <is>
          <t>auto</t>
        </is>
      </c>
      <c r="D321" s="25" t="inlineStr">
        <is>
          <t>auto ancillaries</t>
        </is>
      </c>
      <c r="E321" s="25" t="inlineStr">
        <is>
          <t>smallcap</t>
        </is>
      </c>
      <c r="F321" s="25" t="n">
        <v>550</v>
      </c>
      <c r="G321" s="25" t="n">
        <v>244.3</v>
      </c>
      <c r="H321" s="26" t="n">
        <v>-5</v>
      </c>
      <c r="I321" s="26" t="n">
        <v>95445</v>
      </c>
      <c r="J321" s="26" t="inlineStr">
        <is>
          <t>520021</t>
        </is>
      </c>
    </row>
    <row r="322">
      <c r="A322" s="25" t="inlineStr">
        <is>
          <t>STEELXIND</t>
        </is>
      </c>
      <c r="B322" s="26" t="inlineStr">
        <is>
          <t>Steel Exchange India Ltd</t>
        </is>
      </c>
      <c r="C322" s="25" t="inlineStr">
        <is>
          <t>metals &amp; mining</t>
        </is>
      </c>
      <c r="D322" s="25" t="inlineStr">
        <is>
          <t>steel - medium / small</t>
        </is>
      </c>
      <c r="E322" s="25" t="inlineStr">
        <is>
          <t>smallcap</t>
        </is>
      </c>
      <c r="F322" s="25" t="n">
        <v>1631.39</v>
      </c>
      <c r="G322" s="25" t="n">
        <v>12.14</v>
      </c>
      <c r="H322" s="26" t="n">
        <v>-5.08</v>
      </c>
      <c r="I322" s="26" t="n">
        <v>4503732</v>
      </c>
      <c r="J322" s="26" t="inlineStr">
        <is>
          <t>534748</t>
        </is>
      </c>
    </row>
    <row r="323">
      <c r="A323" s="25" t="inlineStr">
        <is>
          <t>WOCKPHARMA</t>
        </is>
      </c>
      <c r="B323" s="26" t="inlineStr">
        <is>
          <t>Wockhardt Limited</t>
        </is>
      </c>
      <c r="C323" s="25" t="inlineStr">
        <is>
          <t>healthcare</t>
        </is>
      </c>
      <c r="D323" s="25" t="inlineStr">
        <is>
          <t>pharmaceuticals - indian - bulk drugs &amp; formln</t>
        </is>
      </c>
      <c r="E323" s="25" t="inlineStr">
        <is>
          <t>largecap</t>
        </is>
      </c>
      <c r="F323" s="25" t="n">
        <v>34982.94</v>
      </c>
      <c r="G323" s="25" t="n">
        <v>1966.2</v>
      </c>
      <c r="H323" s="26" t="n">
        <v>-8.67</v>
      </c>
      <c r="I323" s="26" t="n">
        <v>6165675</v>
      </c>
      <c r="J323" s="26" t="inlineStr">
        <is>
          <t>532300</t>
        </is>
      </c>
    </row>
    <row r="324">
      <c r="A324" s="25" t="inlineStr">
        <is>
          <t>SUPRIYA</t>
        </is>
      </c>
      <c r="B324" s="26" t="inlineStr">
        <is>
          <t>Supriya Lifescience Ltd</t>
        </is>
      </c>
      <c r="C324" s="25" t="inlineStr">
        <is>
          <t>healthcare</t>
        </is>
      </c>
      <c r="D324" s="25" t="inlineStr">
        <is>
          <t>pharmaceuticals - indian - bulk drugs &amp; formln</t>
        </is>
      </c>
      <c r="E324" s="25" t="inlineStr">
        <is>
          <t>midcap</t>
        </is>
      </c>
      <c r="F324" s="25" t="n">
        <v>8470.809999999999</v>
      </c>
      <c r="G324" s="25" t="n">
        <v>917.25</v>
      </c>
      <c r="H324" s="26" t="n">
        <v>-12.85</v>
      </c>
      <c r="I324" s="26" t="n">
        <v>2259026</v>
      </c>
      <c r="J324" s="26" t="inlineStr">
        <is>
          <t>543434</t>
        </is>
      </c>
    </row>
  </sheetData>
  <autoFilter ref="A1:J3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9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3" customWidth="1" min="12" max="12"/>
    <col width="23" customWidth="1" min="13" max="13"/>
    <col width="26" customWidth="1" min="14" max="14"/>
    <col width="32" customWidth="1" min="15" max="15"/>
    <col width="19" customWidth="1" min="16" max="16"/>
    <col width="25" customWidth="1" min="17" max="17"/>
    <col width="19" customWidth="1" min="18" max="18"/>
    <col width="25" customWidth="1" min="19" max="19"/>
    <col width="14" customWidth="1" min="20" max="20"/>
    <col width="20" customWidth="1" min="21" max="21"/>
    <col width="29" customWidth="1" min="22" max="22"/>
    <col width="34" customWidth="1" min="23" max="23"/>
    <col width="17" customWidth="1" min="24" max="24"/>
    <col width="23" customWidth="1" min="25" max="25"/>
    <col width="12" customWidth="1" min="26" max="26"/>
    <col width="17" customWidth="1" min="27" max="27"/>
    <col width="21" customWidth="1" min="28" max="28"/>
    <col width="27" customWidth="1" min="29" max="29"/>
    <col width="12" customWidth="1" min="30" max="30"/>
    <col width="16" customWidth="1" min="31" max="31"/>
    <col width="17" customWidth="1" min="32" max="32"/>
    <col width="23" customWidth="1" min="33" max="33"/>
    <col width="22" customWidth="1" min="34" max="34"/>
    <col width="28" customWidth="1" min="35" max="35"/>
    <col width="19" customWidth="1" min="36" max="36"/>
    <col width="25" customWidth="1" min="37" max="37"/>
    <col width="22" customWidth="1" min="38" max="38"/>
    <col width="28" customWidth="1" min="39" max="39"/>
    <col width="22" customWidth="1" min="40" max="40"/>
    <col width="28" customWidth="1" min="41" max="41"/>
    <col width="12" customWidth="1" min="42" max="42"/>
    <col width="13" customWidth="1" min="43" max="43"/>
    <col width="12" customWidth="1" min="44" max="44"/>
    <col width="13" customWidth="1" min="45" max="45"/>
    <col width="18" customWidth="1" min="46" max="46"/>
    <col width="24" customWidth="1" min="47" max="47"/>
    <col width="23" customWidth="1" min="48" max="48"/>
    <col width="29" customWidth="1" min="49" max="49"/>
    <col width="19" customWidth="1" min="50" max="50"/>
    <col width="25" customWidth="1" min="51" max="51"/>
    <col width="17" customWidth="1" min="52" max="52"/>
    <col width="23" customWidth="1" min="53" max="53"/>
    <col width="14" customWidth="1" min="54" max="54"/>
    <col width="20" customWidth="1" min="55" max="55"/>
    <col width="12" customWidth="1" min="56" max="56"/>
    <col width="16" customWidth="1" min="57" max="57"/>
    <col width="14" customWidth="1" min="58" max="58"/>
    <col width="20" customWidth="1" min="59" max="59"/>
    <col width="17" customWidth="1" min="60" max="60"/>
    <col width="23" customWidth="1" min="61" max="61"/>
    <col width="12" customWidth="1" min="62" max="62"/>
    <col width="18" customWidth="1" min="63" max="63"/>
    <col width="13" customWidth="1" min="64" max="64"/>
    <col width="19" customWidth="1" min="65" max="65"/>
    <col width="17" customWidth="1" min="66" max="66"/>
    <col width="23" customWidth="1" min="67" max="67"/>
    <col width="18" customWidth="1" min="68" max="68"/>
    <col width="24" customWidth="1" min="69" max="69"/>
    <col width="23" customWidth="1" min="70" max="70"/>
    <col width="29" customWidth="1" min="71" max="71"/>
    <col width="24" customWidth="1" min="72" max="72"/>
    <col width="30" customWidth="1" min="73" max="73"/>
    <col width="12" customWidth="1" min="74" max="74"/>
    <col width="18" customWidth="1" min="75" max="75"/>
  </cols>
  <sheetData>
    <row r="1">
      <c r="A1" s="24" t="inlineStr">
        <is>
          <t>Rank (Non Financial)</t>
        </is>
      </c>
      <c r="B1" s="24" t="inlineStr">
        <is>
          <t>Total Score</t>
        </is>
      </c>
      <c r="C1" s="24" t="inlineStr">
        <is>
          <t>Symbol</t>
        </is>
      </c>
      <c r="D1" s="24" t="inlineStr">
        <is>
          <t>Company</t>
        </is>
      </c>
      <c r="E1" s="24" t="inlineStr">
        <is>
          <t>Sector</t>
        </is>
      </c>
      <c r="F1" s="24" t="inlineStr">
        <is>
          <t>Industry</t>
        </is>
      </c>
      <c r="G1" s="24" t="inlineStr">
        <is>
          <t>Market Cap Bucket</t>
        </is>
      </c>
      <c r="H1" s="24" t="inlineStr">
        <is>
          <t>Market Cap Cr</t>
        </is>
      </c>
      <c r="I1" s="24" t="inlineStr">
        <is>
          <t>Close</t>
        </is>
      </c>
      <c r="J1" s="24" t="inlineStr">
        <is>
          <t>Today Return %</t>
        </is>
      </c>
      <c r="K1" s="24" t="inlineStr">
        <is>
          <t>Volume</t>
        </is>
      </c>
      <c r="L1" s="24" t="inlineStr">
        <is>
          <t>Calculated RSI (14)</t>
        </is>
      </c>
      <c r="M1" s="24" t="inlineStr">
        <is>
          <t>Calculated ADX (14)</t>
        </is>
      </c>
      <c r="N1" s="24" t="inlineStr">
        <is>
          <t>Calculated V-stop Line</t>
        </is>
      </c>
      <c r="O1" s="24" t="inlineStr">
        <is>
          <t>Calculated Near-term Trigger</t>
        </is>
      </c>
      <c r="P1" s="24" t="inlineStr">
        <is>
          <t>Industry Growth</t>
        </is>
      </c>
      <c r="Q1" s="24" t="inlineStr">
        <is>
          <t>Industry Growth Score</t>
        </is>
      </c>
      <c r="R1" s="24" t="inlineStr">
        <is>
          <t>Competitiveness</t>
        </is>
      </c>
      <c r="S1" s="24" t="inlineStr">
        <is>
          <t>Competitiveness Score</t>
        </is>
      </c>
      <c r="T1" s="24" t="inlineStr">
        <is>
          <t>Regulation</t>
        </is>
      </c>
      <c r="U1" s="24" t="inlineStr">
        <is>
          <t>Regulation Score</t>
        </is>
      </c>
      <c r="V1" s="24" t="inlineStr">
        <is>
          <t>Sector Headwinds/Tailwind</t>
        </is>
      </c>
      <c r="W1" s="24" t="inlineStr">
        <is>
          <t>Sector Headwinds/Tailwind Score</t>
        </is>
      </c>
      <c r="X1" s="24" t="inlineStr">
        <is>
          <t>Industry Type</t>
        </is>
      </c>
      <c r="Y1" s="24" t="inlineStr">
        <is>
          <t>Industry Type Score</t>
        </is>
      </c>
      <c r="Z1" s="24" t="inlineStr">
        <is>
          <t>Margins</t>
        </is>
      </c>
      <c r="AA1" s="24" t="inlineStr">
        <is>
          <t>Margins Score</t>
        </is>
      </c>
      <c r="AB1" s="24" t="inlineStr">
        <is>
          <t>Margins Stability</t>
        </is>
      </c>
      <c r="AC1" s="24" t="inlineStr">
        <is>
          <t>Margins Stability Score</t>
        </is>
      </c>
      <c r="AD1" s="24" t="inlineStr">
        <is>
          <t>Growth</t>
        </is>
      </c>
      <c r="AE1" s="24" t="inlineStr">
        <is>
          <t>Growth Score</t>
        </is>
      </c>
      <c r="AF1" s="24" t="inlineStr">
        <is>
          <t>Business Type</t>
        </is>
      </c>
      <c r="AG1" s="24" t="inlineStr">
        <is>
          <t>Business Type Score</t>
        </is>
      </c>
      <c r="AH1" s="24" t="inlineStr">
        <is>
          <t>Near term triggers</t>
        </is>
      </c>
      <c r="AI1" s="24" t="inlineStr">
        <is>
          <t>Near term triggers Score</t>
        </is>
      </c>
      <c r="AJ1" s="24" t="inlineStr">
        <is>
          <t>Type of Revenue</t>
        </is>
      </c>
      <c r="AK1" s="24" t="inlineStr">
        <is>
          <t>Type of Revenue Score</t>
        </is>
      </c>
      <c r="AL1" s="24" t="inlineStr">
        <is>
          <t>Capital Allocation</t>
        </is>
      </c>
      <c r="AM1" s="24" t="inlineStr">
        <is>
          <t>Capital Allocation Score</t>
        </is>
      </c>
      <c r="AN1" s="24" t="inlineStr">
        <is>
          <t>Medium term Growth</t>
        </is>
      </c>
      <c r="AO1" s="24" t="inlineStr">
        <is>
          <t>Medium term Growth Score</t>
        </is>
      </c>
      <c r="AP1" s="24" t="inlineStr">
        <is>
          <t>ADX</t>
        </is>
      </c>
      <c r="AQ1" s="24" t="inlineStr">
        <is>
          <t>ADX Score</t>
        </is>
      </c>
      <c r="AR1" s="24" t="inlineStr">
        <is>
          <t>RSI</t>
        </is>
      </c>
      <c r="AS1" s="24" t="inlineStr">
        <is>
          <t>RSI Score</t>
        </is>
      </c>
      <c r="AT1" s="24" t="inlineStr">
        <is>
          <t>Stage Analysis</t>
        </is>
      </c>
      <c r="AU1" s="24" t="inlineStr">
        <is>
          <t>Stage Analysis Score</t>
        </is>
      </c>
      <c r="AV1" s="24" t="inlineStr">
        <is>
          <t>Price Volume Action</t>
        </is>
      </c>
      <c r="AW1" s="24" t="inlineStr">
        <is>
          <t>Price Volume Action Score</t>
        </is>
      </c>
      <c r="AX1" s="24" t="inlineStr">
        <is>
          <t>Secondary Trend</t>
        </is>
      </c>
      <c r="AY1" s="24" t="inlineStr">
        <is>
          <t>Secondary Trend Score</t>
        </is>
      </c>
      <c r="AZ1" s="24" t="inlineStr">
        <is>
          <t>Primary Trend</t>
        </is>
      </c>
      <c r="BA1" s="24" t="inlineStr">
        <is>
          <t>Primary Trend Score</t>
        </is>
      </c>
      <c r="BB1" s="24" t="inlineStr">
        <is>
          <t>Resistance</t>
        </is>
      </c>
      <c r="BC1" s="24" t="inlineStr">
        <is>
          <t>Resistance Score</t>
        </is>
      </c>
      <c r="BD1" s="24" t="inlineStr">
        <is>
          <t>V-stop</t>
        </is>
      </c>
      <c r="BE1" s="24" t="inlineStr">
        <is>
          <t>V-stop Score</t>
        </is>
      </c>
      <c r="BF1" s="24" t="inlineStr">
        <is>
          <t>PAT Growth</t>
        </is>
      </c>
      <c r="BG1" s="24" t="inlineStr">
        <is>
          <t>PAT Growth Score</t>
        </is>
      </c>
      <c r="BH1" s="24" t="inlineStr">
        <is>
          <t>Stock History</t>
        </is>
      </c>
      <c r="BI1" s="24" t="inlineStr">
        <is>
          <t>Stock History Score</t>
        </is>
      </c>
      <c r="BJ1" s="24" t="inlineStr">
        <is>
          <t>PE Ratio</t>
        </is>
      </c>
      <c r="BK1" s="24" t="inlineStr">
        <is>
          <t>PE Ratio Score</t>
        </is>
      </c>
      <c r="BL1" s="24" t="inlineStr">
        <is>
          <t>PEG Ratio</t>
        </is>
      </c>
      <c r="BM1" s="24" t="inlineStr">
        <is>
          <t>PEG Ratio Score</t>
        </is>
      </c>
      <c r="BN1" s="24" t="inlineStr">
        <is>
          <t>CFO to EBITDA</t>
        </is>
      </c>
      <c r="BO1" s="24" t="inlineStr">
        <is>
          <t>CFO to EBITDA Score</t>
        </is>
      </c>
      <c r="BP1" s="24" t="inlineStr">
        <is>
          <t>Debt to Equity</t>
        </is>
      </c>
      <c r="BQ1" s="24" t="inlineStr">
        <is>
          <t>Debt to Equity Score</t>
        </is>
      </c>
      <c r="BR1" s="24" t="inlineStr">
        <is>
          <t>Auditor Resignation</t>
        </is>
      </c>
      <c r="BS1" s="24" t="inlineStr">
        <is>
          <t>Auditor Resignation Score</t>
        </is>
      </c>
      <c r="BT1" s="24" t="inlineStr">
        <is>
          <t>Contingent Liability</t>
        </is>
      </c>
      <c r="BU1" s="24" t="inlineStr">
        <is>
          <t>Contingent Liability Score</t>
        </is>
      </c>
      <c r="BV1" s="24" t="inlineStr">
        <is>
          <t>Pledging</t>
        </is>
      </c>
      <c r="BW1" s="24" t="inlineStr">
        <is>
          <t>Pledging Score</t>
        </is>
      </c>
    </row>
    <row r="2">
      <c r="A2" s="25">
        <f>IF(B2=0,"",RANK(B2,$B$2:$B$292,0))</f>
        <v/>
      </c>
      <c r="B2" s="26">
        <f>SUM(Q2,S2,U2,W2,Y2,AA2,AC2,AE2,AG2,AI2,AK2,AM2,AO2,AQ2,AS2,AU2,AW2,AY2,BA2,BC2,BE2,BG2,BI2,BK2,BM2,BO2,BQ2,BS2,BU2,BW2)</f>
        <v/>
      </c>
      <c r="C2" s="25" t="inlineStr">
        <is>
          <t>GAYAPROJ</t>
        </is>
      </c>
      <c r="D2" s="25" t="inlineStr">
        <is>
          <t>Gayatri Projects Limited</t>
        </is>
      </c>
      <c r="E2" s="25" t="inlineStr">
        <is>
          <t>realty</t>
        </is>
      </c>
      <c r="F2" s="25" t="inlineStr">
        <is>
          <t>construction</t>
        </is>
      </c>
      <c r="G2" s="25" t="inlineStr">
        <is>
          <t>smallcap</t>
        </is>
      </c>
      <c r="H2" s="26" t="n">
        <v>581.73</v>
      </c>
      <c r="I2" s="26" t="n">
        <v>20.61</v>
      </c>
      <c r="J2" s="26" t="n">
        <v>4.94</v>
      </c>
      <c r="K2" s="26" t="n">
        <v>1522375</v>
      </c>
      <c r="L2" s="26" t="n">
        <v>73.02</v>
      </c>
      <c r="M2" s="26" t="n">
        <v>62.74</v>
      </c>
      <c r="N2" s="26" t="n">
        <v>16.59</v>
      </c>
      <c r="O2" s="25" t="inlineStr">
        <is>
          <t>Near 52W High Breakout</t>
        </is>
      </c>
      <c r="P2" s="25" t="inlineStr">
        <is>
          <t>Growing Industry</t>
        </is>
      </c>
      <c r="Q2" s="25">
        <f>IF(P2="Growing Industry",10,IF(P2="Cyclical in an Upturn",5,0))</f>
        <v/>
      </c>
      <c r="R2" s="25" t="inlineStr">
        <is>
          <t>Too Many Players with High ROCE</t>
        </is>
      </c>
      <c r="S2" s="25">
        <f>IF(R2="Monopoly",10,IF(R2="Oligopoly",5,IF(R2="Duopoly that cooperate",10,IF(R2="Duopoly that compete",5,IF(R2="Too many players with High ROCE",5,0)))))</f>
        <v/>
      </c>
      <c r="T2" s="25" t="inlineStr">
        <is>
          <t>No</t>
        </is>
      </c>
      <c r="U2" s="25">
        <f>IF(T2="No",5,0)</f>
        <v/>
      </c>
      <c r="V2" s="25" t="inlineStr">
        <is>
          <t>Tailwind</t>
        </is>
      </c>
      <c r="W2" s="25">
        <f>IF(V2="Tailwind",10,0)</f>
        <v/>
      </c>
      <c r="X2" s="25" t="inlineStr">
        <is>
          <t>Structural (10 Years Consistency)</t>
        </is>
      </c>
      <c r="Y2" s="25">
        <f>IF(X2="Structural (10 Years Consistency)",10,IF(X2="Shallow Cyclical (2 to 3 years growth)",5,0))</f>
        <v/>
      </c>
      <c r="Z2" s="25" t="inlineStr">
        <is>
          <t>No</t>
        </is>
      </c>
      <c r="AA2" s="25">
        <f>IF(Z2="Yes due to Product Mix change or Operating Leverage",10,IF(Z2="Yes, these are peak margins",-5,IF(Z2="No",5,0)))</f>
        <v/>
      </c>
      <c r="AB2" s="25" t="inlineStr">
        <is>
          <t>Stable</t>
        </is>
      </c>
      <c r="AC2" s="25">
        <f>IF(AB2="Stable",10,0)</f>
        <v/>
      </c>
      <c r="AD2" s="25" t="inlineStr">
        <is>
          <t>Yes</t>
        </is>
      </c>
      <c r="AE2" s="25">
        <f>IF(AD2="Yes",10,0)</f>
        <v/>
      </c>
      <c r="AF2" s="25" t="inlineStr">
        <is>
          <t>B2B</t>
        </is>
      </c>
      <c r="AG2" s="25">
        <f>IF(AF2="B2C",10,IF(AF2="B2B",5,0))</f>
        <v/>
      </c>
      <c r="AH2" s="25" t="inlineStr">
        <is>
          <t>Yes</t>
        </is>
      </c>
      <c r="AI2" s="25">
        <f>IF(AH2="Yes",10,0)</f>
        <v/>
      </c>
      <c r="AJ2" s="25" t="inlineStr">
        <is>
          <t>Higher One Time, Lower Annuity</t>
        </is>
      </c>
      <c r="AK2" s="25">
        <f>IF(AJ2="Fully Annuity",10,IF(AJ2="Higher Annuity, Lower One Time",5,IF(AJ2="Higher One Time, Lower Annuity",3,0)))</f>
        <v/>
      </c>
      <c r="AL2" s="25" t="inlineStr">
        <is>
          <t>Good</t>
        </is>
      </c>
      <c r="AM2" s="25">
        <f>IF(AL2="Good",10,0)</f>
        <v/>
      </c>
      <c r="AN2" s="25" t="inlineStr">
        <is>
          <t>Yes for more than 2 years</t>
        </is>
      </c>
      <c r="AO2" s="25">
        <f>IF(AN2="Yes for more than 2 years",10,IF(AN2="Yes only for next 1 to 2 years",5,0))</f>
        <v/>
      </c>
      <c r="AP2" s="25" t="inlineStr">
        <is>
          <t>Above 40</t>
        </is>
      </c>
      <c r="AQ2" s="25">
        <f>IF(AP2="Above 40",20,IF(AP2="20 to 40",10,IF(AP2="0 to 20",-5,0)))</f>
        <v/>
      </c>
      <c r="AR2" s="25" t="inlineStr">
        <is>
          <t>Between 50 to 75</t>
        </is>
      </c>
      <c r="AS2" s="25">
        <f>IF(AR2="Between 50 to 75",10,IF(AR2="Above 75",0,0))</f>
        <v/>
      </c>
      <c r="AT2" s="25" t="inlineStr">
        <is>
          <t>Stage 2</t>
        </is>
      </c>
      <c r="AU2" s="25">
        <f>IF(AT2="Stage 2",20,IF(AT2="Stage 1",0,IF(AT2="Stage 3",5,IF(AT2="Stage 4",-5,0))))</f>
        <v/>
      </c>
      <c r="AV2" s="25" t="inlineStr">
        <is>
          <t>Positive Trend</t>
        </is>
      </c>
      <c r="AW2" s="25">
        <f>IF(AV2="Positive Trend",20,IF(AV2="Negative Trend",-10,0))</f>
        <v/>
      </c>
      <c r="AX2" s="25" t="inlineStr">
        <is>
          <t>Uptrend</t>
        </is>
      </c>
      <c r="AY2" s="25">
        <f>IF(AX2="Uptrend",10,IF(AX2="Sideways",5,0))</f>
        <v/>
      </c>
      <c r="AZ2" s="25" t="inlineStr">
        <is>
          <t>Uptrend</t>
        </is>
      </c>
      <c r="BA2" s="25">
        <f>IF(AZ2="Uptrend",10,IF(AZ2="Sideways",5,0))</f>
        <v/>
      </c>
      <c r="BB2" s="25" t="inlineStr">
        <is>
          <t>Blue sky scenario</t>
        </is>
      </c>
      <c r="BC2" s="25">
        <f>IF(BB2="Overhead supply in last 2 years in last 2 years",-5,IF(BB2="Close to 52 week high or retracement",5,IF(BB2="Blue sky scenario",10,IF(BB2="Long term Downtrend",-10,0))))</f>
        <v/>
      </c>
      <c r="BD2" s="25" t="inlineStr">
        <is>
          <t>Yes</t>
        </is>
      </c>
      <c r="BE2" s="25">
        <f>IF(BD2="Yes",10,0)</f>
        <v/>
      </c>
      <c r="BF2" s="25" t="inlineStr">
        <is>
          <t>More than 20%</t>
        </is>
      </c>
      <c r="BG2" s="25">
        <f>IF(BF2="More than 20%",10,IF(BF2="Between 12 to 20%",5,IF(BF2="Less than 12%",0,0)))</f>
        <v/>
      </c>
      <c r="BH2" s="25" t="inlineStr">
        <is>
          <t>No</t>
        </is>
      </c>
      <c r="BI2" s="25">
        <f>IF(BH2="No",10,0)</f>
        <v/>
      </c>
      <c r="BJ2" s="25" t="inlineStr">
        <is>
          <t>No</t>
        </is>
      </c>
      <c r="BK2" s="25">
        <f>IF(BJ2="NO",5,0)</f>
        <v/>
      </c>
      <c r="BL2" s="25" t="inlineStr">
        <is>
          <t>Less than 1.5</t>
        </is>
      </c>
      <c r="BM2" s="25">
        <f>IF(BL2="Above 2",0,IF(BL2="Between 1.5 to 2",5,IF(BL2="Less than 1.5",10,0)))</f>
        <v/>
      </c>
      <c r="BN2" s="25" t="inlineStr">
        <is>
          <t>Above 70%</t>
        </is>
      </c>
      <c r="BO2" s="25">
        <f>IF(BN2="Above 70%",10,IF(BN2="Between 50% to 70%",5,IF(BN2="Less than 50%",0,IF(BN2="Negative",-10,IF(BN2="Less than 50% and Borrowings are increasing",-5,0)))))</f>
        <v/>
      </c>
      <c r="BP2" s="25" t="inlineStr">
        <is>
          <t>Less than 0.7</t>
        </is>
      </c>
      <c r="BQ2" s="25">
        <f>IF(BP2="More than 1.2",-10,IF(BP2="Between 0.7 to 1.2",0,IF(BP2="Less than 0.7",10,0)))</f>
        <v/>
      </c>
      <c r="BR2" s="25" t="inlineStr">
        <is>
          <t>No</t>
        </is>
      </c>
      <c r="BS2" s="25">
        <f>IF(BR2="Yes",-10,0)</f>
        <v/>
      </c>
      <c r="BT2" s="25" t="inlineStr">
        <is>
          <t>Less than 15%</t>
        </is>
      </c>
      <c r="BU2" s="25">
        <f>IF(BT2="More than 15%",-10,IF(BT2="Less than 15%",10,0))</f>
        <v/>
      </c>
      <c r="BV2" s="25" t="inlineStr">
        <is>
          <t>No</t>
        </is>
      </c>
      <c r="BW2" s="25">
        <f>IF(BV2="Yes, more than 10%",-10,IF(BV2="No",10,0))</f>
        <v/>
      </c>
    </row>
    <row r="3">
      <c r="A3" s="25">
        <f>IF(B3=0,"",RANK(B3,$B$2:$B$292,0))</f>
        <v/>
      </c>
      <c r="B3" s="26">
        <f>SUM(Q3,S3,U3,W3,Y3,AA3,AC3,AE3,AG3,AI3,AK3,AM3,AO3,AQ3,AS3,AU3,AW3,AY3,BA3,BC3,BE3,BG3,BI3,BK3,BM3,BO3,BQ3,BS3,BU3,BW3)</f>
        <v/>
      </c>
      <c r="C3" s="25" t="inlineStr">
        <is>
          <t>SEAMECLTD</t>
        </is>
      </c>
      <c r="D3" s="25" t="inlineStr">
        <is>
          <t>Seamec Limited</t>
        </is>
      </c>
      <c r="E3" s="25" t="inlineStr">
        <is>
          <t>miscellaneous</t>
        </is>
      </c>
      <c r="F3" s="25" t="inlineStr">
        <is>
          <t>miscellaneous</t>
        </is>
      </c>
      <c r="G3" s="25" t="inlineStr">
        <is>
          <t>smallcap</t>
        </is>
      </c>
      <c r="H3" s="26" t="n">
        <v>4130.04</v>
      </c>
      <c r="I3" s="26" t="n">
        <v>1643.3</v>
      </c>
      <c r="J3" s="26" t="n">
        <v>1.16</v>
      </c>
      <c r="K3" s="26" t="n">
        <v>56094</v>
      </c>
      <c r="L3" s="26" t="n">
        <v>74.40000000000001</v>
      </c>
      <c r="M3" s="26" t="n">
        <v>55.66</v>
      </c>
      <c r="N3" s="26" t="n">
        <v>1276.16</v>
      </c>
      <c r="O3" s="25" t="inlineStr">
        <is>
          <t>Near 52W High Breakout</t>
        </is>
      </c>
      <c r="P3" s="25" t="inlineStr">
        <is>
          <t>Growing Industry</t>
        </is>
      </c>
      <c r="Q3" s="25">
        <f>IF(P3="Growing Industry",10,IF(P3="Cyclical in an Upturn",5,0))</f>
        <v/>
      </c>
      <c r="R3" s="25" t="inlineStr">
        <is>
          <t>Too Many Players with High ROCE</t>
        </is>
      </c>
      <c r="S3" s="25">
        <f>IF(R3="Monopoly",10,IF(R3="Oligopoly",5,IF(R3="Duopoly that cooperate",10,IF(R3="Duopoly that compete",5,IF(R3="Too many players with High ROCE",5,0)))))</f>
        <v/>
      </c>
      <c r="T3" s="25" t="inlineStr">
        <is>
          <t>No</t>
        </is>
      </c>
      <c r="U3" s="25">
        <f>IF(T3="No",5,0)</f>
        <v/>
      </c>
      <c r="V3" s="25" t="inlineStr">
        <is>
          <t>Tailwind</t>
        </is>
      </c>
      <c r="W3" s="25">
        <f>IF(V3="Tailwind",10,0)</f>
        <v/>
      </c>
      <c r="X3" s="25" t="inlineStr">
        <is>
          <t>Structural (10 Years Consistency)</t>
        </is>
      </c>
      <c r="Y3" s="25">
        <f>IF(X3="Structural (10 Years Consistency)",10,IF(X3="Shallow Cyclical (2 to 3 years growth)",5,0))</f>
        <v/>
      </c>
      <c r="Z3" s="25" t="inlineStr">
        <is>
          <t>No</t>
        </is>
      </c>
      <c r="AA3" s="25">
        <f>IF(Z3="Yes due to Product Mix change or Operating Leverage",10,IF(Z3="Yes, these are peak margins",-5,IF(Z3="No",5,0)))</f>
        <v/>
      </c>
      <c r="AB3" s="25" t="inlineStr">
        <is>
          <t>Stable</t>
        </is>
      </c>
      <c r="AC3" s="25">
        <f>IF(AB3="Stable",10,0)</f>
        <v/>
      </c>
      <c r="AD3" s="25" t="inlineStr">
        <is>
          <t>Yes</t>
        </is>
      </c>
      <c r="AE3" s="25">
        <f>IF(AD3="Yes",10,0)</f>
        <v/>
      </c>
      <c r="AF3" s="25" t="inlineStr">
        <is>
          <t>B2B</t>
        </is>
      </c>
      <c r="AG3" s="25">
        <f>IF(AF3="B2C",10,IF(AF3="B2B",5,0))</f>
        <v/>
      </c>
      <c r="AH3" s="25" t="inlineStr">
        <is>
          <t>Yes</t>
        </is>
      </c>
      <c r="AI3" s="25">
        <f>IF(AH3="Yes",10,0)</f>
        <v/>
      </c>
      <c r="AJ3" s="25" t="inlineStr">
        <is>
          <t>Higher One Time, Lower Annuity</t>
        </is>
      </c>
      <c r="AK3" s="25">
        <f>IF(AJ3="Fully Annuity",10,IF(AJ3="Higher Annuity, Lower One Time",5,IF(AJ3="Higher One Time, Lower Annuity",3,0)))</f>
        <v/>
      </c>
      <c r="AL3" s="25" t="inlineStr">
        <is>
          <t>Good</t>
        </is>
      </c>
      <c r="AM3" s="25">
        <f>IF(AL3="Good",10,0)</f>
        <v/>
      </c>
      <c r="AN3" s="25" t="inlineStr">
        <is>
          <t>Yes for more than 2 years</t>
        </is>
      </c>
      <c r="AO3" s="25">
        <f>IF(AN3="Yes for more than 2 years",10,IF(AN3="Yes only for next 1 to 2 years",5,0))</f>
        <v/>
      </c>
      <c r="AP3" s="25" t="inlineStr">
        <is>
          <t>Above 40</t>
        </is>
      </c>
      <c r="AQ3" s="25">
        <f>IF(AP3="Above 40",20,IF(AP3="20 to 40",10,IF(AP3="0 to 20",-5,0)))</f>
        <v/>
      </c>
      <c r="AR3" s="25" t="inlineStr">
        <is>
          <t>Between 50 to 75</t>
        </is>
      </c>
      <c r="AS3" s="25">
        <f>IF(AR3="Between 50 to 75",10,IF(AR3="Above 75",0,0))</f>
        <v/>
      </c>
      <c r="AT3" s="25" t="inlineStr">
        <is>
          <t>Stage 2</t>
        </is>
      </c>
      <c r="AU3" s="25">
        <f>IF(AT3="Stage 2",20,IF(AT3="Stage 1",0,IF(AT3="Stage 3",5,IF(AT3="Stage 4",-5,0))))</f>
        <v/>
      </c>
      <c r="AV3" s="25" t="inlineStr">
        <is>
          <t>Positive Trend</t>
        </is>
      </c>
      <c r="AW3" s="25">
        <f>IF(AV3="Positive Trend",20,IF(AV3="Negative Trend",-10,0))</f>
        <v/>
      </c>
      <c r="AX3" s="25" t="inlineStr">
        <is>
          <t>Uptrend</t>
        </is>
      </c>
      <c r="AY3" s="25">
        <f>IF(AX3="Uptrend",10,IF(AX3="Sideways",5,0))</f>
        <v/>
      </c>
      <c r="AZ3" s="25" t="inlineStr">
        <is>
          <t>Uptrend</t>
        </is>
      </c>
      <c r="BA3" s="25">
        <f>IF(AZ3="Uptrend",10,IF(AZ3="Sideways",5,0))</f>
        <v/>
      </c>
      <c r="BB3" s="25" t="inlineStr">
        <is>
          <t>Blue sky scenario</t>
        </is>
      </c>
      <c r="BC3" s="25">
        <f>IF(BB3="Overhead supply in last 2 years in last 2 years",-5,IF(BB3="Close to 52 week high or retracement",5,IF(BB3="Blue sky scenario",10,IF(BB3="Long term Downtrend",-10,0))))</f>
        <v/>
      </c>
      <c r="BD3" s="25" t="inlineStr">
        <is>
          <t>Yes</t>
        </is>
      </c>
      <c r="BE3" s="25">
        <f>IF(BD3="Yes",10,0)</f>
        <v/>
      </c>
      <c r="BF3" s="25" t="inlineStr">
        <is>
          <t>More than 20%</t>
        </is>
      </c>
      <c r="BG3" s="25">
        <f>IF(BF3="More than 20%",10,IF(BF3="Between 12 to 20%",5,IF(BF3="Less than 12%",0,0)))</f>
        <v/>
      </c>
      <c r="BH3" s="25" t="inlineStr">
        <is>
          <t>No</t>
        </is>
      </c>
      <c r="BI3" s="25">
        <f>IF(BH3="No",10,0)</f>
        <v/>
      </c>
      <c r="BJ3" s="25" t="inlineStr">
        <is>
          <t>No</t>
        </is>
      </c>
      <c r="BK3" s="25">
        <f>IF(BJ3="NO",5,0)</f>
        <v/>
      </c>
      <c r="BL3" s="25" t="inlineStr">
        <is>
          <t>Less than 1.5</t>
        </is>
      </c>
      <c r="BM3" s="25">
        <f>IF(BL3="Above 2",0,IF(BL3="Between 1.5 to 2",5,IF(BL3="Less than 1.5",10,0)))</f>
        <v/>
      </c>
      <c r="BN3" s="25" t="inlineStr">
        <is>
          <t>Above 70%</t>
        </is>
      </c>
      <c r="BO3" s="25">
        <f>IF(BN3="Above 70%",10,IF(BN3="Between 50% to 70%",5,IF(BN3="Less than 50%",0,IF(BN3="Negative",-10,IF(BN3="Less than 50% and Borrowings are increasing",-5,0)))))</f>
        <v/>
      </c>
      <c r="BP3" s="25" t="inlineStr">
        <is>
          <t>Less than 0.7</t>
        </is>
      </c>
      <c r="BQ3" s="25">
        <f>IF(BP3="More than 1.2",-10,IF(BP3="Between 0.7 to 1.2",0,IF(BP3="Less than 0.7",10,0)))</f>
        <v/>
      </c>
      <c r="BR3" s="25" t="inlineStr">
        <is>
          <t>No</t>
        </is>
      </c>
      <c r="BS3" s="25">
        <f>IF(BR3="Yes",-10,0)</f>
        <v/>
      </c>
      <c r="BT3" s="25" t="inlineStr">
        <is>
          <t>Less than 15%</t>
        </is>
      </c>
      <c r="BU3" s="25">
        <f>IF(BT3="More than 15%",-10,IF(BT3="Less than 15%",10,0))</f>
        <v/>
      </c>
      <c r="BV3" s="25" t="inlineStr">
        <is>
          <t>No</t>
        </is>
      </c>
      <c r="BW3" s="25">
        <f>IF(BV3="Yes, more than 10%",-10,IF(BV3="No",10,0))</f>
        <v/>
      </c>
    </row>
    <row r="4">
      <c r="A4" s="25">
        <f>IF(B4=0,"",RANK(B4,$B$2:$B$292,0))</f>
        <v/>
      </c>
      <c r="B4" s="26">
        <f>SUM(Q4,S4,U4,W4,Y4,AA4,AC4,AE4,AG4,AI4,AK4,AM4,AO4,AQ4,AS4,AU4,AW4,AY4,BA4,BC4,BE4,BG4,BI4,BK4,BM4,BO4,BQ4,BS4,BU4,BW4)</f>
        <v/>
      </c>
      <c r="C4" s="25" t="inlineStr">
        <is>
          <t>BAJAJCON</t>
        </is>
      </c>
      <c r="D4" s="25" t="inlineStr">
        <is>
          <t>Bajaj Consumer Care Ltd</t>
        </is>
      </c>
      <c r="E4" s="25" t="inlineStr">
        <is>
          <t>fmcg</t>
        </is>
      </c>
      <c r="F4" s="25" t="inlineStr">
        <is>
          <t>personal care - indian</t>
        </is>
      </c>
      <c r="G4" s="25" t="inlineStr">
        <is>
          <t>midcap</t>
        </is>
      </c>
      <c r="H4" s="26" t="n">
        <v>7302.22</v>
      </c>
      <c r="I4" s="26" t="n">
        <v>571.65</v>
      </c>
      <c r="J4" s="26" t="n">
        <v>2.25</v>
      </c>
      <c r="K4" s="26" t="n">
        <v>428439</v>
      </c>
      <c r="L4" s="26" t="n">
        <v>75.88</v>
      </c>
      <c r="M4" s="26" t="n">
        <v>51.77</v>
      </c>
      <c r="N4" s="26" t="n">
        <v>442.7</v>
      </c>
      <c r="O4" s="25" t="inlineStr">
        <is>
          <t>Near 52W High Breakout</t>
        </is>
      </c>
      <c r="P4" s="25" t="inlineStr">
        <is>
          <t>Growing Industry</t>
        </is>
      </c>
      <c r="Q4" s="25">
        <f>IF(P4="Growing Industry",10,IF(P4="Cyclical in an Upturn",5,0))</f>
        <v/>
      </c>
      <c r="R4" s="25" t="inlineStr">
        <is>
          <t>Too Many Players with High ROCE</t>
        </is>
      </c>
      <c r="S4" s="25">
        <f>IF(R4="Monopoly",10,IF(R4="Oligopoly",5,IF(R4="Duopoly that cooperate",10,IF(R4="Duopoly that compete",5,IF(R4="Too many players with High ROCE",5,0)))))</f>
        <v/>
      </c>
      <c r="T4" s="25" t="inlineStr">
        <is>
          <t>No</t>
        </is>
      </c>
      <c r="U4" s="25">
        <f>IF(T4="No",5,0)</f>
        <v/>
      </c>
      <c r="V4" s="25" t="inlineStr">
        <is>
          <t>Tailwind</t>
        </is>
      </c>
      <c r="W4" s="25">
        <f>IF(V4="Tailwind",10,0)</f>
        <v/>
      </c>
      <c r="X4" s="25" t="inlineStr">
        <is>
          <t>Structural (10 Years Consistency)</t>
        </is>
      </c>
      <c r="Y4" s="25">
        <f>IF(X4="Structural (10 Years Consistency)",10,IF(X4="Shallow Cyclical (2 to 3 years growth)",5,0))</f>
        <v/>
      </c>
      <c r="Z4" s="25" t="inlineStr">
        <is>
          <t>No</t>
        </is>
      </c>
      <c r="AA4" s="25">
        <f>IF(Z4="Yes due to Product Mix change or Operating Leverage",10,IF(Z4="Yes, these are peak margins",-5,IF(Z4="No",5,0)))</f>
        <v/>
      </c>
      <c r="AB4" s="25" t="inlineStr">
        <is>
          <t>Stable</t>
        </is>
      </c>
      <c r="AC4" s="25">
        <f>IF(AB4="Stable",10,0)</f>
        <v/>
      </c>
      <c r="AD4" s="25" t="inlineStr">
        <is>
          <t>Yes</t>
        </is>
      </c>
      <c r="AE4" s="25">
        <f>IF(AD4="Yes",10,0)</f>
        <v/>
      </c>
      <c r="AF4" s="25" t="inlineStr">
        <is>
          <t>B2C</t>
        </is>
      </c>
      <c r="AG4" s="25">
        <f>IF(AF4="B2C",10,IF(AF4="B2B",5,0))</f>
        <v/>
      </c>
      <c r="AH4" s="25" t="inlineStr">
        <is>
          <t>Yes</t>
        </is>
      </c>
      <c r="AI4" s="25">
        <f>IF(AH4="Yes",10,0)</f>
        <v/>
      </c>
      <c r="AJ4" s="25" t="inlineStr">
        <is>
          <t>Higher Annuity, Lower One Time</t>
        </is>
      </c>
      <c r="AK4" s="25">
        <f>IF(AJ4="Fully Annuity",10,IF(AJ4="Higher Annuity, Lower One Time",5,IF(AJ4="Higher One Time, Lower Annuity",3,0)))</f>
        <v/>
      </c>
      <c r="AL4" s="25" t="inlineStr">
        <is>
          <t>Good</t>
        </is>
      </c>
      <c r="AM4" s="25">
        <f>IF(AL4="Good",10,0)</f>
        <v/>
      </c>
      <c r="AN4" s="25" t="inlineStr">
        <is>
          <t>Yes for more than 2 years</t>
        </is>
      </c>
      <c r="AO4" s="25">
        <f>IF(AN4="Yes for more than 2 years",10,IF(AN4="Yes only for next 1 to 2 years",5,0))</f>
        <v/>
      </c>
      <c r="AP4" s="25" t="inlineStr">
        <is>
          <t>Above 40</t>
        </is>
      </c>
      <c r="AQ4" s="25">
        <f>IF(AP4="Above 40",20,IF(AP4="20 to 40",10,IF(AP4="0 to 20",-5,0)))</f>
        <v/>
      </c>
      <c r="AR4" s="25" t="inlineStr">
        <is>
          <t>Above 75</t>
        </is>
      </c>
      <c r="AS4" s="25">
        <f>IF(AR4="Between 50 to 75",10,IF(AR4="Above 75",0,0))</f>
        <v/>
      </c>
      <c r="AT4" s="25" t="inlineStr">
        <is>
          <t>Stage 2</t>
        </is>
      </c>
      <c r="AU4" s="25">
        <f>IF(AT4="Stage 2",20,IF(AT4="Stage 1",0,IF(AT4="Stage 3",5,IF(AT4="Stage 4",-5,0))))</f>
        <v/>
      </c>
      <c r="AV4" s="25" t="inlineStr">
        <is>
          <t>Positive Trend</t>
        </is>
      </c>
      <c r="AW4" s="25">
        <f>IF(AV4="Positive Trend",20,IF(AV4="Negative Trend",-10,0))</f>
        <v/>
      </c>
      <c r="AX4" s="25" t="inlineStr">
        <is>
          <t>Uptrend</t>
        </is>
      </c>
      <c r="AY4" s="25">
        <f>IF(AX4="Uptrend",10,IF(AX4="Sideways",5,0))</f>
        <v/>
      </c>
      <c r="AZ4" s="25" t="inlineStr">
        <is>
          <t>Uptrend</t>
        </is>
      </c>
      <c r="BA4" s="25">
        <f>IF(AZ4="Uptrend",10,IF(AZ4="Sideways",5,0))</f>
        <v/>
      </c>
      <c r="BB4" s="25" t="inlineStr">
        <is>
          <t>Blue sky scenario</t>
        </is>
      </c>
      <c r="BC4" s="25">
        <f>IF(BB4="Overhead supply in last 2 years in last 2 years",-5,IF(BB4="Close to 52 week high or retracement",5,IF(BB4="Blue sky scenario",10,IF(BB4="Long term Downtrend",-10,0))))</f>
        <v/>
      </c>
      <c r="BD4" s="25" t="inlineStr">
        <is>
          <t>Yes</t>
        </is>
      </c>
      <c r="BE4" s="25">
        <f>IF(BD4="Yes",10,0)</f>
        <v/>
      </c>
      <c r="BF4" s="25" t="inlineStr">
        <is>
          <t>More than 20%</t>
        </is>
      </c>
      <c r="BG4" s="25">
        <f>IF(BF4="More than 20%",10,IF(BF4="Between 12 to 20%",5,IF(BF4="Less than 12%",0,0)))</f>
        <v/>
      </c>
      <c r="BH4" s="25" t="inlineStr">
        <is>
          <t>No</t>
        </is>
      </c>
      <c r="BI4" s="25">
        <f>IF(BH4="No",10,0)</f>
        <v/>
      </c>
      <c r="BJ4" s="25" t="inlineStr">
        <is>
          <t>Yes</t>
        </is>
      </c>
      <c r="BK4" s="25">
        <f>IF(BJ4="NO",5,0)</f>
        <v/>
      </c>
      <c r="BL4" s="25" t="inlineStr">
        <is>
          <t>Less than 1.5</t>
        </is>
      </c>
      <c r="BM4" s="25">
        <f>IF(BL4="Above 2",0,IF(BL4="Between 1.5 to 2",5,IF(BL4="Less than 1.5",10,0)))</f>
        <v/>
      </c>
      <c r="BN4" s="25" t="inlineStr">
        <is>
          <t>Above 70%</t>
        </is>
      </c>
      <c r="BO4" s="25">
        <f>IF(BN4="Above 70%",10,IF(BN4="Between 50% to 70%",5,IF(BN4="Less than 50%",0,IF(BN4="Negative",-10,IF(BN4="Less than 50% and Borrowings are increasing",-5,0)))))</f>
        <v/>
      </c>
      <c r="BP4" s="25" t="inlineStr">
        <is>
          <t>Less than 0.7</t>
        </is>
      </c>
      <c r="BQ4" s="25">
        <f>IF(BP4="More than 1.2",-10,IF(BP4="Between 0.7 to 1.2",0,IF(BP4="Less than 0.7",10,0)))</f>
        <v/>
      </c>
      <c r="BR4" s="25" t="inlineStr">
        <is>
          <t>No</t>
        </is>
      </c>
      <c r="BS4" s="25">
        <f>IF(BR4="Yes",-10,0)</f>
        <v/>
      </c>
      <c r="BT4" s="25" t="inlineStr">
        <is>
          <t>Less than 15%</t>
        </is>
      </c>
      <c r="BU4" s="25">
        <f>IF(BT4="More than 15%",-10,IF(BT4="Less than 15%",10,0))</f>
        <v/>
      </c>
      <c r="BV4" s="25" t="inlineStr">
        <is>
          <t>No</t>
        </is>
      </c>
      <c r="BW4" s="25">
        <f>IF(BV4="Yes, more than 10%",-10,IF(BV4="No",10,0))</f>
        <v/>
      </c>
    </row>
    <row r="5">
      <c r="A5" s="25">
        <f>IF(B5=0,"",RANK(B5,$B$2:$B$292,0))</f>
        <v/>
      </c>
      <c r="B5" s="26">
        <f>SUM(Q5,S5,U5,W5,Y5,AA5,AC5,AE5,AG5,AI5,AK5,AM5,AO5,AQ5,AS5,AU5,AW5,AY5,BA5,BC5,BE5,BG5,BI5,BK5,BM5,BO5,BQ5,BS5,BU5,BW5)</f>
        <v/>
      </c>
      <c r="C5" s="25" t="inlineStr">
        <is>
          <t>RADICO</t>
        </is>
      </c>
      <c r="D5" s="25" t="inlineStr">
        <is>
          <t>Radico Khaitan Limited</t>
        </is>
      </c>
      <c r="E5" s="25" t="inlineStr">
        <is>
          <t>fmcg</t>
        </is>
      </c>
      <c r="F5" s="25" t="inlineStr">
        <is>
          <t>breweries &amp; distilleries</t>
        </is>
      </c>
      <c r="G5" s="25" t="inlineStr">
        <is>
          <t>largecap</t>
        </is>
      </c>
      <c r="H5" s="26" t="n">
        <v>46945.95</v>
      </c>
      <c r="I5" s="26" t="n">
        <v>3487.5</v>
      </c>
      <c r="J5" s="26" t="n">
        <v>-0.53</v>
      </c>
      <c r="K5" s="26" t="n">
        <v>263853</v>
      </c>
      <c r="L5" s="26" t="n">
        <v>66.89</v>
      </c>
      <c r="M5" s="26" t="n">
        <v>30.24</v>
      </c>
      <c r="N5" s="26" t="n">
        <v>2879.89</v>
      </c>
      <c r="O5" s="25" t="inlineStr">
        <is>
          <t>Near 52W High Breakout</t>
        </is>
      </c>
      <c r="P5" s="25" t="inlineStr">
        <is>
          <t>Growing Industry</t>
        </is>
      </c>
      <c r="Q5" s="25">
        <f>IF(P5="Growing Industry",10,IF(P5="Cyclical in an Upturn",5,0))</f>
        <v/>
      </c>
      <c r="R5" s="25" t="inlineStr">
        <is>
          <t>Too Many Players with High ROCE</t>
        </is>
      </c>
      <c r="S5" s="25">
        <f>IF(R5="Monopoly",10,IF(R5="Oligopoly",5,IF(R5="Duopoly that cooperate",10,IF(R5="Duopoly that compete",5,IF(R5="Too many players with High ROCE",5,0)))))</f>
        <v/>
      </c>
      <c r="T5" s="25" t="inlineStr">
        <is>
          <t>No</t>
        </is>
      </c>
      <c r="U5" s="25">
        <f>IF(T5="No",5,0)</f>
        <v/>
      </c>
      <c r="V5" s="25" t="inlineStr">
        <is>
          <t>Tailwind</t>
        </is>
      </c>
      <c r="W5" s="25">
        <f>IF(V5="Tailwind",10,0)</f>
        <v/>
      </c>
      <c r="X5" s="25" t="inlineStr">
        <is>
          <t>Structural (10 Years Consistency)</t>
        </is>
      </c>
      <c r="Y5" s="25">
        <f>IF(X5="Structural (10 Years Consistency)",10,IF(X5="Shallow Cyclical (2 to 3 years growth)",5,0))</f>
        <v/>
      </c>
      <c r="Z5" s="25" t="inlineStr">
        <is>
          <t>No</t>
        </is>
      </c>
      <c r="AA5" s="25">
        <f>IF(Z5="Yes due to Product Mix change or Operating Leverage",10,IF(Z5="Yes, these are peak margins",-5,IF(Z5="No",5,0)))</f>
        <v/>
      </c>
      <c r="AB5" s="25" t="inlineStr">
        <is>
          <t>Stable</t>
        </is>
      </c>
      <c r="AC5" s="25">
        <f>IF(AB5="Stable",10,0)</f>
        <v/>
      </c>
      <c r="AD5" s="25" t="inlineStr">
        <is>
          <t>Yes</t>
        </is>
      </c>
      <c r="AE5" s="25">
        <f>IF(AD5="Yes",10,0)</f>
        <v/>
      </c>
      <c r="AF5" s="25" t="inlineStr">
        <is>
          <t>B2C</t>
        </is>
      </c>
      <c r="AG5" s="25">
        <f>IF(AF5="B2C",10,IF(AF5="B2B",5,0))</f>
        <v/>
      </c>
      <c r="AH5" s="25" t="inlineStr">
        <is>
          <t>Yes</t>
        </is>
      </c>
      <c r="AI5" s="25">
        <f>IF(AH5="Yes",10,0)</f>
        <v/>
      </c>
      <c r="AJ5" s="25" t="inlineStr">
        <is>
          <t>Higher Annuity, Lower One Time</t>
        </is>
      </c>
      <c r="AK5" s="25">
        <f>IF(AJ5="Fully Annuity",10,IF(AJ5="Higher Annuity, Lower One Time",5,IF(AJ5="Higher One Time, Lower Annuity",3,0)))</f>
        <v/>
      </c>
      <c r="AL5" s="25" t="inlineStr">
        <is>
          <t>Good</t>
        </is>
      </c>
      <c r="AM5" s="25">
        <f>IF(AL5="Good",10,0)</f>
        <v/>
      </c>
      <c r="AN5" s="25" t="inlineStr">
        <is>
          <t>Yes for more than 2 years</t>
        </is>
      </c>
      <c r="AO5" s="25">
        <f>IF(AN5="Yes for more than 2 years",10,IF(AN5="Yes only for next 1 to 2 years",5,0))</f>
        <v/>
      </c>
      <c r="AP5" s="25" t="inlineStr">
        <is>
          <t>20 to 40</t>
        </is>
      </c>
      <c r="AQ5" s="25">
        <f>IF(AP5="Above 40",20,IF(AP5="20 to 40",10,IF(AP5="0 to 20",-5,0)))</f>
        <v/>
      </c>
      <c r="AR5" s="25" t="inlineStr">
        <is>
          <t>Between 50 to 75</t>
        </is>
      </c>
      <c r="AS5" s="25">
        <f>IF(AR5="Between 50 to 75",10,IF(AR5="Above 75",0,0))</f>
        <v/>
      </c>
      <c r="AT5" s="25" t="inlineStr">
        <is>
          <t>Stage 2</t>
        </is>
      </c>
      <c r="AU5" s="25">
        <f>IF(AT5="Stage 2",20,IF(AT5="Stage 1",0,IF(AT5="Stage 3",5,IF(AT5="Stage 4",-5,0))))</f>
        <v/>
      </c>
      <c r="AV5" s="25" t="inlineStr">
        <is>
          <t>Positive Trend</t>
        </is>
      </c>
      <c r="AW5" s="25">
        <f>IF(AV5="Positive Trend",20,IF(AV5="Negative Trend",-10,0))</f>
        <v/>
      </c>
      <c r="AX5" s="25" t="inlineStr">
        <is>
          <t>Uptrend</t>
        </is>
      </c>
      <c r="AY5" s="25">
        <f>IF(AX5="Uptrend",10,IF(AX5="Sideways",5,0))</f>
        <v/>
      </c>
      <c r="AZ5" s="25" t="inlineStr">
        <is>
          <t>Uptrend</t>
        </is>
      </c>
      <c r="BA5" s="25">
        <f>IF(AZ5="Uptrend",10,IF(AZ5="Sideways",5,0))</f>
        <v/>
      </c>
      <c r="BB5" s="25" t="inlineStr">
        <is>
          <t>Blue sky scenario</t>
        </is>
      </c>
      <c r="BC5" s="25">
        <f>IF(BB5="Overhead supply in last 2 years in last 2 years",-5,IF(BB5="Close to 52 week high or retracement",5,IF(BB5="Blue sky scenario",10,IF(BB5="Long term Downtrend",-10,0))))</f>
        <v/>
      </c>
      <c r="BD5" s="25" t="inlineStr">
        <is>
          <t>Yes</t>
        </is>
      </c>
      <c r="BE5" s="25">
        <f>IF(BD5="Yes",10,0)</f>
        <v/>
      </c>
      <c r="BF5" s="25" t="inlineStr">
        <is>
          <t>More than 20%</t>
        </is>
      </c>
      <c r="BG5" s="25">
        <f>IF(BF5="More than 20%",10,IF(BF5="Between 12 to 20%",5,IF(BF5="Less than 12%",0,0)))</f>
        <v/>
      </c>
      <c r="BH5" s="25" t="inlineStr">
        <is>
          <t>No</t>
        </is>
      </c>
      <c r="BI5" s="25">
        <f>IF(BH5="No",10,0)</f>
        <v/>
      </c>
      <c r="BJ5" s="25" t="inlineStr">
        <is>
          <t>Yes</t>
        </is>
      </c>
      <c r="BK5" s="25">
        <f>IF(BJ5="NO",5,0)</f>
        <v/>
      </c>
      <c r="BL5" s="25" t="inlineStr">
        <is>
          <t>Less than 1.5</t>
        </is>
      </c>
      <c r="BM5" s="25">
        <f>IF(BL5="Above 2",0,IF(BL5="Between 1.5 to 2",5,IF(BL5="Less than 1.5",10,0)))</f>
        <v/>
      </c>
      <c r="BN5" s="25" t="inlineStr">
        <is>
          <t>Above 70%</t>
        </is>
      </c>
      <c r="BO5" s="25">
        <f>IF(BN5="Above 70%",10,IF(BN5="Between 50% to 70%",5,IF(BN5="Less than 50%",0,IF(BN5="Negative",-10,IF(BN5="Less than 50% and Borrowings are increasing",-5,0)))))</f>
        <v/>
      </c>
      <c r="BP5" s="25" t="inlineStr">
        <is>
          <t>Less than 0.7</t>
        </is>
      </c>
      <c r="BQ5" s="25">
        <f>IF(BP5="More than 1.2",-10,IF(BP5="Between 0.7 to 1.2",0,IF(BP5="Less than 0.7",10,0)))</f>
        <v/>
      </c>
      <c r="BR5" s="25" t="inlineStr">
        <is>
          <t>No</t>
        </is>
      </c>
      <c r="BS5" s="25">
        <f>IF(BR5="Yes",-10,0)</f>
        <v/>
      </c>
      <c r="BT5" s="25" t="inlineStr">
        <is>
          <t>Less than 15%</t>
        </is>
      </c>
      <c r="BU5" s="25">
        <f>IF(BT5="More than 15%",-10,IF(BT5="Less than 15%",10,0))</f>
        <v/>
      </c>
      <c r="BV5" s="25" t="inlineStr">
        <is>
          <t>No</t>
        </is>
      </c>
      <c r="BW5" s="25">
        <f>IF(BV5="Yes, more than 10%",-10,IF(BV5="No",10,0))</f>
        <v/>
      </c>
    </row>
    <row r="6">
      <c r="A6" s="25">
        <f>IF(B6=0,"",RANK(B6,$B$2:$B$292,0))</f>
        <v/>
      </c>
      <c r="B6" s="26">
        <f>SUM(Q6,S6,U6,W6,Y6,AA6,AC6,AE6,AG6,AI6,AK6,AM6,AO6,AQ6,AS6,AU6,AW6,AY6,BA6,BC6,BE6,BG6,BI6,BK6,BM6,BO6,BQ6,BS6,BU6,BW6)</f>
        <v/>
      </c>
      <c r="C6" s="25" t="inlineStr">
        <is>
          <t>NGLFINE</t>
        </is>
      </c>
      <c r="D6" s="25" t="inlineStr">
        <is>
          <t>NGL Fine Chem Ltd</t>
        </is>
      </c>
      <c r="E6" s="25" t="inlineStr">
        <is>
          <t>healthcare</t>
        </is>
      </c>
      <c r="F6" s="25" t="inlineStr">
        <is>
          <t>pharmaceuticals - indian - bulk drugs</t>
        </is>
      </c>
      <c r="G6" s="25" t="inlineStr">
        <is>
          <t>smallcap</t>
        </is>
      </c>
      <c r="H6" s="26" t="n">
        <v>1692.78</v>
      </c>
      <c r="I6" s="26" t="n">
        <v>2654.5</v>
      </c>
      <c r="J6" s="26" t="n">
        <v>-3.12</v>
      </c>
      <c r="K6" s="26" t="n">
        <v>9490</v>
      </c>
      <c r="L6" s="26" t="n">
        <v>69.93000000000001</v>
      </c>
      <c r="M6" s="26" t="n">
        <v>67.22</v>
      </c>
      <c r="N6" s="26" t="n">
        <v>1834.93</v>
      </c>
      <c r="O6" s="25" t="inlineStr">
        <is>
          <t>Near 52W High Breakout</t>
        </is>
      </c>
      <c r="P6" s="25" t="inlineStr">
        <is>
          <t>Growing Industry</t>
        </is>
      </c>
      <c r="Q6" s="25">
        <f>IF(P6="Growing Industry",10,IF(P6="Cyclical in an Upturn",5,0))</f>
        <v/>
      </c>
      <c r="R6" s="25" t="inlineStr">
        <is>
          <t>Too Many Players with High ROCE</t>
        </is>
      </c>
      <c r="S6" s="25">
        <f>IF(R6="Monopoly",10,IF(R6="Oligopoly",5,IF(R6="Duopoly that cooperate",10,IF(R6="Duopoly that compete",5,IF(R6="Too many players with High ROCE",5,0)))))</f>
        <v/>
      </c>
      <c r="T6" s="25" t="inlineStr">
        <is>
          <t>Yes</t>
        </is>
      </c>
      <c r="U6" s="25">
        <f>IF(T6="No",5,0)</f>
        <v/>
      </c>
      <c r="V6" s="25" t="inlineStr">
        <is>
          <t>Tailwind</t>
        </is>
      </c>
      <c r="W6" s="25">
        <f>IF(V6="Tailwind",10,0)</f>
        <v/>
      </c>
      <c r="X6" s="25" t="inlineStr">
        <is>
          <t>Structural (10 Years Consistency)</t>
        </is>
      </c>
      <c r="Y6" s="25">
        <f>IF(X6="Structural (10 Years Consistency)",10,IF(X6="Shallow Cyclical (2 to 3 years growth)",5,0))</f>
        <v/>
      </c>
      <c r="Z6" s="25" t="inlineStr">
        <is>
          <t>No</t>
        </is>
      </c>
      <c r="AA6" s="25">
        <f>IF(Z6="Yes due to Product Mix change or Operating Leverage",10,IF(Z6="Yes, these are peak margins",-5,IF(Z6="No",5,0)))</f>
        <v/>
      </c>
      <c r="AB6" s="25" t="inlineStr">
        <is>
          <t>Stable</t>
        </is>
      </c>
      <c r="AC6" s="25">
        <f>IF(AB6="Stable",10,0)</f>
        <v/>
      </c>
      <c r="AD6" s="25" t="inlineStr">
        <is>
          <t>Yes</t>
        </is>
      </c>
      <c r="AE6" s="25">
        <f>IF(AD6="Yes",10,0)</f>
        <v/>
      </c>
      <c r="AF6" s="25" t="inlineStr">
        <is>
          <t>B2B</t>
        </is>
      </c>
      <c r="AG6" s="25">
        <f>IF(AF6="B2C",10,IF(AF6="B2B",5,0))</f>
        <v/>
      </c>
      <c r="AH6" s="25" t="inlineStr">
        <is>
          <t>Yes</t>
        </is>
      </c>
      <c r="AI6" s="25">
        <f>IF(AH6="Yes",10,0)</f>
        <v/>
      </c>
      <c r="AJ6" s="25" t="inlineStr">
        <is>
          <t>Higher Annuity, Lower One Time</t>
        </is>
      </c>
      <c r="AK6" s="25">
        <f>IF(AJ6="Fully Annuity",10,IF(AJ6="Higher Annuity, Lower One Time",5,IF(AJ6="Higher One Time, Lower Annuity",3,0)))</f>
        <v/>
      </c>
      <c r="AL6" s="25" t="inlineStr">
        <is>
          <t>Good</t>
        </is>
      </c>
      <c r="AM6" s="25">
        <f>IF(AL6="Good",10,0)</f>
        <v/>
      </c>
      <c r="AN6" s="25" t="inlineStr">
        <is>
          <t>Yes for more than 2 years</t>
        </is>
      </c>
      <c r="AO6" s="25">
        <f>IF(AN6="Yes for more than 2 years",10,IF(AN6="Yes only for next 1 to 2 years",5,0))</f>
        <v/>
      </c>
      <c r="AP6" s="25" t="inlineStr">
        <is>
          <t>Above 40</t>
        </is>
      </c>
      <c r="AQ6" s="25">
        <f>IF(AP6="Above 40",20,IF(AP6="20 to 40",10,IF(AP6="0 to 20",-5,0)))</f>
        <v/>
      </c>
      <c r="AR6" s="25" t="inlineStr">
        <is>
          <t>Between 50 to 75</t>
        </is>
      </c>
      <c r="AS6" s="25">
        <f>IF(AR6="Between 50 to 75",10,IF(AR6="Above 75",0,0))</f>
        <v/>
      </c>
      <c r="AT6" s="25" t="inlineStr">
        <is>
          <t>Stage 2</t>
        </is>
      </c>
      <c r="AU6" s="25">
        <f>IF(AT6="Stage 2",20,IF(AT6="Stage 1",0,IF(AT6="Stage 3",5,IF(AT6="Stage 4",-5,0))))</f>
        <v/>
      </c>
      <c r="AV6" s="25" t="inlineStr">
        <is>
          <t>Positive Trend</t>
        </is>
      </c>
      <c r="AW6" s="25">
        <f>IF(AV6="Positive Trend",20,IF(AV6="Negative Trend",-10,0))</f>
        <v/>
      </c>
      <c r="AX6" s="25" t="inlineStr">
        <is>
          <t>Uptrend</t>
        </is>
      </c>
      <c r="AY6" s="25">
        <f>IF(AX6="Uptrend",10,IF(AX6="Sideways",5,0))</f>
        <v/>
      </c>
      <c r="AZ6" s="25" t="inlineStr">
        <is>
          <t>Uptrend</t>
        </is>
      </c>
      <c r="BA6" s="25">
        <f>IF(AZ6="Uptrend",10,IF(AZ6="Sideways",5,0))</f>
        <v/>
      </c>
      <c r="BB6" s="25" t="inlineStr">
        <is>
          <t>Blue sky scenario</t>
        </is>
      </c>
      <c r="BC6" s="25">
        <f>IF(BB6="Overhead supply in last 2 years in last 2 years",-5,IF(BB6="Close to 52 week high or retracement",5,IF(BB6="Blue sky scenario",10,IF(BB6="Long term Downtrend",-10,0))))</f>
        <v/>
      </c>
      <c r="BD6" s="25" t="inlineStr">
        <is>
          <t>Yes</t>
        </is>
      </c>
      <c r="BE6" s="25">
        <f>IF(BD6="Yes",10,0)</f>
        <v/>
      </c>
      <c r="BF6" s="25" t="inlineStr">
        <is>
          <t>More than 20%</t>
        </is>
      </c>
      <c r="BG6" s="25">
        <f>IF(BF6="More than 20%",10,IF(BF6="Between 12 to 20%",5,IF(BF6="Less than 12%",0,0)))</f>
        <v/>
      </c>
      <c r="BH6" s="25" t="inlineStr">
        <is>
          <t>No</t>
        </is>
      </c>
      <c r="BI6" s="25">
        <f>IF(BH6="No",10,0)</f>
        <v/>
      </c>
      <c r="BJ6" s="25" t="inlineStr">
        <is>
          <t>No</t>
        </is>
      </c>
      <c r="BK6" s="25">
        <f>IF(BJ6="NO",5,0)</f>
        <v/>
      </c>
      <c r="BL6" s="25" t="inlineStr">
        <is>
          <t>Less than 1.5</t>
        </is>
      </c>
      <c r="BM6" s="25">
        <f>IF(BL6="Above 2",0,IF(BL6="Between 1.5 to 2",5,IF(BL6="Less than 1.5",10,0)))</f>
        <v/>
      </c>
      <c r="BN6" s="25" t="inlineStr">
        <is>
          <t>Between 50% to 70%</t>
        </is>
      </c>
      <c r="BO6" s="25">
        <f>IF(BN6="Above 70%",10,IF(BN6="Between 50% to 70%",5,IF(BN6="Less than 50%",0,IF(BN6="Negative",-10,IF(BN6="Less than 50% and Borrowings are increasing",-5,0)))))</f>
        <v/>
      </c>
      <c r="BP6" s="25" t="inlineStr">
        <is>
          <t>Less than 0.7</t>
        </is>
      </c>
      <c r="BQ6" s="25">
        <f>IF(BP6="More than 1.2",-10,IF(BP6="Between 0.7 to 1.2",0,IF(BP6="Less than 0.7",10,0)))</f>
        <v/>
      </c>
      <c r="BR6" s="25" t="inlineStr">
        <is>
          <t>No</t>
        </is>
      </c>
      <c r="BS6" s="25">
        <f>IF(BR6="Yes",-10,0)</f>
        <v/>
      </c>
      <c r="BT6" s="25" t="inlineStr">
        <is>
          <t>Less than 15%</t>
        </is>
      </c>
      <c r="BU6" s="25">
        <f>IF(BT6="More than 15%",-10,IF(BT6="Less than 15%",10,0))</f>
        <v/>
      </c>
      <c r="BV6" s="25" t="inlineStr">
        <is>
          <t>No</t>
        </is>
      </c>
      <c r="BW6" s="25">
        <f>IF(BV6="Yes, more than 10%",-10,IF(BV6="No",10,0))</f>
        <v/>
      </c>
    </row>
    <row r="7">
      <c r="A7" s="25">
        <f>IF(B7=0,"",RANK(B7,$B$2:$B$292,0))</f>
        <v/>
      </c>
      <c r="B7" s="26">
        <f>SUM(Q7,S7,U7,W7,Y7,AA7,AC7,AE7,AG7,AI7,AK7,AM7,AO7,AQ7,AS7,AU7,AW7,AY7,BA7,BC7,BE7,BG7,BI7,BK7,BM7,BO7,BQ7,BS7,BU7,BW7)</f>
        <v/>
      </c>
      <c r="C7" s="25" t="inlineStr">
        <is>
          <t>NETWEB</t>
        </is>
      </c>
      <c r="D7" s="25" t="inlineStr">
        <is>
          <t>Netweb Technologies India Ltd</t>
        </is>
      </c>
      <c r="E7" s="25" t="inlineStr">
        <is>
          <t>i.t</t>
        </is>
      </c>
      <c r="F7" s="25" t="inlineStr">
        <is>
          <t>computers - hardware</t>
        </is>
      </c>
      <c r="G7" s="25" t="inlineStr">
        <is>
          <t>largecap</t>
        </is>
      </c>
      <c r="H7" s="26" t="n">
        <v>26307.17</v>
      </c>
      <c r="I7" s="26" t="n">
        <v>4782.8</v>
      </c>
      <c r="J7" s="26" t="n">
        <v>3.52</v>
      </c>
      <c r="K7" s="26" t="n">
        <v>4220022</v>
      </c>
      <c r="L7" s="26" t="n">
        <v>67.29000000000001</v>
      </c>
      <c r="M7" s="26" t="n">
        <v>43.56</v>
      </c>
      <c r="N7" s="26" t="n">
        <v>3380.61</v>
      </c>
      <c r="O7" s="25" t="inlineStr">
        <is>
          <t>Near 52W High Breakout</t>
        </is>
      </c>
      <c r="P7" s="25" t="inlineStr">
        <is>
          <t>Growing Industry</t>
        </is>
      </c>
      <c r="Q7" s="25">
        <f>IF(P7="Growing Industry",10,IF(P7="Cyclical in an Upturn",5,0))</f>
        <v/>
      </c>
      <c r="R7" s="25" t="inlineStr">
        <is>
          <t>Too Many Players with High ROCE</t>
        </is>
      </c>
      <c r="S7" s="25">
        <f>IF(R7="Monopoly",10,IF(R7="Oligopoly",5,IF(R7="Duopoly that cooperate",10,IF(R7="Duopoly that compete",5,IF(R7="Too many players with High ROCE",5,0)))))</f>
        <v/>
      </c>
      <c r="T7" s="25" t="inlineStr">
        <is>
          <t>No</t>
        </is>
      </c>
      <c r="U7" s="25">
        <f>IF(T7="No",5,0)</f>
        <v/>
      </c>
      <c r="V7" s="25" t="inlineStr">
        <is>
          <t>Tailwind</t>
        </is>
      </c>
      <c r="W7" s="25">
        <f>IF(V7="Tailwind",10,0)</f>
        <v/>
      </c>
      <c r="X7" s="25" t="inlineStr">
        <is>
          <t>Structural (10 Years Consistency)</t>
        </is>
      </c>
      <c r="Y7" s="25">
        <f>IF(X7="Structural (10 Years Consistency)",10,IF(X7="Shallow Cyclical (2 to 3 years growth)",5,0))</f>
        <v/>
      </c>
      <c r="Z7" s="25" t="inlineStr">
        <is>
          <t>No</t>
        </is>
      </c>
      <c r="AA7" s="25">
        <f>IF(Z7="Yes due to Product Mix change or Operating Leverage",10,IF(Z7="Yes, these are peak margins",-5,IF(Z7="No",5,0)))</f>
        <v/>
      </c>
      <c r="AB7" s="25" t="inlineStr">
        <is>
          <t>Stable</t>
        </is>
      </c>
      <c r="AC7" s="25">
        <f>IF(AB7="Stable",10,0)</f>
        <v/>
      </c>
      <c r="AD7" s="25" t="inlineStr">
        <is>
          <t>Yes</t>
        </is>
      </c>
      <c r="AE7" s="25">
        <f>IF(AD7="Yes",10,0)</f>
        <v/>
      </c>
      <c r="AF7" s="25" t="inlineStr">
        <is>
          <t>B2B</t>
        </is>
      </c>
      <c r="AG7" s="25">
        <f>IF(AF7="B2C",10,IF(AF7="B2B",5,0))</f>
        <v/>
      </c>
      <c r="AH7" s="25" t="inlineStr">
        <is>
          <t>Yes</t>
        </is>
      </c>
      <c r="AI7" s="25">
        <f>IF(AH7="Yes",10,0)</f>
        <v/>
      </c>
      <c r="AJ7" s="25" t="inlineStr">
        <is>
          <t>Higher One Time, Lower Annuity</t>
        </is>
      </c>
      <c r="AK7" s="25">
        <f>IF(AJ7="Fully Annuity",10,IF(AJ7="Higher Annuity, Lower One Time",5,IF(AJ7="Higher One Time, Lower Annuity",3,0)))</f>
        <v/>
      </c>
      <c r="AL7" s="25" t="inlineStr">
        <is>
          <t>Good</t>
        </is>
      </c>
      <c r="AM7" s="25">
        <f>IF(AL7="Good",10,0)</f>
        <v/>
      </c>
      <c r="AN7" s="25" t="inlineStr">
        <is>
          <t>Yes for more than 2 years</t>
        </is>
      </c>
      <c r="AO7" s="25">
        <f>IF(AN7="Yes for more than 2 years",10,IF(AN7="Yes only for next 1 to 2 years",5,0))</f>
        <v/>
      </c>
      <c r="AP7" s="25" t="inlineStr">
        <is>
          <t>Above 40</t>
        </is>
      </c>
      <c r="AQ7" s="25">
        <f>IF(AP7="Above 40",20,IF(AP7="20 to 40",10,IF(AP7="0 to 20",-5,0)))</f>
        <v/>
      </c>
      <c r="AR7" s="25" t="inlineStr">
        <is>
          <t>Between 50 to 75</t>
        </is>
      </c>
      <c r="AS7" s="25">
        <f>IF(AR7="Between 50 to 75",10,IF(AR7="Above 75",0,0))</f>
        <v/>
      </c>
      <c r="AT7" s="25" t="inlineStr">
        <is>
          <t>Stage 2</t>
        </is>
      </c>
      <c r="AU7" s="25">
        <f>IF(AT7="Stage 2",20,IF(AT7="Stage 1",0,IF(AT7="Stage 3",5,IF(AT7="Stage 4",-5,0))))</f>
        <v/>
      </c>
      <c r="AV7" s="25" t="inlineStr">
        <is>
          <t>Positive Trend</t>
        </is>
      </c>
      <c r="AW7" s="25">
        <f>IF(AV7="Positive Trend",20,IF(AV7="Negative Trend",-10,0))</f>
        <v/>
      </c>
      <c r="AX7" s="25" t="inlineStr">
        <is>
          <t>Uptrend</t>
        </is>
      </c>
      <c r="AY7" s="25">
        <f>IF(AX7="Uptrend",10,IF(AX7="Sideways",5,0))</f>
        <v/>
      </c>
      <c r="AZ7" s="25" t="inlineStr">
        <is>
          <t>Uptrend</t>
        </is>
      </c>
      <c r="BA7" s="25">
        <f>IF(AZ7="Uptrend",10,IF(AZ7="Sideways",5,0))</f>
        <v/>
      </c>
      <c r="BB7" s="25" t="inlineStr">
        <is>
          <t>Blue sky scenario</t>
        </is>
      </c>
      <c r="BC7" s="25">
        <f>IF(BB7="Overhead supply in last 2 years in last 2 years",-5,IF(BB7="Close to 52 week high or retracement",5,IF(BB7="Blue sky scenario",10,IF(BB7="Long term Downtrend",-10,0))))</f>
        <v/>
      </c>
      <c r="BD7" s="25" t="inlineStr">
        <is>
          <t>Yes</t>
        </is>
      </c>
      <c r="BE7" s="25">
        <f>IF(BD7="Yes",10,0)</f>
        <v/>
      </c>
      <c r="BF7" s="25" t="inlineStr">
        <is>
          <t>More than 20%</t>
        </is>
      </c>
      <c r="BG7" s="25">
        <f>IF(BF7="More than 20%",10,IF(BF7="Between 12 to 20%",5,IF(BF7="Less than 12%",0,0)))</f>
        <v/>
      </c>
      <c r="BH7" s="25" t="inlineStr">
        <is>
          <t>No</t>
        </is>
      </c>
      <c r="BI7" s="25">
        <f>IF(BH7="No",10,0)</f>
        <v/>
      </c>
      <c r="BJ7" s="25" t="inlineStr">
        <is>
          <t>Yes</t>
        </is>
      </c>
      <c r="BK7" s="25">
        <f>IF(BJ7="NO",5,0)</f>
        <v/>
      </c>
      <c r="BL7" s="25" t="inlineStr">
        <is>
          <t>Less than 1.5</t>
        </is>
      </c>
      <c r="BM7" s="25">
        <f>IF(BL7="Above 2",0,IF(BL7="Between 1.5 to 2",5,IF(BL7="Less than 1.5",10,0)))</f>
        <v/>
      </c>
      <c r="BN7" s="25" t="inlineStr">
        <is>
          <t>Between 50% to 70%</t>
        </is>
      </c>
      <c r="BO7" s="25">
        <f>IF(BN7="Above 70%",10,IF(BN7="Between 50% to 70%",5,IF(BN7="Less than 50%",0,IF(BN7="Negative",-10,IF(BN7="Less than 50% and Borrowings are increasing",-5,0)))))</f>
        <v/>
      </c>
      <c r="BP7" s="25" t="inlineStr">
        <is>
          <t>Less than 0.7</t>
        </is>
      </c>
      <c r="BQ7" s="25">
        <f>IF(BP7="More than 1.2",-10,IF(BP7="Between 0.7 to 1.2",0,IF(BP7="Less than 0.7",10,0)))</f>
        <v/>
      </c>
      <c r="BR7" s="25" t="inlineStr">
        <is>
          <t>No</t>
        </is>
      </c>
      <c r="BS7" s="25">
        <f>IF(BR7="Yes",-10,0)</f>
        <v/>
      </c>
      <c r="BT7" s="25" t="inlineStr">
        <is>
          <t>Less than 15%</t>
        </is>
      </c>
      <c r="BU7" s="25">
        <f>IF(BT7="More than 15%",-10,IF(BT7="Less than 15%",10,0))</f>
        <v/>
      </c>
      <c r="BV7" s="25" t="inlineStr">
        <is>
          <t>No</t>
        </is>
      </c>
      <c r="BW7" s="25">
        <f>IF(BV7="Yes, more than 10%",-10,IF(BV7="No",10,0))</f>
        <v/>
      </c>
    </row>
    <row r="8">
      <c r="A8" s="25">
        <f>IF(B8=0,"",RANK(B8,$B$2:$B$292,0))</f>
        <v/>
      </c>
      <c r="B8" s="26">
        <f>SUM(Q8,S8,U8,W8,Y8,AA8,AC8,AE8,AG8,AI8,AK8,AM8,AO8,AQ8,AS8,AU8,AW8,AY8,BA8,BC8,BE8,BG8,BI8,BK8,BM8,BO8,BQ8,BS8,BU8,BW8)</f>
        <v/>
      </c>
      <c r="C8" s="25" t="inlineStr">
        <is>
          <t>VTL</t>
        </is>
      </c>
      <c r="D8" s="25" t="inlineStr">
        <is>
          <t>Vardhman Textiles Limited</t>
        </is>
      </c>
      <c r="E8" s="25" t="inlineStr">
        <is>
          <t>textiles</t>
        </is>
      </c>
      <c r="F8" s="25" t="inlineStr">
        <is>
          <t>textiles - cotton/blended</t>
        </is>
      </c>
      <c r="G8" s="25" t="inlineStr">
        <is>
          <t>midcap</t>
        </is>
      </c>
      <c r="H8" s="26" t="n">
        <v>17345.34</v>
      </c>
      <c r="I8" s="26" t="n">
        <v>613.85</v>
      </c>
      <c r="J8" s="26" t="n">
        <v>2.38</v>
      </c>
      <c r="K8" s="26" t="n">
        <v>427539</v>
      </c>
      <c r="L8" s="26" t="n">
        <v>66.19</v>
      </c>
      <c r="M8" s="26" t="n">
        <v>50.59</v>
      </c>
      <c r="N8" s="26" t="n">
        <v>480.23</v>
      </c>
      <c r="O8" s="25" t="inlineStr">
        <is>
          <t>Near 52W High Breakout</t>
        </is>
      </c>
      <c r="P8" s="25" t="inlineStr">
        <is>
          <t>Growing Industry</t>
        </is>
      </c>
      <c r="Q8" s="25">
        <f>IF(P8="Growing Industry",10,IF(P8="Cyclical in an Upturn",5,0))</f>
        <v/>
      </c>
      <c r="R8" s="25" t="inlineStr">
        <is>
          <t>Too Many Players with High ROCE</t>
        </is>
      </c>
      <c r="S8" s="25">
        <f>IF(R8="Monopoly",10,IF(R8="Oligopoly",5,IF(R8="Duopoly that cooperate",10,IF(R8="Duopoly that compete",5,IF(R8="Too many players with High ROCE",5,0)))))</f>
        <v/>
      </c>
      <c r="T8" s="25" t="inlineStr">
        <is>
          <t>No</t>
        </is>
      </c>
      <c r="U8" s="25">
        <f>IF(T8="No",5,0)</f>
        <v/>
      </c>
      <c r="V8" s="25" t="inlineStr">
        <is>
          <t>Tailwind</t>
        </is>
      </c>
      <c r="W8" s="25">
        <f>IF(V8="Tailwind",10,0)</f>
        <v/>
      </c>
      <c r="X8" s="25" t="inlineStr">
        <is>
          <t>Structural (10 Years Consistency)</t>
        </is>
      </c>
      <c r="Y8" s="25">
        <f>IF(X8="Structural (10 Years Consistency)",10,IF(X8="Shallow Cyclical (2 to 3 years growth)",5,0))</f>
        <v/>
      </c>
      <c r="Z8" s="25" t="inlineStr">
        <is>
          <t>No</t>
        </is>
      </c>
      <c r="AA8" s="25">
        <f>IF(Z8="Yes due to Product Mix change or Operating Leverage",10,IF(Z8="Yes, these are peak margins",-5,IF(Z8="No",5,0)))</f>
        <v/>
      </c>
      <c r="AB8" s="25" t="inlineStr">
        <is>
          <t>Stable</t>
        </is>
      </c>
      <c r="AC8" s="25">
        <f>IF(AB8="Stable",10,0)</f>
        <v/>
      </c>
      <c r="AD8" s="25" t="inlineStr">
        <is>
          <t>Yes</t>
        </is>
      </c>
      <c r="AE8" s="25">
        <f>IF(AD8="Yes",10,0)</f>
        <v/>
      </c>
      <c r="AF8" s="25" t="inlineStr">
        <is>
          <t>B2B</t>
        </is>
      </c>
      <c r="AG8" s="25">
        <f>IF(AF8="B2C",10,IF(AF8="B2B",5,0))</f>
        <v/>
      </c>
      <c r="AH8" s="25" t="inlineStr">
        <is>
          <t>Yes</t>
        </is>
      </c>
      <c r="AI8" s="25">
        <f>IF(AH8="Yes",10,0)</f>
        <v/>
      </c>
      <c r="AJ8" s="25" t="inlineStr">
        <is>
          <t>Higher One Time, Lower Annuity</t>
        </is>
      </c>
      <c r="AK8" s="25">
        <f>IF(AJ8="Fully Annuity",10,IF(AJ8="Higher Annuity, Lower One Time",5,IF(AJ8="Higher One Time, Lower Annuity",3,0)))</f>
        <v/>
      </c>
      <c r="AL8" s="25" t="inlineStr">
        <is>
          <t>Good</t>
        </is>
      </c>
      <c r="AM8" s="25">
        <f>IF(AL8="Good",10,0)</f>
        <v/>
      </c>
      <c r="AN8" s="25" t="inlineStr">
        <is>
          <t>Yes for more than 2 years</t>
        </is>
      </c>
      <c r="AO8" s="25">
        <f>IF(AN8="Yes for more than 2 years",10,IF(AN8="Yes only for next 1 to 2 years",5,0))</f>
        <v/>
      </c>
      <c r="AP8" s="25" t="inlineStr">
        <is>
          <t>Above 40</t>
        </is>
      </c>
      <c r="AQ8" s="25">
        <f>IF(AP8="Above 40",20,IF(AP8="20 to 40",10,IF(AP8="0 to 20",-5,0)))</f>
        <v/>
      </c>
      <c r="AR8" s="25" t="inlineStr">
        <is>
          <t>Between 50 to 75</t>
        </is>
      </c>
      <c r="AS8" s="25">
        <f>IF(AR8="Between 50 to 75",10,IF(AR8="Above 75",0,0))</f>
        <v/>
      </c>
      <c r="AT8" s="25" t="inlineStr">
        <is>
          <t>Stage 2</t>
        </is>
      </c>
      <c r="AU8" s="25">
        <f>IF(AT8="Stage 2",20,IF(AT8="Stage 1",0,IF(AT8="Stage 3",5,IF(AT8="Stage 4",-5,0))))</f>
        <v/>
      </c>
      <c r="AV8" s="25" t="inlineStr">
        <is>
          <t>Positive Trend</t>
        </is>
      </c>
      <c r="AW8" s="25">
        <f>IF(AV8="Positive Trend",20,IF(AV8="Negative Trend",-10,0))</f>
        <v/>
      </c>
      <c r="AX8" s="25" t="inlineStr">
        <is>
          <t>Uptrend</t>
        </is>
      </c>
      <c r="AY8" s="25">
        <f>IF(AX8="Uptrend",10,IF(AX8="Sideways",5,0))</f>
        <v/>
      </c>
      <c r="AZ8" s="25" t="inlineStr">
        <is>
          <t>Uptrend</t>
        </is>
      </c>
      <c r="BA8" s="25">
        <f>IF(AZ8="Uptrend",10,IF(AZ8="Sideways",5,0))</f>
        <v/>
      </c>
      <c r="BB8" s="25" t="inlineStr">
        <is>
          <t>Blue sky scenario</t>
        </is>
      </c>
      <c r="BC8" s="25">
        <f>IF(BB8="Overhead supply in last 2 years in last 2 years",-5,IF(BB8="Close to 52 week high or retracement",5,IF(BB8="Blue sky scenario",10,IF(BB8="Long term Downtrend",-10,0))))</f>
        <v/>
      </c>
      <c r="BD8" s="25" t="inlineStr">
        <is>
          <t>Yes</t>
        </is>
      </c>
      <c r="BE8" s="25">
        <f>IF(BD8="Yes",10,0)</f>
        <v/>
      </c>
      <c r="BF8" s="25" t="inlineStr">
        <is>
          <t>Less than 12%</t>
        </is>
      </c>
      <c r="BG8" s="25">
        <f>IF(BF8="More than 20%",10,IF(BF8="Between 12 to 20%",5,IF(BF8="Less than 12%",0,0)))</f>
        <v/>
      </c>
      <c r="BH8" s="25" t="inlineStr">
        <is>
          <t>No</t>
        </is>
      </c>
      <c r="BI8" s="25">
        <f>IF(BH8="No",10,0)</f>
        <v/>
      </c>
      <c r="BJ8" s="25" t="inlineStr">
        <is>
          <t>No</t>
        </is>
      </c>
      <c r="BK8" s="25">
        <f>IF(BJ8="NO",5,0)</f>
        <v/>
      </c>
      <c r="BL8" s="25" t="inlineStr">
        <is>
          <t>Less than 1.5</t>
        </is>
      </c>
      <c r="BM8" s="25">
        <f>IF(BL8="Above 2",0,IF(BL8="Between 1.5 to 2",5,IF(BL8="Less than 1.5",10,0)))</f>
        <v/>
      </c>
      <c r="BN8" s="25" t="inlineStr">
        <is>
          <t>Above 70%</t>
        </is>
      </c>
      <c r="BO8" s="25">
        <f>IF(BN8="Above 70%",10,IF(BN8="Between 50% to 70%",5,IF(BN8="Less than 50%",0,IF(BN8="Negative",-10,IF(BN8="Less than 50% and Borrowings are increasing",-5,0)))))</f>
        <v/>
      </c>
      <c r="BP8" s="25" t="inlineStr">
        <is>
          <t>Less than 0.7</t>
        </is>
      </c>
      <c r="BQ8" s="25">
        <f>IF(BP8="More than 1.2",-10,IF(BP8="Between 0.7 to 1.2",0,IF(BP8="Less than 0.7",10,0)))</f>
        <v/>
      </c>
      <c r="BR8" s="25" t="inlineStr">
        <is>
          <t>No</t>
        </is>
      </c>
      <c r="BS8" s="25">
        <f>IF(BR8="Yes",-10,0)</f>
        <v/>
      </c>
      <c r="BT8" s="25" t="inlineStr">
        <is>
          <t>Less than 15%</t>
        </is>
      </c>
      <c r="BU8" s="25">
        <f>IF(BT8="More than 15%",-10,IF(BT8="Less than 15%",10,0))</f>
        <v/>
      </c>
      <c r="BV8" s="25" t="inlineStr">
        <is>
          <t>No</t>
        </is>
      </c>
      <c r="BW8" s="25">
        <f>IF(BV8="Yes, more than 10%",-10,IF(BV8="No",10,0))</f>
        <v/>
      </c>
    </row>
    <row r="9">
      <c r="A9" s="25">
        <f>IF(B9=0,"",RANK(B9,$B$2:$B$292,0))</f>
        <v/>
      </c>
      <c r="B9" s="26">
        <f>SUM(Q9,S9,U9,W9,Y9,AA9,AC9,AE9,AG9,AI9,AK9,AM9,AO9,AQ9,AS9,AU9,AW9,AY9,BA9,BC9,BE9,BG9,BI9,BK9,BM9,BO9,BQ9,BS9,BU9,BW9)</f>
        <v/>
      </c>
      <c r="C9" s="25" t="inlineStr">
        <is>
          <t>INDOBORAX</t>
        </is>
      </c>
      <c r="D9" s="25" t="inlineStr">
        <is>
          <t>Indo Borax &amp; Chemicals Ltd</t>
        </is>
      </c>
      <c r="E9" s="25" t="inlineStr">
        <is>
          <t>chemicals</t>
        </is>
      </c>
      <c r="F9" s="25" t="inlineStr">
        <is>
          <t>chemicals</t>
        </is>
      </c>
      <c r="G9" s="25" t="inlineStr">
        <is>
          <t>smallcap</t>
        </is>
      </c>
      <c r="H9" s="26" t="n">
        <v>1101.65</v>
      </c>
      <c r="I9" s="26" t="n">
        <v>345.9</v>
      </c>
      <c r="J9" s="26" t="n">
        <v>0.76</v>
      </c>
      <c r="K9" s="26" t="n">
        <v>183066</v>
      </c>
      <c r="L9" s="26" t="n">
        <v>78.97</v>
      </c>
      <c r="M9" s="26" t="n">
        <v>45.65</v>
      </c>
      <c r="N9" s="26" t="n">
        <v>273.22</v>
      </c>
      <c r="O9" s="25" t="inlineStr">
        <is>
          <t>Near 52W High Breakout</t>
        </is>
      </c>
      <c r="P9" s="25" t="inlineStr">
        <is>
          <t>Growing Industry</t>
        </is>
      </c>
      <c r="Q9" s="25">
        <f>IF(P9="Growing Industry",10,IF(P9="Cyclical in an Upturn",5,0))</f>
        <v/>
      </c>
      <c r="R9" s="25" t="inlineStr">
        <is>
          <t>Too Many Players with High ROCE</t>
        </is>
      </c>
      <c r="S9" s="25">
        <f>IF(R9="Monopoly",10,IF(R9="Oligopoly",5,IF(R9="Duopoly that cooperate",10,IF(R9="Duopoly that compete",5,IF(R9="Too many players with High ROCE",5,0)))))</f>
        <v/>
      </c>
      <c r="T9" s="25" t="inlineStr">
        <is>
          <t>No</t>
        </is>
      </c>
      <c r="U9" s="25">
        <f>IF(T9="No",5,0)</f>
        <v/>
      </c>
      <c r="V9" s="25" t="inlineStr">
        <is>
          <t>Tailwind</t>
        </is>
      </c>
      <c r="W9" s="25">
        <f>IF(V9="Tailwind",10,0)</f>
        <v/>
      </c>
      <c r="X9" s="25" t="inlineStr">
        <is>
          <t>Structural (10 Years Consistency)</t>
        </is>
      </c>
      <c r="Y9" s="25">
        <f>IF(X9="Structural (10 Years Consistency)",10,IF(X9="Shallow Cyclical (2 to 3 years growth)",5,0))</f>
        <v/>
      </c>
      <c r="Z9" s="25" t="inlineStr">
        <is>
          <t>No</t>
        </is>
      </c>
      <c r="AA9" s="25">
        <f>IF(Z9="Yes due to Product Mix change or Operating Leverage",10,IF(Z9="Yes, these are peak margins",-5,IF(Z9="No",5,0)))</f>
        <v/>
      </c>
      <c r="AB9" s="25" t="inlineStr">
        <is>
          <t>Stable</t>
        </is>
      </c>
      <c r="AC9" s="25">
        <f>IF(AB9="Stable",10,0)</f>
        <v/>
      </c>
      <c r="AD9" s="25" t="inlineStr">
        <is>
          <t>Yes</t>
        </is>
      </c>
      <c r="AE9" s="25">
        <f>IF(AD9="Yes",10,0)</f>
        <v/>
      </c>
      <c r="AF9" s="25" t="inlineStr">
        <is>
          <t>B2B</t>
        </is>
      </c>
      <c r="AG9" s="25">
        <f>IF(AF9="B2C",10,IF(AF9="B2B",5,0))</f>
        <v/>
      </c>
      <c r="AH9" s="25" t="inlineStr">
        <is>
          <t>Yes</t>
        </is>
      </c>
      <c r="AI9" s="25">
        <f>IF(AH9="Yes",10,0)</f>
        <v/>
      </c>
      <c r="AJ9" s="25" t="inlineStr">
        <is>
          <t>Higher One Time, Lower Annuity</t>
        </is>
      </c>
      <c r="AK9" s="25">
        <f>IF(AJ9="Fully Annuity",10,IF(AJ9="Higher Annuity, Lower One Time",5,IF(AJ9="Higher One Time, Lower Annuity",3,0)))</f>
        <v/>
      </c>
      <c r="AL9" s="25" t="inlineStr">
        <is>
          <t>Good</t>
        </is>
      </c>
      <c r="AM9" s="25">
        <f>IF(AL9="Good",10,0)</f>
        <v/>
      </c>
      <c r="AN9" s="25" t="inlineStr">
        <is>
          <t>Yes for more than 2 years</t>
        </is>
      </c>
      <c r="AO9" s="25">
        <f>IF(AN9="Yes for more than 2 years",10,IF(AN9="Yes only for next 1 to 2 years",5,0))</f>
        <v/>
      </c>
      <c r="AP9" s="25" t="inlineStr">
        <is>
          <t>Above 40</t>
        </is>
      </c>
      <c r="AQ9" s="25">
        <f>IF(AP9="Above 40",20,IF(AP9="20 to 40",10,IF(AP9="0 to 20",-5,0)))</f>
        <v/>
      </c>
      <c r="AR9" s="25" t="inlineStr">
        <is>
          <t>Above 75</t>
        </is>
      </c>
      <c r="AS9" s="25">
        <f>IF(AR9="Between 50 to 75",10,IF(AR9="Above 75",0,0))</f>
        <v/>
      </c>
      <c r="AT9" s="25" t="inlineStr">
        <is>
          <t>Stage 2</t>
        </is>
      </c>
      <c r="AU9" s="25">
        <f>IF(AT9="Stage 2",20,IF(AT9="Stage 1",0,IF(AT9="Stage 3",5,IF(AT9="Stage 4",-5,0))))</f>
        <v/>
      </c>
      <c r="AV9" s="25" t="inlineStr">
        <is>
          <t>Positive Trend</t>
        </is>
      </c>
      <c r="AW9" s="25">
        <f>IF(AV9="Positive Trend",20,IF(AV9="Negative Trend",-10,0))</f>
        <v/>
      </c>
      <c r="AX9" s="25" t="inlineStr">
        <is>
          <t>Uptrend</t>
        </is>
      </c>
      <c r="AY9" s="25">
        <f>IF(AX9="Uptrend",10,IF(AX9="Sideways",5,0))</f>
        <v/>
      </c>
      <c r="AZ9" s="25" t="inlineStr">
        <is>
          <t>Uptrend</t>
        </is>
      </c>
      <c r="BA9" s="25">
        <f>IF(AZ9="Uptrend",10,IF(AZ9="Sideways",5,0))</f>
        <v/>
      </c>
      <c r="BB9" s="25" t="inlineStr">
        <is>
          <t>Blue sky scenario</t>
        </is>
      </c>
      <c r="BC9" s="25">
        <f>IF(BB9="Overhead supply in last 2 years in last 2 years",-5,IF(BB9="Close to 52 week high or retracement",5,IF(BB9="Blue sky scenario",10,IF(BB9="Long term Downtrend",-10,0))))</f>
        <v/>
      </c>
      <c r="BD9" s="25" t="inlineStr">
        <is>
          <t>Yes</t>
        </is>
      </c>
      <c r="BE9" s="25">
        <f>IF(BD9="Yes",10,0)</f>
        <v/>
      </c>
      <c r="BF9" s="25" t="inlineStr">
        <is>
          <t>More than 20%</t>
        </is>
      </c>
      <c r="BG9" s="25">
        <f>IF(BF9="More than 20%",10,IF(BF9="Between 12 to 20%",5,IF(BF9="Less than 12%",0,0)))</f>
        <v/>
      </c>
      <c r="BH9" s="25" t="inlineStr">
        <is>
          <t>No</t>
        </is>
      </c>
      <c r="BI9" s="25">
        <f>IF(BH9="No",10,0)</f>
        <v/>
      </c>
      <c r="BJ9" s="25" t="inlineStr">
        <is>
          <t>No</t>
        </is>
      </c>
      <c r="BK9" s="25">
        <f>IF(BJ9="NO",5,0)</f>
        <v/>
      </c>
      <c r="BL9" s="25" t="inlineStr">
        <is>
          <t>Less than 1.5</t>
        </is>
      </c>
      <c r="BM9" s="25">
        <f>IF(BL9="Above 2",0,IF(BL9="Between 1.5 to 2",5,IF(BL9="Less than 1.5",10,0)))</f>
        <v/>
      </c>
      <c r="BN9" s="25" t="inlineStr">
        <is>
          <t>Above 70%</t>
        </is>
      </c>
      <c r="BO9" s="25">
        <f>IF(BN9="Above 70%",10,IF(BN9="Between 50% to 70%",5,IF(BN9="Less than 50%",0,IF(BN9="Negative",-10,IF(BN9="Less than 50% and Borrowings are increasing",-5,0)))))</f>
        <v/>
      </c>
      <c r="BP9" s="25" t="inlineStr">
        <is>
          <t>Less than 0.7</t>
        </is>
      </c>
      <c r="BQ9" s="25">
        <f>IF(BP9="More than 1.2",-10,IF(BP9="Between 0.7 to 1.2",0,IF(BP9="Less than 0.7",10,0)))</f>
        <v/>
      </c>
      <c r="BR9" s="25" t="inlineStr">
        <is>
          <t>No</t>
        </is>
      </c>
      <c r="BS9" s="25">
        <f>IF(BR9="Yes",-10,0)</f>
        <v/>
      </c>
      <c r="BT9" s="25" t="inlineStr">
        <is>
          <t>Less than 15%</t>
        </is>
      </c>
      <c r="BU9" s="25">
        <f>IF(BT9="More than 15%",-10,IF(BT9="Less than 15%",10,0))</f>
        <v/>
      </c>
      <c r="BV9" s="25" t="inlineStr">
        <is>
          <t>No</t>
        </is>
      </c>
      <c r="BW9" s="25">
        <f>IF(BV9="Yes, more than 10%",-10,IF(BV9="No",10,0))</f>
        <v/>
      </c>
    </row>
    <row r="10">
      <c r="A10" s="25">
        <f>IF(B10=0,"",RANK(B10,$B$2:$B$292,0))</f>
        <v/>
      </c>
      <c r="B10" s="26">
        <f>SUM(Q10,S10,U10,W10,Y10,AA10,AC10,AE10,AG10,AI10,AK10,AM10,AO10,AQ10,AS10,AU10,AW10,AY10,BA10,BC10,BE10,BG10,BI10,BK10,BM10,BO10,BQ10,BS10,BU10,BW10)</f>
        <v/>
      </c>
      <c r="C10" s="25" t="inlineStr">
        <is>
          <t>STYLAMIND</t>
        </is>
      </c>
      <c r="D10" s="25" t="inlineStr">
        <is>
          <t>Stylam Industries Ltd</t>
        </is>
      </c>
      <c r="E10" s="25" t="inlineStr">
        <is>
          <t>building materials</t>
        </is>
      </c>
      <c r="F10" s="25" t="inlineStr">
        <is>
          <t>miscellaneous</t>
        </is>
      </c>
      <c r="G10" s="25" t="inlineStr">
        <is>
          <t>midcap</t>
        </is>
      </c>
      <c r="H10" s="26" t="n">
        <v>5013.24</v>
      </c>
      <c r="I10" s="26" t="n">
        <v>2957.9</v>
      </c>
      <c r="J10" s="26" t="n">
        <v>0</v>
      </c>
      <c r="K10" s="26" t="n">
        <v>25484</v>
      </c>
      <c r="L10" s="26" t="n">
        <v>87.73</v>
      </c>
      <c r="M10" s="26" t="n">
        <v>54.18</v>
      </c>
      <c r="N10" s="26" t="n">
        <v>2530.3</v>
      </c>
      <c r="O10" s="25" t="inlineStr">
        <is>
          <t>Near 52W High Breakout</t>
        </is>
      </c>
      <c r="P10" s="25" t="inlineStr">
        <is>
          <t>Growing Industry</t>
        </is>
      </c>
      <c r="Q10" s="25">
        <f>IF(P10="Growing Industry",10,IF(P10="Cyclical in an Upturn",5,0))</f>
        <v/>
      </c>
      <c r="R10" s="25" t="inlineStr">
        <is>
          <t>Too Many Players with High ROCE</t>
        </is>
      </c>
      <c r="S10" s="25">
        <f>IF(R10="Monopoly",10,IF(R10="Oligopoly",5,IF(R10="Duopoly that cooperate",10,IF(R10="Duopoly that compete",5,IF(R10="Too many players with High ROCE",5,0)))))</f>
        <v/>
      </c>
      <c r="T10" s="25" t="inlineStr">
        <is>
          <t>No</t>
        </is>
      </c>
      <c r="U10" s="25">
        <f>IF(T10="No",5,0)</f>
        <v/>
      </c>
      <c r="V10" s="25" t="inlineStr">
        <is>
          <t>Tailwind</t>
        </is>
      </c>
      <c r="W10" s="25">
        <f>IF(V10="Tailwind",10,0)</f>
        <v/>
      </c>
      <c r="X10" s="25" t="inlineStr">
        <is>
          <t>Structural (10 Years Consistency)</t>
        </is>
      </c>
      <c r="Y10" s="25">
        <f>IF(X10="Structural (10 Years Consistency)",10,IF(X10="Shallow Cyclical (2 to 3 years growth)",5,0))</f>
        <v/>
      </c>
      <c r="Z10" s="25" t="inlineStr">
        <is>
          <t>No</t>
        </is>
      </c>
      <c r="AA10" s="25">
        <f>IF(Z10="Yes due to Product Mix change or Operating Leverage",10,IF(Z10="Yes, these are peak margins",-5,IF(Z10="No",5,0)))</f>
        <v/>
      </c>
      <c r="AB10" s="25" t="inlineStr">
        <is>
          <t>Stable</t>
        </is>
      </c>
      <c r="AC10" s="25">
        <f>IF(AB10="Stable",10,0)</f>
        <v/>
      </c>
      <c r="AD10" s="25" t="inlineStr">
        <is>
          <t>Yes</t>
        </is>
      </c>
      <c r="AE10" s="25">
        <f>IF(AD10="Yes",10,0)</f>
        <v/>
      </c>
      <c r="AF10" s="25" t="inlineStr">
        <is>
          <t>B2B</t>
        </is>
      </c>
      <c r="AG10" s="25">
        <f>IF(AF10="B2C",10,IF(AF10="B2B",5,0))</f>
        <v/>
      </c>
      <c r="AH10" s="25" t="inlineStr">
        <is>
          <t>Yes</t>
        </is>
      </c>
      <c r="AI10" s="25">
        <f>IF(AH10="Yes",10,0)</f>
        <v/>
      </c>
      <c r="AJ10" s="25" t="inlineStr">
        <is>
          <t>Higher One Time, Lower Annuity</t>
        </is>
      </c>
      <c r="AK10" s="25">
        <f>IF(AJ10="Fully Annuity",10,IF(AJ10="Higher Annuity, Lower One Time",5,IF(AJ10="Higher One Time, Lower Annuity",3,0)))</f>
        <v/>
      </c>
      <c r="AL10" s="25" t="inlineStr">
        <is>
          <t>Good</t>
        </is>
      </c>
      <c r="AM10" s="25">
        <f>IF(AL10="Good",10,0)</f>
        <v/>
      </c>
      <c r="AN10" s="25" t="inlineStr">
        <is>
          <t>Yes for more than 2 years</t>
        </is>
      </c>
      <c r="AO10" s="25">
        <f>IF(AN10="Yes for more than 2 years",10,IF(AN10="Yes only for next 1 to 2 years",5,0))</f>
        <v/>
      </c>
      <c r="AP10" s="25" t="inlineStr">
        <is>
          <t>Above 40</t>
        </is>
      </c>
      <c r="AQ10" s="25">
        <f>IF(AP10="Above 40",20,IF(AP10="20 to 40",10,IF(AP10="0 to 20",-5,0)))</f>
        <v/>
      </c>
      <c r="AR10" s="25" t="inlineStr">
        <is>
          <t>Above 75</t>
        </is>
      </c>
      <c r="AS10" s="25">
        <f>IF(AR10="Between 50 to 75",10,IF(AR10="Above 75",0,0))</f>
        <v/>
      </c>
      <c r="AT10" s="25" t="inlineStr">
        <is>
          <t>Stage 2</t>
        </is>
      </c>
      <c r="AU10" s="25">
        <f>IF(AT10="Stage 2",20,IF(AT10="Stage 1",0,IF(AT10="Stage 3",5,IF(AT10="Stage 4",-5,0))))</f>
        <v/>
      </c>
      <c r="AV10" s="25" t="inlineStr">
        <is>
          <t>Positive Trend</t>
        </is>
      </c>
      <c r="AW10" s="25">
        <f>IF(AV10="Positive Trend",20,IF(AV10="Negative Trend",-10,0))</f>
        <v/>
      </c>
      <c r="AX10" s="25" t="inlineStr">
        <is>
          <t>Uptrend</t>
        </is>
      </c>
      <c r="AY10" s="25">
        <f>IF(AX10="Uptrend",10,IF(AX10="Sideways",5,0))</f>
        <v/>
      </c>
      <c r="AZ10" s="25" t="inlineStr">
        <is>
          <t>Uptrend</t>
        </is>
      </c>
      <c r="BA10" s="25">
        <f>IF(AZ10="Uptrend",10,IF(AZ10="Sideways",5,0))</f>
        <v/>
      </c>
      <c r="BB10" s="25" t="inlineStr">
        <is>
          <t>Blue sky scenario</t>
        </is>
      </c>
      <c r="BC10" s="25">
        <f>IF(BB10="Overhead supply in last 2 years in last 2 years",-5,IF(BB10="Close to 52 week high or retracement",5,IF(BB10="Blue sky scenario",10,IF(BB10="Long term Downtrend",-10,0))))</f>
        <v/>
      </c>
      <c r="BD10" s="25" t="inlineStr">
        <is>
          <t>Yes</t>
        </is>
      </c>
      <c r="BE10" s="25">
        <f>IF(BD10="Yes",10,0)</f>
        <v/>
      </c>
      <c r="BF10" s="25" t="inlineStr">
        <is>
          <t>More than 20%</t>
        </is>
      </c>
      <c r="BG10" s="25">
        <f>IF(BF10="More than 20%",10,IF(BF10="Between 12 to 20%",5,IF(BF10="Less than 12%",0,0)))</f>
        <v/>
      </c>
      <c r="BH10" s="25" t="inlineStr">
        <is>
          <t>No</t>
        </is>
      </c>
      <c r="BI10" s="25">
        <f>IF(BH10="No",10,0)</f>
        <v/>
      </c>
      <c r="BJ10" s="25" t="inlineStr">
        <is>
          <t>No</t>
        </is>
      </c>
      <c r="BK10" s="25">
        <f>IF(BJ10="NO",5,0)</f>
        <v/>
      </c>
      <c r="BL10" s="25" t="inlineStr">
        <is>
          <t>Less than 1.5</t>
        </is>
      </c>
      <c r="BM10" s="25">
        <f>IF(BL10="Above 2",0,IF(BL10="Between 1.5 to 2",5,IF(BL10="Less than 1.5",10,0)))</f>
        <v/>
      </c>
      <c r="BN10" s="25" t="inlineStr">
        <is>
          <t>Above 70%</t>
        </is>
      </c>
      <c r="BO10" s="25">
        <f>IF(BN10="Above 70%",10,IF(BN10="Between 50% to 70%",5,IF(BN10="Less than 50%",0,IF(BN10="Negative",-10,IF(BN10="Less than 50% and Borrowings are increasing",-5,0)))))</f>
        <v/>
      </c>
      <c r="BP10" s="25" t="inlineStr">
        <is>
          <t>Less than 0.7</t>
        </is>
      </c>
      <c r="BQ10" s="25">
        <f>IF(BP10="More than 1.2",-10,IF(BP10="Between 0.7 to 1.2",0,IF(BP10="Less than 0.7",10,0)))</f>
        <v/>
      </c>
      <c r="BR10" s="25" t="inlineStr">
        <is>
          <t>No</t>
        </is>
      </c>
      <c r="BS10" s="25">
        <f>IF(BR10="Yes",-10,0)</f>
        <v/>
      </c>
      <c r="BT10" s="25" t="inlineStr">
        <is>
          <t>Less than 15%</t>
        </is>
      </c>
      <c r="BU10" s="25">
        <f>IF(BT10="More than 15%",-10,IF(BT10="Less than 15%",10,0))</f>
        <v/>
      </c>
      <c r="BV10" s="25" t="inlineStr">
        <is>
          <t>No</t>
        </is>
      </c>
      <c r="BW10" s="25">
        <f>IF(BV10="Yes, more than 10%",-10,IF(BV10="No",10,0))</f>
        <v/>
      </c>
    </row>
    <row r="11">
      <c r="A11" s="25">
        <f>IF(B11=0,"",RANK(B11,$B$2:$B$292,0))</f>
        <v/>
      </c>
      <c r="B11" s="26">
        <f>SUM(Q11,S11,U11,W11,Y11,AA11,AC11,AE11,AG11,AI11,AK11,AM11,AO11,AQ11,AS11,AU11,AW11,AY11,BA11,BC11,BE11,BG11,BI11,BK11,BM11,BO11,BQ11,BS11,BU11,BW11)</f>
        <v/>
      </c>
      <c r="C11" s="25" t="inlineStr">
        <is>
          <t>VENUSREM</t>
        </is>
      </c>
      <c r="D11" s="25" t="inlineStr">
        <is>
          <t>Venus Remedies Limited</t>
        </is>
      </c>
      <c r="E11" s="25" t="inlineStr">
        <is>
          <t>healthcare</t>
        </is>
      </c>
      <c r="F11" s="25" t="inlineStr">
        <is>
          <t>pharmaceuticals - indian - formulations</t>
        </is>
      </c>
      <c r="G11" s="25" t="inlineStr">
        <is>
          <t>smallcap</t>
        </is>
      </c>
      <c r="H11" s="26" t="n">
        <v>1796.66</v>
      </c>
      <c r="I11" s="26" t="n">
        <v>1411.3</v>
      </c>
      <c r="J11" s="26" t="n">
        <v>5</v>
      </c>
      <c r="K11" s="26" t="n">
        <v>244773</v>
      </c>
      <c r="L11" s="26" t="n">
        <v>76.2</v>
      </c>
      <c r="M11" s="26" t="n">
        <v>45.27</v>
      </c>
      <c r="N11" s="26" t="n">
        <v>1059.67</v>
      </c>
      <c r="O11" s="25" t="inlineStr">
        <is>
          <t>Near 52W High Breakout</t>
        </is>
      </c>
      <c r="P11" s="25" t="inlineStr">
        <is>
          <t>Growing Industry</t>
        </is>
      </c>
      <c r="Q11" s="25">
        <f>IF(P11="Growing Industry",10,IF(P11="Cyclical in an Upturn",5,0))</f>
        <v/>
      </c>
      <c r="R11" s="25" t="inlineStr">
        <is>
          <t>Too Many Players with High ROCE</t>
        </is>
      </c>
      <c r="S11" s="25">
        <f>IF(R11="Monopoly",10,IF(R11="Oligopoly",5,IF(R11="Duopoly that cooperate",10,IF(R11="Duopoly that compete",5,IF(R11="Too many players with High ROCE",5,0)))))</f>
        <v/>
      </c>
      <c r="T11" s="25" t="inlineStr">
        <is>
          <t>Yes</t>
        </is>
      </c>
      <c r="U11" s="25">
        <f>IF(T11="No",5,0)</f>
        <v/>
      </c>
      <c r="V11" s="25" t="inlineStr">
        <is>
          <t>Tailwind</t>
        </is>
      </c>
      <c r="W11" s="25">
        <f>IF(V11="Tailwind",10,0)</f>
        <v/>
      </c>
      <c r="X11" s="25" t="inlineStr">
        <is>
          <t>Structural (10 Years Consistency)</t>
        </is>
      </c>
      <c r="Y11" s="25">
        <f>IF(X11="Structural (10 Years Consistency)",10,IF(X11="Shallow Cyclical (2 to 3 years growth)",5,0))</f>
        <v/>
      </c>
      <c r="Z11" s="25" t="inlineStr">
        <is>
          <t>No</t>
        </is>
      </c>
      <c r="AA11" s="25">
        <f>IF(Z11="Yes due to Product Mix change or Operating Leverage",10,IF(Z11="Yes, these are peak margins",-5,IF(Z11="No",5,0)))</f>
        <v/>
      </c>
      <c r="AB11" s="25" t="inlineStr">
        <is>
          <t>Stable</t>
        </is>
      </c>
      <c r="AC11" s="25">
        <f>IF(AB11="Stable",10,0)</f>
        <v/>
      </c>
      <c r="AD11" s="25" t="inlineStr">
        <is>
          <t>Yes</t>
        </is>
      </c>
      <c r="AE11" s="25">
        <f>IF(AD11="Yes",10,0)</f>
        <v/>
      </c>
      <c r="AF11" s="25" t="inlineStr">
        <is>
          <t>B2B</t>
        </is>
      </c>
      <c r="AG11" s="25">
        <f>IF(AF11="B2C",10,IF(AF11="B2B",5,0))</f>
        <v/>
      </c>
      <c r="AH11" s="25" t="inlineStr">
        <is>
          <t>Yes</t>
        </is>
      </c>
      <c r="AI11" s="25">
        <f>IF(AH11="Yes",10,0)</f>
        <v/>
      </c>
      <c r="AJ11" s="25" t="inlineStr">
        <is>
          <t>Higher Annuity, Lower One Time</t>
        </is>
      </c>
      <c r="AK11" s="25">
        <f>IF(AJ11="Fully Annuity",10,IF(AJ11="Higher Annuity, Lower One Time",5,IF(AJ11="Higher One Time, Lower Annuity",3,0)))</f>
        <v/>
      </c>
      <c r="AL11" s="25" t="inlineStr">
        <is>
          <t>Good</t>
        </is>
      </c>
      <c r="AM11" s="25">
        <f>IF(AL11="Good",10,0)</f>
        <v/>
      </c>
      <c r="AN11" s="25" t="inlineStr">
        <is>
          <t>Yes for more than 2 years</t>
        </is>
      </c>
      <c r="AO11" s="25">
        <f>IF(AN11="Yes for more than 2 years",10,IF(AN11="Yes only for next 1 to 2 years",5,0))</f>
        <v/>
      </c>
      <c r="AP11" s="25" t="inlineStr">
        <is>
          <t>Above 40</t>
        </is>
      </c>
      <c r="AQ11" s="25">
        <f>IF(AP11="Above 40",20,IF(AP11="20 to 40",10,IF(AP11="0 to 20",-5,0)))</f>
        <v/>
      </c>
      <c r="AR11" s="25" t="inlineStr">
        <is>
          <t>Above 75</t>
        </is>
      </c>
      <c r="AS11" s="25">
        <f>IF(AR11="Between 50 to 75",10,IF(AR11="Above 75",0,0))</f>
        <v/>
      </c>
      <c r="AT11" s="25" t="inlineStr">
        <is>
          <t>Stage 2</t>
        </is>
      </c>
      <c r="AU11" s="25">
        <f>IF(AT11="Stage 2",20,IF(AT11="Stage 1",0,IF(AT11="Stage 3",5,IF(AT11="Stage 4",-5,0))))</f>
        <v/>
      </c>
      <c r="AV11" s="25" t="inlineStr">
        <is>
          <t>Positive Trend</t>
        </is>
      </c>
      <c r="AW11" s="25">
        <f>IF(AV11="Positive Trend",20,IF(AV11="Negative Trend",-10,0))</f>
        <v/>
      </c>
      <c r="AX11" s="25" t="inlineStr">
        <is>
          <t>Uptrend</t>
        </is>
      </c>
      <c r="AY11" s="25">
        <f>IF(AX11="Uptrend",10,IF(AX11="Sideways",5,0))</f>
        <v/>
      </c>
      <c r="AZ11" s="25" t="inlineStr">
        <is>
          <t>Uptrend</t>
        </is>
      </c>
      <c r="BA11" s="25">
        <f>IF(AZ11="Uptrend",10,IF(AZ11="Sideways",5,0))</f>
        <v/>
      </c>
      <c r="BB11" s="25" t="inlineStr">
        <is>
          <t>Blue sky scenario</t>
        </is>
      </c>
      <c r="BC11" s="25">
        <f>IF(BB11="Overhead supply in last 2 years in last 2 years",-5,IF(BB11="Close to 52 week high or retracement",5,IF(BB11="Blue sky scenario",10,IF(BB11="Long term Downtrend",-10,0))))</f>
        <v/>
      </c>
      <c r="BD11" s="25" t="inlineStr">
        <is>
          <t>Yes</t>
        </is>
      </c>
      <c r="BE11" s="25">
        <f>IF(BD11="Yes",10,0)</f>
        <v/>
      </c>
      <c r="BF11" s="25" t="inlineStr">
        <is>
          <t>More than 20%</t>
        </is>
      </c>
      <c r="BG11" s="25">
        <f>IF(BF11="More than 20%",10,IF(BF11="Between 12 to 20%",5,IF(BF11="Less than 12%",0,0)))</f>
        <v/>
      </c>
      <c r="BH11" s="25" t="inlineStr">
        <is>
          <t>No</t>
        </is>
      </c>
      <c r="BI11" s="25">
        <f>IF(BH11="No",10,0)</f>
        <v/>
      </c>
      <c r="BJ11" s="25" t="inlineStr">
        <is>
          <t>No</t>
        </is>
      </c>
      <c r="BK11" s="25">
        <f>IF(BJ11="NO",5,0)</f>
        <v/>
      </c>
      <c r="BL11" s="25" t="inlineStr">
        <is>
          <t>Less than 1.5</t>
        </is>
      </c>
      <c r="BM11" s="25">
        <f>IF(BL11="Above 2",0,IF(BL11="Between 1.5 to 2",5,IF(BL11="Less than 1.5",10,0)))</f>
        <v/>
      </c>
      <c r="BN11" s="25" t="inlineStr">
        <is>
          <t>Above 70%</t>
        </is>
      </c>
      <c r="BO11" s="25">
        <f>IF(BN11="Above 70%",10,IF(BN11="Between 50% to 70%",5,IF(BN11="Less than 50%",0,IF(BN11="Negative",-10,IF(BN11="Less than 50% and Borrowings are increasing",-5,0)))))</f>
        <v/>
      </c>
      <c r="BP11" s="25" t="inlineStr">
        <is>
          <t>Less than 0.7</t>
        </is>
      </c>
      <c r="BQ11" s="25">
        <f>IF(BP11="More than 1.2",-10,IF(BP11="Between 0.7 to 1.2",0,IF(BP11="Less than 0.7",10,0)))</f>
        <v/>
      </c>
      <c r="BR11" s="25" t="inlineStr">
        <is>
          <t>No</t>
        </is>
      </c>
      <c r="BS11" s="25">
        <f>IF(BR11="Yes",-10,0)</f>
        <v/>
      </c>
      <c r="BT11" s="25" t="inlineStr">
        <is>
          <t>Less than 15%</t>
        </is>
      </c>
      <c r="BU11" s="25">
        <f>IF(BT11="More than 15%",-10,IF(BT11="Less than 15%",10,0))</f>
        <v/>
      </c>
      <c r="BV11" s="25" t="inlineStr">
        <is>
          <t>No</t>
        </is>
      </c>
      <c r="BW11" s="25">
        <f>IF(BV11="Yes, more than 10%",-10,IF(BV11="No",10,0))</f>
        <v/>
      </c>
    </row>
    <row r="12">
      <c r="A12" s="25">
        <f>IF(B12=0,"",RANK(B12,$B$2:$B$292,0))</f>
        <v/>
      </c>
      <c r="B12" s="26">
        <f>SUM(Q12,S12,U12,W12,Y12,AA12,AC12,AE12,AG12,AI12,AK12,AM12,AO12,AQ12,AS12,AU12,AW12,AY12,BA12,BC12,BE12,BG12,BI12,BK12,BM12,BO12,BQ12,BS12,BU12,BW12)</f>
        <v/>
      </c>
      <c r="C12" s="25" t="inlineStr">
        <is>
          <t>SANSTAR</t>
        </is>
      </c>
      <c r="D12" s="25" t="inlineStr">
        <is>
          <t>Sanstar Ltd</t>
        </is>
      </c>
      <c r="E12" s="25" t="inlineStr">
        <is>
          <t>fmcg</t>
        </is>
      </c>
      <c r="F12" s="25" t="inlineStr">
        <is>
          <t>miscellaneous</t>
        </is>
      </c>
      <c r="G12" s="25" t="inlineStr">
        <is>
          <t>smallcap</t>
        </is>
      </c>
      <c r="H12" s="26" t="n">
        <v>2050.79</v>
      </c>
      <c r="I12" s="26" t="n">
        <v>115.77</v>
      </c>
      <c r="J12" s="26" t="n">
        <v>2.88</v>
      </c>
      <c r="K12" s="26" t="n">
        <v>974618</v>
      </c>
      <c r="L12" s="26" t="n">
        <v>71.98999999999999</v>
      </c>
      <c r="M12" s="26" t="n">
        <v>26.66</v>
      </c>
      <c r="N12" s="26" t="n">
        <v>92.61</v>
      </c>
      <c r="O12" s="25" t="inlineStr">
        <is>
          <t>Near 52W High Breakout</t>
        </is>
      </c>
      <c r="P12" s="25" t="inlineStr">
        <is>
          <t>Growing Industry</t>
        </is>
      </c>
      <c r="Q12" s="25">
        <f>IF(P12="Growing Industry",10,IF(P12="Cyclical in an Upturn",5,0))</f>
        <v/>
      </c>
      <c r="R12" s="25" t="inlineStr">
        <is>
          <t>Too Many Players with High ROCE</t>
        </is>
      </c>
      <c r="S12" s="25">
        <f>IF(R12="Monopoly",10,IF(R12="Oligopoly",5,IF(R12="Duopoly that cooperate",10,IF(R12="Duopoly that compete",5,IF(R12="Too many players with High ROCE",5,0)))))</f>
        <v/>
      </c>
      <c r="T12" s="25" t="inlineStr">
        <is>
          <t>No</t>
        </is>
      </c>
      <c r="U12" s="25">
        <f>IF(T12="No",5,0)</f>
        <v/>
      </c>
      <c r="V12" s="25" t="inlineStr">
        <is>
          <t>Tailwind</t>
        </is>
      </c>
      <c r="W12" s="25">
        <f>IF(V12="Tailwind",10,0)</f>
        <v/>
      </c>
      <c r="X12" s="25" t="inlineStr">
        <is>
          <t>Structural (10 Years Consistency)</t>
        </is>
      </c>
      <c r="Y12" s="25">
        <f>IF(X12="Structural (10 Years Consistency)",10,IF(X12="Shallow Cyclical (2 to 3 years growth)",5,0))</f>
        <v/>
      </c>
      <c r="Z12" s="25" t="inlineStr">
        <is>
          <t>No</t>
        </is>
      </c>
      <c r="AA12" s="25">
        <f>IF(Z12="Yes due to Product Mix change or Operating Leverage",10,IF(Z12="Yes, these are peak margins",-5,IF(Z12="No",5,0)))</f>
        <v/>
      </c>
      <c r="AB12" s="25" t="inlineStr">
        <is>
          <t>Stable</t>
        </is>
      </c>
      <c r="AC12" s="25">
        <f>IF(AB12="Stable",10,0)</f>
        <v/>
      </c>
      <c r="AD12" s="25" t="inlineStr">
        <is>
          <t>Yes</t>
        </is>
      </c>
      <c r="AE12" s="25">
        <f>IF(AD12="Yes",10,0)</f>
        <v/>
      </c>
      <c r="AF12" s="25" t="inlineStr">
        <is>
          <t>B2C</t>
        </is>
      </c>
      <c r="AG12" s="25">
        <f>IF(AF12="B2C",10,IF(AF12="B2B",5,0))</f>
        <v/>
      </c>
      <c r="AH12" s="25" t="inlineStr">
        <is>
          <t>Yes</t>
        </is>
      </c>
      <c r="AI12" s="25">
        <f>IF(AH12="Yes",10,0)</f>
        <v/>
      </c>
      <c r="AJ12" s="25" t="inlineStr">
        <is>
          <t>Higher Annuity, Lower One Time</t>
        </is>
      </c>
      <c r="AK12" s="25">
        <f>IF(AJ12="Fully Annuity",10,IF(AJ12="Higher Annuity, Lower One Time",5,IF(AJ12="Higher One Time, Lower Annuity",3,0)))</f>
        <v/>
      </c>
      <c r="AL12" s="25" t="inlineStr">
        <is>
          <t>Good</t>
        </is>
      </c>
      <c r="AM12" s="25">
        <f>IF(AL12="Good",10,0)</f>
        <v/>
      </c>
      <c r="AN12" s="25" t="inlineStr">
        <is>
          <t>Yes for more than 2 years</t>
        </is>
      </c>
      <c r="AO12" s="25">
        <f>IF(AN12="Yes for more than 2 years",10,IF(AN12="Yes only for next 1 to 2 years",5,0))</f>
        <v/>
      </c>
      <c r="AP12" s="25" t="inlineStr">
        <is>
          <t>20 to 40</t>
        </is>
      </c>
      <c r="AQ12" s="25">
        <f>IF(AP12="Above 40",20,IF(AP12="20 to 40",10,IF(AP12="0 to 20",-5,0)))</f>
        <v/>
      </c>
      <c r="AR12" s="25" t="inlineStr">
        <is>
          <t>Between 50 to 75</t>
        </is>
      </c>
      <c r="AS12" s="25">
        <f>IF(AR12="Between 50 to 75",10,IF(AR12="Above 75",0,0))</f>
        <v/>
      </c>
      <c r="AT12" s="25" t="inlineStr">
        <is>
          <t>Stage 2</t>
        </is>
      </c>
      <c r="AU12" s="25">
        <f>IF(AT12="Stage 2",20,IF(AT12="Stage 1",0,IF(AT12="Stage 3",5,IF(AT12="Stage 4",-5,0))))</f>
        <v/>
      </c>
      <c r="AV12" s="25" t="inlineStr">
        <is>
          <t>Positive Trend</t>
        </is>
      </c>
      <c r="AW12" s="25">
        <f>IF(AV12="Positive Trend",20,IF(AV12="Negative Trend",-10,0))</f>
        <v/>
      </c>
      <c r="AX12" s="25" t="inlineStr">
        <is>
          <t>Uptrend</t>
        </is>
      </c>
      <c r="AY12" s="25">
        <f>IF(AX12="Uptrend",10,IF(AX12="Sideways",5,0))</f>
        <v/>
      </c>
      <c r="AZ12" s="25" t="inlineStr">
        <is>
          <t>Uptrend</t>
        </is>
      </c>
      <c r="BA12" s="25">
        <f>IF(AZ12="Uptrend",10,IF(AZ12="Sideways",5,0))</f>
        <v/>
      </c>
      <c r="BB12" s="25" t="inlineStr">
        <is>
          <t>Close to 52 week high or retracement</t>
        </is>
      </c>
      <c r="BC12" s="25">
        <f>IF(BB12="Overhead supply in last 2 years in last 2 years",-5,IF(BB12="Close to 52 week high or retracement",5,IF(BB12="Blue sky scenario",10,IF(BB12="Long term Downtrend",-10,0))))</f>
        <v/>
      </c>
      <c r="BD12" s="25" t="inlineStr">
        <is>
          <t>Yes</t>
        </is>
      </c>
      <c r="BE12" s="25">
        <f>IF(BD12="Yes",10,0)</f>
        <v/>
      </c>
      <c r="BF12" s="25" t="inlineStr">
        <is>
          <t>More than 20%</t>
        </is>
      </c>
      <c r="BG12" s="25">
        <f>IF(BF12="More than 20%",10,IF(BF12="Between 12 to 20%",5,IF(BF12="Less than 12%",0,0)))</f>
        <v/>
      </c>
      <c r="BH12" s="25" t="inlineStr">
        <is>
          <t>No</t>
        </is>
      </c>
      <c r="BI12" s="25">
        <f>IF(BH12="No",10,0)</f>
        <v/>
      </c>
      <c r="BJ12" s="25" t="inlineStr">
        <is>
          <t>Yes</t>
        </is>
      </c>
      <c r="BK12" s="25">
        <f>IF(BJ12="NO",5,0)</f>
        <v/>
      </c>
      <c r="BL12" s="25" t="inlineStr">
        <is>
          <t>Less than 1.5</t>
        </is>
      </c>
      <c r="BM12" s="25">
        <f>IF(BL12="Above 2",0,IF(BL12="Between 1.5 to 2",5,IF(BL12="Less than 1.5",10,0)))</f>
        <v/>
      </c>
      <c r="BN12" s="25" t="inlineStr">
        <is>
          <t>Above 70%</t>
        </is>
      </c>
      <c r="BO12" s="25">
        <f>IF(BN12="Above 70%",10,IF(BN12="Between 50% to 70%",5,IF(BN12="Less than 50%",0,IF(BN12="Negative",-10,IF(BN12="Less than 50% and Borrowings are increasing",-5,0)))))</f>
        <v/>
      </c>
      <c r="BP12" s="25" t="inlineStr">
        <is>
          <t>Less than 0.7</t>
        </is>
      </c>
      <c r="BQ12" s="25">
        <f>IF(BP12="More than 1.2",-10,IF(BP12="Between 0.7 to 1.2",0,IF(BP12="Less than 0.7",10,0)))</f>
        <v/>
      </c>
      <c r="BR12" s="25" t="inlineStr">
        <is>
          <t>No</t>
        </is>
      </c>
      <c r="BS12" s="25">
        <f>IF(BR12="Yes",-10,0)</f>
        <v/>
      </c>
      <c r="BT12" s="25" t="inlineStr">
        <is>
          <t>Less than 15%</t>
        </is>
      </c>
      <c r="BU12" s="25">
        <f>IF(BT12="More than 15%",-10,IF(BT12="Less than 15%",10,0))</f>
        <v/>
      </c>
      <c r="BV12" s="25" t="inlineStr">
        <is>
          <t>No</t>
        </is>
      </c>
      <c r="BW12" s="25">
        <f>IF(BV12="Yes, more than 10%",-10,IF(BV12="No",10,0))</f>
        <v/>
      </c>
    </row>
    <row r="13">
      <c r="A13" s="25">
        <f>IF(B13=0,"",RANK(B13,$B$2:$B$292,0))</f>
        <v/>
      </c>
      <c r="B13" s="26">
        <f>SUM(Q13,S13,U13,W13,Y13,AA13,AC13,AE13,AG13,AI13,AK13,AM13,AO13,AQ13,AS13,AU13,AW13,AY13,BA13,BC13,BE13,BG13,BI13,BK13,BM13,BO13,BQ13,BS13,BU13,BW13)</f>
        <v/>
      </c>
      <c r="C13" s="25" t="inlineStr">
        <is>
          <t>TIPSMUSIC</t>
        </is>
      </c>
      <c r="D13" s="25" t="inlineStr">
        <is>
          <t>Tips Music Ltd</t>
        </is>
      </c>
      <c r="E13" s="25" t="inlineStr">
        <is>
          <t>media</t>
        </is>
      </c>
      <c r="F13" s="25" t="inlineStr">
        <is>
          <t>entertainment / electronic media software</t>
        </is>
      </c>
      <c r="G13" s="25" t="inlineStr">
        <is>
          <t>midcap</t>
        </is>
      </c>
      <c r="H13" s="26" t="n">
        <v>8375.530000000001</v>
      </c>
      <c r="I13" s="26" t="n">
        <v>672.3</v>
      </c>
      <c r="J13" s="26" t="n">
        <v>2.61</v>
      </c>
      <c r="K13" s="26" t="n">
        <v>112245</v>
      </c>
      <c r="L13" s="26" t="n">
        <v>65.27</v>
      </c>
      <c r="M13" s="26" t="n">
        <v>23.07</v>
      </c>
      <c r="N13" s="26" t="n">
        <v>532.4299999999999</v>
      </c>
      <c r="O13" s="25" t="inlineStr">
        <is>
          <t>Near 52W High Breakout</t>
        </is>
      </c>
      <c r="P13" s="25" t="inlineStr">
        <is>
          <t>Growing Industry</t>
        </is>
      </c>
      <c r="Q13" s="25">
        <f>IF(P13="Growing Industry",10,IF(P13="Cyclical in an Upturn",5,0))</f>
        <v/>
      </c>
      <c r="R13" s="25" t="inlineStr">
        <is>
          <t>Too Many Players with High ROCE</t>
        </is>
      </c>
      <c r="S13" s="25">
        <f>IF(R13="Monopoly",10,IF(R13="Oligopoly",5,IF(R13="Duopoly that cooperate",10,IF(R13="Duopoly that compete",5,IF(R13="Too many players with High ROCE",5,0)))))</f>
        <v/>
      </c>
      <c r="T13" s="25" t="inlineStr">
        <is>
          <t>No</t>
        </is>
      </c>
      <c r="U13" s="25">
        <f>IF(T13="No",5,0)</f>
        <v/>
      </c>
      <c r="V13" s="25" t="inlineStr">
        <is>
          <t>Tailwind</t>
        </is>
      </c>
      <c r="W13" s="25">
        <f>IF(V13="Tailwind",10,0)</f>
        <v/>
      </c>
      <c r="X13" s="25" t="inlineStr">
        <is>
          <t>Structural (10 Years Consistency)</t>
        </is>
      </c>
      <c r="Y13" s="25">
        <f>IF(X13="Structural (10 Years Consistency)",10,IF(X13="Shallow Cyclical (2 to 3 years growth)",5,0))</f>
        <v/>
      </c>
      <c r="Z13" s="25" t="inlineStr">
        <is>
          <t>No</t>
        </is>
      </c>
      <c r="AA13" s="25">
        <f>IF(Z13="Yes due to Product Mix change or Operating Leverage",10,IF(Z13="Yes, these are peak margins",-5,IF(Z13="No",5,0)))</f>
        <v/>
      </c>
      <c r="AB13" s="25" t="inlineStr">
        <is>
          <t>Stable</t>
        </is>
      </c>
      <c r="AC13" s="25">
        <f>IF(AB13="Stable",10,0)</f>
        <v/>
      </c>
      <c r="AD13" s="25" t="inlineStr">
        <is>
          <t>Yes</t>
        </is>
      </c>
      <c r="AE13" s="25">
        <f>IF(AD13="Yes",10,0)</f>
        <v/>
      </c>
      <c r="AF13" s="25" t="inlineStr">
        <is>
          <t>B2B</t>
        </is>
      </c>
      <c r="AG13" s="25">
        <f>IF(AF13="B2C",10,IF(AF13="B2B",5,0))</f>
        <v/>
      </c>
      <c r="AH13" s="25" t="inlineStr">
        <is>
          <t>Yes</t>
        </is>
      </c>
      <c r="AI13" s="25">
        <f>IF(AH13="Yes",10,0)</f>
        <v/>
      </c>
      <c r="AJ13" s="25" t="inlineStr">
        <is>
          <t>Higher Annuity, Lower One Time</t>
        </is>
      </c>
      <c r="AK13" s="25">
        <f>IF(AJ13="Fully Annuity",10,IF(AJ13="Higher Annuity, Lower One Time",5,IF(AJ13="Higher One Time, Lower Annuity",3,0)))</f>
        <v/>
      </c>
      <c r="AL13" s="25" t="inlineStr">
        <is>
          <t>Good</t>
        </is>
      </c>
      <c r="AM13" s="25">
        <f>IF(AL13="Good",10,0)</f>
        <v/>
      </c>
      <c r="AN13" s="25" t="inlineStr">
        <is>
          <t>Yes for more than 2 years</t>
        </is>
      </c>
      <c r="AO13" s="25">
        <f>IF(AN13="Yes for more than 2 years",10,IF(AN13="Yes only for next 1 to 2 years",5,0))</f>
        <v/>
      </c>
      <c r="AP13" s="25" t="inlineStr">
        <is>
          <t>20 to 40</t>
        </is>
      </c>
      <c r="AQ13" s="25">
        <f>IF(AP13="Above 40",20,IF(AP13="20 to 40",10,IF(AP13="0 to 20",-5,0)))</f>
        <v/>
      </c>
      <c r="AR13" s="25" t="inlineStr">
        <is>
          <t>Between 50 to 75</t>
        </is>
      </c>
      <c r="AS13" s="25">
        <f>IF(AR13="Between 50 to 75",10,IF(AR13="Above 75",0,0))</f>
        <v/>
      </c>
      <c r="AT13" s="25" t="inlineStr">
        <is>
          <t>Stage 2</t>
        </is>
      </c>
      <c r="AU13" s="25">
        <f>IF(AT13="Stage 2",20,IF(AT13="Stage 1",0,IF(AT13="Stage 3",5,IF(AT13="Stage 4",-5,0))))</f>
        <v/>
      </c>
      <c r="AV13" s="25" t="inlineStr">
        <is>
          <t>Positive Trend</t>
        </is>
      </c>
      <c r="AW13" s="25">
        <f>IF(AV13="Positive Trend",20,IF(AV13="Negative Trend",-10,0))</f>
        <v/>
      </c>
      <c r="AX13" s="25" t="inlineStr">
        <is>
          <t>Uptrend</t>
        </is>
      </c>
      <c r="AY13" s="25">
        <f>IF(AX13="Uptrend",10,IF(AX13="Sideways",5,0))</f>
        <v/>
      </c>
      <c r="AZ13" s="25" t="inlineStr">
        <is>
          <t>Uptrend</t>
        </is>
      </c>
      <c r="BA13" s="25">
        <f>IF(AZ13="Uptrend",10,IF(AZ13="Sideways",5,0))</f>
        <v/>
      </c>
      <c r="BB13" s="25" t="inlineStr">
        <is>
          <t>Close to 52 week high or retracement</t>
        </is>
      </c>
      <c r="BC13" s="25">
        <f>IF(BB13="Overhead supply in last 2 years in last 2 years",-5,IF(BB13="Close to 52 week high or retracement",5,IF(BB13="Blue sky scenario",10,IF(BB13="Long term Downtrend",-10,0))))</f>
        <v/>
      </c>
      <c r="BD13" s="25" t="inlineStr">
        <is>
          <t>Yes</t>
        </is>
      </c>
      <c r="BE13" s="25">
        <f>IF(BD13="Yes",10,0)</f>
        <v/>
      </c>
      <c r="BF13" s="25" t="inlineStr">
        <is>
          <t>More than 20%</t>
        </is>
      </c>
      <c r="BG13" s="25">
        <f>IF(BF13="More than 20%",10,IF(BF13="Between 12 to 20%",5,IF(BF13="Less than 12%",0,0)))</f>
        <v/>
      </c>
      <c r="BH13" s="25" t="inlineStr">
        <is>
          <t>No</t>
        </is>
      </c>
      <c r="BI13" s="25">
        <f>IF(BH13="No",10,0)</f>
        <v/>
      </c>
      <c r="BJ13" s="25" t="inlineStr">
        <is>
          <t>No</t>
        </is>
      </c>
      <c r="BK13" s="25">
        <f>IF(BJ13="NO",5,0)</f>
        <v/>
      </c>
      <c r="BL13" s="25" t="inlineStr">
        <is>
          <t>Less than 1.5</t>
        </is>
      </c>
      <c r="BM13" s="25">
        <f>IF(BL13="Above 2",0,IF(BL13="Between 1.5 to 2",5,IF(BL13="Less than 1.5",10,0)))</f>
        <v/>
      </c>
      <c r="BN13" s="25" t="inlineStr">
        <is>
          <t>Above 70%</t>
        </is>
      </c>
      <c r="BO13" s="25">
        <f>IF(BN13="Above 70%",10,IF(BN13="Between 50% to 70%",5,IF(BN13="Less than 50%",0,IF(BN13="Negative",-10,IF(BN13="Less than 50% and Borrowings are increasing",-5,0)))))</f>
        <v/>
      </c>
      <c r="BP13" s="25" t="inlineStr">
        <is>
          <t>Less than 0.7</t>
        </is>
      </c>
      <c r="BQ13" s="25">
        <f>IF(BP13="More than 1.2",-10,IF(BP13="Between 0.7 to 1.2",0,IF(BP13="Less than 0.7",10,0)))</f>
        <v/>
      </c>
      <c r="BR13" s="25" t="inlineStr">
        <is>
          <t>No</t>
        </is>
      </c>
      <c r="BS13" s="25">
        <f>IF(BR13="Yes",-10,0)</f>
        <v/>
      </c>
      <c r="BT13" s="25" t="inlineStr">
        <is>
          <t>Less than 15%</t>
        </is>
      </c>
      <c r="BU13" s="25">
        <f>IF(BT13="More than 15%",-10,IF(BT13="Less than 15%",10,0))</f>
        <v/>
      </c>
      <c r="BV13" s="25" t="inlineStr">
        <is>
          <t>No</t>
        </is>
      </c>
      <c r="BW13" s="25">
        <f>IF(BV13="Yes, more than 10%",-10,IF(BV13="No",10,0))</f>
        <v/>
      </c>
    </row>
    <row r="14">
      <c r="A14" s="25">
        <f>IF(B14=0,"",RANK(B14,$B$2:$B$292,0))</f>
        <v/>
      </c>
      <c r="B14" s="26">
        <f>SUM(Q14,S14,U14,W14,Y14,AA14,AC14,AE14,AG14,AI14,AK14,AM14,AO14,AQ14,AS14,AU14,AW14,AY14,BA14,BC14,BE14,BG14,BI14,BK14,BM14,BO14,BQ14,BS14,BU14,BW14)</f>
        <v/>
      </c>
      <c r="C14" s="25" t="inlineStr">
        <is>
          <t>ACUTAAS</t>
        </is>
      </c>
      <c r="D14" s="25" t="inlineStr">
        <is>
          <t>Acutaas Chemicals Ltd</t>
        </is>
      </c>
      <c r="E14" s="25" t="inlineStr">
        <is>
          <t>healthcare</t>
        </is>
      </c>
      <c r="F14" s="25" t="inlineStr">
        <is>
          <t>pharmaceuticals - indian - bulk drugs</t>
        </is>
      </c>
      <c r="G14" s="25" t="inlineStr">
        <is>
          <t>largecap</t>
        </is>
      </c>
      <c r="H14" s="26" t="n">
        <v>24716.07</v>
      </c>
      <c r="I14" s="26" t="n">
        <v>3037.6</v>
      </c>
      <c r="J14" s="26" t="n">
        <v>0.62</v>
      </c>
      <c r="K14" s="26" t="n">
        <v>430122</v>
      </c>
      <c r="L14" s="26" t="n">
        <v>72.77</v>
      </c>
      <c r="M14" s="26" t="n">
        <v>64.17</v>
      </c>
      <c r="N14" s="26" t="n">
        <v>2442.12</v>
      </c>
      <c r="O14" s="25" t="inlineStr">
        <is>
          <t>Near 52W High Breakout</t>
        </is>
      </c>
      <c r="P14" s="25" t="inlineStr">
        <is>
          <t>Growing Industry</t>
        </is>
      </c>
      <c r="Q14" s="25">
        <f>IF(P14="Growing Industry",10,IF(P14="Cyclical in an Upturn",5,0))</f>
        <v/>
      </c>
      <c r="R14" s="25" t="inlineStr">
        <is>
          <t>Too Many Players with High ROCE</t>
        </is>
      </c>
      <c r="S14" s="25">
        <f>IF(R14="Monopoly",10,IF(R14="Oligopoly",5,IF(R14="Duopoly that cooperate",10,IF(R14="Duopoly that compete",5,IF(R14="Too many players with High ROCE",5,0)))))</f>
        <v/>
      </c>
      <c r="T14" s="25" t="inlineStr">
        <is>
          <t>Yes</t>
        </is>
      </c>
      <c r="U14" s="25">
        <f>IF(T14="No",5,0)</f>
        <v/>
      </c>
      <c r="V14" s="25" t="inlineStr">
        <is>
          <t>Tailwind</t>
        </is>
      </c>
      <c r="W14" s="25">
        <f>IF(V14="Tailwind",10,0)</f>
        <v/>
      </c>
      <c r="X14" s="25" t="inlineStr">
        <is>
          <t>Structural (10 Years Consistency)</t>
        </is>
      </c>
      <c r="Y14" s="25">
        <f>IF(X14="Structural (10 Years Consistency)",10,IF(X14="Shallow Cyclical (2 to 3 years growth)",5,0))</f>
        <v/>
      </c>
      <c r="Z14" s="25" t="inlineStr">
        <is>
          <t>No</t>
        </is>
      </c>
      <c r="AA14" s="25">
        <f>IF(Z14="Yes due to Product Mix change or Operating Leverage",10,IF(Z14="Yes, these are peak margins",-5,IF(Z14="No",5,0)))</f>
        <v/>
      </c>
      <c r="AB14" s="25" t="inlineStr">
        <is>
          <t>Stable</t>
        </is>
      </c>
      <c r="AC14" s="25">
        <f>IF(AB14="Stable",10,0)</f>
        <v/>
      </c>
      <c r="AD14" s="25" t="inlineStr">
        <is>
          <t>Yes</t>
        </is>
      </c>
      <c r="AE14" s="25">
        <f>IF(AD14="Yes",10,0)</f>
        <v/>
      </c>
      <c r="AF14" s="25" t="inlineStr">
        <is>
          <t>B2B</t>
        </is>
      </c>
      <c r="AG14" s="25">
        <f>IF(AF14="B2C",10,IF(AF14="B2B",5,0))</f>
        <v/>
      </c>
      <c r="AH14" s="25" t="inlineStr">
        <is>
          <t>Yes</t>
        </is>
      </c>
      <c r="AI14" s="25">
        <f>IF(AH14="Yes",10,0)</f>
        <v/>
      </c>
      <c r="AJ14" s="25" t="inlineStr">
        <is>
          <t>Higher Annuity, Lower One Time</t>
        </is>
      </c>
      <c r="AK14" s="25">
        <f>IF(AJ14="Fully Annuity",10,IF(AJ14="Higher Annuity, Lower One Time",5,IF(AJ14="Higher One Time, Lower Annuity",3,0)))</f>
        <v/>
      </c>
      <c r="AL14" s="25" t="inlineStr">
        <is>
          <t>Good</t>
        </is>
      </c>
      <c r="AM14" s="25">
        <f>IF(AL14="Good",10,0)</f>
        <v/>
      </c>
      <c r="AN14" s="25" t="inlineStr">
        <is>
          <t>Yes for more than 2 years</t>
        </is>
      </c>
      <c r="AO14" s="25">
        <f>IF(AN14="Yes for more than 2 years",10,IF(AN14="Yes only for next 1 to 2 years",5,0))</f>
        <v/>
      </c>
      <c r="AP14" s="25" t="inlineStr">
        <is>
          <t>Above 40</t>
        </is>
      </c>
      <c r="AQ14" s="25">
        <f>IF(AP14="Above 40",20,IF(AP14="20 to 40",10,IF(AP14="0 to 20",-5,0)))</f>
        <v/>
      </c>
      <c r="AR14" s="25" t="inlineStr">
        <is>
          <t>Between 50 to 75</t>
        </is>
      </c>
      <c r="AS14" s="25">
        <f>IF(AR14="Between 50 to 75",10,IF(AR14="Above 75",0,0))</f>
        <v/>
      </c>
      <c r="AT14" s="25" t="inlineStr">
        <is>
          <t>Stage 2</t>
        </is>
      </c>
      <c r="AU14" s="25">
        <f>IF(AT14="Stage 2",20,IF(AT14="Stage 1",0,IF(AT14="Stage 3",5,IF(AT14="Stage 4",-5,0))))</f>
        <v/>
      </c>
      <c r="AV14" s="25" t="inlineStr">
        <is>
          <t>Positive Trend</t>
        </is>
      </c>
      <c r="AW14" s="25">
        <f>IF(AV14="Positive Trend",20,IF(AV14="Negative Trend",-10,0))</f>
        <v/>
      </c>
      <c r="AX14" s="25" t="inlineStr">
        <is>
          <t>Uptrend</t>
        </is>
      </c>
      <c r="AY14" s="25">
        <f>IF(AX14="Uptrend",10,IF(AX14="Sideways",5,0))</f>
        <v/>
      </c>
      <c r="AZ14" s="25" t="inlineStr">
        <is>
          <t>Uptrend</t>
        </is>
      </c>
      <c r="BA14" s="25">
        <f>IF(AZ14="Uptrend",10,IF(AZ14="Sideways",5,0))</f>
        <v/>
      </c>
      <c r="BB14" s="25" t="inlineStr">
        <is>
          <t>Blue sky scenario</t>
        </is>
      </c>
      <c r="BC14" s="25">
        <f>IF(BB14="Overhead supply in last 2 years in last 2 years",-5,IF(BB14="Close to 52 week high or retracement",5,IF(BB14="Blue sky scenario",10,IF(BB14="Long term Downtrend",-10,0))))</f>
        <v/>
      </c>
      <c r="BD14" s="25" t="inlineStr">
        <is>
          <t>Yes</t>
        </is>
      </c>
      <c r="BE14" s="25">
        <f>IF(BD14="Yes",10,0)</f>
        <v/>
      </c>
      <c r="BF14" s="25" t="inlineStr">
        <is>
          <t>More than 20%</t>
        </is>
      </c>
      <c r="BG14" s="25">
        <f>IF(BF14="More than 20%",10,IF(BF14="Between 12 to 20%",5,IF(BF14="Less than 12%",0,0)))</f>
        <v/>
      </c>
      <c r="BH14" s="25" t="inlineStr">
        <is>
          <t>No</t>
        </is>
      </c>
      <c r="BI14" s="25">
        <f>IF(BH14="No",10,0)</f>
        <v/>
      </c>
      <c r="BJ14" s="25" t="inlineStr">
        <is>
          <t>Yes</t>
        </is>
      </c>
      <c r="BK14" s="25">
        <f>IF(BJ14="NO",5,0)</f>
        <v/>
      </c>
      <c r="BL14" s="25" t="inlineStr">
        <is>
          <t>Less than 1.5</t>
        </is>
      </c>
      <c r="BM14" s="25">
        <f>IF(BL14="Above 2",0,IF(BL14="Between 1.5 to 2",5,IF(BL14="Less than 1.5",10,0)))</f>
        <v/>
      </c>
      <c r="BN14" s="25" t="inlineStr">
        <is>
          <t>Between 50% to 70%</t>
        </is>
      </c>
      <c r="BO14" s="25">
        <f>IF(BN14="Above 70%",10,IF(BN14="Between 50% to 70%",5,IF(BN14="Less than 50%",0,IF(BN14="Negative",-10,IF(BN14="Less than 50% and Borrowings are increasing",-5,0)))))</f>
        <v/>
      </c>
      <c r="BP14" s="25" t="inlineStr">
        <is>
          <t>Less than 0.7</t>
        </is>
      </c>
      <c r="BQ14" s="25">
        <f>IF(BP14="More than 1.2",-10,IF(BP14="Between 0.7 to 1.2",0,IF(BP14="Less than 0.7",10,0)))</f>
        <v/>
      </c>
      <c r="BR14" s="25" t="inlineStr">
        <is>
          <t>No</t>
        </is>
      </c>
      <c r="BS14" s="25">
        <f>IF(BR14="Yes",-10,0)</f>
        <v/>
      </c>
      <c r="BT14" s="25" t="inlineStr">
        <is>
          <t>Less than 15%</t>
        </is>
      </c>
      <c r="BU14" s="25">
        <f>IF(BT14="More than 15%",-10,IF(BT14="Less than 15%",10,0))</f>
        <v/>
      </c>
      <c r="BV14" s="25" t="inlineStr">
        <is>
          <t>No</t>
        </is>
      </c>
      <c r="BW14" s="25">
        <f>IF(BV14="Yes, more than 10%",-10,IF(BV14="No",10,0))</f>
        <v/>
      </c>
    </row>
    <row r="15">
      <c r="A15" s="25">
        <f>IF(B15=0,"",RANK(B15,$B$2:$B$292,0))</f>
        <v/>
      </c>
      <c r="B15" s="26">
        <f>SUM(Q15,S15,U15,W15,Y15,AA15,AC15,AE15,AG15,AI15,AK15,AM15,AO15,AQ15,AS15,AU15,AW15,AY15,BA15,BC15,BE15,BG15,BI15,BK15,BM15,BO15,BQ15,BS15,BU15,BW15)</f>
        <v/>
      </c>
      <c r="C15" s="25" t="inlineStr">
        <is>
          <t>PGHL</t>
        </is>
      </c>
      <c r="D15" s="25" t="inlineStr">
        <is>
          <t>Procter &amp; Gamble Health Ltd</t>
        </is>
      </c>
      <c r="E15" s="25" t="inlineStr">
        <is>
          <t>healthcare</t>
        </is>
      </c>
      <c r="F15" s="25" t="inlineStr">
        <is>
          <t>pharmaceuticals - multinational</t>
        </is>
      </c>
      <c r="G15" s="25" t="inlineStr">
        <is>
          <t>midcap</t>
        </is>
      </c>
      <c r="H15" s="26" t="n">
        <v>10064.21</v>
      </c>
      <c r="I15" s="26" t="n">
        <v>6030.5</v>
      </c>
      <c r="J15" s="26" t="n">
        <v>-0.54</v>
      </c>
      <c r="K15" s="26" t="n">
        <v>14718</v>
      </c>
      <c r="L15" s="26" t="n">
        <v>70.91</v>
      </c>
      <c r="M15" s="26" t="n">
        <v>29.9</v>
      </c>
      <c r="N15" s="26" t="n">
        <v>5085.71</v>
      </c>
      <c r="O15" s="25" t="inlineStr">
        <is>
          <t>Near 52W High Breakout</t>
        </is>
      </c>
      <c r="P15" s="25" t="inlineStr">
        <is>
          <t>Growing Industry</t>
        </is>
      </c>
      <c r="Q15" s="25">
        <f>IF(P15="Growing Industry",10,IF(P15="Cyclical in an Upturn",5,0))</f>
        <v/>
      </c>
      <c r="R15" s="25" t="inlineStr">
        <is>
          <t>Too Many Players with High ROCE</t>
        </is>
      </c>
      <c r="S15" s="25">
        <f>IF(R15="Monopoly",10,IF(R15="Oligopoly",5,IF(R15="Duopoly that cooperate",10,IF(R15="Duopoly that compete",5,IF(R15="Too many players with High ROCE",5,0)))))</f>
        <v/>
      </c>
      <c r="T15" s="25" t="inlineStr">
        <is>
          <t>Yes</t>
        </is>
      </c>
      <c r="U15" s="25">
        <f>IF(T15="No",5,0)</f>
        <v/>
      </c>
      <c r="V15" s="25" t="inlineStr">
        <is>
          <t>Tailwind</t>
        </is>
      </c>
      <c r="W15" s="25">
        <f>IF(V15="Tailwind",10,0)</f>
        <v/>
      </c>
      <c r="X15" s="25" t="inlineStr">
        <is>
          <t>Structural (10 Years Consistency)</t>
        </is>
      </c>
      <c r="Y15" s="25">
        <f>IF(X15="Structural (10 Years Consistency)",10,IF(X15="Shallow Cyclical (2 to 3 years growth)",5,0))</f>
        <v/>
      </c>
      <c r="Z15" s="25" t="inlineStr">
        <is>
          <t>No</t>
        </is>
      </c>
      <c r="AA15" s="25">
        <f>IF(Z15="Yes due to Product Mix change or Operating Leverage",10,IF(Z15="Yes, these are peak margins",-5,IF(Z15="No",5,0)))</f>
        <v/>
      </c>
      <c r="AB15" s="25" t="inlineStr">
        <is>
          <t>Stable</t>
        </is>
      </c>
      <c r="AC15" s="25">
        <f>IF(AB15="Stable",10,0)</f>
        <v/>
      </c>
      <c r="AD15" s="25" t="inlineStr">
        <is>
          <t>Yes</t>
        </is>
      </c>
      <c r="AE15" s="25">
        <f>IF(AD15="Yes",10,0)</f>
        <v/>
      </c>
      <c r="AF15" s="25" t="inlineStr">
        <is>
          <t>B2B</t>
        </is>
      </c>
      <c r="AG15" s="25">
        <f>IF(AF15="B2C",10,IF(AF15="B2B",5,0))</f>
        <v/>
      </c>
      <c r="AH15" s="25" t="inlineStr">
        <is>
          <t>Yes</t>
        </is>
      </c>
      <c r="AI15" s="25">
        <f>IF(AH15="Yes",10,0)</f>
        <v/>
      </c>
      <c r="AJ15" s="25" t="inlineStr">
        <is>
          <t>Higher Annuity, Lower One Time</t>
        </is>
      </c>
      <c r="AK15" s="25">
        <f>IF(AJ15="Fully Annuity",10,IF(AJ15="Higher Annuity, Lower One Time",5,IF(AJ15="Higher One Time, Lower Annuity",3,0)))</f>
        <v/>
      </c>
      <c r="AL15" s="25" t="inlineStr">
        <is>
          <t>Good</t>
        </is>
      </c>
      <c r="AM15" s="25">
        <f>IF(AL15="Good",10,0)</f>
        <v/>
      </c>
      <c r="AN15" s="25" t="inlineStr">
        <is>
          <t>Yes for more than 2 years</t>
        </is>
      </c>
      <c r="AO15" s="25">
        <f>IF(AN15="Yes for more than 2 years",10,IF(AN15="Yes only for next 1 to 2 years",5,0))</f>
        <v/>
      </c>
      <c r="AP15" s="25" t="inlineStr">
        <is>
          <t>20 to 40</t>
        </is>
      </c>
      <c r="AQ15" s="25">
        <f>IF(AP15="Above 40",20,IF(AP15="20 to 40",10,IF(AP15="0 to 20",-5,0)))</f>
        <v/>
      </c>
      <c r="AR15" s="25" t="inlineStr">
        <is>
          <t>Between 50 to 75</t>
        </is>
      </c>
      <c r="AS15" s="25">
        <f>IF(AR15="Between 50 to 75",10,IF(AR15="Above 75",0,0))</f>
        <v/>
      </c>
      <c r="AT15" s="25" t="inlineStr">
        <is>
          <t>Stage 2</t>
        </is>
      </c>
      <c r="AU15" s="25">
        <f>IF(AT15="Stage 2",20,IF(AT15="Stage 1",0,IF(AT15="Stage 3",5,IF(AT15="Stage 4",-5,0))))</f>
        <v/>
      </c>
      <c r="AV15" s="25" t="inlineStr">
        <is>
          <t>Positive Trend</t>
        </is>
      </c>
      <c r="AW15" s="25">
        <f>IF(AV15="Positive Trend",20,IF(AV15="Negative Trend",-10,0))</f>
        <v/>
      </c>
      <c r="AX15" s="25" t="inlineStr">
        <is>
          <t>Uptrend</t>
        </is>
      </c>
      <c r="AY15" s="25">
        <f>IF(AX15="Uptrend",10,IF(AX15="Sideways",5,0))</f>
        <v/>
      </c>
      <c r="AZ15" s="25" t="inlineStr">
        <is>
          <t>Uptrend</t>
        </is>
      </c>
      <c r="BA15" s="25">
        <f>IF(AZ15="Uptrend",10,IF(AZ15="Sideways",5,0))</f>
        <v/>
      </c>
      <c r="BB15" s="25" t="inlineStr">
        <is>
          <t>Blue sky scenario</t>
        </is>
      </c>
      <c r="BC15" s="25">
        <f>IF(BB15="Overhead supply in last 2 years in last 2 years",-5,IF(BB15="Close to 52 week high or retracement",5,IF(BB15="Blue sky scenario",10,IF(BB15="Long term Downtrend",-10,0))))</f>
        <v/>
      </c>
      <c r="BD15" s="25" t="inlineStr">
        <is>
          <t>Yes</t>
        </is>
      </c>
      <c r="BE15" s="25">
        <f>IF(BD15="Yes",10,0)</f>
        <v/>
      </c>
      <c r="BF15" s="25" t="inlineStr">
        <is>
          <t>More than 20%</t>
        </is>
      </c>
      <c r="BG15" s="25">
        <f>IF(BF15="More than 20%",10,IF(BF15="Between 12 to 20%",5,IF(BF15="Less than 12%",0,0)))</f>
        <v/>
      </c>
      <c r="BH15" s="25" t="inlineStr">
        <is>
          <t>No</t>
        </is>
      </c>
      <c r="BI15" s="25">
        <f>IF(BH15="No",10,0)</f>
        <v/>
      </c>
      <c r="BJ15" s="25" t="inlineStr">
        <is>
          <t>No</t>
        </is>
      </c>
      <c r="BK15" s="25">
        <f>IF(BJ15="NO",5,0)</f>
        <v/>
      </c>
      <c r="BL15" s="25" t="inlineStr">
        <is>
          <t>Less than 1.5</t>
        </is>
      </c>
      <c r="BM15" s="25">
        <f>IF(BL15="Above 2",0,IF(BL15="Between 1.5 to 2",5,IF(BL15="Less than 1.5",10,0)))</f>
        <v/>
      </c>
      <c r="BN15" s="25" t="inlineStr">
        <is>
          <t>Above 70%</t>
        </is>
      </c>
      <c r="BO15" s="25">
        <f>IF(BN15="Above 70%",10,IF(BN15="Between 50% to 70%",5,IF(BN15="Less than 50%",0,IF(BN15="Negative",-10,IF(BN15="Less than 50% and Borrowings are increasing",-5,0)))))</f>
        <v/>
      </c>
      <c r="BP15" s="25" t="inlineStr">
        <is>
          <t>Less than 0.7</t>
        </is>
      </c>
      <c r="BQ15" s="25">
        <f>IF(BP15="More than 1.2",-10,IF(BP15="Between 0.7 to 1.2",0,IF(BP15="Less than 0.7",10,0)))</f>
        <v/>
      </c>
      <c r="BR15" s="25" t="inlineStr">
        <is>
          <t>No</t>
        </is>
      </c>
      <c r="BS15" s="25">
        <f>IF(BR15="Yes",-10,0)</f>
        <v/>
      </c>
      <c r="BT15" s="25" t="inlineStr">
        <is>
          <t>Less than 15%</t>
        </is>
      </c>
      <c r="BU15" s="25">
        <f>IF(BT15="More than 15%",-10,IF(BT15="Less than 15%",10,0))</f>
        <v/>
      </c>
      <c r="BV15" s="25" t="inlineStr">
        <is>
          <t>No</t>
        </is>
      </c>
      <c r="BW15" s="25">
        <f>IF(BV15="Yes, more than 10%",-10,IF(BV15="No",10,0))</f>
        <v/>
      </c>
    </row>
    <row r="16">
      <c r="A16" s="25">
        <f>IF(B16=0,"",RANK(B16,$B$2:$B$292,0))</f>
        <v/>
      </c>
      <c r="B16" s="26">
        <f>SUM(Q16,S16,U16,W16,Y16,AA16,AC16,AE16,AG16,AI16,AK16,AM16,AO16,AQ16,AS16,AU16,AW16,AY16,BA16,BC16,BE16,BG16,BI16,BK16,BM16,BO16,BQ16,BS16,BU16,BW16)</f>
        <v/>
      </c>
      <c r="C16" s="25" t="inlineStr">
        <is>
          <t>CONFIPET</t>
        </is>
      </c>
      <c r="D16" s="25" t="inlineStr">
        <is>
          <t>Confidence Petroleum India Ltd</t>
        </is>
      </c>
      <c r="E16" s="25" t="inlineStr">
        <is>
          <t>miscellaneous</t>
        </is>
      </c>
      <c r="F16" s="25" t="inlineStr">
        <is>
          <t>miscellaneous</t>
        </is>
      </c>
      <c r="G16" s="25" t="inlineStr">
        <is>
          <t>smallcap</t>
        </is>
      </c>
      <c r="H16" s="26" t="n">
        <v>2108.73</v>
      </c>
      <c r="I16" s="26" t="n">
        <v>69.81</v>
      </c>
      <c r="J16" s="26" t="n">
        <v>9.99</v>
      </c>
      <c r="K16" s="26" t="n">
        <v>4572557</v>
      </c>
      <c r="L16" s="26" t="n">
        <v>75.19</v>
      </c>
      <c r="M16" s="26" t="n">
        <v>45.53</v>
      </c>
      <c r="N16" s="26" t="n">
        <v>47.3</v>
      </c>
      <c r="O16" s="25" t="inlineStr">
        <is>
          <t>Near 52W High Breakout</t>
        </is>
      </c>
      <c r="P16" s="25" t="inlineStr">
        <is>
          <t>Growing Industry</t>
        </is>
      </c>
      <c r="Q16" s="25">
        <f>IF(P16="Growing Industry",10,IF(P16="Cyclical in an Upturn",5,0))</f>
        <v/>
      </c>
      <c r="R16" s="25" t="inlineStr">
        <is>
          <t>Too Many Players with High ROCE</t>
        </is>
      </c>
      <c r="S16" s="25">
        <f>IF(R16="Monopoly",10,IF(R16="Oligopoly",5,IF(R16="Duopoly that cooperate",10,IF(R16="Duopoly that compete",5,IF(R16="Too many players with High ROCE",5,0)))))</f>
        <v/>
      </c>
      <c r="T16" s="25" t="inlineStr">
        <is>
          <t>No</t>
        </is>
      </c>
      <c r="U16" s="25">
        <f>IF(T16="No",5,0)</f>
        <v/>
      </c>
      <c r="V16" s="25" t="inlineStr">
        <is>
          <t>Tailwind</t>
        </is>
      </c>
      <c r="W16" s="25">
        <f>IF(V16="Tailwind",10,0)</f>
        <v/>
      </c>
      <c r="X16" s="25" t="inlineStr">
        <is>
          <t>Structural (10 Years Consistency)</t>
        </is>
      </c>
      <c r="Y16" s="25">
        <f>IF(X16="Structural (10 Years Consistency)",10,IF(X16="Shallow Cyclical (2 to 3 years growth)",5,0))</f>
        <v/>
      </c>
      <c r="Z16" s="25" t="inlineStr">
        <is>
          <t>No</t>
        </is>
      </c>
      <c r="AA16" s="25">
        <f>IF(Z16="Yes due to Product Mix change or Operating Leverage",10,IF(Z16="Yes, these are peak margins",-5,IF(Z16="No",5,0)))</f>
        <v/>
      </c>
      <c r="AB16" s="25" t="inlineStr">
        <is>
          <t>Stable</t>
        </is>
      </c>
      <c r="AC16" s="25">
        <f>IF(AB16="Stable",10,0)</f>
        <v/>
      </c>
      <c r="AD16" s="25" t="inlineStr">
        <is>
          <t>Yes</t>
        </is>
      </c>
      <c r="AE16" s="25">
        <f>IF(AD16="Yes",10,0)</f>
        <v/>
      </c>
      <c r="AF16" s="25" t="inlineStr">
        <is>
          <t>B2B</t>
        </is>
      </c>
      <c r="AG16" s="25">
        <f>IF(AF16="B2C",10,IF(AF16="B2B",5,0))</f>
        <v/>
      </c>
      <c r="AH16" s="25" t="inlineStr">
        <is>
          <t>Yes</t>
        </is>
      </c>
      <c r="AI16" s="25">
        <f>IF(AH16="Yes",10,0)</f>
        <v/>
      </c>
      <c r="AJ16" s="25" t="inlineStr">
        <is>
          <t>Higher One Time, Lower Annuity</t>
        </is>
      </c>
      <c r="AK16" s="25">
        <f>IF(AJ16="Fully Annuity",10,IF(AJ16="Higher Annuity, Lower One Time",5,IF(AJ16="Higher One Time, Lower Annuity",3,0)))</f>
        <v/>
      </c>
      <c r="AL16" s="25" t="inlineStr">
        <is>
          <t>Good</t>
        </is>
      </c>
      <c r="AM16" s="25">
        <f>IF(AL16="Good",10,0)</f>
        <v/>
      </c>
      <c r="AN16" s="25" t="inlineStr">
        <is>
          <t>Yes for more than 2 years</t>
        </is>
      </c>
      <c r="AO16" s="25">
        <f>IF(AN16="Yes for more than 2 years",10,IF(AN16="Yes only for next 1 to 2 years",5,0))</f>
        <v/>
      </c>
      <c r="AP16" s="25" t="inlineStr">
        <is>
          <t>Above 40</t>
        </is>
      </c>
      <c r="AQ16" s="25">
        <f>IF(AP16="Above 40",20,IF(AP16="20 to 40",10,IF(AP16="0 to 20",-5,0)))</f>
        <v/>
      </c>
      <c r="AR16" s="25" t="inlineStr">
        <is>
          <t>Above 75</t>
        </is>
      </c>
      <c r="AS16" s="25">
        <f>IF(AR16="Between 50 to 75",10,IF(AR16="Above 75",0,0))</f>
        <v/>
      </c>
      <c r="AT16" s="25" t="inlineStr">
        <is>
          <t>Stage 2</t>
        </is>
      </c>
      <c r="AU16" s="25">
        <f>IF(AT16="Stage 2",20,IF(AT16="Stage 1",0,IF(AT16="Stage 3",5,IF(AT16="Stage 4",-5,0))))</f>
        <v/>
      </c>
      <c r="AV16" s="25" t="inlineStr">
        <is>
          <t>Positive Trend</t>
        </is>
      </c>
      <c r="AW16" s="25">
        <f>IF(AV16="Positive Trend",20,IF(AV16="Negative Trend",-10,0))</f>
        <v/>
      </c>
      <c r="AX16" s="25" t="inlineStr">
        <is>
          <t>Uptrend</t>
        </is>
      </c>
      <c r="AY16" s="25">
        <f>IF(AX16="Uptrend",10,IF(AX16="Sideways",5,0))</f>
        <v/>
      </c>
      <c r="AZ16" s="25" t="inlineStr">
        <is>
          <t>Uptrend</t>
        </is>
      </c>
      <c r="BA16" s="25">
        <f>IF(AZ16="Uptrend",10,IF(AZ16="Sideways",5,0))</f>
        <v/>
      </c>
      <c r="BB16" s="25" t="inlineStr">
        <is>
          <t>Close to 52 week high or retracement</t>
        </is>
      </c>
      <c r="BC16" s="25">
        <f>IF(BB16="Overhead supply in last 2 years in last 2 years",-5,IF(BB16="Close to 52 week high or retracement",5,IF(BB16="Blue sky scenario",10,IF(BB16="Long term Downtrend",-10,0))))</f>
        <v/>
      </c>
      <c r="BD16" s="25" t="inlineStr">
        <is>
          <t>Yes</t>
        </is>
      </c>
      <c r="BE16" s="25">
        <f>IF(BD16="Yes",10,0)</f>
        <v/>
      </c>
      <c r="BF16" s="25" t="inlineStr">
        <is>
          <t>More than 20%</t>
        </is>
      </c>
      <c r="BG16" s="25">
        <f>IF(BF16="More than 20%",10,IF(BF16="Between 12 to 20%",5,IF(BF16="Less than 12%",0,0)))</f>
        <v/>
      </c>
      <c r="BH16" s="25" t="inlineStr">
        <is>
          <t>No</t>
        </is>
      </c>
      <c r="BI16" s="25">
        <f>IF(BH16="No",10,0)</f>
        <v/>
      </c>
      <c r="BJ16" s="25" t="inlineStr">
        <is>
          <t>No</t>
        </is>
      </c>
      <c r="BK16" s="25">
        <f>IF(BJ16="NO",5,0)</f>
        <v/>
      </c>
      <c r="BL16" s="25" t="inlineStr">
        <is>
          <t>Less than 1.5</t>
        </is>
      </c>
      <c r="BM16" s="25">
        <f>IF(BL16="Above 2",0,IF(BL16="Between 1.5 to 2",5,IF(BL16="Less than 1.5",10,0)))</f>
        <v/>
      </c>
      <c r="BN16" s="25" t="inlineStr">
        <is>
          <t>Above 70%</t>
        </is>
      </c>
      <c r="BO16" s="25">
        <f>IF(BN16="Above 70%",10,IF(BN16="Between 50% to 70%",5,IF(BN16="Less than 50%",0,IF(BN16="Negative",-10,IF(BN16="Less than 50% and Borrowings are increasing",-5,0)))))</f>
        <v/>
      </c>
      <c r="BP16" s="25" t="inlineStr">
        <is>
          <t>Less than 0.7</t>
        </is>
      </c>
      <c r="BQ16" s="25">
        <f>IF(BP16="More than 1.2",-10,IF(BP16="Between 0.7 to 1.2",0,IF(BP16="Less than 0.7",10,0)))</f>
        <v/>
      </c>
      <c r="BR16" s="25" t="inlineStr">
        <is>
          <t>No</t>
        </is>
      </c>
      <c r="BS16" s="25">
        <f>IF(BR16="Yes",-10,0)</f>
        <v/>
      </c>
      <c r="BT16" s="25" t="inlineStr">
        <is>
          <t>Less than 15%</t>
        </is>
      </c>
      <c r="BU16" s="25">
        <f>IF(BT16="More than 15%",-10,IF(BT16="Less than 15%",10,0))</f>
        <v/>
      </c>
      <c r="BV16" s="25" t="inlineStr">
        <is>
          <t>No</t>
        </is>
      </c>
      <c r="BW16" s="25">
        <f>IF(BV16="Yes, more than 10%",-10,IF(BV16="No",10,0))</f>
        <v/>
      </c>
    </row>
    <row r="17">
      <c r="A17" s="25">
        <f>IF(B17=0,"",RANK(B17,$B$2:$B$292,0))</f>
        <v/>
      </c>
      <c r="B17" s="26">
        <f>SUM(Q17,S17,U17,W17,Y17,AA17,AC17,AE17,AG17,AI17,AK17,AM17,AO17,AQ17,AS17,AU17,AW17,AY17,BA17,BC17,BE17,BG17,BI17,BK17,BM17,BO17,BQ17,BS17,BU17,BW17)</f>
        <v/>
      </c>
      <c r="C17" s="25" t="inlineStr">
        <is>
          <t>IBULLSLTD</t>
        </is>
      </c>
      <c r="D17" s="25" t="inlineStr">
        <is>
          <t>Indiabulls Limited</t>
        </is>
      </c>
      <c r="E17" s="25" t="inlineStr">
        <is>
          <t>miscellaneous</t>
        </is>
      </c>
      <c r="F17" s="25" t="inlineStr">
        <is>
          <t>diversified - medium / small</t>
        </is>
      </c>
      <c r="G17" s="25" t="inlineStr">
        <is>
          <t>midcap</t>
        </is>
      </c>
      <c r="H17" s="26" t="n">
        <v>5132.24</v>
      </c>
      <c r="I17" s="26" t="n">
        <v>23.18</v>
      </c>
      <c r="J17" s="26" t="n">
        <v>4.98</v>
      </c>
      <c r="K17" s="26" t="n">
        <v>14303450</v>
      </c>
      <c r="L17" s="26" t="n">
        <v>71.52</v>
      </c>
      <c r="M17" s="26" t="n">
        <v>35.52</v>
      </c>
      <c r="N17" s="26" t="n">
        <v>16.53</v>
      </c>
      <c r="O17" s="25" t="inlineStr">
        <is>
          <t>Near 52W High Breakout</t>
        </is>
      </c>
      <c r="P17" s="25" t="inlineStr">
        <is>
          <t>Growing Industry</t>
        </is>
      </c>
      <c r="Q17" s="25">
        <f>IF(P17="Growing Industry",10,IF(P17="Cyclical in an Upturn",5,0))</f>
        <v/>
      </c>
      <c r="R17" s="25" t="inlineStr">
        <is>
          <t>Too Many Players with High ROCE</t>
        </is>
      </c>
      <c r="S17" s="25">
        <f>IF(R17="Monopoly",10,IF(R17="Oligopoly",5,IF(R17="Duopoly that cooperate",10,IF(R17="Duopoly that compete",5,IF(R17="Too many players with High ROCE",5,0)))))</f>
        <v/>
      </c>
      <c r="T17" s="25" t="inlineStr">
        <is>
          <t>No</t>
        </is>
      </c>
      <c r="U17" s="25">
        <f>IF(T17="No",5,0)</f>
        <v/>
      </c>
      <c r="V17" s="25" t="inlineStr">
        <is>
          <t>Tailwind</t>
        </is>
      </c>
      <c r="W17" s="25">
        <f>IF(V17="Tailwind",10,0)</f>
        <v/>
      </c>
      <c r="X17" s="25" t="inlineStr">
        <is>
          <t>Structural (10 Years Consistency)</t>
        </is>
      </c>
      <c r="Y17" s="25">
        <f>IF(X17="Structural (10 Years Consistency)",10,IF(X17="Shallow Cyclical (2 to 3 years growth)",5,0))</f>
        <v/>
      </c>
      <c r="Z17" s="25" t="inlineStr">
        <is>
          <t>No</t>
        </is>
      </c>
      <c r="AA17" s="25">
        <f>IF(Z17="Yes due to Product Mix change or Operating Leverage",10,IF(Z17="Yes, these are peak margins",-5,IF(Z17="No",5,0)))</f>
        <v/>
      </c>
      <c r="AB17" s="25" t="inlineStr">
        <is>
          <t>Stable</t>
        </is>
      </c>
      <c r="AC17" s="25">
        <f>IF(AB17="Stable",10,0)</f>
        <v/>
      </c>
      <c r="AD17" s="25" t="inlineStr">
        <is>
          <t>Yes</t>
        </is>
      </c>
      <c r="AE17" s="25">
        <f>IF(AD17="Yes",10,0)</f>
        <v/>
      </c>
      <c r="AF17" s="25" t="inlineStr">
        <is>
          <t>B2B</t>
        </is>
      </c>
      <c r="AG17" s="25">
        <f>IF(AF17="B2C",10,IF(AF17="B2B",5,0))</f>
        <v/>
      </c>
      <c r="AH17" s="25" t="inlineStr">
        <is>
          <t>Yes</t>
        </is>
      </c>
      <c r="AI17" s="25">
        <f>IF(AH17="Yes",10,0)</f>
        <v/>
      </c>
      <c r="AJ17" s="25" t="inlineStr">
        <is>
          <t>Higher One Time, Lower Annuity</t>
        </is>
      </c>
      <c r="AK17" s="25">
        <f>IF(AJ17="Fully Annuity",10,IF(AJ17="Higher Annuity, Lower One Time",5,IF(AJ17="Higher One Time, Lower Annuity",3,0)))</f>
        <v/>
      </c>
      <c r="AL17" s="25" t="inlineStr">
        <is>
          <t>Good</t>
        </is>
      </c>
      <c r="AM17" s="25">
        <f>IF(AL17="Good",10,0)</f>
        <v/>
      </c>
      <c r="AN17" s="25" t="inlineStr">
        <is>
          <t>Yes for more than 2 years</t>
        </is>
      </c>
      <c r="AO17" s="25">
        <f>IF(AN17="Yes for more than 2 years",10,IF(AN17="Yes only for next 1 to 2 years",5,0))</f>
        <v/>
      </c>
      <c r="AP17" s="25" t="inlineStr">
        <is>
          <t>20 to 40</t>
        </is>
      </c>
      <c r="AQ17" s="25">
        <f>IF(AP17="Above 40",20,IF(AP17="20 to 40",10,IF(AP17="0 to 20",-5,0)))</f>
        <v/>
      </c>
      <c r="AR17" s="25" t="inlineStr">
        <is>
          <t>Between 50 to 75</t>
        </is>
      </c>
      <c r="AS17" s="25">
        <f>IF(AR17="Between 50 to 75",10,IF(AR17="Above 75",0,0))</f>
        <v/>
      </c>
      <c r="AT17" s="25" t="inlineStr">
        <is>
          <t>Stage 2</t>
        </is>
      </c>
      <c r="AU17" s="25">
        <f>IF(AT17="Stage 2",20,IF(AT17="Stage 1",0,IF(AT17="Stage 3",5,IF(AT17="Stage 4",-5,0))))</f>
        <v/>
      </c>
      <c r="AV17" s="25" t="inlineStr">
        <is>
          <t>Positive Trend</t>
        </is>
      </c>
      <c r="AW17" s="25">
        <f>IF(AV17="Positive Trend",20,IF(AV17="Negative Trend",-10,0))</f>
        <v/>
      </c>
      <c r="AX17" s="25" t="inlineStr">
        <is>
          <t>Uptrend</t>
        </is>
      </c>
      <c r="AY17" s="25">
        <f>IF(AX17="Uptrend",10,IF(AX17="Sideways",5,0))</f>
        <v/>
      </c>
      <c r="AZ17" s="25" t="inlineStr">
        <is>
          <t>Uptrend</t>
        </is>
      </c>
      <c r="BA17" s="25">
        <f>IF(AZ17="Uptrend",10,IF(AZ17="Sideways",5,0))</f>
        <v/>
      </c>
      <c r="BB17" s="25" t="inlineStr">
        <is>
          <t>Blue sky scenario</t>
        </is>
      </c>
      <c r="BC17" s="25">
        <f>IF(BB17="Overhead supply in last 2 years in last 2 years",-5,IF(BB17="Close to 52 week high or retracement",5,IF(BB17="Blue sky scenario",10,IF(BB17="Long term Downtrend",-10,0))))</f>
        <v/>
      </c>
      <c r="BD17" s="25" t="inlineStr">
        <is>
          <t>Yes</t>
        </is>
      </c>
      <c r="BE17" s="25">
        <f>IF(BD17="Yes",10,0)</f>
        <v/>
      </c>
      <c r="BF17" s="25" t="inlineStr">
        <is>
          <t>More than 20%</t>
        </is>
      </c>
      <c r="BG17" s="25">
        <f>IF(BF17="More than 20%",10,IF(BF17="Between 12 to 20%",5,IF(BF17="Less than 12%",0,0)))</f>
        <v/>
      </c>
      <c r="BH17" s="25" t="inlineStr">
        <is>
          <t>No</t>
        </is>
      </c>
      <c r="BI17" s="25">
        <f>IF(BH17="No",10,0)</f>
        <v/>
      </c>
      <c r="BJ17" s="25" t="inlineStr">
        <is>
          <t>No</t>
        </is>
      </c>
      <c r="BK17" s="25">
        <f>IF(BJ17="NO",5,0)</f>
        <v/>
      </c>
      <c r="BL17" s="25" t="inlineStr">
        <is>
          <t>Less than 1.5</t>
        </is>
      </c>
      <c r="BM17" s="25">
        <f>IF(BL17="Above 2",0,IF(BL17="Between 1.5 to 2",5,IF(BL17="Less than 1.5",10,0)))</f>
        <v/>
      </c>
      <c r="BN17" s="25" t="inlineStr">
        <is>
          <t>Between 50% to 70%</t>
        </is>
      </c>
      <c r="BO17" s="25">
        <f>IF(BN17="Above 70%",10,IF(BN17="Between 50% to 70%",5,IF(BN17="Less than 50%",0,IF(BN17="Negative",-10,IF(BN17="Less than 50% and Borrowings are increasing",-5,0)))))</f>
        <v/>
      </c>
      <c r="BP17" s="25" t="inlineStr">
        <is>
          <t>Less than 0.7</t>
        </is>
      </c>
      <c r="BQ17" s="25">
        <f>IF(BP17="More than 1.2",-10,IF(BP17="Between 0.7 to 1.2",0,IF(BP17="Less than 0.7",10,0)))</f>
        <v/>
      </c>
      <c r="BR17" s="25" t="inlineStr">
        <is>
          <t>No</t>
        </is>
      </c>
      <c r="BS17" s="25">
        <f>IF(BR17="Yes",-10,0)</f>
        <v/>
      </c>
      <c r="BT17" s="25" t="inlineStr">
        <is>
          <t>Less than 15%</t>
        </is>
      </c>
      <c r="BU17" s="25">
        <f>IF(BT17="More than 15%",-10,IF(BT17="Less than 15%",10,0))</f>
        <v/>
      </c>
      <c r="BV17" s="25" t="inlineStr">
        <is>
          <t>No</t>
        </is>
      </c>
      <c r="BW17" s="25">
        <f>IF(BV17="Yes, more than 10%",-10,IF(BV17="No",10,0))</f>
        <v/>
      </c>
    </row>
    <row r="18">
      <c r="A18" s="25">
        <f>IF(B18=0,"",RANK(B18,$B$2:$B$292,0))</f>
        <v/>
      </c>
      <c r="B18" s="26">
        <f>SUM(Q18,S18,U18,W18,Y18,AA18,AC18,AE18,AG18,AI18,AK18,AM18,AO18,AQ18,AS18,AU18,AW18,AY18,BA18,BC18,BE18,BG18,BI18,BK18,BM18,BO18,BQ18,BS18,BU18,BW18)</f>
        <v/>
      </c>
      <c r="C18" s="25" t="inlineStr">
        <is>
          <t>CENTENKA</t>
        </is>
      </c>
      <c r="D18" s="25" t="inlineStr">
        <is>
          <t>Century Enka Limited</t>
        </is>
      </c>
      <c r="E18" s="25" t="inlineStr">
        <is>
          <t>textiles</t>
        </is>
      </c>
      <c r="F18" s="25" t="inlineStr">
        <is>
          <t>textiles - manmade</t>
        </is>
      </c>
      <c r="G18" s="25" t="inlineStr">
        <is>
          <t>smallcap</t>
        </is>
      </c>
      <c r="H18" s="26" t="n">
        <v>1062.92</v>
      </c>
      <c r="I18" s="26" t="n">
        <v>505.25</v>
      </c>
      <c r="J18" s="26" t="n">
        <v>3.86</v>
      </c>
      <c r="K18" s="26" t="n">
        <v>42095</v>
      </c>
      <c r="L18" s="26" t="n">
        <v>60.34</v>
      </c>
      <c r="M18" s="26" t="n">
        <v>24.08</v>
      </c>
      <c r="N18" s="26" t="n">
        <v>405.96</v>
      </c>
      <c r="O18" s="25" t="inlineStr">
        <is>
          <t>Near 52W High Breakout</t>
        </is>
      </c>
      <c r="P18" s="25" t="inlineStr">
        <is>
          <t>Growing Industry</t>
        </is>
      </c>
      <c r="Q18" s="25">
        <f>IF(P18="Growing Industry",10,IF(P18="Cyclical in an Upturn",5,0))</f>
        <v/>
      </c>
      <c r="R18" s="25" t="inlineStr">
        <is>
          <t>Too Many Players with High ROCE</t>
        </is>
      </c>
      <c r="S18" s="25">
        <f>IF(R18="Monopoly",10,IF(R18="Oligopoly",5,IF(R18="Duopoly that cooperate",10,IF(R18="Duopoly that compete",5,IF(R18="Too many players with High ROCE",5,0)))))</f>
        <v/>
      </c>
      <c r="T18" s="25" t="inlineStr">
        <is>
          <t>No</t>
        </is>
      </c>
      <c r="U18" s="25">
        <f>IF(T18="No",5,0)</f>
        <v/>
      </c>
      <c r="V18" s="25" t="inlineStr">
        <is>
          <t>Tailwind</t>
        </is>
      </c>
      <c r="W18" s="25">
        <f>IF(V18="Tailwind",10,0)</f>
        <v/>
      </c>
      <c r="X18" s="25" t="inlineStr">
        <is>
          <t>Structural (10 Years Consistency)</t>
        </is>
      </c>
      <c r="Y18" s="25">
        <f>IF(X18="Structural (10 Years Consistency)",10,IF(X18="Shallow Cyclical (2 to 3 years growth)",5,0))</f>
        <v/>
      </c>
      <c r="Z18" s="25" t="inlineStr">
        <is>
          <t>No</t>
        </is>
      </c>
      <c r="AA18" s="25">
        <f>IF(Z18="Yes due to Product Mix change or Operating Leverage",10,IF(Z18="Yes, these are peak margins",-5,IF(Z18="No",5,0)))</f>
        <v/>
      </c>
      <c r="AB18" s="25" t="inlineStr">
        <is>
          <t>Stable</t>
        </is>
      </c>
      <c r="AC18" s="25">
        <f>IF(AB18="Stable",10,0)</f>
        <v/>
      </c>
      <c r="AD18" s="25" t="inlineStr">
        <is>
          <t>Yes</t>
        </is>
      </c>
      <c r="AE18" s="25">
        <f>IF(AD18="Yes",10,0)</f>
        <v/>
      </c>
      <c r="AF18" s="25" t="inlineStr">
        <is>
          <t>B2B</t>
        </is>
      </c>
      <c r="AG18" s="25">
        <f>IF(AF18="B2C",10,IF(AF18="B2B",5,0))</f>
        <v/>
      </c>
      <c r="AH18" s="25" t="inlineStr">
        <is>
          <t>Yes</t>
        </is>
      </c>
      <c r="AI18" s="25">
        <f>IF(AH18="Yes",10,0)</f>
        <v/>
      </c>
      <c r="AJ18" s="25" t="inlineStr">
        <is>
          <t>Higher One Time, Lower Annuity</t>
        </is>
      </c>
      <c r="AK18" s="25">
        <f>IF(AJ18="Fully Annuity",10,IF(AJ18="Higher Annuity, Lower One Time",5,IF(AJ18="Higher One Time, Lower Annuity",3,0)))</f>
        <v/>
      </c>
      <c r="AL18" s="25" t="inlineStr">
        <is>
          <t>Good</t>
        </is>
      </c>
      <c r="AM18" s="25">
        <f>IF(AL18="Good",10,0)</f>
        <v/>
      </c>
      <c r="AN18" s="25" t="inlineStr">
        <is>
          <t>Yes for more than 2 years</t>
        </is>
      </c>
      <c r="AO18" s="25">
        <f>IF(AN18="Yes for more than 2 years",10,IF(AN18="Yes only for next 1 to 2 years",5,0))</f>
        <v/>
      </c>
      <c r="AP18" s="25" t="inlineStr">
        <is>
          <t>20 to 40</t>
        </is>
      </c>
      <c r="AQ18" s="25">
        <f>IF(AP18="Above 40",20,IF(AP18="20 to 40",10,IF(AP18="0 to 20",-5,0)))</f>
        <v/>
      </c>
      <c r="AR18" s="25" t="inlineStr">
        <is>
          <t>Between 50 to 75</t>
        </is>
      </c>
      <c r="AS18" s="25">
        <f>IF(AR18="Between 50 to 75",10,IF(AR18="Above 75",0,0))</f>
        <v/>
      </c>
      <c r="AT18" s="25" t="inlineStr">
        <is>
          <t>Stage 2</t>
        </is>
      </c>
      <c r="AU18" s="25">
        <f>IF(AT18="Stage 2",20,IF(AT18="Stage 1",0,IF(AT18="Stage 3",5,IF(AT18="Stage 4",-5,0))))</f>
        <v/>
      </c>
      <c r="AV18" s="25" t="inlineStr">
        <is>
          <t>Positive Trend</t>
        </is>
      </c>
      <c r="AW18" s="25">
        <f>IF(AV18="Positive Trend",20,IF(AV18="Negative Trend",-10,0))</f>
        <v/>
      </c>
      <c r="AX18" s="25" t="inlineStr">
        <is>
          <t>Uptrend</t>
        </is>
      </c>
      <c r="AY18" s="25">
        <f>IF(AX18="Uptrend",10,IF(AX18="Sideways",5,0))</f>
        <v/>
      </c>
      <c r="AZ18" s="25" t="inlineStr">
        <is>
          <t>Uptrend</t>
        </is>
      </c>
      <c r="BA18" s="25">
        <f>IF(AZ18="Uptrend",10,IF(AZ18="Sideways",5,0))</f>
        <v/>
      </c>
      <c r="BB18" s="25" t="inlineStr">
        <is>
          <t>Close to 52 week high or retracement</t>
        </is>
      </c>
      <c r="BC18" s="25">
        <f>IF(BB18="Overhead supply in last 2 years in last 2 years",-5,IF(BB18="Close to 52 week high or retracement",5,IF(BB18="Blue sky scenario",10,IF(BB18="Long term Downtrend",-10,0))))</f>
        <v/>
      </c>
      <c r="BD18" s="25" t="inlineStr">
        <is>
          <t>Yes</t>
        </is>
      </c>
      <c r="BE18" s="25">
        <f>IF(BD18="Yes",10,0)</f>
        <v/>
      </c>
      <c r="BF18" s="25" t="inlineStr">
        <is>
          <t>More than 20%</t>
        </is>
      </c>
      <c r="BG18" s="25">
        <f>IF(BF18="More than 20%",10,IF(BF18="Between 12 to 20%",5,IF(BF18="Less than 12%",0,0)))</f>
        <v/>
      </c>
      <c r="BH18" s="25" t="inlineStr">
        <is>
          <t>No</t>
        </is>
      </c>
      <c r="BI18" s="25">
        <f>IF(BH18="No",10,0)</f>
        <v/>
      </c>
      <c r="BJ18" s="25" t="inlineStr">
        <is>
          <t>No</t>
        </is>
      </c>
      <c r="BK18" s="25">
        <f>IF(BJ18="NO",5,0)</f>
        <v/>
      </c>
      <c r="BL18" s="25" t="inlineStr">
        <is>
          <t>Less than 1.5</t>
        </is>
      </c>
      <c r="BM18" s="25">
        <f>IF(BL18="Above 2",0,IF(BL18="Between 1.5 to 2",5,IF(BL18="Less than 1.5",10,0)))</f>
        <v/>
      </c>
      <c r="BN18" s="25" t="inlineStr">
        <is>
          <t>Above 70%</t>
        </is>
      </c>
      <c r="BO18" s="25">
        <f>IF(BN18="Above 70%",10,IF(BN18="Between 50% to 70%",5,IF(BN18="Less than 50%",0,IF(BN18="Negative",-10,IF(BN18="Less than 50% and Borrowings are increasing",-5,0)))))</f>
        <v/>
      </c>
      <c r="BP18" s="25" t="inlineStr">
        <is>
          <t>Less than 0.7</t>
        </is>
      </c>
      <c r="BQ18" s="25">
        <f>IF(BP18="More than 1.2",-10,IF(BP18="Between 0.7 to 1.2",0,IF(BP18="Less than 0.7",10,0)))</f>
        <v/>
      </c>
      <c r="BR18" s="25" t="inlineStr">
        <is>
          <t>No</t>
        </is>
      </c>
      <c r="BS18" s="25">
        <f>IF(BR18="Yes",-10,0)</f>
        <v/>
      </c>
      <c r="BT18" s="25" t="inlineStr">
        <is>
          <t>Less than 15%</t>
        </is>
      </c>
      <c r="BU18" s="25">
        <f>IF(BT18="More than 15%",-10,IF(BT18="Less than 15%",10,0))</f>
        <v/>
      </c>
      <c r="BV18" s="25" t="inlineStr">
        <is>
          <t>No</t>
        </is>
      </c>
      <c r="BW18" s="25">
        <f>IF(BV18="Yes, more than 10%",-10,IF(BV18="No",10,0))</f>
        <v/>
      </c>
    </row>
    <row r="19">
      <c r="A19" s="25">
        <f>IF(B19=0,"",RANK(B19,$B$2:$B$292,0))</f>
        <v/>
      </c>
      <c r="B19" s="26">
        <f>SUM(Q19,S19,U19,W19,Y19,AA19,AC19,AE19,AG19,AI19,AK19,AM19,AO19,AQ19,AS19,AU19,AW19,AY19,BA19,BC19,BE19,BG19,BI19,BK19,BM19,BO19,BQ19,BS19,BU19,BW19)</f>
        <v/>
      </c>
      <c r="C19" s="25" t="inlineStr">
        <is>
          <t>GOCLCORP</t>
        </is>
      </c>
      <c r="D19" s="25" t="inlineStr">
        <is>
          <t>Gocl Corporation Limited</t>
        </is>
      </c>
      <c r="E19" s="25" t="inlineStr">
        <is>
          <t>miscellaneous</t>
        </is>
      </c>
      <c r="F19" s="25" t="inlineStr">
        <is>
          <t>diversified - medium / small</t>
        </is>
      </c>
      <c r="G19" s="25" t="inlineStr">
        <is>
          <t>smallcap</t>
        </is>
      </c>
      <c r="H19" s="26" t="n">
        <v>1935.56</v>
      </c>
      <c r="I19" s="26" t="n">
        <v>400.8</v>
      </c>
      <c r="J19" s="26" t="n">
        <v>2.65</v>
      </c>
      <c r="K19" s="26" t="n">
        <v>235352</v>
      </c>
      <c r="L19" s="26" t="n">
        <v>70.42</v>
      </c>
      <c r="M19" s="26" t="n">
        <v>24.69</v>
      </c>
      <c r="N19" s="26" t="n">
        <v>297.73</v>
      </c>
      <c r="O19" s="25" t="inlineStr">
        <is>
          <t>Near 52W High Breakout</t>
        </is>
      </c>
      <c r="P19" s="25" t="inlineStr">
        <is>
          <t>Growing Industry</t>
        </is>
      </c>
      <c r="Q19" s="25">
        <f>IF(P19="Growing Industry",10,IF(P19="Cyclical in an Upturn",5,0))</f>
        <v/>
      </c>
      <c r="R19" s="25" t="inlineStr">
        <is>
          <t>Too Many Players with High ROCE</t>
        </is>
      </c>
      <c r="S19" s="25">
        <f>IF(R19="Monopoly",10,IF(R19="Oligopoly",5,IF(R19="Duopoly that cooperate",10,IF(R19="Duopoly that compete",5,IF(R19="Too many players with High ROCE",5,0)))))</f>
        <v/>
      </c>
      <c r="T19" s="25" t="inlineStr">
        <is>
          <t>No</t>
        </is>
      </c>
      <c r="U19" s="25">
        <f>IF(T19="No",5,0)</f>
        <v/>
      </c>
      <c r="V19" s="25" t="inlineStr">
        <is>
          <t>Tailwind</t>
        </is>
      </c>
      <c r="W19" s="25">
        <f>IF(V19="Tailwind",10,0)</f>
        <v/>
      </c>
      <c r="X19" s="25" t="inlineStr">
        <is>
          <t>Structural (10 Years Consistency)</t>
        </is>
      </c>
      <c r="Y19" s="25">
        <f>IF(X19="Structural (10 Years Consistency)",10,IF(X19="Shallow Cyclical (2 to 3 years growth)",5,0))</f>
        <v/>
      </c>
      <c r="Z19" s="25" t="inlineStr">
        <is>
          <t>No</t>
        </is>
      </c>
      <c r="AA19" s="25">
        <f>IF(Z19="Yes due to Product Mix change or Operating Leverage",10,IF(Z19="Yes, these are peak margins",-5,IF(Z19="No",5,0)))</f>
        <v/>
      </c>
      <c r="AB19" s="25" t="inlineStr">
        <is>
          <t>Stable</t>
        </is>
      </c>
      <c r="AC19" s="25">
        <f>IF(AB19="Stable",10,0)</f>
        <v/>
      </c>
      <c r="AD19" s="25" t="inlineStr">
        <is>
          <t>Yes</t>
        </is>
      </c>
      <c r="AE19" s="25">
        <f>IF(AD19="Yes",10,0)</f>
        <v/>
      </c>
      <c r="AF19" s="25" t="inlineStr">
        <is>
          <t>B2B</t>
        </is>
      </c>
      <c r="AG19" s="25">
        <f>IF(AF19="B2C",10,IF(AF19="B2B",5,0))</f>
        <v/>
      </c>
      <c r="AH19" s="25" t="inlineStr">
        <is>
          <t>Yes</t>
        </is>
      </c>
      <c r="AI19" s="25">
        <f>IF(AH19="Yes",10,0)</f>
        <v/>
      </c>
      <c r="AJ19" s="25" t="inlineStr">
        <is>
          <t>Higher One Time, Lower Annuity</t>
        </is>
      </c>
      <c r="AK19" s="25">
        <f>IF(AJ19="Fully Annuity",10,IF(AJ19="Higher Annuity, Lower One Time",5,IF(AJ19="Higher One Time, Lower Annuity",3,0)))</f>
        <v/>
      </c>
      <c r="AL19" s="25" t="inlineStr">
        <is>
          <t>Good</t>
        </is>
      </c>
      <c r="AM19" s="25">
        <f>IF(AL19="Good",10,0)</f>
        <v/>
      </c>
      <c r="AN19" s="25" t="inlineStr">
        <is>
          <t>Yes for more than 2 years</t>
        </is>
      </c>
      <c r="AO19" s="25">
        <f>IF(AN19="Yes for more than 2 years",10,IF(AN19="Yes only for next 1 to 2 years",5,0))</f>
        <v/>
      </c>
      <c r="AP19" s="25" t="inlineStr">
        <is>
          <t>20 to 40</t>
        </is>
      </c>
      <c r="AQ19" s="25">
        <f>IF(AP19="Above 40",20,IF(AP19="20 to 40",10,IF(AP19="0 to 20",-5,0)))</f>
        <v/>
      </c>
      <c r="AR19" s="25" t="inlineStr">
        <is>
          <t>Between 50 to 75</t>
        </is>
      </c>
      <c r="AS19" s="25">
        <f>IF(AR19="Between 50 to 75",10,IF(AR19="Above 75",0,0))</f>
        <v/>
      </c>
      <c r="AT19" s="25" t="inlineStr">
        <is>
          <t>Stage 2</t>
        </is>
      </c>
      <c r="AU19" s="25">
        <f>IF(AT19="Stage 2",20,IF(AT19="Stage 1",0,IF(AT19="Stage 3",5,IF(AT19="Stage 4",-5,0))))</f>
        <v/>
      </c>
      <c r="AV19" s="25" t="inlineStr">
        <is>
          <t>Positive Trend</t>
        </is>
      </c>
      <c r="AW19" s="25">
        <f>IF(AV19="Positive Trend",20,IF(AV19="Negative Trend",-10,0))</f>
        <v/>
      </c>
      <c r="AX19" s="25" t="inlineStr">
        <is>
          <t>Uptrend</t>
        </is>
      </c>
      <c r="AY19" s="25">
        <f>IF(AX19="Uptrend",10,IF(AX19="Sideways",5,0))</f>
        <v/>
      </c>
      <c r="AZ19" s="25" t="inlineStr">
        <is>
          <t>Uptrend</t>
        </is>
      </c>
      <c r="BA19" s="25">
        <f>IF(AZ19="Uptrend",10,IF(AZ19="Sideways",5,0))</f>
        <v/>
      </c>
      <c r="BB19" s="25" t="inlineStr">
        <is>
          <t>Close to 52 week high or retracement</t>
        </is>
      </c>
      <c r="BC19" s="25">
        <f>IF(BB19="Overhead supply in last 2 years in last 2 years",-5,IF(BB19="Close to 52 week high or retracement",5,IF(BB19="Blue sky scenario",10,IF(BB19="Long term Downtrend",-10,0))))</f>
        <v/>
      </c>
      <c r="BD19" s="25" t="inlineStr">
        <is>
          <t>Yes</t>
        </is>
      </c>
      <c r="BE19" s="25">
        <f>IF(BD19="Yes",10,0)</f>
        <v/>
      </c>
      <c r="BF19" s="25" t="inlineStr">
        <is>
          <t>More than 20%</t>
        </is>
      </c>
      <c r="BG19" s="25">
        <f>IF(BF19="More than 20%",10,IF(BF19="Between 12 to 20%",5,IF(BF19="Less than 12%",0,0)))</f>
        <v/>
      </c>
      <c r="BH19" s="25" t="inlineStr">
        <is>
          <t>No</t>
        </is>
      </c>
      <c r="BI19" s="25">
        <f>IF(BH19="No",10,0)</f>
        <v/>
      </c>
      <c r="BJ19" s="25" t="inlineStr">
        <is>
          <t>No</t>
        </is>
      </c>
      <c r="BK19" s="25">
        <f>IF(BJ19="NO",5,0)</f>
        <v/>
      </c>
      <c r="BL19" s="25" t="inlineStr">
        <is>
          <t>Less than 1.5</t>
        </is>
      </c>
      <c r="BM19" s="25">
        <f>IF(BL19="Above 2",0,IF(BL19="Between 1.5 to 2",5,IF(BL19="Less than 1.5",10,0)))</f>
        <v/>
      </c>
      <c r="BN19" s="25" t="inlineStr">
        <is>
          <t>Above 70%</t>
        </is>
      </c>
      <c r="BO19" s="25">
        <f>IF(BN19="Above 70%",10,IF(BN19="Between 50% to 70%",5,IF(BN19="Less than 50%",0,IF(BN19="Negative",-10,IF(BN19="Less than 50% and Borrowings are increasing",-5,0)))))</f>
        <v/>
      </c>
      <c r="BP19" s="25" t="inlineStr">
        <is>
          <t>Less than 0.7</t>
        </is>
      </c>
      <c r="BQ19" s="25">
        <f>IF(BP19="More than 1.2",-10,IF(BP19="Between 0.7 to 1.2",0,IF(BP19="Less than 0.7",10,0)))</f>
        <v/>
      </c>
      <c r="BR19" s="25" t="inlineStr">
        <is>
          <t>No</t>
        </is>
      </c>
      <c r="BS19" s="25">
        <f>IF(BR19="Yes",-10,0)</f>
        <v/>
      </c>
      <c r="BT19" s="25" t="inlineStr">
        <is>
          <t>Less than 15%</t>
        </is>
      </c>
      <c r="BU19" s="25">
        <f>IF(BT19="More than 15%",-10,IF(BT19="Less than 15%",10,0))</f>
        <v/>
      </c>
      <c r="BV19" s="25" t="inlineStr">
        <is>
          <t>No</t>
        </is>
      </c>
      <c r="BW19" s="25">
        <f>IF(BV19="Yes, more than 10%",-10,IF(BV19="No",10,0))</f>
        <v/>
      </c>
    </row>
    <row r="20">
      <c r="A20" s="25">
        <f>IF(B20=0,"",RANK(B20,$B$2:$B$292,0))</f>
        <v/>
      </c>
      <c r="B20" s="26">
        <f>SUM(Q20,S20,U20,W20,Y20,AA20,AC20,AE20,AG20,AI20,AK20,AM20,AO20,AQ20,AS20,AU20,AW20,AY20,BA20,BC20,BE20,BG20,BI20,BK20,BM20,BO20,BQ20,BS20,BU20,BW20)</f>
        <v/>
      </c>
      <c r="C20" s="25" t="inlineStr">
        <is>
          <t>ABB</t>
        </is>
      </c>
      <c r="D20" s="25" t="inlineStr">
        <is>
          <t>Abb India Limited</t>
        </is>
      </c>
      <c r="E20" s="25" t="inlineStr">
        <is>
          <t>industrials</t>
        </is>
      </c>
      <c r="F20" s="25" t="inlineStr">
        <is>
          <t>electric equipment</t>
        </is>
      </c>
      <c r="G20" s="25" t="inlineStr">
        <is>
          <t>largecap</t>
        </is>
      </c>
      <c r="H20" s="26" t="n">
        <v>148918.61</v>
      </c>
      <c r="I20" s="26" t="n">
        <v>7146</v>
      </c>
      <c r="J20" s="26" t="n">
        <v>1.69</v>
      </c>
      <c r="K20" s="26" t="n">
        <v>511846</v>
      </c>
      <c r="L20" s="26" t="n">
        <v>63.76</v>
      </c>
      <c r="M20" s="26" t="n">
        <v>45.4</v>
      </c>
      <c r="N20" s="26" t="n">
        <v>5962.29</v>
      </c>
      <c r="O20" s="25" t="inlineStr">
        <is>
          <t>Near 52W High Breakout</t>
        </is>
      </c>
      <c r="P20" s="25" t="inlineStr">
        <is>
          <t>Cyclical in an Upturn</t>
        </is>
      </c>
      <c r="Q20" s="25">
        <f>IF(P20="Growing Industry",10,IF(P20="Cyclical in an Upturn",5,0))</f>
        <v/>
      </c>
      <c r="R20" s="25" t="inlineStr">
        <is>
          <t>Too Many Players with High ROCE</t>
        </is>
      </c>
      <c r="S20" s="25">
        <f>IF(R20="Monopoly",10,IF(R20="Oligopoly",5,IF(R20="Duopoly that cooperate",10,IF(R20="Duopoly that compete",5,IF(R20="Too many players with High ROCE",5,0)))))</f>
        <v/>
      </c>
      <c r="T20" s="25" t="inlineStr">
        <is>
          <t>No</t>
        </is>
      </c>
      <c r="U20" s="25">
        <f>IF(T20="No",5,0)</f>
        <v/>
      </c>
      <c r="V20" s="25" t="inlineStr">
        <is>
          <t>Tailwind</t>
        </is>
      </c>
      <c r="W20" s="25">
        <f>IF(V20="Tailwind",10,0)</f>
        <v/>
      </c>
      <c r="X20" s="25" t="inlineStr">
        <is>
          <t>Structural (10 Years Consistency)</t>
        </is>
      </c>
      <c r="Y20" s="25">
        <f>IF(X20="Structural (10 Years Consistency)",10,IF(X20="Shallow Cyclical (2 to 3 years growth)",5,0))</f>
        <v/>
      </c>
      <c r="Z20" s="25" t="inlineStr">
        <is>
          <t>No</t>
        </is>
      </c>
      <c r="AA20" s="25">
        <f>IF(Z20="Yes due to Product Mix change or Operating Leverage",10,IF(Z20="Yes, these are peak margins",-5,IF(Z20="No",5,0)))</f>
        <v/>
      </c>
      <c r="AB20" s="25" t="inlineStr">
        <is>
          <t>Stable</t>
        </is>
      </c>
      <c r="AC20" s="25">
        <f>IF(AB20="Stable",10,0)</f>
        <v/>
      </c>
      <c r="AD20" s="25" t="inlineStr">
        <is>
          <t>Yes</t>
        </is>
      </c>
      <c r="AE20" s="25">
        <f>IF(AD20="Yes",10,0)</f>
        <v/>
      </c>
      <c r="AF20" s="25" t="inlineStr">
        <is>
          <t>B2B</t>
        </is>
      </c>
      <c r="AG20" s="25">
        <f>IF(AF20="B2C",10,IF(AF20="B2B",5,0))</f>
        <v/>
      </c>
      <c r="AH20" s="25" t="inlineStr">
        <is>
          <t>Yes</t>
        </is>
      </c>
      <c r="AI20" s="25">
        <f>IF(AH20="Yes",10,0)</f>
        <v/>
      </c>
      <c r="AJ20" s="25" t="inlineStr">
        <is>
          <t>Higher One Time, Lower Annuity</t>
        </is>
      </c>
      <c r="AK20" s="25">
        <f>IF(AJ20="Fully Annuity",10,IF(AJ20="Higher Annuity, Lower One Time",5,IF(AJ20="Higher One Time, Lower Annuity",3,0)))</f>
        <v/>
      </c>
      <c r="AL20" s="25" t="inlineStr">
        <is>
          <t>Good</t>
        </is>
      </c>
      <c r="AM20" s="25">
        <f>IF(AL20="Good",10,0)</f>
        <v/>
      </c>
      <c r="AN20" s="25" t="inlineStr">
        <is>
          <t>Yes for more than 2 years</t>
        </is>
      </c>
      <c r="AO20" s="25">
        <f>IF(AN20="Yes for more than 2 years",10,IF(AN20="Yes only for next 1 to 2 years",5,0))</f>
        <v/>
      </c>
      <c r="AP20" s="25" t="inlineStr">
        <is>
          <t>Above 40</t>
        </is>
      </c>
      <c r="AQ20" s="25">
        <f>IF(AP20="Above 40",20,IF(AP20="20 to 40",10,IF(AP20="0 to 20",-5,0)))</f>
        <v/>
      </c>
      <c r="AR20" s="25" t="inlineStr">
        <is>
          <t>Between 50 to 75</t>
        </is>
      </c>
      <c r="AS20" s="25">
        <f>IF(AR20="Between 50 to 75",10,IF(AR20="Above 75",0,0))</f>
        <v/>
      </c>
      <c r="AT20" s="25" t="inlineStr">
        <is>
          <t>Stage 2</t>
        </is>
      </c>
      <c r="AU20" s="25">
        <f>IF(AT20="Stage 2",20,IF(AT20="Stage 1",0,IF(AT20="Stage 3",5,IF(AT20="Stage 4",-5,0))))</f>
        <v/>
      </c>
      <c r="AV20" s="25" t="inlineStr">
        <is>
          <t>Positive Trend</t>
        </is>
      </c>
      <c r="AW20" s="25">
        <f>IF(AV20="Positive Trend",20,IF(AV20="Negative Trend",-10,0))</f>
        <v/>
      </c>
      <c r="AX20" s="25" t="inlineStr">
        <is>
          <t>Uptrend</t>
        </is>
      </c>
      <c r="AY20" s="25">
        <f>IF(AX20="Uptrend",10,IF(AX20="Sideways",5,0))</f>
        <v/>
      </c>
      <c r="AZ20" s="25" t="inlineStr">
        <is>
          <t>Uptrend</t>
        </is>
      </c>
      <c r="BA20" s="25">
        <f>IF(AZ20="Uptrend",10,IF(AZ20="Sideways",5,0))</f>
        <v/>
      </c>
      <c r="BB20" s="25" t="inlineStr">
        <is>
          <t>Close to 52 week high or retracement</t>
        </is>
      </c>
      <c r="BC20" s="25">
        <f>IF(BB20="Overhead supply in last 2 years in last 2 years",-5,IF(BB20="Close to 52 week high or retracement",5,IF(BB20="Blue sky scenario",10,IF(BB20="Long term Downtrend",-10,0))))</f>
        <v/>
      </c>
      <c r="BD20" s="25" t="inlineStr">
        <is>
          <t>Yes</t>
        </is>
      </c>
      <c r="BE20" s="25">
        <f>IF(BD20="Yes",10,0)</f>
        <v/>
      </c>
      <c r="BF20" s="25" t="inlineStr">
        <is>
          <t>More than 20%</t>
        </is>
      </c>
      <c r="BG20" s="25">
        <f>IF(BF20="More than 20%",10,IF(BF20="Between 12 to 20%",5,IF(BF20="Less than 12%",0,0)))</f>
        <v/>
      </c>
      <c r="BH20" s="25" t="inlineStr">
        <is>
          <t>No</t>
        </is>
      </c>
      <c r="BI20" s="25">
        <f>IF(BH20="No",10,0)</f>
        <v/>
      </c>
      <c r="BJ20" s="25" t="inlineStr">
        <is>
          <t>Yes</t>
        </is>
      </c>
      <c r="BK20" s="25">
        <f>IF(BJ20="NO",5,0)</f>
        <v/>
      </c>
      <c r="BL20" s="25" t="inlineStr">
        <is>
          <t>Less than 1.5</t>
        </is>
      </c>
      <c r="BM20" s="25">
        <f>IF(BL20="Above 2",0,IF(BL20="Between 1.5 to 2",5,IF(BL20="Less than 1.5",10,0)))</f>
        <v/>
      </c>
      <c r="BN20" s="25" t="inlineStr">
        <is>
          <t>Above 70%</t>
        </is>
      </c>
      <c r="BO20" s="25">
        <f>IF(BN20="Above 70%",10,IF(BN20="Between 50% to 70%",5,IF(BN20="Less than 50%",0,IF(BN20="Negative",-10,IF(BN20="Less than 50% and Borrowings are increasing",-5,0)))))</f>
        <v/>
      </c>
      <c r="BP20" s="25" t="inlineStr">
        <is>
          <t>Less than 0.7</t>
        </is>
      </c>
      <c r="BQ20" s="25">
        <f>IF(BP20="More than 1.2",-10,IF(BP20="Between 0.7 to 1.2",0,IF(BP20="Less than 0.7",10,0)))</f>
        <v/>
      </c>
      <c r="BR20" s="25" t="inlineStr">
        <is>
          <t>No</t>
        </is>
      </c>
      <c r="BS20" s="25">
        <f>IF(BR20="Yes",-10,0)</f>
        <v/>
      </c>
      <c r="BT20" s="25" t="inlineStr">
        <is>
          <t>Less than 15%</t>
        </is>
      </c>
      <c r="BU20" s="25">
        <f>IF(BT20="More than 15%",-10,IF(BT20="Less than 15%",10,0))</f>
        <v/>
      </c>
      <c r="BV20" s="25" t="inlineStr">
        <is>
          <t>No</t>
        </is>
      </c>
      <c r="BW20" s="25">
        <f>IF(BV20="Yes, more than 10%",-10,IF(BV20="No",10,0))</f>
        <v/>
      </c>
    </row>
    <row r="21">
      <c r="A21" s="25">
        <f>IF(B21=0,"",RANK(B21,$B$2:$B$292,0))</f>
        <v/>
      </c>
      <c r="B21" s="26">
        <f>SUM(Q21,S21,U21,W21,Y21,AA21,AC21,AE21,AG21,AI21,AK21,AM21,AO21,AQ21,AS21,AU21,AW21,AY21,BA21,BC21,BE21,BG21,BI21,BK21,BM21,BO21,BQ21,BS21,BU21,BW21)</f>
        <v/>
      </c>
      <c r="C21" s="25" t="inlineStr">
        <is>
          <t>AMBIKCO</t>
        </is>
      </c>
      <c r="D21" s="25" t="inlineStr">
        <is>
          <t>Ambika Cotton Mills Limited</t>
        </is>
      </c>
      <c r="E21" s="25" t="inlineStr">
        <is>
          <t>textiles</t>
        </is>
      </c>
      <c r="F21" s="25" t="inlineStr">
        <is>
          <t>textiles - cotton/blended</t>
        </is>
      </c>
      <c r="G21" s="25" t="inlineStr">
        <is>
          <t>smallcap</t>
        </is>
      </c>
      <c r="H21" s="26" t="n">
        <v>958.9400000000001</v>
      </c>
      <c r="I21" s="26" t="n">
        <v>1697.6</v>
      </c>
      <c r="J21" s="26" t="n">
        <v>1.35</v>
      </c>
      <c r="K21" s="26" t="n">
        <v>7760</v>
      </c>
      <c r="L21" s="26" t="n">
        <v>69.81999999999999</v>
      </c>
      <c r="M21" s="26" t="n">
        <v>21.51</v>
      </c>
      <c r="N21" s="26" t="n">
        <v>1352.51</v>
      </c>
      <c r="O21" s="25" t="inlineStr">
        <is>
          <t>Near 52W High Breakout</t>
        </is>
      </c>
      <c r="P21" s="25" t="inlineStr">
        <is>
          <t>Growing Industry</t>
        </is>
      </c>
      <c r="Q21" s="25">
        <f>IF(P21="Growing Industry",10,IF(P21="Cyclical in an Upturn",5,0))</f>
        <v/>
      </c>
      <c r="R21" s="25" t="inlineStr">
        <is>
          <t>Too Many Players with High ROCE</t>
        </is>
      </c>
      <c r="S21" s="25">
        <f>IF(R21="Monopoly",10,IF(R21="Oligopoly",5,IF(R21="Duopoly that cooperate",10,IF(R21="Duopoly that compete",5,IF(R21="Too many players with High ROCE",5,0)))))</f>
        <v/>
      </c>
      <c r="T21" s="25" t="inlineStr">
        <is>
          <t>No</t>
        </is>
      </c>
      <c r="U21" s="25">
        <f>IF(T21="No",5,0)</f>
        <v/>
      </c>
      <c r="V21" s="25" t="inlineStr">
        <is>
          <t>Tailwind</t>
        </is>
      </c>
      <c r="W21" s="25">
        <f>IF(V21="Tailwind",10,0)</f>
        <v/>
      </c>
      <c r="X21" s="25" t="inlineStr">
        <is>
          <t>Structural (10 Years Consistency)</t>
        </is>
      </c>
      <c r="Y21" s="25">
        <f>IF(X21="Structural (10 Years Consistency)",10,IF(X21="Shallow Cyclical (2 to 3 years growth)",5,0))</f>
        <v/>
      </c>
      <c r="Z21" s="25" t="inlineStr">
        <is>
          <t>No</t>
        </is>
      </c>
      <c r="AA21" s="25">
        <f>IF(Z21="Yes due to Product Mix change or Operating Leverage",10,IF(Z21="Yes, these are peak margins",-5,IF(Z21="No",5,0)))</f>
        <v/>
      </c>
      <c r="AB21" s="25" t="inlineStr">
        <is>
          <t>Stable</t>
        </is>
      </c>
      <c r="AC21" s="25">
        <f>IF(AB21="Stable",10,0)</f>
        <v/>
      </c>
      <c r="AD21" s="25" t="inlineStr">
        <is>
          <t>Yes</t>
        </is>
      </c>
      <c r="AE21" s="25">
        <f>IF(AD21="Yes",10,0)</f>
        <v/>
      </c>
      <c r="AF21" s="25" t="inlineStr">
        <is>
          <t>B2B</t>
        </is>
      </c>
      <c r="AG21" s="25">
        <f>IF(AF21="B2C",10,IF(AF21="B2B",5,0))</f>
        <v/>
      </c>
      <c r="AH21" s="25" t="inlineStr">
        <is>
          <t>Yes</t>
        </is>
      </c>
      <c r="AI21" s="25">
        <f>IF(AH21="Yes",10,0)</f>
        <v/>
      </c>
      <c r="AJ21" s="25" t="inlineStr">
        <is>
          <t>Higher One Time, Lower Annuity</t>
        </is>
      </c>
      <c r="AK21" s="25">
        <f>IF(AJ21="Fully Annuity",10,IF(AJ21="Higher Annuity, Lower One Time",5,IF(AJ21="Higher One Time, Lower Annuity",3,0)))</f>
        <v/>
      </c>
      <c r="AL21" s="25" t="inlineStr">
        <is>
          <t>Good</t>
        </is>
      </c>
      <c r="AM21" s="25">
        <f>IF(AL21="Good",10,0)</f>
        <v/>
      </c>
      <c r="AN21" s="25" t="inlineStr">
        <is>
          <t>Yes for more than 2 years</t>
        </is>
      </c>
      <c r="AO21" s="25">
        <f>IF(AN21="Yes for more than 2 years",10,IF(AN21="Yes only for next 1 to 2 years",5,0))</f>
        <v/>
      </c>
      <c r="AP21" s="25" t="inlineStr">
        <is>
          <t>20 to 40</t>
        </is>
      </c>
      <c r="AQ21" s="25">
        <f>IF(AP21="Above 40",20,IF(AP21="20 to 40",10,IF(AP21="0 to 20",-5,0)))</f>
        <v/>
      </c>
      <c r="AR21" s="25" t="inlineStr">
        <is>
          <t>Between 50 to 75</t>
        </is>
      </c>
      <c r="AS21" s="25">
        <f>IF(AR21="Between 50 to 75",10,IF(AR21="Above 75",0,0))</f>
        <v/>
      </c>
      <c r="AT21" s="25" t="inlineStr">
        <is>
          <t>Stage 2</t>
        </is>
      </c>
      <c r="AU21" s="25">
        <f>IF(AT21="Stage 2",20,IF(AT21="Stage 1",0,IF(AT21="Stage 3",5,IF(AT21="Stage 4",-5,0))))</f>
        <v/>
      </c>
      <c r="AV21" s="25" t="inlineStr">
        <is>
          <t>Positive Trend</t>
        </is>
      </c>
      <c r="AW21" s="25">
        <f>IF(AV21="Positive Trend",20,IF(AV21="Negative Trend",-10,0))</f>
        <v/>
      </c>
      <c r="AX21" s="25" t="inlineStr">
        <is>
          <t>Uptrend</t>
        </is>
      </c>
      <c r="AY21" s="25">
        <f>IF(AX21="Uptrend",10,IF(AX21="Sideways",5,0))</f>
        <v/>
      </c>
      <c r="AZ21" s="25" t="inlineStr">
        <is>
          <t>Uptrend</t>
        </is>
      </c>
      <c r="BA21" s="25">
        <f>IF(AZ21="Uptrend",10,IF(AZ21="Sideways",5,0))</f>
        <v/>
      </c>
      <c r="BB21" s="25" t="inlineStr">
        <is>
          <t>Close to 52 week high or retracement</t>
        </is>
      </c>
      <c r="BC21" s="25">
        <f>IF(BB21="Overhead supply in last 2 years in last 2 years",-5,IF(BB21="Close to 52 week high or retracement",5,IF(BB21="Blue sky scenario",10,IF(BB21="Long term Downtrend",-10,0))))</f>
        <v/>
      </c>
      <c r="BD21" s="25" t="inlineStr">
        <is>
          <t>Yes</t>
        </is>
      </c>
      <c r="BE21" s="25">
        <f>IF(BD21="Yes",10,0)</f>
        <v/>
      </c>
      <c r="BF21" s="25" t="inlineStr">
        <is>
          <t>More than 20%</t>
        </is>
      </c>
      <c r="BG21" s="25">
        <f>IF(BF21="More than 20%",10,IF(BF21="Between 12 to 20%",5,IF(BF21="Less than 12%",0,0)))</f>
        <v/>
      </c>
      <c r="BH21" s="25" t="inlineStr">
        <is>
          <t>No</t>
        </is>
      </c>
      <c r="BI21" s="25">
        <f>IF(BH21="No",10,0)</f>
        <v/>
      </c>
      <c r="BJ21" s="25" t="inlineStr">
        <is>
          <t>No</t>
        </is>
      </c>
      <c r="BK21" s="25">
        <f>IF(BJ21="NO",5,0)</f>
        <v/>
      </c>
      <c r="BL21" s="25" t="inlineStr">
        <is>
          <t>Less than 1.5</t>
        </is>
      </c>
      <c r="BM21" s="25">
        <f>IF(BL21="Above 2",0,IF(BL21="Between 1.5 to 2",5,IF(BL21="Less than 1.5",10,0)))</f>
        <v/>
      </c>
      <c r="BN21" s="25" t="inlineStr">
        <is>
          <t>Above 70%</t>
        </is>
      </c>
      <c r="BO21" s="25">
        <f>IF(BN21="Above 70%",10,IF(BN21="Between 50% to 70%",5,IF(BN21="Less than 50%",0,IF(BN21="Negative",-10,IF(BN21="Less than 50% and Borrowings are increasing",-5,0)))))</f>
        <v/>
      </c>
      <c r="BP21" s="25" t="inlineStr">
        <is>
          <t>Less than 0.7</t>
        </is>
      </c>
      <c r="BQ21" s="25">
        <f>IF(BP21="More than 1.2",-10,IF(BP21="Between 0.7 to 1.2",0,IF(BP21="Less than 0.7",10,0)))</f>
        <v/>
      </c>
      <c r="BR21" s="25" t="inlineStr">
        <is>
          <t>No</t>
        </is>
      </c>
      <c r="BS21" s="25">
        <f>IF(BR21="Yes",-10,0)</f>
        <v/>
      </c>
      <c r="BT21" s="25" t="inlineStr">
        <is>
          <t>Less than 15%</t>
        </is>
      </c>
      <c r="BU21" s="25">
        <f>IF(BT21="More than 15%",-10,IF(BT21="Less than 15%",10,0))</f>
        <v/>
      </c>
      <c r="BV21" s="25" t="inlineStr">
        <is>
          <t>No</t>
        </is>
      </c>
      <c r="BW21" s="25">
        <f>IF(BV21="Yes, more than 10%",-10,IF(BV21="No",10,0))</f>
        <v/>
      </c>
    </row>
    <row r="22">
      <c r="A22" s="25">
        <f>IF(B22=0,"",RANK(B22,$B$2:$B$292,0))</f>
        <v/>
      </c>
      <c r="B22" s="26">
        <f>SUM(Q22,S22,U22,W22,Y22,AA22,AC22,AE22,AG22,AI22,AK22,AM22,AO22,AQ22,AS22,AU22,AW22,AY22,BA22,BC22,BE22,BG22,BI22,BK22,BM22,BO22,BQ22,BS22,BU22,BW22)</f>
        <v/>
      </c>
      <c r="C22" s="25" t="inlineStr">
        <is>
          <t>UNIPARTS</t>
        </is>
      </c>
      <c r="D22" s="25" t="inlineStr">
        <is>
          <t>Uniparts India Ltd</t>
        </is>
      </c>
      <c r="E22" s="25" t="inlineStr">
        <is>
          <t>industrials</t>
        </is>
      </c>
      <c r="F22" s="25" t="inlineStr">
        <is>
          <t>engineering</t>
        </is>
      </c>
      <c r="G22" s="25" t="inlineStr">
        <is>
          <t>smallcap</t>
        </is>
      </c>
      <c r="H22" s="26" t="n">
        <v>2676.54</v>
      </c>
      <c r="I22" s="26" t="n">
        <v>599.2</v>
      </c>
      <c r="J22" s="26" t="n">
        <v>1.06</v>
      </c>
      <c r="K22" s="26" t="n">
        <v>186067</v>
      </c>
      <c r="L22" s="26" t="n">
        <v>68.11</v>
      </c>
      <c r="M22" s="26" t="n">
        <v>30.78</v>
      </c>
      <c r="N22" s="26" t="n">
        <v>461.17</v>
      </c>
      <c r="O22" s="25" t="inlineStr">
        <is>
          <t>Near 52W High Breakout</t>
        </is>
      </c>
      <c r="P22" s="25" t="inlineStr">
        <is>
          <t>Cyclical in an Upturn</t>
        </is>
      </c>
      <c r="Q22" s="25">
        <f>IF(P22="Growing Industry",10,IF(P22="Cyclical in an Upturn",5,0))</f>
        <v/>
      </c>
      <c r="R22" s="25" t="inlineStr">
        <is>
          <t>Too Many Players with High ROCE</t>
        </is>
      </c>
      <c r="S22" s="25">
        <f>IF(R22="Monopoly",10,IF(R22="Oligopoly",5,IF(R22="Duopoly that cooperate",10,IF(R22="Duopoly that compete",5,IF(R22="Too many players with High ROCE",5,0)))))</f>
        <v/>
      </c>
      <c r="T22" s="25" t="inlineStr">
        <is>
          <t>No</t>
        </is>
      </c>
      <c r="U22" s="25">
        <f>IF(T22="No",5,0)</f>
        <v/>
      </c>
      <c r="V22" s="25" t="inlineStr">
        <is>
          <t>Tailwind</t>
        </is>
      </c>
      <c r="W22" s="25">
        <f>IF(V22="Tailwind",10,0)</f>
        <v/>
      </c>
      <c r="X22" s="25" t="inlineStr">
        <is>
          <t>Structural (10 Years Consistency)</t>
        </is>
      </c>
      <c r="Y22" s="25">
        <f>IF(X22="Structural (10 Years Consistency)",10,IF(X22="Shallow Cyclical (2 to 3 years growth)",5,0))</f>
        <v/>
      </c>
      <c r="Z22" s="25" t="inlineStr">
        <is>
          <t>No</t>
        </is>
      </c>
      <c r="AA22" s="25">
        <f>IF(Z22="Yes due to Product Mix change or Operating Leverage",10,IF(Z22="Yes, these are peak margins",-5,IF(Z22="No",5,0)))</f>
        <v/>
      </c>
      <c r="AB22" s="25" t="inlineStr">
        <is>
          <t>Stable</t>
        </is>
      </c>
      <c r="AC22" s="25">
        <f>IF(AB22="Stable",10,0)</f>
        <v/>
      </c>
      <c r="AD22" s="25" t="inlineStr">
        <is>
          <t>Yes</t>
        </is>
      </c>
      <c r="AE22" s="25">
        <f>IF(AD22="Yes",10,0)</f>
        <v/>
      </c>
      <c r="AF22" s="25" t="inlineStr">
        <is>
          <t>B2B</t>
        </is>
      </c>
      <c r="AG22" s="25">
        <f>IF(AF22="B2C",10,IF(AF22="B2B",5,0))</f>
        <v/>
      </c>
      <c r="AH22" s="25" t="inlineStr">
        <is>
          <t>Yes</t>
        </is>
      </c>
      <c r="AI22" s="25">
        <f>IF(AH22="Yes",10,0)</f>
        <v/>
      </c>
      <c r="AJ22" s="25" t="inlineStr">
        <is>
          <t>Higher One Time, Lower Annuity</t>
        </is>
      </c>
      <c r="AK22" s="25">
        <f>IF(AJ22="Fully Annuity",10,IF(AJ22="Higher Annuity, Lower One Time",5,IF(AJ22="Higher One Time, Lower Annuity",3,0)))</f>
        <v/>
      </c>
      <c r="AL22" s="25" t="inlineStr">
        <is>
          <t>Good</t>
        </is>
      </c>
      <c r="AM22" s="25">
        <f>IF(AL22="Good",10,0)</f>
        <v/>
      </c>
      <c r="AN22" s="25" t="inlineStr">
        <is>
          <t>Yes for more than 2 years</t>
        </is>
      </c>
      <c r="AO22" s="25">
        <f>IF(AN22="Yes for more than 2 years",10,IF(AN22="Yes only for next 1 to 2 years",5,0))</f>
        <v/>
      </c>
      <c r="AP22" s="25" t="inlineStr">
        <is>
          <t>20 to 40</t>
        </is>
      </c>
      <c r="AQ22" s="25">
        <f>IF(AP22="Above 40",20,IF(AP22="20 to 40",10,IF(AP22="0 to 20",-5,0)))</f>
        <v/>
      </c>
      <c r="AR22" s="25" t="inlineStr">
        <is>
          <t>Between 50 to 75</t>
        </is>
      </c>
      <c r="AS22" s="25">
        <f>IF(AR22="Between 50 to 75",10,IF(AR22="Above 75",0,0))</f>
        <v/>
      </c>
      <c r="AT22" s="25" t="inlineStr">
        <is>
          <t>Stage 2</t>
        </is>
      </c>
      <c r="AU22" s="25">
        <f>IF(AT22="Stage 2",20,IF(AT22="Stage 1",0,IF(AT22="Stage 3",5,IF(AT22="Stage 4",-5,0))))</f>
        <v/>
      </c>
      <c r="AV22" s="25" t="inlineStr">
        <is>
          <t>Positive Trend</t>
        </is>
      </c>
      <c r="AW22" s="25">
        <f>IF(AV22="Positive Trend",20,IF(AV22="Negative Trend",-10,0))</f>
        <v/>
      </c>
      <c r="AX22" s="25" t="inlineStr">
        <is>
          <t>Uptrend</t>
        </is>
      </c>
      <c r="AY22" s="25">
        <f>IF(AX22="Uptrend",10,IF(AX22="Sideways",5,0))</f>
        <v/>
      </c>
      <c r="AZ22" s="25" t="inlineStr">
        <is>
          <t>Uptrend</t>
        </is>
      </c>
      <c r="BA22" s="25">
        <f>IF(AZ22="Uptrend",10,IF(AZ22="Sideways",5,0))</f>
        <v/>
      </c>
      <c r="BB22" s="25" t="inlineStr">
        <is>
          <t>Blue sky scenario</t>
        </is>
      </c>
      <c r="BC22" s="25">
        <f>IF(BB22="Overhead supply in last 2 years in last 2 years",-5,IF(BB22="Close to 52 week high or retracement",5,IF(BB22="Blue sky scenario",10,IF(BB22="Long term Downtrend",-10,0))))</f>
        <v/>
      </c>
      <c r="BD22" s="25" t="inlineStr">
        <is>
          <t>Yes</t>
        </is>
      </c>
      <c r="BE22" s="25">
        <f>IF(BD22="Yes",10,0)</f>
        <v/>
      </c>
      <c r="BF22" s="25" t="inlineStr">
        <is>
          <t>More than 20%</t>
        </is>
      </c>
      <c r="BG22" s="25">
        <f>IF(BF22="More than 20%",10,IF(BF22="Between 12 to 20%",5,IF(BF22="Less than 12%",0,0)))</f>
        <v/>
      </c>
      <c r="BH22" s="25" t="inlineStr">
        <is>
          <t>No</t>
        </is>
      </c>
      <c r="BI22" s="25">
        <f>IF(BH22="No",10,0)</f>
        <v/>
      </c>
      <c r="BJ22" s="25" t="inlineStr">
        <is>
          <t>No</t>
        </is>
      </c>
      <c r="BK22" s="25">
        <f>IF(BJ22="NO",5,0)</f>
        <v/>
      </c>
      <c r="BL22" s="25" t="inlineStr">
        <is>
          <t>Less than 1.5</t>
        </is>
      </c>
      <c r="BM22" s="25">
        <f>IF(BL22="Above 2",0,IF(BL22="Between 1.5 to 2",5,IF(BL22="Less than 1.5",10,0)))</f>
        <v/>
      </c>
      <c r="BN22" s="25" t="inlineStr">
        <is>
          <t>Above 70%</t>
        </is>
      </c>
      <c r="BO22" s="25">
        <f>IF(BN22="Above 70%",10,IF(BN22="Between 50% to 70%",5,IF(BN22="Less than 50%",0,IF(BN22="Negative",-10,IF(BN22="Less than 50% and Borrowings are increasing",-5,0)))))</f>
        <v/>
      </c>
      <c r="BP22" s="25" t="inlineStr">
        <is>
          <t>Less than 0.7</t>
        </is>
      </c>
      <c r="BQ22" s="25">
        <f>IF(BP22="More than 1.2",-10,IF(BP22="Between 0.7 to 1.2",0,IF(BP22="Less than 0.7",10,0)))</f>
        <v/>
      </c>
      <c r="BR22" s="25" t="inlineStr">
        <is>
          <t>No</t>
        </is>
      </c>
      <c r="BS22" s="25">
        <f>IF(BR22="Yes",-10,0)</f>
        <v/>
      </c>
      <c r="BT22" s="25" t="inlineStr">
        <is>
          <t>Less than 15%</t>
        </is>
      </c>
      <c r="BU22" s="25">
        <f>IF(BT22="More than 15%",-10,IF(BT22="Less than 15%",10,0))</f>
        <v/>
      </c>
      <c r="BV22" s="25" t="inlineStr">
        <is>
          <t>No</t>
        </is>
      </c>
      <c r="BW22" s="25">
        <f>IF(BV22="Yes, more than 10%",-10,IF(BV22="No",10,0))</f>
        <v/>
      </c>
    </row>
    <row r="23">
      <c r="A23" s="25">
        <f>IF(B23=0,"",RANK(B23,$B$2:$B$292,0))</f>
        <v/>
      </c>
      <c r="B23" s="26">
        <f>SUM(Q23,S23,U23,W23,Y23,AA23,AC23,AE23,AG23,AI23,AK23,AM23,AO23,AQ23,AS23,AU23,AW23,AY23,BA23,BC23,BE23,BG23,BI23,BK23,BM23,BO23,BQ23,BS23,BU23,BW23)</f>
        <v/>
      </c>
      <c r="C23" s="25" t="inlineStr">
        <is>
          <t>NRBBEARING</t>
        </is>
      </c>
      <c r="D23" s="25" t="inlineStr">
        <is>
          <t>Nrb Bearing Limited</t>
        </is>
      </c>
      <c r="E23" s="25" t="inlineStr">
        <is>
          <t>industrials</t>
        </is>
      </c>
      <c r="F23" s="25" t="inlineStr">
        <is>
          <t>bearings</t>
        </is>
      </c>
      <c r="G23" s="25" t="inlineStr">
        <is>
          <t>smallcap</t>
        </is>
      </c>
      <c r="H23" s="26" t="n">
        <v>3490.18</v>
      </c>
      <c r="I23" s="26" t="n">
        <v>356.45</v>
      </c>
      <c r="J23" s="26" t="n">
        <v>-1.01</v>
      </c>
      <c r="K23" s="26" t="n">
        <v>220704</v>
      </c>
      <c r="L23" s="26" t="n">
        <v>67.47</v>
      </c>
      <c r="M23" s="26" t="n">
        <v>25.74</v>
      </c>
      <c r="N23" s="26" t="n">
        <v>292.15</v>
      </c>
      <c r="O23" s="25" t="inlineStr">
        <is>
          <t>Near 52W High Breakout</t>
        </is>
      </c>
      <c r="P23" s="25" t="inlineStr">
        <is>
          <t>Cyclical in an Upturn</t>
        </is>
      </c>
      <c r="Q23" s="25">
        <f>IF(P23="Growing Industry",10,IF(P23="Cyclical in an Upturn",5,0))</f>
        <v/>
      </c>
      <c r="R23" s="25" t="inlineStr">
        <is>
          <t>Too Many Players with High ROCE</t>
        </is>
      </c>
      <c r="S23" s="25">
        <f>IF(R23="Monopoly",10,IF(R23="Oligopoly",5,IF(R23="Duopoly that cooperate",10,IF(R23="Duopoly that compete",5,IF(R23="Too many players with High ROCE",5,0)))))</f>
        <v/>
      </c>
      <c r="T23" s="25" t="inlineStr">
        <is>
          <t>No</t>
        </is>
      </c>
      <c r="U23" s="25">
        <f>IF(T23="No",5,0)</f>
        <v/>
      </c>
      <c r="V23" s="25" t="inlineStr">
        <is>
          <t>Tailwind</t>
        </is>
      </c>
      <c r="W23" s="25">
        <f>IF(V23="Tailwind",10,0)</f>
        <v/>
      </c>
      <c r="X23" s="25" t="inlineStr">
        <is>
          <t>Structural (10 Years Consistency)</t>
        </is>
      </c>
      <c r="Y23" s="25">
        <f>IF(X23="Structural (10 Years Consistency)",10,IF(X23="Shallow Cyclical (2 to 3 years growth)",5,0))</f>
        <v/>
      </c>
      <c r="Z23" s="25" t="inlineStr">
        <is>
          <t>No</t>
        </is>
      </c>
      <c r="AA23" s="25">
        <f>IF(Z23="Yes due to Product Mix change or Operating Leverage",10,IF(Z23="Yes, these are peak margins",-5,IF(Z23="No",5,0)))</f>
        <v/>
      </c>
      <c r="AB23" s="25" t="inlineStr">
        <is>
          <t>Stable</t>
        </is>
      </c>
      <c r="AC23" s="25">
        <f>IF(AB23="Stable",10,0)</f>
        <v/>
      </c>
      <c r="AD23" s="25" t="inlineStr">
        <is>
          <t>Yes</t>
        </is>
      </c>
      <c r="AE23" s="25">
        <f>IF(AD23="Yes",10,0)</f>
        <v/>
      </c>
      <c r="AF23" s="25" t="inlineStr">
        <is>
          <t>B2B</t>
        </is>
      </c>
      <c r="AG23" s="25">
        <f>IF(AF23="B2C",10,IF(AF23="B2B",5,0))</f>
        <v/>
      </c>
      <c r="AH23" s="25" t="inlineStr">
        <is>
          <t>Yes</t>
        </is>
      </c>
      <c r="AI23" s="25">
        <f>IF(AH23="Yes",10,0)</f>
        <v/>
      </c>
      <c r="AJ23" s="25" t="inlineStr">
        <is>
          <t>Higher One Time, Lower Annuity</t>
        </is>
      </c>
      <c r="AK23" s="25">
        <f>IF(AJ23="Fully Annuity",10,IF(AJ23="Higher Annuity, Lower One Time",5,IF(AJ23="Higher One Time, Lower Annuity",3,0)))</f>
        <v/>
      </c>
      <c r="AL23" s="25" t="inlineStr">
        <is>
          <t>Good</t>
        </is>
      </c>
      <c r="AM23" s="25">
        <f>IF(AL23="Good",10,0)</f>
        <v/>
      </c>
      <c r="AN23" s="25" t="inlineStr">
        <is>
          <t>Yes for more than 2 years</t>
        </is>
      </c>
      <c r="AO23" s="25">
        <f>IF(AN23="Yes for more than 2 years",10,IF(AN23="Yes only for next 1 to 2 years",5,0))</f>
        <v/>
      </c>
      <c r="AP23" s="25" t="inlineStr">
        <is>
          <t>20 to 40</t>
        </is>
      </c>
      <c r="AQ23" s="25">
        <f>IF(AP23="Above 40",20,IF(AP23="20 to 40",10,IF(AP23="0 to 20",-5,0)))</f>
        <v/>
      </c>
      <c r="AR23" s="25" t="inlineStr">
        <is>
          <t>Between 50 to 75</t>
        </is>
      </c>
      <c r="AS23" s="25">
        <f>IF(AR23="Between 50 to 75",10,IF(AR23="Above 75",0,0))</f>
        <v/>
      </c>
      <c r="AT23" s="25" t="inlineStr">
        <is>
          <t>Stage 2</t>
        </is>
      </c>
      <c r="AU23" s="25">
        <f>IF(AT23="Stage 2",20,IF(AT23="Stage 1",0,IF(AT23="Stage 3",5,IF(AT23="Stage 4",-5,0))))</f>
        <v/>
      </c>
      <c r="AV23" s="25" t="inlineStr">
        <is>
          <t>Positive Trend</t>
        </is>
      </c>
      <c r="AW23" s="25">
        <f>IF(AV23="Positive Trend",20,IF(AV23="Negative Trend",-10,0))</f>
        <v/>
      </c>
      <c r="AX23" s="25" t="inlineStr">
        <is>
          <t>Uptrend</t>
        </is>
      </c>
      <c r="AY23" s="25">
        <f>IF(AX23="Uptrend",10,IF(AX23="Sideways",5,0))</f>
        <v/>
      </c>
      <c r="AZ23" s="25" t="inlineStr">
        <is>
          <t>Uptrend</t>
        </is>
      </c>
      <c r="BA23" s="25">
        <f>IF(AZ23="Uptrend",10,IF(AZ23="Sideways",5,0))</f>
        <v/>
      </c>
      <c r="BB23" s="25" t="inlineStr">
        <is>
          <t>Blue sky scenario</t>
        </is>
      </c>
      <c r="BC23" s="25">
        <f>IF(BB23="Overhead supply in last 2 years in last 2 years",-5,IF(BB23="Close to 52 week high or retracement",5,IF(BB23="Blue sky scenario",10,IF(BB23="Long term Downtrend",-10,0))))</f>
        <v/>
      </c>
      <c r="BD23" s="25" t="inlineStr">
        <is>
          <t>Yes</t>
        </is>
      </c>
      <c r="BE23" s="25">
        <f>IF(BD23="Yes",10,0)</f>
        <v/>
      </c>
      <c r="BF23" s="25" t="inlineStr">
        <is>
          <t>More than 20%</t>
        </is>
      </c>
      <c r="BG23" s="25">
        <f>IF(BF23="More than 20%",10,IF(BF23="Between 12 to 20%",5,IF(BF23="Less than 12%",0,0)))</f>
        <v/>
      </c>
      <c r="BH23" s="25" t="inlineStr">
        <is>
          <t>No</t>
        </is>
      </c>
      <c r="BI23" s="25">
        <f>IF(BH23="No",10,0)</f>
        <v/>
      </c>
      <c r="BJ23" s="25" t="inlineStr">
        <is>
          <t>No</t>
        </is>
      </c>
      <c r="BK23" s="25">
        <f>IF(BJ23="NO",5,0)</f>
        <v/>
      </c>
      <c r="BL23" s="25" t="inlineStr">
        <is>
          <t>Less than 1.5</t>
        </is>
      </c>
      <c r="BM23" s="25">
        <f>IF(BL23="Above 2",0,IF(BL23="Between 1.5 to 2",5,IF(BL23="Less than 1.5",10,0)))</f>
        <v/>
      </c>
      <c r="BN23" s="25" t="inlineStr">
        <is>
          <t>Above 70%</t>
        </is>
      </c>
      <c r="BO23" s="25">
        <f>IF(BN23="Above 70%",10,IF(BN23="Between 50% to 70%",5,IF(BN23="Less than 50%",0,IF(BN23="Negative",-10,IF(BN23="Less than 50% and Borrowings are increasing",-5,0)))))</f>
        <v/>
      </c>
      <c r="BP23" s="25" t="inlineStr">
        <is>
          <t>Less than 0.7</t>
        </is>
      </c>
      <c r="BQ23" s="25">
        <f>IF(BP23="More than 1.2",-10,IF(BP23="Between 0.7 to 1.2",0,IF(BP23="Less than 0.7",10,0)))</f>
        <v/>
      </c>
      <c r="BR23" s="25" t="inlineStr">
        <is>
          <t>No</t>
        </is>
      </c>
      <c r="BS23" s="25">
        <f>IF(BR23="Yes",-10,0)</f>
        <v/>
      </c>
      <c r="BT23" s="25" t="inlineStr">
        <is>
          <t>Less than 15%</t>
        </is>
      </c>
      <c r="BU23" s="25">
        <f>IF(BT23="More than 15%",-10,IF(BT23="Less than 15%",10,0))</f>
        <v/>
      </c>
      <c r="BV23" s="25" t="inlineStr">
        <is>
          <t>No</t>
        </is>
      </c>
      <c r="BW23" s="25">
        <f>IF(BV23="Yes, more than 10%",-10,IF(BV23="No",10,0))</f>
        <v/>
      </c>
    </row>
    <row r="24">
      <c r="A24" s="25">
        <f>IF(B24=0,"",RANK(B24,$B$2:$B$292,0))</f>
        <v/>
      </c>
      <c r="B24" s="26">
        <f>SUM(Q24,S24,U24,W24,Y24,AA24,AC24,AE24,AG24,AI24,AK24,AM24,AO24,AQ24,AS24,AU24,AW24,AY24,BA24,BC24,BE24,BG24,BI24,BK24,BM24,BO24,BQ24,BS24,BU24,BW24)</f>
        <v/>
      </c>
      <c r="C24" s="25" t="inlineStr">
        <is>
          <t>SHAILY</t>
        </is>
      </c>
      <c r="D24" s="25" t="inlineStr">
        <is>
          <t>Shaily Engineering Plastics Ltd</t>
        </is>
      </c>
      <c r="E24" s="25" t="inlineStr">
        <is>
          <t>plastic products</t>
        </is>
      </c>
      <c r="F24" s="25" t="inlineStr">
        <is>
          <t>plastics products</t>
        </is>
      </c>
      <c r="G24" s="25" t="inlineStr">
        <is>
          <t>midcap</t>
        </is>
      </c>
      <c r="H24" s="26" t="n">
        <v>14451.96</v>
      </c>
      <c r="I24" s="26" t="n">
        <v>3038</v>
      </c>
      <c r="J24" s="26" t="n">
        <v>-3.4</v>
      </c>
      <c r="K24" s="26" t="n">
        <v>418046</v>
      </c>
      <c r="L24" s="26" t="n">
        <v>69</v>
      </c>
      <c r="M24" s="26" t="n">
        <v>23.08</v>
      </c>
      <c r="N24" s="26" t="n">
        <v>2152.12</v>
      </c>
      <c r="O24" s="25" t="inlineStr">
        <is>
          <t>Near 52W High Breakout</t>
        </is>
      </c>
      <c r="P24" s="25" t="inlineStr">
        <is>
          <t>Growing Industry</t>
        </is>
      </c>
      <c r="Q24" s="25">
        <f>IF(P24="Growing Industry",10,IF(P24="Cyclical in an Upturn",5,0))</f>
        <v/>
      </c>
      <c r="R24" s="25" t="inlineStr">
        <is>
          <t>Too Many Players with High ROCE</t>
        </is>
      </c>
      <c r="S24" s="25">
        <f>IF(R24="Monopoly",10,IF(R24="Oligopoly",5,IF(R24="Duopoly that cooperate",10,IF(R24="Duopoly that compete",5,IF(R24="Too many players with High ROCE",5,0)))))</f>
        <v/>
      </c>
      <c r="T24" s="25" t="inlineStr">
        <is>
          <t>No</t>
        </is>
      </c>
      <c r="U24" s="25">
        <f>IF(T24="No",5,0)</f>
        <v/>
      </c>
      <c r="V24" s="25" t="inlineStr">
        <is>
          <t>Tailwind</t>
        </is>
      </c>
      <c r="W24" s="25">
        <f>IF(V24="Tailwind",10,0)</f>
        <v/>
      </c>
      <c r="X24" s="25" t="inlineStr">
        <is>
          <t>Structural (10 Years Consistency)</t>
        </is>
      </c>
      <c r="Y24" s="25">
        <f>IF(X24="Structural (10 Years Consistency)",10,IF(X24="Shallow Cyclical (2 to 3 years growth)",5,0))</f>
        <v/>
      </c>
      <c r="Z24" s="25" t="inlineStr">
        <is>
          <t>No</t>
        </is>
      </c>
      <c r="AA24" s="25">
        <f>IF(Z24="Yes due to Product Mix change or Operating Leverage",10,IF(Z24="Yes, these are peak margins",-5,IF(Z24="No",5,0)))</f>
        <v/>
      </c>
      <c r="AB24" s="25" t="inlineStr">
        <is>
          <t>Stable</t>
        </is>
      </c>
      <c r="AC24" s="25">
        <f>IF(AB24="Stable",10,0)</f>
        <v/>
      </c>
      <c r="AD24" s="25" t="inlineStr">
        <is>
          <t>Yes</t>
        </is>
      </c>
      <c r="AE24" s="25">
        <f>IF(AD24="Yes",10,0)</f>
        <v/>
      </c>
      <c r="AF24" s="25" t="inlineStr">
        <is>
          <t>B2B</t>
        </is>
      </c>
      <c r="AG24" s="25">
        <f>IF(AF24="B2C",10,IF(AF24="B2B",5,0))</f>
        <v/>
      </c>
      <c r="AH24" s="25" t="inlineStr">
        <is>
          <t>Yes</t>
        </is>
      </c>
      <c r="AI24" s="25">
        <f>IF(AH24="Yes",10,0)</f>
        <v/>
      </c>
      <c r="AJ24" s="25" t="inlineStr">
        <is>
          <t>Higher One Time, Lower Annuity</t>
        </is>
      </c>
      <c r="AK24" s="25">
        <f>IF(AJ24="Fully Annuity",10,IF(AJ24="Higher Annuity, Lower One Time",5,IF(AJ24="Higher One Time, Lower Annuity",3,0)))</f>
        <v/>
      </c>
      <c r="AL24" s="25" t="inlineStr">
        <is>
          <t>Good</t>
        </is>
      </c>
      <c r="AM24" s="25">
        <f>IF(AL24="Good",10,0)</f>
        <v/>
      </c>
      <c r="AN24" s="25" t="inlineStr">
        <is>
          <t>Yes for more than 2 years</t>
        </is>
      </c>
      <c r="AO24" s="25">
        <f>IF(AN24="Yes for more than 2 years",10,IF(AN24="Yes only for next 1 to 2 years",5,0))</f>
        <v/>
      </c>
      <c r="AP24" s="25" t="inlineStr">
        <is>
          <t>20 to 40</t>
        </is>
      </c>
      <c r="AQ24" s="25">
        <f>IF(AP24="Above 40",20,IF(AP24="20 to 40",10,IF(AP24="0 to 20",-5,0)))</f>
        <v/>
      </c>
      <c r="AR24" s="25" t="inlineStr">
        <is>
          <t>Between 50 to 75</t>
        </is>
      </c>
      <c r="AS24" s="25">
        <f>IF(AR24="Between 50 to 75",10,IF(AR24="Above 75",0,0))</f>
        <v/>
      </c>
      <c r="AT24" s="25" t="inlineStr">
        <is>
          <t>Stage 2</t>
        </is>
      </c>
      <c r="AU24" s="25">
        <f>IF(AT24="Stage 2",20,IF(AT24="Stage 1",0,IF(AT24="Stage 3",5,IF(AT24="Stage 4",-5,0))))</f>
        <v/>
      </c>
      <c r="AV24" s="25" t="inlineStr">
        <is>
          <t>Positive Trend</t>
        </is>
      </c>
      <c r="AW24" s="25">
        <f>IF(AV24="Positive Trend",20,IF(AV24="Negative Trend",-10,0))</f>
        <v/>
      </c>
      <c r="AX24" s="25" t="inlineStr">
        <is>
          <t>Uptrend</t>
        </is>
      </c>
      <c r="AY24" s="25">
        <f>IF(AX24="Uptrend",10,IF(AX24="Sideways",5,0))</f>
        <v/>
      </c>
      <c r="AZ24" s="25" t="inlineStr">
        <is>
          <t>Uptrend</t>
        </is>
      </c>
      <c r="BA24" s="25">
        <f>IF(AZ24="Uptrend",10,IF(AZ24="Sideways",5,0))</f>
        <v/>
      </c>
      <c r="BB24" s="25" t="inlineStr">
        <is>
          <t>Blue sky scenario</t>
        </is>
      </c>
      <c r="BC24" s="25">
        <f>IF(BB24="Overhead supply in last 2 years in last 2 years",-5,IF(BB24="Close to 52 week high or retracement",5,IF(BB24="Blue sky scenario",10,IF(BB24="Long term Downtrend",-10,0))))</f>
        <v/>
      </c>
      <c r="BD24" s="25" t="inlineStr">
        <is>
          <t>Yes</t>
        </is>
      </c>
      <c r="BE24" s="25">
        <f>IF(BD24="Yes",10,0)</f>
        <v/>
      </c>
      <c r="BF24" s="25" t="inlineStr">
        <is>
          <t>More than 20%</t>
        </is>
      </c>
      <c r="BG24" s="25">
        <f>IF(BF24="More than 20%",10,IF(BF24="Between 12 to 20%",5,IF(BF24="Less than 12%",0,0)))</f>
        <v/>
      </c>
      <c r="BH24" s="25" t="inlineStr">
        <is>
          <t>No</t>
        </is>
      </c>
      <c r="BI24" s="25">
        <f>IF(BH24="No",10,0)</f>
        <v/>
      </c>
      <c r="BJ24" s="25" t="inlineStr">
        <is>
          <t>Yes</t>
        </is>
      </c>
      <c r="BK24" s="25">
        <f>IF(BJ24="NO",5,0)</f>
        <v/>
      </c>
      <c r="BL24" s="25" t="inlineStr">
        <is>
          <t>Less than 1.5</t>
        </is>
      </c>
      <c r="BM24" s="25">
        <f>IF(BL24="Above 2",0,IF(BL24="Between 1.5 to 2",5,IF(BL24="Less than 1.5",10,0)))</f>
        <v/>
      </c>
      <c r="BN24" s="25" t="inlineStr">
        <is>
          <t>Above 70%</t>
        </is>
      </c>
      <c r="BO24" s="25">
        <f>IF(BN24="Above 70%",10,IF(BN24="Between 50% to 70%",5,IF(BN24="Less than 50%",0,IF(BN24="Negative",-10,IF(BN24="Less than 50% and Borrowings are increasing",-5,0)))))</f>
        <v/>
      </c>
      <c r="BP24" s="25" t="inlineStr">
        <is>
          <t>Less than 0.7</t>
        </is>
      </c>
      <c r="BQ24" s="25">
        <f>IF(BP24="More than 1.2",-10,IF(BP24="Between 0.7 to 1.2",0,IF(BP24="Less than 0.7",10,0)))</f>
        <v/>
      </c>
      <c r="BR24" s="25" t="inlineStr">
        <is>
          <t>No</t>
        </is>
      </c>
      <c r="BS24" s="25">
        <f>IF(BR24="Yes",-10,0)</f>
        <v/>
      </c>
      <c r="BT24" s="25" t="inlineStr">
        <is>
          <t>Less than 15%</t>
        </is>
      </c>
      <c r="BU24" s="25">
        <f>IF(BT24="More than 15%",-10,IF(BT24="Less than 15%",10,0))</f>
        <v/>
      </c>
      <c r="BV24" s="25" t="inlineStr">
        <is>
          <t>No</t>
        </is>
      </c>
      <c r="BW24" s="25">
        <f>IF(BV24="Yes, more than 10%",-10,IF(BV24="No",10,0))</f>
        <v/>
      </c>
    </row>
    <row r="25">
      <c r="A25" s="25">
        <f>IF(B25=0,"",RANK(B25,$B$2:$B$292,0))</f>
        <v/>
      </c>
      <c r="B25" s="26">
        <f>SUM(Q25,S25,U25,W25,Y25,AA25,AC25,AE25,AG25,AI25,AK25,AM25,AO25,AQ25,AS25,AU25,AW25,AY25,BA25,BC25,BE25,BG25,BI25,BK25,BM25,BO25,BQ25,BS25,BU25,BW25)</f>
        <v/>
      </c>
      <c r="C25" s="25" t="inlineStr">
        <is>
          <t>VIJAYA</t>
        </is>
      </c>
      <c r="D25" s="25" t="inlineStr">
        <is>
          <t>Vijaya Diagnostic Centre Ltd</t>
        </is>
      </c>
      <c r="E25" s="25" t="inlineStr">
        <is>
          <t>healthcare</t>
        </is>
      </c>
      <c r="F25" s="25" t="inlineStr">
        <is>
          <t>healthcare</t>
        </is>
      </c>
      <c r="G25" s="25" t="inlineStr">
        <is>
          <t>midcap</t>
        </is>
      </c>
      <c r="H25" s="26" t="n">
        <v>12768.46</v>
      </c>
      <c r="I25" s="26" t="n">
        <v>1317</v>
      </c>
      <c r="J25" s="26" t="n">
        <v>6.13</v>
      </c>
      <c r="K25" s="26" t="n">
        <v>238201</v>
      </c>
      <c r="L25" s="26" t="n">
        <v>68.81999999999999</v>
      </c>
      <c r="M25" s="26" t="n">
        <v>28.17</v>
      </c>
      <c r="N25" s="26" t="n">
        <v>1062.81</v>
      </c>
      <c r="O25" s="25" t="inlineStr">
        <is>
          <t>Near 52W High Breakout</t>
        </is>
      </c>
      <c r="P25" s="25" t="inlineStr">
        <is>
          <t>Growing Industry</t>
        </is>
      </c>
      <c r="Q25" s="25">
        <f>IF(P25="Growing Industry",10,IF(P25="Cyclical in an Upturn",5,0))</f>
        <v/>
      </c>
      <c r="R25" s="25" t="inlineStr">
        <is>
          <t>Too Many Players with High ROCE</t>
        </is>
      </c>
      <c r="S25" s="25">
        <f>IF(R25="Monopoly",10,IF(R25="Oligopoly",5,IF(R25="Duopoly that cooperate",10,IF(R25="Duopoly that compete",5,IF(R25="Too many players with High ROCE",5,0)))))</f>
        <v/>
      </c>
      <c r="T25" s="25" t="inlineStr">
        <is>
          <t>Yes</t>
        </is>
      </c>
      <c r="U25" s="25">
        <f>IF(T25="No",5,0)</f>
        <v/>
      </c>
      <c r="V25" s="25" t="inlineStr">
        <is>
          <t>Tailwind</t>
        </is>
      </c>
      <c r="W25" s="25">
        <f>IF(V25="Tailwind",10,0)</f>
        <v/>
      </c>
      <c r="X25" s="25" t="inlineStr">
        <is>
          <t>Structural (10 Years Consistency)</t>
        </is>
      </c>
      <c r="Y25" s="25">
        <f>IF(X25="Structural (10 Years Consistency)",10,IF(X25="Shallow Cyclical (2 to 3 years growth)",5,0))</f>
        <v/>
      </c>
      <c r="Z25" s="25" t="inlineStr">
        <is>
          <t>No</t>
        </is>
      </c>
      <c r="AA25" s="25">
        <f>IF(Z25="Yes due to Product Mix change or Operating Leverage",10,IF(Z25="Yes, these are peak margins",-5,IF(Z25="No",5,0)))</f>
        <v/>
      </c>
      <c r="AB25" s="25" t="inlineStr">
        <is>
          <t>Stable</t>
        </is>
      </c>
      <c r="AC25" s="25">
        <f>IF(AB25="Stable",10,0)</f>
        <v/>
      </c>
      <c r="AD25" s="25" t="inlineStr">
        <is>
          <t>Yes</t>
        </is>
      </c>
      <c r="AE25" s="25">
        <f>IF(AD25="Yes",10,0)</f>
        <v/>
      </c>
      <c r="AF25" s="25" t="inlineStr">
        <is>
          <t>B2B</t>
        </is>
      </c>
      <c r="AG25" s="25">
        <f>IF(AF25="B2C",10,IF(AF25="B2B",5,0))</f>
        <v/>
      </c>
      <c r="AH25" s="25" t="inlineStr">
        <is>
          <t>Yes</t>
        </is>
      </c>
      <c r="AI25" s="25">
        <f>IF(AH25="Yes",10,0)</f>
        <v/>
      </c>
      <c r="AJ25" s="25" t="inlineStr">
        <is>
          <t>Higher Annuity, Lower One Time</t>
        </is>
      </c>
      <c r="AK25" s="25">
        <f>IF(AJ25="Fully Annuity",10,IF(AJ25="Higher Annuity, Lower One Time",5,IF(AJ25="Higher One Time, Lower Annuity",3,0)))</f>
        <v/>
      </c>
      <c r="AL25" s="25" t="inlineStr">
        <is>
          <t>Good</t>
        </is>
      </c>
      <c r="AM25" s="25">
        <f>IF(AL25="Good",10,0)</f>
        <v/>
      </c>
      <c r="AN25" s="25" t="inlineStr">
        <is>
          <t>Yes for more than 2 years</t>
        </is>
      </c>
      <c r="AO25" s="25">
        <f>IF(AN25="Yes for more than 2 years",10,IF(AN25="Yes only for next 1 to 2 years",5,0))</f>
        <v/>
      </c>
      <c r="AP25" s="25" t="inlineStr">
        <is>
          <t>20 to 40</t>
        </is>
      </c>
      <c r="AQ25" s="25">
        <f>IF(AP25="Above 40",20,IF(AP25="20 to 40",10,IF(AP25="0 to 20",-5,0)))</f>
        <v/>
      </c>
      <c r="AR25" s="25" t="inlineStr">
        <is>
          <t>Between 50 to 75</t>
        </is>
      </c>
      <c r="AS25" s="25">
        <f>IF(AR25="Between 50 to 75",10,IF(AR25="Above 75",0,0))</f>
        <v/>
      </c>
      <c r="AT25" s="25" t="inlineStr">
        <is>
          <t>Stage 2</t>
        </is>
      </c>
      <c r="AU25" s="25">
        <f>IF(AT25="Stage 2",20,IF(AT25="Stage 1",0,IF(AT25="Stage 3",5,IF(AT25="Stage 4",-5,0))))</f>
        <v/>
      </c>
      <c r="AV25" s="25" t="inlineStr">
        <is>
          <t>Positive Trend</t>
        </is>
      </c>
      <c r="AW25" s="25">
        <f>IF(AV25="Positive Trend",20,IF(AV25="Negative Trend",-10,0))</f>
        <v/>
      </c>
      <c r="AX25" s="25" t="inlineStr">
        <is>
          <t>Uptrend</t>
        </is>
      </c>
      <c r="AY25" s="25">
        <f>IF(AX25="Uptrend",10,IF(AX25="Sideways",5,0))</f>
        <v/>
      </c>
      <c r="AZ25" s="25" t="inlineStr">
        <is>
          <t>Uptrend</t>
        </is>
      </c>
      <c r="BA25" s="25">
        <f>IF(AZ25="Uptrend",10,IF(AZ25="Sideways",5,0))</f>
        <v/>
      </c>
      <c r="BB25" s="25" t="inlineStr">
        <is>
          <t>Blue sky scenario</t>
        </is>
      </c>
      <c r="BC25" s="25">
        <f>IF(BB25="Overhead supply in last 2 years in last 2 years",-5,IF(BB25="Close to 52 week high or retracement",5,IF(BB25="Blue sky scenario",10,IF(BB25="Long term Downtrend",-10,0))))</f>
        <v/>
      </c>
      <c r="BD25" s="25" t="inlineStr">
        <is>
          <t>Yes</t>
        </is>
      </c>
      <c r="BE25" s="25">
        <f>IF(BD25="Yes",10,0)</f>
        <v/>
      </c>
      <c r="BF25" s="25" t="inlineStr">
        <is>
          <t>More than 20%</t>
        </is>
      </c>
      <c r="BG25" s="25">
        <f>IF(BF25="More than 20%",10,IF(BF25="Between 12 to 20%",5,IF(BF25="Less than 12%",0,0)))</f>
        <v/>
      </c>
      <c r="BH25" s="25" t="inlineStr">
        <is>
          <t>No</t>
        </is>
      </c>
      <c r="BI25" s="25">
        <f>IF(BH25="No",10,0)</f>
        <v/>
      </c>
      <c r="BJ25" s="25" t="inlineStr">
        <is>
          <t>Yes</t>
        </is>
      </c>
      <c r="BK25" s="25">
        <f>IF(BJ25="NO",5,0)</f>
        <v/>
      </c>
      <c r="BL25" s="25" t="inlineStr">
        <is>
          <t>Less than 1.5</t>
        </is>
      </c>
      <c r="BM25" s="25">
        <f>IF(BL25="Above 2",0,IF(BL25="Between 1.5 to 2",5,IF(BL25="Less than 1.5",10,0)))</f>
        <v/>
      </c>
      <c r="BN25" s="25" t="inlineStr">
        <is>
          <t>Above 70%</t>
        </is>
      </c>
      <c r="BO25" s="25">
        <f>IF(BN25="Above 70%",10,IF(BN25="Between 50% to 70%",5,IF(BN25="Less than 50%",0,IF(BN25="Negative",-10,IF(BN25="Less than 50% and Borrowings are increasing",-5,0)))))</f>
        <v/>
      </c>
      <c r="BP25" s="25" t="inlineStr">
        <is>
          <t>Less than 0.7</t>
        </is>
      </c>
      <c r="BQ25" s="25">
        <f>IF(BP25="More than 1.2",-10,IF(BP25="Between 0.7 to 1.2",0,IF(BP25="Less than 0.7",10,0)))</f>
        <v/>
      </c>
      <c r="BR25" s="25" t="inlineStr">
        <is>
          <t>No</t>
        </is>
      </c>
      <c r="BS25" s="25">
        <f>IF(BR25="Yes",-10,0)</f>
        <v/>
      </c>
      <c r="BT25" s="25" t="inlineStr">
        <is>
          <t>Less than 15%</t>
        </is>
      </c>
      <c r="BU25" s="25">
        <f>IF(BT25="More than 15%",-10,IF(BT25="Less than 15%",10,0))</f>
        <v/>
      </c>
      <c r="BV25" s="25" t="inlineStr">
        <is>
          <t>No</t>
        </is>
      </c>
      <c r="BW25" s="25">
        <f>IF(BV25="Yes, more than 10%",-10,IF(BV25="No",10,0))</f>
        <v/>
      </c>
    </row>
    <row r="26">
      <c r="A26" s="25">
        <f>IF(B26=0,"",RANK(B26,$B$2:$B$292,0))</f>
        <v/>
      </c>
      <c r="B26" s="26">
        <f>SUM(Q26,S26,U26,W26,Y26,AA26,AC26,AE26,AG26,AI26,AK26,AM26,AO26,AQ26,AS26,AU26,AW26,AY26,BA26,BC26,BE26,BG26,BI26,BK26,BM26,BO26,BQ26,BS26,BU26,BW26)</f>
        <v/>
      </c>
      <c r="C26" s="25" t="inlineStr">
        <is>
          <t>JAGRAN</t>
        </is>
      </c>
      <c r="D26" s="25" t="inlineStr">
        <is>
          <t>Jagran Prakashan Limited</t>
        </is>
      </c>
      <c r="E26" s="25" t="inlineStr">
        <is>
          <t>media</t>
        </is>
      </c>
      <c r="F26" s="25" t="inlineStr">
        <is>
          <t>entertainment / electronic media software</t>
        </is>
      </c>
      <c r="G26" s="25" t="inlineStr">
        <is>
          <t>smallcap</t>
        </is>
      </c>
      <c r="H26" s="26" t="n">
        <v>1661.36</v>
      </c>
      <c r="I26" s="26" t="n">
        <v>76.98999999999999</v>
      </c>
      <c r="J26" s="26" t="n">
        <v>0.86</v>
      </c>
      <c r="K26" s="26" t="n">
        <v>1667190</v>
      </c>
      <c r="L26" s="26" t="n">
        <v>72.43000000000001</v>
      </c>
      <c r="M26" s="26" t="n">
        <v>30.04</v>
      </c>
      <c r="N26" s="26" t="n">
        <v>67.2</v>
      </c>
      <c r="O26" s="25" t="inlineStr">
        <is>
          <t>Volume Spike &amp; Near 52W High Breakout</t>
        </is>
      </c>
      <c r="P26" s="25" t="inlineStr">
        <is>
          <t>Growing Industry</t>
        </is>
      </c>
      <c r="Q26" s="25">
        <f>IF(P26="Growing Industry",10,IF(P26="Cyclical in an Upturn",5,0))</f>
        <v/>
      </c>
      <c r="R26" s="25" t="inlineStr">
        <is>
          <t>Too Many Players with High ROCE</t>
        </is>
      </c>
      <c r="S26" s="25">
        <f>IF(R26="Monopoly",10,IF(R26="Oligopoly",5,IF(R26="Duopoly that cooperate",10,IF(R26="Duopoly that compete",5,IF(R26="Too many players with High ROCE",5,0)))))</f>
        <v/>
      </c>
      <c r="T26" s="25" t="inlineStr">
        <is>
          <t>No</t>
        </is>
      </c>
      <c r="U26" s="25">
        <f>IF(T26="No",5,0)</f>
        <v/>
      </c>
      <c r="V26" s="25" t="inlineStr">
        <is>
          <t>Tailwind</t>
        </is>
      </c>
      <c r="W26" s="25">
        <f>IF(V26="Tailwind",10,0)</f>
        <v/>
      </c>
      <c r="X26" s="25" t="inlineStr">
        <is>
          <t>Structural (10 Years Consistency)</t>
        </is>
      </c>
      <c r="Y26" s="25">
        <f>IF(X26="Structural (10 Years Consistency)",10,IF(X26="Shallow Cyclical (2 to 3 years growth)",5,0))</f>
        <v/>
      </c>
      <c r="Z26" s="25" t="inlineStr">
        <is>
          <t>No</t>
        </is>
      </c>
      <c r="AA26" s="25">
        <f>IF(Z26="Yes due to Product Mix change or Operating Leverage",10,IF(Z26="Yes, these are peak margins",-5,IF(Z26="No",5,0)))</f>
        <v/>
      </c>
      <c r="AB26" s="25" t="inlineStr">
        <is>
          <t>Stable</t>
        </is>
      </c>
      <c r="AC26" s="25">
        <f>IF(AB26="Stable",10,0)</f>
        <v/>
      </c>
      <c r="AD26" s="25" t="inlineStr">
        <is>
          <t>Yes</t>
        </is>
      </c>
      <c r="AE26" s="25">
        <f>IF(AD26="Yes",10,0)</f>
        <v/>
      </c>
      <c r="AF26" s="25" t="inlineStr">
        <is>
          <t>B2B</t>
        </is>
      </c>
      <c r="AG26" s="25">
        <f>IF(AF26="B2C",10,IF(AF26="B2B",5,0))</f>
        <v/>
      </c>
      <c r="AH26" s="25" t="inlineStr">
        <is>
          <t>Yes</t>
        </is>
      </c>
      <c r="AI26" s="25">
        <f>IF(AH26="Yes",10,0)</f>
        <v/>
      </c>
      <c r="AJ26" s="25" t="inlineStr">
        <is>
          <t>Higher Annuity, Lower One Time</t>
        </is>
      </c>
      <c r="AK26" s="25">
        <f>IF(AJ26="Fully Annuity",10,IF(AJ26="Higher Annuity, Lower One Time",5,IF(AJ26="Higher One Time, Lower Annuity",3,0)))</f>
        <v/>
      </c>
      <c r="AL26" s="25" t="inlineStr">
        <is>
          <t>Good</t>
        </is>
      </c>
      <c r="AM26" s="25">
        <f>IF(AL26="Good",10,0)</f>
        <v/>
      </c>
      <c r="AN26" s="25" t="inlineStr">
        <is>
          <t>Yes for more than 2 years</t>
        </is>
      </c>
      <c r="AO26" s="25">
        <f>IF(AN26="Yes for more than 2 years",10,IF(AN26="Yes only for next 1 to 2 years",5,0))</f>
        <v/>
      </c>
      <c r="AP26" s="25" t="inlineStr">
        <is>
          <t>20 to 40</t>
        </is>
      </c>
      <c r="AQ26" s="25">
        <f>IF(AP26="Above 40",20,IF(AP26="20 to 40",10,IF(AP26="0 to 20",-5,0)))</f>
        <v/>
      </c>
      <c r="AR26" s="25" t="inlineStr">
        <is>
          <t>Between 50 to 75</t>
        </is>
      </c>
      <c r="AS26" s="25">
        <f>IF(AR26="Between 50 to 75",10,IF(AR26="Above 75",0,0))</f>
        <v/>
      </c>
      <c r="AT26" s="25" t="inlineStr">
        <is>
          <t>Stage 2</t>
        </is>
      </c>
      <c r="AU26" s="25">
        <f>IF(AT26="Stage 2",20,IF(AT26="Stage 1",0,IF(AT26="Stage 3",5,IF(AT26="Stage 4",-5,0))))</f>
        <v/>
      </c>
      <c r="AV26" s="25" t="inlineStr">
        <is>
          <t>Positive Trend</t>
        </is>
      </c>
      <c r="AW26" s="25">
        <f>IF(AV26="Positive Trend",20,IF(AV26="Negative Trend",-10,0))</f>
        <v/>
      </c>
      <c r="AX26" s="25" t="inlineStr">
        <is>
          <t>Uptrend</t>
        </is>
      </c>
      <c r="AY26" s="25">
        <f>IF(AX26="Uptrend",10,IF(AX26="Sideways",5,0))</f>
        <v/>
      </c>
      <c r="AZ26" s="25" t="inlineStr">
        <is>
          <t>Uptrend</t>
        </is>
      </c>
      <c r="BA26" s="25">
        <f>IF(AZ26="Uptrend",10,IF(AZ26="Sideways",5,0))</f>
        <v/>
      </c>
      <c r="BB26" s="25" t="inlineStr">
        <is>
          <t>Close to 52 week high or retracement</t>
        </is>
      </c>
      <c r="BC26" s="25">
        <f>IF(BB26="Overhead supply in last 2 years in last 2 years",-5,IF(BB26="Close to 52 week high or retracement",5,IF(BB26="Blue sky scenario",10,IF(BB26="Long term Downtrend",-10,0))))</f>
        <v/>
      </c>
      <c r="BD26" s="25" t="inlineStr">
        <is>
          <t>Yes</t>
        </is>
      </c>
      <c r="BE26" s="25">
        <f>IF(BD26="Yes",10,0)</f>
        <v/>
      </c>
      <c r="BF26" s="25" t="inlineStr">
        <is>
          <t>More than 20%</t>
        </is>
      </c>
      <c r="BG26" s="25">
        <f>IF(BF26="More than 20%",10,IF(BF26="Between 12 to 20%",5,IF(BF26="Less than 12%",0,0)))</f>
        <v/>
      </c>
      <c r="BH26" s="25" t="inlineStr">
        <is>
          <t>No</t>
        </is>
      </c>
      <c r="BI26" s="25">
        <f>IF(BH26="No",10,0)</f>
        <v/>
      </c>
      <c r="BJ26" s="25" t="inlineStr">
        <is>
          <t>No</t>
        </is>
      </c>
      <c r="BK26" s="25">
        <f>IF(BJ26="NO",5,0)</f>
        <v/>
      </c>
      <c r="BL26" s="25" t="inlineStr">
        <is>
          <t>Less than 1.5</t>
        </is>
      </c>
      <c r="BM26" s="25">
        <f>IF(BL26="Above 2",0,IF(BL26="Between 1.5 to 2",5,IF(BL26="Less than 1.5",10,0)))</f>
        <v/>
      </c>
      <c r="BN26" s="25" t="inlineStr">
        <is>
          <t>Between 50% to 70%</t>
        </is>
      </c>
      <c r="BO26" s="25">
        <f>IF(BN26="Above 70%",10,IF(BN26="Between 50% to 70%",5,IF(BN26="Less than 50%",0,IF(BN26="Negative",-10,IF(BN26="Less than 50% and Borrowings are increasing",-5,0)))))</f>
        <v/>
      </c>
      <c r="BP26" s="25" t="inlineStr">
        <is>
          <t>Less than 0.7</t>
        </is>
      </c>
      <c r="BQ26" s="25">
        <f>IF(BP26="More than 1.2",-10,IF(BP26="Between 0.7 to 1.2",0,IF(BP26="Less than 0.7",10,0)))</f>
        <v/>
      </c>
      <c r="BR26" s="25" t="inlineStr">
        <is>
          <t>No</t>
        </is>
      </c>
      <c r="BS26" s="25">
        <f>IF(BR26="Yes",-10,0)</f>
        <v/>
      </c>
      <c r="BT26" s="25" t="inlineStr">
        <is>
          <t>Less than 15%</t>
        </is>
      </c>
      <c r="BU26" s="25">
        <f>IF(BT26="More than 15%",-10,IF(BT26="Less than 15%",10,0))</f>
        <v/>
      </c>
      <c r="BV26" s="25" t="inlineStr">
        <is>
          <t>No</t>
        </is>
      </c>
      <c r="BW26" s="25">
        <f>IF(BV26="Yes, more than 10%",-10,IF(BV26="No",10,0))</f>
        <v/>
      </c>
    </row>
    <row r="27">
      <c r="A27" s="25">
        <f>IF(B27=0,"",RANK(B27,$B$2:$B$292,0))</f>
        <v/>
      </c>
      <c r="B27" s="26">
        <f>SUM(Q27,S27,U27,W27,Y27,AA27,AC27,AE27,AG27,AI27,AK27,AM27,AO27,AQ27,AS27,AU27,AW27,AY27,BA27,BC27,BE27,BG27,BI27,BK27,BM27,BO27,BQ27,BS27,BU27,BW27)</f>
        <v/>
      </c>
      <c r="C27" s="25" t="inlineStr">
        <is>
          <t>THYROCARE</t>
        </is>
      </c>
      <c r="D27" s="25" t="inlineStr">
        <is>
          <t>Thyrocare Technologies Limited</t>
        </is>
      </c>
      <c r="E27" s="25" t="inlineStr">
        <is>
          <t>healthcare</t>
        </is>
      </c>
      <c r="F27" s="25" t="inlineStr">
        <is>
          <t>healthcare</t>
        </is>
      </c>
      <c r="G27" s="25" t="inlineStr">
        <is>
          <t>midcap</t>
        </is>
      </c>
      <c r="H27" s="26" t="n">
        <v>8314</v>
      </c>
      <c r="I27" s="26" t="n">
        <v>521.65</v>
      </c>
      <c r="J27" s="26" t="n">
        <v>-0.13</v>
      </c>
      <c r="K27" s="26" t="n">
        <v>503536</v>
      </c>
      <c r="L27" s="26" t="n">
        <v>68.11</v>
      </c>
      <c r="M27" s="26" t="n">
        <v>21.68</v>
      </c>
      <c r="N27" s="26" t="n">
        <v>397.49</v>
      </c>
      <c r="O27" s="25" t="inlineStr">
        <is>
          <t>Near 52W High Breakout</t>
        </is>
      </c>
      <c r="P27" s="25" t="inlineStr">
        <is>
          <t>Growing Industry</t>
        </is>
      </c>
      <c r="Q27" s="25">
        <f>IF(P27="Growing Industry",10,IF(P27="Cyclical in an Upturn",5,0))</f>
        <v/>
      </c>
      <c r="R27" s="25" t="inlineStr">
        <is>
          <t>Too Many Players with High ROCE</t>
        </is>
      </c>
      <c r="S27" s="25">
        <f>IF(R27="Monopoly",10,IF(R27="Oligopoly",5,IF(R27="Duopoly that cooperate",10,IF(R27="Duopoly that compete",5,IF(R27="Too many players with High ROCE",5,0)))))</f>
        <v/>
      </c>
      <c r="T27" s="25" t="inlineStr">
        <is>
          <t>Yes</t>
        </is>
      </c>
      <c r="U27" s="25">
        <f>IF(T27="No",5,0)</f>
        <v/>
      </c>
      <c r="V27" s="25" t="inlineStr">
        <is>
          <t>Tailwind</t>
        </is>
      </c>
      <c r="W27" s="25">
        <f>IF(V27="Tailwind",10,0)</f>
        <v/>
      </c>
      <c r="X27" s="25" t="inlineStr">
        <is>
          <t>Structural (10 Years Consistency)</t>
        </is>
      </c>
      <c r="Y27" s="25">
        <f>IF(X27="Structural (10 Years Consistency)",10,IF(X27="Shallow Cyclical (2 to 3 years growth)",5,0))</f>
        <v/>
      </c>
      <c r="Z27" s="25" t="inlineStr">
        <is>
          <t>No</t>
        </is>
      </c>
      <c r="AA27" s="25">
        <f>IF(Z27="Yes due to Product Mix change or Operating Leverage",10,IF(Z27="Yes, these are peak margins",-5,IF(Z27="No",5,0)))</f>
        <v/>
      </c>
      <c r="AB27" s="25" t="inlineStr">
        <is>
          <t>Stable</t>
        </is>
      </c>
      <c r="AC27" s="25">
        <f>IF(AB27="Stable",10,0)</f>
        <v/>
      </c>
      <c r="AD27" s="25" t="inlineStr">
        <is>
          <t>Yes</t>
        </is>
      </c>
      <c r="AE27" s="25">
        <f>IF(AD27="Yes",10,0)</f>
        <v/>
      </c>
      <c r="AF27" s="25" t="inlineStr">
        <is>
          <t>B2B</t>
        </is>
      </c>
      <c r="AG27" s="25">
        <f>IF(AF27="B2C",10,IF(AF27="B2B",5,0))</f>
        <v/>
      </c>
      <c r="AH27" s="25" t="inlineStr">
        <is>
          <t>Yes</t>
        </is>
      </c>
      <c r="AI27" s="25">
        <f>IF(AH27="Yes",10,0)</f>
        <v/>
      </c>
      <c r="AJ27" s="25" t="inlineStr">
        <is>
          <t>Higher Annuity, Lower One Time</t>
        </is>
      </c>
      <c r="AK27" s="25">
        <f>IF(AJ27="Fully Annuity",10,IF(AJ27="Higher Annuity, Lower One Time",5,IF(AJ27="Higher One Time, Lower Annuity",3,0)))</f>
        <v/>
      </c>
      <c r="AL27" s="25" t="inlineStr">
        <is>
          <t>Good</t>
        </is>
      </c>
      <c r="AM27" s="25">
        <f>IF(AL27="Good",10,0)</f>
        <v/>
      </c>
      <c r="AN27" s="25" t="inlineStr">
        <is>
          <t>Yes for more than 2 years</t>
        </is>
      </c>
      <c r="AO27" s="25">
        <f>IF(AN27="Yes for more than 2 years",10,IF(AN27="Yes only for next 1 to 2 years",5,0))</f>
        <v/>
      </c>
      <c r="AP27" s="25" t="inlineStr">
        <is>
          <t>20 to 40</t>
        </is>
      </c>
      <c r="AQ27" s="25">
        <f>IF(AP27="Above 40",20,IF(AP27="20 to 40",10,IF(AP27="0 to 20",-5,0)))</f>
        <v/>
      </c>
      <c r="AR27" s="25" t="inlineStr">
        <is>
          <t>Between 50 to 75</t>
        </is>
      </c>
      <c r="AS27" s="25">
        <f>IF(AR27="Between 50 to 75",10,IF(AR27="Above 75",0,0))</f>
        <v/>
      </c>
      <c r="AT27" s="25" t="inlineStr">
        <is>
          <t>Stage 2</t>
        </is>
      </c>
      <c r="AU27" s="25">
        <f>IF(AT27="Stage 2",20,IF(AT27="Stage 1",0,IF(AT27="Stage 3",5,IF(AT27="Stage 4",-5,0))))</f>
        <v/>
      </c>
      <c r="AV27" s="25" t="inlineStr">
        <is>
          <t>Positive Trend</t>
        </is>
      </c>
      <c r="AW27" s="25">
        <f>IF(AV27="Positive Trend",20,IF(AV27="Negative Trend",-10,0))</f>
        <v/>
      </c>
      <c r="AX27" s="25" t="inlineStr">
        <is>
          <t>Uptrend</t>
        </is>
      </c>
      <c r="AY27" s="25">
        <f>IF(AX27="Uptrend",10,IF(AX27="Sideways",5,0))</f>
        <v/>
      </c>
      <c r="AZ27" s="25" t="inlineStr">
        <is>
          <t>Uptrend</t>
        </is>
      </c>
      <c r="BA27" s="25">
        <f>IF(AZ27="Uptrend",10,IF(AZ27="Sideways",5,0))</f>
        <v/>
      </c>
      <c r="BB27" s="25" t="inlineStr">
        <is>
          <t>Blue sky scenario</t>
        </is>
      </c>
      <c r="BC27" s="25">
        <f>IF(BB27="Overhead supply in last 2 years in last 2 years",-5,IF(BB27="Close to 52 week high or retracement",5,IF(BB27="Blue sky scenario",10,IF(BB27="Long term Downtrend",-10,0))))</f>
        <v/>
      </c>
      <c r="BD27" s="25" t="inlineStr">
        <is>
          <t>Yes</t>
        </is>
      </c>
      <c r="BE27" s="25">
        <f>IF(BD27="Yes",10,0)</f>
        <v/>
      </c>
      <c r="BF27" s="25" t="inlineStr">
        <is>
          <t>More than 20%</t>
        </is>
      </c>
      <c r="BG27" s="25">
        <f>IF(BF27="More than 20%",10,IF(BF27="Between 12 to 20%",5,IF(BF27="Less than 12%",0,0)))</f>
        <v/>
      </c>
      <c r="BH27" s="25" t="inlineStr">
        <is>
          <t>No</t>
        </is>
      </c>
      <c r="BI27" s="25">
        <f>IF(BH27="No",10,0)</f>
        <v/>
      </c>
      <c r="BJ27" s="25" t="inlineStr">
        <is>
          <t>Yes</t>
        </is>
      </c>
      <c r="BK27" s="25">
        <f>IF(BJ27="NO",5,0)</f>
        <v/>
      </c>
      <c r="BL27" s="25" t="inlineStr">
        <is>
          <t>Less than 1.5</t>
        </is>
      </c>
      <c r="BM27" s="25">
        <f>IF(BL27="Above 2",0,IF(BL27="Between 1.5 to 2",5,IF(BL27="Less than 1.5",10,0)))</f>
        <v/>
      </c>
      <c r="BN27" s="25" t="inlineStr">
        <is>
          <t>Above 70%</t>
        </is>
      </c>
      <c r="BO27" s="25">
        <f>IF(BN27="Above 70%",10,IF(BN27="Between 50% to 70%",5,IF(BN27="Less than 50%",0,IF(BN27="Negative",-10,IF(BN27="Less than 50% and Borrowings are increasing",-5,0)))))</f>
        <v/>
      </c>
      <c r="BP27" s="25" t="inlineStr">
        <is>
          <t>Less than 0.7</t>
        </is>
      </c>
      <c r="BQ27" s="25">
        <f>IF(BP27="More than 1.2",-10,IF(BP27="Between 0.7 to 1.2",0,IF(BP27="Less than 0.7",10,0)))</f>
        <v/>
      </c>
      <c r="BR27" s="25" t="inlineStr">
        <is>
          <t>No</t>
        </is>
      </c>
      <c r="BS27" s="25">
        <f>IF(BR27="Yes",-10,0)</f>
        <v/>
      </c>
      <c r="BT27" s="25" t="inlineStr">
        <is>
          <t>Less than 15%</t>
        </is>
      </c>
      <c r="BU27" s="25">
        <f>IF(BT27="More than 15%",-10,IF(BT27="Less than 15%",10,0))</f>
        <v/>
      </c>
      <c r="BV27" s="25" t="inlineStr">
        <is>
          <t>No</t>
        </is>
      </c>
      <c r="BW27" s="25">
        <f>IF(BV27="Yes, more than 10%",-10,IF(BV27="No",10,0))</f>
        <v/>
      </c>
    </row>
    <row r="28">
      <c r="A28" s="25">
        <f>IF(B28=0,"",RANK(B28,$B$2:$B$292,0))</f>
        <v/>
      </c>
      <c r="B28" s="26">
        <f>SUM(Q28,S28,U28,W28,Y28,AA28,AC28,AE28,AG28,AI28,AK28,AM28,AO28,AQ28,AS28,AU28,AW28,AY28,BA28,BC28,BE28,BG28,BI28,BK28,BM28,BO28,BQ28,BS28,BU28,BW28)</f>
        <v/>
      </c>
      <c r="C28" s="25" t="inlineStr">
        <is>
          <t>GLAND</t>
        </is>
      </c>
      <c r="D28" s="25" t="inlineStr">
        <is>
          <t>Gland Pharma Ltd</t>
        </is>
      </c>
      <c r="E28" s="25" t="inlineStr">
        <is>
          <t>healthcare</t>
        </is>
      </c>
      <c r="F28" s="25" t="inlineStr">
        <is>
          <t>pharmaceuticals - indian - formulations</t>
        </is>
      </c>
      <c r="G28" s="25" t="inlineStr">
        <is>
          <t>largecap</t>
        </is>
      </c>
      <c r="H28" s="26" t="n">
        <v>37768.76</v>
      </c>
      <c r="I28" s="26" t="n">
        <v>2277</v>
      </c>
      <c r="J28" s="26" t="n">
        <v>-0.67</v>
      </c>
      <c r="K28" s="26" t="n">
        <v>482075</v>
      </c>
      <c r="L28" s="26" t="n">
        <v>69.17</v>
      </c>
      <c r="M28" s="26" t="n">
        <v>26.21</v>
      </c>
      <c r="N28" s="26" t="n">
        <v>1891.13</v>
      </c>
      <c r="O28" s="25" t="inlineStr">
        <is>
          <t>Near 52W High Breakout</t>
        </is>
      </c>
      <c r="P28" s="25" t="inlineStr">
        <is>
          <t>Growing Industry</t>
        </is>
      </c>
      <c r="Q28" s="25">
        <f>IF(P28="Growing Industry",10,IF(P28="Cyclical in an Upturn",5,0))</f>
        <v/>
      </c>
      <c r="R28" s="25" t="inlineStr">
        <is>
          <t>Too Many Players with High ROCE</t>
        </is>
      </c>
      <c r="S28" s="25">
        <f>IF(R28="Monopoly",10,IF(R28="Oligopoly",5,IF(R28="Duopoly that cooperate",10,IF(R28="Duopoly that compete",5,IF(R28="Too many players with High ROCE",5,0)))))</f>
        <v/>
      </c>
      <c r="T28" s="25" t="inlineStr">
        <is>
          <t>Yes</t>
        </is>
      </c>
      <c r="U28" s="25">
        <f>IF(T28="No",5,0)</f>
        <v/>
      </c>
      <c r="V28" s="25" t="inlineStr">
        <is>
          <t>Tailwind</t>
        </is>
      </c>
      <c r="W28" s="25">
        <f>IF(V28="Tailwind",10,0)</f>
        <v/>
      </c>
      <c r="X28" s="25" t="inlineStr">
        <is>
          <t>Structural (10 Years Consistency)</t>
        </is>
      </c>
      <c r="Y28" s="25">
        <f>IF(X28="Structural (10 Years Consistency)",10,IF(X28="Shallow Cyclical (2 to 3 years growth)",5,0))</f>
        <v/>
      </c>
      <c r="Z28" s="25" t="inlineStr">
        <is>
          <t>No</t>
        </is>
      </c>
      <c r="AA28" s="25">
        <f>IF(Z28="Yes due to Product Mix change or Operating Leverage",10,IF(Z28="Yes, these are peak margins",-5,IF(Z28="No",5,0)))</f>
        <v/>
      </c>
      <c r="AB28" s="25" t="inlineStr">
        <is>
          <t>Stable</t>
        </is>
      </c>
      <c r="AC28" s="25">
        <f>IF(AB28="Stable",10,0)</f>
        <v/>
      </c>
      <c r="AD28" s="25" t="inlineStr">
        <is>
          <t>Yes</t>
        </is>
      </c>
      <c r="AE28" s="25">
        <f>IF(AD28="Yes",10,0)</f>
        <v/>
      </c>
      <c r="AF28" s="25" t="inlineStr">
        <is>
          <t>B2B</t>
        </is>
      </c>
      <c r="AG28" s="25">
        <f>IF(AF28="B2C",10,IF(AF28="B2B",5,0))</f>
        <v/>
      </c>
      <c r="AH28" s="25" t="inlineStr">
        <is>
          <t>Yes</t>
        </is>
      </c>
      <c r="AI28" s="25">
        <f>IF(AH28="Yes",10,0)</f>
        <v/>
      </c>
      <c r="AJ28" s="25" t="inlineStr">
        <is>
          <t>Higher Annuity, Lower One Time</t>
        </is>
      </c>
      <c r="AK28" s="25">
        <f>IF(AJ28="Fully Annuity",10,IF(AJ28="Higher Annuity, Lower One Time",5,IF(AJ28="Higher One Time, Lower Annuity",3,0)))</f>
        <v/>
      </c>
      <c r="AL28" s="25" t="inlineStr">
        <is>
          <t>Good</t>
        </is>
      </c>
      <c r="AM28" s="25">
        <f>IF(AL28="Good",10,0)</f>
        <v/>
      </c>
      <c r="AN28" s="25" t="inlineStr">
        <is>
          <t>Yes for more than 2 years</t>
        </is>
      </c>
      <c r="AO28" s="25">
        <f>IF(AN28="Yes for more than 2 years",10,IF(AN28="Yes only for next 1 to 2 years",5,0))</f>
        <v/>
      </c>
      <c r="AP28" s="25" t="inlineStr">
        <is>
          <t>20 to 40</t>
        </is>
      </c>
      <c r="AQ28" s="25">
        <f>IF(AP28="Above 40",20,IF(AP28="20 to 40",10,IF(AP28="0 to 20",-5,0)))</f>
        <v/>
      </c>
      <c r="AR28" s="25" t="inlineStr">
        <is>
          <t>Between 50 to 75</t>
        </is>
      </c>
      <c r="AS28" s="25">
        <f>IF(AR28="Between 50 to 75",10,IF(AR28="Above 75",0,0))</f>
        <v/>
      </c>
      <c r="AT28" s="25" t="inlineStr">
        <is>
          <t>Stage 2</t>
        </is>
      </c>
      <c r="AU28" s="25">
        <f>IF(AT28="Stage 2",20,IF(AT28="Stage 1",0,IF(AT28="Stage 3",5,IF(AT28="Stage 4",-5,0))))</f>
        <v/>
      </c>
      <c r="AV28" s="25" t="inlineStr">
        <is>
          <t>Positive Trend</t>
        </is>
      </c>
      <c r="AW28" s="25">
        <f>IF(AV28="Positive Trend",20,IF(AV28="Negative Trend",-10,0))</f>
        <v/>
      </c>
      <c r="AX28" s="25" t="inlineStr">
        <is>
          <t>Uptrend</t>
        </is>
      </c>
      <c r="AY28" s="25">
        <f>IF(AX28="Uptrend",10,IF(AX28="Sideways",5,0))</f>
        <v/>
      </c>
      <c r="AZ28" s="25" t="inlineStr">
        <is>
          <t>Uptrend</t>
        </is>
      </c>
      <c r="BA28" s="25">
        <f>IF(AZ28="Uptrend",10,IF(AZ28="Sideways",5,0))</f>
        <v/>
      </c>
      <c r="BB28" s="25" t="inlineStr">
        <is>
          <t>Blue sky scenario</t>
        </is>
      </c>
      <c r="BC28" s="25">
        <f>IF(BB28="Overhead supply in last 2 years in last 2 years",-5,IF(BB28="Close to 52 week high or retracement",5,IF(BB28="Blue sky scenario",10,IF(BB28="Long term Downtrend",-10,0))))</f>
        <v/>
      </c>
      <c r="BD28" s="25" t="inlineStr">
        <is>
          <t>Yes</t>
        </is>
      </c>
      <c r="BE28" s="25">
        <f>IF(BD28="Yes",10,0)</f>
        <v/>
      </c>
      <c r="BF28" s="25" t="inlineStr">
        <is>
          <t>More than 20%</t>
        </is>
      </c>
      <c r="BG28" s="25">
        <f>IF(BF28="More than 20%",10,IF(BF28="Between 12 to 20%",5,IF(BF28="Less than 12%",0,0)))</f>
        <v/>
      </c>
      <c r="BH28" s="25" t="inlineStr">
        <is>
          <t>No</t>
        </is>
      </c>
      <c r="BI28" s="25">
        <f>IF(BH28="No",10,0)</f>
        <v/>
      </c>
      <c r="BJ28" s="25" t="inlineStr">
        <is>
          <t>No</t>
        </is>
      </c>
      <c r="BK28" s="25">
        <f>IF(BJ28="NO",5,0)</f>
        <v/>
      </c>
      <c r="BL28" s="25" t="inlineStr">
        <is>
          <t>Less than 1.5</t>
        </is>
      </c>
      <c r="BM28" s="25">
        <f>IF(BL28="Above 2",0,IF(BL28="Between 1.5 to 2",5,IF(BL28="Less than 1.5",10,0)))</f>
        <v/>
      </c>
      <c r="BN28" s="25" t="inlineStr">
        <is>
          <t>Between 50% to 70%</t>
        </is>
      </c>
      <c r="BO28" s="25">
        <f>IF(BN28="Above 70%",10,IF(BN28="Between 50% to 70%",5,IF(BN28="Less than 50%",0,IF(BN28="Negative",-10,IF(BN28="Less than 50% and Borrowings are increasing",-5,0)))))</f>
        <v/>
      </c>
      <c r="BP28" s="25" t="inlineStr">
        <is>
          <t>Less than 0.7</t>
        </is>
      </c>
      <c r="BQ28" s="25">
        <f>IF(BP28="More than 1.2",-10,IF(BP28="Between 0.7 to 1.2",0,IF(BP28="Less than 0.7",10,0)))</f>
        <v/>
      </c>
      <c r="BR28" s="25" t="inlineStr">
        <is>
          <t>No</t>
        </is>
      </c>
      <c r="BS28" s="25">
        <f>IF(BR28="Yes",-10,0)</f>
        <v/>
      </c>
      <c r="BT28" s="25" t="inlineStr">
        <is>
          <t>Less than 15%</t>
        </is>
      </c>
      <c r="BU28" s="25">
        <f>IF(BT28="More than 15%",-10,IF(BT28="Less than 15%",10,0))</f>
        <v/>
      </c>
      <c r="BV28" s="25" t="inlineStr">
        <is>
          <t>No</t>
        </is>
      </c>
      <c r="BW28" s="25">
        <f>IF(BV28="Yes, more than 10%",-10,IF(BV28="No",10,0))</f>
        <v/>
      </c>
    </row>
    <row r="29">
      <c r="A29" s="25">
        <f>IF(B29=0,"",RANK(B29,$B$2:$B$292,0))</f>
        <v/>
      </c>
      <c r="B29" s="26">
        <f>SUM(Q29,S29,U29,W29,Y29,AA29,AC29,AE29,AG29,AI29,AK29,AM29,AO29,AQ29,AS29,AU29,AW29,AY29,BA29,BC29,BE29,BG29,BI29,BK29,BM29,BO29,BQ29,BS29,BU29,BW29)</f>
        <v/>
      </c>
      <c r="C29" s="25" t="inlineStr">
        <is>
          <t>SOFTTECH</t>
        </is>
      </c>
      <c r="D29" s="25" t="inlineStr">
        <is>
          <t>Softtech Engineers Ltd</t>
        </is>
      </c>
      <c r="E29" s="25" t="inlineStr">
        <is>
          <t>i.t</t>
        </is>
      </c>
      <c r="F29" s="25" t="inlineStr">
        <is>
          <t>computers - software - medium / small</t>
        </is>
      </c>
      <c r="G29" s="25" t="inlineStr">
        <is>
          <t>smallcap</t>
        </is>
      </c>
      <c r="H29" s="26" t="n">
        <v>666.15</v>
      </c>
      <c r="I29" s="26" t="n">
        <v>463</v>
      </c>
      <c r="J29" s="26" t="n">
        <v>-3.79</v>
      </c>
      <c r="K29" s="26" t="n">
        <v>4574</v>
      </c>
      <c r="L29" s="26" t="n">
        <v>70.52</v>
      </c>
      <c r="M29" s="26" t="n">
        <v>33.14</v>
      </c>
      <c r="N29" s="26" t="n">
        <v>339.15</v>
      </c>
      <c r="O29" s="25" t="inlineStr">
        <is>
          <t>Near 52W High Breakout</t>
        </is>
      </c>
      <c r="P29" s="25" t="inlineStr">
        <is>
          <t>Growing Industry</t>
        </is>
      </c>
      <c r="Q29" s="25">
        <f>IF(P29="Growing Industry",10,IF(P29="Cyclical in an Upturn",5,0))</f>
        <v/>
      </c>
      <c r="R29" s="25" t="inlineStr">
        <is>
          <t>Too Many Players with High ROCE</t>
        </is>
      </c>
      <c r="S29" s="25">
        <f>IF(R29="Monopoly",10,IF(R29="Oligopoly",5,IF(R29="Duopoly that cooperate",10,IF(R29="Duopoly that compete",5,IF(R29="Too many players with High ROCE",5,0)))))</f>
        <v/>
      </c>
      <c r="T29" s="25" t="inlineStr">
        <is>
          <t>No</t>
        </is>
      </c>
      <c r="U29" s="25">
        <f>IF(T29="No",5,0)</f>
        <v/>
      </c>
      <c r="V29" s="25" t="inlineStr">
        <is>
          <t>Tailwind</t>
        </is>
      </c>
      <c r="W29" s="25">
        <f>IF(V29="Tailwind",10,0)</f>
        <v/>
      </c>
      <c r="X29" s="25" t="inlineStr">
        <is>
          <t>Structural (10 Years Consistency)</t>
        </is>
      </c>
      <c r="Y29" s="25">
        <f>IF(X29="Structural (10 Years Consistency)",10,IF(X29="Shallow Cyclical (2 to 3 years growth)",5,0))</f>
        <v/>
      </c>
      <c r="Z29" s="25" t="inlineStr">
        <is>
          <t>No</t>
        </is>
      </c>
      <c r="AA29" s="25">
        <f>IF(Z29="Yes due to Product Mix change or Operating Leverage",10,IF(Z29="Yes, these are peak margins",-5,IF(Z29="No",5,0)))</f>
        <v/>
      </c>
      <c r="AB29" s="25" t="inlineStr">
        <is>
          <t>Stable</t>
        </is>
      </c>
      <c r="AC29" s="25">
        <f>IF(AB29="Stable",10,0)</f>
        <v/>
      </c>
      <c r="AD29" s="25" t="inlineStr">
        <is>
          <t>Yes</t>
        </is>
      </c>
      <c r="AE29" s="25">
        <f>IF(AD29="Yes",10,0)</f>
        <v/>
      </c>
      <c r="AF29" s="25" t="inlineStr">
        <is>
          <t>B2B</t>
        </is>
      </c>
      <c r="AG29" s="25">
        <f>IF(AF29="B2C",10,IF(AF29="B2B",5,0))</f>
        <v/>
      </c>
      <c r="AH29" s="25" t="inlineStr">
        <is>
          <t>Yes</t>
        </is>
      </c>
      <c r="AI29" s="25">
        <f>IF(AH29="Yes",10,0)</f>
        <v/>
      </c>
      <c r="AJ29" s="25" t="inlineStr">
        <is>
          <t>Higher Annuity, Lower One Time</t>
        </is>
      </c>
      <c r="AK29" s="25">
        <f>IF(AJ29="Fully Annuity",10,IF(AJ29="Higher Annuity, Lower One Time",5,IF(AJ29="Higher One Time, Lower Annuity",3,0)))</f>
        <v/>
      </c>
      <c r="AL29" s="25" t="inlineStr">
        <is>
          <t>Good</t>
        </is>
      </c>
      <c r="AM29" s="25">
        <f>IF(AL29="Good",10,0)</f>
        <v/>
      </c>
      <c r="AN29" s="25" t="inlineStr">
        <is>
          <t>Yes for more than 2 years</t>
        </is>
      </c>
      <c r="AO29" s="25">
        <f>IF(AN29="Yes for more than 2 years",10,IF(AN29="Yes only for next 1 to 2 years",5,0))</f>
        <v/>
      </c>
      <c r="AP29" s="25" t="inlineStr">
        <is>
          <t>20 to 40</t>
        </is>
      </c>
      <c r="AQ29" s="25">
        <f>IF(AP29="Above 40",20,IF(AP29="20 to 40",10,IF(AP29="0 to 20",-5,0)))</f>
        <v/>
      </c>
      <c r="AR29" s="25" t="inlineStr">
        <is>
          <t>Between 50 to 75</t>
        </is>
      </c>
      <c r="AS29" s="25">
        <f>IF(AR29="Between 50 to 75",10,IF(AR29="Above 75",0,0))</f>
        <v/>
      </c>
      <c r="AT29" s="25" t="inlineStr">
        <is>
          <t>Stage 2</t>
        </is>
      </c>
      <c r="AU29" s="25">
        <f>IF(AT29="Stage 2",20,IF(AT29="Stage 1",0,IF(AT29="Stage 3",5,IF(AT29="Stage 4",-5,0))))</f>
        <v/>
      </c>
      <c r="AV29" s="25" t="inlineStr">
        <is>
          <t>Positive Trend</t>
        </is>
      </c>
      <c r="AW29" s="25">
        <f>IF(AV29="Positive Trend",20,IF(AV29="Negative Trend",-10,0))</f>
        <v/>
      </c>
      <c r="AX29" s="25" t="inlineStr">
        <is>
          <t>Uptrend</t>
        </is>
      </c>
      <c r="AY29" s="25">
        <f>IF(AX29="Uptrend",10,IF(AX29="Sideways",5,0))</f>
        <v/>
      </c>
      <c r="AZ29" s="25" t="inlineStr">
        <is>
          <t>Uptrend</t>
        </is>
      </c>
      <c r="BA29" s="25">
        <f>IF(AZ29="Uptrend",10,IF(AZ29="Sideways",5,0))</f>
        <v/>
      </c>
      <c r="BB29" s="25" t="inlineStr">
        <is>
          <t>Close to 52 week high or retracement</t>
        </is>
      </c>
      <c r="BC29" s="25">
        <f>IF(BB29="Overhead supply in last 2 years in last 2 years",-5,IF(BB29="Close to 52 week high or retracement",5,IF(BB29="Blue sky scenario",10,IF(BB29="Long term Downtrend",-10,0))))</f>
        <v/>
      </c>
      <c r="BD29" s="25" t="inlineStr">
        <is>
          <t>Yes</t>
        </is>
      </c>
      <c r="BE29" s="25">
        <f>IF(BD29="Yes",10,0)</f>
        <v/>
      </c>
      <c r="BF29" s="25" t="inlineStr">
        <is>
          <t>More than 20%</t>
        </is>
      </c>
      <c r="BG29" s="25">
        <f>IF(BF29="More than 20%",10,IF(BF29="Between 12 to 20%",5,IF(BF29="Less than 12%",0,0)))</f>
        <v/>
      </c>
      <c r="BH29" s="25" t="inlineStr">
        <is>
          <t>No</t>
        </is>
      </c>
      <c r="BI29" s="25">
        <f>IF(BH29="No",10,0)</f>
        <v/>
      </c>
      <c r="BJ29" s="25" t="inlineStr">
        <is>
          <t>Yes</t>
        </is>
      </c>
      <c r="BK29" s="25">
        <f>IF(BJ29="NO",5,0)</f>
        <v/>
      </c>
      <c r="BL29" s="25" t="inlineStr">
        <is>
          <t>Less than 1.5</t>
        </is>
      </c>
      <c r="BM29" s="25">
        <f>IF(BL29="Above 2",0,IF(BL29="Between 1.5 to 2",5,IF(BL29="Less than 1.5",10,0)))</f>
        <v/>
      </c>
      <c r="BN29" s="25" t="inlineStr">
        <is>
          <t>Above 70%</t>
        </is>
      </c>
      <c r="BO29" s="25">
        <f>IF(BN29="Above 70%",10,IF(BN29="Between 50% to 70%",5,IF(BN29="Less than 50%",0,IF(BN29="Negative",-10,IF(BN29="Less than 50% and Borrowings are increasing",-5,0)))))</f>
        <v/>
      </c>
      <c r="BP29" s="25" t="inlineStr">
        <is>
          <t>Less than 0.7</t>
        </is>
      </c>
      <c r="BQ29" s="25">
        <f>IF(BP29="More than 1.2",-10,IF(BP29="Between 0.7 to 1.2",0,IF(BP29="Less than 0.7",10,0)))</f>
        <v/>
      </c>
      <c r="BR29" s="25" t="inlineStr">
        <is>
          <t>No</t>
        </is>
      </c>
      <c r="BS29" s="25">
        <f>IF(BR29="Yes",-10,0)</f>
        <v/>
      </c>
      <c r="BT29" s="25" t="inlineStr">
        <is>
          <t>Less than 15%</t>
        </is>
      </c>
      <c r="BU29" s="25">
        <f>IF(BT29="More than 15%",-10,IF(BT29="Less than 15%",10,0))</f>
        <v/>
      </c>
      <c r="BV29" s="25" t="inlineStr">
        <is>
          <t>No</t>
        </is>
      </c>
      <c r="BW29" s="25">
        <f>IF(BV29="Yes, more than 10%",-10,IF(BV29="No",10,0))</f>
        <v/>
      </c>
    </row>
    <row r="30">
      <c r="A30" s="25">
        <f>IF(B30=0,"",RANK(B30,$B$2:$B$292,0))</f>
        <v/>
      </c>
      <c r="B30" s="26">
        <f>SUM(Q30,S30,U30,W30,Y30,AA30,AC30,AE30,AG30,AI30,AK30,AM30,AO30,AQ30,AS30,AU30,AW30,AY30,BA30,BC30,BE30,BG30,BI30,BK30,BM30,BO30,BQ30,BS30,BU30,BW30)</f>
        <v/>
      </c>
      <c r="C30" s="25" t="inlineStr">
        <is>
          <t>THANGAMAYL</t>
        </is>
      </c>
      <c r="D30" s="25" t="inlineStr">
        <is>
          <t>Thangamayil Jewellery Limited</t>
        </is>
      </c>
      <c r="E30" s="25" t="inlineStr">
        <is>
          <t>consumer discretionary</t>
        </is>
      </c>
      <c r="F30" s="25" t="inlineStr">
        <is>
          <t>diamond cutting / jewellery</t>
        </is>
      </c>
      <c r="G30" s="25" t="inlineStr">
        <is>
          <t>midcap</t>
        </is>
      </c>
      <c r="H30" s="26" t="n">
        <v>13315.85</v>
      </c>
      <c r="I30" s="26" t="n">
        <v>4590.7</v>
      </c>
      <c r="J30" s="26" t="n">
        <v>7.16</v>
      </c>
      <c r="K30" s="26" t="n">
        <v>304885</v>
      </c>
      <c r="L30" s="26" t="n">
        <v>64.17</v>
      </c>
      <c r="M30" s="26" t="n">
        <v>38.43</v>
      </c>
      <c r="N30" s="26" t="n">
        <v>3298.34</v>
      </c>
      <c r="O30" s="25" t="inlineStr">
        <is>
          <t>Near 52W High Breakout</t>
        </is>
      </c>
      <c r="P30" s="25" t="inlineStr">
        <is>
          <t>Growing Industry</t>
        </is>
      </c>
      <c r="Q30" s="25">
        <f>IF(P30="Growing Industry",10,IF(P30="Cyclical in an Upturn",5,0))</f>
        <v/>
      </c>
      <c r="R30" s="25" t="inlineStr">
        <is>
          <t>Too Many Players with High ROCE</t>
        </is>
      </c>
      <c r="S30" s="25">
        <f>IF(R30="Monopoly",10,IF(R30="Oligopoly",5,IF(R30="Duopoly that cooperate",10,IF(R30="Duopoly that compete",5,IF(R30="Too many players with High ROCE",5,0)))))</f>
        <v/>
      </c>
      <c r="T30" s="25" t="inlineStr">
        <is>
          <t>No</t>
        </is>
      </c>
      <c r="U30" s="25">
        <f>IF(T30="No",5,0)</f>
        <v/>
      </c>
      <c r="V30" s="25" t="inlineStr">
        <is>
          <t>Tailwind</t>
        </is>
      </c>
      <c r="W30" s="25">
        <f>IF(V30="Tailwind",10,0)</f>
        <v/>
      </c>
      <c r="X30" s="25" t="inlineStr">
        <is>
          <t>Structural (10 Years Consistency)</t>
        </is>
      </c>
      <c r="Y30" s="25">
        <f>IF(X30="Structural (10 Years Consistency)",10,IF(X30="Shallow Cyclical (2 to 3 years growth)",5,0))</f>
        <v/>
      </c>
      <c r="Z30" s="25" t="inlineStr">
        <is>
          <t>No</t>
        </is>
      </c>
      <c r="AA30" s="25">
        <f>IF(Z30="Yes due to Product Mix change or Operating Leverage",10,IF(Z30="Yes, these are peak margins",-5,IF(Z30="No",5,0)))</f>
        <v/>
      </c>
      <c r="AB30" s="25" t="inlineStr">
        <is>
          <t>Stable</t>
        </is>
      </c>
      <c r="AC30" s="25">
        <f>IF(AB30="Stable",10,0)</f>
        <v/>
      </c>
      <c r="AD30" s="25" t="inlineStr">
        <is>
          <t>Yes</t>
        </is>
      </c>
      <c r="AE30" s="25">
        <f>IF(AD30="Yes",10,0)</f>
        <v/>
      </c>
      <c r="AF30" s="25" t="inlineStr">
        <is>
          <t>B2B</t>
        </is>
      </c>
      <c r="AG30" s="25">
        <f>IF(AF30="B2C",10,IF(AF30="B2B",5,0))</f>
        <v/>
      </c>
      <c r="AH30" s="25" t="inlineStr">
        <is>
          <t>Yes</t>
        </is>
      </c>
      <c r="AI30" s="25">
        <f>IF(AH30="Yes",10,0)</f>
        <v/>
      </c>
      <c r="AJ30" s="25" t="inlineStr">
        <is>
          <t>Higher One Time, Lower Annuity</t>
        </is>
      </c>
      <c r="AK30" s="25">
        <f>IF(AJ30="Fully Annuity",10,IF(AJ30="Higher Annuity, Lower One Time",5,IF(AJ30="Higher One Time, Lower Annuity",3,0)))</f>
        <v/>
      </c>
      <c r="AL30" s="25" t="inlineStr">
        <is>
          <t>Good</t>
        </is>
      </c>
      <c r="AM30" s="25">
        <f>IF(AL30="Good",10,0)</f>
        <v/>
      </c>
      <c r="AN30" s="25" t="inlineStr">
        <is>
          <t>Yes for more than 2 years</t>
        </is>
      </c>
      <c r="AO30" s="25">
        <f>IF(AN30="Yes for more than 2 years",10,IF(AN30="Yes only for next 1 to 2 years",5,0))</f>
        <v/>
      </c>
      <c r="AP30" s="25" t="inlineStr">
        <is>
          <t>20 to 40</t>
        </is>
      </c>
      <c r="AQ30" s="25">
        <f>IF(AP30="Above 40",20,IF(AP30="20 to 40",10,IF(AP30="0 to 20",-5,0)))</f>
        <v/>
      </c>
      <c r="AR30" s="25" t="inlineStr">
        <is>
          <t>Between 50 to 75</t>
        </is>
      </c>
      <c r="AS30" s="25">
        <f>IF(AR30="Between 50 to 75",10,IF(AR30="Above 75",0,0))</f>
        <v/>
      </c>
      <c r="AT30" s="25" t="inlineStr">
        <is>
          <t>Stage 2</t>
        </is>
      </c>
      <c r="AU30" s="25">
        <f>IF(AT30="Stage 2",20,IF(AT30="Stage 1",0,IF(AT30="Stage 3",5,IF(AT30="Stage 4",-5,0))))</f>
        <v/>
      </c>
      <c r="AV30" s="25" t="inlineStr">
        <is>
          <t>Positive Trend</t>
        </is>
      </c>
      <c r="AW30" s="25">
        <f>IF(AV30="Positive Trend",20,IF(AV30="Negative Trend",-10,0))</f>
        <v/>
      </c>
      <c r="AX30" s="25" t="inlineStr">
        <is>
          <t>Uptrend</t>
        </is>
      </c>
      <c r="AY30" s="25">
        <f>IF(AX30="Uptrend",10,IF(AX30="Sideways",5,0))</f>
        <v/>
      </c>
      <c r="AZ30" s="25" t="inlineStr">
        <is>
          <t>Uptrend</t>
        </is>
      </c>
      <c r="BA30" s="25">
        <f>IF(AZ30="Uptrend",10,IF(AZ30="Sideways",5,0))</f>
        <v/>
      </c>
      <c r="BB30" s="25" t="inlineStr">
        <is>
          <t>Blue sky scenario</t>
        </is>
      </c>
      <c r="BC30" s="25">
        <f>IF(BB30="Overhead supply in last 2 years in last 2 years",-5,IF(BB30="Close to 52 week high or retracement",5,IF(BB30="Blue sky scenario",10,IF(BB30="Long term Downtrend",-10,0))))</f>
        <v/>
      </c>
      <c r="BD30" s="25" t="inlineStr">
        <is>
          <t>Yes</t>
        </is>
      </c>
      <c r="BE30" s="25">
        <f>IF(BD30="Yes",10,0)</f>
        <v/>
      </c>
      <c r="BF30" s="25" t="inlineStr">
        <is>
          <t>More than 20%</t>
        </is>
      </c>
      <c r="BG30" s="25">
        <f>IF(BF30="More than 20%",10,IF(BF30="Between 12 to 20%",5,IF(BF30="Less than 12%",0,0)))</f>
        <v/>
      </c>
      <c r="BH30" s="25" t="inlineStr">
        <is>
          <t>No</t>
        </is>
      </c>
      <c r="BI30" s="25">
        <f>IF(BH30="No",10,0)</f>
        <v/>
      </c>
      <c r="BJ30" s="25" t="inlineStr">
        <is>
          <t>Yes</t>
        </is>
      </c>
      <c r="BK30" s="25">
        <f>IF(BJ30="NO",5,0)</f>
        <v/>
      </c>
      <c r="BL30" s="25" t="inlineStr">
        <is>
          <t>Less than 1.5</t>
        </is>
      </c>
      <c r="BM30" s="25">
        <f>IF(BL30="Above 2",0,IF(BL30="Between 1.5 to 2",5,IF(BL30="Less than 1.5",10,0)))</f>
        <v/>
      </c>
      <c r="BN30" s="25" t="inlineStr">
        <is>
          <t>Between 50% to 70%</t>
        </is>
      </c>
      <c r="BO30" s="25">
        <f>IF(BN30="Above 70%",10,IF(BN30="Between 50% to 70%",5,IF(BN30="Less than 50%",0,IF(BN30="Negative",-10,IF(BN30="Less than 50% and Borrowings are increasing",-5,0)))))</f>
        <v/>
      </c>
      <c r="BP30" s="25" t="inlineStr">
        <is>
          <t>Less than 0.7</t>
        </is>
      </c>
      <c r="BQ30" s="25">
        <f>IF(BP30="More than 1.2",-10,IF(BP30="Between 0.7 to 1.2",0,IF(BP30="Less than 0.7",10,0)))</f>
        <v/>
      </c>
      <c r="BR30" s="25" t="inlineStr">
        <is>
          <t>No</t>
        </is>
      </c>
      <c r="BS30" s="25">
        <f>IF(BR30="Yes",-10,0)</f>
        <v/>
      </c>
      <c r="BT30" s="25" t="inlineStr">
        <is>
          <t>Less than 15%</t>
        </is>
      </c>
      <c r="BU30" s="25">
        <f>IF(BT30="More than 15%",-10,IF(BT30="Less than 15%",10,0))</f>
        <v/>
      </c>
      <c r="BV30" s="25" t="inlineStr">
        <is>
          <t>No</t>
        </is>
      </c>
      <c r="BW30" s="25">
        <f>IF(BV30="Yes, more than 10%",-10,IF(BV30="No",10,0))</f>
        <v/>
      </c>
    </row>
    <row r="31">
      <c r="A31" s="25">
        <f>IF(B31=0,"",RANK(B31,$B$2:$B$292,0))</f>
        <v/>
      </c>
      <c r="B31" s="26">
        <f>SUM(Q31,S31,U31,W31,Y31,AA31,AC31,AE31,AG31,AI31,AK31,AM31,AO31,AQ31,AS31,AU31,AW31,AY31,BA31,BC31,BE31,BG31,BI31,BK31,BM31,BO31,BQ31,BS31,BU31,BW31)</f>
        <v/>
      </c>
      <c r="C31" s="25" t="inlineStr">
        <is>
          <t>SYRMA</t>
        </is>
      </c>
      <c r="D31" s="25" t="inlineStr">
        <is>
          <t>Syrma SGS Technology Ltd</t>
        </is>
      </c>
      <c r="E31" s="25" t="inlineStr">
        <is>
          <t>consumer discretionary</t>
        </is>
      </c>
      <c r="F31" s="25" t="inlineStr">
        <is>
          <t>electronics - components</t>
        </is>
      </c>
      <c r="G31" s="25" t="inlineStr">
        <is>
          <t>largecap</t>
        </is>
      </c>
      <c r="H31" s="26" t="n">
        <v>21352.12</v>
      </c>
      <c r="I31" s="26" t="n">
        <v>1166.8</v>
      </c>
      <c r="J31" s="26" t="n">
        <v>5.37</v>
      </c>
      <c r="K31" s="26" t="n">
        <v>2269095</v>
      </c>
      <c r="L31" s="26" t="n">
        <v>70.7</v>
      </c>
      <c r="M31" s="26" t="n">
        <v>29.09</v>
      </c>
      <c r="N31" s="26" t="n">
        <v>895.27</v>
      </c>
      <c r="O31" s="25" t="inlineStr">
        <is>
          <t>Near 52W High Breakout</t>
        </is>
      </c>
      <c r="P31" s="25" t="inlineStr">
        <is>
          <t>Growing Industry</t>
        </is>
      </c>
      <c r="Q31" s="25">
        <f>IF(P31="Growing Industry",10,IF(P31="Cyclical in an Upturn",5,0))</f>
        <v/>
      </c>
      <c r="R31" s="25" t="inlineStr">
        <is>
          <t>Too Many Players with High ROCE</t>
        </is>
      </c>
      <c r="S31" s="25">
        <f>IF(R31="Monopoly",10,IF(R31="Oligopoly",5,IF(R31="Duopoly that cooperate",10,IF(R31="Duopoly that compete",5,IF(R31="Too many players with High ROCE",5,0)))))</f>
        <v/>
      </c>
      <c r="T31" s="25" t="inlineStr">
        <is>
          <t>No</t>
        </is>
      </c>
      <c r="U31" s="25">
        <f>IF(T31="No",5,0)</f>
        <v/>
      </c>
      <c r="V31" s="25" t="inlineStr">
        <is>
          <t>Tailwind</t>
        </is>
      </c>
      <c r="W31" s="25">
        <f>IF(V31="Tailwind",10,0)</f>
        <v/>
      </c>
      <c r="X31" s="25" t="inlineStr">
        <is>
          <t>Structural (10 Years Consistency)</t>
        </is>
      </c>
      <c r="Y31" s="25">
        <f>IF(X31="Structural (10 Years Consistency)",10,IF(X31="Shallow Cyclical (2 to 3 years growth)",5,0))</f>
        <v/>
      </c>
      <c r="Z31" s="25" t="inlineStr">
        <is>
          <t>No</t>
        </is>
      </c>
      <c r="AA31" s="25">
        <f>IF(Z31="Yes due to Product Mix change or Operating Leverage",10,IF(Z31="Yes, these are peak margins",-5,IF(Z31="No",5,0)))</f>
        <v/>
      </c>
      <c r="AB31" s="25" t="inlineStr">
        <is>
          <t>Stable</t>
        </is>
      </c>
      <c r="AC31" s="25">
        <f>IF(AB31="Stable",10,0)</f>
        <v/>
      </c>
      <c r="AD31" s="25" t="inlineStr">
        <is>
          <t>Yes</t>
        </is>
      </c>
      <c r="AE31" s="25">
        <f>IF(AD31="Yes",10,0)</f>
        <v/>
      </c>
      <c r="AF31" s="25" t="inlineStr">
        <is>
          <t>B2B</t>
        </is>
      </c>
      <c r="AG31" s="25">
        <f>IF(AF31="B2C",10,IF(AF31="B2B",5,0))</f>
        <v/>
      </c>
      <c r="AH31" s="25" t="inlineStr">
        <is>
          <t>Yes</t>
        </is>
      </c>
      <c r="AI31" s="25">
        <f>IF(AH31="Yes",10,0)</f>
        <v/>
      </c>
      <c r="AJ31" s="25" t="inlineStr">
        <is>
          <t>Higher One Time, Lower Annuity</t>
        </is>
      </c>
      <c r="AK31" s="25">
        <f>IF(AJ31="Fully Annuity",10,IF(AJ31="Higher Annuity, Lower One Time",5,IF(AJ31="Higher One Time, Lower Annuity",3,0)))</f>
        <v/>
      </c>
      <c r="AL31" s="25" t="inlineStr">
        <is>
          <t>Good</t>
        </is>
      </c>
      <c r="AM31" s="25">
        <f>IF(AL31="Good",10,0)</f>
        <v/>
      </c>
      <c r="AN31" s="25" t="inlineStr">
        <is>
          <t>Yes for more than 2 years</t>
        </is>
      </c>
      <c r="AO31" s="25">
        <f>IF(AN31="Yes for more than 2 years",10,IF(AN31="Yes only for next 1 to 2 years",5,0))</f>
        <v/>
      </c>
      <c r="AP31" s="25" t="inlineStr">
        <is>
          <t>20 to 40</t>
        </is>
      </c>
      <c r="AQ31" s="25">
        <f>IF(AP31="Above 40",20,IF(AP31="20 to 40",10,IF(AP31="0 to 20",-5,0)))</f>
        <v/>
      </c>
      <c r="AR31" s="25" t="inlineStr">
        <is>
          <t>Between 50 to 75</t>
        </is>
      </c>
      <c r="AS31" s="25">
        <f>IF(AR31="Between 50 to 75",10,IF(AR31="Above 75",0,0))</f>
        <v/>
      </c>
      <c r="AT31" s="25" t="inlineStr">
        <is>
          <t>Stage 2</t>
        </is>
      </c>
      <c r="AU31" s="25">
        <f>IF(AT31="Stage 2",20,IF(AT31="Stage 1",0,IF(AT31="Stage 3",5,IF(AT31="Stage 4",-5,0))))</f>
        <v/>
      </c>
      <c r="AV31" s="25" t="inlineStr">
        <is>
          <t>Positive Trend</t>
        </is>
      </c>
      <c r="AW31" s="25">
        <f>IF(AV31="Positive Trend",20,IF(AV31="Negative Trend",-10,0))</f>
        <v/>
      </c>
      <c r="AX31" s="25" t="inlineStr">
        <is>
          <t>Uptrend</t>
        </is>
      </c>
      <c r="AY31" s="25">
        <f>IF(AX31="Uptrend",10,IF(AX31="Sideways",5,0))</f>
        <v/>
      </c>
      <c r="AZ31" s="25" t="inlineStr">
        <is>
          <t>Uptrend</t>
        </is>
      </c>
      <c r="BA31" s="25">
        <f>IF(AZ31="Uptrend",10,IF(AZ31="Sideways",5,0))</f>
        <v/>
      </c>
      <c r="BB31" s="25" t="inlineStr">
        <is>
          <t>Blue sky scenario</t>
        </is>
      </c>
      <c r="BC31" s="25">
        <f>IF(BB31="Overhead supply in last 2 years in last 2 years",-5,IF(BB31="Close to 52 week high or retracement",5,IF(BB31="Blue sky scenario",10,IF(BB31="Long term Downtrend",-10,0))))</f>
        <v/>
      </c>
      <c r="BD31" s="25" t="inlineStr">
        <is>
          <t>Yes</t>
        </is>
      </c>
      <c r="BE31" s="25">
        <f>IF(BD31="Yes",10,0)</f>
        <v/>
      </c>
      <c r="BF31" s="25" t="inlineStr">
        <is>
          <t>More than 20%</t>
        </is>
      </c>
      <c r="BG31" s="25">
        <f>IF(BF31="More than 20%",10,IF(BF31="Between 12 to 20%",5,IF(BF31="Less than 12%",0,0)))</f>
        <v/>
      </c>
      <c r="BH31" s="25" t="inlineStr">
        <is>
          <t>No</t>
        </is>
      </c>
      <c r="BI31" s="25">
        <f>IF(BH31="No",10,0)</f>
        <v/>
      </c>
      <c r="BJ31" s="25" t="inlineStr">
        <is>
          <t>Yes</t>
        </is>
      </c>
      <c r="BK31" s="25">
        <f>IF(BJ31="NO",5,0)</f>
        <v/>
      </c>
      <c r="BL31" s="25" t="inlineStr">
        <is>
          <t>Less than 1.5</t>
        </is>
      </c>
      <c r="BM31" s="25">
        <f>IF(BL31="Above 2",0,IF(BL31="Between 1.5 to 2",5,IF(BL31="Less than 1.5",10,0)))</f>
        <v/>
      </c>
      <c r="BN31" s="25" t="inlineStr">
        <is>
          <t>Between 50% to 70%</t>
        </is>
      </c>
      <c r="BO31" s="25">
        <f>IF(BN31="Above 70%",10,IF(BN31="Between 50% to 70%",5,IF(BN31="Less than 50%",0,IF(BN31="Negative",-10,IF(BN31="Less than 50% and Borrowings are increasing",-5,0)))))</f>
        <v/>
      </c>
      <c r="BP31" s="25" t="inlineStr">
        <is>
          <t>Less than 0.7</t>
        </is>
      </c>
      <c r="BQ31" s="25">
        <f>IF(BP31="More than 1.2",-10,IF(BP31="Between 0.7 to 1.2",0,IF(BP31="Less than 0.7",10,0)))</f>
        <v/>
      </c>
      <c r="BR31" s="25" t="inlineStr">
        <is>
          <t>No</t>
        </is>
      </c>
      <c r="BS31" s="25">
        <f>IF(BR31="Yes",-10,0)</f>
        <v/>
      </c>
      <c r="BT31" s="25" t="inlineStr">
        <is>
          <t>Less than 15%</t>
        </is>
      </c>
      <c r="BU31" s="25">
        <f>IF(BT31="More than 15%",-10,IF(BT31="Less than 15%",10,0))</f>
        <v/>
      </c>
      <c r="BV31" s="25" t="inlineStr">
        <is>
          <t>No</t>
        </is>
      </c>
      <c r="BW31" s="25">
        <f>IF(BV31="Yes, more than 10%",-10,IF(BV31="No",10,0))</f>
        <v/>
      </c>
    </row>
    <row r="32">
      <c r="A32" s="25">
        <f>IF(B32=0,"",RANK(B32,$B$2:$B$292,0))</f>
        <v/>
      </c>
      <c r="B32" s="26">
        <f>SUM(Q32,S32,U32,W32,Y32,AA32,AC32,AE32,AG32,AI32,AK32,AM32,AO32,AQ32,AS32,AU32,AW32,AY32,BA32,BC32,BE32,BG32,BI32,BK32,BM32,BO32,BQ32,BS32,BU32,BW32)</f>
        <v/>
      </c>
      <c r="C32" s="25" t="inlineStr">
        <is>
          <t>SANSERA</t>
        </is>
      </c>
      <c r="D32" s="25" t="inlineStr">
        <is>
          <t>Sansera Engineering Ltd</t>
        </is>
      </c>
      <c r="E32" s="25" t="inlineStr">
        <is>
          <t>auto</t>
        </is>
      </c>
      <c r="F32" s="25" t="inlineStr">
        <is>
          <t>auto ancillaries</t>
        </is>
      </c>
      <c r="G32" s="25" t="inlineStr">
        <is>
          <t>midcap</t>
        </is>
      </c>
      <c r="H32" s="26" t="n">
        <v>17492.24</v>
      </c>
      <c r="I32" s="26" t="n">
        <v>2953.3</v>
      </c>
      <c r="J32" s="26" t="n">
        <v>5.24</v>
      </c>
      <c r="K32" s="26" t="n">
        <v>453791</v>
      </c>
      <c r="L32" s="26" t="n">
        <v>74.87</v>
      </c>
      <c r="M32" s="26" t="n">
        <v>39.79</v>
      </c>
      <c r="N32" s="26" t="n">
        <v>2285.3</v>
      </c>
      <c r="O32" s="25" t="inlineStr">
        <is>
          <t>Near 52W High Breakout</t>
        </is>
      </c>
      <c r="P32" s="25" t="inlineStr">
        <is>
          <t>Growing Industry</t>
        </is>
      </c>
      <c r="Q32" s="25">
        <f>IF(P32="Growing Industry",10,IF(P32="Cyclical in an Upturn",5,0))</f>
        <v/>
      </c>
      <c r="R32" s="25" t="inlineStr">
        <is>
          <t>Too Many Players with High ROCE</t>
        </is>
      </c>
      <c r="S32" s="25">
        <f>IF(R32="Monopoly",10,IF(R32="Oligopoly",5,IF(R32="Duopoly that cooperate",10,IF(R32="Duopoly that compete",5,IF(R32="Too many players with High ROCE",5,0)))))</f>
        <v/>
      </c>
      <c r="T32" s="25" t="inlineStr">
        <is>
          <t>No</t>
        </is>
      </c>
      <c r="U32" s="25">
        <f>IF(T32="No",5,0)</f>
        <v/>
      </c>
      <c r="V32" s="25" t="inlineStr">
        <is>
          <t>Tailwind</t>
        </is>
      </c>
      <c r="W32" s="25">
        <f>IF(V32="Tailwind",10,0)</f>
        <v/>
      </c>
      <c r="X32" s="25" t="inlineStr">
        <is>
          <t>Structural (10 Years Consistency)</t>
        </is>
      </c>
      <c r="Y32" s="25">
        <f>IF(X32="Structural (10 Years Consistency)",10,IF(X32="Shallow Cyclical (2 to 3 years growth)",5,0))</f>
        <v/>
      </c>
      <c r="Z32" s="25" t="inlineStr">
        <is>
          <t>No</t>
        </is>
      </c>
      <c r="AA32" s="25">
        <f>IF(Z32="Yes due to Product Mix change or Operating Leverage",10,IF(Z32="Yes, these are peak margins",-5,IF(Z32="No",5,0)))</f>
        <v/>
      </c>
      <c r="AB32" s="25" t="inlineStr">
        <is>
          <t>Stable</t>
        </is>
      </c>
      <c r="AC32" s="25">
        <f>IF(AB32="Stable",10,0)</f>
        <v/>
      </c>
      <c r="AD32" s="25" t="inlineStr">
        <is>
          <t>Yes</t>
        </is>
      </c>
      <c r="AE32" s="25">
        <f>IF(AD32="Yes",10,0)</f>
        <v/>
      </c>
      <c r="AF32" s="25" t="inlineStr">
        <is>
          <t>B2B</t>
        </is>
      </c>
      <c r="AG32" s="25">
        <f>IF(AF32="B2C",10,IF(AF32="B2B",5,0))</f>
        <v/>
      </c>
      <c r="AH32" s="25" t="inlineStr">
        <is>
          <t>Yes</t>
        </is>
      </c>
      <c r="AI32" s="25">
        <f>IF(AH32="Yes",10,0)</f>
        <v/>
      </c>
      <c r="AJ32" s="25" t="inlineStr">
        <is>
          <t>Higher One Time, Lower Annuity</t>
        </is>
      </c>
      <c r="AK32" s="25">
        <f>IF(AJ32="Fully Annuity",10,IF(AJ32="Higher Annuity, Lower One Time",5,IF(AJ32="Higher One Time, Lower Annuity",3,0)))</f>
        <v/>
      </c>
      <c r="AL32" s="25" t="inlineStr">
        <is>
          <t>Good</t>
        </is>
      </c>
      <c r="AM32" s="25">
        <f>IF(AL32="Good",10,0)</f>
        <v/>
      </c>
      <c r="AN32" s="25" t="inlineStr">
        <is>
          <t>Yes for more than 2 years</t>
        </is>
      </c>
      <c r="AO32" s="25">
        <f>IF(AN32="Yes for more than 2 years",10,IF(AN32="Yes only for next 1 to 2 years",5,0))</f>
        <v/>
      </c>
      <c r="AP32" s="25" t="inlineStr">
        <is>
          <t>20 to 40</t>
        </is>
      </c>
      <c r="AQ32" s="25">
        <f>IF(AP32="Above 40",20,IF(AP32="20 to 40",10,IF(AP32="0 to 20",-5,0)))</f>
        <v/>
      </c>
      <c r="AR32" s="25" t="inlineStr">
        <is>
          <t>Between 50 to 75</t>
        </is>
      </c>
      <c r="AS32" s="25">
        <f>IF(AR32="Between 50 to 75",10,IF(AR32="Above 75",0,0))</f>
        <v/>
      </c>
      <c r="AT32" s="25" t="inlineStr">
        <is>
          <t>Stage 2</t>
        </is>
      </c>
      <c r="AU32" s="25">
        <f>IF(AT32="Stage 2",20,IF(AT32="Stage 1",0,IF(AT32="Stage 3",5,IF(AT32="Stage 4",-5,0))))</f>
        <v/>
      </c>
      <c r="AV32" s="25" t="inlineStr">
        <is>
          <t>Positive Trend</t>
        </is>
      </c>
      <c r="AW32" s="25">
        <f>IF(AV32="Positive Trend",20,IF(AV32="Negative Trend",-10,0))</f>
        <v/>
      </c>
      <c r="AX32" s="25" t="inlineStr">
        <is>
          <t>Uptrend</t>
        </is>
      </c>
      <c r="AY32" s="25">
        <f>IF(AX32="Uptrend",10,IF(AX32="Sideways",5,0))</f>
        <v/>
      </c>
      <c r="AZ32" s="25" t="inlineStr">
        <is>
          <t>Uptrend</t>
        </is>
      </c>
      <c r="BA32" s="25">
        <f>IF(AZ32="Uptrend",10,IF(AZ32="Sideways",5,0))</f>
        <v/>
      </c>
      <c r="BB32" s="25" t="inlineStr">
        <is>
          <t>Blue sky scenario</t>
        </is>
      </c>
      <c r="BC32" s="25">
        <f>IF(BB32="Overhead supply in last 2 years in last 2 years",-5,IF(BB32="Close to 52 week high or retracement",5,IF(BB32="Blue sky scenario",10,IF(BB32="Long term Downtrend",-10,0))))</f>
        <v/>
      </c>
      <c r="BD32" s="25" t="inlineStr">
        <is>
          <t>Yes</t>
        </is>
      </c>
      <c r="BE32" s="25">
        <f>IF(BD32="Yes",10,0)</f>
        <v/>
      </c>
      <c r="BF32" s="25" t="inlineStr">
        <is>
          <t>More than 20%</t>
        </is>
      </c>
      <c r="BG32" s="25">
        <f>IF(BF32="More than 20%",10,IF(BF32="Between 12 to 20%",5,IF(BF32="Less than 12%",0,0)))</f>
        <v/>
      </c>
      <c r="BH32" s="25" t="inlineStr">
        <is>
          <t>No</t>
        </is>
      </c>
      <c r="BI32" s="25">
        <f>IF(BH32="No",10,0)</f>
        <v/>
      </c>
      <c r="BJ32" s="25" t="inlineStr">
        <is>
          <t>Yes</t>
        </is>
      </c>
      <c r="BK32" s="25">
        <f>IF(BJ32="NO",5,0)</f>
        <v/>
      </c>
      <c r="BL32" s="25" t="inlineStr">
        <is>
          <t>Less than 1.5</t>
        </is>
      </c>
      <c r="BM32" s="25">
        <f>IF(BL32="Above 2",0,IF(BL32="Between 1.5 to 2",5,IF(BL32="Less than 1.5",10,0)))</f>
        <v/>
      </c>
      <c r="BN32" s="25" t="inlineStr">
        <is>
          <t>Between 50% to 70%</t>
        </is>
      </c>
      <c r="BO32" s="25">
        <f>IF(BN32="Above 70%",10,IF(BN32="Between 50% to 70%",5,IF(BN32="Less than 50%",0,IF(BN32="Negative",-10,IF(BN32="Less than 50% and Borrowings are increasing",-5,0)))))</f>
        <v/>
      </c>
      <c r="BP32" s="25" t="inlineStr">
        <is>
          <t>Less than 0.7</t>
        </is>
      </c>
      <c r="BQ32" s="25">
        <f>IF(BP32="More than 1.2",-10,IF(BP32="Between 0.7 to 1.2",0,IF(BP32="Less than 0.7",10,0)))</f>
        <v/>
      </c>
      <c r="BR32" s="25" t="inlineStr">
        <is>
          <t>No</t>
        </is>
      </c>
      <c r="BS32" s="25">
        <f>IF(BR32="Yes",-10,0)</f>
        <v/>
      </c>
      <c r="BT32" s="25" t="inlineStr">
        <is>
          <t>Less than 15%</t>
        </is>
      </c>
      <c r="BU32" s="25">
        <f>IF(BT32="More than 15%",-10,IF(BT32="Less than 15%",10,0))</f>
        <v/>
      </c>
      <c r="BV32" s="25" t="inlineStr">
        <is>
          <t>No</t>
        </is>
      </c>
      <c r="BW32" s="25">
        <f>IF(BV32="Yes, more than 10%",-10,IF(BV32="No",10,0))</f>
        <v/>
      </c>
    </row>
    <row r="33">
      <c r="A33" s="25">
        <f>IF(B33=0,"",RANK(B33,$B$2:$B$292,0))</f>
        <v/>
      </c>
      <c r="B33" s="26">
        <f>SUM(Q33,S33,U33,W33,Y33,AA33,AC33,AE33,AG33,AI33,AK33,AM33,AO33,AQ33,AS33,AU33,AW33,AY33,BA33,BC33,BE33,BG33,BI33,BK33,BM33,BO33,BQ33,BS33,BU33,BW33)</f>
        <v/>
      </c>
      <c r="C33" s="25" t="inlineStr">
        <is>
          <t>NLCINDIA</t>
        </is>
      </c>
      <c r="D33" s="25" t="inlineStr">
        <is>
          <t>Nlc India Limited</t>
        </is>
      </c>
      <c r="E33" s="25" t="inlineStr">
        <is>
          <t>power &amp; utilities</t>
        </is>
      </c>
      <c r="F33" s="25" t="inlineStr">
        <is>
          <t>power generation and supply</t>
        </is>
      </c>
      <c r="G33" s="25" t="inlineStr">
        <is>
          <t>largecap</t>
        </is>
      </c>
      <c r="H33" s="26" t="n">
        <v>46639.52</v>
      </c>
      <c r="I33" s="26" t="n">
        <v>349.1</v>
      </c>
      <c r="J33" s="26" t="n">
        <v>3.79</v>
      </c>
      <c r="K33" s="26" t="n">
        <v>6987173</v>
      </c>
      <c r="L33" s="26" t="n">
        <v>74.64</v>
      </c>
      <c r="M33" s="26" t="n">
        <v>41.56</v>
      </c>
      <c r="N33" s="26" t="n">
        <v>275.24</v>
      </c>
      <c r="O33" s="25" t="inlineStr">
        <is>
          <t>Near 52W High Breakout</t>
        </is>
      </c>
      <c r="P33" s="25" t="inlineStr">
        <is>
          <t>Growing Industry</t>
        </is>
      </c>
      <c r="Q33" s="25">
        <f>IF(P33="Growing Industry",10,IF(P33="Cyclical in an Upturn",5,0))</f>
        <v/>
      </c>
      <c r="R33" s="25" t="inlineStr">
        <is>
          <t>Too Many Players with High ROCE</t>
        </is>
      </c>
      <c r="S33" s="25">
        <f>IF(R33="Monopoly",10,IF(R33="Oligopoly",5,IF(R33="Duopoly that cooperate",10,IF(R33="Duopoly that compete",5,IF(R33="Too many players with High ROCE",5,0)))))</f>
        <v/>
      </c>
      <c r="T33" s="25" t="inlineStr">
        <is>
          <t>No</t>
        </is>
      </c>
      <c r="U33" s="25">
        <f>IF(T33="No",5,0)</f>
        <v/>
      </c>
      <c r="V33" s="25" t="inlineStr">
        <is>
          <t>Tailwind</t>
        </is>
      </c>
      <c r="W33" s="25">
        <f>IF(V33="Tailwind",10,0)</f>
        <v/>
      </c>
      <c r="X33" s="25" t="inlineStr">
        <is>
          <t>Structural (10 Years Consistency)</t>
        </is>
      </c>
      <c r="Y33" s="25">
        <f>IF(X33="Structural (10 Years Consistency)",10,IF(X33="Shallow Cyclical (2 to 3 years growth)",5,0))</f>
        <v/>
      </c>
      <c r="Z33" s="25" t="inlineStr">
        <is>
          <t>No</t>
        </is>
      </c>
      <c r="AA33" s="25">
        <f>IF(Z33="Yes due to Product Mix change or Operating Leverage",10,IF(Z33="Yes, these are peak margins",-5,IF(Z33="No",5,0)))</f>
        <v/>
      </c>
      <c r="AB33" s="25" t="inlineStr">
        <is>
          <t>Stable</t>
        </is>
      </c>
      <c r="AC33" s="25">
        <f>IF(AB33="Stable",10,0)</f>
        <v/>
      </c>
      <c r="AD33" s="25" t="inlineStr">
        <is>
          <t>Yes</t>
        </is>
      </c>
      <c r="AE33" s="25">
        <f>IF(AD33="Yes",10,0)</f>
        <v/>
      </c>
      <c r="AF33" s="25" t="inlineStr">
        <is>
          <t>B2B</t>
        </is>
      </c>
      <c r="AG33" s="25">
        <f>IF(AF33="B2C",10,IF(AF33="B2B",5,0))</f>
        <v/>
      </c>
      <c r="AH33" s="25" t="inlineStr">
        <is>
          <t>Yes</t>
        </is>
      </c>
      <c r="AI33" s="25">
        <f>IF(AH33="Yes",10,0)</f>
        <v/>
      </c>
      <c r="AJ33" s="25" t="inlineStr">
        <is>
          <t>Higher One Time, Lower Annuity</t>
        </is>
      </c>
      <c r="AK33" s="25">
        <f>IF(AJ33="Fully Annuity",10,IF(AJ33="Higher Annuity, Lower One Time",5,IF(AJ33="Higher One Time, Lower Annuity",3,0)))</f>
        <v/>
      </c>
      <c r="AL33" s="25" t="inlineStr">
        <is>
          <t>Good</t>
        </is>
      </c>
      <c r="AM33" s="25">
        <f>IF(AL33="Good",10,0)</f>
        <v/>
      </c>
      <c r="AN33" s="25" t="inlineStr">
        <is>
          <t>Yes for more than 2 years</t>
        </is>
      </c>
      <c r="AO33" s="25">
        <f>IF(AN33="Yes for more than 2 years",10,IF(AN33="Yes only for next 1 to 2 years",5,0))</f>
        <v/>
      </c>
      <c r="AP33" s="25" t="inlineStr">
        <is>
          <t>Above 40</t>
        </is>
      </c>
      <c r="AQ33" s="25">
        <f>IF(AP33="Above 40",20,IF(AP33="20 to 40",10,IF(AP33="0 to 20",-5,0)))</f>
        <v/>
      </c>
      <c r="AR33" s="25" t="inlineStr">
        <is>
          <t>Between 50 to 75</t>
        </is>
      </c>
      <c r="AS33" s="25">
        <f>IF(AR33="Between 50 to 75",10,IF(AR33="Above 75",0,0))</f>
        <v/>
      </c>
      <c r="AT33" s="25" t="inlineStr">
        <is>
          <t>Stage 2</t>
        </is>
      </c>
      <c r="AU33" s="25">
        <f>IF(AT33="Stage 2",20,IF(AT33="Stage 1",0,IF(AT33="Stage 3",5,IF(AT33="Stage 4",-5,0))))</f>
        <v/>
      </c>
      <c r="AV33" s="25" t="inlineStr">
        <is>
          <t>Positive Trend</t>
        </is>
      </c>
      <c r="AW33" s="25">
        <f>IF(AV33="Positive Trend",20,IF(AV33="Negative Trend",-10,0))</f>
        <v/>
      </c>
      <c r="AX33" s="25" t="inlineStr">
        <is>
          <t>Uptrend</t>
        </is>
      </c>
      <c r="AY33" s="25">
        <f>IF(AX33="Uptrend",10,IF(AX33="Sideways",5,0))</f>
        <v/>
      </c>
      <c r="AZ33" s="25" t="inlineStr">
        <is>
          <t>Uptrend</t>
        </is>
      </c>
      <c r="BA33" s="25">
        <f>IF(AZ33="Uptrend",10,IF(AZ33="Sideways",5,0))</f>
        <v/>
      </c>
      <c r="BB33" s="25" t="inlineStr">
        <is>
          <t>Blue sky scenario</t>
        </is>
      </c>
      <c r="BC33" s="25">
        <f>IF(BB33="Overhead supply in last 2 years in last 2 years",-5,IF(BB33="Close to 52 week high or retracement",5,IF(BB33="Blue sky scenario",10,IF(BB33="Long term Downtrend",-10,0))))</f>
        <v/>
      </c>
      <c r="BD33" s="25" t="inlineStr">
        <is>
          <t>Yes</t>
        </is>
      </c>
      <c r="BE33" s="25">
        <f>IF(BD33="Yes",10,0)</f>
        <v/>
      </c>
      <c r="BF33" s="25" t="inlineStr">
        <is>
          <t>Less than 12%</t>
        </is>
      </c>
      <c r="BG33" s="25">
        <f>IF(BF33="More than 20%",10,IF(BF33="Between 12 to 20%",5,IF(BF33="Less than 12%",0,0)))</f>
        <v/>
      </c>
      <c r="BH33" s="25" t="inlineStr">
        <is>
          <t>No</t>
        </is>
      </c>
      <c r="BI33" s="25">
        <f>IF(BH33="No",10,0)</f>
        <v/>
      </c>
      <c r="BJ33" s="25" t="inlineStr">
        <is>
          <t>No</t>
        </is>
      </c>
      <c r="BK33" s="25">
        <f>IF(BJ33="NO",5,0)</f>
        <v/>
      </c>
      <c r="BL33" s="25" t="inlineStr">
        <is>
          <t>Less than 1.5</t>
        </is>
      </c>
      <c r="BM33" s="25">
        <f>IF(BL33="Above 2",0,IF(BL33="Between 1.5 to 2",5,IF(BL33="Less than 1.5",10,0)))</f>
        <v/>
      </c>
      <c r="BN33" s="25" t="inlineStr">
        <is>
          <t>Above 70%</t>
        </is>
      </c>
      <c r="BO33" s="25">
        <f>IF(BN33="Above 70%",10,IF(BN33="Between 50% to 70%",5,IF(BN33="Less than 50%",0,IF(BN33="Negative",-10,IF(BN33="Less than 50% and Borrowings are increasing",-5,0)))))</f>
        <v/>
      </c>
      <c r="BP33" s="25" t="inlineStr">
        <is>
          <t>Between 0.7 to 1.2</t>
        </is>
      </c>
      <c r="BQ33" s="25">
        <f>IF(BP33="More than 1.2",-10,IF(BP33="Between 0.7 to 1.2",0,IF(BP33="Less than 0.7",10,0)))</f>
        <v/>
      </c>
      <c r="BR33" s="25" t="inlineStr">
        <is>
          <t>No</t>
        </is>
      </c>
      <c r="BS33" s="25">
        <f>IF(BR33="Yes",-10,0)</f>
        <v/>
      </c>
      <c r="BT33" s="25" t="inlineStr">
        <is>
          <t>Less than 15%</t>
        </is>
      </c>
      <c r="BU33" s="25">
        <f>IF(BT33="More than 15%",-10,IF(BT33="Less than 15%",10,0))</f>
        <v/>
      </c>
      <c r="BV33" s="25" t="inlineStr">
        <is>
          <t>No</t>
        </is>
      </c>
      <c r="BW33" s="25">
        <f>IF(BV33="Yes, more than 10%",-10,IF(BV33="No",10,0))</f>
        <v/>
      </c>
    </row>
    <row r="34">
      <c r="A34" s="25">
        <f>IF(B34=0,"",RANK(B34,$B$2:$B$292,0))</f>
        <v/>
      </c>
      <c r="B34" s="26">
        <f>SUM(Q34,S34,U34,W34,Y34,AA34,AC34,AE34,AG34,AI34,AK34,AM34,AO34,AQ34,AS34,AU34,AW34,AY34,BA34,BC34,BE34,BG34,BI34,BK34,BM34,BO34,BQ34,BS34,BU34,BW34)</f>
        <v/>
      </c>
      <c r="C34" s="25" t="inlineStr">
        <is>
          <t>SPORTKING</t>
        </is>
      </c>
      <c r="D34" s="25" t="inlineStr">
        <is>
          <t>Sportking India Ltd</t>
        </is>
      </c>
      <c r="E34" s="25" t="inlineStr">
        <is>
          <t>textiles</t>
        </is>
      </c>
      <c r="F34" s="25" t="inlineStr">
        <is>
          <t>textiles - spinning - synthetic / blended</t>
        </is>
      </c>
      <c r="G34" s="25" t="inlineStr">
        <is>
          <t>smallcap</t>
        </is>
      </c>
      <c r="H34" s="26" t="n">
        <v>2359.35</v>
      </c>
      <c r="I34" s="26" t="n">
        <v>190.64</v>
      </c>
      <c r="J34" s="26" t="n">
        <v>2.68</v>
      </c>
      <c r="K34" s="26" t="n">
        <v>865679</v>
      </c>
      <c r="L34" s="26" t="n">
        <v>82.43000000000001</v>
      </c>
      <c r="M34" s="26" t="n">
        <v>51.15</v>
      </c>
      <c r="N34" s="26" t="n">
        <v>144.09</v>
      </c>
      <c r="O34" s="25" t="inlineStr">
        <is>
          <t>Volume Spike &amp; Near 52W High Breakout</t>
        </is>
      </c>
      <c r="P34" s="25" t="inlineStr">
        <is>
          <t>Growing Industry</t>
        </is>
      </c>
      <c r="Q34" s="25">
        <f>IF(P34="Growing Industry",10,IF(P34="Cyclical in an Upturn",5,0))</f>
        <v/>
      </c>
      <c r="R34" s="25" t="inlineStr">
        <is>
          <t>Too Many Players with High ROCE</t>
        </is>
      </c>
      <c r="S34" s="25">
        <f>IF(R34="Monopoly",10,IF(R34="Oligopoly",5,IF(R34="Duopoly that cooperate",10,IF(R34="Duopoly that compete",5,IF(R34="Too many players with High ROCE",5,0)))))</f>
        <v/>
      </c>
      <c r="T34" s="25" t="inlineStr">
        <is>
          <t>No</t>
        </is>
      </c>
      <c r="U34" s="25">
        <f>IF(T34="No",5,0)</f>
        <v/>
      </c>
      <c r="V34" s="25" t="inlineStr">
        <is>
          <t>Tailwind</t>
        </is>
      </c>
      <c r="W34" s="25">
        <f>IF(V34="Tailwind",10,0)</f>
        <v/>
      </c>
      <c r="X34" s="25" t="inlineStr">
        <is>
          <t>Structural (10 Years Consistency)</t>
        </is>
      </c>
      <c r="Y34" s="25">
        <f>IF(X34="Structural (10 Years Consistency)",10,IF(X34="Shallow Cyclical (2 to 3 years growth)",5,0))</f>
        <v/>
      </c>
      <c r="Z34" s="25" t="inlineStr">
        <is>
          <t>No</t>
        </is>
      </c>
      <c r="AA34" s="25">
        <f>IF(Z34="Yes due to Product Mix change or Operating Leverage",10,IF(Z34="Yes, these are peak margins",-5,IF(Z34="No",5,0)))</f>
        <v/>
      </c>
      <c r="AB34" s="25" t="inlineStr">
        <is>
          <t>Stable</t>
        </is>
      </c>
      <c r="AC34" s="25">
        <f>IF(AB34="Stable",10,0)</f>
        <v/>
      </c>
      <c r="AD34" s="25" t="inlineStr">
        <is>
          <t>Yes</t>
        </is>
      </c>
      <c r="AE34" s="25">
        <f>IF(AD34="Yes",10,0)</f>
        <v/>
      </c>
      <c r="AF34" s="25" t="inlineStr">
        <is>
          <t>B2B</t>
        </is>
      </c>
      <c r="AG34" s="25">
        <f>IF(AF34="B2C",10,IF(AF34="B2B",5,0))</f>
        <v/>
      </c>
      <c r="AH34" s="25" t="inlineStr">
        <is>
          <t>Yes</t>
        </is>
      </c>
      <c r="AI34" s="25">
        <f>IF(AH34="Yes",10,0)</f>
        <v/>
      </c>
      <c r="AJ34" s="25" t="inlineStr">
        <is>
          <t>Higher One Time, Lower Annuity</t>
        </is>
      </c>
      <c r="AK34" s="25">
        <f>IF(AJ34="Fully Annuity",10,IF(AJ34="Higher Annuity, Lower One Time",5,IF(AJ34="Higher One Time, Lower Annuity",3,0)))</f>
        <v/>
      </c>
      <c r="AL34" s="25" t="inlineStr">
        <is>
          <t>Good</t>
        </is>
      </c>
      <c r="AM34" s="25">
        <f>IF(AL34="Good",10,0)</f>
        <v/>
      </c>
      <c r="AN34" s="25" t="inlineStr">
        <is>
          <t>Yes for more than 2 years</t>
        </is>
      </c>
      <c r="AO34" s="25">
        <f>IF(AN34="Yes for more than 2 years",10,IF(AN34="Yes only for next 1 to 2 years",5,0))</f>
        <v/>
      </c>
      <c r="AP34" s="25" t="inlineStr">
        <is>
          <t>Above 40</t>
        </is>
      </c>
      <c r="AQ34" s="25">
        <f>IF(AP34="Above 40",20,IF(AP34="20 to 40",10,IF(AP34="0 to 20",-5,0)))</f>
        <v/>
      </c>
      <c r="AR34" s="25" t="inlineStr">
        <is>
          <t>Above 75</t>
        </is>
      </c>
      <c r="AS34" s="25">
        <f>IF(AR34="Between 50 to 75",10,IF(AR34="Above 75",0,0))</f>
        <v/>
      </c>
      <c r="AT34" s="25" t="inlineStr">
        <is>
          <t>Stage 2</t>
        </is>
      </c>
      <c r="AU34" s="25">
        <f>IF(AT34="Stage 2",20,IF(AT34="Stage 1",0,IF(AT34="Stage 3",5,IF(AT34="Stage 4",-5,0))))</f>
        <v/>
      </c>
      <c r="AV34" s="25" t="inlineStr">
        <is>
          <t>Positive Trend</t>
        </is>
      </c>
      <c r="AW34" s="25">
        <f>IF(AV34="Positive Trend",20,IF(AV34="Negative Trend",-10,0))</f>
        <v/>
      </c>
      <c r="AX34" s="25" t="inlineStr">
        <is>
          <t>Uptrend</t>
        </is>
      </c>
      <c r="AY34" s="25">
        <f>IF(AX34="Uptrend",10,IF(AX34="Sideways",5,0))</f>
        <v/>
      </c>
      <c r="AZ34" s="25" t="inlineStr">
        <is>
          <t>Uptrend</t>
        </is>
      </c>
      <c r="BA34" s="25">
        <f>IF(AZ34="Uptrend",10,IF(AZ34="Sideways",5,0))</f>
        <v/>
      </c>
      <c r="BB34" s="25" t="inlineStr">
        <is>
          <t>Blue sky scenario</t>
        </is>
      </c>
      <c r="BC34" s="25">
        <f>IF(BB34="Overhead supply in last 2 years in last 2 years",-5,IF(BB34="Close to 52 week high or retracement",5,IF(BB34="Blue sky scenario",10,IF(BB34="Long term Downtrend",-10,0))))</f>
        <v/>
      </c>
      <c r="BD34" s="25" t="inlineStr">
        <is>
          <t>Yes</t>
        </is>
      </c>
      <c r="BE34" s="25">
        <f>IF(BD34="Yes",10,0)</f>
        <v/>
      </c>
      <c r="BF34" s="25" t="inlineStr">
        <is>
          <t>Less than 12%</t>
        </is>
      </c>
      <c r="BG34" s="25">
        <f>IF(BF34="More than 20%",10,IF(BF34="Between 12 to 20%",5,IF(BF34="Less than 12%",0,0)))</f>
        <v/>
      </c>
      <c r="BH34" s="25" t="inlineStr">
        <is>
          <t>No</t>
        </is>
      </c>
      <c r="BI34" s="25">
        <f>IF(BH34="No",10,0)</f>
        <v/>
      </c>
      <c r="BJ34" s="25" t="inlineStr">
        <is>
          <t>No</t>
        </is>
      </c>
      <c r="BK34" s="25">
        <f>IF(BJ34="NO",5,0)</f>
        <v/>
      </c>
      <c r="BL34" s="25" t="inlineStr">
        <is>
          <t>Less than 1.5</t>
        </is>
      </c>
      <c r="BM34" s="25">
        <f>IF(BL34="Above 2",0,IF(BL34="Between 1.5 to 2",5,IF(BL34="Less than 1.5",10,0)))</f>
        <v/>
      </c>
      <c r="BN34" s="25" t="inlineStr">
        <is>
          <t>Above 70%</t>
        </is>
      </c>
      <c r="BO34" s="25">
        <f>IF(BN34="Above 70%",10,IF(BN34="Between 50% to 70%",5,IF(BN34="Less than 50%",0,IF(BN34="Negative",-10,IF(BN34="Less than 50% and Borrowings are increasing",-5,0)))))</f>
        <v/>
      </c>
      <c r="BP34" s="25" t="inlineStr">
        <is>
          <t>Less than 0.7</t>
        </is>
      </c>
      <c r="BQ34" s="25">
        <f>IF(BP34="More than 1.2",-10,IF(BP34="Between 0.7 to 1.2",0,IF(BP34="Less than 0.7",10,0)))</f>
        <v/>
      </c>
      <c r="BR34" s="25" t="inlineStr">
        <is>
          <t>No</t>
        </is>
      </c>
      <c r="BS34" s="25">
        <f>IF(BR34="Yes",-10,0)</f>
        <v/>
      </c>
      <c r="BT34" s="25" t="inlineStr">
        <is>
          <t>Less than 15%</t>
        </is>
      </c>
      <c r="BU34" s="25">
        <f>IF(BT34="More than 15%",-10,IF(BT34="Less than 15%",10,0))</f>
        <v/>
      </c>
      <c r="BV34" s="25" t="inlineStr">
        <is>
          <t>No</t>
        </is>
      </c>
      <c r="BW34" s="25">
        <f>IF(BV34="Yes, more than 10%",-10,IF(BV34="No",10,0))</f>
        <v/>
      </c>
    </row>
    <row r="35">
      <c r="A35" s="25">
        <f>IF(B35=0,"",RANK(B35,$B$2:$B$292,0))</f>
        <v/>
      </c>
      <c r="B35" s="26">
        <f>SUM(Q35,S35,U35,W35,Y35,AA35,AC35,AE35,AG35,AI35,AK35,AM35,AO35,AQ35,AS35,AU35,AW35,AY35,BA35,BC35,BE35,BG35,BI35,BK35,BM35,BO35,BQ35,BS35,BU35,BW35)</f>
        <v/>
      </c>
      <c r="C35" s="25" t="inlineStr">
        <is>
          <t>ATHERENERG</t>
        </is>
      </c>
      <c r="D35" s="25" t="inlineStr">
        <is>
          <t>Ather Energy Ltd</t>
        </is>
      </c>
      <c r="E35" s="25" t="inlineStr">
        <is>
          <t>auto</t>
        </is>
      </c>
      <c r="F35" s="25" t="inlineStr">
        <is>
          <t>automobiles - scooters and 3 - wheelers</t>
        </is>
      </c>
      <c r="G35" s="25" t="inlineStr">
        <is>
          <t>largecap</t>
        </is>
      </c>
      <c r="H35" s="26" t="n">
        <v>35871.78</v>
      </c>
      <c r="I35" s="26" t="n">
        <v>960.6</v>
      </c>
      <c r="J35" s="26" t="n">
        <v>2.47</v>
      </c>
      <c r="K35" s="26" t="n">
        <v>2527236</v>
      </c>
      <c r="L35" s="26" t="n">
        <v>69.47</v>
      </c>
      <c r="M35" s="26" t="n">
        <v>44.74</v>
      </c>
      <c r="N35" s="26" t="n">
        <v>726.5700000000001</v>
      </c>
      <c r="O35" s="25" t="inlineStr">
        <is>
          <t>Near 52W High Breakout</t>
        </is>
      </c>
      <c r="P35" s="25" t="inlineStr">
        <is>
          <t>Growing Industry</t>
        </is>
      </c>
      <c r="Q35" s="25">
        <f>IF(P35="Growing Industry",10,IF(P35="Cyclical in an Upturn",5,0))</f>
        <v/>
      </c>
      <c r="R35" s="25" t="inlineStr">
        <is>
          <t>Too Many Players with High ROCE</t>
        </is>
      </c>
      <c r="S35" s="25">
        <f>IF(R35="Monopoly",10,IF(R35="Oligopoly",5,IF(R35="Duopoly that cooperate",10,IF(R35="Duopoly that compete",5,IF(R35="Too many players with High ROCE",5,0)))))</f>
        <v/>
      </c>
      <c r="T35" s="25" t="inlineStr">
        <is>
          <t>No</t>
        </is>
      </c>
      <c r="U35" s="25">
        <f>IF(T35="No",5,0)</f>
        <v/>
      </c>
      <c r="V35" s="25" t="inlineStr">
        <is>
          <t>Tailwind</t>
        </is>
      </c>
      <c r="W35" s="25">
        <f>IF(V35="Tailwind",10,0)</f>
        <v/>
      </c>
      <c r="X35" s="25" t="inlineStr">
        <is>
          <t>Structural (10 Years Consistency)</t>
        </is>
      </c>
      <c r="Y35" s="25">
        <f>IF(X35="Structural (10 Years Consistency)",10,IF(X35="Shallow Cyclical (2 to 3 years growth)",5,0))</f>
        <v/>
      </c>
      <c r="Z35" s="25" t="inlineStr">
        <is>
          <t>No</t>
        </is>
      </c>
      <c r="AA35" s="25">
        <f>IF(Z35="Yes due to Product Mix change or Operating Leverage",10,IF(Z35="Yes, these are peak margins",-5,IF(Z35="No",5,0)))</f>
        <v/>
      </c>
      <c r="AB35" s="25" t="inlineStr">
        <is>
          <t>Stable</t>
        </is>
      </c>
      <c r="AC35" s="25">
        <f>IF(AB35="Stable",10,0)</f>
        <v/>
      </c>
      <c r="AD35" s="25" t="inlineStr">
        <is>
          <t>Yes</t>
        </is>
      </c>
      <c r="AE35" s="25">
        <f>IF(AD35="Yes",10,0)</f>
        <v/>
      </c>
      <c r="AF35" s="25" t="inlineStr">
        <is>
          <t>B2B</t>
        </is>
      </c>
      <c r="AG35" s="25">
        <f>IF(AF35="B2C",10,IF(AF35="B2B",5,0))</f>
        <v/>
      </c>
      <c r="AH35" s="25" t="inlineStr">
        <is>
          <t>Yes</t>
        </is>
      </c>
      <c r="AI35" s="25">
        <f>IF(AH35="Yes",10,0)</f>
        <v/>
      </c>
      <c r="AJ35" s="25" t="inlineStr">
        <is>
          <t>Higher One Time, Lower Annuity</t>
        </is>
      </c>
      <c r="AK35" s="25">
        <f>IF(AJ35="Fully Annuity",10,IF(AJ35="Higher Annuity, Lower One Time",5,IF(AJ35="Higher One Time, Lower Annuity",3,0)))</f>
        <v/>
      </c>
      <c r="AL35" s="25" t="inlineStr">
        <is>
          <t>Good</t>
        </is>
      </c>
      <c r="AM35" s="25">
        <f>IF(AL35="Good",10,0)</f>
        <v/>
      </c>
      <c r="AN35" s="25" t="inlineStr">
        <is>
          <t>Yes for more than 2 years</t>
        </is>
      </c>
      <c r="AO35" s="25">
        <f>IF(AN35="Yes for more than 2 years",10,IF(AN35="Yes only for next 1 to 2 years",5,0))</f>
        <v/>
      </c>
      <c r="AP35" s="25" t="inlineStr">
        <is>
          <t>Above 40</t>
        </is>
      </c>
      <c r="AQ35" s="25">
        <f>IF(AP35="Above 40",20,IF(AP35="20 to 40",10,IF(AP35="0 to 20",-5,0)))</f>
        <v/>
      </c>
      <c r="AR35" s="25" t="inlineStr">
        <is>
          <t>Between 50 to 75</t>
        </is>
      </c>
      <c r="AS35" s="25">
        <f>IF(AR35="Between 50 to 75",10,IF(AR35="Above 75",0,0))</f>
        <v/>
      </c>
      <c r="AT35" s="25" t="inlineStr">
        <is>
          <t>Stage 2</t>
        </is>
      </c>
      <c r="AU35" s="25">
        <f>IF(AT35="Stage 2",20,IF(AT35="Stage 1",0,IF(AT35="Stage 3",5,IF(AT35="Stage 4",-5,0))))</f>
        <v/>
      </c>
      <c r="AV35" s="25" t="inlineStr">
        <is>
          <t>Positive Trend</t>
        </is>
      </c>
      <c r="AW35" s="25">
        <f>IF(AV35="Positive Trend",20,IF(AV35="Negative Trend",-10,0))</f>
        <v/>
      </c>
      <c r="AX35" s="25" t="inlineStr">
        <is>
          <t>Uptrend</t>
        </is>
      </c>
      <c r="AY35" s="25">
        <f>IF(AX35="Uptrend",10,IF(AX35="Sideways",5,0))</f>
        <v/>
      </c>
      <c r="AZ35" s="25" t="inlineStr">
        <is>
          <t>Uptrend</t>
        </is>
      </c>
      <c r="BA35" s="25">
        <f>IF(AZ35="Uptrend",10,IF(AZ35="Sideways",5,0))</f>
        <v/>
      </c>
      <c r="BB35" s="25" t="inlineStr">
        <is>
          <t>Blue sky scenario</t>
        </is>
      </c>
      <c r="BC35" s="25">
        <f>IF(BB35="Overhead supply in last 2 years in last 2 years",-5,IF(BB35="Close to 52 week high or retracement",5,IF(BB35="Blue sky scenario",10,IF(BB35="Long term Downtrend",-10,0))))</f>
        <v/>
      </c>
      <c r="BD35" s="25" t="inlineStr">
        <is>
          <t>Yes</t>
        </is>
      </c>
      <c r="BE35" s="25">
        <f>IF(BD35="Yes",10,0)</f>
        <v/>
      </c>
      <c r="BF35" s="25" t="inlineStr">
        <is>
          <t>More than 20%</t>
        </is>
      </c>
      <c r="BG35" s="25">
        <f>IF(BF35="More than 20%",10,IF(BF35="Between 12 to 20%",5,IF(BF35="Less than 12%",0,0)))</f>
        <v/>
      </c>
      <c r="BH35" s="25" t="inlineStr">
        <is>
          <t>No</t>
        </is>
      </c>
      <c r="BI35" s="25">
        <f>IF(BH35="No",10,0)</f>
        <v/>
      </c>
      <c r="BJ35" s="25" t="inlineStr">
        <is>
          <t>No</t>
        </is>
      </c>
      <c r="BK35" s="25">
        <f>IF(BJ35="NO",5,0)</f>
        <v/>
      </c>
      <c r="BL35" s="25" t="inlineStr">
        <is>
          <t>Less than 1.5</t>
        </is>
      </c>
      <c r="BM35" s="25">
        <f>IF(BL35="Above 2",0,IF(BL35="Between 1.5 to 2",5,IF(BL35="Less than 1.5",10,0)))</f>
        <v/>
      </c>
      <c r="BN35" s="25" t="inlineStr">
        <is>
          <t>Negative</t>
        </is>
      </c>
      <c r="BO35" s="25">
        <f>IF(BN35="Above 70%",10,IF(BN35="Between 50% to 70%",5,IF(BN35="Less than 50%",0,IF(BN35="Negative",-10,IF(BN35="Less than 50% and Borrowings are increasing",-5,0)))))</f>
        <v/>
      </c>
      <c r="BP35" s="25" t="inlineStr">
        <is>
          <t>Less than 0.7</t>
        </is>
      </c>
      <c r="BQ35" s="25">
        <f>IF(BP35="More than 1.2",-10,IF(BP35="Between 0.7 to 1.2",0,IF(BP35="Less than 0.7",10,0)))</f>
        <v/>
      </c>
      <c r="BR35" s="25" t="inlineStr">
        <is>
          <t>No</t>
        </is>
      </c>
      <c r="BS35" s="25">
        <f>IF(BR35="Yes",-10,0)</f>
        <v/>
      </c>
      <c r="BT35" s="25" t="inlineStr">
        <is>
          <t>Less than 15%</t>
        </is>
      </c>
      <c r="BU35" s="25">
        <f>IF(BT35="More than 15%",-10,IF(BT35="Less than 15%",10,0))</f>
        <v/>
      </c>
      <c r="BV35" s="25" t="inlineStr">
        <is>
          <t>No</t>
        </is>
      </c>
      <c r="BW35" s="25">
        <f>IF(BV35="Yes, more than 10%",-10,IF(BV35="No",10,0))</f>
        <v/>
      </c>
    </row>
    <row r="36">
      <c r="A36" s="25">
        <f>IF(B36=0,"",RANK(B36,$B$2:$B$292,0))</f>
        <v/>
      </c>
      <c r="B36" s="26">
        <f>SUM(Q36,S36,U36,W36,Y36,AA36,AC36,AE36,AG36,AI36,AK36,AM36,AO36,AQ36,AS36,AU36,AW36,AY36,BA36,BC36,BE36,BG36,BI36,BK36,BM36,BO36,BQ36,BS36,BU36,BW36)</f>
        <v/>
      </c>
      <c r="C36" s="25" t="inlineStr">
        <is>
          <t>ADANIPORTS</t>
        </is>
      </c>
      <c r="D36" s="25" t="inlineStr">
        <is>
          <t>Adani Ports And Special Economic Zone Limited</t>
        </is>
      </c>
      <c r="E36" s="25" t="inlineStr">
        <is>
          <t>transportation</t>
        </is>
      </c>
      <c r="F36" s="25" t="inlineStr">
        <is>
          <t>miscellaneous</t>
        </is>
      </c>
      <c r="G36" s="25" t="inlineStr">
        <is>
          <t>largecap</t>
        </is>
      </c>
      <c r="H36" s="26" t="n">
        <v>410911.11</v>
      </c>
      <c r="I36" s="26" t="n">
        <v>1814.5</v>
      </c>
      <c r="J36" s="26" t="n">
        <v>1.74</v>
      </c>
      <c r="K36" s="26" t="n">
        <v>2256569</v>
      </c>
      <c r="L36" s="26" t="n">
        <v>71.81999999999999</v>
      </c>
      <c r="M36" s="26" t="n">
        <v>25.7</v>
      </c>
      <c r="N36" s="26" t="n">
        <v>1535.4</v>
      </c>
      <c r="O36" s="25" t="inlineStr">
        <is>
          <t>Near 52W High Breakout</t>
        </is>
      </c>
      <c r="P36" s="25" t="inlineStr">
        <is>
          <t>Growing Industry</t>
        </is>
      </c>
      <c r="Q36" s="25">
        <f>IF(P36="Growing Industry",10,IF(P36="Cyclical in an Upturn",5,0))</f>
        <v/>
      </c>
      <c r="R36" s="25" t="inlineStr">
        <is>
          <t>Too Many Players with High ROCE</t>
        </is>
      </c>
      <c r="S36" s="25">
        <f>IF(R36="Monopoly",10,IF(R36="Oligopoly",5,IF(R36="Duopoly that cooperate",10,IF(R36="Duopoly that compete",5,IF(R36="Too many players with High ROCE",5,0)))))</f>
        <v/>
      </c>
      <c r="T36" s="25" t="inlineStr">
        <is>
          <t>No</t>
        </is>
      </c>
      <c r="U36" s="25">
        <f>IF(T36="No",5,0)</f>
        <v/>
      </c>
      <c r="V36" s="25" t="inlineStr">
        <is>
          <t>Tailwind</t>
        </is>
      </c>
      <c r="W36" s="25">
        <f>IF(V36="Tailwind",10,0)</f>
        <v/>
      </c>
      <c r="X36" s="25" t="inlineStr">
        <is>
          <t>Structural (10 Years Consistency)</t>
        </is>
      </c>
      <c r="Y36" s="25">
        <f>IF(X36="Structural (10 Years Consistency)",10,IF(X36="Shallow Cyclical (2 to 3 years growth)",5,0))</f>
        <v/>
      </c>
      <c r="Z36" s="25" t="inlineStr">
        <is>
          <t>No</t>
        </is>
      </c>
      <c r="AA36" s="25">
        <f>IF(Z36="Yes due to Product Mix change or Operating Leverage",10,IF(Z36="Yes, these are peak margins",-5,IF(Z36="No",5,0)))</f>
        <v/>
      </c>
      <c r="AB36" s="25" t="inlineStr">
        <is>
          <t>Stable</t>
        </is>
      </c>
      <c r="AC36" s="25">
        <f>IF(AB36="Stable",10,0)</f>
        <v/>
      </c>
      <c r="AD36" s="25" t="inlineStr">
        <is>
          <t>Yes</t>
        </is>
      </c>
      <c r="AE36" s="25">
        <f>IF(AD36="Yes",10,0)</f>
        <v/>
      </c>
      <c r="AF36" s="25" t="inlineStr">
        <is>
          <t>B2B</t>
        </is>
      </c>
      <c r="AG36" s="25">
        <f>IF(AF36="B2C",10,IF(AF36="B2B",5,0))</f>
        <v/>
      </c>
      <c r="AH36" s="25" t="inlineStr">
        <is>
          <t>Yes</t>
        </is>
      </c>
      <c r="AI36" s="25">
        <f>IF(AH36="Yes",10,0)</f>
        <v/>
      </c>
      <c r="AJ36" s="25" t="inlineStr">
        <is>
          <t>Higher One Time, Lower Annuity</t>
        </is>
      </c>
      <c r="AK36" s="25">
        <f>IF(AJ36="Fully Annuity",10,IF(AJ36="Higher Annuity, Lower One Time",5,IF(AJ36="Higher One Time, Lower Annuity",3,0)))</f>
        <v/>
      </c>
      <c r="AL36" s="25" t="inlineStr">
        <is>
          <t>Good</t>
        </is>
      </c>
      <c r="AM36" s="25">
        <f>IF(AL36="Good",10,0)</f>
        <v/>
      </c>
      <c r="AN36" s="25" t="inlineStr">
        <is>
          <t>Yes for more than 2 years</t>
        </is>
      </c>
      <c r="AO36" s="25">
        <f>IF(AN36="Yes for more than 2 years",10,IF(AN36="Yes only for next 1 to 2 years",5,0))</f>
        <v/>
      </c>
      <c r="AP36" s="25" t="inlineStr">
        <is>
          <t>20 to 40</t>
        </is>
      </c>
      <c r="AQ36" s="25">
        <f>IF(AP36="Above 40",20,IF(AP36="20 to 40",10,IF(AP36="0 to 20",-5,0)))</f>
        <v/>
      </c>
      <c r="AR36" s="25" t="inlineStr">
        <is>
          <t>Between 50 to 75</t>
        </is>
      </c>
      <c r="AS36" s="25">
        <f>IF(AR36="Between 50 to 75",10,IF(AR36="Above 75",0,0))</f>
        <v/>
      </c>
      <c r="AT36" s="25" t="inlineStr">
        <is>
          <t>Stage 2</t>
        </is>
      </c>
      <c r="AU36" s="25">
        <f>IF(AT36="Stage 2",20,IF(AT36="Stage 1",0,IF(AT36="Stage 3",5,IF(AT36="Stage 4",-5,0))))</f>
        <v/>
      </c>
      <c r="AV36" s="25" t="inlineStr">
        <is>
          <t>Positive Trend</t>
        </is>
      </c>
      <c r="AW36" s="25">
        <f>IF(AV36="Positive Trend",20,IF(AV36="Negative Trend",-10,0))</f>
        <v/>
      </c>
      <c r="AX36" s="25" t="inlineStr">
        <is>
          <t>Uptrend</t>
        </is>
      </c>
      <c r="AY36" s="25">
        <f>IF(AX36="Uptrend",10,IF(AX36="Sideways",5,0))</f>
        <v/>
      </c>
      <c r="AZ36" s="25" t="inlineStr">
        <is>
          <t>Uptrend</t>
        </is>
      </c>
      <c r="BA36" s="25">
        <f>IF(AZ36="Uptrend",10,IF(AZ36="Sideways",5,0))</f>
        <v/>
      </c>
      <c r="BB36" s="25" t="inlineStr">
        <is>
          <t>Blue sky scenario</t>
        </is>
      </c>
      <c r="BC36" s="25">
        <f>IF(BB36="Overhead supply in last 2 years in last 2 years",-5,IF(BB36="Close to 52 week high or retracement",5,IF(BB36="Blue sky scenario",10,IF(BB36="Long term Downtrend",-10,0))))</f>
        <v/>
      </c>
      <c r="BD36" s="25" t="inlineStr">
        <is>
          <t>Yes</t>
        </is>
      </c>
      <c r="BE36" s="25">
        <f>IF(BD36="Yes",10,0)</f>
        <v/>
      </c>
      <c r="BF36" s="25" t="inlineStr">
        <is>
          <t>Less than 12%</t>
        </is>
      </c>
      <c r="BG36" s="25">
        <f>IF(BF36="More than 20%",10,IF(BF36="Between 12 to 20%",5,IF(BF36="Less than 12%",0,0)))</f>
        <v/>
      </c>
      <c r="BH36" s="25" t="inlineStr">
        <is>
          <t>No</t>
        </is>
      </c>
      <c r="BI36" s="25">
        <f>IF(BH36="No",10,0)</f>
        <v/>
      </c>
      <c r="BJ36" s="25" t="inlineStr">
        <is>
          <t>No</t>
        </is>
      </c>
      <c r="BK36" s="25">
        <f>IF(BJ36="NO",5,0)</f>
        <v/>
      </c>
      <c r="BL36" s="25" t="inlineStr">
        <is>
          <t>Less than 1.5</t>
        </is>
      </c>
      <c r="BM36" s="25">
        <f>IF(BL36="Above 2",0,IF(BL36="Between 1.5 to 2",5,IF(BL36="Less than 1.5",10,0)))</f>
        <v/>
      </c>
      <c r="BN36" s="25" t="inlineStr">
        <is>
          <t>Above 70%</t>
        </is>
      </c>
      <c r="BO36" s="25">
        <f>IF(BN36="Above 70%",10,IF(BN36="Between 50% to 70%",5,IF(BN36="Less than 50%",0,IF(BN36="Negative",-10,IF(BN36="Less than 50% and Borrowings are increasing",-5,0)))))</f>
        <v/>
      </c>
      <c r="BP36" s="25" t="inlineStr">
        <is>
          <t>Less than 0.7</t>
        </is>
      </c>
      <c r="BQ36" s="25">
        <f>IF(BP36="More than 1.2",-10,IF(BP36="Between 0.7 to 1.2",0,IF(BP36="Less than 0.7",10,0)))</f>
        <v/>
      </c>
      <c r="BR36" s="25" t="inlineStr">
        <is>
          <t>No</t>
        </is>
      </c>
      <c r="BS36" s="25">
        <f>IF(BR36="Yes",-10,0)</f>
        <v/>
      </c>
      <c r="BT36" s="25" t="inlineStr">
        <is>
          <t>Less than 15%</t>
        </is>
      </c>
      <c r="BU36" s="25">
        <f>IF(BT36="More than 15%",-10,IF(BT36="Less than 15%",10,0))</f>
        <v/>
      </c>
      <c r="BV36" s="25" t="inlineStr">
        <is>
          <t>No</t>
        </is>
      </c>
      <c r="BW36" s="25">
        <f>IF(BV36="Yes, more than 10%",-10,IF(BV36="No",10,0))</f>
        <v/>
      </c>
    </row>
    <row r="37">
      <c r="A37" s="25">
        <f>IF(B37=0,"",RANK(B37,$B$2:$B$292,0))</f>
        <v/>
      </c>
      <c r="B37" s="26">
        <f>SUM(Q37,S37,U37,W37,Y37,AA37,AC37,AE37,AG37,AI37,AK37,AM37,AO37,AQ37,AS37,AU37,AW37,AY37,BA37,BC37,BE37,BG37,BI37,BK37,BM37,BO37,BQ37,BS37,BU37,BW37)</f>
        <v/>
      </c>
      <c r="C37" s="25" t="inlineStr">
        <is>
          <t>ADANIPOWER</t>
        </is>
      </c>
      <c r="D37" s="25" t="inlineStr">
        <is>
          <t>Adani Power Limited</t>
        </is>
      </c>
      <c r="E37" s="25" t="inlineStr">
        <is>
          <t>power &amp; utilities</t>
        </is>
      </c>
      <c r="F37" s="25" t="inlineStr">
        <is>
          <t>power generation and supply</t>
        </is>
      </c>
      <c r="G37" s="25" t="inlineStr">
        <is>
          <t>largecap</t>
        </is>
      </c>
      <c r="H37" s="26" t="n">
        <v>447983.46</v>
      </c>
      <c r="I37" s="26" t="n">
        <v>235.93</v>
      </c>
      <c r="J37" s="26" t="n">
        <v>1.56</v>
      </c>
      <c r="K37" s="26" t="n">
        <v>40494771</v>
      </c>
      <c r="L37" s="26" t="n">
        <v>76.72</v>
      </c>
      <c r="M37" s="26" t="n">
        <v>44.77</v>
      </c>
      <c r="N37" s="26" t="n">
        <v>196.93</v>
      </c>
      <c r="O37" s="25" t="inlineStr">
        <is>
          <t>Near 52W High Breakout</t>
        </is>
      </c>
      <c r="P37" s="25" t="inlineStr">
        <is>
          <t>Growing Industry</t>
        </is>
      </c>
      <c r="Q37" s="25">
        <f>IF(P37="Growing Industry",10,IF(P37="Cyclical in an Upturn",5,0))</f>
        <v/>
      </c>
      <c r="R37" s="25" t="inlineStr">
        <is>
          <t>Too Many Players with High ROCE</t>
        </is>
      </c>
      <c r="S37" s="25">
        <f>IF(R37="Monopoly",10,IF(R37="Oligopoly",5,IF(R37="Duopoly that cooperate",10,IF(R37="Duopoly that compete",5,IF(R37="Too many players with High ROCE",5,0)))))</f>
        <v/>
      </c>
      <c r="T37" s="25" t="inlineStr">
        <is>
          <t>No</t>
        </is>
      </c>
      <c r="U37" s="25">
        <f>IF(T37="No",5,0)</f>
        <v/>
      </c>
      <c r="V37" s="25" t="inlineStr">
        <is>
          <t>Tailwind</t>
        </is>
      </c>
      <c r="W37" s="25">
        <f>IF(V37="Tailwind",10,0)</f>
        <v/>
      </c>
      <c r="X37" s="25" t="inlineStr">
        <is>
          <t>Structural (10 Years Consistency)</t>
        </is>
      </c>
      <c r="Y37" s="25">
        <f>IF(X37="Structural (10 Years Consistency)",10,IF(X37="Shallow Cyclical (2 to 3 years growth)",5,0))</f>
        <v/>
      </c>
      <c r="Z37" s="25" t="inlineStr">
        <is>
          <t>No</t>
        </is>
      </c>
      <c r="AA37" s="25">
        <f>IF(Z37="Yes due to Product Mix change or Operating Leverage",10,IF(Z37="Yes, these are peak margins",-5,IF(Z37="No",5,0)))</f>
        <v/>
      </c>
      <c r="AB37" s="25" t="inlineStr">
        <is>
          <t>Stable</t>
        </is>
      </c>
      <c r="AC37" s="25">
        <f>IF(AB37="Stable",10,0)</f>
        <v/>
      </c>
      <c r="AD37" s="25" t="inlineStr">
        <is>
          <t>Yes</t>
        </is>
      </c>
      <c r="AE37" s="25">
        <f>IF(AD37="Yes",10,0)</f>
        <v/>
      </c>
      <c r="AF37" s="25" t="inlineStr">
        <is>
          <t>B2B</t>
        </is>
      </c>
      <c r="AG37" s="25">
        <f>IF(AF37="B2C",10,IF(AF37="B2B",5,0))</f>
        <v/>
      </c>
      <c r="AH37" s="25" t="inlineStr">
        <is>
          <t>Yes</t>
        </is>
      </c>
      <c r="AI37" s="25">
        <f>IF(AH37="Yes",10,0)</f>
        <v/>
      </c>
      <c r="AJ37" s="25" t="inlineStr">
        <is>
          <t>Higher One Time, Lower Annuity</t>
        </is>
      </c>
      <c r="AK37" s="25">
        <f>IF(AJ37="Fully Annuity",10,IF(AJ37="Higher Annuity, Lower One Time",5,IF(AJ37="Higher One Time, Lower Annuity",3,0)))</f>
        <v/>
      </c>
      <c r="AL37" s="25" t="inlineStr">
        <is>
          <t>Good</t>
        </is>
      </c>
      <c r="AM37" s="25">
        <f>IF(AL37="Good",10,0)</f>
        <v/>
      </c>
      <c r="AN37" s="25" t="inlineStr">
        <is>
          <t>Yes for more than 2 years</t>
        </is>
      </c>
      <c r="AO37" s="25">
        <f>IF(AN37="Yes for more than 2 years",10,IF(AN37="Yes only for next 1 to 2 years",5,0))</f>
        <v/>
      </c>
      <c r="AP37" s="25" t="inlineStr">
        <is>
          <t>Above 40</t>
        </is>
      </c>
      <c r="AQ37" s="25">
        <f>IF(AP37="Above 40",20,IF(AP37="20 to 40",10,IF(AP37="0 to 20",-5,0)))</f>
        <v/>
      </c>
      <c r="AR37" s="25" t="inlineStr">
        <is>
          <t>Above 75</t>
        </is>
      </c>
      <c r="AS37" s="25">
        <f>IF(AR37="Between 50 to 75",10,IF(AR37="Above 75",0,0))</f>
        <v/>
      </c>
      <c r="AT37" s="25" t="inlineStr">
        <is>
          <t>Stage 2</t>
        </is>
      </c>
      <c r="AU37" s="25">
        <f>IF(AT37="Stage 2",20,IF(AT37="Stage 1",0,IF(AT37="Stage 3",5,IF(AT37="Stage 4",-5,0))))</f>
        <v/>
      </c>
      <c r="AV37" s="25" t="inlineStr">
        <is>
          <t>Positive Trend</t>
        </is>
      </c>
      <c r="AW37" s="25">
        <f>IF(AV37="Positive Trend",20,IF(AV37="Negative Trend",-10,0))</f>
        <v/>
      </c>
      <c r="AX37" s="25" t="inlineStr">
        <is>
          <t>Uptrend</t>
        </is>
      </c>
      <c r="AY37" s="25">
        <f>IF(AX37="Uptrend",10,IF(AX37="Sideways",5,0))</f>
        <v/>
      </c>
      <c r="AZ37" s="25" t="inlineStr">
        <is>
          <t>Uptrend</t>
        </is>
      </c>
      <c r="BA37" s="25">
        <f>IF(AZ37="Uptrend",10,IF(AZ37="Sideways",5,0))</f>
        <v/>
      </c>
      <c r="BB37" s="25" t="inlineStr">
        <is>
          <t>Blue sky scenario</t>
        </is>
      </c>
      <c r="BC37" s="25">
        <f>IF(BB37="Overhead supply in last 2 years in last 2 years",-5,IF(BB37="Close to 52 week high or retracement",5,IF(BB37="Blue sky scenario",10,IF(BB37="Long term Downtrend",-10,0))))</f>
        <v/>
      </c>
      <c r="BD37" s="25" t="inlineStr">
        <is>
          <t>Yes</t>
        </is>
      </c>
      <c r="BE37" s="25">
        <f>IF(BD37="Yes",10,0)</f>
        <v/>
      </c>
      <c r="BF37" s="25" t="inlineStr">
        <is>
          <t>More than 20%</t>
        </is>
      </c>
      <c r="BG37" s="25">
        <f>IF(BF37="More than 20%",10,IF(BF37="Between 12 to 20%",5,IF(BF37="Less than 12%",0,0)))</f>
        <v/>
      </c>
      <c r="BH37" s="25" t="inlineStr">
        <is>
          <t>No</t>
        </is>
      </c>
      <c r="BI37" s="25">
        <f>IF(BH37="No",10,0)</f>
        <v/>
      </c>
      <c r="BJ37" s="25" t="inlineStr">
        <is>
          <t>No</t>
        </is>
      </c>
      <c r="BK37" s="25">
        <f>IF(BJ37="NO",5,0)</f>
        <v/>
      </c>
      <c r="BL37" s="25" t="inlineStr">
        <is>
          <t>Less than 1.5</t>
        </is>
      </c>
      <c r="BM37" s="25">
        <f>IF(BL37="Above 2",0,IF(BL37="Between 1.5 to 2",5,IF(BL37="Less than 1.5",10,0)))</f>
        <v/>
      </c>
      <c r="BN37" s="25" t="inlineStr">
        <is>
          <t>Above 70%</t>
        </is>
      </c>
      <c r="BO37" s="25">
        <f>IF(BN37="Above 70%",10,IF(BN37="Between 50% to 70%",5,IF(BN37="Less than 50%",0,IF(BN37="Negative",-10,IF(BN37="Less than 50% and Borrowings are increasing",-5,0)))))</f>
        <v/>
      </c>
      <c r="BP37" s="25" t="inlineStr">
        <is>
          <t>Between 0.7 to 1.2</t>
        </is>
      </c>
      <c r="BQ37" s="25">
        <f>IF(BP37="More than 1.2",-10,IF(BP37="Between 0.7 to 1.2",0,IF(BP37="Less than 0.7",10,0)))</f>
        <v/>
      </c>
      <c r="BR37" s="25" t="inlineStr">
        <is>
          <t>No</t>
        </is>
      </c>
      <c r="BS37" s="25">
        <f>IF(BR37="Yes",-10,0)</f>
        <v/>
      </c>
      <c r="BT37" s="25" t="inlineStr">
        <is>
          <t>Less than 15%</t>
        </is>
      </c>
      <c r="BU37" s="25">
        <f>IF(BT37="More than 15%",-10,IF(BT37="Less than 15%",10,0))</f>
        <v/>
      </c>
      <c r="BV37" s="25" t="inlineStr">
        <is>
          <t>No</t>
        </is>
      </c>
      <c r="BW37" s="25">
        <f>IF(BV37="Yes, more than 10%",-10,IF(BV37="No",10,0))</f>
        <v/>
      </c>
    </row>
    <row r="38">
      <c r="A38" s="25">
        <f>IF(B38=0,"",RANK(B38,$B$2:$B$292,0))</f>
        <v/>
      </c>
      <c r="B38" s="26">
        <f>SUM(Q38,S38,U38,W38,Y38,AA38,AC38,AE38,AG38,AI38,AK38,AM38,AO38,AQ38,AS38,AU38,AW38,AY38,BA38,BC38,BE38,BG38,BI38,BK38,BM38,BO38,BQ38,BS38,BU38,BW38)</f>
        <v/>
      </c>
      <c r="C38" s="25" t="inlineStr">
        <is>
          <t>IDEA</t>
        </is>
      </c>
      <c r="D38" s="25" t="inlineStr">
        <is>
          <t>Vodafone Idea Ltd</t>
        </is>
      </c>
      <c r="E38" s="25" t="inlineStr">
        <is>
          <t>telecom-service</t>
        </is>
      </c>
      <c r="F38" s="25" t="inlineStr">
        <is>
          <t>telecommunications - service provider</t>
        </is>
      </c>
      <c r="G38" s="25" t="inlineStr">
        <is>
          <t>largecap</t>
        </is>
      </c>
      <c r="H38" s="26" t="n">
        <v>151138.53</v>
      </c>
      <c r="I38" s="26" t="n">
        <v>14.16</v>
      </c>
      <c r="J38" s="26" t="n">
        <v>1.51</v>
      </c>
      <c r="K38" s="26" t="n">
        <v>541502060</v>
      </c>
      <c r="L38" s="26" t="n">
        <v>72.72</v>
      </c>
      <c r="M38" s="26" t="n">
        <v>22.26</v>
      </c>
      <c r="N38" s="26" t="n">
        <v>11.14</v>
      </c>
      <c r="O38" s="25" t="inlineStr">
        <is>
          <t>Near 52W High Breakout</t>
        </is>
      </c>
      <c r="P38" s="25" t="inlineStr">
        <is>
          <t>Growing Industry</t>
        </is>
      </c>
      <c r="Q38" s="25">
        <f>IF(P38="Growing Industry",10,IF(P38="Cyclical in an Upturn",5,0))</f>
        <v/>
      </c>
      <c r="R38" s="25" t="inlineStr">
        <is>
          <t>Oligopoly</t>
        </is>
      </c>
      <c r="S38" s="25">
        <f>IF(R38="Monopoly",10,IF(R38="Oligopoly",5,IF(R38="Duopoly that cooperate",10,IF(R38="Duopoly that compete",5,IF(R38="Too many players with High ROCE",5,0)))))</f>
        <v/>
      </c>
      <c r="T38" s="25" t="inlineStr">
        <is>
          <t>Yes</t>
        </is>
      </c>
      <c r="U38" s="25">
        <f>IF(T38="No",5,0)</f>
        <v/>
      </c>
      <c r="V38" s="25" t="inlineStr">
        <is>
          <t>Tailwind</t>
        </is>
      </c>
      <c r="W38" s="25">
        <f>IF(V38="Tailwind",10,0)</f>
        <v/>
      </c>
      <c r="X38" s="25" t="inlineStr">
        <is>
          <t>Structural (10 Years Consistency)</t>
        </is>
      </c>
      <c r="Y38" s="25">
        <f>IF(X38="Structural (10 Years Consistency)",10,IF(X38="Shallow Cyclical (2 to 3 years growth)",5,0))</f>
        <v/>
      </c>
      <c r="Z38" s="25" t="inlineStr">
        <is>
          <t>No</t>
        </is>
      </c>
      <c r="AA38" s="25">
        <f>IF(Z38="Yes due to Product Mix change or Operating Leverage",10,IF(Z38="Yes, these are peak margins",-5,IF(Z38="No",5,0)))</f>
        <v/>
      </c>
      <c r="AB38" s="25" t="inlineStr">
        <is>
          <t>Stable</t>
        </is>
      </c>
      <c r="AC38" s="25">
        <f>IF(AB38="Stable",10,0)</f>
        <v/>
      </c>
      <c r="AD38" s="25" t="inlineStr">
        <is>
          <t>Yes</t>
        </is>
      </c>
      <c r="AE38" s="25">
        <f>IF(AD38="Yes",10,0)</f>
        <v/>
      </c>
      <c r="AF38" s="25" t="inlineStr">
        <is>
          <t>B2B</t>
        </is>
      </c>
      <c r="AG38" s="25">
        <f>IF(AF38="B2C",10,IF(AF38="B2B",5,0))</f>
        <v/>
      </c>
      <c r="AH38" s="25" t="inlineStr">
        <is>
          <t>Yes</t>
        </is>
      </c>
      <c r="AI38" s="25">
        <f>IF(AH38="Yes",10,0)</f>
        <v/>
      </c>
      <c r="AJ38" s="25" t="inlineStr">
        <is>
          <t>Higher One Time, Lower Annuity</t>
        </is>
      </c>
      <c r="AK38" s="25">
        <f>IF(AJ38="Fully Annuity",10,IF(AJ38="Higher Annuity, Lower One Time",5,IF(AJ38="Higher One Time, Lower Annuity",3,0)))</f>
        <v/>
      </c>
      <c r="AL38" s="25" t="inlineStr">
        <is>
          <t>Good</t>
        </is>
      </c>
      <c r="AM38" s="25">
        <f>IF(AL38="Good",10,0)</f>
        <v/>
      </c>
      <c r="AN38" s="25" t="inlineStr">
        <is>
          <t>Yes for more than 2 years</t>
        </is>
      </c>
      <c r="AO38" s="25">
        <f>IF(AN38="Yes for more than 2 years",10,IF(AN38="Yes only for next 1 to 2 years",5,0))</f>
        <v/>
      </c>
      <c r="AP38" s="25" t="inlineStr">
        <is>
          <t>20 to 40</t>
        </is>
      </c>
      <c r="AQ38" s="25">
        <f>IF(AP38="Above 40",20,IF(AP38="20 to 40",10,IF(AP38="0 to 20",-5,0)))</f>
        <v/>
      </c>
      <c r="AR38" s="25" t="inlineStr">
        <is>
          <t>Between 50 to 75</t>
        </is>
      </c>
      <c r="AS38" s="25">
        <f>IF(AR38="Between 50 to 75",10,IF(AR38="Above 75",0,0))</f>
        <v/>
      </c>
      <c r="AT38" s="25" t="inlineStr">
        <is>
          <t>Stage 2</t>
        </is>
      </c>
      <c r="AU38" s="25">
        <f>IF(AT38="Stage 2",20,IF(AT38="Stage 1",0,IF(AT38="Stage 3",5,IF(AT38="Stage 4",-5,0))))</f>
        <v/>
      </c>
      <c r="AV38" s="25" t="inlineStr">
        <is>
          <t>Positive Trend</t>
        </is>
      </c>
      <c r="AW38" s="25">
        <f>IF(AV38="Positive Trend",20,IF(AV38="Negative Trend",-10,0))</f>
        <v/>
      </c>
      <c r="AX38" s="25" t="inlineStr">
        <is>
          <t>Uptrend</t>
        </is>
      </c>
      <c r="AY38" s="25">
        <f>IF(AX38="Uptrend",10,IF(AX38="Sideways",5,0))</f>
        <v/>
      </c>
      <c r="AZ38" s="25" t="inlineStr">
        <is>
          <t>Uptrend</t>
        </is>
      </c>
      <c r="BA38" s="25">
        <f>IF(AZ38="Uptrend",10,IF(AZ38="Sideways",5,0))</f>
        <v/>
      </c>
      <c r="BB38" s="25" t="inlineStr">
        <is>
          <t>Close to 52 week high or retracement</t>
        </is>
      </c>
      <c r="BC38" s="25">
        <f>IF(BB38="Overhead supply in last 2 years in last 2 years",-5,IF(BB38="Close to 52 week high or retracement",5,IF(BB38="Blue sky scenario",10,IF(BB38="Long term Downtrend",-10,0))))</f>
        <v/>
      </c>
      <c r="BD38" s="25" t="inlineStr">
        <is>
          <t>Yes</t>
        </is>
      </c>
      <c r="BE38" s="25">
        <f>IF(BD38="Yes",10,0)</f>
        <v/>
      </c>
      <c r="BF38" s="25" t="inlineStr">
        <is>
          <t>More than 20%</t>
        </is>
      </c>
      <c r="BG38" s="25">
        <f>IF(BF38="More than 20%",10,IF(BF38="Between 12 to 20%",5,IF(BF38="Less than 12%",0,0)))</f>
        <v/>
      </c>
      <c r="BH38" s="25" t="inlineStr">
        <is>
          <t>No</t>
        </is>
      </c>
      <c r="BI38" s="25">
        <f>IF(BH38="No",10,0)</f>
        <v/>
      </c>
      <c r="BJ38" s="25" t="inlineStr">
        <is>
          <t>No</t>
        </is>
      </c>
      <c r="BK38" s="25">
        <f>IF(BJ38="NO",5,0)</f>
        <v/>
      </c>
      <c r="BL38" s="25" t="inlineStr">
        <is>
          <t>Less than 1.5</t>
        </is>
      </c>
      <c r="BM38" s="25">
        <f>IF(BL38="Above 2",0,IF(BL38="Between 1.5 to 2",5,IF(BL38="Less than 1.5",10,0)))</f>
        <v/>
      </c>
      <c r="BN38" s="25" t="inlineStr">
        <is>
          <t>Above 70%</t>
        </is>
      </c>
      <c r="BO38" s="25">
        <f>IF(BN38="Above 70%",10,IF(BN38="Between 50% to 70%",5,IF(BN38="Less than 50%",0,IF(BN38="Negative",-10,IF(BN38="Less than 50% and Borrowings are increasing",-5,0)))))</f>
        <v/>
      </c>
      <c r="BP38" s="25" t="inlineStr">
        <is>
          <t>Less than 0.7</t>
        </is>
      </c>
      <c r="BQ38" s="25">
        <f>IF(BP38="More than 1.2",-10,IF(BP38="Between 0.7 to 1.2",0,IF(BP38="Less than 0.7",10,0)))</f>
        <v/>
      </c>
      <c r="BR38" s="25" t="inlineStr">
        <is>
          <t>No</t>
        </is>
      </c>
      <c r="BS38" s="25">
        <f>IF(BR38="Yes",-10,0)</f>
        <v/>
      </c>
      <c r="BT38" s="25" t="inlineStr">
        <is>
          <t>Less than 15%</t>
        </is>
      </c>
      <c r="BU38" s="25">
        <f>IF(BT38="More than 15%",-10,IF(BT38="Less than 15%",10,0))</f>
        <v/>
      </c>
      <c r="BV38" s="25" t="inlineStr">
        <is>
          <t>No</t>
        </is>
      </c>
      <c r="BW38" s="25">
        <f>IF(BV38="Yes, more than 10%",-10,IF(BV38="No",10,0))</f>
        <v/>
      </c>
    </row>
    <row r="39">
      <c r="A39" s="25">
        <f>IF(B39=0,"",RANK(B39,$B$2:$B$292,0))</f>
        <v/>
      </c>
      <c r="B39" s="26">
        <f>SUM(Q39,S39,U39,W39,Y39,AA39,AC39,AE39,AG39,AI39,AK39,AM39,AO39,AQ39,AS39,AU39,AW39,AY39,BA39,BC39,BE39,BG39,BI39,BK39,BM39,BO39,BQ39,BS39,BU39,BW39)</f>
        <v/>
      </c>
      <c r="C39" s="25" t="inlineStr">
        <is>
          <t>NITINSPIN</t>
        </is>
      </c>
      <c r="D39" s="25" t="inlineStr">
        <is>
          <t>Nitin Spinners Limited</t>
        </is>
      </c>
      <c r="E39" s="25" t="inlineStr">
        <is>
          <t>textiles</t>
        </is>
      </c>
      <c r="F39" s="25" t="inlineStr">
        <is>
          <t>textiles - cotton/blended</t>
        </is>
      </c>
      <c r="G39" s="25" t="inlineStr">
        <is>
          <t>smallcap</t>
        </is>
      </c>
      <c r="H39" s="26" t="n">
        <v>2834.61</v>
      </c>
      <c r="I39" s="26" t="n">
        <v>507.3</v>
      </c>
      <c r="J39" s="26" t="n">
        <v>0.61</v>
      </c>
      <c r="K39" s="26" t="n">
        <v>93795</v>
      </c>
      <c r="L39" s="26" t="n">
        <v>76.16</v>
      </c>
      <c r="M39" s="26" t="n">
        <v>51.06</v>
      </c>
      <c r="N39" s="26" t="n">
        <v>392.24</v>
      </c>
      <c r="O39" s="25" t="inlineStr">
        <is>
          <t>Near 52W High Breakout</t>
        </is>
      </c>
      <c r="P39" s="25" t="inlineStr">
        <is>
          <t>Growing Industry</t>
        </is>
      </c>
      <c r="Q39" s="25">
        <f>IF(P39="Growing Industry",10,IF(P39="Cyclical in an Upturn",5,0))</f>
        <v/>
      </c>
      <c r="R39" s="25" t="inlineStr">
        <is>
          <t>Too Many Players with High ROCE</t>
        </is>
      </c>
      <c r="S39" s="25">
        <f>IF(R39="Monopoly",10,IF(R39="Oligopoly",5,IF(R39="Duopoly that cooperate",10,IF(R39="Duopoly that compete",5,IF(R39="Too many players with High ROCE",5,0)))))</f>
        <v/>
      </c>
      <c r="T39" s="25" t="inlineStr">
        <is>
          <t>No</t>
        </is>
      </c>
      <c r="U39" s="25">
        <f>IF(T39="No",5,0)</f>
        <v/>
      </c>
      <c r="V39" s="25" t="inlineStr">
        <is>
          <t>Tailwind</t>
        </is>
      </c>
      <c r="W39" s="25">
        <f>IF(V39="Tailwind",10,0)</f>
        <v/>
      </c>
      <c r="X39" s="25" t="inlineStr">
        <is>
          <t>Structural (10 Years Consistency)</t>
        </is>
      </c>
      <c r="Y39" s="25">
        <f>IF(X39="Structural (10 Years Consistency)",10,IF(X39="Shallow Cyclical (2 to 3 years growth)",5,0))</f>
        <v/>
      </c>
      <c r="Z39" s="25" t="inlineStr">
        <is>
          <t>No</t>
        </is>
      </c>
      <c r="AA39" s="25">
        <f>IF(Z39="Yes due to Product Mix change or Operating Leverage",10,IF(Z39="Yes, these are peak margins",-5,IF(Z39="No",5,0)))</f>
        <v/>
      </c>
      <c r="AB39" s="25" t="inlineStr">
        <is>
          <t>Stable</t>
        </is>
      </c>
      <c r="AC39" s="25">
        <f>IF(AB39="Stable",10,0)</f>
        <v/>
      </c>
      <c r="AD39" s="25" t="inlineStr">
        <is>
          <t>Yes</t>
        </is>
      </c>
      <c r="AE39" s="25">
        <f>IF(AD39="Yes",10,0)</f>
        <v/>
      </c>
      <c r="AF39" s="25" t="inlineStr">
        <is>
          <t>B2B</t>
        </is>
      </c>
      <c r="AG39" s="25">
        <f>IF(AF39="B2C",10,IF(AF39="B2B",5,0))</f>
        <v/>
      </c>
      <c r="AH39" s="25" t="inlineStr">
        <is>
          <t>Yes</t>
        </is>
      </c>
      <c r="AI39" s="25">
        <f>IF(AH39="Yes",10,0)</f>
        <v/>
      </c>
      <c r="AJ39" s="25" t="inlineStr">
        <is>
          <t>Higher One Time, Lower Annuity</t>
        </is>
      </c>
      <c r="AK39" s="25">
        <f>IF(AJ39="Fully Annuity",10,IF(AJ39="Higher Annuity, Lower One Time",5,IF(AJ39="Higher One Time, Lower Annuity",3,0)))</f>
        <v/>
      </c>
      <c r="AL39" s="25" t="inlineStr">
        <is>
          <t>Good</t>
        </is>
      </c>
      <c r="AM39" s="25">
        <f>IF(AL39="Good",10,0)</f>
        <v/>
      </c>
      <c r="AN39" s="25" t="inlineStr">
        <is>
          <t>Yes for more than 2 years</t>
        </is>
      </c>
      <c r="AO39" s="25">
        <f>IF(AN39="Yes for more than 2 years",10,IF(AN39="Yes only for next 1 to 2 years",5,0))</f>
        <v/>
      </c>
      <c r="AP39" s="25" t="inlineStr">
        <is>
          <t>Above 40</t>
        </is>
      </c>
      <c r="AQ39" s="25">
        <f>IF(AP39="Above 40",20,IF(AP39="20 to 40",10,IF(AP39="0 to 20",-5,0)))</f>
        <v/>
      </c>
      <c r="AR39" s="25" t="inlineStr">
        <is>
          <t>Above 75</t>
        </is>
      </c>
      <c r="AS39" s="25">
        <f>IF(AR39="Between 50 to 75",10,IF(AR39="Above 75",0,0))</f>
        <v/>
      </c>
      <c r="AT39" s="25" t="inlineStr">
        <is>
          <t>Stage 2</t>
        </is>
      </c>
      <c r="AU39" s="25">
        <f>IF(AT39="Stage 2",20,IF(AT39="Stage 1",0,IF(AT39="Stage 3",5,IF(AT39="Stage 4",-5,0))))</f>
        <v/>
      </c>
      <c r="AV39" s="25" t="inlineStr">
        <is>
          <t>Positive Trend</t>
        </is>
      </c>
      <c r="AW39" s="25">
        <f>IF(AV39="Positive Trend",20,IF(AV39="Negative Trend",-10,0))</f>
        <v/>
      </c>
      <c r="AX39" s="25" t="inlineStr">
        <is>
          <t>Uptrend</t>
        </is>
      </c>
      <c r="AY39" s="25">
        <f>IF(AX39="Uptrend",10,IF(AX39="Sideways",5,0))</f>
        <v/>
      </c>
      <c r="AZ39" s="25" t="inlineStr">
        <is>
          <t>Uptrend</t>
        </is>
      </c>
      <c r="BA39" s="25">
        <f>IF(AZ39="Uptrend",10,IF(AZ39="Sideways",5,0))</f>
        <v/>
      </c>
      <c r="BB39" s="25" t="inlineStr">
        <is>
          <t>Blue sky scenario</t>
        </is>
      </c>
      <c r="BC39" s="25">
        <f>IF(BB39="Overhead supply in last 2 years in last 2 years",-5,IF(BB39="Close to 52 week high or retracement",5,IF(BB39="Blue sky scenario",10,IF(BB39="Long term Downtrend",-10,0))))</f>
        <v/>
      </c>
      <c r="BD39" s="25" t="inlineStr">
        <is>
          <t>Yes</t>
        </is>
      </c>
      <c r="BE39" s="25">
        <f>IF(BD39="Yes",10,0)</f>
        <v/>
      </c>
      <c r="BF39" s="25" t="inlineStr">
        <is>
          <t>More than 20%</t>
        </is>
      </c>
      <c r="BG39" s="25">
        <f>IF(BF39="More than 20%",10,IF(BF39="Between 12 to 20%",5,IF(BF39="Less than 12%",0,0)))</f>
        <v/>
      </c>
      <c r="BH39" s="25" t="inlineStr">
        <is>
          <t>No</t>
        </is>
      </c>
      <c r="BI39" s="25">
        <f>IF(BH39="No",10,0)</f>
        <v/>
      </c>
      <c r="BJ39" s="25" t="inlineStr">
        <is>
          <t>No</t>
        </is>
      </c>
      <c r="BK39" s="25">
        <f>IF(BJ39="NO",5,0)</f>
        <v/>
      </c>
      <c r="BL39" s="25" t="inlineStr">
        <is>
          <t>Less than 1.5</t>
        </is>
      </c>
      <c r="BM39" s="25">
        <f>IF(BL39="Above 2",0,IF(BL39="Between 1.5 to 2",5,IF(BL39="Less than 1.5",10,0)))</f>
        <v/>
      </c>
      <c r="BN39" s="25" t="inlineStr">
        <is>
          <t>Above 70%</t>
        </is>
      </c>
      <c r="BO39" s="25">
        <f>IF(BN39="Above 70%",10,IF(BN39="Between 50% to 70%",5,IF(BN39="Less than 50%",0,IF(BN39="Negative",-10,IF(BN39="Less than 50% and Borrowings are increasing",-5,0)))))</f>
        <v/>
      </c>
      <c r="BP39" s="25" t="inlineStr">
        <is>
          <t>Between 0.7 to 1.2</t>
        </is>
      </c>
      <c r="BQ39" s="25">
        <f>IF(BP39="More than 1.2",-10,IF(BP39="Between 0.7 to 1.2",0,IF(BP39="Less than 0.7",10,0)))</f>
        <v/>
      </c>
      <c r="BR39" s="25" t="inlineStr">
        <is>
          <t>No</t>
        </is>
      </c>
      <c r="BS39" s="25">
        <f>IF(BR39="Yes",-10,0)</f>
        <v/>
      </c>
      <c r="BT39" s="25" t="inlineStr">
        <is>
          <t>Less than 15%</t>
        </is>
      </c>
      <c r="BU39" s="25">
        <f>IF(BT39="More than 15%",-10,IF(BT39="Less than 15%",10,0))</f>
        <v/>
      </c>
      <c r="BV39" s="25" t="inlineStr">
        <is>
          <t>No</t>
        </is>
      </c>
      <c r="BW39" s="25">
        <f>IF(BV39="Yes, more than 10%",-10,IF(BV39="No",10,0))</f>
        <v/>
      </c>
    </row>
    <row r="40">
      <c r="A40" s="25">
        <f>IF(B40=0,"",RANK(B40,$B$2:$B$292,0))</f>
        <v/>
      </c>
      <c r="B40" s="26">
        <f>SUM(Q40,S40,U40,W40,Y40,AA40,AC40,AE40,AG40,AI40,AK40,AM40,AO40,AQ40,AS40,AU40,AW40,AY40,BA40,BC40,BE40,BG40,BI40,BK40,BM40,BO40,BQ40,BS40,BU40,BW40)</f>
        <v/>
      </c>
      <c r="C40" s="25" t="inlineStr">
        <is>
          <t>PRECOT</t>
        </is>
      </c>
      <c r="D40" s="25" t="inlineStr">
        <is>
          <t>Precot Meridian Limited</t>
        </is>
      </c>
      <c r="E40" s="25" t="inlineStr">
        <is>
          <t>textiles</t>
        </is>
      </c>
      <c r="F40" s="25" t="inlineStr">
        <is>
          <t>textiles - cotton/blended</t>
        </is>
      </c>
      <c r="G40" s="25" t="inlineStr">
        <is>
          <t>smallcap</t>
        </is>
      </c>
      <c r="H40" s="26" t="n">
        <v>915.1799999999999</v>
      </c>
      <c r="I40" s="26" t="n">
        <v>766.7</v>
      </c>
      <c r="J40" s="26" t="n">
        <v>0.53</v>
      </c>
      <c r="K40" s="26" t="n">
        <v>5661</v>
      </c>
      <c r="L40" s="26" t="n">
        <v>72.03</v>
      </c>
      <c r="M40" s="26" t="n">
        <v>37.55</v>
      </c>
      <c r="N40" s="26" t="n">
        <v>578</v>
      </c>
      <c r="O40" s="25" t="inlineStr">
        <is>
          <t>Near 52W High Breakout</t>
        </is>
      </c>
      <c r="P40" s="25" t="inlineStr">
        <is>
          <t>Growing Industry</t>
        </is>
      </c>
      <c r="Q40" s="25">
        <f>IF(P40="Growing Industry",10,IF(P40="Cyclical in an Upturn",5,0))</f>
        <v/>
      </c>
      <c r="R40" s="25" t="inlineStr">
        <is>
          <t>Too Many Players with High ROCE</t>
        </is>
      </c>
      <c r="S40" s="25">
        <f>IF(R40="Monopoly",10,IF(R40="Oligopoly",5,IF(R40="Duopoly that cooperate",10,IF(R40="Duopoly that compete",5,IF(R40="Too many players with High ROCE",5,0)))))</f>
        <v/>
      </c>
      <c r="T40" s="25" t="inlineStr">
        <is>
          <t>No</t>
        </is>
      </c>
      <c r="U40" s="25">
        <f>IF(T40="No",5,0)</f>
        <v/>
      </c>
      <c r="V40" s="25" t="inlineStr">
        <is>
          <t>Tailwind</t>
        </is>
      </c>
      <c r="W40" s="25">
        <f>IF(V40="Tailwind",10,0)</f>
        <v/>
      </c>
      <c r="X40" s="25" t="inlineStr">
        <is>
          <t>Structural (10 Years Consistency)</t>
        </is>
      </c>
      <c r="Y40" s="25">
        <f>IF(X40="Structural (10 Years Consistency)",10,IF(X40="Shallow Cyclical (2 to 3 years growth)",5,0))</f>
        <v/>
      </c>
      <c r="Z40" s="25" t="inlineStr">
        <is>
          <t>No</t>
        </is>
      </c>
      <c r="AA40" s="25">
        <f>IF(Z40="Yes due to Product Mix change or Operating Leverage",10,IF(Z40="Yes, these are peak margins",-5,IF(Z40="No",5,0)))</f>
        <v/>
      </c>
      <c r="AB40" s="25" t="inlineStr">
        <is>
          <t>Stable</t>
        </is>
      </c>
      <c r="AC40" s="25">
        <f>IF(AB40="Stable",10,0)</f>
        <v/>
      </c>
      <c r="AD40" s="25" t="inlineStr">
        <is>
          <t>Yes</t>
        </is>
      </c>
      <c r="AE40" s="25">
        <f>IF(AD40="Yes",10,0)</f>
        <v/>
      </c>
      <c r="AF40" s="25" t="inlineStr">
        <is>
          <t>B2B</t>
        </is>
      </c>
      <c r="AG40" s="25">
        <f>IF(AF40="B2C",10,IF(AF40="B2B",5,0))</f>
        <v/>
      </c>
      <c r="AH40" s="25" t="inlineStr">
        <is>
          <t>Yes</t>
        </is>
      </c>
      <c r="AI40" s="25">
        <f>IF(AH40="Yes",10,0)</f>
        <v/>
      </c>
      <c r="AJ40" s="25" t="inlineStr">
        <is>
          <t>Higher One Time, Lower Annuity</t>
        </is>
      </c>
      <c r="AK40" s="25">
        <f>IF(AJ40="Fully Annuity",10,IF(AJ40="Higher Annuity, Lower One Time",5,IF(AJ40="Higher One Time, Lower Annuity",3,0)))</f>
        <v/>
      </c>
      <c r="AL40" s="25" t="inlineStr">
        <is>
          <t>Good</t>
        </is>
      </c>
      <c r="AM40" s="25">
        <f>IF(AL40="Good",10,0)</f>
        <v/>
      </c>
      <c r="AN40" s="25" t="inlineStr">
        <is>
          <t>Yes for more than 2 years</t>
        </is>
      </c>
      <c r="AO40" s="25">
        <f>IF(AN40="Yes for more than 2 years",10,IF(AN40="Yes only for next 1 to 2 years",5,0))</f>
        <v/>
      </c>
      <c r="AP40" s="25" t="inlineStr">
        <is>
          <t>20 to 40</t>
        </is>
      </c>
      <c r="AQ40" s="25">
        <f>IF(AP40="Above 40",20,IF(AP40="20 to 40",10,IF(AP40="0 to 20",-5,0)))</f>
        <v/>
      </c>
      <c r="AR40" s="25" t="inlineStr">
        <is>
          <t>Between 50 to 75</t>
        </is>
      </c>
      <c r="AS40" s="25">
        <f>IF(AR40="Between 50 to 75",10,IF(AR40="Above 75",0,0))</f>
        <v/>
      </c>
      <c r="AT40" s="25" t="inlineStr">
        <is>
          <t>Stage 2</t>
        </is>
      </c>
      <c r="AU40" s="25">
        <f>IF(AT40="Stage 2",20,IF(AT40="Stage 1",0,IF(AT40="Stage 3",5,IF(AT40="Stage 4",-5,0))))</f>
        <v/>
      </c>
      <c r="AV40" s="25" t="inlineStr">
        <is>
          <t>Positive Trend</t>
        </is>
      </c>
      <c r="AW40" s="25">
        <f>IF(AV40="Positive Trend",20,IF(AV40="Negative Trend",-10,0))</f>
        <v/>
      </c>
      <c r="AX40" s="25" t="inlineStr">
        <is>
          <t>Uptrend</t>
        </is>
      </c>
      <c r="AY40" s="25">
        <f>IF(AX40="Uptrend",10,IF(AX40="Sideways",5,0))</f>
        <v/>
      </c>
      <c r="AZ40" s="25" t="inlineStr">
        <is>
          <t>Uptrend</t>
        </is>
      </c>
      <c r="BA40" s="25">
        <f>IF(AZ40="Uptrend",10,IF(AZ40="Sideways",5,0))</f>
        <v/>
      </c>
      <c r="BB40" s="25" t="inlineStr">
        <is>
          <t>Blue sky scenario</t>
        </is>
      </c>
      <c r="BC40" s="25">
        <f>IF(BB40="Overhead supply in last 2 years in last 2 years",-5,IF(BB40="Close to 52 week high or retracement",5,IF(BB40="Blue sky scenario",10,IF(BB40="Long term Downtrend",-10,0))))</f>
        <v/>
      </c>
      <c r="BD40" s="25" t="inlineStr">
        <is>
          <t>Yes</t>
        </is>
      </c>
      <c r="BE40" s="25">
        <f>IF(BD40="Yes",10,0)</f>
        <v/>
      </c>
      <c r="BF40" s="25" t="inlineStr">
        <is>
          <t>More than 20%</t>
        </is>
      </c>
      <c r="BG40" s="25">
        <f>IF(BF40="More than 20%",10,IF(BF40="Between 12 to 20%",5,IF(BF40="Less than 12%",0,0)))</f>
        <v/>
      </c>
      <c r="BH40" s="25" t="inlineStr">
        <is>
          <t>No</t>
        </is>
      </c>
      <c r="BI40" s="25">
        <f>IF(BH40="No",10,0)</f>
        <v/>
      </c>
      <c r="BJ40" s="25" t="inlineStr">
        <is>
          <t>No</t>
        </is>
      </c>
      <c r="BK40" s="25">
        <f>IF(BJ40="NO",5,0)</f>
        <v/>
      </c>
      <c r="BL40" s="25" t="inlineStr">
        <is>
          <t>Less than 1.5</t>
        </is>
      </c>
      <c r="BM40" s="25">
        <f>IF(BL40="Above 2",0,IF(BL40="Between 1.5 to 2",5,IF(BL40="Less than 1.5",10,0)))</f>
        <v/>
      </c>
      <c r="BN40" s="25" t="inlineStr">
        <is>
          <t>Above 70%</t>
        </is>
      </c>
      <c r="BO40" s="25">
        <f>IF(BN40="Above 70%",10,IF(BN40="Between 50% to 70%",5,IF(BN40="Less than 50%",0,IF(BN40="Negative",-10,IF(BN40="Less than 50% and Borrowings are increasing",-5,0)))))</f>
        <v/>
      </c>
      <c r="BP40" s="25" t="inlineStr">
        <is>
          <t>Between 0.7 to 1.2</t>
        </is>
      </c>
      <c r="BQ40" s="25">
        <f>IF(BP40="More than 1.2",-10,IF(BP40="Between 0.7 to 1.2",0,IF(BP40="Less than 0.7",10,0)))</f>
        <v/>
      </c>
      <c r="BR40" s="25" t="inlineStr">
        <is>
          <t>No</t>
        </is>
      </c>
      <c r="BS40" s="25">
        <f>IF(BR40="Yes",-10,0)</f>
        <v/>
      </c>
      <c r="BT40" s="25" t="inlineStr">
        <is>
          <t>Less than 15%</t>
        </is>
      </c>
      <c r="BU40" s="25">
        <f>IF(BT40="More than 15%",-10,IF(BT40="Less than 15%",10,0))</f>
        <v/>
      </c>
      <c r="BV40" s="25" t="inlineStr">
        <is>
          <t>No</t>
        </is>
      </c>
      <c r="BW40" s="25">
        <f>IF(BV40="Yes, more than 10%",-10,IF(BV40="No",10,0))</f>
        <v/>
      </c>
    </row>
    <row r="41">
      <c r="A41" s="25">
        <f>IF(B41=0,"",RANK(B41,$B$2:$B$292,0))</f>
        <v/>
      </c>
      <c r="B41" s="26">
        <f>SUM(Q41,S41,U41,W41,Y41,AA41,AC41,AE41,AG41,AI41,AK41,AM41,AO41,AQ41,AS41,AU41,AW41,AY41,BA41,BC41,BE41,BG41,BI41,BK41,BM41,BO41,BQ41,BS41,BU41,BW41)</f>
        <v/>
      </c>
      <c r="C41" s="25" t="inlineStr">
        <is>
          <t>SANGAMIND</t>
        </is>
      </c>
      <c r="D41" s="25" t="inlineStr">
        <is>
          <t>Sangam (india) Limited</t>
        </is>
      </c>
      <c r="E41" s="25" t="inlineStr">
        <is>
          <t>textiles</t>
        </is>
      </c>
      <c r="F41" s="25" t="inlineStr">
        <is>
          <t>textiles - spinning - synthetic / blended</t>
        </is>
      </c>
      <c r="G41" s="25" t="inlineStr">
        <is>
          <t>smallcap</t>
        </is>
      </c>
      <c r="H41" s="26" t="n">
        <v>2641.71</v>
      </c>
      <c r="I41" s="26" t="n">
        <v>527.2</v>
      </c>
      <c r="J41" s="26" t="n">
        <v>0.28</v>
      </c>
      <c r="K41" s="26" t="n">
        <v>32615</v>
      </c>
      <c r="L41" s="26" t="n">
        <v>64.05</v>
      </c>
      <c r="M41" s="26" t="n">
        <v>26.44</v>
      </c>
      <c r="N41" s="26" t="n">
        <v>404.42</v>
      </c>
      <c r="O41" s="25" t="inlineStr">
        <is>
          <t>Near 52W High Breakout</t>
        </is>
      </c>
      <c r="P41" s="25" t="inlineStr">
        <is>
          <t>Growing Industry</t>
        </is>
      </c>
      <c r="Q41" s="25">
        <f>IF(P41="Growing Industry",10,IF(P41="Cyclical in an Upturn",5,0))</f>
        <v/>
      </c>
      <c r="R41" s="25" t="inlineStr">
        <is>
          <t>Too Many Players with High ROCE</t>
        </is>
      </c>
      <c r="S41" s="25">
        <f>IF(R41="Monopoly",10,IF(R41="Oligopoly",5,IF(R41="Duopoly that cooperate",10,IF(R41="Duopoly that compete",5,IF(R41="Too many players with High ROCE",5,0)))))</f>
        <v/>
      </c>
      <c r="T41" s="25" t="inlineStr">
        <is>
          <t>No</t>
        </is>
      </c>
      <c r="U41" s="25">
        <f>IF(T41="No",5,0)</f>
        <v/>
      </c>
      <c r="V41" s="25" t="inlineStr">
        <is>
          <t>Tailwind</t>
        </is>
      </c>
      <c r="W41" s="25">
        <f>IF(V41="Tailwind",10,0)</f>
        <v/>
      </c>
      <c r="X41" s="25" t="inlineStr">
        <is>
          <t>Structural (10 Years Consistency)</t>
        </is>
      </c>
      <c r="Y41" s="25">
        <f>IF(X41="Structural (10 Years Consistency)",10,IF(X41="Shallow Cyclical (2 to 3 years growth)",5,0))</f>
        <v/>
      </c>
      <c r="Z41" s="25" t="inlineStr">
        <is>
          <t>No</t>
        </is>
      </c>
      <c r="AA41" s="25">
        <f>IF(Z41="Yes due to Product Mix change or Operating Leverage",10,IF(Z41="Yes, these are peak margins",-5,IF(Z41="No",5,0)))</f>
        <v/>
      </c>
      <c r="AB41" s="25" t="inlineStr">
        <is>
          <t>Stable</t>
        </is>
      </c>
      <c r="AC41" s="25">
        <f>IF(AB41="Stable",10,0)</f>
        <v/>
      </c>
      <c r="AD41" s="25" t="inlineStr">
        <is>
          <t>Yes</t>
        </is>
      </c>
      <c r="AE41" s="25">
        <f>IF(AD41="Yes",10,0)</f>
        <v/>
      </c>
      <c r="AF41" s="25" t="inlineStr">
        <is>
          <t>B2B</t>
        </is>
      </c>
      <c r="AG41" s="25">
        <f>IF(AF41="B2C",10,IF(AF41="B2B",5,0))</f>
        <v/>
      </c>
      <c r="AH41" s="25" t="inlineStr">
        <is>
          <t>Yes</t>
        </is>
      </c>
      <c r="AI41" s="25">
        <f>IF(AH41="Yes",10,0)</f>
        <v/>
      </c>
      <c r="AJ41" s="25" t="inlineStr">
        <is>
          <t>Higher One Time, Lower Annuity</t>
        </is>
      </c>
      <c r="AK41" s="25">
        <f>IF(AJ41="Fully Annuity",10,IF(AJ41="Higher Annuity, Lower One Time",5,IF(AJ41="Higher One Time, Lower Annuity",3,0)))</f>
        <v/>
      </c>
      <c r="AL41" s="25" t="inlineStr">
        <is>
          <t>Good</t>
        </is>
      </c>
      <c r="AM41" s="25">
        <f>IF(AL41="Good",10,0)</f>
        <v/>
      </c>
      <c r="AN41" s="25" t="inlineStr">
        <is>
          <t>Yes for more than 2 years</t>
        </is>
      </c>
      <c r="AO41" s="25">
        <f>IF(AN41="Yes for more than 2 years",10,IF(AN41="Yes only for next 1 to 2 years",5,0))</f>
        <v/>
      </c>
      <c r="AP41" s="25" t="inlineStr">
        <is>
          <t>20 to 40</t>
        </is>
      </c>
      <c r="AQ41" s="25">
        <f>IF(AP41="Above 40",20,IF(AP41="20 to 40",10,IF(AP41="0 to 20",-5,0)))</f>
        <v/>
      </c>
      <c r="AR41" s="25" t="inlineStr">
        <is>
          <t>Between 50 to 75</t>
        </is>
      </c>
      <c r="AS41" s="25">
        <f>IF(AR41="Between 50 to 75",10,IF(AR41="Above 75",0,0))</f>
        <v/>
      </c>
      <c r="AT41" s="25" t="inlineStr">
        <is>
          <t>Stage 2</t>
        </is>
      </c>
      <c r="AU41" s="25">
        <f>IF(AT41="Stage 2",20,IF(AT41="Stage 1",0,IF(AT41="Stage 3",5,IF(AT41="Stage 4",-5,0))))</f>
        <v/>
      </c>
      <c r="AV41" s="25" t="inlineStr">
        <is>
          <t>Positive Trend</t>
        </is>
      </c>
      <c r="AW41" s="25">
        <f>IF(AV41="Positive Trend",20,IF(AV41="Negative Trend",-10,0))</f>
        <v/>
      </c>
      <c r="AX41" s="25" t="inlineStr">
        <is>
          <t>Uptrend</t>
        </is>
      </c>
      <c r="AY41" s="25">
        <f>IF(AX41="Uptrend",10,IF(AX41="Sideways",5,0))</f>
        <v/>
      </c>
      <c r="AZ41" s="25" t="inlineStr">
        <is>
          <t>Uptrend</t>
        </is>
      </c>
      <c r="BA41" s="25">
        <f>IF(AZ41="Uptrend",10,IF(AZ41="Sideways",5,0))</f>
        <v/>
      </c>
      <c r="BB41" s="25" t="inlineStr">
        <is>
          <t>Blue sky scenario</t>
        </is>
      </c>
      <c r="BC41" s="25">
        <f>IF(BB41="Overhead supply in last 2 years in last 2 years",-5,IF(BB41="Close to 52 week high or retracement",5,IF(BB41="Blue sky scenario",10,IF(BB41="Long term Downtrend",-10,0))))</f>
        <v/>
      </c>
      <c r="BD41" s="25" t="inlineStr">
        <is>
          <t>Yes</t>
        </is>
      </c>
      <c r="BE41" s="25">
        <f>IF(BD41="Yes",10,0)</f>
        <v/>
      </c>
      <c r="BF41" s="25" t="inlineStr">
        <is>
          <t>More than 20%</t>
        </is>
      </c>
      <c r="BG41" s="25">
        <f>IF(BF41="More than 20%",10,IF(BF41="Between 12 to 20%",5,IF(BF41="Less than 12%",0,0)))</f>
        <v/>
      </c>
      <c r="BH41" s="25" t="inlineStr">
        <is>
          <t>No</t>
        </is>
      </c>
      <c r="BI41" s="25">
        <f>IF(BH41="No",10,0)</f>
        <v/>
      </c>
      <c r="BJ41" s="25" t="inlineStr">
        <is>
          <t>No</t>
        </is>
      </c>
      <c r="BK41" s="25">
        <f>IF(BJ41="NO",5,0)</f>
        <v/>
      </c>
      <c r="BL41" s="25" t="inlineStr">
        <is>
          <t>Less than 1.5</t>
        </is>
      </c>
      <c r="BM41" s="25">
        <f>IF(BL41="Above 2",0,IF(BL41="Between 1.5 to 2",5,IF(BL41="Less than 1.5",10,0)))</f>
        <v/>
      </c>
      <c r="BN41" s="25" t="inlineStr">
        <is>
          <t>Above 70%</t>
        </is>
      </c>
      <c r="BO41" s="25">
        <f>IF(BN41="Above 70%",10,IF(BN41="Between 50% to 70%",5,IF(BN41="Less than 50%",0,IF(BN41="Negative",-10,IF(BN41="Less than 50% and Borrowings are increasing",-5,0)))))</f>
        <v/>
      </c>
      <c r="BP41" s="25" t="inlineStr">
        <is>
          <t>Between 0.7 to 1.2</t>
        </is>
      </c>
      <c r="BQ41" s="25">
        <f>IF(BP41="More than 1.2",-10,IF(BP41="Between 0.7 to 1.2",0,IF(BP41="Less than 0.7",10,0)))</f>
        <v/>
      </c>
      <c r="BR41" s="25" t="inlineStr">
        <is>
          <t>No</t>
        </is>
      </c>
      <c r="BS41" s="25">
        <f>IF(BR41="Yes",-10,0)</f>
        <v/>
      </c>
      <c r="BT41" s="25" t="inlineStr">
        <is>
          <t>Less than 15%</t>
        </is>
      </c>
      <c r="BU41" s="25">
        <f>IF(BT41="More than 15%",-10,IF(BT41="Less than 15%",10,0))</f>
        <v/>
      </c>
      <c r="BV41" s="25" t="inlineStr">
        <is>
          <t>No</t>
        </is>
      </c>
      <c r="BW41" s="25">
        <f>IF(BV41="Yes, more than 10%",-10,IF(BV41="No",10,0))</f>
        <v/>
      </c>
    </row>
    <row r="42">
      <c r="A42" s="25">
        <f>IF(B42=0,"",RANK(B42,$B$2:$B$292,0))</f>
        <v/>
      </c>
      <c r="B42" s="26">
        <f>SUM(Q42,S42,U42,W42,Y42,AA42,AC42,AE42,AG42,AI42,AK42,AM42,AO42,AQ42,AS42,AU42,AW42,AY42,BA42,BC42,BE42,BG42,BI42,BK42,BM42,BO42,BQ42,BS42,BU42,BW42)</f>
        <v/>
      </c>
      <c r="C42" s="25" t="inlineStr">
        <is>
          <t>MENONBE</t>
        </is>
      </c>
      <c r="D42" s="25" t="inlineStr">
        <is>
          <t>Menon Bearings Limited</t>
        </is>
      </c>
      <c r="E42" s="25" t="inlineStr">
        <is>
          <t>auto</t>
        </is>
      </c>
      <c r="F42" s="25" t="inlineStr">
        <is>
          <t>auto ancillaries</t>
        </is>
      </c>
      <c r="G42" s="25" t="inlineStr">
        <is>
          <t>smallcap</t>
        </is>
      </c>
      <c r="H42" s="26" t="n">
        <v>798.1799999999999</v>
      </c>
      <c r="I42" s="26" t="n">
        <v>142.28</v>
      </c>
      <c r="J42" s="26" t="n">
        <v>-0.11</v>
      </c>
      <c r="K42" s="26" t="n">
        <v>61228</v>
      </c>
      <c r="L42" s="26" t="n">
        <v>61.94</v>
      </c>
      <c r="M42" s="26" t="n">
        <v>26.47</v>
      </c>
      <c r="N42" s="26" t="n">
        <v>111.62</v>
      </c>
      <c r="O42" s="25" t="inlineStr">
        <is>
          <t>Near 52W High Breakout</t>
        </is>
      </c>
      <c r="P42" s="25" t="inlineStr">
        <is>
          <t>Growing Industry</t>
        </is>
      </c>
      <c r="Q42" s="25">
        <f>IF(P42="Growing Industry",10,IF(P42="Cyclical in an Upturn",5,0))</f>
        <v/>
      </c>
      <c r="R42" s="25" t="inlineStr">
        <is>
          <t>Too Many Players with High ROCE</t>
        </is>
      </c>
      <c r="S42" s="25">
        <f>IF(R42="Monopoly",10,IF(R42="Oligopoly",5,IF(R42="Duopoly that cooperate",10,IF(R42="Duopoly that compete",5,IF(R42="Too many players with High ROCE",5,0)))))</f>
        <v/>
      </c>
      <c r="T42" s="25" t="inlineStr">
        <is>
          <t>No</t>
        </is>
      </c>
      <c r="U42" s="25">
        <f>IF(T42="No",5,0)</f>
        <v/>
      </c>
      <c r="V42" s="25" t="inlineStr">
        <is>
          <t>Tailwind</t>
        </is>
      </c>
      <c r="W42" s="25">
        <f>IF(V42="Tailwind",10,0)</f>
        <v/>
      </c>
      <c r="X42" s="25" t="inlineStr">
        <is>
          <t>Structural (10 Years Consistency)</t>
        </is>
      </c>
      <c r="Y42" s="25">
        <f>IF(X42="Structural (10 Years Consistency)",10,IF(X42="Shallow Cyclical (2 to 3 years growth)",5,0))</f>
        <v/>
      </c>
      <c r="Z42" s="25" t="inlineStr">
        <is>
          <t>No</t>
        </is>
      </c>
      <c r="AA42" s="25">
        <f>IF(Z42="Yes due to Product Mix change or Operating Leverage",10,IF(Z42="Yes, these are peak margins",-5,IF(Z42="No",5,0)))</f>
        <v/>
      </c>
      <c r="AB42" s="25" t="inlineStr">
        <is>
          <t>Stable</t>
        </is>
      </c>
      <c r="AC42" s="25">
        <f>IF(AB42="Stable",10,0)</f>
        <v/>
      </c>
      <c r="AD42" s="25" t="inlineStr">
        <is>
          <t>Yes</t>
        </is>
      </c>
      <c r="AE42" s="25">
        <f>IF(AD42="Yes",10,0)</f>
        <v/>
      </c>
      <c r="AF42" s="25" t="inlineStr">
        <is>
          <t>B2B</t>
        </is>
      </c>
      <c r="AG42" s="25">
        <f>IF(AF42="B2C",10,IF(AF42="B2B",5,0))</f>
        <v/>
      </c>
      <c r="AH42" s="25" t="inlineStr">
        <is>
          <t>Yes</t>
        </is>
      </c>
      <c r="AI42" s="25">
        <f>IF(AH42="Yes",10,0)</f>
        <v/>
      </c>
      <c r="AJ42" s="25" t="inlineStr">
        <is>
          <t>Higher One Time, Lower Annuity</t>
        </is>
      </c>
      <c r="AK42" s="25">
        <f>IF(AJ42="Fully Annuity",10,IF(AJ42="Higher Annuity, Lower One Time",5,IF(AJ42="Higher One Time, Lower Annuity",3,0)))</f>
        <v/>
      </c>
      <c r="AL42" s="25" t="inlineStr">
        <is>
          <t>Good</t>
        </is>
      </c>
      <c r="AM42" s="25">
        <f>IF(AL42="Good",10,0)</f>
        <v/>
      </c>
      <c r="AN42" s="25" t="inlineStr">
        <is>
          <t>Yes for more than 2 years</t>
        </is>
      </c>
      <c r="AO42" s="25">
        <f>IF(AN42="Yes for more than 2 years",10,IF(AN42="Yes only for next 1 to 2 years",5,0))</f>
        <v/>
      </c>
      <c r="AP42" s="25" t="inlineStr">
        <is>
          <t>20 to 40</t>
        </is>
      </c>
      <c r="AQ42" s="25">
        <f>IF(AP42="Above 40",20,IF(AP42="20 to 40",10,IF(AP42="0 to 20",-5,0)))</f>
        <v/>
      </c>
      <c r="AR42" s="25" t="inlineStr">
        <is>
          <t>Between 50 to 75</t>
        </is>
      </c>
      <c r="AS42" s="25">
        <f>IF(AR42="Between 50 to 75",10,IF(AR42="Above 75",0,0))</f>
        <v/>
      </c>
      <c r="AT42" s="25" t="inlineStr">
        <is>
          <t>Stage 2</t>
        </is>
      </c>
      <c r="AU42" s="25">
        <f>IF(AT42="Stage 2",20,IF(AT42="Stage 1",0,IF(AT42="Stage 3",5,IF(AT42="Stage 4",-5,0))))</f>
        <v/>
      </c>
      <c r="AV42" s="25" t="inlineStr">
        <is>
          <t>Positive Trend</t>
        </is>
      </c>
      <c r="AW42" s="25">
        <f>IF(AV42="Positive Trend",20,IF(AV42="Negative Trend",-10,0))</f>
        <v/>
      </c>
      <c r="AX42" s="25" t="inlineStr">
        <is>
          <t>Uptrend</t>
        </is>
      </c>
      <c r="AY42" s="25">
        <f>IF(AX42="Uptrend",10,IF(AX42="Sideways",5,0))</f>
        <v/>
      </c>
      <c r="AZ42" s="25" t="inlineStr">
        <is>
          <t>Uptrend</t>
        </is>
      </c>
      <c r="BA42" s="25">
        <f>IF(AZ42="Uptrend",10,IF(AZ42="Sideways",5,0))</f>
        <v/>
      </c>
      <c r="BB42" s="25" t="inlineStr">
        <is>
          <t>Blue sky scenario</t>
        </is>
      </c>
      <c r="BC42" s="25">
        <f>IF(BB42="Overhead supply in last 2 years in last 2 years",-5,IF(BB42="Close to 52 week high or retracement",5,IF(BB42="Blue sky scenario",10,IF(BB42="Long term Downtrend",-10,0))))</f>
        <v/>
      </c>
      <c r="BD42" s="25" t="inlineStr">
        <is>
          <t>Yes</t>
        </is>
      </c>
      <c r="BE42" s="25">
        <f>IF(BD42="Yes",10,0)</f>
        <v/>
      </c>
      <c r="BF42" s="25" t="inlineStr">
        <is>
          <t>More than 20%</t>
        </is>
      </c>
      <c r="BG42" s="25">
        <f>IF(BF42="More than 20%",10,IF(BF42="Between 12 to 20%",5,IF(BF42="Less than 12%",0,0)))</f>
        <v/>
      </c>
      <c r="BH42" s="25" t="inlineStr">
        <is>
          <t>No</t>
        </is>
      </c>
      <c r="BI42" s="25">
        <f>IF(BH42="No",10,0)</f>
        <v/>
      </c>
      <c r="BJ42" s="25" t="inlineStr">
        <is>
          <t>No</t>
        </is>
      </c>
      <c r="BK42" s="25">
        <f>IF(BJ42="NO",5,0)</f>
        <v/>
      </c>
      <c r="BL42" s="25" t="inlineStr">
        <is>
          <t>Less than 1.5</t>
        </is>
      </c>
      <c r="BM42" s="25">
        <f>IF(BL42="Above 2",0,IF(BL42="Between 1.5 to 2",5,IF(BL42="Less than 1.5",10,0)))</f>
        <v/>
      </c>
      <c r="BN42" s="25" t="inlineStr">
        <is>
          <t>Less than 50%</t>
        </is>
      </c>
      <c r="BO42" s="25">
        <f>IF(BN42="Above 70%",10,IF(BN42="Between 50% to 70%",5,IF(BN42="Less than 50%",0,IF(BN42="Negative",-10,IF(BN42="Less than 50% and Borrowings are increasing",-5,0)))))</f>
        <v/>
      </c>
      <c r="BP42" s="25" t="inlineStr">
        <is>
          <t>Less than 0.7</t>
        </is>
      </c>
      <c r="BQ42" s="25">
        <f>IF(BP42="More than 1.2",-10,IF(BP42="Between 0.7 to 1.2",0,IF(BP42="Less than 0.7",10,0)))</f>
        <v/>
      </c>
      <c r="BR42" s="25" t="inlineStr">
        <is>
          <t>No</t>
        </is>
      </c>
      <c r="BS42" s="25">
        <f>IF(BR42="Yes",-10,0)</f>
        <v/>
      </c>
      <c r="BT42" s="25" t="inlineStr">
        <is>
          <t>Less than 15%</t>
        </is>
      </c>
      <c r="BU42" s="25">
        <f>IF(BT42="More than 15%",-10,IF(BT42="Less than 15%",10,0))</f>
        <v/>
      </c>
      <c r="BV42" s="25" t="inlineStr">
        <is>
          <t>No</t>
        </is>
      </c>
      <c r="BW42" s="25">
        <f>IF(BV42="Yes, more than 10%",-10,IF(BV42="No",10,0))</f>
        <v/>
      </c>
    </row>
    <row r="43">
      <c r="A43" s="25">
        <f>IF(B43=0,"",RANK(B43,$B$2:$B$292,0))</f>
        <v/>
      </c>
      <c r="B43" s="26">
        <f>SUM(Q43,S43,U43,W43,Y43,AA43,AC43,AE43,AG43,AI43,AK43,AM43,AO43,AQ43,AS43,AU43,AW43,AY43,BA43,BC43,BE43,BG43,BI43,BK43,BM43,BO43,BQ43,BS43,BU43,BW43)</f>
        <v/>
      </c>
      <c r="C43" s="25" t="inlineStr">
        <is>
          <t>RPTECH</t>
        </is>
      </c>
      <c r="D43" s="25" t="inlineStr">
        <is>
          <t>Rashi Peripherals Ltd</t>
        </is>
      </c>
      <c r="E43" s="25" t="inlineStr">
        <is>
          <t>services</t>
        </is>
      </c>
      <c r="F43" s="25" t="inlineStr">
        <is>
          <t>trading</t>
        </is>
      </c>
      <c r="G43" s="25" t="inlineStr">
        <is>
          <t>smallcap</t>
        </is>
      </c>
      <c r="H43" s="26" t="n">
        <v>3661.06</v>
      </c>
      <c r="I43" s="26" t="n">
        <v>554.2</v>
      </c>
      <c r="J43" s="26" t="n">
        <v>-0.24</v>
      </c>
      <c r="K43" s="26" t="n">
        <v>244051</v>
      </c>
      <c r="L43" s="26" t="n">
        <v>78</v>
      </c>
      <c r="M43" s="26" t="n">
        <v>45.85</v>
      </c>
      <c r="N43" s="26" t="n">
        <v>430.39</v>
      </c>
      <c r="O43" s="25" t="inlineStr">
        <is>
          <t>Near 52W High Breakout</t>
        </is>
      </c>
      <c r="P43" s="25" t="inlineStr">
        <is>
          <t>Growing Industry</t>
        </is>
      </c>
      <c r="Q43" s="25">
        <f>IF(P43="Growing Industry",10,IF(P43="Cyclical in an Upturn",5,0))</f>
        <v/>
      </c>
      <c r="R43" s="25" t="inlineStr">
        <is>
          <t>Too Many Players with High ROCE</t>
        </is>
      </c>
      <c r="S43" s="25">
        <f>IF(R43="Monopoly",10,IF(R43="Oligopoly",5,IF(R43="Duopoly that cooperate",10,IF(R43="Duopoly that compete",5,IF(R43="Too many players with High ROCE",5,0)))))</f>
        <v/>
      </c>
      <c r="T43" s="25" t="inlineStr">
        <is>
          <t>No</t>
        </is>
      </c>
      <c r="U43" s="25">
        <f>IF(T43="No",5,0)</f>
        <v/>
      </c>
      <c r="V43" s="25" t="inlineStr">
        <is>
          <t>Tailwind</t>
        </is>
      </c>
      <c r="W43" s="25">
        <f>IF(V43="Tailwind",10,0)</f>
        <v/>
      </c>
      <c r="X43" s="25" t="inlineStr">
        <is>
          <t>Structural (10 Years Consistency)</t>
        </is>
      </c>
      <c r="Y43" s="25">
        <f>IF(X43="Structural (10 Years Consistency)",10,IF(X43="Shallow Cyclical (2 to 3 years growth)",5,0))</f>
        <v/>
      </c>
      <c r="Z43" s="25" t="inlineStr">
        <is>
          <t>No</t>
        </is>
      </c>
      <c r="AA43" s="25">
        <f>IF(Z43="Yes due to Product Mix change or Operating Leverage",10,IF(Z43="Yes, these are peak margins",-5,IF(Z43="No",5,0)))</f>
        <v/>
      </c>
      <c r="AB43" s="25" t="inlineStr">
        <is>
          <t>Stable</t>
        </is>
      </c>
      <c r="AC43" s="25">
        <f>IF(AB43="Stable",10,0)</f>
        <v/>
      </c>
      <c r="AD43" s="25" t="inlineStr">
        <is>
          <t>Yes</t>
        </is>
      </c>
      <c r="AE43" s="25">
        <f>IF(AD43="Yes",10,0)</f>
        <v/>
      </c>
      <c r="AF43" s="25" t="inlineStr">
        <is>
          <t>B2B</t>
        </is>
      </c>
      <c r="AG43" s="25">
        <f>IF(AF43="B2C",10,IF(AF43="B2B",5,0))</f>
        <v/>
      </c>
      <c r="AH43" s="25" t="inlineStr">
        <is>
          <t>Yes</t>
        </is>
      </c>
      <c r="AI43" s="25">
        <f>IF(AH43="Yes",10,0)</f>
        <v/>
      </c>
      <c r="AJ43" s="25" t="inlineStr">
        <is>
          <t>Higher One Time, Lower Annuity</t>
        </is>
      </c>
      <c r="AK43" s="25">
        <f>IF(AJ43="Fully Annuity",10,IF(AJ43="Higher Annuity, Lower One Time",5,IF(AJ43="Higher One Time, Lower Annuity",3,0)))</f>
        <v/>
      </c>
      <c r="AL43" s="25" t="inlineStr">
        <is>
          <t>Good</t>
        </is>
      </c>
      <c r="AM43" s="25">
        <f>IF(AL43="Good",10,0)</f>
        <v/>
      </c>
      <c r="AN43" s="25" t="inlineStr">
        <is>
          <t>Yes for more than 2 years</t>
        </is>
      </c>
      <c r="AO43" s="25">
        <f>IF(AN43="Yes for more than 2 years",10,IF(AN43="Yes only for next 1 to 2 years",5,0))</f>
        <v/>
      </c>
      <c r="AP43" s="25" t="inlineStr">
        <is>
          <t>Above 40</t>
        </is>
      </c>
      <c r="AQ43" s="25">
        <f>IF(AP43="Above 40",20,IF(AP43="20 to 40",10,IF(AP43="0 to 20",-5,0)))</f>
        <v/>
      </c>
      <c r="AR43" s="25" t="inlineStr">
        <is>
          <t>Above 75</t>
        </is>
      </c>
      <c r="AS43" s="25">
        <f>IF(AR43="Between 50 to 75",10,IF(AR43="Above 75",0,0))</f>
        <v/>
      </c>
      <c r="AT43" s="25" t="inlineStr">
        <is>
          <t>Stage 2</t>
        </is>
      </c>
      <c r="AU43" s="25">
        <f>IF(AT43="Stage 2",20,IF(AT43="Stage 1",0,IF(AT43="Stage 3",5,IF(AT43="Stage 4",-5,0))))</f>
        <v/>
      </c>
      <c r="AV43" s="25" t="inlineStr">
        <is>
          <t>Positive Trend</t>
        </is>
      </c>
      <c r="AW43" s="25">
        <f>IF(AV43="Positive Trend",20,IF(AV43="Negative Trend",-10,0))</f>
        <v/>
      </c>
      <c r="AX43" s="25" t="inlineStr">
        <is>
          <t>Uptrend</t>
        </is>
      </c>
      <c r="AY43" s="25">
        <f>IF(AX43="Uptrend",10,IF(AX43="Sideways",5,0))</f>
        <v/>
      </c>
      <c r="AZ43" s="25" t="inlineStr">
        <is>
          <t>Uptrend</t>
        </is>
      </c>
      <c r="BA43" s="25">
        <f>IF(AZ43="Uptrend",10,IF(AZ43="Sideways",5,0))</f>
        <v/>
      </c>
      <c r="BB43" s="25" t="inlineStr">
        <is>
          <t>Blue sky scenario</t>
        </is>
      </c>
      <c r="BC43" s="25">
        <f>IF(BB43="Overhead supply in last 2 years in last 2 years",-5,IF(BB43="Close to 52 week high or retracement",5,IF(BB43="Blue sky scenario",10,IF(BB43="Long term Downtrend",-10,0))))</f>
        <v/>
      </c>
      <c r="BD43" s="25" t="inlineStr">
        <is>
          <t>Yes</t>
        </is>
      </c>
      <c r="BE43" s="25">
        <f>IF(BD43="Yes",10,0)</f>
        <v/>
      </c>
      <c r="BF43" s="25" t="inlineStr">
        <is>
          <t>More than 20%</t>
        </is>
      </c>
      <c r="BG43" s="25">
        <f>IF(BF43="More than 20%",10,IF(BF43="Between 12 to 20%",5,IF(BF43="Less than 12%",0,0)))</f>
        <v/>
      </c>
      <c r="BH43" s="25" t="inlineStr">
        <is>
          <t>No</t>
        </is>
      </c>
      <c r="BI43" s="25">
        <f>IF(BH43="No",10,0)</f>
        <v/>
      </c>
      <c r="BJ43" s="25" t="inlineStr">
        <is>
          <t>No</t>
        </is>
      </c>
      <c r="BK43" s="25">
        <f>IF(BJ43="NO",5,0)</f>
        <v/>
      </c>
      <c r="BL43" s="25" t="inlineStr">
        <is>
          <t>Less than 1.5</t>
        </is>
      </c>
      <c r="BM43" s="25">
        <f>IF(BL43="Above 2",0,IF(BL43="Between 1.5 to 2",5,IF(BL43="Less than 1.5",10,0)))</f>
        <v/>
      </c>
      <c r="BN43" s="25" t="inlineStr">
        <is>
          <t>Less than 50%</t>
        </is>
      </c>
      <c r="BO43" s="25">
        <f>IF(BN43="Above 70%",10,IF(BN43="Between 50% to 70%",5,IF(BN43="Less than 50%",0,IF(BN43="Negative",-10,IF(BN43="Less than 50% and Borrowings are increasing",-5,0)))))</f>
        <v/>
      </c>
      <c r="BP43" s="25" t="inlineStr">
        <is>
          <t>Less than 0.7</t>
        </is>
      </c>
      <c r="BQ43" s="25">
        <f>IF(BP43="More than 1.2",-10,IF(BP43="Between 0.7 to 1.2",0,IF(BP43="Less than 0.7",10,0)))</f>
        <v/>
      </c>
      <c r="BR43" s="25" t="inlineStr">
        <is>
          <t>No</t>
        </is>
      </c>
      <c r="BS43" s="25">
        <f>IF(BR43="Yes",-10,0)</f>
        <v/>
      </c>
      <c r="BT43" s="25" t="inlineStr">
        <is>
          <t>Less than 15%</t>
        </is>
      </c>
      <c r="BU43" s="25">
        <f>IF(BT43="More than 15%",-10,IF(BT43="Less than 15%",10,0))</f>
        <v/>
      </c>
      <c r="BV43" s="25" t="inlineStr">
        <is>
          <t>No</t>
        </is>
      </c>
      <c r="BW43" s="25">
        <f>IF(BV43="Yes, more than 10%",-10,IF(BV43="No",10,0))</f>
        <v/>
      </c>
    </row>
    <row r="44">
      <c r="A44" s="25">
        <f>IF(B44=0,"",RANK(B44,$B$2:$B$292,0))</f>
        <v/>
      </c>
      <c r="B44" s="26">
        <f>SUM(Q44,S44,U44,W44,Y44,AA44,AC44,AE44,AG44,AI44,AK44,AM44,AO44,AQ44,AS44,AU44,AW44,AY44,BA44,BC44,BE44,BG44,BI44,BK44,BM44,BO44,BQ44,BS44,BU44,BW44)</f>
        <v/>
      </c>
      <c r="C44" s="25" t="inlineStr">
        <is>
          <t>PASUPTAC</t>
        </is>
      </c>
      <c r="D44" s="25" t="inlineStr">
        <is>
          <t>Pasupati Acrylon Ltd</t>
        </is>
      </c>
      <c r="E44" s="25" t="inlineStr">
        <is>
          <t>textiles</t>
        </is>
      </c>
      <c r="F44" s="25" t="inlineStr">
        <is>
          <t>textiles - manmade</t>
        </is>
      </c>
      <c r="G44" s="25" t="inlineStr">
        <is>
          <t>smallcap</t>
        </is>
      </c>
      <c r="H44" s="26" t="n">
        <v>617.4299999999999</v>
      </c>
      <c r="I44" s="26" t="n">
        <v>68.09</v>
      </c>
      <c r="J44" s="26" t="n">
        <v>-1.7</v>
      </c>
      <c r="K44" s="26" t="n">
        <v>2607829</v>
      </c>
      <c r="L44" s="26" t="n">
        <v>71.11</v>
      </c>
      <c r="M44" s="26" t="n">
        <v>28.19</v>
      </c>
      <c r="N44" s="26" t="n">
        <v>48.64</v>
      </c>
      <c r="O44" s="25" t="inlineStr">
        <is>
          <t>Volume Spike &amp; Near 52W High Breakout</t>
        </is>
      </c>
      <c r="P44" s="25" t="inlineStr">
        <is>
          <t>Growing Industry</t>
        </is>
      </c>
      <c r="Q44" s="25">
        <f>IF(P44="Growing Industry",10,IF(P44="Cyclical in an Upturn",5,0))</f>
        <v/>
      </c>
      <c r="R44" s="25" t="inlineStr">
        <is>
          <t>Too Many Players with High ROCE</t>
        </is>
      </c>
      <c r="S44" s="25">
        <f>IF(R44="Monopoly",10,IF(R44="Oligopoly",5,IF(R44="Duopoly that cooperate",10,IF(R44="Duopoly that compete",5,IF(R44="Too many players with High ROCE",5,0)))))</f>
        <v/>
      </c>
      <c r="T44" s="25" t="inlineStr">
        <is>
          <t>No</t>
        </is>
      </c>
      <c r="U44" s="25">
        <f>IF(T44="No",5,0)</f>
        <v/>
      </c>
      <c r="V44" s="25" t="inlineStr">
        <is>
          <t>Tailwind</t>
        </is>
      </c>
      <c r="W44" s="25">
        <f>IF(V44="Tailwind",10,0)</f>
        <v/>
      </c>
      <c r="X44" s="25" t="inlineStr">
        <is>
          <t>Structural (10 Years Consistency)</t>
        </is>
      </c>
      <c r="Y44" s="25">
        <f>IF(X44="Structural (10 Years Consistency)",10,IF(X44="Shallow Cyclical (2 to 3 years growth)",5,0))</f>
        <v/>
      </c>
      <c r="Z44" s="25" t="inlineStr">
        <is>
          <t>No</t>
        </is>
      </c>
      <c r="AA44" s="25">
        <f>IF(Z44="Yes due to Product Mix change or Operating Leverage",10,IF(Z44="Yes, these are peak margins",-5,IF(Z44="No",5,0)))</f>
        <v/>
      </c>
      <c r="AB44" s="25" t="inlineStr">
        <is>
          <t>Stable</t>
        </is>
      </c>
      <c r="AC44" s="25">
        <f>IF(AB44="Stable",10,0)</f>
        <v/>
      </c>
      <c r="AD44" s="25" t="inlineStr">
        <is>
          <t>Yes</t>
        </is>
      </c>
      <c r="AE44" s="25">
        <f>IF(AD44="Yes",10,0)</f>
        <v/>
      </c>
      <c r="AF44" s="25" t="inlineStr">
        <is>
          <t>B2B</t>
        </is>
      </c>
      <c r="AG44" s="25">
        <f>IF(AF44="B2C",10,IF(AF44="B2B",5,0))</f>
        <v/>
      </c>
      <c r="AH44" s="25" t="inlineStr">
        <is>
          <t>Yes</t>
        </is>
      </c>
      <c r="AI44" s="25">
        <f>IF(AH44="Yes",10,0)</f>
        <v/>
      </c>
      <c r="AJ44" s="25" t="inlineStr">
        <is>
          <t>Higher One Time, Lower Annuity</t>
        </is>
      </c>
      <c r="AK44" s="25">
        <f>IF(AJ44="Fully Annuity",10,IF(AJ44="Higher Annuity, Lower One Time",5,IF(AJ44="Higher One Time, Lower Annuity",3,0)))</f>
        <v/>
      </c>
      <c r="AL44" s="25" t="inlineStr">
        <is>
          <t>Good</t>
        </is>
      </c>
      <c r="AM44" s="25">
        <f>IF(AL44="Good",10,0)</f>
        <v/>
      </c>
      <c r="AN44" s="25" t="inlineStr">
        <is>
          <t>Yes for more than 2 years</t>
        </is>
      </c>
      <c r="AO44" s="25">
        <f>IF(AN44="Yes for more than 2 years",10,IF(AN44="Yes only for next 1 to 2 years",5,0))</f>
        <v/>
      </c>
      <c r="AP44" s="25" t="inlineStr">
        <is>
          <t>20 to 40</t>
        </is>
      </c>
      <c r="AQ44" s="25">
        <f>IF(AP44="Above 40",20,IF(AP44="20 to 40",10,IF(AP44="0 to 20",-5,0)))</f>
        <v/>
      </c>
      <c r="AR44" s="25" t="inlineStr">
        <is>
          <t>Between 50 to 75</t>
        </is>
      </c>
      <c r="AS44" s="25">
        <f>IF(AR44="Between 50 to 75",10,IF(AR44="Above 75",0,0))</f>
        <v/>
      </c>
      <c r="AT44" s="25" t="inlineStr">
        <is>
          <t>Stage 2</t>
        </is>
      </c>
      <c r="AU44" s="25">
        <f>IF(AT44="Stage 2",20,IF(AT44="Stage 1",0,IF(AT44="Stage 3",5,IF(AT44="Stage 4",-5,0))))</f>
        <v/>
      </c>
      <c r="AV44" s="25" t="inlineStr">
        <is>
          <t>Positive Trend</t>
        </is>
      </c>
      <c r="AW44" s="25">
        <f>IF(AV44="Positive Trend",20,IF(AV44="Negative Trend",-10,0))</f>
        <v/>
      </c>
      <c r="AX44" s="25" t="inlineStr">
        <is>
          <t>Uptrend</t>
        </is>
      </c>
      <c r="AY44" s="25">
        <f>IF(AX44="Uptrend",10,IF(AX44="Sideways",5,0))</f>
        <v/>
      </c>
      <c r="AZ44" s="25" t="inlineStr">
        <is>
          <t>Uptrend</t>
        </is>
      </c>
      <c r="BA44" s="25">
        <f>IF(AZ44="Uptrend",10,IF(AZ44="Sideways",5,0))</f>
        <v/>
      </c>
      <c r="BB44" s="25" t="inlineStr">
        <is>
          <t>Blue sky scenario</t>
        </is>
      </c>
      <c r="BC44" s="25">
        <f>IF(BB44="Overhead supply in last 2 years in last 2 years",-5,IF(BB44="Close to 52 week high or retracement",5,IF(BB44="Blue sky scenario",10,IF(BB44="Long term Downtrend",-10,0))))</f>
        <v/>
      </c>
      <c r="BD44" s="25" t="inlineStr">
        <is>
          <t>Yes</t>
        </is>
      </c>
      <c r="BE44" s="25">
        <f>IF(BD44="Yes",10,0)</f>
        <v/>
      </c>
      <c r="BF44" s="25" t="inlineStr">
        <is>
          <t>More than 20%</t>
        </is>
      </c>
      <c r="BG44" s="25">
        <f>IF(BF44="More than 20%",10,IF(BF44="Between 12 to 20%",5,IF(BF44="Less than 12%",0,0)))</f>
        <v/>
      </c>
      <c r="BH44" s="25" t="inlineStr">
        <is>
          <t>No</t>
        </is>
      </c>
      <c r="BI44" s="25">
        <f>IF(BH44="No",10,0)</f>
        <v/>
      </c>
      <c r="BJ44" s="25" t="inlineStr">
        <is>
          <t>No</t>
        </is>
      </c>
      <c r="BK44" s="25">
        <f>IF(BJ44="NO",5,0)</f>
        <v/>
      </c>
      <c r="BL44" s="25" t="inlineStr">
        <is>
          <t>Less than 1.5</t>
        </is>
      </c>
      <c r="BM44" s="25">
        <f>IF(BL44="Above 2",0,IF(BL44="Between 1.5 to 2",5,IF(BL44="Less than 1.5",10,0)))</f>
        <v/>
      </c>
      <c r="BN44" s="25" t="inlineStr">
        <is>
          <t>Less than 50%</t>
        </is>
      </c>
      <c r="BO44" s="25">
        <f>IF(BN44="Above 70%",10,IF(BN44="Between 50% to 70%",5,IF(BN44="Less than 50%",0,IF(BN44="Negative",-10,IF(BN44="Less than 50% and Borrowings are increasing",-5,0)))))</f>
        <v/>
      </c>
      <c r="BP44" s="25" t="inlineStr">
        <is>
          <t>Less than 0.7</t>
        </is>
      </c>
      <c r="BQ44" s="25">
        <f>IF(BP44="More than 1.2",-10,IF(BP44="Between 0.7 to 1.2",0,IF(BP44="Less than 0.7",10,0)))</f>
        <v/>
      </c>
      <c r="BR44" s="25" t="inlineStr">
        <is>
          <t>No</t>
        </is>
      </c>
      <c r="BS44" s="25">
        <f>IF(BR44="Yes",-10,0)</f>
        <v/>
      </c>
      <c r="BT44" s="25" t="inlineStr">
        <is>
          <t>Less than 15%</t>
        </is>
      </c>
      <c r="BU44" s="25">
        <f>IF(BT44="More than 15%",-10,IF(BT44="Less than 15%",10,0))</f>
        <v/>
      </c>
      <c r="BV44" s="25" t="inlineStr">
        <is>
          <t>No</t>
        </is>
      </c>
      <c r="BW44" s="25">
        <f>IF(BV44="Yes, more than 10%",-10,IF(BV44="No",10,0))</f>
        <v/>
      </c>
    </row>
    <row r="45">
      <c r="A45" s="25">
        <f>IF(B45=0,"",RANK(B45,$B$2:$B$292,0))</f>
        <v/>
      </c>
      <c r="B45" s="26">
        <f>SUM(Q45,S45,U45,W45,Y45,AA45,AC45,AE45,AG45,AI45,AK45,AM45,AO45,AQ45,AS45,AU45,AW45,AY45,BA45,BC45,BE45,BG45,BI45,BK45,BM45,BO45,BQ45,BS45,BU45,BW45)</f>
        <v/>
      </c>
      <c r="C45" s="25" t="inlineStr">
        <is>
          <t>KERNEX</t>
        </is>
      </c>
      <c r="D45" s="25" t="inlineStr">
        <is>
          <t>Kernex Microsystems (india) Limited</t>
        </is>
      </c>
      <c r="E45" s="25" t="inlineStr">
        <is>
          <t>consumer discretionary</t>
        </is>
      </c>
      <c r="F45" s="25" t="inlineStr">
        <is>
          <t>electronics - components</t>
        </is>
      </c>
      <c r="G45" s="25" t="inlineStr">
        <is>
          <t>smallcap</t>
        </is>
      </c>
      <c r="H45" s="26" t="n">
        <v>3086.1</v>
      </c>
      <c r="I45" s="26" t="n">
        <v>1804.7</v>
      </c>
      <c r="J45" s="26" t="n">
        <v>-1.74</v>
      </c>
      <c r="K45" s="26" t="n">
        <v>1151405</v>
      </c>
      <c r="L45" s="26" t="n">
        <v>69.62</v>
      </c>
      <c r="M45" s="26" t="n">
        <v>27.28</v>
      </c>
      <c r="N45" s="26" t="n">
        <v>1287.23</v>
      </c>
      <c r="O45" s="25" t="inlineStr">
        <is>
          <t>Volume Spike &amp; Near 52W High Breakout</t>
        </is>
      </c>
      <c r="P45" s="25" t="inlineStr">
        <is>
          <t>Growing Industry</t>
        </is>
      </c>
      <c r="Q45" s="25">
        <f>IF(P45="Growing Industry",10,IF(P45="Cyclical in an Upturn",5,0))</f>
        <v/>
      </c>
      <c r="R45" s="25" t="inlineStr">
        <is>
          <t>Too Many Players with High ROCE</t>
        </is>
      </c>
      <c r="S45" s="25">
        <f>IF(R45="Monopoly",10,IF(R45="Oligopoly",5,IF(R45="Duopoly that cooperate",10,IF(R45="Duopoly that compete",5,IF(R45="Too many players with High ROCE",5,0)))))</f>
        <v/>
      </c>
      <c r="T45" s="25" t="inlineStr">
        <is>
          <t>No</t>
        </is>
      </c>
      <c r="U45" s="25">
        <f>IF(T45="No",5,0)</f>
        <v/>
      </c>
      <c r="V45" s="25" t="inlineStr">
        <is>
          <t>Tailwind</t>
        </is>
      </c>
      <c r="W45" s="25">
        <f>IF(V45="Tailwind",10,0)</f>
        <v/>
      </c>
      <c r="X45" s="25" t="inlineStr">
        <is>
          <t>Structural (10 Years Consistency)</t>
        </is>
      </c>
      <c r="Y45" s="25">
        <f>IF(X45="Structural (10 Years Consistency)",10,IF(X45="Shallow Cyclical (2 to 3 years growth)",5,0))</f>
        <v/>
      </c>
      <c r="Z45" s="25" t="inlineStr">
        <is>
          <t>No</t>
        </is>
      </c>
      <c r="AA45" s="25">
        <f>IF(Z45="Yes due to Product Mix change or Operating Leverage",10,IF(Z45="Yes, these are peak margins",-5,IF(Z45="No",5,0)))</f>
        <v/>
      </c>
      <c r="AB45" s="25" t="inlineStr">
        <is>
          <t>Stable</t>
        </is>
      </c>
      <c r="AC45" s="25">
        <f>IF(AB45="Stable",10,0)</f>
        <v/>
      </c>
      <c r="AD45" s="25" t="inlineStr">
        <is>
          <t>Yes</t>
        </is>
      </c>
      <c r="AE45" s="25">
        <f>IF(AD45="Yes",10,0)</f>
        <v/>
      </c>
      <c r="AF45" s="25" t="inlineStr">
        <is>
          <t>B2B</t>
        </is>
      </c>
      <c r="AG45" s="25">
        <f>IF(AF45="B2C",10,IF(AF45="B2B",5,0))</f>
        <v/>
      </c>
      <c r="AH45" s="25" t="inlineStr">
        <is>
          <t>Yes</t>
        </is>
      </c>
      <c r="AI45" s="25">
        <f>IF(AH45="Yes",10,0)</f>
        <v/>
      </c>
      <c r="AJ45" s="25" t="inlineStr">
        <is>
          <t>Higher One Time, Lower Annuity</t>
        </is>
      </c>
      <c r="AK45" s="25">
        <f>IF(AJ45="Fully Annuity",10,IF(AJ45="Higher Annuity, Lower One Time",5,IF(AJ45="Higher One Time, Lower Annuity",3,0)))</f>
        <v/>
      </c>
      <c r="AL45" s="25" t="inlineStr">
        <is>
          <t>Good</t>
        </is>
      </c>
      <c r="AM45" s="25">
        <f>IF(AL45="Good",10,0)</f>
        <v/>
      </c>
      <c r="AN45" s="25" t="inlineStr">
        <is>
          <t>Yes for more than 2 years</t>
        </is>
      </c>
      <c r="AO45" s="25">
        <f>IF(AN45="Yes for more than 2 years",10,IF(AN45="Yes only for next 1 to 2 years",5,0))</f>
        <v/>
      </c>
      <c r="AP45" s="25" t="inlineStr">
        <is>
          <t>20 to 40</t>
        </is>
      </c>
      <c r="AQ45" s="25">
        <f>IF(AP45="Above 40",20,IF(AP45="20 to 40",10,IF(AP45="0 to 20",-5,0)))</f>
        <v/>
      </c>
      <c r="AR45" s="25" t="inlineStr">
        <is>
          <t>Between 50 to 75</t>
        </is>
      </c>
      <c r="AS45" s="25">
        <f>IF(AR45="Between 50 to 75",10,IF(AR45="Above 75",0,0))</f>
        <v/>
      </c>
      <c r="AT45" s="25" t="inlineStr">
        <is>
          <t>Stage 2</t>
        </is>
      </c>
      <c r="AU45" s="25">
        <f>IF(AT45="Stage 2",20,IF(AT45="Stage 1",0,IF(AT45="Stage 3",5,IF(AT45="Stage 4",-5,0))))</f>
        <v/>
      </c>
      <c r="AV45" s="25" t="inlineStr">
        <is>
          <t>Positive Trend</t>
        </is>
      </c>
      <c r="AW45" s="25">
        <f>IF(AV45="Positive Trend",20,IF(AV45="Negative Trend",-10,0))</f>
        <v/>
      </c>
      <c r="AX45" s="25" t="inlineStr">
        <is>
          <t>Uptrend</t>
        </is>
      </c>
      <c r="AY45" s="25">
        <f>IF(AX45="Uptrend",10,IF(AX45="Sideways",5,0))</f>
        <v/>
      </c>
      <c r="AZ45" s="25" t="inlineStr">
        <is>
          <t>Uptrend</t>
        </is>
      </c>
      <c r="BA45" s="25">
        <f>IF(AZ45="Uptrend",10,IF(AZ45="Sideways",5,0))</f>
        <v/>
      </c>
      <c r="BB45" s="25" t="inlineStr">
        <is>
          <t>Blue sky scenario</t>
        </is>
      </c>
      <c r="BC45" s="25">
        <f>IF(BB45="Overhead supply in last 2 years in last 2 years",-5,IF(BB45="Close to 52 week high or retracement",5,IF(BB45="Blue sky scenario",10,IF(BB45="Long term Downtrend",-10,0))))</f>
        <v/>
      </c>
      <c r="BD45" s="25" t="inlineStr">
        <is>
          <t>Yes</t>
        </is>
      </c>
      <c r="BE45" s="25">
        <f>IF(BD45="Yes",10,0)</f>
        <v/>
      </c>
      <c r="BF45" s="25" t="inlineStr">
        <is>
          <t>Less than 12%</t>
        </is>
      </c>
      <c r="BG45" s="25">
        <f>IF(BF45="More than 20%",10,IF(BF45="Between 12 to 20%",5,IF(BF45="Less than 12%",0,0)))</f>
        <v/>
      </c>
      <c r="BH45" s="25" t="inlineStr">
        <is>
          <t>No</t>
        </is>
      </c>
      <c r="BI45" s="25">
        <f>IF(BH45="No",10,0)</f>
        <v/>
      </c>
      <c r="BJ45" s="25" t="inlineStr">
        <is>
          <t>No</t>
        </is>
      </c>
      <c r="BK45" s="25">
        <f>IF(BJ45="NO",5,0)</f>
        <v/>
      </c>
      <c r="BL45" s="25" t="inlineStr">
        <is>
          <t>Less than 1.5</t>
        </is>
      </c>
      <c r="BM45" s="25">
        <f>IF(BL45="Above 2",0,IF(BL45="Between 1.5 to 2",5,IF(BL45="Less than 1.5",10,0)))</f>
        <v/>
      </c>
      <c r="BN45" s="25" t="inlineStr">
        <is>
          <t>Above 70%</t>
        </is>
      </c>
      <c r="BO45" s="25">
        <f>IF(BN45="Above 70%",10,IF(BN45="Between 50% to 70%",5,IF(BN45="Less than 50%",0,IF(BN45="Negative",-10,IF(BN45="Less than 50% and Borrowings are increasing",-5,0)))))</f>
        <v/>
      </c>
      <c r="BP45" s="25" t="inlineStr">
        <is>
          <t>Less than 0.7</t>
        </is>
      </c>
      <c r="BQ45" s="25">
        <f>IF(BP45="More than 1.2",-10,IF(BP45="Between 0.7 to 1.2",0,IF(BP45="Less than 0.7",10,0)))</f>
        <v/>
      </c>
      <c r="BR45" s="25" t="inlineStr">
        <is>
          <t>No</t>
        </is>
      </c>
      <c r="BS45" s="25">
        <f>IF(BR45="Yes",-10,0)</f>
        <v/>
      </c>
      <c r="BT45" s="25" t="inlineStr">
        <is>
          <t>Less than 15%</t>
        </is>
      </c>
      <c r="BU45" s="25">
        <f>IF(BT45="More than 15%",-10,IF(BT45="Less than 15%",10,0))</f>
        <v/>
      </c>
      <c r="BV45" s="25" t="inlineStr">
        <is>
          <t>No</t>
        </is>
      </c>
      <c r="BW45" s="25">
        <f>IF(BV45="Yes, more than 10%",-10,IF(BV45="No",10,0))</f>
        <v/>
      </c>
    </row>
    <row r="46">
      <c r="A46" s="25">
        <f>IF(B46=0,"",RANK(B46,$B$2:$B$292,0))</f>
        <v/>
      </c>
      <c r="B46" s="26">
        <f>SUM(Q46,S46,U46,W46,Y46,AA46,AC46,AE46,AG46,AI46,AK46,AM46,AO46,AQ46,AS46,AU46,AW46,AY46,BA46,BC46,BE46,BG46,BI46,BK46,BM46,BO46,BQ46,BS46,BU46,BW46)</f>
        <v/>
      </c>
      <c r="C46" s="25" t="inlineStr">
        <is>
          <t>DIVGIITTS</t>
        </is>
      </c>
      <c r="D46" s="25" t="inlineStr">
        <is>
          <t>Divgi Torqtransfer Systems Ltd</t>
        </is>
      </c>
      <c r="E46" s="25" t="inlineStr">
        <is>
          <t>auto</t>
        </is>
      </c>
      <c r="F46" s="25" t="inlineStr">
        <is>
          <t>auto ancillaries</t>
        </is>
      </c>
      <c r="G46" s="25" t="inlineStr">
        <is>
          <t>smallcap</t>
        </is>
      </c>
      <c r="H46" s="26" t="n">
        <v>2466.21</v>
      </c>
      <c r="I46" s="26" t="n">
        <v>789.45</v>
      </c>
      <c r="J46" s="26" t="n">
        <v>-2.1</v>
      </c>
      <c r="K46" s="26" t="n">
        <v>44740</v>
      </c>
      <c r="L46" s="26" t="n">
        <v>59.2</v>
      </c>
      <c r="M46" s="26" t="n">
        <v>26.07</v>
      </c>
      <c r="N46" s="26" t="n">
        <v>588.39</v>
      </c>
      <c r="O46" s="25" t="inlineStr">
        <is>
          <t>Near 52W High Breakout</t>
        </is>
      </c>
      <c r="P46" s="25" t="inlineStr">
        <is>
          <t>Growing Industry</t>
        </is>
      </c>
      <c r="Q46" s="25">
        <f>IF(P46="Growing Industry",10,IF(P46="Cyclical in an Upturn",5,0))</f>
        <v/>
      </c>
      <c r="R46" s="25" t="inlineStr">
        <is>
          <t>Too Many Players with High ROCE</t>
        </is>
      </c>
      <c r="S46" s="25">
        <f>IF(R46="Monopoly",10,IF(R46="Oligopoly",5,IF(R46="Duopoly that cooperate",10,IF(R46="Duopoly that compete",5,IF(R46="Too many players with High ROCE",5,0)))))</f>
        <v/>
      </c>
      <c r="T46" s="25" t="inlineStr">
        <is>
          <t>No</t>
        </is>
      </c>
      <c r="U46" s="25">
        <f>IF(T46="No",5,0)</f>
        <v/>
      </c>
      <c r="V46" s="25" t="inlineStr">
        <is>
          <t>Tailwind</t>
        </is>
      </c>
      <c r="W46" s="25">
        <f>IF(V46="Tailwind",10,0)</f>
        <v/>
      </c>
      <c r="X46" s="25" t="inlineStr">
        <is>
          <t>Structural (10 Years Consistency)</t>
        </is>
      </c>
      <c r="Y46" s="25">
        <f>IF(X46="Structural (10 Years Consistency)",10,IF(X46="Shallow Cyclical (2 to 3 years growth)",5,0))</f>
        <v/>
      </c>
      <c r="Z46" s="25" t="inlineStr">
        <is>
          <t>No</t>
        </is>
      </c>
      <c r="AA46" s="25">
        <f>IF(Z46="Yes due to Product Mix change or Operating Leverage",10,IF(Z46="Yes, these are peak margins",-5,IF(Z46="No",5,0)))</f>
        <v/>
      </c>
      <c r="AB46" s="25" t="inlineStr">
        <is>
          <t>Stable</t>
        </is>
      </c>
      <c r="AC46" s="25">
        <f>IF(AB46="Stable",10,0)</f>
        <v/>
      </c>
      <c r="AD46" s="25" t="inlineStr">
        <is>
          <t>Yes</t>
        </is>
      </c>
      <c r="AE46" s="25">
        <f>IF(AD46="Yes",10,0)</f>
        <v/>
      </c>
      <c r="AF46" s="25" t="inlineStr">
        <is>
          <t>B2B</t>
        </is>
      </c>
      <c r="AG46" s="25">
        <f>IF(AF46="B2C",10,IF(AF46="B2B",5,0))</f>
        <v/>
      </c>
      <c r="AH46" s="25" t="inlineStr">
        <is>
          <t>Yes</t>
        </is>
      </c>
      <c r="AI46" s="25">
        <f>IF(AH46="Yes",10,0)</f>
        <v/>
      </c>
      <c r="AJ46" s="25" t="inlineStr">
        <is>
          <t>Higher One Time, Lower Annuity</t>
        </is>
      </c>
      <c r="AK46" s="25">
        <f>IF(AJ46="Fully Annuity",10,IF(AJ46="Higher Annuity, Lower One Time",5,IF(AJ46="Higher One Time, Lower Annuity",3,0)))</f>
        <v/>
      </c>
      <c r="AL46" s="25" t="inlineStr">
        <is>
          <t>Good</t>
        </is>
      </c>
      <c r="AM46" s="25">
        <f>IF(AL46="Good",10,0)</f>
        <v/>
      </c>
      <c r="AN46" s="25" t="inlineStr">
        <is>
          <t>Yes for more than 2 years</t>
        </is>
      </c>
      <c r="AO46" s="25">
        <f>IF(AN46="Yes for more than 2 years",10,IF(AN46="Yes only for next 1 to 2 years",5,0))</f>
        <v/>
      </c>
      <c r="AP46" s="25" t="inlineStr">
        <is>
          <t>20 to 40</t>
        </is>
      </c>
      <c r="AQ46" s="25">
        <f>IF(AP46="Above 40",20,IF(AP46="20 to 40",10,IF(AP46="0 to 20",-5,0)))</f>
        <v/>
      </c>
      <c r="AR46" s="25" t="inlineStr">
        <is>
          <t>Between 50 to 75</t>
        </is>
      </c>
      <c r="AS46" s="25">
        <f>IF(AR46="Between 50 to 75",10,IF(AR46="Above 75",0,0))</f>
        <v/>
      </c>
      <c r="AT46" s="25" t="inlineStr">
        <is>
          <t>Stage 2</t>
        </is>
      </c>
      <c r="AU46" s="25">
        <f>IF(AT46="Stage 2",20,IF(AT46="Stage 1",0,IF(AT46="Stage 3",5,IF(AT46="Stage 4",-5,0))))</f>
        <v/>
      </c>
      <c r="AV46" s="25" t="inlineStr">
        <is>
          <t>Positive Trend</t>
        </is>
      </c>
      <c r="AW46" s="25">
        <f>IF(AV46="Positive Trend",20,IF(AV46="Negative Trend",-10,0))</f>
        <v/>
      </c>
      <c r="AX46" s="25" t="inlineStr">
        <is>
          <t>Uptrend</t>
        </is>
      </c>
      <c r="AY46" s="25">
        <f>IF(AX46="Uptrend",10,IF(AX46="Sideways",5,0))</f>
        <v/>
      </c>
      <c r="AZ46" s="25" t="inlineStr">
        <is>
          <t>Uptrend</t>
        </is>
      </c>
      <c r="BA46" s="25">
        <f>IF(AZ46="Uptrend",10,IF(AZ46="Sideways",5,0))</f>
        <v/>
      </c>
      <c r="BB46" s="25" t="inlineStr">
        <is>
          <t>Blue sky scenario</t>
        </is>
      </c>
      <c r="BC46" s="25">
        <f>IF(BB46="Overhead supply in last 2 years in last 2 years",-5,IF(BB46="Close to 52 week high or retracement",5,IF(BB46="Blue sky scenario",10,IF(BB46="Long term Downtrend",-10,0))))</f>
        <v/>
      </c>
      <c r="BD46" s="25" t="inlineStr">
        <is>
          <t>Yes</t>
        </is>
      </c>
      <c r="BE46" s="25">
        <f>IF(BD46="Yes",10,0)</f>
        <v/>
      </c>
      <c r="BF46" s="25" t="inlineStr">
        <is>
          <t>More than 20%</t>
        </is>
      </c>
      <c r="BG46" s="25">
        <f>IF(BF46="More than 20%",10,IF(BF46="Between 12 to 20%",5,IF(BF46="Less than 12%",0,0)))</f>
        <v/>
      </c>
      <c r="BH46" s="25" t="inlineStr">
        <is>
          <t>No</t>
        </is>
      </c>
      <c r="BI46" s="25">
        <f>IF(BH46="No",10,0)</f>
        <v/>
      </c>
      <c r="BJ46" s="25" t="inlineStr">
        <is>
          <t>Yes</t>
        </is>
      </c>
      <c r="BK46" s="25">
        <f>IF(BJ46="NO",5,0)</f>
        <v/>
      </c>
      <c r="BL46" s="25" t="inlineStr">
        <is>
          <t>Less than 1.5</t>
        </is>
      </c>
      <c r="BM46" s="25">
        <f>IF(BL46="Above 2",0,IF(BL46="Between 1.5 to 2",5,IF(BL46="Less than 1.5",10,0)))</f>
        <v/>
      </c>
      <c r="BN46" s="25" t="inlineStr">
        <is>
          <t>Between 50% to 70%</t>
        </is>
      </c>
      <c r="BO46" s="25">
        <f>IF(BN46="Above 70%",10,IF(BN46="Between 50% to 70%",5,IF(BN46="Less than 50%",0,IF(BN46="Negative",-10,IF(BN46="Less than 50% and Borrowings are increasing",-5,0)))))</f>
        <v/>
      </c>
      <c r="BP46" s="25" t="inlineStr">
        <is>
          <t>Less than 0.7</t>
        </is>
      </c>
      <c r="BQ46" s="25">
        <f>IF(BP46="More than 1.2",-10,IF(BP46="Between 0.7 to 1.2",0,IF(BP46="Less than 0.7",10,0)))</f>
        <v/>
      </c>
      <c r="BR46" s="25" t="inlineStr">
        <is>
          <t>No</t>
        </is>
      </c>
      <c r="BS46" s="25">
        <f>IF(BR46="Yes",-10,0)</f>
        <v/>
      </c>
      <c r="BT46" s="25" t="inlineStr">
        <is>
          <t>Less than 15%</t>
        </is>
      </c>
      <c r="BU46" s="25">
        <f>IF(BT46="More than 15%",-10,IF(BT46="Less than 15%",10,0))</f>
        <v/>
      </c>
      <c r="BV46" s="25" t="inlineStr">
        <is>
          <t>No</t>
        </is>
      </c>
      <c r="BW46" s="25">
        <f>IF(BV46="Yes, more than 10%",-10,IF(BV46="No",10,0))</f>
        <v/>
      </c>
    </row>
    <row r="47">
      <c r="A47" s="25">
        <f>IF(B47=0,"",RANK(B47,$B$2:$B$292,0))</f>
        <v/>
      </c>
      <c r="B47" s="26">
        <f>SUM(Q47,S47,U47,W47,Y47,AA47,AC47,AE47,AG47,AI47,AK47,AM47,AO47,AQ47,AS47,AU47,AW47,AY47,BA47,BC47,BE47,BG47,BI47,BK47,BM47,BO47,BQ47,BS47,BU47,BW47)</f>
        <v/>
      </c>
      <c r="C47" s="25" t="inlineStr">
        <is>
          <t>CEMPRO</t>
        </is>
      </c>
      <c r="D47" s="25" t="inlineStr">
        <is>
          <t>Cemindia Projects Ltd</t>
        </is>
      </c>
      <c r="E47" s="25" t="inlineStr">
        <is>
          <t>realty</t>
        </is>
      </c>
      <c r="F47" s="25" t="inlineStr">
        <is>
          <t>construction</t>
        </is>
      </c>
      <c r="G47" s="25" t="inlineStr">
        <is>
          <t>midcap</t>
        </is>
      </c>
      <c r="H47" s="26" t="n">
        <v>18446.55</v>
      </c>
      <c r="I47" s="26" t="n">
        <v>1041.7</v>
      </c>
      <c r="J47" s="26" t="n">
        <v>-2.99</v>
      </c>
      <c r="K47" s="26" t="n">
        <v>547401</v>
      </c>
      <c r="L47" s="26" t="n">
        <v>70.45999999999999</v>
      </c>
      <c r="M47" s="26" t="n">
        <v>35.1</v>
      </c>
      <c r="N47" s="26" t="n">
        <v>818.39</v>
      </c>
      <c r="O47" s="25" t="inlineStr">
        <is>
          <t>Near 52W High Breakout</t>
        </is>
      </c>
      <c r="P47" s="25" t="inlineStr">
        <is>
          <t>Growing Industry</t>
        </is>
      </c>
      <c r="Q47" s="25">
        <f>IF(P47="Growing Industry",10,IF(P47="Cyclical in an Upturn",5,0))</f>
        <v/>
      </c>
      <c r="R47" s="25" t="inlineStr">
        <is>
          <t>Too Many Players with High ROCE</t>
        </is>
      </c>
      <c r="S47" s="25">
        <f>IF(R47="Monopoly",10,IF(R47="Oligopoly",5,IF(R47="Duopoly that cooperate",10,IF(R47="Duopoly that compete",5,IF(R47="Too many players with High ROCE",5,0)))))</f>
        <v/>
      </c>
      <c r="T47" s="25" t="inlineStr">
        <is>
          <t>No</t>
        </is>
      </c>
      <c r="U47" s="25">
        <f>IF(T47="No",5,0)</f>
        <v/>
      </c>
      <c r="V47" s="25" t="inlineStr">
        <is>
          <t>Tailwind</t>
        </is>
      </c>
      <c r="W47" s="25">
        <f>IF(V47="Tailwind",10,0)</f>
        <v/>
      </c>
      <c r="X47" s="25" t="inlineStr">
        <is>
          <t>Structural (10 Years Consistency)</t>
        </is>
      </c>
      <c r="Y47" s="25">
        <f>IF(X47="Structural (10 Years Consistency)",10,IF(X47="Shallow Cyclical (2 to 3 years growth)",5,0))</f>
        <v/>
      </c>
      <c r="Z47" s="25" t="inlineStr">
        <is>
          <t>No</t>
        </is>
      </c>
      <c r="AA47" s="25">
        <f>IF(Z47="Yes due to Product Mix change or Operating Leverage",10,IF(Z47="Yes, these are peak margins",-5,IF(Z47="No",5,0)))</f>
        <v/>
      </c>
      <c r="AB47" s="25" t="inlineStr">
        <is>
          <t>Stable</t>
        </is>
      </c>
      <c r="AC47" s="25">
        <f>IF(AB47="Stable",10,0)</f>
        <v/>
      </c>
      <c r="AD47" s="25" t="inlineStr">
        <is>
          <t>Yes</t>
        </is>
      </c>
      <c r="AE47" s="25">
        <f>IF(AD47="Yes",10,0)</f>
        <v/>
      </c>
      <c r="AF47" s="25" t="inlineStr">
        <is>
          <t>B2B</t>
        </is>
      </c>
      <c r="AG47" s="25">
        <f>IF(AF47="B2C",10,IF(AF47="B2B",5,0))</f>
        <v/>
      </c>
      <c r="AH47" s="25" t="inlineStr">
        <is>
          <t>Yes</t>
        </is>
      </c>
      <c r="AI47" s="25">
        <f>IF(AH47="Yes",10,0)</f>
        <v/>
      </c>
      <c r="AJ47" s="25" t="inlineStr">
        <is>
          <t>Higher One Time, Lower Annuity</t>
        </is>
      </c>
      <c r="AK47" s="25">
        <f>IF(AJ47="Fully Annuity",10,IF(AJ47="Higher Annuity, Lower One Time",5,IF(AJ47="Higher One Time, Lower Annuity",3,0)))</f>
        <v/>
      </c>
      <c r="AL47" s="25" t="inlineStr">
        <is>
          <t>Good</t>
        </is>
      </c>
      <c r="AM47" s="25">
        <f>IF(AL47="Good",10,0)</f>
        <v/>
      </c>
      <c r="AN47" s="25" t="inlineStr">
        <is>
          <t>Yes for more than 2 years</t>
        </is>
      </c>
      <c r="AO47" s="25">
        <f>IF(AN47="Yes for more than 2 years",10,IF(AN47="Yes only for next 1 to 2 years",5,0))</f>
        <v/>
      </c>
      <c r="AP47" s="25" t="inlineStr">
        <is>
          <t>20 to 40</t>
        </is>
      </c>
      <c r="AQ47" s="25">
        <f>IF(AP47="Above 40",20,IF(AP47="20 to 40",10,IF(AP47="0 to 20",-5,0)))</f>
        <v/>
      </c>
      <c r="AR47" s="25" t="inlineStr">
        <is>
          <t>Between 50 to 75</t>
        </is>
      </c>
      <c r="AS47" s="25">
        <f>IF(AR47="Between 50 to 75",10,IF(AR47="Above 75",0,0))</f>
        <v/>
      </c>
      <c r="AT47" s="25" t="inlineStr">
        <is>
          <t>Stage 2</t>
        </is>
      </c>
      <c r="AU47" s="25">
        <f>IF(AT47="Stage 2",20,IF(AT47="Stage 1",0,IF(AT47="Stage 3",5,IF(AT47="Stage 4",-5,0))))</f>
        <v/>
      </c>
      <c r="AV47" s="25" t="inlineStr">
        <is>
          <t>Positive Trend</t>
        </is>
      </c>
      <c r="AW47" s="25">
        <f>IF(AV47="Positive Trend",20,IF(AV47="Negative Trend",-10,0))</f>
        <v/>
      </c>
      <c r="AX47" s="25" t="inlineStr">
        <is>
          <t>Uptrend</t>
        </is>
      </c>
      <c r="AY47" s="25">
        <f>IF(AX47="Uptrend",10,IF(AX47="Sideways",5,0))</f>
        <v/>
      </c>
      <c r="AZ47" s="25" t="inlineStr">
        <is>
          <t>Uptrend</t>
        </is>
      </c>
      <c r="BA47" s="25">
        <f>IF(AZ47="Uptrend",10,IF(AZ47="Sideways",5,0))</f>
        <v/>
      </c>
      <c r="BB47" s="25" t="inlineStr">
        <is>
          <t>Blue sky scenario</t>
        </is>
      </c>
      <c r="BC47" s="25">
        <f>IF(BB47="Overhead supply in last 2 years in last 2 years",-5,IF(BB47="Close to 52 week high or retracement",5,IF(BB47="Blue sky scenario",10,IF(BB47="Long term Downtrend",-10,0))))</f>
        <v/>
      </c>
      <c r="BD47" s="25" t="inlineStr">
        <is>
          <t>Yes</t>
        </is>
      </c>
      <c r="BE47" s="25">
        <f>IF(BD47="Yes",10,0)</f>
        <v/>
      </c>
      <c r="BF47" s="25" t="inlineStr">
        <is>
          <t>More than 20%</t>
        </is>
      </c>
      <c r="BG47" s="25">
        <f>IF(BF47="More than 20%",10,IF(BF47="Between 12 to 20%",5,IF(BF47="Less than 12%",0,0)))</f>
        <v/>
      </c>
      <c r="BH47" s="25" t="inlineStr">
        <is>
          <t>No</t>
        </is>
      </c>
      <c r="BI47" s="25">
        <f>IF(BH47="No",10,0)</f>
        <v/>
      </c>
      <c r="BJ47" s="25" t="inlineStr">
        <is>
          <t>No</t>
        </is>
      </c>
      <c r="BK47" s="25">
        <f>IF(BJ47="NO",5,0)</f>
        <v/>
      </c>
      <c r="BL47" s="25" t="inlineStr">
        <is>
          <t>Less than 1.5</t>
        </is>
      </c>
      <c r="BM47" s="25">
        <f>IF(BL47="Above 2",0,IF(BL47="Between 1.5 to 2",5,IF(BL47="Less than 1.5",10,0)))</f>
        <v/>
      </c>
      <c r="BN47" s="25" t="inlineStr">
        <is>
          <t>Less than 50%</t>
        </is>
      </c>
      <c r="BO47" s="25">
        <f>IF(BN47="Above 70%",10,IF(BN47="Between 50% to 70%",5,IF(BN47="Less than 50%",0,IF(BN47="Negative",-10,IF(BN47="Less than 50% and Borrowings are increasing",-5,0)))))</f>
        <v/>
      </c>
      <c r="BP47" s="25" t="inlineStr">
        <is>
          <t>Less than 0.7</t>
        </is>
      </c>
      <c r="BQ47" s="25">
        <f>IF(BP47="More than 1.2",-10,IF(BP47="Between 0.7 to 1.2",0,IF(BP47="Less than 0.7",10,0)))</f>
        <v/>
      </c>
      <c r="BR47" s="25" t="inlineStr">
        <is>
          <t>No</t>
        </is>
      </c>
      <c r="BS47" s="25">
        <f>IF(BR47="Yes",-10,0)</f>
        <v/>
      </c>
      <c r="BT47" s="25" t="inlineStr">
        <is>
          <t>Less than 15%</t>
        </is>
      </c>
      <c r="BU47" s="25">
        <f>IF(BT47="More than 15%",-10,IF(BT47="Less than 15%",10,0))</f>
        <v/>
      </c>
      <c r="BV47" s="25" t="inlineStr">
        <is>
          <t>No</t>
        </is>
      </c>
      <c r="BW47" s="25">
        <f>IF(BV47="Yes, more than 10%",-10,IF(BV47="No",10,0))</f>
        <v/>
      </c>
    </row>
    <row r="48">
      <c r="A48" s="25">
        <f>IF(B48=0,"",RANK(B48,$B$2:$B$292,0))</f>
        <v/>
      </c>
      <c r="B48" s="26">
        <f>SUM(Q48,S48,U48,W48,Y48,AA48,AC48,AE48,AG48,AI48,AK48,AM48,AO48,AQ48,AS48,AU48,AW48,AY48,BA48,BC48,BE48,BG48,BI48,BK48,BM48,BO48,BQ48,BS48,BU48,BW48)</f>
        <v/>
      </c>
      <c r="C48" s="25" t="inlineStr">
        <is>
          <t>OMAXAUTO</t>
        </is>
      </c>
      <c r="D48" s="25" t="inlineStr">
        <is>
          <t>Omax Autos Limited</t>
        </is>
      </c>
      <c r="E48" s="25" t="inlineStr">
        <is>
          <t>auto</t>
        </is>
      </c>
      <c r="F48" s="25" t="inlineStr">
        <is>
          <t>auto ancillaries</t>
        </is>
      </c>
      <c r="G48" s="25" t="inlineStr">
        <is>
          <t>smallcap</t>
        </is>
      </c>
      <c r="H48" s="26" t="n">
        <v>550</v>
      </c>
      <c r="I48" s="26" t="n">
        <v>244.3</v>
      </c>
      <c r="J48" s="26" t="n">
        <v>-5</v>
      </c>
      <c r="K48" s="26" t="n">
        <v>95445</v>
      </c>
      <c r="L48" s="26" t="n">
        <v>76.86</v>
      </c>
      <c r="M48" s="26" t="n">
        <v>35.13</v>
      </c>
      <c r="N48" s="26" t="n">
        <v>180.02</v>
      </c>
      <c r="O48" s="25" t="inlineStr">
        <is>
          <t>Near 52W High Breakout</t>
        </is>
      </c>
      <c r="P48" s="25" t="inlineStr">
        <is>
          <t>Growing Industry</t>
        </is>
      </c>
      <c r="Q48" s="25">
        <f>IF(P48="Growing Industry",10,IF(P48="Cyclical in an Upturn",5,0))</f>
        <v/>
      </c>
      <c r="R48" s="25" t="inlineStr">
        <is>
          <t>Too Many Players with High ROCE</t>
        </is>
      </c>
      <c r="S48" s="25">
        <f>IF(R48="Monopoly",10,IF(R48="Oligopoly",5,IF(R48="Duopoly that cooperate",10,IF(R48="Duopoly that compete",5,IF(R48="Too many players with High ROCE",5,0)))))</f>
        <v/>
      </c>
      <c r="T48" s="25" t="inlineStr">
        <is>
          <t>No</t>
        </is>
      </c>
      <c r="U48" s="25">
        <f>IF(T48="No",5,0)</f>
        <v/>
      </c>
      <c r="V48" s="25" t="inlineStr">
        <is>
          <t>Tailwind</t>
        </is>
      </c>
      <c r="W48" s="25">
        <f>IF(V48="Tailwind",10,0)</f>
        <v/>
      </c>
      <c r="X48" s="25" t="inlineStr">
        <is>
          <t>Structural (10 Years Consistency)</t>
        </is>
      </c>
      <c r="Y48" s="25">
        <f>IF(X48="Structural (10 Years Consistency)",10,IF(X48="Shallow Cyclical (2 to 3 years growth)",5,0))</f>
        <v/>
      </c>
      <c r="Z48" s="25" t="inlineStr">
        <is>
          <t>No</t>
        </is>
      </c>
      <c r="AA48" s="25">
        <f>IF(Z48="Yes due to Product Mix change or Operating Leverage",10,IF(Z48="Yes, these are peak margins",-5,IF(Z48="No",5,0)))</f>
        <v/>
      </c>
      <c r="AB48" s="25" t="inlineStr">
        <is>
          <t>Stable</t>
        </is>
      </c>
      <c r="AC48" s="25">
        <f>IF(AB48="Stable",10,0)</f>
        <v/>
      </c>
      <c r="AD48" s="25" t="inlineStr">
        <is>
          <t>Yes</t>
        </is>
      </c>
      <c r="AE48" s="25">
        <f>IF(AD48="Yes",10,0)</f>
        <v/>
      </c>
      <c r="AF48" s="25" t="inlineStr">
        <is>
          <t>B2B</t>
        </is>
      </c>
      <c r="AG48" s="25">
        <f>IF(AF48="B2C",10,IF(AF48="B2B",5,0))</f>
        <v/>
      </c>
      <c r="AH48" s="25" t="inlineStr">
        <is>
          <t>Yes</t>
        </is>
      </c>
      <c r="AI48" s="25">
        <f>IF(AH48="Yes",10,0)</f>
        <v/>
      </c>
      <c r="AJ48" s="25" t="inlineStr">
        <is>
          <t>Higher One Time, Lower Annuity</t>
        </is>
      </c>
      <c r="AK48" s="25">
        <f>IF(AJ48="Fully Annuity",10,IF(AJ48="Higher Annuity, Lower One Time",5,IF(AJ48="Higher One Time, Lower Annuity",3,0)))</f>
        <v/>
      </c>
      <c r="AL48" s="25" t="inlineStr">
        <is>
          <t>Good</t>
        </is>
      </c>
      <c r="AM48" s="25">
        <f>IF(AL48="Good",10,0)</f>
        <v/>
      </c>
      <c r="AN48" s="25" t="inlineStr">
        <is>
          <t>Yes for more than 2 years</t>
        </is>
      </c>
      <c r="AO48" s="25">
        <f>IF(AN48="Yes for more than 2 years",10,IF(AN48="Yes only for next 1 to 2 years",5,0))</f>
        <v/>
      </c>
      <c r="AP48" s="25" t="inlineStr">
        <is>
          <t>20 to 40</t>
        </is>
      </c>
      <c r="AQ48" s="25">
        <f>IF(AP48="Above 40",20,IF(AP48="20 to 40",10,IF(AP48="0 to 20",-5,0)))</f>
        <v/>
      </c>
      <c r="AR48" s="25" t="inlineStr">
        <is>
          <t>Above 75</t>
        </is>
      </c>
      <c r="AS48" s="25">
        <f>IF(AR48="Between 50 to 75",10,IF(AR48="Above 75",0,0))</f>
        <v/>
      </c>
      <c r="AT48" s="25" t="inlineStr">
        <is>
          <t>Stage 2</t>
        </is>
      </c>
      <c r="AU48" s="25">
        <f>IF(AT48="Stage 2",20,IF(AT48="Stage 1",0,IF(AT48="Stage 3",5,IF(AT48="Stage 4",-5,0))))</f>
        <v/>
      </c>
      <c r="AV48" s="25" t="inlineStr">
        <is>
          <t>Positive Trend</t>
        </is>
      </c>
      <c r="AW48" s="25">
        <f>IF(AV48="Positive Trend",20,IF(AV48="Negative Trend",-10,0))</f>
        <v/>
      </c>
      <c r="AX48" s="25" t="inlineStr">
        <is>
          <t>Uptrend</t>
        </is>
      </c>
      <c r="AY48" s="25">
        <f>IF(AX48="Uptrend",10,IF(AX48="Sideways",5,0))</f>
        <v/>
      </c>
      <c r="AZ48" s="25" t="inlineStr">
        <is>
          <t>Uptrend</t>
        </is>
      </c>
      <c r="BA48" s="25">
        <f>IF(AZ48="Uptrend",10,IF(AZ48="Sideways",5,0))</f>
        <v/>
      </c>
      <c r="BB48" s="25" t="inlineStr">
        <is>
          <t>Blue sky scenario</t>
        </is>
      </c>
      <c r="BC48" s="25">
        <f>IF(BB48="Overhead supply in last 2 years in last 2 years",-5,IF(BB48="Close to 52 week high or retracement",5,IF(BB48="Blue sky scenario",10,IF(BB48="Long term Downtrend",-10,0))))</f>
        <v/>
      </c>
      <c r="BD48" s="25" t="inlineStr">
        <is>
          <t>Yes</t>
        </is>
      </c>
      <c r="BE48" s="25">
        <f>IF(BD48="Yes",10,0)</f>
        <v/>
      </c>
      <c r="BF48" s="25" t="inlineStr">
        <is>
          <t>More than 20%</t>
        </is>
      </c>
      <c r="BG48" s="25">
        <f>IF(BF48="More than 20%",10,IF(BF48="Between 12 to 20%",5,IF(BF48="Less than 12%",0,0)))</f>
        <v/>
      </c>
      <c r="BH48" s="25" t="inlineStr">
        <is>
          <t>No</t>
        </is>
      </c>
      <c r="BI48" s="25">
        <f>IF(BH48="No",10,0)</f>
        <v/>
      </c>
      <c r="BJ48" s="25" t="inlineStr">
        <is>
          <t>No</t>
        </is>
      </c>
      <c r="BK48" s="25">
        <f>IF(BJ48="NO",5,0)</f>
        <v/>
      </c>
      <c r="BL48" s="25" t="inlineStr">
        <is>
          <t>Less than 1.5</t>
        </is>
      </c>
      <c r="BM48" s="25">
        <f>IF(BL48="Above 2",0,IF(BL48="Between 1.5 to 2",5,IF(BL48="Less than 1.5",10,0)))</f>
        <v/>
      </c>
      <c r="BN48" s="25" t="inlineStr">
        <is>
          <t>Above 70%</t>
        </is>
      </c>
      <c r="BO48" s="25">
        <f>IF(BN48="Above 70%",10,IF(BN48="Between 50% to 70%",5,IF(BN48="Less than 50%",0,IF(BN48="Negative",-10,IF(BN48="Less than 50% and Borrowings are increasing",-5,0)))))</f>
        <v/>
      </c>
      <c r="BP48" s="25" t="inlineStr">
        <is>
          <t>Less than 0.7</t>
        </is>
      </c>
      <c r="BQ48" s="25">
        <f>IF(BP48="More than 1.2",-10,IF(BP48="Between 0.7 to 1.2",0,IF(BP48="Less than 0.7",10,0)))</f>
        <v/>
      </c>
      <c r="BR48" s="25" t="inlineStr">
        <is>
          <t>No</t>
        </is>
      </c>
      <c r="BS48" s="25">
        <f>IF(BR48="Yes",-10,0)</f>
        <v/>
      </c>
      <c r="BT48" s="25" t="inlineStr">
        <is>
          <t>Less than 15%</t>
        </is>
      </c>
      <c r="BU48" s="25">
        <f>IF(BT48="More than 15%",-10,IF(BT48="Less than 15%",10,0))</f>
        <v/>
      </c>
      <c r="BV48" s="25" t="inlineStr">
        <is>
          <t>No</t>
        </is>
      </c>
      <c r="BW48" s="25">
        <f>IF(BV48="Yes, more than 10%",-10,IF(BV48="No",10,0))</f>
        <v/>
      </c>
    </row>
    <row r="49">
      <c r="A49" s="25">
        <f>IF(B49=0,"",RANK(B49,$B$2:$B$292,0))</f>
        <v/>
      </c>
      <c r="B49" s="26">
        <f>SUM(Q49,S49,U49,W49,Y49,AA49,AC49,AE49,AG49,AI49,AK49,AM49,AO49,AQ49,AS49,AU49,AW49,AY49,BA49,BC49,BE49,BG49,BI49,BK49,BM49,BO49,BQ49,BS49,BU49,BW49)</f>
        <v/>
      </c>
      <c r="C49" s="25" t="inlineStr">
        <is>
          <t>BLISSGVS</t>
        </is>
      </c>
      <c r="D49" s="25" t="inlineStr">
        <is>
          <t>Bliss Gvs Pharma Limited</t>
        </is>
      </c>
      <c r="E49" s="25" t="inlineStr">
        <is>
          <t>healthcare</t>
        </is>
      </c>
      <c r="F49" s="25" t="inlineStr">
        <is>
          <t>pharmaceuticals - indian - formulations</t>
        </is>
      </c>
      <c r="G49" s="25" t="inlineStr">
        <is>
          <t>smallcap</t>
        </is>
      </c>
      <c r="H49" s="26" t="n">
        <v>4257.48</v>
      </c>
      <c r="I49" s="26" t="n">
        <v>434.45</v>
      </c>
      <c r="J49" s="26" t="n">
        <v>7.95</v>
      </c>
      <c r="K49" s="26" t="n">
        <v>3872581</v>
      </c>
      <c r="L49" s="26" t="n">
        <v>88.27</v>
      </c>
      <c r="M49" s="26" t="n">
        <v>57.23</v>
      </c>
      <c r="N49" s="26" t="n">
        <v>334.64</v>
      </c>
      <c r="O49" s="25" t="inlineStr">
        <is>
          <t>Near 52W High Breakout</t>
        </is>
      </c>
      <c r="P49" s="25" t="inlineStr">
        <is>
          <t>Growing Industry</t>
        </is>
      </c>
      <c r="Q49" s="25">
        <f>IF(P49="Growing Industry",10,IF(P49="Cyclical in an Upturn",5,0))</f>
        <v/>
      </c>
      <c r="R49" s="25" t="inlineStr">
        <is>
          <t>Too Many Players with High ROCE</t>
        </is>
      </c>
      <c r="S49" s="25">
        <f>IF(R49="Monopoly",10,IF(R49="Oligopoly",5,IF(R49="Duopoly that cooperate",10,IF(R49="Duopoly that compete",5,IF(R49="Too many players with High ROCE",5,0)))))</f>
        <v/>
      </c>
      <c r="T49" s="25" t="inlineStr">
        <is>
          <t>Yes</t>
        </is>
      </c>
      <c r="U49" s="25">
        <f>IF(T49="No",5,0)</f>
        <v/>
      </c>
      <c r="V49" s="25" t="inlineStr">
        <is>
          <t>Tailwind</t>
        </is>
      </c>
      <c r="W49" s="25">
        <f>IF(V49="Tailwind",10,0)</f>
        <v/>
      </c>
      <c r="X49" s="25" t="inlineStr">
        <is>
          <t>Structural (10 Years Consistency)</t>
        </is>
      </c>
      <c r="Y49" s="25">
        <f>IF(X49="Structural (10 Years Consistency)",10,IF(X49="Shallow Cyclical (2 to 3 years growth)",5,0))</f>
        <v/>
      </c>
      <c r="Z49" s="25" t="inlineStr">
        <is>
          <t>No</t>
        </is>
      </c>
      <c r="AA49" s="25">
        <f>IF(Z49="Yes due to Product Mix change or Operating Leverage",10,IF(Z49="Yes, these are peak margins",-5,IF(Z49="No",5,0)))</f>
        <v/>
      </c>
      <c r="AB49" s="25" t="inlineStr">
        <is>
          <t>Stable</t>
        </is>
      </c>
      <c r="AC49" s="25">
        <f>IF(AB49="Stable",10,0)</f>
        <v/>
      </c>
      <c r="AD49" s="25" t="inlineStr">
        <is>
          <t>Yes</t>
        </is>
      </c>
      <c r="AE49" s="25">
        <f>IF(AD49="Yes",10,0)</f>
        <v/>
      </c>
      <c r="AF49" s="25" t="inlineStr">
        <is>
          <t>B2B</t>
        </is>
      </c>
      <c r="AG49" s="25">
        <f>IF(AF49="B2C",10,IF(AF49="B2B",5,0))</f>
        <v/>
      </c>
      <c r="AH49" s="25" t="inlineStr">
        <is>
          <t>Yes</t>
        </is>
      </c>
      <c r="AI49" s="25">
        <f>IF(AH49="Yes",10,0)</f>
        <v/>
      </c>
      <c r="AJ49" s="25" t="inlineStr">
        <is>
          <t>Higher Annuity, Lower One Time</t>
        </is>
      </c>
      <c r="AK49" s="25">
        <f>IF(AJ49="Fully Annuity",10,IF(AJ49="Higher Annuity, Lower One Time",5,IF(AJ49="Higher One Time, Lower Annuity",3,0)))</f>
        <v/>
      </c>
      <c r="AL49" s="25" t="inlineStr">
        <is>
          <t>Good</t>
        </is>
      </c>
      <c r="AM49" s="25">
        <f>IF(AL49="Good",10,0)</f>
        <v/>
      </c>
      <c r="AN49" s="25" t="inlineStr">
        <is>
          <t>Yes for more than 2 years</t>
        </is>
      </c>
      <c r="AO49" s="25">
        <f>IF(AN49="Yes for more than 2 years",10,IF(AN49="Yes only for next 1 to 2 years",5,0))</f>
        <v/>
      </c>
      <c r="AP49" s="25" t="inlineStr">
        <is>
          <t>Above 40</t>
        </is>
      </c>
      <c r="AQ49" s="25">
        <f>IF(AP49="Above 40",20,IF(AP49="20 to 40",10,IF(AP49="0 to 20",-5,0)))</f>
        <v/>
      </c>
      <c r="AR49" s="25" t="inlineStr">
        <is>
          <t>Above 75</t>
        </is>
      </c>
      <c r="AS49" s="25">
        <f>IF(AR49="Between 50 to 75",10,IF(AR49="Above 75",0,0))</f>
        <v/>
      </c>
      <c r="AT49" s="25" t="inlineStr">
        <is>
          <t>Stage 2</t>
        </is>
      </c>
      <c r="AU49" s="25">
        <f>IF(AT49="Stage 2",20,IF(AT49="Stage 1",0,IF(AT49="Stage 3",5,IF(AT49="Stage 4",-5,0))))</f>
        <v/>
      </c>
      <c r="AV49" s="25" t="inlineStr">
        <is>
          <t>Positive Trend</t>
        </is>
      </c>
      <c r="AW49" s="25">
        <f>IF(AV49="Positive Trend",20,IF(AV49="Negative Trend",-10,0))</f>
        <v/>
      </c>
      <c r="AX49" s="25" t="inlineStr">
        <is>
          <t>Uptrend</t>
        </is>
      </c>
      <c r="AY49" s="25">
        <f>IF(AX49="Uptrend",10,IF(AX49="Sideways",5,0))</f>
        <v/>
      </c>
      <c r="AZ49" s="25" t="inlineStr">
        <is>
          <t>Uptrend</t>
        </is>
      </c>
      <c r="BA49" s="25">
        <f>IF(AZ49="Uptrend",10,IF(AZ49="Sideways",5,0))</f>
        <v/>
      </c>
      <c r="BB49" s="25" t="inlineStr">
        <is>
          <t>Blue sky scenario</t>
        </is>
      </c>
      <c r="BC49" s="25">
        <f>IF(BB49="Overhead supply in last 2 years in last 2 years",-5,IF(BB49="Close to 52 week high or retracement",5,IF(BB49="Blue sky scenario",10,IF(BB49="Long term Downtrend",-10,0))))</f>
        <v/>
      </c>
      <c r="BD49" s="25" t="inlineStr">
        <is>
          <t>Yes</t>
        </is>
      </c>
      <c r="BE49" s="25">
        <f>IF(BD49="Yes",10,0)</f>
        <v/>
      </c>
      <c r="BF49" s="25" t="inlineStr">
        <is>
          <t>Less than 12%</t>
        </is>
      </c>
      <c r="BG49" s="25">
        <f>IF(BF49="More than 20%",10,IF(BF49="Between 12 to 20%",5,IF(BF49="Less than 12%",0,0)))</f>
        <v/>
      </c>
      <c r="BH49" s="25" t="inlineStr">
        <is>
          <t>No</t>
        </is>
      </c>
      <c r="BI49" s="25">
        <f>IF(BH49="No",10,0)</f>
        <v/>
      </c>
      <c r="BJ49" s="25" t="inlineStr">
        <is>
          <t>No</t>
        </is>
      </c>
      <c r="BK49" s="25">
        <f>IF(BJ49="NO",5,0)</f>
        <v/>
      </c>
      <c r="BL49" s="25" t="inlineStr">
        <is>
          <t>Less than 1.5</t>
        </is>
      </c>
      <c r="BM49" s="25">
        <f>IF(BL49="Above 2",0,IF(BL49="Between 1.5 to 2",5,IF(BL49="Less than 1.5",10,0)))</f>
        <v/>
      </c>
      <c r="BN49" s="25" t="inlineStr">
        <is>
          <t>Above 70%</t>
        </is>
      </c>
      <c r="BO49" s="25">
        <f>IF(BN49="Above 70%",10,IF(BN49="Between 50% to 70%",5,IF(BN49="Less than 50%",0,IF(BN49="Negative",-10,IF(BN49="Less than 50% and Borrowings are increasing",-5,0)))))</f>
        <v/>
      </c>
      <c r="BP49" s="25" t="inlineStr">
        <is>
          <t>Less than 0.7</t>
        </is>
      </c>
      <c r="BQ49" s="25">
        <f>IF(BP49="More than 1.2",-10,IF(BP49="Between 0.7 to 1.2",0,IF(BP49="Less than 0.7",10,0)))</f>
        <v/>
      </c>
      <c r="BR49" s="25" t="inlineStr">
        <is>
          <t>No</t>
        </is>
      </c>
      <c r="BS49" s="25">
        <f>IF(BR49="Yes",-10,0)</f>
        <v/>
      </c>
      <c r="BT49" s="25" t="inlineStr">
        <is>
          <t>Less than 15%</t>
        </is>
      </c>
      <c r="BU49" s="25">
        <f>IF(BT49="More than 15%",-10,IF(BT49="Less than 15%",10,0))</f>
        <v/>
      </c>
      <c r="BV49" s="25" t="inlineStr">
        <is>
          <t>No</t>
        </is>
      </c>
      <c r="BW49" s="25">
        <f>IF(BV49="Yes, more than 10%",-10,IF(BV49="No",10,0))</f>
        <v/>
      </c>
    </row>
    <row r="50">
      <c r="A50" s="25">
        <f>IF(B50=0,"",RANK(B50,$B$2:$B$292,0))</f>
        <v/>
      </c>
      <c r="B50" s="26">
        <f>SUM(Q50,S50,U50,W50,Y50,AA50,AC50,AE50,AG50,AI50,AK50,AM50,AO50,AQ50,AS50,AU50,AW50,AY50,BA50,BC50,BE50,BG50,BI50,BK50,BM50,BO50,BQ50,BS50,BU50,BW50)</f>
        <v/>
      </c>
      <c r="C50" s="25" t="inlineStr">
        <is>
          <t>E2E</t>
        </is>
      </c>
      <c r="D50" s="25" t="inlineStr">
        <is>
          <t>E2E Networks Ltd</t>
        </is>
      </c>
      <c r="E50" s="25" t="inlineStr">
        <is>
          <t>i.t</t>
        </is>
      </c>
      <c r="F50" s="25" t="inlineStr">
        <is>
          <t>computers - software - medium / small</t>
        </is>
      </c>
      <c r="G50" s="25" t="inlineStr">
        <is>
          <t>midcap</t>
        </is>
      </c>
      <c r="H50" s="26" t="n">
        <v>8466.190000000001</v>
      </c>
      <c r="I50" s="26" t="n">
        <v>4324.4</v>
      </c>
      <c r="J50" s="26" t="n">
        <v>5</v>
      </c>
      <c r="K50" s="26" t="n">
        <v>204649</v>
      </c>
      <c r="L50" s="26" t="n">
        <v>73.90000000000001</v>
      </c>
      <c r="M50" s="26" t="n">
        <v>30.03</v>
      </c>
      <c r="N50" s="26" t="n">
        <v>3184.43</v>
      </c>
      <c r="O50" s="25" t="inlineStr">
        <is>
          <t>Near 52W High Breakout</t>
        </is>
      </c>
      <c r="P50" s="25" t="inlineStr">
        <is>
          <t>Growing Industry</t>
        </is>
      </c>
      <c r="Q50" s="25">
        <f>IF(P50="Growing Industry",10,IF(P50="Cyclical in an Upturn",5,0))</f>
        <v/>
      </c>
      <c r="R50" s="25" t="inlineStr">
        <is>
          <t>Too Many Players with High ROCE</t>
        </is>
      </c>
      <c r="S50" s="25">
        <f>IF(R50="Monopoly",10,IF(R50="Oligopoly",5,IF(R50="Duopoly that cooperate",10,IF(R50="Duopoly that compete",5,IF(R50="Too many players with High ROCE",5,0)))))</f>
        <v/>
      </c>
      <c r="T50" s="25" t="inlineStr">
        <is>
          <t>No</t>
        </is>
      </c>
      <c r="U50" s="25">
        <f>IF(T50="No",5,0)</f>
        <v/>
      </c>
      <c r="V50" s="25" t="inlineStr">
        <is>
          <t>Tailwind</t>
        </is>
      </c>
      <c r="W50" s="25">
        <f>IF(V50="Tailwind",10,0)</f>
        <v/>
      </c>
      <c r="X50" s="25" t="inlineStr">
        <is>
          <t>Structural (10 Years Consistency)</t>
        </is>
      </c>
      <c r="Y50" s="25">
        <f>IF(X50="Structural (10 Years Consistency)",10,IF(X50="Shallow Cyclical (2 to 3 years growth)",5,0))</f>
        <v/>
      </c>
      <c r="Z50" s="25" t="inlineStr">
        <is>
          <t>No</t>
        </is>
      </c>
      <c r="AA50" s="25">
        <f>IF(Z50="Yes due to Product Mix change or Operating Leverage",10,IF(Z50="Yes, these are peak margins",-5,IF(Z50="No",5,0)))</f>
        <v/>
      </c>
      <c r="AB50" s="25" t="inlineStr">
        <is>
          <t>Stable</t>
        </is>
      </c>
      <c r="AC50" s="25">
        <f>IF(AB50="Stable",10,0)</f>
        <v/>
      </c>
      <c r="AD50" s="25" t="inlineStr">
        <is>
          <t>Yes</t>
        </is>
      </c>
      <c r="AE50" s="25">
        <f>IF(AD50="Yes",10,0)</f>
        <v/>
      </c>
      <c r="AF50" s="25" t="inlineStr">
        <is>
          <t>B2B</t>
        </is>
      </c>
      <c r="AG50" s="25">
        <f>IF(AF50="B2C",10,IF(AF50="B2B",5,0))</f>
        <v/>
      </c>
      <c r="AH50" s="25" t="inlineStr">
        <is>
          <t>Yes</t>
        </is>
      </c>
      <c r="AI50" s="25">
        <f>IF(AH50="Yes",10,0)</f>
        <v/>
      </c>
      <c r="AJ50" s="25" t="inlineStr">
        <is>
          <t>Higher Annuity, Lower One Time</t>
        </is>
      </c>
      <c r="AK50" s="25">
        <f>IF(AJ50="Fully Annuity",10,IF(AJ50="Higher Annuity, Lower One Time",5,IF(AJ50="Higher One Time, Lower Annuity",3,0)))</f>
        <v/>
      </c>
      <c r="AL50" s="25" t="inlineStr">
        <is>
          <t>Good</t>
        </is>
      </c>
      <c r="AM50" s="25">
        <f>IF(AL50="Good",10,0)</f>
        <v/>
      </c>
      <c r="AN50" s="25" t="inlineStr">
        <is>
          <t>Yes for more than 2 years</t>
        </is>
      </c>
      <c r="AO50" s="25">
        <f>IF(AN50="Yes for more than 2 years",10,IF(AN50="Yes only for next 1 to 2 years",5,0))</f>
        <v/>
      </c>
      <c r="AP50" s="25" t="inlineStr">
        <is>
          <t>20 to 40</t>
        </is>
      </c>
      <c r="AQ50" s="25">
        <f>IF(AP50="Above 40",20,IF(AP50="20 to 40",10,IF(AP50="0 to 20",-5,0)))</f>
        <v/>
      </c>
      <c r="AR50" s="25" t="inlineStr">
        <is>
          <t>Between 50 to 75</t>
        </is>
      </c>
      <c r="AS50" s="25">
        <f>IF(AR50="Between 50 to 75",10,IF(AR50="Above 75",0,0))</f>
        <v/>
      </c>
      <c r="AT50" s="25" t="inlineStr">
        <is>
          <t>Stage 2</t>
        </is>
      </c>
      <c r="AU50" s="25">
        <f>IF(AT50="Stage 2",20,IF(AT50="Stage 1",0,IF(AT50="Stage 3",5,IF(AT50="Stage 4",-5,0))))</f>
        <v/>
      </c>
      <c r="AV50" s="25" t="inlineStr">
        <is>
          <t>Positive Trend</t>
        </is>
      </c>
      <c r="AW50" s="25">
        <f>IF(AV50="Positive Trend",20,IF(AV50="Negative Trend",-10,0))</f>
        <v/>
      </c>
      <c r="AX50" s="25" t="inlineStr">
        <is>
          <t>Uptrend</t>
        </is>
      </c>
      <c r="AY50" s="25">
        <f>IF(AX50="Uptrend",10,IF(AX50="Sideways",5,0))</f>
        <v/>
      </c>
      <c r="AZ50" s="25" t="inlineStr">
        <is>
          <t>Uptrend</t>
        </is>
      </c>
      <c r="BA50" s="25">
        <f>IF(AZ50="Uptrend",10,IF(AZ50="Sideways",5,0))</f>
        <v/>
      </c>
      <c r="BB50" s="25" t="inlineStr">
        <is>
          <t>Close to 52 week high or retracement</t>
        </is>
      </c>
      <c r="BC50" s="25">
        <f>IF(BB50="Overhead supply in last 2 years in last 2 years",-5,IF(BB50="Close to 52 week high or retracement",5,IF(BB50="Blue sky scenario",10,IF(BB50="Long term Downtrend",-10,0))))</f>
        <v/>
      </c>
      <c r="BD50" s="25" t="inlineStr">
        <is>
          <t>Yes</t>
        </is>
      </c>
      <c r="BE50" s="25">
        <f>IF(BD50="Yes",10,0)</f>
        <v/>
      </c>
      <c r="BF50" s="25" t="inlineStr">
        <is>
          <t>Less than 12%</t>
        </is>
      </c>
      <c r="BG50" s="25">
        <f>IF(BF50="More than 20%",10,IF(BF50="Between 12 to 20%",5,IF(BF50="Less than 12%",0,0)))</f>
        <v/>
      </c>
      <c r="BH50" s="25" t="inlineStr">
        <is>
          <t>No</t>
        </is>
      </c>
      <c r="BI50" s="25">
        <f>IF(BH50="No",10,0)</f>
        <v/>
      </c>
      <c r="BJ50" s="25" t="inlineStr">
        <is>
          <t>No</t>
        </is>
      </c>
      <c r="BK50" s="25">
        <f>IF(BJ50="NO",5,0)</f>
        <v/>
      </c>
      <c r="BL50" s="25" t="inlineStr">
        <is>
          <t>Less than 1.5</t>
        </is>
      </c>
      <c r="BM50" s="25">
        <f>IF(BL50="Above 2",0,IF(BL50="Between 1.5 to 2",5,IF(BL50="Less than 1.5",10,0)))</f>
        <v/>
      </c>
      <c r="BN50" s="25" t="inlineStr">
        <is>
          <t>Above 70%</t>
        </is>
      </c>
      <c r="BO50" s="25">
        <f>IF(BN50="Above 70%",10,IF(BN50="Between 50% to 70%",5,IF(BN50="Less than 50%",0,IF(BN50="Negative",-10,IF(BN50="Less than 50% and Borrowings are increasing",-5,0)))))</f>
        <v/>
      </c>
      <c r="BP50" s="25" t="inlineStr">
        <is>
          <t>Less than 0.7</t>
        </is>
      </c>
      <c r="BQ50" s="25">
        <f>IF(BP50="More than 1.2",-10,IF(BP50="Between 0.7 to 1.2",0,IF(BP50="Less than 0.7",10,0)))</f>
        <v/>
      </c>
      <c r="BR50" s="25" t="inlineStr">
        <is>
          <t>No</t>
        </is>
      </c>
      <c r="BS50" s="25">
        <f>IF(BR50="Yes",-10,0)</f>
        <v/>
      </c>
      <c r="BT50" s="25" t="inlineStr">
        <is>
          <t>Less than 15%</t>
        </is>
      </c>
      <c r="BU50" s="25">
        <f>IF(BT50="More than 15%",-10,IF(BT50="Less than 15%",10,0))</f>
        <v/>
      </c>
      <c r="BV50" s="25" t="inlineStr">
        <is>
          <t>No</t>
        </is>
      </c>
      <c r="BW50" s="25">
        <f>IF(BV50="Yes, more than 10%",-10,IF(BV50="No",10,0))</f>
        <v/>
      </c>
    </row>
    <row r="51">
      <c r="A51" s="25">
        <f>IF(B51=0,"",RANK(B51,$B$2:$B$292,0))</f>
        <v/>
      </c>
      <c r="B51" s="26">
        <f>SUM(Q51,S51,U51,W51,Y51,AA51,AC51,AE51,AG51,AI51,AK51,AM51,AO51,AQ51,AS51,AU51,AW51,AY51,BA51,BC51,BE51,BG51,BI51,BK51,BM51,BO51,BQ51,BS51,BU51,BW51)</f>
        <v/>
      </c>
      <c r="C51" s="25" t="inlineStr">
        <is>
          <t>IOLCP</t>
        </is>
      </c>
      <c r="D51" s="25" t="inlineStr">
        <is>
          <t>Iol Chemicals And Pharmaceuticals Limited</t>
        </is>
      </c>
      <c r="E51" s="25" t="inlineStr">
        <is>
          <t>healthcare</t>
        </is>
      </c>
      <c r="F51" s="25" t="inlineStr">
        <is>
          <t>pharmaceuticals - indian - bulk drugs &amp; formln</t>
        </is>
      </c>
      <c r="G51" s="25" t="inlineStr">
        <is>
          <t>smallcap</t>
        </is>
      </c>
      <c r="H51" s="26" t="n">
        <v>3694.63</v>
      </c>
      <c r="I51" s="26" t="n">
        <v>131.42</v>
      </c>
      <c r="J51" s="26" t="n">
        <v>4.41</v>
      </c>
      <c r="K51" s="26" t="n">
        <v>2702119</v>
      </c>
      <c r="L51" s="26" t="n">
        <v>80.17</v>
      </c>
      <c r="M51" s="26" t="n">
        <v>35.37</v>
      </c>
      <c r="N51" s="26" t="n">
        <v>99.64</v>
      </c>
      <c r="O51" s="25" t="inlineStr">
        <is>
          <t>Near 52W High Breakout</t>
        </is>
      </c>
      <c r="P51" s="25" t="inlineStr">
        <is>
          <t>Growing Industry</t>
        </is>
      </c>
      <c r="Q51" s="25">
        <f>IF(P51="Growing Industry",10,IF(P51="Cyclical in an Upturn",5,0))</f>
        <v/>
      </c>
      <c r="R51" s="25" t="inlineStr">
        <is>
          <t>Too Many Players with High ROCE</t>
        </is>
      </c>
      <c r="S51" s="25">
        <f>IF(R51="Monopoly",10,IF(R51="Oligopoly",5,IF(R51="Duopoly that cooperate",10,IF(R51="Duopoly that compete",5,IF(R51="Too many players with High ROCE",5,0)))))</f>
        <v/>
      </c>
      <c r="T51" s="25" t="inlineStr">
        <is>
          <t>Yes</t>
        </is>
      </c>
      <c r="U51" s="25">
        <f>IF(T51="No",5,0)</f>
        <v/>
      </c>
      <c r="V51" s="25" t="inlineStr">
        <is>
          <t>Tailwind</t>
        </is>
      </c>
      <c r="W51" s="25">
        <f>IF(V51="Tailwind",10,0)</f>
        <v/>
      </c>
      <c r="X51" s="25" t="inlineStr">
        <is>
          <t>Structural (10 Years Consistency)</t>
        </is>
      </c>
      <c r="Y51" s="25">
        <f>IF(X51="Structural (10 Years Consistency)",10,IF(X51="Shallow Cyclical (2 to 3 years growth)",5,0))</f>
        <v/>
      </c>
      <c r="Z51" s="25" t="inlineStr">
        <is>
          <t>No</t>
        </is>
      </c>
      <c r="AA51" s="25">
        <f>IF(Z51="Yes due to Product Mix change or Operating Leverage",10,IF(Z51="Yes, these are peak margins",-5,IF(Z51="No",5,0)))</f>
        <v/>
      </c>
      <c r="AB51" s="25" t="inlineStr">
        <is>
          <t>Stable</t>
        </is>
      </c>
      <c r="AC51" s="25">
        <f>IF(AB51="Stable",10,0)</f>
        <v/>
      </c>
      <c r="AD51" s="25" t="inlineStr">
        <is>
          <t>Yes</t>
        </is>
      </c>
      <c r="AE51" s="25">
        <f>IF(AD51="Yes",10,0)</f>
        <v/>
      </c>
      <c r="AF51" s="25" t="inlineStr">
        <is>
          <t>B2B</t>
        </is>
      </c>
      <c r="AG51" s="25">
        <f>IF(AF51="B2C",10,IF(AF51="B2B",5,0))</f>
        <v/>
      </c>
      <c r="AH51" s="25" t="inlineStr">
        <is>
          <t>Yes</t>
        </is>
      </c>
      <c r="AI51" s="25">
        <f>IF(AH51="Yes",10,0)</f>
        <v/>
      </c>
      <c r="AJ51" s="25" t="inlineStr">
        <is>
          <t>Higher Annuity, Lower One Time</t>
        </is>
      </c>
      <c r="AK51" s="25">
        <f>IF(AJ51="Fully Annuity",10,IF(AJ51="Higher Annuity, Lower One Time",5,IF(AJ51="Higher One Time, Lower Annuity",3,0)))</f>
        <v/>
      </c>
      <c r="AL51" s="25" t="inlineStr">
        <is>
          <t>Good</t>
        </is>
      </c>
      <c r="AM51" s="25">
        <f>IF(AL51="Good",10,0)</f>
        <v/>
      </c>
      <c r="AN51" s="25" t="inlineStr">
        <is>
          <t>Yes for more than 2 years</t>
        </is>
      </c>
      <c r="AO51" s="25">
        <f>IF(AN51="Yes for more than 2 years",10,IF(AN51="Yes only for next 1 to 2 years",5,0))</f>
        <v/>
      </c>
      <c r="AP51" s="25" t="inlineStr">
        <is>
          <t>20 to 40</t>
        </is>
      </c>
      <c r="AQ51" s="25">
        <f>IF(AP51="Above 40",20,IF(AP51="20 to 40",10,IF(AP51="0 to 20",-5,0)))</f>
        <v/>
      </c>
      <c r="AR51" s="25" t="inlineStr">
        <is>
          <t>Above 75</t>
        </is>
      </c>
      <c r="AS51" s="25">
        <f>IF(AR51="Between 50 to 75",10,IF(AR51="Above 75",0,0))</f>
        <v/>
      </c>
      <c r="AT51" s="25" t="inlineStr">
        <is>
          <t>Stage 2</t>
        </is>
      </c>
      <c r="AU51" s="25">
        <f>IF(AT51="Stage 2",20,IF(AT51="Stage 1",0,IF(AT51="Stage 3",5,IF(AT51="Stage 4",-5,0))))</f>
        <v/>
      </c>
      <c r="AV51" s="25" t="inlineStr">
        <is>
          <t>Positive Trend</t>
        </is>
      </c>
      <c r="AW51" s="25">
        <f>IF(AV51="Positive Trend",20,IF(AV51="Negative Trend",-10,0))</f>
        <v/>
      </c>
      <c r="AX51" s="25" t="inlineStr">
        <is>
          <t>Uptrend</t>
        </is>
      </c>
      <c r="AY51" s="25">
        <f>IF(AX51="Uptrend",10,IF(AX51="Sideways",5,0))</f>
        <v/>
      </c>
      <c r="AZ51" s="25" t="inlineStr">
        <is>
          <t>Uptrend</t>
        </is>
      </c>
      <c r="BA51" s="25">
        <f>IF(AZ51="Uptrend",10,IF(AZ51="Sideways",5,0))</f>
        <v/>
      </c>
      <c r="BB51" s="25" t="inlineStr">
        <is>
          <t>Blue sky scenario</t>
        </is>
      </c>
      <c r="BC51" s="25">
        <f>IF(BB51="Overhead supply in last 2 years in last 2 years",-5,IF(BB51="Close to 52 week high or retracement",5,IF(BB51="Blue sky scenario",10,IF(BB51="Long term Downtrend",-10,0))))</f>
        <v/>
      </c>
      <c r="BD51" s="25" t="inlineStr">
        <is>
          <t>Yes</t>
        </is>
      </c>
      <c r="BE51" s="25">
        <f>IF(BD51="Yes",10,0)</f>
        <v/>
      </c>
      <c r="BF51" s="25" t="inlineStr">
        <is>
          <t>More than 20%</t>
        </is>
      </c>
      <c r="BG51" s="25">
        <f>IF(BF51="More than 20%",10,IF(BF51="Between 12 to 20%",5,IF(BF51="Less than 12%",0,0)))</f>
        <v/>
      </c>
      <c r="BH51" s="25" t="inlineStr">
        <is>
          <t>No</t>
        </is>
      </c>
      <c r="BI51" s="25">
        <f>IF(BH51="No",10,0)</f>
        <v/>
      </c>
      <c r="BJ51" s="25" t="inlineStr">
        <is>
          <t>No</t>
        </is>
      </c>
      <c r="BK51" s="25">
        <f>IF(BJ51="NO",5,0)</f>
        <v/>
      </c>
      <c r="BL51" s="25" t="inlineStr">
        <is>
          <t>Less than 1.5</t>
        </is>
      </c>
      <c r="BM51" s="25">
        <f>IF(BL51="Above 2",0,IF(BL51="Between 1.5 to 2",5,IF(BL51="Less than 1.5",10,0)))</f>
        <v/>
      </c>
      <c r="BN51" s="25" t="inlineStr">
        <is>
          <t>Above 70%</t>
        </is>
      </c>
      <c r="BO51" s="25">
        <f>IF(BN51="Above 70%",10,IF(BN51="Between 50% to 70%",5,IF(BN51="Less than 50%",0,IF(BN51="Negative",-10,IF(BN51="Less than 50% and Borrowings are increasing",-5,0)))))</f>
        <v/>
      </c>
      <c r="BP51" s="25" t="inlineStr">
        <is>
          <t>Less than 0.7</t>
        </is>
      </c>
      <c r="BQ51" s="25">
        <f>IF(BP51="More than 1.2",-10,IF(BP51="Between 0.7 to 1.2",0,IF(BP51="Less than 0.7",10,0)))</f>
        <v/>
      </c>
      <c r="BR51" s="25" t="inlineStr">
        <is>
          <t>No</t>
        </is>
      </c>
      <c r="BS51" s="25">
        <f>IF(BR51="Yes",-10,0)</f>
        <v/>
      </c>
      <c r="BT51" s="25" t="inlineStr">
        <is>
          <t>Less than 15%</t>
        </is>
      </c>
      <c r="BU51" s="25">
        <f>IF(BT51="More than 15%",-10,IF(BT51="Less than 15%",10,0))</f>
        <v/>
      </c>
      <c r="BV51" s="25" t="inlineStr">
        <is>
          <t>No</t>
        </is>
      </c>
      <c r="BW51" s="25">
        <f>IF(BV51="Yes, more than 10%",-10,IF(BV51="No",10,0))</f>
        <v/>
      </c>
    </row>
    <row r="52">
      <c r="A52" s="25">
        <f>IF(B52=0,"",RANK(B52,$B$2:$B$292,0))</f>
        <v/>
      </c>
      <c r="B52" s="26">
        <f>SUM(Q52,S52,U52,W52,Y52,AA52,AC52,AE52,AG52,AI52,AK52,AM52,AO52,AQ52,AS52,AU52,AW52,AY52,BA52,BC52,BE52,BG52,BI52,BK52,BM52,BO52,BQ52,BS52,BU52,BW52)</f>
        <v/>
      </c>
      <c r="C52" s="25" t="inlineStr">
        <is>
          <t>ADVENZYMES</t>
        </is>
      </c>
      <c r="D52" s="25" t="inlineStr">
        <is>
          <t>Advanced Enzyme Technologies Limited</t>
        </is>
      </c>
      <c r="E52" s="25" t="inlineStr">
        <is>
          <t>healthcare</t>
        </is>
      </c>
      <c r="F52" s="25" t="inlineStr">
        <is>
          <t>pharmaceuticals - indian - bulk drugs &amp; formln</t>
        </is>
      </c>
      <c r="G52" s="25" t="inlineStr">
        <is>
          <t>smallcap</t>
        </is>
      </c>
      <c r="H52" s="26" t="n">
        <v>4248.18</v>
      </c>
      <c r="I52" s="26" t="n">
        <v>392.1</v>
      </c>
      <c r="J52" s="26" t="n">
        <v>3.31</v>
      </c>
      <c r="K52" s="26" t="n">
        <v>369750</v>
      </c>
      <c r="L52" s="26" t="n">
        <v>69.78</v>
      </c>
      <c r="M52" s="26" t="n">
        <v>26.72</v>
      </c>
      <c r="N52" s="26" t="n">
        <v>304.63</v>
      </c>
      <c r="O52" s="25" t="inlineStr">
        <is>
          <t>Near 52W High Breakout</t>
        </is>
      </c>
      <c r="P52" s="25" t="inlineStr">
        <is>
          <t>Growing Industry</t>
        </is>
      </c>
      <c r="Q52" s="25">
        <f>IF(P52="Growing Industry",10,IF(P52="Cyclical in an Upturn",5,0))</f>
        <v/>
      </c>
      <c r="R52" s="25" t="inlineStr">
        <is>
          <t>Too Many Players with High ROCE</t>
        </is>
      </c>
      <c r="S52" s="25">
        <f>IF(R52="Monopoly",10,IF(R52="Oligopoly",5,IF(R52="Duopoly that cooperate",10,IF(R52="Duopoly that compete",5,IF(R52="Too many players with High ROCE",5,0)))))</f>
        <v/>
      </c>
      <c r="T52" s="25" t="inlineStr">
        <is>
          <t>Yes</t>
        </is>
      </c>
      <c r="U52" s="25">
        <f>IF(T52="No",5,0)</f>
        <v/>
      </c>
      <c r="V52" s="25" t="inlineStr">
        <is>
          <t>Tailwind</t>
        </is>
      </c>
      <c r="W52" s="25">
        <f>IF(V52="Tailwind",10,0)</f>
        <v/>
      </c>
      <c r="X52" s="25" t="inlineStr">
        <is>
          <t>Structural (10 Years Consistency)</t>
        </is>
      </c>
      <c r="Y52" s="25">
        <f>IF(X52="Structural (10 Years Consistency)",10,IF(X52="Shallow Cyclical (2 to 3 years growth)",5,0))</f>
        <v/>
      </c>
      <c r="Z52" s="25" t="inlineStr">
        <is>
          <t>No</t>
        </is>
      </c>
      <c r="AA52" s="25">
        <f>IF(Z52="Yes due to Product Mix change or Operating Leverage",10,IF(Z52="Yes, these are peak margins",-5,IF(Z52="No",5,0)))</f>
        <v/>
      </c>
      <c r="AB52" s="25" t="inlineStr">
        <is>
          <t>Stable</t>
        </is>
      </c>
      <c r="AC52" s="25">
        <f>IF(AB52="Stable",10,0)</f>
        <v/>
      </c>
      <c r="AD52" s="25" t="inlineStr">
        <is>
          <t>Yes</t>
        </is>
      </c>
      <c r="AE52" s="25">
        <f>IF(AD52="Yes",10,0)</f>
        <v/>
      </c>
      <c r="AF52" s="25" t="inlineStr">
        <is>
          <t>B2B</t>
        </is>
      </c>
      <c r="AG52" s="25">
        <f>IF(AF52="B2C",10,IF(AF52="B2B",5,0))</f>
        <v/>
      </c>
      <c r="AH52" s="25" t="inlineStr">
        <is>
          <t>Yes</t>
        </is>
      </c>
      <c r="AI52" s="25">
        <f>IF(AH52="Yes",10,0)</f>
        <v/>
      </c>
      <c r="AJ52" s="25" t="inlineStr">
        <is>
          <t>Higher Annuity, Lower One Time</t>
        </is>
      </c>
      <c r="AK52" s="25">
        <f>IF(AJ52="Fully Annuity",10,IF(AJ52="Higher Annuity, Lower One Time",5,IF(AJ52="Higher One Time, Lower Annuity",3,0)))</f>
        <v/>
      </c>
      <c r="AL52" s="25" t="inlineStr">
        <is>
          <t>Good</t>
        </is>
      </c>
      <c r="AM52" s="25">
        <f>IF(AL52="Good",10,0)</f>
        <v/>
      </c>
      <c r="AN52" s="25" t="inlineStr">
        <is>
          <t>Yes for more than 2 years</t>
        </is>
      </c>
      <c r="AO52" s="25">
        <f>IF(AN52="Yes for more than 2 years",10,IF(AN52="Yes only for next 1 to 2 years",5,0))</f>
        <v/>
      </c>
      <c r="AP52" s="25" t="inlineStr">
        <is>
          <t>20 to 40</t>
        </is>
      </c>
      <c r="AQ52" s="25">
        <f>IF(AP52="Above 40",20,IF(AP52="20 to 40",10,IF(AP52="0 to 20",-5,0)))</f>
        <v/>
      </c>
      <c r="AR52" s="25" t="inlineStr">
        <is>
          <t>Between 50 to 75</t>
        </is>
      </c>
      <c r="AS52" s="25">
        <f>IF(AR52="Between 50 to 75",10,IF(AR52="Above 75",0,0))</f>
        <v/>
      </c>
      <c r="AT52" s="25" t="inlineStr">
        <is>
          <t>Stage 2</t>
        </is>
      </c>
      <c r="AU52" s="25">
        <f>IF(AT52="Stage 2",20,IF(AT52="Stage 1",0,IF(AT52="Stage 3",5,IF(AT52="Stage 4",-5,0))))</f>
        <v/>
      </c>
      <c r="AV52" s="25" t="inlineStr">
        <is>
          <t>Positive Trend</t>
        </is>
      </c>
      <c r="AW52" s="25">
        <f>IF(AV52="Positive Trend",20,IF(AV52="Negative Trend",-10,0))</f>
        <v/>
      </c>
      <c r="AX52" s="25" t="inlineStr">
        <is>
          <t>Uptrend</t>
        </is>
      </c>
      <c r="AY52" s="25">
        <f>IF(AX52="Uptrend",10,IF(AX52="Sideways",5,0))</f>
        <v/>
      </c>
      <c r="AZ52" s="25" t="inlineStr">
        <is>
          <t>Uptrend</t>
        </is>
      </c>
      <c r="BA52" s="25">
        <f>IF(AZ52="Uptrend",10,IF(AZ52="Sideways",5,0))</f>
        <v/>
      </c>
      <c r="BB52" s="25" t="inlineStr">
        <is>
          <t>Close to 52 week high or retracement</t>
        </is>
      </c>
      <c r="BC52" s="25">
        <f>IF(BB52="Overhead supply in last 2 years in last 2 years",-5,IF(BB52="Close to 52 week high or retracement",5,IF(BB52="Blue sky scenario",10,IF(BB52="Long term Downtrend",-10,0))))</f>
        <v/>
      </c>
      <c r="BD52" s="25" t="inlineStr">
        <is>
          <t>Yes</t>
        </is>
      </c>
      <c r="BE52" s="25">
        <f>IF(BD52="Yes",10,0)</f>
        <v/>
      </c>
      <c r="BF52" s="25" t="inlineStr">
        <is>
          <t>More than 20%</t>
        </is>
      </c>
      <c r="BG52" s="25">
        <f>IF(BF52="More than 20%",10,IF(BF52="Between 12 to 20%",5,IF(BF52="Less than 12%",0,0)))</f>
        <v/>
      </c>
      <c r="BH52" s="25" t="inlineStr">
        <is>
          <t>No</t>
        </is>
      </c>
      <c r="BI52" s="25">
        <f>IF(BH52="No",10,0)</f>
        <v/>
      </c>
      <c r="BJ52" s="25" t="inlineStr">
        <is>
          <t>No</t>
        </is>
      </c>
      <c r="BK52" s="25">
        <f>IF(BJ52="NO",5,0)</f>
        <v/>
      </c>
      <c r="BL52" s="25" t="inlineStr">
        <is>
          <t>Less than 1.5</t>
        </is>
      </c>
      <c r="BM52" s="25">
        <f>IF(BL52="Above 2",0,IF(BL52="Between 1.5 to 2",5,IF(BL52="Less than 1.5",10,0)))</f>
        <v/>
      </c>
      <c r="BN52" s="25" t="inlineStr">
        <is>
          <t>Between 50% to 70%</t>
        </is>
      </c>
      <c r="BO52" s="25">
        <f>IF(BN52="Above 70%",10,IF(BN52="Between 50% to 70%",5,IF(BN52="Less than 50%",0,IF(BN52="Negative",-10,IF(BN52="Less than 50% and Borrowings are increasing",-5,0)))))</f>
        <v/>
      </c>
      <c r="BP52" s="25" t="inlineStr">
        <is>
          <t>Less than 0.7</t>
        </is>
      </c>
      <c r="BQ52" s="25">
        <f>IF(BP52="More than 1.2",-10,IF(BP52="Between 0.7 to 1.2",0,IF(BP52="Less than 0.7",10,0)))</f>
        <v/>
      </c>
      <c r="BR52" s="25" t="inlineStr">
        <is>
          <t>No</t>
        </is>
      </c>
      <c r="BS52" s="25">
        <f>IF(BR52="Yes",-10,0)</f>
        <v/>
      </c>
      <c r="BT52" s="25" t="inlineStr">
        <is>
          <t>Less than 15%</t>
        </is>
      </c>
      <c r="BU52" s="25">
        <f>IF(BT52="More than 15%",-10,IF(BT52="Less than 15%",10,0))</f>
        <v/>
      </c>
      <c r="BV52" s="25" t="inlineStr">
        <is>
          <t>No</t>
        </is>
      </c>
      <c r="BW52" s="25">
        <f>IF(BV52="Yes, more than 10%",-10,IF(BV52="No",10,0))</f>
        <v/>
      </c>
    </row>
    <row r="53">
      <c r="A53" s="25">
        <f>IF(B53=0,"",RANK(B53,$B$2:$B$292,0))</f>
        <v/>
      </c>
      <c r="B53" s="26">
        <f>SUM(Q53,S53,U53,W53,Y53,AA53,AC53,AE53,AG53,AI53,AK53,AM53,AO53,AQ53,AS53,AU53,AW53,AY53,BA53,BC53,BE53,BG53,BI53,BK53,BM53,BO53,BQ53,BS53,BU53,BW53)</f>
        <v/>
      </c>
      <c r="C53" s="25" t="inlineStr">
        <is>
          <t>SAKAR</t>
        </is>
      </c>
      <c r="D53" s="25" t="inlineStr">
        <is>
          <t>Sakar Healthcare Ltd</t>
        </is>
      </c>
      <c r="E53" s="25" t="inlineStr">
        <is>
          <t>healthcare</t>
        </is>
      </c>
      <c r="F53" s="25" t="inlineStr">
        <is>
          <t>pharmaceuticals - indian - bulk drugs &amp; formln</t>
        </is>
      </c>
      <c r="G53" s="25" t="inlineStr">
        <is>
          <t>smallcap</t>
        </is>
      </c>
      <c r="H53" s="26" t="n">
        <v>1859.43</v>
      </c>
      <c r="I53" s="26" t="n">
        <v>834.6</v>
      </c>
      <c r="J53" s="26" t="n">
        <v>-0.13</v>
      </c>
      <c r="K53" s="26" t="n">
        <v>134303</v>
      </c>
      <c r="L53" s="26" t="n">
        <v>79.31</v>
      </c>
      <c r="M53" s="26" t="n">
        <v>52.59</v>
      </c>
      <c r="N53" s="26" t="n">
        <v>607.02</v>
      </c>
      <c r="O53" s="25" t="inlineStr">
        <is>
          <t>Near 52W High Breakout</t>
        </is>
      </c>
      <c r="P53" s="25" t="inlineStr">
        <is>
          <t>Growing Industry</t>
        </is>
      </c>
      <c r="Q53" s="25">
        <f>IF(P53="Growing Industry",10,IF(P53="Cyclical in an Upturn",5,0))</f>
        <v/>
      </c>
      <c r="R53" s="25" t="inlineStr">
        <is>
          <t>Too Many Players with High ROCE</t>
        </is>
      </c>
      <c r="S53" s="25">
        <f>IF(R53="Monopoly",10,IF(R53="Oligopoly",5,IF(R53="Duopoly that cooperate",10,IF(R53="Duopoly that compete",5,IF(R53="Too many players with High ROCE",5,0)))))</f>
        <v/>
      </c>
      <c r="T53" s="25" t="inlineStr">
        <is>
          <t>Yes</t>
        </is>
      </c>
      <c r="U53" s="25">
        <f>IF(T53="No",5,0)</f>
        <v/>
      </c>
      <c r="V53" s="25" t="inlineStr">
        <is>
          <t>Tailwind</t>
        </is>
      </c>
      <c r="W53" s="25">
        <f>IF(V53="Tailwind",10,0)</f>
        <v/>
      </c>
      <c r="X53" s="25" t="inlineStr">
        <is>
          <t>Structural (10 Years Consistency)</t>
        </is>
      </c>
      <c r="Y53" s="25">
        <f>IF(X53="Structural (10 Years Consistency)",10,IF(X53="Shallow Cyclical (2 to 3 years growth)",5,0))</f>
        <v/>
      </c>
      <c r="Z53" s="25" t="inlineStr">
        <is>
          <t>No</t>
        </is>
      </c>
      <c r="AA53" s="25">
        <f>IF(Z53="Yes due to Product Mix change or Operating Leverage",10,IF(Z53="Yes, these are peak margins",-5,IF(Z53="No",5,0)))</f>
        <v/>
      </c>
      <c r="AB53" s="25" t="inlineStr">
        <is>
          <t>Stable</t>
        </is>
      </c>
      <c r="AC53" s="25">
        <f>IF(AB53="Stable",10,0)</f>
        <v/>
      </c>
      <c r="AD53" s="25" t="inlineStr">
        <is>
          <t>Yes</t>
        </is>
      </c>
      <c r="AE53" s="25">
        <f>IF(AD53="Yes",10,0)</f>
        <v/>
      </c>
      <c r="AF53" s="25" t="inlineStr">
        <is>
          <t>B2B</t>
        </is>
      </c>
      <c r="AG53" s="25">
        <f>IF(AF53="B2C",10,IF(AF53="B2B",5,0))</f>
        <v/>
      </c>
      <c r="AH53" s="25" t="inlineStr">
        <is>
          <t>Yes</t>
        </is>
      </c>
      <c r="AI53" s="25">
        <f>IF(AH53="Yes",10,0)</f>
        <v/>
      </c>
      <c r="AJ53" s="25" t="inlineStr">
        <is>
          <t>Higher Annuity, Lower One Time</t>
        </is>
      </c>
      <c r="AK53" s="25">
        <f>IF(AJ53="Fully Annuity",10,IF(AJ53="Higher Annuity, Lower One Time",5,IF(AJ53="Higher One Time, Lower Annuity",3,0)))</f>
        <v/>
      </c>
      <c r="AL53" s="25" t="inlineStr">
        <is>
          <t>Good</t>
        </is>
      </c>
      <c r="AM53" s="25">
        <f>IF(AL53="Good",10,0)</f>
        <v/>
      </c>
      <c r="AN53" s="25" t="inlineStr">
        <is>
          <t>Yes for more than 2 years</t>
        </is>
      </c>
      <c r="AO53" s="25">
        <f>IF(AN53="Yes for more than 2 years",10,IF(AN53="Yes only for next 1 to 2 years",5,0))</f>
        <v/>
      </c>
      <c r="AP53" s="25" t="inlineStr">
        <is>
          <t>Above 40</t>
        </is>
      </c>
      <c r="AQ53" s="25">
        <f>IF(AP53="Above 40",20,IF(AP53="20 to 40",10,IF(AP53="0 to 20",-5,0)))</f>
        <v/>
      </c>
      <c r="AR53" s="25" t="inlineStr">
        <is>
          <t>Above 75</t>
        </is>
      </c>
      <c r="AS53" s="25">
        <f>IF(AR53="Between 50 to 75",10,IF(AR53="Above 75",0,0))</f>
        <v/>
      </c>
      <c r="AT53" s="25" t="inlineStr">
        <is>
          <t>Stage 2</t>
        </is>
      </c>
      <c r="AU53" s="25">
        <f>IF(AT53="Stage 2",20,IF(AT53="Stage 1",0,IF(AT53="Stage 3",5,IF(AT53="Stage 4",-5,0))))</f>
        <v/>
      </c>
      <c r="AV53" s="25" t="inlineStr">
        <is>
          <t>Positive Trend</t>
        </is>
      </c>
      <c r="AW53" s="25">
        <f>IF(AV53="Positive Trend",20,IF(AV53="Negative Trend",-10,0))</f>
        <v/>
      </c>
      <c r="AX53" s="25" t="inlineStr">
        <is>
          <t>Uptrend</t>
        </is>
      </c>
      <c r="AY53" s="25">
        <f>IF(AX53="Uptrend",10,IF(AX53="Sideways",5,0))</f>
        <v/>
      </c>
      <c r="AZ53" s="25" t="inlineStr">
        <is>
          <t>Uptrend</t>
        </is>
      </c>
      <c r="BA53" s="25">
        <f>IF(AZ53="Uptrend",10,IF(AZ53="Sideways",5,0))</f>
        <v/>
      </c>
      <c r="BB53" s="25" t="inlineStr">
        <is>
          <t>Blue sky scenario</t>
        </is>
      </c>
      <c r="BC53" s="25">
        <f>IF(BB53="Overhead supply in last 2 years in last 2 years",-5,IF(BB53="Close to 52 week high or retracement",5,IF(BB53="Blue sky scenario",10,IF(BB53="Long term Downtrend",-10,0))))</f>
        <v/>
      </c>
      <c r="BD53" s="25" t="inlineStr">
        <is>
          <t>Yes</t>
        </is>
      </c>
      <c r="BE53" s="25">
        <f>IF(BD53="Yes",10,0)</f>
        <v/>
      </c>
      <c r="BF53" s="25" t="inlineStr">
        <is>
          <t>More than 20%</t>
        </is>
      </c>
      <c r="BG53" s="25">
        <f>IF(BF53="More than 20%",10,IF(BF53="Between 12 to 20%",5,IF(BF53="Less than 12%",0,0)))</f>
        <v/>
      </c>
      <c r="BH53" s="25" t="inlineStr">
        <is>
          <t>No</t>
        </is>
      </c>
      <c r="BI53" s="25">
        <f>IF(BH53="No",10,0)</f>
        <v/>
      </c>
      <c r="BJ53" s="25" t="inlineStr">
        <is>
          <t>Yes</t>
        </is>
      </c>
      <c r="BK53" s="25">
        <f>IF(BJ53="NO",5,0)</f>
        <v/>
      </c>
      <c r="BL53" s="25" t="inlineStr">
        <is>
          <t>Less than 1.5</t>
        </is>
      </c>
      <c r="BM53" s="25">
        <f>IF(BL53="Above 2",0,IF(BL53="Between 1.5 to 2",5,IF(BL53="Less than 1.5",10,0)))</f>
        <v/>
      </c>
      <c r="BN53" s="25" t="inlineStr">
        <is>
          <t>Between 50% to 70%</t>
        </is>
      </c>
      <c r="BO53" s="25">
        <f>IF(BN53="Above 70%",10,IF(BN53="Between 50% to 70%",5,IF(BN53="Less than 50%",0,IF(BN53="Negative",-10,IF(BN53="Less than 50% and Borrowings are increasing",-5,0)))))</f>
        <v/>
      </c>
      <c r="BP53" s="25" t="inlineStr">
        <is>
          <t>Less than 0.7</t>
        </is>
      </c>
      <c r="BQ53" s="25">
        <f>IF(BP53="More than 1.2",-10,IF(BP53="Between 0.7 to 1.2",0,IF(BP53="Less than 0.7",10,0)))</f>
        <v/>
      </c>
      <c r="BR53" s="25" t="inlineStr">
        <is>
          <t>No</t>
        </is>
      </c>
      <c r="BS53" s="25">
        <f>IF(BR53="Yes",-10,0)</f>
        <v/>
      </c>
      <c r="BT53" s="25" t="inlineStr">
        <is>
          <t>Less than 15%</t>
        </is>
      </c>
      <c r="BU53" s="25">
        <f>IF(BT53="More than 15%",-10,IF(BT53="Less than 15%",10,0))</f>
        <v/>
      </c>
      <c r="BV53" s="25" t="inlineStr">
        <is>
          <t>No</t>
        </is>
      </c>
      <c r="BW53" s="25">
        <f>IF(BV53="Yes, more than 10%",-10,IF(BV53="No",10,0))</f>
        <v/>
      </c>
    </row>
    <row r="54">
      <c r="A54" s="25">
        <f>IF(B54=0,"",RANK(B54,$B$2:$B$292,0))</f>
        <v/>
      </c>
      <c r="B54" s="26">
        <f>SUM(Q54,S54,U54,W54,Y54,AA54,AC54,AE54,AG54,AI54,AK54,AM54,AO54,AQ54,AS54,AU54,AW54,AY54,BA54,BC54,BE54,BG54,BI54,BK54,BM54,BO54,BQ54,BS54,BU54,BW54)</f>
        <v/>
      </c>
      <c r="C54" s="25" t="inlineStr">
        <is>
          <t>RATEGAIN</t>
        </is>
      </c>
      <c r="D54" s="25" t="inlineStr">
        <is>
          <t>Rategain Travel Technologies Ltd</t>
        </is>
      </c>
      <c r="E54" s="25" t="inlineStr">
        <is>
          <t>i.t</t>
        </is>
      </c>
      <c r="F54" s="25" t="inlineStr">
        <is>
          <t>computers - software - medium / small</t>
        </is>
      </c>
      <c r="G54" s="25" t="inlineStr">
        <is>
          <t>midcap</t>
        </is>
      </c>
      <c r="H54" s="26" t="n">
        <v>9183.23</v>
      </c>
      <c r="I54" s="26" t="n">
        <v>774.8</v>
      </c>
      <c r="J54" s="26" t="n">
        <v>-0.3</v>
      </c>
      <c r="K54" s="26" t="n">
        <v>786893</v>
      </c>
      <c r="L54" s="26" t="n">
        <v>71.68000000000001</v>
      </c>
      <c r="M54" s="26" t="n">
        <v>25.5</v>
      </c>
      <c r="N54" s="26" t="n">
        <v>591.6900000000001</v>
      </c>
      <c r="O54" s="25" t="inlineStr">
        <is>
          <t>Near 52W High Breakout</t>
        </is>
      </c>
      <c r="P54" s="25" t="inlineStr">
        <is>
          <t>Growing Industry</t>
        </is>
      </c>
      <c r="Q54" s="25">
        <f>IF(P54="Growing Industry",10,IF(P54="Cyclical in an Upturn",5,0))</f>
        <v/>
      </c>
      <c r="R54" s="25" t="inlineStr">
        <is>
          <t>Too Many Players with High ROCE</t>
        </is>
      </c>
      <c r="S54" s="25">
        <f>IF(R54="Monopoly",10,IF(R54="Oligopoly",5,IF(R54="Duopoly that cooperate",10,IF(R54="Duopoly that compete",5,IF(R54="Too many players with High ROCE",5,0)))))</f>
        <v/>
      </c>
      <c r="T54" s="25" t="inlineStr">
        <is>
          <t>No</t>
        </is>
      </c>
      <c r="U54" s="25">
        <f>IF(T54="No",5,0)</f>
        <v/>
      </c>
      <c r="V54" s="25" t="inlineStr">
        <is>
          <t>Tailwind</t>
        </is>
      </c>
      <c r="W54" s="25">
        <f>IF(V54="Tailwind",10,0)</f>
        <v/>
      </c>
      <c r="X54" s="25" t="inlineStr">
        <is>
          <t>Structural (10 Years Consistency)</t>
        </is>
      </c>
      <c r="Y54" s="25">
        <f>IF(X54="Structural (10 Years Consistency)",10,IF(X54="Shallow Cyclical (2 to 3 years growth)",5,0))</f>
        <v/>
      </c>
      <c r="Z54" s="25" t="inlineStr">
        <is>
          <t>No</t>
        </is>
      </c>
      <c r="AA54" s="25">
        <f>IF(Z54="Yes due to Product Mix change or Operating Leverage",10,IF(Z54="Yes, these are peak margins",-5,IF(Z54="No",5,0)))</f>
        <v/>
      </c>
      <c r="AB54" s="25" t="inlineStr">
        <is>
          <t>Stable</t>
        </is>
      </c>
      <c r="AC54" s="25">
        <f>IF(AB54="Stable",10,0)</f>
        <v/>
      </c>
      <c r="AD54" s="25" t="inlineStr">
        <is>
          <t>Yes</t>
        </is>
      </c>
      <c r="AE54" s="25">
        <f>IF(AD54="Yes",10,0)</f>
        <v/>
      </c>
      <c r="AF54" s="25" t="inlineStr">
        <is>
          <t>B2B</t>
        </is>
      </c>
      <c r="AG54" s="25">
        <f>IF(AF54="B2C",10,IF(AF54="B2B",5,0))</f>
        <v/>
      </c>
      <c r="AH54" s="25" t="inlineStr">
        <is>
          <t>Yes</t>
        </is>
      </c>
      <c r="AI54" s="25">
        <f>IF(AH54="Yes",10,0)</f>
        <v/>
      </c>
      <c r="AJ54" s="25" t="inlineStr">
        <is>
          <t>Higher Annuity, Lower One Time</t>
        </is>
      </c>
      <c r="AK54" s="25">
        <f>IF(AJ54="Fully Annuity",10,IF(AJ54="Higher Annuity, Lower One Time",5,IF(AJ54="Higher One Time, Lower Annuity",3,0)))</f>
        <v/>
      </c>
      <c r="AL54" s="25" t="inlineStr">
        <is>
          <t>Good</t>
        </is>
      </c>
      <c r="AM54" s="25">
        <f>IF(AL54="Good",10,0)</f>
        <v/>
      </c>
      <c r="AN54" s="25" t="inlineStr">
        <is>
          <t>Yes for more than 2 years</t>
        </is>
      </c>
      <c r="AO54" s="25">
        <f>IF(AN54="Yes for more than 2 years",10,IF(AN54="Yes only for next 1 to 2 years",5,0))</f>
        <v/>
      </c>
      <c r="AP54" s="25" t="inlineStr">
        <is>
          <t>20 to 40</t>
        </is>
      </c>
      <c r="AQ54" s="25">
        <f>IF(AP54="Above 40",20,IF(AP54="20 to 40",10,IF(AP54="0 to 20",-5,0)))</f>
        <v/>
      </c>
      <c r="AR54" s="25" t="inlineStr">
        <is>
          <t>Between 50 to 75</t>
        </is>
      </c>
      <c r="AS54" s="25">
        <f>IF(AR54="Between 50 to 75",10,IF(AR54="Above 75",0,0))</f>
        <v/>
      </c>
      <c r="AT54" s="25" t="inlineStr">
        <is>
          <t>Stage 2</t>
        </is>
      </c>
      <c r="AU54" s="25">
        <f>IF(AT54="Stage 2",20,IF(AT54="Stage 1",0,IF(AT54="Stage 3",5,IF(AT54="Stage 4",-5,0))))</f>
        <v/>
      </c>
      <c r="AV54" s="25" t="inlineStr">
        <is>
          <t>Positive Trend</t>
        </is>
      </c>
      <c r="AW54" s="25">
        <f>IF(AV54="Positive Trend",20,IF(AV54="Negative Trend",-10,0))</f>
        <v/>
      </c>
      <c r="AX54" s="25" t="inlineStr">
        <is>
          <t>Uptrend</t>
        </is>
      </c>
      <c r="AY54" s="25">
        <f>IF(AX54="Uptrend",10,IF(AX54="Sideways",5,0))</f>
        <v/>
      </c>
      <c r="AZ54" s="25" t="inlineStr">
        <is>
          <t>Uptrend</t>
        </is>
      </c>
      <c r="BA54" s="25">
        <f>IF(AZ54="Uptrend",10,IF(AZ54="Sideways",5,0))</f>
        <v/>
      </c>
      <c r="BB54" s="25" t="inlineStr">
        <is>
          <t>Close to 52 week high or retracement</t>
        </is>
      </c>
      <c r="BC54" s="25">
        <f>IF(BB54="Overhead supply in last 2 years in last 2 years",-5,IF(BB54="Close to 52 week high or retracement",5,IF(BB54="Blue sky scenario",10,IF(BB54="Long term Downtrend",-10,0))))</f>
        <v/>
      </c>
      <c r="BD54" s="25" t="inlineStr">
        <is>
          <t>Yes</t>
        </is>
      </c>
      <c r="BE54" s="25">
        <f>IF(BD54="Yes",10,0)</f>
        <v/>
      </c>
      <c r="BF54" s="25" t="inlineStr">
        <is>
          <t>More than 20%</t>
        </is>
      </c>
      <c r="BG54" s="25">
        <f>IF(BF54="More than 20%",10,IF(BF54="Between 12 to 20%",5,IF(BF54="Less than 12%",0,0)))</f>
        <v/>
      </c>
      <c r="BH54" s="25" t="inlineStr">
        <is>
          <t>No</t>
        </is>
      </c>
      <c r="BI54" s="25">
        <f>IF(BH54="No",10,0)</f>
        <v/>
      </c>
      <c r="BJ54" s="25" t="inlineStr">
        <is>
          <t>Yes</t>
        </is>
      </c>
      <c r="BK54" s="25">
        <f>IF(BJ54="NO",5,0)</f>
        <v/>
      </c>
      <c r="BL54" s="25" t="inlineStr">
        <is>
          <t>Less than 1.5</t>
        </is>
      </c>
      <c r="BM54" s="25">
        <f>IF(BL54="Above 2",0,IF(BL54="Between 1.5 to 2",5,IF(BL54="Less than 1.5",10,0)))</f>
        <v/>
      </c>
      <c r="BN54" s="25" t="inlineStr">
        <is>
          <t>Between 50% to 70%</t>
        </is>
      </c>
      <c r="BO54" s="25">
        <f>IF(BN54="Above 70%",10,IF(BN54="Between 50% to 70%",5,IF(BN54="Less than 50%",0,IF(BN54="Negative",-10,IF(BN54="Less than 50% and Borrowings are increasing",-5,0)))))</f>
        <v/>
      </c>
      <c r="BP54" s="25" t="inlineStr">
        <is>
          <t>Less than 0.7</t>
        </is>
      </c>
      <c r="BQ54" s="25">
        <f>IF(BP54="More than 1.2",-10,IF(BP54="Between 0.7 to 1.2",0,IF(BP54="Less than 0.7",10,0)))</f>
        <v/>
      </c>
      <c r="BR54" s="25" t="inlineStr">
        <is>
          <t>No</t>
        </is>
      </c>
      <c r="BS54" s="25">
        <f>IF(BR54="Yes",-10,0)</f>
        <v/>
      </c>
      <c r="BT54" s="25" t="inlineStr">
        <is>
          <t>Less than 15%</t>
        </is>
      </c>
      <c r="BU54" s="25">
        <f>IF(BT54="More than 15%",-10,IF(BT54="Less than 15%",10,0))</f>
        <v/>
      </c>
      <c r="BV54" s="25" t="inlineStr">
        <is>
          <t>No</t>
        </is>
      </c>
      <c r="BW54" s="25">
        <f>IF(BV54="Yes, more than 10%",-10,IF(BV54="No",10,0))</f>
        <v/>
      </c>
    </row>
    <row r="55">
      <c r="A55" s="25">
        <f>IF(B55=0,"",RANK(B55,$B$2:$B$292,0))</f>
        <v/>
      </c>
      <c r="B55" s="26">
        <f>SUM(Q55,S55,U55,W55,Y55,AA55,AC55,AE55,AG55,AI55,AK55,AM55,AO55,AQ55,AS55,AU55,AW55,AY55,BA55,BC55,BE55,BG55,BI55,BK55,BM55,BO55,BQ55,BS55,BU55,BW55)</f>
        <v/>
      </c>
      <c r="C55" s="25" t="inlineStr">
        <is>
          <t>SAILIFE</t>
        </is>
      </c>
      <c r="D55" s="25" t="inlineStr">
        <is>
          <t>Sai Life Sciences Ltd</t>
        </is>
      </c>
      <c r="E55" s="25" t="inlineStr">
        <is>
          <t>healthcare</t>
        </is>
      </c>
      <c r="F55" s="25" t="inlineStr">
        <is>
          <t>pharmaceuticals - indian - bulk drugs &amp; formln</t>
        </is>
      </c>
      <c r="G55" s="25" t="inlineStr">
        <is>
          <t>largecap</t>
        </is>
      </c>
      <c r="H55" s="26" t="n">
        <v>24252.96</v>
      </c>
      <c r="I55" s="26" t="n">
        <v>1128.3</v>
      </c>
      <c r="J55" s="26" t="n">
        <v>-1.48</v>
      </c>
      <c r="K55" s="26" t="n">
        <v>295848</v>
      </c>
      <c r="L55" s="26" t="n">
        <v>64.17</v>
      </c>
      <c r="M55" s="26" t="n">
        <v>30.23</v>
      </c>
      <c r="N55" s="26" t="n">
        <v>916.49</v>
      </c>
      <c r="O55" s="25" t="inlineStr">
        <is>
          <t>Near 52W High Breakout</t>
        </is>
      </c>
      <c r="P55" s="25" t="inlineStr">
        <is>
          <t>Growing Industry</t>
        </is>
      </c>
      <c r="Q55" s="25">
        <f>IF(P55="Growing Industry",10,IF(P55="Cyclical in an Upturn",5,0))</f>
        <v/>
      </c>
      <c r="R55" s="25" t="inlineStr">
        <is>
          <t>Too Many Players with High ROCE</t>
        </is>
      </c>
      <c r="S55" s="25">
        <f>IF(R55="Monopoly",10,IF(R55="Oligopoly",5,IF(R55="Duopoly that cooperate",10,IF(R55="Duopoly that compete",5,IF(R55="Too many players with High ROCE",5,0)))))</f>
        <v/>
      </c>
      <c r="T55" s="25" t="inlineStr">
        <is>
          <t>Yes</t>
        </is>
      </c>
      <c r="U55" s="25">
        <f>IF(T55="No",5,0)</f>
        <v/>
      </c>
      <c r="V55" s="25" t="inlineStr">
        <is>
          <t>Tailwind</t>
        </is>
      </c>
      <c r="W55" s="25">
        <f>IF(V55="Tailwind",10,0)</f>
        <v/>
      </c>
      <c r="X55" s="25" t="inlineStr">
        <is>
          <t>Structural (10 Years Consistency)</t>
        </is>
      </c>
      <c r="Y55" s="25">
        <f>IF(X55="Structural (10 Years Consistency)",10,IF(X55="Shallow Cyclical (2 to 3 years growth)",5,0))</f>
        <v/>
      </c>
      <c r="Z55" s="25" t="inlineStr">
        <is>
          <t>No</t>
        </is>
      </c>
      <c r="AA55" s="25">
        <f>IF(Z55="Yes due to Product Mix change or Operating Leverage",10,IF(Z55="Yes, these are peak margins",-5,IF(Z55="No",5,0)))</f>
        <v/>
      </c>
      <c r="AB55" s="25" t="inlineStr">
        <is>
          <t>Stable</t>
        </is>
      </c>
      <c r="AC55" s="25">
        <f>IF(AB55="Stable",10,0)</f>
        <v/>
      </c>
      <c r="AD55" s="25" t="inlineStr">
        <is>
          <t>Yes</t>
        </is>
      </c>
      <c r="AE55" s="25">
        <f>IF(AD55="Yes",10,0)</f>
        <v/>
      </c>
      <c r="AF55" s="25" t="inlineStr">
        <is>
          <t>B2B</t>
        </is>
      </c>
      <c r="AG55" s="25">
        <f>IF(AF55="B2C",10,IF(AF55="B2B",5,0))</f>
        <v/>
      </c>
      <c r="AH55" s="25" t="inlineStr">
        <is>
          <t>Yes</t>
        </is>
      </c>
      <c r="AI55" s="25">
        <f>IF(AH55="Yes",10,0)</f>
        <v/>
      </c>
      <c r="AJ55" s="25" t="inlineStr">
        <is>
          <t>Higher Annuity, Lower One Time</t>
        </is>
      </c>
      <c r="AK55" s="25">
        <f>IF(AJ55="Fully Annuity",10,IF(AJ55="Higher Annuity, Lower One Time",5,IF(AJ55="Higher One Time, Lower Annuity",3,0)))</f>
        <v/>
      </c>
      <c r="AL55" s="25" t="inlineStr">
        <is>
          <t>Good</t>
        </is>
      </c>
      <c r="AM55" s="25">
        <f>IF(AL55="Good",10,0)</f>
        <v/>
      </c>
      <c r="AN55" s="25" t="inlineStr">
        <is>
          <t>Yes for more than 2 years</t>
        </is>
      </c>
      <c r="AO55" s="25">
        <f>IF(AN55="Yes for more than 2 years",10,IF(AN55="Yes only for next 1 to 2 years",5,0))</f>
        <v/>
      </c>
      <c r="AP55" s="25" t="inlineStr">
        <is>
          <t>20 to 40</t>
        </is>
      </c>
      <c r="AQ55" s="25">
        <f>IF(AP55="Above 40",20,IF(AP55="20 to 40",10,IF(AP55="0 to 20",-5,0)))</f>
        <v/>
      </c>
      <c r="AR55" s="25" t="inlineStr">
        <is>
          <t>Between 50 to 75</t>
        </is>
      </c>
      <c r="AS55" s="25">
        <f>IF(AR55="Between 50 to 75",10,IF(AR55="Above 75",0,0))</f>
        <v/>
      </c>
      <c r="AT55" s="25" t="inlineStr">
        <is>
          <t>Stage 2</t>
        </is>
      </c>
      <c r="AU55" s="25">
        <f>IF(AT55="Stage 2",20,IF(AT55="Stage 1",0,IF(AT55="Stage 3",5,IF(AT55="Stage 4",-5,0))))</f>
        <v/>
      </c>
      <c r="AV55" s="25" t="inlineStr">
        <is>
          <t>Positive Trend</t>
        </is>
      </c>
      <c r="AW55" s="25">
        <f>IF(AV55="Positive Trend",20,IF(AV55="Negative Trend",-10,0))</f>
        <v/>
      </c>
      <c r="AX55" s="25" t="inlineStr">
        <is>
          <t>Uptrend</t>
        </is>
      </c>
      <c r="AY55" s="25">
        <f>IF(AX55="Uptrend",10,IF(AX55="Sideways",5,0))</f>
        <v/>
      </c>
      <c r="AZ55" s="25" t="inlineStr">
        <is>
          <t>Uptrend</t>
        </is>
      </c>
      <c r="BA55" s="25">
        <f>IF(AZ55="Uptrend",10,IF(AZ55="Sideways",5,0))</f>
        <v/>
      </c>
      <c r="BB55" s="25" t="inlineStr">
        <is>
          <t>Blue sky scenario</t>
        </is>
      </c>
      <c r="BC55" s="25">
        <f>IF(BB55="Overhead supply in last 2 years in last 2 years",-5,IF(BB55="Close to 52 week high or retracement",5,IF(BB55="Blue sky scenario",10,IF(BB55="Long term Downtrend",-10,0))))</f>
        <v/>
      </c>
      <c r="BD55" s="25" t="inlineStr">
        <is>
          <t>Yes</t>
        </is>
      </c>
      <c r="BE55" s="25">
        <f>IF(BD55="Yes",10,0)</f>
        <v/>
      </c>
      <c r="BF55" s="25" t="inlineStr">
        <is>
          <t>Between 12 to 20%</t>
        </is>
      </c>
      <c r="BG55" s="25">
        <f>IF(BF55="More than 20%",10,IF(BF55="Between 12 to 20%",5,IF(BF55="Less than 12%",0,0)))</f>
        <v/>
      </c>
      <c r="BH55" s="25" t="inlineStr">
        <is>
          <t>No</t>
        </is>
      </c>
      <c r="BI55" s="25">
        <f>IF(BH55="No",10,0)</f>
        <v/>
      </c>
      <c r="BJ55" s="25" t="inlineStr">
        <is>
          <t>Yes</t>
        </is>
      </c>
      <c r="BK55" s="25">
        <f>IF(BJ55="NO",5,0)</f>
        <v/>
      </c>
      <c r="BL55" s="25" t="inlineStr">
        <is>
          <t>Less than 1.5</t>
        </is>
      </c>
      <c r="BM55" s="25">
        <f>IF(BL55="Above 2",0,IF(BL55="Between 1.5 to 2",5,IF(BL55="Less than 1.5",10,0)))</f>
        <v/>
      </c>
      <c r="BN55" s="25" t="inlineStr">
        <is>
          <t>Above 70%</t>
        </is>
      </c>
      <c r="BO55" s="25">
        <f>IF(BN55="Above 70%",10,IF(BN55="Between 50% to 70%",5,IF(BN55="Less than 50%",0,IF(BN55="Negative",-10,IF(BN55="Less than 50% and Borrowings are increasing",-5,0)))))</f>
        <v/>
      </c>
      <c r="BP55" s="25" t="inlineStr">
        <is>
          <t>Less than 0.7</t>
        </is>
      </c>
      <c r="BQ55" s="25">
        <f>IF(BP55="More than 1.2",-10,IF(BP55="Between 0.7 to 1.2",0,IF(BP55="Less than 0.7",10,0)))</f>
        <v/>
      </c>
      <c r="BR55" s="25" t="inlineStr">
        <is>
          <t>No</t>
        </is>
      </c>
      <c r="BS55" s="25">
        <f>IF(BR55="Yes",-10,0)</f>
        <v/>
      </c>
      <c r="BT55" s="25" t="inlineStr">
        <is>
          <t>Less than 15%</t>
        </is>
      </c>
      <c r="BU55" s="25">
        <f>IF(BT55="More than 15%",-10,IF(BT55="Less than 15%",10,0))</f>
        <v/>
      </c>
      <c r="BV55" s="25" t="inlineStr">
        <is>
          <t>No</t>
        </is>
      </c>
      <c r="BW55" s="25">
        <f>IF(BV55="Yes, more than 10%",-10,IF(BV55="No",10,0))</f>
        <v/>
      </c>
    </row>
    <row r="56">
      <c r="A56" s="25">
        <f>IF(B56=0,"",RANK(B56,$B$2:$B$292,0))</f>
        <v/>
      </c>
      <c r="B56" s="26">
        <f>SUM(Q56,S56,U56,W56,Y56,AA56,AC56,AE56,AG56,AI56,AK56,AM56,AO56,AQ56,AS56,AU56,AW56,AY56,BA56,BC56,BE56,BG56,BI56,BK56,BM56,BO56,BQ56,BS56,BU56,BW56)</f>
        <v/>
      </c>
      <c r="C56" s="25" t="inlineStr">
        <is>
          <t>NINSYS</t>
        </is>
      </c>
      <c r="D56" s="25" t="inlineStr">
        <is>
          <t>NINtec Systems Ltd</t>
        </is>
      </c>
      <c r="E56" s="25" t="inlineStr">
        <is>
          <t>i.t</t>
        </is>
      </c>
      <c r="F56" s="25" t="inlineStr">
        <is>
          <t>computers - software - medium / small</t>
        </is>
      </c>
      <c r="G56" s="25" t="inlineStr">
        <is>
          <t>smallcap</t>
        </is>
      </c>
      <c r="H56" s="26" t="n">
        <v>1364.59</v>
      </c>
      <c r="I56" s="26" t="n">
        <v>721.35</v>
      </c>
      <c r="J56" s="26" t="n">
        <v>-1.8</v>
      </c>
      <c r="K56" s="26" t="n">
        <v>4941</v>
      </c>
      <c r="L56" s="26" t="n">
        <v>86.03</v>
      </c>
      <c r="M56" s="26" t="n">
        <v>48.22</v>
      </c>
      <c r="N56" s="26" t="n">
        <v>542.84</v>
      </c>
      <c r="O56" s="25" t="inlineStr">
        <is>
          <t>Near 52W High Breakout</t>
        </is>
      </c>
      <c r="P56" s="25" t="inlineStr">
        <is>
          <t>Growing Industry</t>
        </is>
      </c>
      <c r="Q56" s="25">
        <f>IF(P56="Growing Industry",10,IF(P56="Cyclical in an Upturn",5,0))</f>
        <v/>
      </c>
      <c r="R56" s="25" t="inlineStr">
        <is>
          <t>Too Many Players with High ROCE</t>
        </is>
      </c>
      <c r="S56" s="25">
        <f>IF(R56="Monopoly",10,IF(R56="Oligopoly",5,IF(R56="Duopoly that cooperate",10,IF(R56="Duopoly that compete",5,IF(R56="Too many players with High ROCE",5,0)))))</f>
        <v/>
      </c>
      <c r="T56" s="25" t="inlineStr">
        <is>
          <t>No</t>
        </is>
      </c>
      <c r="U56" s="25">
        <f>IF(T56="No",5,0)</f>
        <v/>
      </c>
      <c r="V56" s="25" t="inlineStr">
        <is>
          <t>Tailwind</t>
        </is>
      </c>
      <c r="W56" s="25">
        <f>IF(V56="Tailwind",10,0)</f>
        <v/>
      </c>
      <c r="X56" s="25" t="inlineStr">
        <is>
          <t>Structural (10 Years Consistency)</t>
        </is>
      </c>
      <c r="Y56" s="25">
        <f>IF(X56="Structural (10 Years Consistency)",10,IF(X56="Shallow Cyclical (2 to 3 years growth)",5,0))</f>
        <v/>
      </c>
      <c r="Z56" s="25" t="inlineStr">
        <is>
          <t>No</t>
        </is>
      </c>
      <c r="AA56" s="25">
        <f>IF(Z56="Yes due to Product Mix change or Operating Leverage",10,IF(Z56="Yes, these are peak margins",-5,IF(Z56="No",5,0)))</f>
        <v/>
      </c>
      <c r="AB56" s="25" t="inlineStr">
        <is>
          <t>Stable</t>
        </is>
      </c>
      <c r="AC56" s="25">
        <f>IF(AB56="Stable",10,0)</f>
        <v/>
      </c>
      <c r="AD56" s="25" t="inlineStr">
        <is>
          <t>Yes</t>
        </is>
      </c>
      <c r="AE56" s="25">
        <f>IF(AD56="Yes",10,0)</f>
        <v/>
      </c>
      <c r="AF56" s="25" t="inlineStr">
        <is>
          <t>B2B</t>
        </is>
      </c>
      <c r="AG56" s="25">
        <f>IF(AF56="B2C",10,IF(AF56="B2B",5,0))</f>
        <v/>
      </c>
      <c r="AH56" s="25" t="inlineStr">
        <is>
          <t>Yes</t>
        </is>
      </c>
      <c r="AI56" s="25">
        <f>IF(AH56="Yes",10,0)</f>
        <v/>
      </c>
      <c r="AJ56" s="25" t="inlineStr">
        <is>
          <t>Higher Annuity, Lower One Time</t>
        </is>
      </c>
      <c r="AK56" s="25">
        <f>IF(AJ56="Fully Annuity",10,IF(AJ56="Higher Annuity, Lower One Time",5,IF(AJ56="Higher One Time, Lower Annuity",3,0)))</f>
        <v/>
      </c>
      <c r="AL56" s="25" t="inlineStr">
        <is>
          <t>Good</t>
        </is>
      </c>
      <c r="AM56" s="25">
        <f>IF(AL56="Good",10,0)</f>
        <v/>
      </c>
      <c r="AN56" s="25" t="inlineStr">
        <is>
          <t>Yes for more than 2 years</t>
        </is>
      </c>
      <c r="AO56" s="25">
        <f>IF(AN56="Yes for more than 2 years",10,IF(AN56="Yes only for next 1 to 2 years",5,0))</f>
        <v/>
      </c>
      <c r="AP56" s="25" t="inlineStr">
        <is>
          <t>Above 40</t>
        </is>
      </c>
      <c r="AQ56" s="25">
        <f>IF(AP56="Above 40",20,IF(AP56="20 to 40",10,IF(AP56="0 to 20",-5,0)))</f>
        <v/>
      </c>
      <c r="AR56" s="25" t="inlineStr">
        <is>
          <t>Above 75</t>
        </is>
      </c>
      <c r="AS56" s="25">
        <f>IF(AR56="Between 50 to 75",10,IF(AR56="Above 75",0,0))</f>
        <v/>
      </c>
      <c r="AT56" s="25" t="inlineStr">
        <is>
          <t>Stage 2</t>
        </is>
      </c>
      <c r="AU56" s="25">
        <f>IF(AT56="Stage 2",20,IF(AT56="Stage 1",0,IF(AT56="Stage 3",5,IF(AT56="Stage 4",-5,0))))</f>
        <v/>
      </c>
      <c r="AV56" s="25" t="inlineStr">
        <is>
          <t>Positive Trend</t>
        </is>
      </c>
      <c r="AW56" s="25">
        <f>IF(AV56="Positive Trend",20,IF(AV56="Negative Trend",-10,0))</f>
        <v/>
      </c>
      <c r="AX56" s="25" t="inlineStr">
        <is>
          <t>Uptrend</t>
        </is>
      </c>
      <c r="AY56" s="25">
        <f>IF(AX56="Uptrend",10,IF(AX56="Sideways",5,0))</f>
        <v/>
      </c>
      <c r="AZ56" s="25" t="inlineStr">
        <is>
          <t>Uptrend</t>
        </is>
      </c>
      <c r="BA56" s="25">
        <f>IF(AZ56="Uptrend",10,IF(AZ56="Sideways",5,0))</f>
        <v/>
      </c>
      <c r="BB56" s="25" t="inlineStr">
        <is>
          <t>Blue sky scenario</t>
        </is>
      </c>
      <c r="BC56" s="25">
        <f>IF(BB56="Overhead supply in last 2 years in last 2 years",-5,IF(BB56="Close to 52 week high or retracement",5,IF(BB56="Blue sky scenario",10,IF(BB56="Long term Downtrend",-10,0))))</f>
        <v/>
      </c>
      <c r="BD56" s="25" t="inlineStr">
        <is>
          <t>Yes</t>
        </is>
      </c>
      <c r="BE56" s="25">
        <f>IF(BD56="Yes",10,0)</f>
        <v/>
      </c>
      <c r="BF56" s="25" t="inlineStr">
        <is>
          <t>Between 12 to 20%</t>
        </is>
      </c>
      <c r="BG56" s="25">
        <f>IF(BF56="More than 20%",10,IF(BF56="Between 12 to 20%",5,IF(BF56="Less than 12%",0,0)))</f>
        <v/>
      </c>
      <c r="BH56" s="25" t="inlineStr">
        <is>
          <t>No</t>
        </is>
      </c>
      <c r="BI56" s="25">
        <f>IF(BH56="No",10,0)</f>
        <v/>
      </c>
      <c r="BJ56" s="25" t="inlineStr">
        <is>
          <t>Yes</t>
        </is>
      </c>
      <c r="BK56" s="25">
        <f>IF(BJ56="NO",5,0)</f>
        <v/>
      </c>
      <c r="BL56" s="25" t="inlineStr">
        <is>
          <t>Less than 1.5</t>
        </is>
      </c>
      <c r="BM56" s="25">
        <f>IF(BL56="Above 2",0,IF(BL56="Between 1.5 to 2",5,IF(BL56="Less than 1.5",10,0)))</f>
        <v/>
      </c>
      <c r="BN56" s="25" t="inlineStr">
        <is>
          <t>Between 50% to 70%</t>
        </is>
      </c>
      <c r="BO56" s="25">
        <f>IF(BN56="Above 70%",10,IF(BN56="Between 50% to 70%",5,IF(BN56="Less than 50%",0,IF(BN56="Negative",-10,IF(BN56="Less than 50% and Borrowings are increasing",-5,0)))))</f>
        <v/>
      </c>
      <c r="BP56" s="25" t="inlineStr">
        <is>
          <t>Less than 0.7</t>
        </is>
      </c>
      <c r="BQ56" s="25">
        <f>IF(BP56="More than 1.2",-10,IF(BP56="Between 0.7 to 1.2",0,IF(BP56="Less than 0.7",10,0)))</f>
        <v/>
      </c>
      <c r="BR56" s="25" t="inlineStr">
        <is>
          <t>No</t>
        </is>
      </c>
      <c r="BS56" s="25">
        <f>IF(BR56="Yes",-10,0)</f>
        <v/>
      </c>
      <c r="BT56" s="25" t="inlineStr">
        <is>
          <t>Less than 15%</t>
        </is>
      </c>
      <c r="BU56" s="25">
        <f>IF(BT56="More than 15%",-10,IF(BT56="Less than 15%",10,0))</f>
        <v/>
      </c>
      <c r="BV56" s="25" t="inlineStr">
        <is>
          <t>No</t>
        </is>
      </c>
      <c r="BW56" s="25">
        <f>IF(BV56="Yes, more than 10%",-10,IF(BV56="No",10,0))</f>
        <v/>
      </c>
    </row>
    <row r="57">
      <c r="A57" s="25">
        <f>IF(B57=0,"",RANK(B57,$B$2:$B$292,0))</f>
        <v/>
      </c>
      <c r="B57" s="26">
        <f>SUM(Q57,S57,U57,W57,Y57,AA57,AC57,AE57,AG57,AI57,AK57,AM57,AO57,AQ57,AS57,AU57,AW57,AY57,BA57,BC57,BE57,BG57,BI57,BK57,BM57,BO57,BQ57,BS57,BU57,BW57)</f>
        <v/>
      </c>
      <c r="C57" s="25" t="inlineStr">
        <is>
          <t>MCLEODRUSS</t>
        </is>
      </c>
      <c r="D57" s="25" t="inlineStr">
        <is>
          <t>Mcleod Russel India Limited</t>
        </is>
      </c>
      <c r="E57" s="25" t="inlineStr">
        <is>
          <t>fmcg</t>
        </is>
      </c>
      <c r="F57" s="25" t="inlineStr">
        <is>
          <t>tea</t>
        </is>
      </c>
      <c r="G57" s="25" t="inlineStr">
        <is>
          <t>smallcap</t>
        </is>
      </c>
      <c r="H57" s="26" t="n">
        <v>802.74</v>
      </c>
      <c r="I57" s="26" t="n">
        <v>75.31999999999999</v>
      </c>
      <c r="J57" s="26" t="n">
        <v>-1.99</v>
      </c>
      <c r="K57" s="26" t="n">
        <v>634503</v>
      </c>
      <c r="L57" s="26" t="n">
        <v>73.11</v>
      </c>
      <c r="M57" s="26" t="n">
        <v>27.07</v>
      </c>
      <c r="N57" s="26" t="n">
        <v>59.13</v>
      </c>
      <c r="O57" s="25" t="inlineStr">
        <is>
          <t>Near 52W High Breakout</t>
        </is>
      </c>
      <c r="P57" s="25" t="inlineStr">
        <is>
          <t>Growing Industry</t>
        </is>
      </c>
      <c r="Q57" s="25">
        <f>IF(P57="Growing Industry",10,IF(P57="Cyclical in an Upturn",5,0))</f>
        <v/>
      </c>
      <c r="R57" s="25" t="inlineStr">
        <is>
          <t>Too Many Players with High ROCE</t>
        </is>
      </c>
      <c r="S57" s="25">
        <f>IF(R57="Monopoly",10,IF(R57="Oligopoly",5,IF(R57="Duopoly that cooperate",10,IF(R57="Duopoly that compete",5,IF(R57="Too many players with High ROCE",5,0)))))</f>
        <v/>
      </c>
      <c r="T57" s="25" t="inlineStr">
        <is>
          <t>No</t>
        </is>
      </c>
      <c r="U57" s="25">
        <f>IF(T57="No",5,0)</f>
        <v/>
      </c>
      <c r="V57" s="25" t="inlineStr">
        <is>
          <t>Tailwind</t>
        </is>
      </c>
      <c r="W57" s="25">
        <f>IF(V57="Tailwind",10,0)</f>
        <v/>
      </c>
      <c r="X57" s="25" t="inlineStr">
        <is>
          <t>Structural (10 Years Consistency)</t>
        </is>
      </c>
      <c r="Y57" s="25">
        <f>IF(X57="Structural (10 Years Consistency)",10,IF(X57="Shallow Cyclical (2 to 3 years growth)",5,0))</f>
        <v/>
      </c>
      <c r="Z57" s="25" t="inlineStr">
        <is>
          <t>No</t>
        </is>
      </c>
      <c r="AA57" s="25">
        <f>IF(Z57="Yes due to Product Mix change or Operating Leverage",10,IF(Z57="Yes, these are peak margins",-5,IF(Z57="No",5,0)))</f>
        <v/>
      </c>
      <c r="AB57" s="25" t="inlineStr">
        <is>
          <t>Stable</t>
        </is>
      </c>
      <c r="AC57" s="25">
        <f>IF(AB57="Stable",10,0)</f>
        <v/>
      </c>
      <c r="AD57" s="25" t="inlineStr">
        <is>
          <t>Yes</t>
        </is>
      </c>
      <c r="AE57" s="25">
        <f>IF(AD57="Yes",10,0)</f>
        <v/>
      </c>
      <c r="AF57" s="25" t="inlineStr">
        <is>
          <t>B2C</t>
        </is>
      </c>
      <c r="AG57" s="25">
        <f>IF(AF57="B2C",10,IF(AF57="B2B",5,0))</f>
        <v/>
      </c>
      <c r="AH57" s="25" t="inlineStr">
        <is>
          <t>Yes</t>
        </is>
      </c>
      <c r="AI57" s="25">
        <f>IF(AH57="Yes",10,0)</f>
        <v/>
      </c>
      <c r="AJ57" s="25" t="inlineStr">
        <is>
          <t>Higher Annuity, Lower One Time</t>
        </is>
      </c>
      <c r="AK57" s="25">
        <f>IF(AJ57="Fully Annuity",10,IF(AJ57="Higher Annuity, Lower One Time",5,IF(AJ57="Higher One Time, Lower Annuity",3,0)))</f>
        <v/>
      </c>
      <c r="AL57" s="25" t="inlineStr">
        <is>
          <t>Good</t>
        </is>
      </c>
      <c r="AM57" s="25">
        <f>IF(AL57="Good",10,0)</f>
        <v/>
      </c>
      <c r="AN57" s="25" t="inlineStr">
        <is>
          <t>Yes for more than 2 years</t>
        </is>
      </c>
      <c r="AO57" s="25">
        <f>IF(AN57="Yes for more than 2 years",10,IF(AN57="Yes only for next 1 to 2 years",5,0))</f>
        <v/>
      </c>
      <c r="AP57" s="25" t="inlineStr">
        <is>
          <t>20 to 40</t>
        </is>
      </c>
      <c r="AQ57" s="25">
        <f>IF(AP57="Above 40",20,IF(AP57="20 to 40",10,IF(AP57="0 to 20",-5,0)))</f>
        <v/>
      </c>
      <c r="AR57" s="25" t="inlineStr">
        <is>
          <t>Between 50 to 75</t>
        </is>
      </c>
      <c r="AS57" s="25">
        <f>IF(AR57="Between 50 to 75",10,IF(AR57="Above 75",0,0))</f>
        <v/>
      </c>
      <c r="AT57" s="25" t="inlineStr">
        <is>
          <t>Stage 2</t>
        </is>
      </c>
      <c r="AU57" s="25">
        <f>IF(AT57="Stage 2",20,IF(AT57="Stage 1",0,IF(AT57="Stage 3",5,IF(AT57="Stage 4",-5,0))))</f>
        <v/>
      </c>
      <c r="AV57" s="25" t="inlineStr">
        <is>
          <t>Positive Trend</t>
        </is>
      </c>
      <c r="AW57" s="25">
        <f>IF(AV57="Positive Trend",20,IF(AV57="Negative Trend",-10,0))</f>
        <v/>
      </c>
      <c r="AX57" s="25" t="inlineStr">
        <is>
          <t>Uptrend</t>
        </is>
      </c>
      <c r="AY57" s="25">
        <f>IF(AX57="Uptrend",10,IF(AX57="Sideways",5,0))</f>
        <v/>
      </c>
      <c r="AZ57" s="25" t="inlineStr">
        <is>
          <t>Uptrend</t>
        </is>
      </c>
      <c r="BA57" s="25">
        <f>IF(AZ57="Uptrend",10,IF(AZ57="Sideways",5,0))</f>
        <v/>
      </c>
      <c r="BB57" s="25" t="inlineStr">
        <is>
          <t>Blue sky scenario</t>
        </is>
      </c>
      <c r="BC57" s="25">
        <f>IF(BB57="Overhead supply in last 2 years in last 2 years",-5,IF(BB57="Close to 52 week high or retracement",5,IF(BB57="Blue sky scenario",10,IF(BB57="Long term Downtrend",-10,0))))</f>
        <v/>
      </c>
      <c r="BD57" s="25" t="inlineStr">
        <is>
          <t>Yes</t>
        </is>
      </c>
      <c r="BE57" s="25">
        <f>IF(BD57="Yes",10,0)</f>
        <v/>
      </c>
      <c r="BF57" s="25" t="inlineStr">
        <is>
          <t>More than 20%</t>
        </is>
      </c>
      <c r="BG57" s="25">
        <f>IF(BF57="More than 20%",10,IF(BF57="Between 12 to 20%",5,IF(BF57="Less than 12%",0,0)))</f>
        <v/>
      </c>
      <c r="BH57" s="25" t="inlineStr">
        <is>
          <t>No</t>
        </is>
      </c>
      <c r="BI57" s="25">
        <f>IF(BH57="No",10,0)</f>
        <v/>
      </c>
      <c r="BJ57" s="25" t="inlineStr">
        <is>
          <t>No</t>
        </is>
      </c>
      <c r="BK57" s="25">
        <f>IF(BJ57="NO",5,0)</f>
        <v/>
      </c>
      <c r="BL57" s="25" t="inlineStr">
        <is>
          <t>Less than 1.5</t>
        </is>
      </c>
      <c r="BM57" s="25">
        <f>IF(BL57="Above 2",0,IF(BL57="Between 1.5 to 2",5,IF(BL57="Less than 1.5",10,0)))</f>
        <v/>
      </c>
      <c r="BN57" s="25" t="inlineStr">
        <is>
          <t>Above 70%</t>
        </is>
      </c>
      <c r="BO57" s="25">
        <f>IF(BN57="Above 70%",10,IF(BN57="Between 50% to 70%",5,IF(BN57="Less than 50%",0,IF(BN57="Negative",-10,IF(BN57="Less than 50% and Borrowings are increasing",-5,0)))))</f>
        <v/>
      </c>
      <c r="BP57" s="25" t="inlineStr">
        <is>
          <t>More than 1.2</t>
        </is>
      </c>
      <c r="BQ57" s="25">
        <f>IF(BP57="More than 1.2",-10,IF(BP57="Between 0.7 to 1.2",0,IF(BP57="Less than 0.7",10,0)))</f>
        <v/>
      </c>
      <c r="BR57" s="25" t="inlineStr">
        <is>
          <t>No</t>
        </is>
      </c>
      <c r="BS57" s="25">
        <f>IF(BR57="Yes",-10,0)</f>
        <v/>
      </c>
      <c r="BT57" s="25" t="inlineStr">
        <is>
          <t>Less than 15%</t>
        </is>
      </c>
      <c r="BU57" s="25">
        <f>IF(BT57="More than 15%",-10,IF(BT57="Less than 15%",10,0))</f>
        <v/>
      </c>
      <c r="BV57" s="25" t="inlineStr">
        <is>
          <t>No</t>
        </is>
      </c>
      <c r="BW57" s="25">
        <f>IF(BV57="Yes, more than 10%",-10,IF(BV57="No",10,0))</f>
        <v/>
      </c>
    </row>
    <row r="58">
      <c r="A58" s="25">
        <f>IF(B58=0,"",RANK(B58,$B$2:$B$292,0))</f>
        <v/>
      </c>
      <c r="B58" s="26">
        <f>SUM(Q58,S58,U58,W58,Y58,AA58,AC58,AE58,AG58,AI58,AK58,AM58,AO58,AQ58,AS58,AU58,AW58,AY58,BA58,BC58,BE58,BG58,BI58,BK58,BM58,BO58,BQ58,BS58,BU58,BW58)</f>
        <v/>
      </c>
      <c r="C58" s="25" t="inlineStr">
        <is>
          <t>WOCKPHARMA</t>
        </is>
      </c>
      <c r="D58" s="25" t="inlineStr">
        <is>
          <t>Wockhardt Limited</t>
        </is>
      </c>
      <c r="E58" s="25" t="inlineStr">
        <is>
          <t>healthcare</t>
        </is>
      </c>
      <c r="F58" s="25" t="inlineStr">
        <is>
          <t>pharmaceuticals - indian - bulk drugs &amp; formln</t>
        </is>
      </c>
      <c r="G58" s="25" t="inlineStr">
        <is>
          <t>largecap</t>
        </is>
      </c>
      <c r="H58" s="26" t="n">
        <v>34982.94</v>
      </c>
      <c r="I58" s="26" t="n">
        <v>1966.2</v>
      </c>
      <c r="J58" s="26" t="n">
        <v>-8.67</v>
      </c>
      <c r="K58" s="26" t="n">
        <v>6165675</v>
      </c>
      <c r="L58" s="26" t="n">
        <v>72.92</v>
      </c>
      <c r="M58" s="26" t="n">
        <v>27.69</v>
      </c>
      <c r="N58" s="26" t="n">
        <v>1467.13</v>
      </c>
      <c r="O58" s="25" t="inlineStr">
        <is>
          <t>Volume Spike &amp; Near 52W High Breakout</t>
        </is>
      </c>
      <c r="P58" s="25" t="inlineStr">
        <is>
          <t>Growing Industry</t>
        </is>
      </c>
      <c r="Q58" s="25">
        <f>IF(P58="Growing Industry",10,IF(P58="Cyclical in an Upturn",5,0))</f>
        <v/>
      </c>
      <c r="R58" s="25" t="inlineStr">
        <is>
          <t>Too Many Players with High ROCE</t>
        </is>
      </c>
      <c r="S58" s="25">
        <f>IF(R58="Monopoly",10,IF(R58="Oligopoly",5,IF(R58="Duopoly that cooperate",10,IF(R58="Duopoly that compete",5,IF(R58="Too many players with High ROCE",5,0)))))</f>
        <v/>
      </c>
      <c r="T58" s="25" t="inlineStr">
        <is>
          <t>Yes</t>
        </is>
      </c>
      <c r="U58" s="25">
        <f>IF(T58="No",5,0)</f>
        <v/>
      </c>
      <c r="V58" s="25" t="inlineStr">
        <is>
          <t>Tailwind</t>
        </is>
      </c>
      <c r="W58" s="25">
        <f>IF(V58="Tailwind",10,0)</f>
        <v/>
      </c>
      <c r="X58" s="25" t="inlineStr">
        <is>
          <t>Structural (10 Years Consistency)</t>
        </is>
      </c>
      <c r="Y58" s="25">
        <f>IF(X58="Structural (10 Years Consistency)",10,IF(X58="Shallow Cyclical (2 to 3 years growth)",5,0))</f>
        <v/>
      </c>
      <c r="Z58" s="25" t="inlineStr">
        <is>
          <t>No</t>
        </is>
      </c>
      <c r="AA58" s="25">
        <f>IF(Z58="Yes due to Product Mix change or Operating Leverage",10,IF(Z58="Yes, these are peak margins",-5,IF(Z58="No",5,0)))</f>
        <v/>
      </c>
      <c r="AB58" s="25" t="inlineStr">
        <is>
          <t>Stable</t>
        </is>
      </c>
      <c r="AC58" s="25">
        <f>IF(AB58="Stable",10,0)</f>
        <v/>
      </c>
      <c r="AD58" s="25" t="inlineStr">
        <is>
          <t>Yes</t>
        </is>
      </c>
      <c r="AE58" s="25">
        <f>IF(AD58="Yes",10,0)</f>
        <v/>
      </c>
      <c r="AF58" s="25" t="inlineStr">
        <is>
          <t>B2B</t>
        </is>
      </c>
      <c r="AG58" s="25">
        <f>IF(AF58="B2C",10,IF(AF58="B2B",5,0))</f>
        <v/>
      </c>
      <c r="AH58" s="25" t="inlineStr">
        <is>
          <t>Yes</t>
        </is>
      </c>
      <c r="AI58" s="25">
        <f>IF(AH58="Yes",10,0)</f>
        <v/>
      </c>
      <c r="AJ58" s="25" t="inlineStr">
        <is>
          <t>Higher Annuity, Lower One Time</t>
        </is>
      </c>
      <c r="AK58" s="25">
        <f>IF(AJ58="Fully Annuity",10,IF(AJ58="Higher Annuity, Lower One Time",5,IF(AJ58="Higher One Time, Lower Annuity",3,0)))</f>
        <v/>
      </c>
      <c r="AL58" s="25" t="inlineStr">
        <is>
          <t>Good</t>
        </is>
      </c>
      <c r="AM58" s="25">
        <f>IF(AL58="Good",10,0)</f>
        <v/>
      </c>
      <c r="AN58" s="25" t="inlineStr">
        <is>
          <t>Yes for more than 2 years</t>
        </is>
      </c>
      <c r="AO58" s="25">
        <f>IF(AN58="Yes for more than 2 years",10,IF(AN58="Yes only for next 1 to 2 years",5,0))</f>
        <v/>
      </c>
      <c r="AP58" s="25" t="inlineStr">
        <is>
          <t>20 to 40</t>
        </is>
      </c>
      <c r="AQ58" s="25">
        <f>IF(AP58="Above 40",20,IF(AP58="20 to 40",10,IF(AP58="0 to 20",-5,0)))</f>
        <v/>
      </c>
      <c r="AR58" s="25" t="inlineStr">
        <is>
          <t>Between 50 to 75</t>
        </is>
      </c>
      <c r="AS58" s="25">
        <f>IF(AR58="Between 50 to 75",10,IF(AR58="Above 75",0,0))</f>
        <v/>
      </c>
      <c r="AT58" s="25" t="inlineStr">
        <is>
          <t>Stage 2</t>
        </is>
      </c>
      <c r="AU58" s="25">
        <f>IF(AT58="Stage 2",20,IF(AT58="Stage 1",0,IF(AT58="Stage 3",5,IF(AT58="Stage 4",-5,0))))</f>
        <v/>
      </c>
      <c r="AV58" s="25" t="inlineStr">
        <is>
          <t>Positive Trend</t>
        </is>
      </c>
      <c r="AW58" s="25">
        <f>IF(AV58="Positive Trend",20,IF(AV58="Negative Trend",-10,0))</f>
        <v/>
      </c>
      <c r="AX58" s="25" t="inlineStr">
        <is>
          <t>Uptrend</t>
        </is>
      </c>
      <c r="AY58" s="25">
        <f>IF(AX58="Uptrend",10,IF(AX58="Sideways",5,0))</f>
        <v/>
      </c>
      <c r="AZ58" s="25" t="inlineStr">
        <is>
          <t>Uptrend</t>
        </is>
      </c>
      <c r="BA58" s="25">
        <f>IF(AZ58="Uptrend",10,IF(AZ58="Sideways",5,0))</f>
        <v/>
      </c>
      <c r="BB58" s="25" t="inlineStr">
        <is>
          <t>Blue sky scenario</t>
        </is>
      </c>
      <c r="BC58" s="25">
        <f>IF(BB58="Overhead supply in last 2 years in last 2 years",-5,IF(BB58="Close to 52 week high or retracement",5,IF(BB58="Blue sky scenario",10,IF(BB58="Long term Downtrend",-10,0))))</f>
        <v/>
      </c>
      <c r="BD58" s="25" t="inlineStr">
        <is>
          <t>Yes</t>
        </is>
      </c>
      <c r="BE58" s="25">
        <f>IF(BD58="Yes",10,0)</f>
        <v/>
      </c>
      <c r="BF58" s="25" t="inlineStr">
        <is>
          <t>More than 20%</t>
        </is>
      </c>
      <c r="BG58" s="25">
        <f>IF(BF58="More than 20%",10,IF(BF58="Between 12 to 20%",5,IF(BF58="Less than 12%",0,0)))</f>
        <v/>
      </c>
      <c r="BH58" s="25" t="inlineStr">
        <is>
          <t>No</t>
        </is>
      </c>
      <c r="BI58" s="25">
        <f>IF(BH58="No",10,0)</f>
        <v/>
      </c>
      <c r="BJ58" s="25" t="inlineStr">
        <is>
          <t>Yes</t>
        </is>
      </c>
      <c r="BK58" s="25">
        <f>IF(BJ58="NO",5,0)</f>
        <v/>
      </c>
      <c r="BL58" s="25" t="inlineStr">
        <is>
          <t>Less than 1.5</t>
        </is>
      </c>
      <c r="BM58" s="25">
        <f>IF(BL58="Above 2",0,IF(BL58="Between 1.5 to 2",5,IF(BL58="Less than 1.5",10,0)))</f>
        <v/>
      </c>
      <c r="BN58" s="25" t="inlineStr">
        <is>
          <t>Between 50% to 70%</t>
        </is>
      </c>
      <c r="BO58" s="25">
        <f>IF(BN58="Above 70%",10,IF(BN58="Between 50% to 70%",5,IF(BN58="Less than 50%",0,IF(BN58="Negative",-10,IF(BN58="Less than 50% and Borrowings are increasing",-5,0)))))</f>
        <v/>
      </c>
      <c r="BP58" s="25" t="inlineStr">
        <is>
          <t>Less than 0.7</t>
        </is>
      </c>
      <c r="BQ58" s="25">
        <f>IF(BP58="More than 1.2",-10,IF(BP58="Between 0.7 to 1.2",0,IF(BP58="Less than 0.7",10,0)))</f>
        <v/>
      </c>
      <c r="BR58" s="25" t="inlineStr">
        <is>
          <t>No</t>
        </is>
      </c>
      <c r="BS58" s="25">
        <f>IF(BR58="Yes",-10,0)</f>
        <v/>
      </c>
      <c r="BT58" s="25" t="inlineStr">
        <is>
          <t>Less than 15%</t>
        </is>
      </c>
      <c r="BU58" s="25">
        <f>IF(BT58="More than 15%",-10,IF(BT58="Less than 15%",10,0))</f>
        <v/>
      </c>
      <c r="BV58" s="25" t="inlineStr">
        <is>
          <t>No</t>
        </is>
      </c>
      <c r="BW58" s="25">
        <f>IF(BV58="Yes, more than 10%",-10,IF(BV58="No",10,0))</f>
        <v/>
      </c>
    </row>
    <row r="59">
      <c r="A59" s="25">
        <f>IF(B59=0,"",RANK(B59,$B$2:$B$292,0))</f>
        <v/>
      </c>
      <c r="B59" s="26">
        <f>SUM(Q59,S59,U59,W59,Y59,AA59,AC59,AE59,AG59,AI59,AK59,AM59,AO59,AQ59,AS59,AU59,AW59,AY59,BA59,BC59,BE59,BG59,BI59,BK59,BM59,BO59,BQ59,BS59,BU59,BW59)</f>
        <v/>
      </c>
      <c r="C59" s="25" t="inlineStr">
        <is>
          <t>SUPRIYA</t>
        </is>
      </c>
      <c r="D59" s="25" t="inlineStr">
        <is>
          <t>Supriya Lifescience Ltd</t>
        </is>
      </c>
      <c r="E59" s="25" t="inlineStr">
        <is>
          <t>healthcare</t>
        </is>
      </c>
      <c r="F59" s="25" t="inlineStr">
        <is>
          <t>pharmaceuticals - indian - bulk drugs &amp; formln</t>
        </is>
      </c>
      <c r="G59" s="25" t="inlineStr">
        <is>
          <t>midcap</t>
        </is>
      </c>
      <c r="H59" s="26" t="n">
        <v>8470.809999999999</v>
      </c>
      <c r="I59" s="26" t="n">
        <v>917.25</v>
      </c>
      <c r="J59" s="26" t="n">
        <v>-12.85</v>
      </c>
      <c r="K59" s="26" t="n">
        <v>2259026</v>
      </c>
      <c r="L59" s="26" t="n">
        <v>71.09999999999999</v>
      </c>
      <c r="M59" s="26" t="n">
        <v>31.75</v>
      </c>
      <c r="N59" s="26" t="n">
        <v>740.45</v>
      </c>
      <c r="O59" s="25" t="inlineStr">
        <is>
          <t>Volume Spike / Accumulation</t>
        </is>
      </c>
      <c r="P59" s="25" t="inlineStr">
        <is>
          <t>Growing Industry</t>
        </is>
      </c>
      <c r="Q59" s="25">
        <f>IF(P59="Growing Industry",10,IF(P59="Cyclical in an Upturn",5,0))</f>
        <v/>
      </c>
      <c r="R59" s="25" t="inlineStr">
        <is>
          <t>Too Many Players with High ROCE</t>
        </is>
      </c>
      <c r="S59" s="25">
        <f>IF(R59="Monopoly",10,IF(R59="Oligopoly",5,IF(R59="Duopoly that cooperate",10,IF(R59="Duopoly that compete",5,IF(R59="Too many players with High ROCE",5,0)))))</f>
        <v/>
      </c>
      <c r="T59" s="25" t="inlineStr">
        <is>
          <t>Yes</t>
        </is>
      </c>
      <c r="U59" s="25">
        <f>IF(T59="No",5,0)</f>
        <v/>
      </c>
      <c r="V59" s="25" t="inlineStr">
        <is>
          <t>Tailwind</t>
        </is>
      </c>
      <c r="W59" s="25">
        <f>IF(V59="Tailwind",10,0)</f>
        <v/>
      </c>
      <c r="X59" s="25" t="inlineStr">
        <is>
          <t>Structural (10 Years Consistency)</t>
        </is>
      </c>
      <c r="Y59" s="25">
        <f>IF(X59="Structural (10 Years Consistency)",10,IF(X59="Shallow Cyclical (2 to 3 years growth)",5,0))</f>
        <v/>
      </c>
      <c r="Z59" s="25" t="inlineStr">
        <is>
          <t>No</t>
        </is>
      </c>
      <c r="AA59" s="25">
        <f>IF(Z59="Yes due to Product Mix change or Operating Leverage",10,IF(Z59="Yes, these are peak margins",-5,IF(Z59="No",5,0)))</f>
        <v/>
      </c>
      <c r="AB59" s="25" t="inlineStr">
        <is>
          <t>Stable</t>
        </is>
      </c>
      <c r="AC59" s="25">
        <f>IF(AB59="Stable",10,0)</f>
        <v/>
      </c>
      <c r="AD59" s="25" t="inlineStr">
        <is>
          <t>Yes</t>
        </is>
      </c>
      <c r="AE59" s="25">
        <f>IF(AD59="Yes",10,0)</f>
        <v/>
      </c>
      <c r="AF59" s="25" t="inlineStr">
        <is>
          <t>B2B</t>
        </is>
      </c>
      <c r="AG59" s="25">
        <f>IF(AF59="B2C",10,IF(AF59="B2B",5,0))</f>
        <v/>
      </c>
      <c r="AH59" s="25" t="inlineStr">
        <is>
          <t>Yes</t>
        </is>
      </c>
      <c r="AI59" s="25">
        <f>IF(AH59="Yes",10,0)</f>
        <v/>
      </c>
      <c r="AJ59" s="25" t="inlineStr">
        <is>
          <t>Higher Annuity, Lower One Time</t>
        </is>
      </c>
      <c r="AK59" s="25">
        <f>IF(AJ59="Fully Annuity",10,IF(AJ59="Higher Annuity, Lower One Time",5,IF(AJ59="Higher One Time, Lower Annuity",3,0)))</f>
        <v/>
      </c>
      <c r="AL59" s="25" t="inlineStr">
        <is>
          <t>Good</t>
        </is>
      </c>
      <c r="AM59" s="25">
        <f>IF(AL59="Good",10,0)</f>
        <v/>
      </c>
      <c r="AN59" s="25" t="inlineStr">
        <is>
          <t>Yes for more than 2 years</t>
        </is>
      </c>
      <c r="AO59" s="25">
        <f>IF(AN59="Yes for more than 2 years",10,IF(AN59="Yes only for next 1 to 2 years",5,0))</f>
        <v/>
      </c>
      <c r="AP59" s="25" t="inlineStr">
        <is>
          <t>20 to 40</t>
        </is>
      </c>
      <c r="AQ59" s="25">
        <f>IF(AP59="Above 40",20,IF(AP59="20 to 40",10,IF(AP59="0 to 20",-5,0)))</f>
        <v/>
      </c>
      <c r="AR59" s="25" t="inlineStr">
        <is>
          <t>Between 50 to 75</t>
        </is>
      </c>
      <c r="AS59" s="25">
        <f>IF(AR59="Between 50 to 75",10,IF(AR59="Above 75",0,0))</f>
        <v/>
      </c>
      <c r="AT59" s="25" t="inlineStr">
        <is>
          <t>Stage 2</t>
        </is>
      </c>
      <c r="AU59" s="25">
        <f>IF(AT59="Stage 2",20,IF(AT59="Stage 1",0,IF(AT59="Stage 3",5,IF(AT59="Stage 4",-5,0))))</f>
        <v/>
      </c>
      <c r="AV59" s="25" t="inlineStr">
        <is>
          <t>Positive Trend</t>
        </is>
      </c>
      <c r="AW59" s="25">
        <f>IF(AV59="Positive Trend",20,IF(AV59="Negative Trend",-10,0))</f>
        <v/>
      </c>
      <c r="AX59" s="25" t="inlineStr">
        <is>
          <t>Uptrend</t>
        </is>
      </c>
      <c r="AY59" s="25">
        <f>IF(AX59="Uptrend",10,IF(AX59="Sideways",5,0))</f>
        <v/>
      </c>
      <c r="AZ59" s="25" t="inlineStr">
        <is>
          <t>Uptrend</t>
        </is>
      </c>
      <c r="BA59" s="25">
        <f>IF(AZ59="Uptrend",10,IF(AZ59="Sideways",5,0))</f>
        <v/>
      </c>
      <c r="BB59" s="25" t="inlineStr">
        <is>
          <t>Close to 52 week high or retracement</t>
        </is>
      </c>
      <c r="BC59" s="25">
        <f>IF(BB59="Overhead supply in last 2 years in last 2 years",-5,IF(BB59="Close to 52 week high or retracement",5,IF(BB59="Blue sky scenario",10,IF(BB59="Long term Downtrend",-10,0))))</f>
        <v/>
      </c>
      <c r="BD59" s="25" t="inlineStr">
        <is>
          <t>Yes</t>
        </is>
      </c>
      <c r="BE59" s="25">
        <f>IF(BD59="Yes",10,0)</f>
        <v/>
      </c>
      <c r="BF59" s="25" t="inlineStr">
        <is>
          <t>More than 20%</t>
        </is>
      </c>
      <c r="BG59" s="25">
        <f>IF(BF59="More than 20%",10,IF(BF59="Between 12 to 20%",5,IF(BF59="Less than 12%",0,0)))</f>
        <v/>
      </c>
      <c r="BH59" s="25" t="inlineStr">
        <is>
          <t>No</t>
        </is>
      </c>
      <c r="BI59" s="25">
        <f>IF(BH59="No",10,0)</f>
        <v/>
      </c>
      <c r="BJ59" s="25" t="inlineStr">
        <is>
          <t>No</t>
        </is>
      </c>
      <c r="BK59" s="25">
        <f>IF(BJ59="NO",5,0)</f>
        <v/>
      </c>
      <c r="BL59" s="25" t="inlineStr">
        <is>
          <t>Less than 1.5</t>
        </is>
      </c>
      <c r="BM59" s="25">
        <f>IF(BL59="Above 2",0,IF(BL59="Between 1.5 to 2",5,IF(BL59="Less than 1.5",10,0)))</f>
        <v/>
      </c>
      <c r="BN59" s="25" t="inlineStr">
        <is>
          <t>Between 50% to 70%</t>
        </is>
      </c>
      <c r="BO59" s="25">
        <f>IF(BN59="Above 70%",10,IF(BN59="Between 50% to 70%",5,IF(BN59="Less than 50%",0,IF(BN59="Negative",-10,IF(BN59="Less than 50% and Borrowings are increasing",-5,0)))))</f>
        <v/>
      </c>
      <c r="BP59" s="25" t="inlineStr">
        <is>
          <t>Less than 0.7</t>
        </is>
      </c>
      <c r="BQ59" s="25">
        <f>IF(BP59="More than 1.2",-10,IF(BP59="Between 0.7 to 1.2",0,IF(BP59="Less than 0.7",10,0)))</f>
        <v/>
      </c>
      <c r="BR59" s="25" t="inlineStr">
        <is>
          <t>No</t>
        </is>
      </c>
      <c r="BS59" s="25">
        <f>IF(BR59="Yes",-10,0)</f>
        <v/>
      </c>
      <c r="BT59" s="25" t="inlineStr">
        <is>
          <t>Less than 15%</t>
        </is>
      </c>
      <c r="BU59" s="25">
        <f>IF(BT59="More than 15%",-10,IF(BT59="Less than 15%",10,0))</f>
        <v/>
      </c>
      <c r="BV59" s="25" t="inlineStr">
        <is>
          <t>No</t>
        </is>
      </c>
      <c r="BW59" s="25">
        <f>IF(BV59="Yes, more than 10%",-10,IF(BV59="No",10,0))</f>
        <v/>
      </c>
    </row>
    <row r="60">
      <c r="A60" s="25">
        <f>IF(B60=0,"",RANK(B60,$B$2:$B$292,0))</f>
        <v/>
      </c>
      <c r="B60" s="26">
        <f>SUM(Q60,S60,U60,W60,Y60,AA60,AC60,AE60,AG60,AI60,AK60,AM60,AO60,AQ60,AS60,AU60,AW60,AY60,BA60,BC60,BE60,BG60,BI60,BK60,BM60,BO60,BQ60,BS60,BU60,BW60)</f>
        <v/>
      </c>
      <c r="C60" s="25" t="inlineStr">
        <is>
          <t>RPEL</t>
        </is>
      </c>
      <c r="D60" s="25" t="inlineStr">
        <is>
          <t>Raghav Productivity Enhancers Ltd</t>
        </is>
      </c>
      <c r="E60" s="25" t="inlineStr">
        <is>
          <t>building materials</t>
        </is>
      </c>
      <c r="F60" s="25" t="inlineStr">
        <is>
          <t>refractories / intermediates</t>
        </is>
      </c>
      <c r="G60" s="25" t="inlineStr">
        <is>
          <t>smallcap</t>
        </is>
      </c>
      <c r="H60" s="26" t="n">
        <v>4371.97</v>
      </c>
      <c r="I60" s="26" t="n">
        <v>1009.2</v>
      </c>
      <c r="J60" s="26" t="n">
        <v>5.98</v>
      </c>
      <c r="K60" s="26" t="n">
        <v>185887</v>
      </c>
      <c r="L60" s="26" t="n">
        <v>69.95999999999999</v>
      </c>
      <c r="M60" s="26" t="n">
        <v>28.04</v>
      </c>
      <c r="N60" s="26" t="n">
        <v>758.75</v>
      </c>
      <c r="O60" s="25" t="inlineStr">
        <is>
          <t>Near 52W High Breakout</t>
        </is>
      </c>
      <c r="P60" s="25" t="inlineStr">
        <is>
          <t>Growing Industry</t>
        </is>
      </c>
      <c r="Q60" s="25">
        <f>IF(P60="Growing Industry",10,IF(P60="Cyclical in an Upturn",5,0))</f>
        <v/>
      </c>
      <c r="R60" s="25" t="inlineStr">
        <is>
          <t>Too Many Players with High ROCE</t>
        </is>
      </c>
      <c r="S60" s="25">
        <f>IF(R60="Monopoly",10,IF(R60="Oligopoly",5,IF(R60="Duopoly that cooperate",10,IF(R60="Duopoly that compete",5,IF(R60="Too many players with High ROCE",5,0)))))</f>
        <v/>
      </c>
      <c r="T60" s="25" t="inlineStr">
        <is>
          <t>No</t>
        </is>
      </c>
      <c r="U60" s="25">
        <f>IF(T60="No",5,0)</f>
        <v/>
      </c>
      <c r="V60" s="25" t="inlineStr">
        <is>
          <t>Tailwind</t>
        </is>
      </c>
      <c r="W60" s="25">
        <f>IF(V60="Tailwind",10,0)</f>
        <v/>
      </c>
      <c r="X60" s="25" t="inlineStr">
        <is>
          <t>Structural (10 Years Consistency)</t>
        </is>
      </c>
      <c r="Y60" s="25">
        <f>IF(X60="Structural (10 Years Consistency)",10,IF(X60="Shallow Cyclical (2 to 3 years growth)",5,0))</f>
        <v/>
      </c>
      <c r="Z60" s="25" t="inlineStr">
        <is>
          <t>No</t>
        </is>
      </c>
      <c r="AA60" s="25">
        <f>IF(Z60="Yes due to Product Mix change or Operating Leverage",10,IF(Z60="Yes, these are peak margins",-5,IF(Z60="No",5,0)))</f>
        <v/>
      </c>
      <c r="AB60" s="25" t="inlineStr">
        <is>
          <t>Stable</t>
        </is>
      </c>
      <c r="AC60" s="25">
        <f>IF(AB60="Stable",10,0)</f>
        <v/>
      </c>
      <c r="AD60" s="25" t="inlineStr">
        <is>
          <t>Yes</t>
        </is>
      </c>
      <c r="AE60" s="25">
        <f>IF(AD60="Yes",10,0)</f>
        <v/>
      </c>
      <c r="AF60" s="25" t="inlineStr">
        <is>
          <t>B2B</t>
        </is>
      </c>
      <c r="AG60" s="25">
        <f>IF(AF60="B2C",10,IF(AF60="B2B",5,0))</f>
        <v/>
      </c>
      <c r="AH60" s="25" t="inlineStr">
        <is>
          <t>Yes</t>
        </is>
      </c>
      <c r="AI60" s="25">
        <f>IF(AH60="Yes",10,0)</f>
        <v/>
      </c>
      <c r="AJ60" s="25" t="inlineStr">
        <is>
          <t>Higher One Time, Lower Annuity</t>
        </is>
      </c>
      <c r="AK60" s="25">
        <f>IF(AJ60="Fully Annuity",10,IF(AJ60="Higher Annuity, Lower One Time",5,IF(AJ60="Higher One Time, Lower Annuity",3,0)))</f>
        <v/>
      </c>
      <c r="AL60" s="25" t="inlineStr">
        <is>
          <t>Good</t>
        </is>
      </c>
      <c r="AM60" s="25">
        <f>IF(AL60="Good",10,0)</f>
        <v/>
      </c>
      <c r="AN60" s="25" t="inlineStr">
        <is>
          <t>Yes for more than 2 years</t>
        </is>
      </c>
      <c r="AO60" s="25">
        <f>IF(AN60="Yes for more than 2 years",10,IF(AN60="Yes only for next 1 to 2 years",5,0))</f>
        <v/>
      </c>
      <c r="AP60" s="25" t="inlineStr">
        <is>
          <t>20 to 40</t>
        </is>
      </c>
      <c r="AQ60" s="25">
        <f>IF(AP60="Above 40",20,IF(AP60="20 to 40",10,IF(AP60="0 to 20",-5,0)))</f>
        <v/>
      </c>
      <c r="AR60" s="25" t="inlineStr">
        <is>
          <t>Between 50 to 75</t>
        </is>
      </c>
      <c r="AS60" s="25">
        <f>IF(AR60="Between 50 to 75",10,IF(AR60="Above 75",0,0))</f>
        <v/>
      </c>
      <c r="AT60" s="25" t="inlineStr">
        <is>
          <t>Stage 2</t>
        </is>
      </c>
      <c r="AU60" s="25">
        <f>IF(AT60="Stage 2",20,IF(AT60="Stage 1",0,IF(AT60="Stage 3",5,IF(AT60="Stage 4",-5,0))))</f>
        <v/>
      </c>
      <c r="AV60" s="25" t="inlineStr">
        <is>
          <t>Positive Trend</t>
        </is>
      </c>
      <c r="AW60" s="25">
        <f>IF(AV60="Positive Trend",20,IF(AV60="Negative Trend",-10,0))</f>
        <v/>
      </c>
      <c r="AX60" s="25" t="inlineStr">
        <is>
          <t>Uptrend</t>
        </is>
      </c>
      <c r="AY60" s="25">
        <f>IF(AX60="Uptrend",10,IF(AX60="Sideways",5,0))</f>
        <v/>
      </c>
      <c r="AZ60" s="25" t="inlineStr">
        <is>
          <t>Uptrend</t>
        </is>
      </c>
      <c r="BA60" s="25">
        <f>IF(AZ60="Uptrend",10,IF(AZ60="Sideways",5,0))</f>
        <v/>
      </c>
      <c r="BB60" s="25" t="inlineStr">
        <is>
          <t>Blue sky scenario</t>
        </is>
      </c>
      <c r="BC60" s="25">
        <f>IF(BB60="Overhead supply in last 2 years in last 2 years",-5,IF(BB60="Close to 52 week high or retracement",5,IF(BB60="Blue sky scenario",10,IF(BB60="Long term Downtrend",-10,0))))</f>
        <v/>
      </c>
      <c r="BD60" s="25" t="inlineStr">
        <is>
          <t>Yes</t>
        </is>
      </c>
      <c r="BE60" s="25">
        <f>IF(BD60="Yes",10,0)</f>
        <v/>
      </c>
      <c r="BF60" s="25" t="inlineStr">
        <is>
          <t>More than 20%</t>
        </is>
      </c>
      <c r="BG60" s="25">
        <f>IF(BF60="More than 20%",10,IF(BF60="Between 12 to 20%",5,IF(BF60="Less than 12%",0,0)))</f>
        <v/>
      </c>
      <c r="BH60" s="25" t="inlineStr">
        <is>
          <t>No</t>
        </is>
      </c>
      <c r="BI60" s="25">
        <f>IF(BH60="No",10,0)</f>
        <v/>
      </c>
      <c r="BJ60" s="25" t="inlineStr">
        <is>
          <t>Yes</t>
        </is>
      </c>
      <c r="BK60" s="25">
        <f>IF(BJ60="NO",5,0)</f>
        <v/>
      </c>
      <c r="BL60" s="25" t="inlineStr">
        <is>
          <t>Less than 1.5</t>
        </is>
      </c>
      <c r="BM60" s="25">
        <f>IF(BL60="Above 2",0,IF(BL60="Between 1.5 to 2",5,IF(BL60="Less than 1.5",10,0)))</f>
        <v/>
      </c>
      <c r="BN60" s="25" t="inlineStr">
        <is>
          <t>Less than 50%</t>
        </is>
      </c>
      <c r="BO60" s="25">
        <f>IF(BN60="Above 70%",10,IF(BN60="Between 50% to 70%",5,IF(BN60="Less than 50%",0,IF(BN60="Negative",-10,IF(BN60="Less than 50% and Borrowings are increasing",-5,0)))))</f>
        <v/>
      </c>
      <c r="BP60" s="25" t="inlineStr">
        <is>
          <t>Less than 0.7</t>
        </is>
      </c>
      <c r="BQ60" s="25">
        <f>IF(BP60="More than 1.2",-10,IF(BP60="Between 0.7 to 1.2",0,IF(BP60="Less than 0.7",10,0)))</f>
        <v/>
      </c>
      <c r="BR60" s="25" t="inlineStr">
        <is>
          <t>No</t>
        </is>
      </c>
      <c r="BS60" s="25">
        <f>IF(BR60="Yes",-10,0)</f>
        <v/>
      </c>
      <c r="BT60" s="25" t="inlineStr">
        <is>
          <t>Less than 15%</t>
        </is>
      </c>
      <c r="BU60" s="25">
        <f>IF(BT60="More than 15%",-10,IF(BT60="Less than 15%",10,0))</f>
        <v/>
      </c>
      <c r="BV60" s="25" t="inlineStr">
        <is>
          <t>No</t>
        </is>
      </c>
      <c r="BW60" s="25">
        <f>IF(BV60="Yes, more than 10%",-10,IF(BV60="No",10,0))</f>
        <v/>
      </c>
    </row>
    <row r="61">
      <c r="A61" s="25">
        <f>IF(B61=0,"",RANK(B61,$B$2:$B$292,0))</f>
        <v/>
      </c>
      <c r="B61" s="26">
        <f>SUM(Q61,S61,U61,W61,Y61,AA61,AC61,AE61,AG61,AI61,AK61,AM61,AO61,AQ61,AS61,AU61,AW61,AY61,BA61,BC61,BE61,BG61,BI61,BK61,BM61,BO61,BQ61,BS61,BU61,BW61)</f>
        <v/>
      </c>
      <c r="C61" s="25" t="inlineStr">
        <is>
          <t>MODISONLTD</t>
        </is>
      </c>
      <c r="D61" s="25" t="inlineStr">
        <is>
          <t>Modison Ltd</t>
        </is>
      </c>
      <c r="E61" s="25" t="inlineStr">
        <is>
          <t>industrials</t>
        </is>
      </c>
      <c r="F61" s="25" t="inlineStr">
        <is>
          <t>electric equipment</t>
        </is>
      </c>
      <c r="G61" s="25" t="inlineStr">
        <is>
          <t>smallcap</t>
        </is>
      </c>
      <c r="H61" s="26" t="n">
        <v>969.61</v>
      </c>
      <c r="I61" s="26" t="n">
        <v>313.7</v>
      </c>
      <c r="J61" s="26" t="n">
        <v>4.99</v>
      </c>
      <c r="K61" s="26" t="n">
        <v>121688</v>
      </c>
      <c r="L61" s="26" t="n">
        <v>84.61</v>
      </c>
      <c r="M61" s="26" t="n">
        <v>28.7</v>
      </c>
      <c r="N61" s="26" t="n">
        <v>240.93</v>
      </c>
      <c r="O61" s="25" t="inlineStr">
        <is>
          <t>Near 52W High Breakout</t>
        </is>
      </c>
      <c r="P61" s="25" t="inlineStr">
        <is>
          <t>Cyclical in an Upturn</t>
        </is>
      </c>
      <c r="Q61" s="25">
        <f>IF(P61="Growing Industry",10,IF(P61="Cyclical in an Upturn",5,0))</f>
        <v/>
      </c>
      <c r="R61" s="25" t="inlineStr">
        <is>
          <t>Too Many Players with High ROCE</t>
        </is>
      </c>
      <c r="S61" s="25">
        <f>IF(R61="Monopoly",10,IF(R61="Oligopoly",5,IF(R61="Duopoly that cooperate",10,IF(R61="Duopoly that compete",5,IF(R61="Too many players with High ROCE",5,0)))))</f>
        <v/>
      </c>
      <c r="T61" s="25" t="inlineStr">
        <is>
          <t>No</t>
        </is>
      </c>
      <c r="U61" s="25">
        <f>IF(T61="No",5,0)</f>
        <v/>
      </c>
      <c r="V61" s="25" t="inlineStr">
        <is>
          <t>Tailwind</t>
        </is>
      </c>
      <c r="W61" s="25">
        <f>IF(V61="Tailwind",10,0)</f>
        <v/>
      </c>
      <c r="X61" s="25" t="inlineStr">
        <is>
          <t>Structural (10 Years Consistency)</t>
        </is>
      </c>
      <c r="Y61" s="25">
        <f>IF(X61="Structural (10 Years Consistency)",10,IF(X61="Shallow Cyclical (2 to 3 years growth)",5,0))</f>
        <v/>
      </c>
      <c r="Z61" s="25" t="inlineStr">
        <is>
          <t>No</t>
        </is>
      </c>
      <c r="AA61" s="25">
        <f>IF(Z61="Yes due to Product Mix change or Operating Leverage",10,IF(Z61="Yes, these are peak margins",-5,IF(Z61="No",5,0)))</f>
        <v/>
      </c>
      <c r="AB61" s="25" t="inlineStr">
        <is>
          <t>Stable</t>
        </is>
      </c>
      <c r="AC61" s="25">
        <f>IF(AB61="Stable",10,0)</f>
        <v/>
      </c>
      <c r="AD61" s="25" t="inlineStr">
        <is>
          <t>Yes</t>
        </is>
      </c>
      <c r="AE61" s="25">
        <f>IF(AD61="Yes",10,0)</f>
        <v/>
      </c>
      <c r="AF61" s="25" t="inlineStr">
        <is>
          <t>B2B</t>
        </is>
      </c>
      <c r="AG61" s="25">
        <f>IF(AF61="B2C",10,IF(AF61="B2B",5,0))</f>
        <v/>
      </c>
      <c r="AH61" s="25" t="inlineStr">
        <is>
          <t>Yes</t>
        </is>
      </c>
      <c r="AI61" s="25">
        <f>IF(AH61="Yes",10,0)</f>
        <v/>
      </c>
      <c r="AJ61" s="25" t="inlineStr">
        <is>
          <t>Higher One Time, Lower Annuity</t>
        </is>
      </c>
      <c r="AK61" s="25">
        <f>IF(AJ61="Fully Annuity",10,IF(AJ61="Higher Annuity, Lower One Time",5,IF(AJ61="Higher One Time, Lower Annuity",3,0)))</f>
        <v/>
      </c>
      <c r="AL61" s="25" t="inlineStr">
        <is>
          <t>Good</t>
        </is>
      </c>
      <c r="AM61" s="25">
        <f>IF(AL61="Good",10,0)</f>
        <v/>
      </c>
      <c r="AN61" s="25" t="inlineStr">
        <is>
          <t>Yes for more than 2 years</t>
        </is>
      </c>
      <c r="AO61" s="25">
        <f>IF(AN61="Yes for more than 2 years",10,IF(AN61="Yes only for next 1 to 2 years",5,0))</f>
        <v/>
      </c>
      <c r="AP61" s="25" t="inlineStr">
        <is>
          <t>20 to 40</t>
        </is>
      </c>
      <c r="AQ61" s="25">
        <f>IF(AP61="Above 40",20,IF(AP61="20 to 40",10,IF(AP61="0 to 20",-5,0)))</f>
        <v/>
      </c>
      <c r="AR61" s="25" t="inlineStr">
        <is>
          <t>Above 75</t>
        </is>
      </c>
      <c r="AS61" s="25">
        <f>IF(AR61="Between 50 to 75",10,IF(AR61="Above 75",0,0))</f>
        <v/>
      </c>
      <c r="AT61" s="25" t="inlineStr">
        <is>
          <t>Stage 2</t>
        </is>
      </c>
      <c r="AU61" s="25">
        <f>IF(AT61="Stage 2",20,IF(AT61="Stage 1",0,IF(AT61="Stage 3",5,IF(AT61="Stage 4",-5,0))))</f>
        <v/>
      </c>
      <c r="AV61" s="25" t="inlineStr">
        <is>
          <t>Positive Trend</t>
        </is>
      </c>
      <c r="AW61" s="25">
        <f>IF(AV61="Positive Trend",20,IF(AV61="Negative Trend",-10,0))</f>
        <v/>
      </c>
      <c r="AX61" s="25" t="inlineStr">
        <is>
          <t>Uptrend</t>
        </is>
      </c>
      <c r="AY61" s="25">
        <f>IF(AX61="Uptrend",10,IF(AX61="Sideways",5,0))</f>
        <v/>
      </c>
      <c r="AZ61" s="25" t="inlineStr">
        <is>
          <t>Uptrend</t>
        </is>
      </c>
      <c r="BA61" s="25">
        <f>IF(AZ61="Uptrend",10,IF(AZ61="Sideways",5,0))</f>
        <v/>
      </c>
      <c r="BB61" s="25" t="inlineStr">
        <is>
          <t>Blue sky scenario</t>
        </is>
      </c>
      <c r="BC61" s="25">
        <f>IF(BB61="Overhead supply in last 2 years in last 2 years",-5,IF(BB61="Close to 52 week high or retracement",5,IF(BB61="Blue sky scenario",10,IF(BB61="Long term Downtrend",-10,0))))</f>
        <v/>
      </c>
      <c r="BD61" s="25" t="inlineStr">
        <is>
          <t>Yes</t>
        </is>
      </c>
      <c r="BE61" s="25">
        <f>IF(BD61="Yes",10,0)</f>
        <v/>
      </c>
      <c r="BF61" s="25" t="inlineStr">
        <is>
          <t>More than 20%</t>
        </is>
      </c>
      <c r="BG61" s="25">
        <f>IF(BF61="More than 20%",10,IF(BF61="Between 12 to 20%",5,IF(BF61="Less than 12%",0,0)))</f>
        <v/>
      </c>
      <c r="BH61" s="25" t="inlineStr">
        <is>
          <t>No</t>
        </is>
      </c>
      <c r="BI61" s="25">
        <f>IF(BH61="No",10,0)</f>
        <v/>
      </c>
      <c r="BJ61" s="25" t="inlineStr">
        <is>
          <t>No</t>
        </is>
      </c>
      <c r="BK61" s="25">
        <f>IF(BJ61="NO",5,0)</f>
        <v/>
      </c>
      <c r="BL61" s="25" t="inlineStr">
        <is>
          <t>Less than 1.5</t>
        </is>
      </c>
      <c r="BM61" s="25">
        <f>IF(BL61="Above 2",0,IF(BL61="Between 1.5 to 2",5,IF(BL61="Less than 1.5",10,0)))</f>
        <v/>
      </c>
      <c r="BN61" s="25" t="inlineStr">
        <is>
          <t>Above 70%</t>
        </is>
      </c>
      <c r="BO61" s="25">
        <f>IF(BN61="Above 70%",10,IF(BN61="Between 50% to 70%",5,IF(BN61="Less than 50%",0,IF(BN61="Negative",-10,IF(BN61="Less than 50% and Borrowings are increasing",-5,0)))))</f>
        <v/>
      </c>
      <c r="BP61" s="25" t="inlineStr">
        <is>
          <t>Less than 0.7</t>
        </is>
      </c>
      <c r="BQ61" s="25">
        <f>IF(BP61="More than 1.2",-10,IF(BP61="Between 0.7 to 1.2",0,IF(BP61="Less than 0.7",10,0)))</f>
        <v/>
      </c>
      <c r="BR61" s="25" t="inlineStr">
        <is>
          <t>No</t>
        </is>
      </c>
      <c r="BS61" s="25">
        <f>IF(BR61="Yes",-10,0)</f>
        <v/>
      </c>
      <c r="BT61" s="25" t="inlineStr">
        <is>
          <t>Less than 15%</t>
        </is>
      </c>
      <c r="BU61" s="25">
        <f>IF(BT61="More than 15%",-10,IF(BT61="Less than 15%",10,0))</f>
        <v/>
      </c>
      <c r="BV61" s="25" t="inlineStr">
        <is>
          <t>No</t>
        </is>
      </c>
      <c r="BW61" s="25">
        <f>IF(BV61="Yes, more than 10%",-10,IF(BV61="No",10,0))</f>
        <v/>
      </c>
    </row>
    <row r="62">
      <c r="A62" s="25">
        <f>IF(B62=0,"",RANK(B62,$B$2:$B$292,0))</f>
        <v/>
      </c>
      <c r="B62" s="26">
        <f>SUM(Q62,S62,U62,W62,Y62,AA62,AC62,AE62,AG62,AI62,AK62,AM62,AO62,AQ62,AS62,AU62,AW62,AY62,BA62,BC62,BE62,BG62,BI62,BK62,BM62,BO62,BQ62,BS62,BU62,BW62)</f>
        <v/>
      </c>
      <c r="C62" s="25" t="inlineStr">
        <is>
          <t>BHAGYANGR</t>
        </is>
      </c>
      <c r="D62" s="25" t="inlineStr">
        <is>
          <t>Bhagyanagar India</t>
        </is>
      </c>
      <c r="E62" s="25" t="inlineStr">
        <is>
          <t>power &amp; utilities</t>
        </is>
      </c>
      <c r="F62" s="25" t="inlineStr">
        <is>
          <t>power generation and supply</t>
        </is>
      </c>
      <c r="G62" s="25" t="inlineStr">
        <is>
          <t>smallcap</t>
        </is>
      </c>
      <c r="H62" s="26" t="n">
        <v>984.97</v>
      </c>
      <c r="I62" s="26" t="n">
        <v>323.2</v>
      </c>
      <c r="J62" s="26" t="n">
        <v>4.99</v>
      </c>
      <c r="K62" s="26" t="n">
        <v>256537</v>
      </c>
      <c r="L62" s="26" t="n">
        <v>76.52</v>
      </c>
      <c r="M62" s="26" t="n">
        <v>56.37</v>
      </c>
      <c r="N62" s="26" t="n">
        <v>231.44</v>
      </c>
      <c r="O62" s="25" t="inlineStr">
        <is>
          <t>Near 52W High Breakout</t>
        </is>
      </c>
      <c r="P62" s="25" t="inlineStr">
        <is>
          <t>Growing Industry</t>
        </is>
      </c>
      <c r="Q62" s="25">
        <f>IF(P62="Growing Industry",10,IF(P62="Cyclical in an Upturn",5,0))</f>
        <v/>
      </c>
      <c r="R62" s="25" t="inlineStr">
        <is>
          <t>Too Many Players with High ROCE</t>
        </is>
      </c>
      <c r="S62" s="25">
        <f>IF(R62="Monopoly",10,IF(R62="Oligopoly",5,IF(R62="Duopoly that cooperate",10,IF(R62="Duopoly that compete",5,IF(R62="Too many players with High ROCE",5,0)))))</f>
        <v/>
      </c>
      <c r="T62" s="25" t="inlineStr">
        <is>
          <t>No</t>
        </is>
      </c>
      <c r="U62" s="25">
        <f>IF(T62="No",5,0)</f>
        <v/>
      </c>
      <c r="V62" s="25" t="inlineStr">
        <is>
          <t>Tailwind</t>
        </is>
      </c>
      <c r="W62" s="25">
        <f>IF(V62="Tailwind",10,0)</f>
        <v/>
      </c>
      <c r="X62" s="25" t="inlineStr">
        <is>
          <t>Structural (10 Years Consistency)</t>
        </is>
      </c>
      <c r="Y62" s="25">
        <f>IF(X62="Structural (10 Years Consistency)",10,IF(X62="Shallow Cyclical (2 to 3 years growth)",5,0))</f>
        <v/>
      </c>
      <c r="Z62" s="25" t="inlineStr">
        <is>
          <t>No</t>
        </is>
      </c>
      <c r="AA62" s="25">
        <f>IF(Z62="Yes due to Product Mix change or Operating Leverage",10,IF(Z62="Yes, these are peak margins",-5,IF(Z62="No",5,0)))</f>
        <v/>
      </c>
      <c r="AB62" s="25" t="inlineStr">
        <is>
          <t>Stable</t>
        </is>
      </c>
      <c r="AC62" s="25">
        <f>IF(AB62="Stable",10,0)</f>
        <v/>
      </c>
      <c r="AD62" s="25" t="inlineStr">
        <is>
          <t>Yes</t>
        </is>
      </c>
      <c r="AE62" s="25">
        <f>IF(AD62="Yes",10,0)</f>
        <v/>
      </c>
      <c r="AF62" s="25" t="inlineStr">
        <is>
          <t>B2B</t>
        </is>
      </c>
      <c r="AG62" s="25">
        <f>IF(AF62="B2C",10,IF(AF62="B2B",5,0))</f>
        <v/>
      </c>
      <c r="AH62" s="25" t="inlineStr">
        <is>
          <t>Yes</t>
        </is>
      </c>
      <c r="AI62" s="25">
        <f>IF(AH62="Yes",10,0)</f>
        <v/>
      </c>
      <c r="AJ62" s="25" t="inlineStr">
        <is>
          <t>Higher One Time, Lower Annuity</t>
        </is>
      </c>
      <c r="AK62" s="25">
        <f>IF(AJ62="Fully Annuity",10,IF(AJ62="Higher Annuity, Lower One Time",5,IF(AJ62="Higher One Time, Lower Annuity",3,0)))</f>
        <v/>
      </c>
      <c r="AL62" s="25" t="inlineStr">
        <is>
          <t>Good</t>
        </is>
      </c>
      <c r="AM62" s="25">
        <f>IF(AL62="Good",10,0)</f>
        <v/>
      </c>
      <c r="AN62" s="25" t="inlineStr">
        <is>
          <t>Yes for more than 2 years</t>
        </is>
      </c>
      <c r="AO62" s="25">
        <f>IF(AN62="Yes for more than 2 years",10,IF(AN62="Yes only for next 1 to 2 years",5,0))</f>
        <v/>
      </c>
      <c r="AP62" s="25" t="inlineStr">
        <is>
          <t>Above 40</t>
        </is>
      </c>
      <c r="AQ62" s="25">
        <f>IF(AP62="Above 40",20,IF(AP62="20 to 40",10,IF(AP62="0 to 20",-5,0)))</f>
        <v/>
      </c>
      <c r="AR62" s="25" t="inlineStr">
        <is>
          <t>Above 75</t>
        </is>
      </c>
      <c r="AS62" s="25">
        <f>IF(AR62="Between 50 to 75",10,IF(AR62="Above 75",0,0))</f>
        <v/>
      </c>
      <c r="AT62" s="25" t="inlineStr">
        <is>
          <t>Stage 2</t>
        </is>
      </c>
      <c r="AU62" s="25">
        <f>IF(AT62="Stage 2",20,IF(AT62="Stage 1",0,IF(AT62="Stage 3",5,IF(AT62="Stage 4",-5,0))))</f>
        <v/>
      </c>
      <c r="AV62" s="25" t="inlineStr">
        <is>
          <t>Positive Trend</t>
        </is>
      </c>
      <c r="AW62" s="25">
        <f>IF(AV62="Positive Trend",20,IF(AV62="Negative Trend",-10,0))</f>
        <v/>
      </c>
      <c r="AX62" s="25" t="inlineStr">
        <is>
          <t>Uptrend</t>
        </is>
      </c>
      <c r="AY62" s="25">
        <f>IF(AX62="Uptrend",10,IF(AX62="Sideways",5,0))</f>
        <v/>
      </c>
      <c r="AZ62" s="25" t="inlineStr">
        <is>
          <t>Uptrend</t>
        </is>
      </c>
      <c r="BA62" s="25">
        <f>IF(AZ62="Uptrend",10,IF(AZ62="Sideways",5,0))</f>
        <v/>
      </c>
      <c r="BB62" s="25" t="inlineStr">
        <is>
          <t>Blue sky scenario</t>
        </is>
      </c>
      <c r="BC62" s="25">
        <f>IF(BB62="Overhead supply in last 2 years in last 2 years",-5,IF(BB62="Close to 52 week high or retracement",5,IF(BB62="Blue sky scenario",10,IF(BB62="Long term Downtrend",-10,0))))</f>
        <v/>
      </c>
      <c r="BD62" s="25" t="inlineStr">
        <is>
          <t>Yes</t>
        </is>
      </c>
      <c r="BE62" s="25">
        <f>IF(BD62="Yes",10,0)</f>
        <v/>
      </c>
      <c r="BF62" s="25" t="inlineStr">
        <is>
          <t>More than 20%</t>
        </is>
      </c>
      <c r="BG62" s="25">
        <f>IF(BF62="More than 20%",10,IF(BF62="Between 12 to 20%",5,IF(BF62="Less than 12%",0,0)))</f>
        <v/>
      </c>
      <c r="BH62" s="25" t="inlineStr">
        <is>
          <t>No</t>
        </is>
      </c>
      <c r="BI62" s="25">
        <f>IF(BH62="No",10,0)</f>
        <v/>
      </c>
      <c r="BJ62" s="25" t="inlineStr">
        <is>
          <t>No</t>
        </is>
      </c>
      <c r="BK62" s="25">
        <f>IF(BJ62="NO",5,0)</f>
        <v/>
      </c>
      <c r="BL62" s="25" t="inlineStr">
        <is>
          <t>Less than 1.5</t>
        </is>
      </c>
      <c r="BM62" s="25">
        <f>IF(BL62="Above 2",0,IF(BL62="Between 1.5 to 2",5,IF(BL62="Less than 1.5",10,0)))</f>
        <v/>
      </c>
      <c r="BN62" s="25" t="inlineStr">
        <is>
          <t>Between 50% to 70%</t>
        </is>
      </c>
      <c r="BO62" s="25">
        <f>IF(BN62="Above 70%",10,IF(BN62="Between 50% to 70%",5,IF(BN62="Less than 50%",0,IF(BN62="Negative",-10,IF(BN62="Less than 50% and Borrowings are increasing",-5,0)))))</f>
        <v/>
      </c>
      <c r="BP62" s="25" t="inlineStr">
        <is>
          <t>Between 0.7 to 1.2</t>
        </is>
      </c>
      <c r="BQ62" s="25">
        <f>IF(BP62="More than 1.2",-10,IF(BP62="Between 0.7 to 1.2",0,IF(BP62="Less than 0.7",10,0)))</f>
        <v/>
      </c>
      <c r="BR62" s="25" t="inlineStr">
        <is>
          <t>No</t>
        </is>
      </c>
      <c r="BS62" s="25">
        <f>IF(BR62="Yes",-10,0)</f>
        <v/>
      </c>
      <c r="BT62" s="25" t="inlineStr">
        <is>
          <t>Less than 15%</t>
        </is>
      </c>
      <c r="BU62" s="25">
        <f>IF(BT62="More than 15%",-10,IF(BT62="Less than 15%",10,0))</f>
        <v/>
      </c>
      <c r="BV62" s="25" t="inlineStr">
        <is>
          <t>No</t>
        </is>
      </c>
      <c r="BW62" s="25">
        <f>IF(BV62="Yes, more than 10%",-10,IF(BV62="No",10,0))</f>
        <v/>
      </c>
    </row>
    <row r="63">
      <c r="A63" s="25">
        <f>IF(B63=0,"",RANK(B63,$B$2:$B$292,0))</f>
        <v/>
      </c>
      <c r="B63" s="26">
        <f>SUM(Q63,S63,U63,W63,Y63,AA63,AC63,AE63,AG63,AI63,AK63,AM63,AO63,AQ63,AS63,AU63,AW63,AY63,BA63,BC63,BE63,BG63,BI63,BK63,BM63,BO63,BQ63,BS63,BU63,BW63)</f>
        <v/>
      </c>
      <c r="C63" s="25" t="inlineStr">
        <is>
          <t>AVALON</t>
        </is>
      </c>
      <c r="D63" s="25" t="inlineStr">
        <is>
          <t>Avalon Technologies Ltd</t>
        </is>
      </c>
      <c r="E63" s="25" t="inlineStr">
        <is>
          <t>consumer discretionary</t>
        </is>
      </c>
      <c r="F63" s="25" t="inlineStr">
        <is>
          <t>electronics - components</t>
        </is>
      </c>
      <c r="G63" s="25" t="inlineStr">
        <is>
          <t>midcap</t>
        </is>
      </c>
      <c r="H63" s="26" t="n">
        <v>9693.110000000001</v>
      </c>
      <c r="I63" s="26" t="n">
        <v>1511.9</v>
      </c>
      <c r="J63" s="26" t="n">
        <v>4.14</v>
      </c>
      <c r="K63" s="26" t="n">
        <v>208330</v>
      </c>
      <c r="L63" s="26" t="n">
        <v>71.47</v>
      </c>
      <c r="M63" s="26" t="n">
        <v>27.98</v>
      </c>
      <c r="N63" s="26" t="n">
        <v>1093.24</v>
      </c>
      <c r="O63" s="25" t="inlineStr">
        <is>
          <t>Near 52W High Breakout</t>
        </is>
      </c>
      <c r="P63" s="25" t="inlineStr">
        <is>
          <t>Growing Industry</t>
        </is>
      </c>
      <c r="Q63" s="25">
        <f>IF(P63="Growing Industry",10,IF(P63="Cyclical in an Upturn",5,0))</f>
        <v/>
      </c>
      <c r="R63" s="25" t="inlineStr">
        <is>
          <t>Too Many Players with High ROCE</t>
        </is>
      </c>
      <c r="S63" s="25">
        <f>IF(R63="Monopoly",10,IF(R63="Oligopoly",5,IF(R63="Duopoly that cooperate",10,IF(R63="Duopoly that compete",5,IF(R63="Too many players with High ROCE",5,0)))))</f>
        <v/>
      </c>
      <c r="T63" s="25" t="inlineStr">
        <is>
          <t>No</t>
        </is>
      </c>
      <c r="U63" s="25">
        <f>IF(T63="No",5,0)</f>
        <v/>
      </c>
      <c r="V63" s="25" t="inlineStr">
        <is>
          <t>Tailwind</t>
        </is>
      </c>
      <c r="W63" s="25">
        <f>IF(V63="Tailwind",10,0)</f>
        <v/>
      </c>
      <c r="X63" s="25" t="inlineStr">
        <is>
          <t>Structural (10 Years Consistency)</t>
        </is>
      </c>
      <c r="Y63" s="25">
        <f>IF(X63="Structural (10 Years Consistency)",10,IF(X63="Shallow Cyclical (2 to 3 years growth)",5,0))</f>
        <v/>
      </c>
      <c r="Z63" s="25" t="inlineStr">
        <is>
          <t>No</t>
        </is>
      </c>
      <c r="AA63" s="25">
        <f>IF(Z63="Yes due to Product Mix change or Operating Leverage",10,IF(Z63="Yes, these are peak margins",-5,IF(Z63="No",5,0)))</f>
        <v/>
      </c>
      <c r="AB63" s="25" t="inlineStr">
        <is>
          <t>Stable</t>
        </is>
      </c>
      <c r="AC63" s="25">
        <f>IF(AB63="Stable",10,0)</f>
        <v/>
      </c>
      <c r="AD63" s="25" t="inlineStr">
        <is>
          <t>Yes</t>
        </is>
      </c>
      <c r="AE63" s="25">
        <f>IF(AD63="Yes",10,0)</f>
        <v/>
      </c>
      <c r="AF63" s="25" t="inlineStr">
        <is>
          <t>B2B</t>
        </is>
      </c>
      <c r="AG63" s="25">
        <f>IF(AF63="B2C",10,IF(AF63="B2B",5,0))</f>
        <v/>
      </c>
      <c r="AH63" s="25" t="inlineStr">
        <is>
          <t>Yes</t>
        </is>
      </c>
      <c r="AI63" s="25">
        <f>IF(AH63="Yes",10,0)</f>
        <v/>
      </c>
      <c r="AJ63" s="25" t="inlineStr">
        <is>
          <t>Higher One Time, Lower Annuity</t>
        </is>
      </c>
      <c r="AK63" s="25">
        <f>IF(AJ63="Fully Annuity",10,IF(AJ63="Higher Annuity, Lower One Time",5,IF(AJ63="Higher One Time, Lower Annuity",3,0)))</f>
        <v/>
      </c>
      <c r="AL63" s="25" t="inlineStr">
        <is>
          <t>Good</t>
        </is>
      </c>
      <c r="AM63" s="25">
        <f>IF(AL63="Good",10,0)</f>
        <v/>
      </c>
      <c r="AN63" s="25" t="inlineStr">
        <is>
          <t>Yes for more than 2 years</t>
        </is>
      </c>
      <c r="AO63" s="25">
        <f>IF(AN63="Yes for more than 2 years",10,IF(AN63="Yes only for next 1 to 2 years",5,0))</f>
        <v/>
      </c>
      <c r="AP63" s="25" t="inlineStr">
        <is>
          <t>20 to 40</t>
        </is>
      </c>
      <c r="AQ63" s="25">
        <f>IF(AP63="Above 40",20,IF(AP63="20 to 40",10,IF(AP63="0 to 20",-5,0)))</f>
        <v/>
      </c>
      <c r="AR63" s="25" t="inlineStr">
        <is>
          <t>Between 50 to 75</t>
        </is>
      </c>
      <c r="AS63" s="25">
        <f>IF(AR63="Between 50 to 75",10,IF(AR63="Above 75",0,0))</f>
        <v/>
      </c>
      <c r="AT63" s="25" t="inlineStr">
        <is>
          <t>Stage 2</t>
        </is>
      </c>
      <c r="AU63" s="25">
        <f>IF(AT63="Stage 2",20,IF(AT63="Stage 1",0,IF(AT63="Stage 3",5,IF(AT63="Stage 4",-5,0))))</f>
        <v/>
      </c>
      <c r="AV63" s="25" t="inlineStr">
        <is>
          <t>Positive Trend</t>
        </is>
      </c>
      <c r="AW63" s="25">
        <f>IF(AV63="Positive Trend",20,IF(AV63="Negative Trend",-10,0))</f>
        <v/>
      </c>
      <c r="AX63" s="25" t="inlineStr">
        <is>
          <t>Uptrend</t>
        </is>
      </c>
      <c r="AY63" s="25">
        <f>IF(AX63="Uptrend",10,IF(AX63="Sideways",5,0))</f>
        <v/>
      </c>
      <c r="AZ63" s="25" t="inlineStr">
        <is>
          <t>Uptrend</t>
        </is>
      </c>
      <c r="BA63" s="25">
        <f>IF(AZ63="Uptrend",10,IF(AZ63="Sideways",5,0))</f>
        <v/>
      </c>
      <c r="BB63" s="25" t="inlineStr">
        <is>
          <t>Blue sky scenario</t>
        </is>
      </c>
      <c r="BC63" s="25">
        <f>IF(BB63="Overhead supply in last 2 years in last 2 years",-5,IF(BB63="Close to 52 week high or retracement",5,IF(BB63="Blue sky scenario",10,IF(BB63="Long term Downtrend",-10,0))))</f>
        <v/>
      </c>
      <c r="BD63" s="25" t="inlineStr">
        <is>
          <t>Yes</t>
        </is>
      </c>
      <c r="BE63" s="25">
        <f>IF(BD63="Yes",10,0)</f>
        <v/>
      </c>
      <c r="BF63" s="25" t="inlineStr">
        <is>
          <t>More than 20%</t>
        </is>
      </c>
      <c r="BG63" s="25">
        <f>IF(BF63="More than 20%",10,IF(BF63="Between 12 to 20%",5,IF(BF63="Less than 12%",0,0)))</f>
        <v/>
      </c>
      <c r="BH63" s="25" t="inlineStr">
        <is>
          <t>No</t>
        </is>
      </c>
      <c r="BI63" s="25">
        <f>IF(BH63="No",10,0)</f>
        <v/>
      </c>
      <c r="BJ63" s="25" t="inlineStr">
        <is>
          <t>Yes</t>
        </is>
      </c>
      <c r="BK63" s="25">
        <f>IF(BJ63="NO",5,0)</f>
        <v/>
      </c>
      <c r="BL63" s="25" t="inlineStr">
        <is>
          <t>Less than 1.5</t>
        </is>
      </c>
      <c r="BM63" s="25">
        <f>IF(BL63="Above 2",0,IF(BL63="Between 1.5 to 2",5,IF(BL63="Less than 1.5",10,0)))</f>
        <v/>
      </c>
      <c r="BN63" s="25" t="inlineStr">
        <is>
          <t>Less than 50%</t>
        </is>
      </c>
      <c r="BO63" s="25">
        <f>IF(BN63="Above 70%",10,IF(BN63="Between 50% to 70%",5,IF(BN63="Less than 50%",0,IF(BN63="Negative",-10,IF(BN63="Less than 50% and Borrowings are increasing",-5,0)))))</f>
        <v/>
      </c>
      <c r="BP63" s="25" t="inlineStr">
        <is>
          <t>Less than 0.7</t>
        </is>
      </c>
      <c r="BQ63" s="25">
        <f>IF(BP63="More than 1.2",-10,IF(BP63="Between 0.7 to 1.2",0,IF(BP63="Less than 0.7",10,0)))</f>
        <v/>
      </c>
      <c r="BR63" s="25" t="inlineStr">
        <is>
          <t>No</t>
        </is>
      </c>
      <c r="BS63" s="25">
        <f>IF(BR63="Yes",-10,0)</f>
        <v/>
      </c>
      <c r="BT63" s="25" t="inlineStr">
        <is>
          <t>Less than 15%</t>
        </is>
      </c>
      <c r="BU63" s="25">
        <f>IF(BT63="More than 15%",-10,IF(BT63="Less than 15%",10,0))</f>
        <v/>
      </c>
      <c r="BV63" s="25" t="inlineStr">
        <is>
          <t>No</t>
        </is>
      </c>
      <c r="BW63" s="25">
        <f>IF(BV63="Yes, more than 10%",-10,IF(BV63="No",10,0))</f>
        <v/>
      </c>
    </row>
    <row r="64">
      <c r="A64" s="25">
        <f>IF(B64=0,"",RANK(B64,$B$2:$B$292,0))</f>
        <v/>
      </c>
      <c r="B64" s="26">
        <f>SUM(Q64,S64,U64,W64,Y64,AA64,AC64,AE64,AG64,AI64,AK64,AM64,AO64,AQ64,AS64,AU64,AW64,AY64,BA64,BC64,BE64,BG64,BI64,BK64,BM64,BO64,BQ64,BS64,BU64,BW64)</f>
        <v/>
      </c>
      <c r="C64" s="25" t="inlineStr">
        <is>
          <t>APARINDS</t>
        </is>
      </c>
      <c r="D64" s="25" t="inlineStr">
        <is>
          <t>Apar Industries Limited</t>
        </is>
      </c>
      <c r="E64" s="25" t="inlineStr">
        <is>
          <t>industrials</t>
        </is>
      </c>
      <c r="F64" s="25" t="inlineStr">
        <is>
          <t>electric equipment</t>
        </is>
      </c>
      <c r="G64" s="25" t="inlineStr">
        <is>
          <t>largecap</t>
        </is>
      </c>
      <c r="H64" s="26" t="n">
        <v>51419.46</v>
      </c>
      <c r="I64" s="26" t="n">
        <v>13270</v>
      </c>
      <c r="J64" s="26" t="n">
        <v>3.66</v>
      </c>
      <c r="K64" s="26" t="n">
        <v>128084</v>
      </c>
      <c r="L64" s="26" t="n">
        <v>69.69</v>
      </c>
      <c r="M64" s="26" t="n">
        <v>36.87</v>
      </c>
      <c r="N64" s="26" t="n">
        <v>10254.07</v>
      </c>
      <c r="O64" s="25" t="inlineStr">
        <is>
          <t>Near 52W High Breakout</t>
        </is>
      </c>
      <c r="P64" s="25" t="inlineStr">
        <is>
          <t>Cyclical in an Upturn</t>
        </is>
      </c>
      <c r="Q64" s="25">
        <f>IF(P64="Growing Industry",10,IF(P64="Cyclical in an Upturn",5,0))</f>
        <v/>
      </c>
      <c r="R64" s="25" t="inlineStr">
        <is>
          <t>Too Many Players with High ROCE</t>
        </is>
      </c>
      <c r="S64" s="25">
        <f>IF(R64="Monopoly",10,IF(R64="Oligopoly",5,IF(R64="Duopoly that cooperate",10,IF(R64="Duopoly that compete",5,IF(R64="Too many players with High ROCE",5,0)))))</f>
        <v/>
      </c>
      <c r="T64" s="25" t="inlineStr">
        <is>
          <t>No</t>
        </is>
      </c>
      <c r="U64" s="25">
        <f>IF(T64="No",5,0)</f>
        <v/>
      </c>
      <c r="V64" s="25" t="inlineStr">
        <is>
          <t>Tailwind</t>
        </is>
      </c>
      <c r="W64" s="25">
        <f>IF(V64="Tailwind",10,0)</f>
        <v/>
      </c>
      <c r="X64" s="25" t="inlineStr">
        <is>
          <t>Structural (10 Years Consistency)</t>
        </is>
      </c>
      <c r="Y64" s="25">
        <f>IF(X64="Structural (10 Years Consistency)",10,IF(X64="Shallow Cyclical (2 to 3 years growth)",5,0))</f>
        <v/>
      </c>
      <c r="Z64" s="25" t="inlineStr">
        <is>
          <t>No</t>
        </is>
      </c>
      <c r="AA64" s="25">
        <f>IF(Z64="Yes due to Product Mix change or Operating Leverage",10,IF(Z64="Yes, these are peak margins",-5,IF(Z64="No",5,0)))</f>
        <v/>
      </c>
      <c r="AB64" s="25" t="inlineStr">
        <is>
          <t>Stable</t>
        </is>
      </c>
      <c r="AC64" s="25">
        <f>IF(AB64="Stable",10,0)</f>
        <v/>
      </c>
      <c r="AD64" s="25" t="inlineStr">
        <is>
          <t>Yes</t>
        </is>
      </c>
      <c r="AE64" s="25">
        <f>IF(AD64="Yes",10,0)</f>
        <v/>
      </c>
      <c r="AF64" s="25" t="inlineStr">
        <is>
          <t>B2B</t>
        </is>
      </c>
      <c r="AG64" s="25">
        <f>IF(AF64="B2C",10,IF(AF64="B2B",5,0))</f>
        <v/>
      </c>
      <c r="AH64" s="25" t="inlineStr">
        <is>
          <t>Yes</t>
        </is>
      </c>
      <c r="AI64" s="25">
        <f>IF(AH64="Yes",10,0)</f>
        <v/>
      </c>
      <c r="AJ64" s="25" t="inlineStr">
        <is>
          <t>Higher One Time, Lower Annuity</t>
        </is>
      </c>
      <c r="AK64" s="25">
        <f>IF(AJ64="Fully Annuity",10,IF(AJ64="Higher Annuity, Lower One Time",5,IF(AJ64="Higher One Time, Lower Annuity",3,0)))</f>
        <v/>
      </c>
      <c r="AL64" s="25" t="inlineStr">
        <is>
          <t>Good</t>
        </is>
      </c>
      <c r="AM64" s="25">
        <f>IF(AL64="Good",10,0)</f>
        <v/>
      </c>
      <c r="AN64" s="25" t="inlineStr">
        <is>
          <t>Yes for more than 2 years</t>
        </is>
      </c>
      <c r="AO64" s="25">
        <f>IF(AN64="Yes for more than 2 years",10,IF(AN64="Yes only for next 1 to 2 years",5,0))</f>
        <v/>
      </c>
      <c r="AP64" s="25" t="inlineStr">
        <is>
          <t>20 to 40</t>
        </is>
      </c>
      <c r="AQ64" s="25">
        <f>IF(AP64="Above 40",20,IF(AP64="20 to 40",10,IF(AP64="0 to 20",-5,0)))</f>
        <v/>
      </c>
      <c r="AR64" s="25" t="inlineStr">
        <is>
          <t>Between 50 to 75</t>
        </is>
      </c>
      <c r="AS64" s="25">
        <f>IF(AR64="Between 50 to 75",10,IF(AR64="Above 75",0,0))</f>
        <v/>
      </c>
      <c r="AT64" s="25" t="inlineStr">
        <is>
          <t>Stage 2</t>
        </is>
      </c>
      <c r="AU64" s="25">
        <f>IF(AT64="Stage 2",20,IF(AT64="Stage 1",0,IF(AT64="Stage 3",5,IF(AT64="Stage 4",-5,0))))</f>
        <v/>
      </c>
      <c r="AV64" s="25" t="inlineStr">
        <is>
          <t>Positive Trend</t>
        </is>
      </c>
      <c r="AW64" s="25">
        <f>IF(AV64="Positive Trend",20,IF(AV64="Negative Trend",-10,0))</f>
        <v/>
      </c>
      <c r="AX64" s="25" t="inlineStr">
        <is>
          <t>Uptrend</t>
        </is>
      </c>
      <c r="AY64" s="25">
        <f>IF(AX64="Uptrend",10,IF(AX64="Sideways",5,0))</f>
        <v/>
      </c>
      <c r="AZ64" s="25" t="inlineStr">
        <is>
          <t>Uptrend</t>
        </is>
      </c>
      <c r="BA64" s="25">
        <f>IF(AZ64="Uptrend",10,IF(AZ64="Sideways",5,0))</f>
        <v/>
      </c>
      <c r="BB64" s="25" t="inlineStr">
        <is>
          <t>Blue sky scenario</t>
        </is>
      </c>
      <c r="BC64" s="25">
        <f>IF(BB64="Overhead supply in last 2 years in last 2 years",-5,IF(BB64="Close to 52 week high or retracement",5,IF(BB64="Blue sky scenario",10,IF(BB64="Long term Downtrend",-10,0))))</f>
        <v/>
      </c>
      <c r="BD64" s="25" t="inlineStr">
        <is>
          <t>Yes</t>
        </is>
      </c>
      <c r="BE64" s="25">
        <f>IF(BD64="Yes",10,0)</f>
        <v/>
      </c>
      <c r="BF64" s="25" t="inlineStr">
        <is>
          <t>Between 12 to 20%</t>
        </is>
      </c>
      <c r="BG64" s="25">
        <f>IF(BF64="More than 20%",10,IF(BF64="Between 12 to 20%",5,IF(BF64="Less than 12%",0,0)))</f>
        <v/>
      </c>
      <c r="BH64" s="25" t="inlineStr">
        <is>
          <t>No</t>
        </is>
      </c>
      <c r="BI64" s="25">
        <f>IF(BH64="No",10,0)</f>
        <v/>
      </c>
      <c r="BJ64" s="25" t="inlineStr">
        <is>
          <t>Yes</t>
        </is>
      </c>
      <c r="BK64" s="25">
        <f>IF(BJ64="NO",5,0)</f>
        <v/>
      </c>
      <c r="BL64" s="25" t="inlineStr">
        <is>
          <t>Less than 1.5</t>
        </is>
      </c>
      <c r="BM64" s="25">
        <f>IF(BL64="Above 2",0,IF(BL64="Between 1.5 to 2",5,IF(BL64="Less than 1.5",10,0)))</f>
        <v/>
      </c>
      <c r="BN64" s="25" t="inlineStr">
        <is>
          <t>Above 70%</t>
        </is>
      </c>
      <c r="BO64" s="25">
        <f>IF(BN64="Above 70%",10,IF(BN64="Between 50% to 70%",5,IF(BN64="Less than 50%",0,IF(BN64="Negative",-10,IF(BN64="Less than 50% and Borrowings are increasing",-5,0)))))</f>
        <v/>
      </c>
      <c r="BP64" s="25" t="inlineStr">
        <is>
          <t>Less than 0.7</t>
        </is>
      </c>
      <c r="BQ64" s="25">
        <f>IF(BP64="More than 1.2",-10,IF(BP64="Between 0.7 to 1.2",0,IF(BP64="Less than 0.7",10,0)))</f>
        <v/>
      </c>
      <c r="BR64" s="25" t="inlineStr">
        <is>
          <t>No</t>
        </is>
      </c>
      <c r="BS64" s="25">
        <f>IF(BR64="Yes",-10,0)</f>
        <v/>
      </c>
      <c r="BT64" s="25" t="inlineStr">
        <is>
          <t>Less than 15%</t>
        </is>
      </c>
      <c r="BU64" s="25">
        <f>IF(BT64="More than 15%",-10,IF(BT64="Less than 15%",10,0))</f>
        <v/>
      </c>
      <c r="BV64" s="25" t="inlineStr">
        <is>
          <t>No</t>
        </is>
      </c>
      <c r="BW64" s="25">
        <f>IF(BV64="Yes, more than 10%",-10,IF(BV64="No",10,0))</f>
        <v/>
      </c>
    </row>
    <row r="65">
      <c r="A65" s="25">
        <f>IF(B65=0,"",RANK(B65,$B$2:$B$292,0))</f>
        <v/>
      </c>
      <c r="B65" s="26">
        <f>SUM(Q65,S65,U65,W65,Y65,AA65,AC65,AE65,AG65,AI65,AK65,AM65,AO65,AQ65,AS65,AU65,AW65,AY65,BA65,BC65,BE65,BG65,BI65,BK65,BM65,BO65,BQ65,BS65,BU65,BW65)</f>
        <v/>
      </c>
      <c r="C65" s="25" t="inlineStr">
        <is>
          <t>EXIDEIND</t>
        </is>
      </c>
      <c r="D65" s="25" t="inlineStr">
        <is>
          <t>Exide Industries Limited</t>
        </is>
      </c>
      <c r="E65" s="25" t="inlineStr">
        <is>
          <t>auto</t>
        </is>
      </c>
      <c r="F65" s="25" t="inlineStr">
        <is>
          <t>auto ancillaries</t>
        </is>
      </c>
      <c r="G65" s="25" t="inlineStr">
        <is>
          <t>largecap</t>
        </is>
      </c>
      <c r="H65" s="26" t="n">
        <v>33341.25</v>
      </c>
      <c r="I65" s="26" t="n">
        <v>406.25</v>
      </c>
      <c r="J65" s="26" t="n">
        <v>3.57</v>
      </c>
      <c r="K65" s="26" t="n">
        <v>7426529</v>
      </c>
      <c r="L65" s="26" t="n">
        <v>66.87</v>
      </c>
      <c r="M65" s="26" t="n">
        <v>30.64</v>
      </c>
      <c r="N65" s="26" t="n">
        <v>333.75</v>
      </c>
      <c r="O65" s="25" t="inlineStr">
        <is>
          <t>Near 52W High Breakout</t>
        </is>
      </c>
      <c r="P65" s="25" t="inlineStr">
        <is>
          <t>Growing Industry</t>
        </is>
      </c>
      <c r="Q65" s="25">
        <f>IF(P65="Growing Industry",10,IF(P65="Cyclical in an Upturn",5,0))</f>
        <v/>
      </c>
      <c r="R65" s="25" t="inlineStr">
        <is>
          <t>Too Many Players with High ROCE</t>
        </is>
      </c>
      <c r="S65" s="25">
        <f>IF(R65="Monopoly",10,IF(R65="Oligopoly",5,IF(R65="Duopoly that cooperate",10,IF(R65="Duopoly that compete",5,IF(R65="Too many players with High ROCE",5,0)))))</f>
        <v/>
      </c>
      <c r="T65" s="25" t="inlineStr">
        <is>
          <t>No</t>
        </is>
      </c>
      <c r="U65" s="25">
        <f>IF(T65="No",5,0)</f>
        <v/>
      </c>
      <c r="V65" s="25" t="inlineStr">
        <is>
          <t>Tailwind</t>
        </is>
      </c>
      <c r="W65" s="25">
        <f>IF(V65="Tailwind",10,0)</f>
        <v/>
      </c>
      <c r="X65" s="25" t="inlineStr">
        <is>
          <t>Structural (10 Years Consistency)</t>
        </is>
      </c>
      <c r="Y65" s="25">
        <f>IF(X65="Structural (10 Years Consistency)",10,IF(X65="Shallow Cyclical (2 to 3 years growth)",5,0))</f>
        <v/>
      </c>
      <c r="Z65" s="25" t="inlineStr">
        <is>
          <t>No</t>
        </is>
      </c>
      <c r="AA65" s="25">
        <f>IF(Z65="Yes due to Product Mix change or Operating Leverage",10,IF(Z65="Yes, these are peak margins",-5,IF(Z65="No",5,0)))</f>
        <v/>
      </c>
      <c r="AB65" s="25" t="inlineStr">
        <is>
          <t>Stable</t>
        </is>
      </c>
      <c r="AC65" s="25">
        <f>IF(AB65="Stable",10,0)</f>
        <v/>
      </c>
      <c r="AD65" s="25" t="inlineStr">
        <is>
          <t>Yes</t>
        </is>
      </c>
      <c r="AE65" s="25">
        <f>IF(AD65="Yes",10,0)</f>
        <v/>
      </c>
      <c r="AF65" s="25" t="inlineStr">
        <is>
          <t>B2B</t>
        </is>
      </c>
      <c r="AG65" s="25">
        <f>IF(AF65="B2C",10,IF(AF65="B2B",5,0))</f>
        <v/>
      </c>
      <c r="AH65" s="25" t="inlineStr">
        <is>
          <t>Yes</t>
        </is>
      </c>
      <c r="AI65" s="25">
        <f>IF(AH65="Yes",10,0)</f>
        <v/>
      </c>
      <c r="AJ65" s="25" t="inlineStr">
        <is>
          <t>Higher One Time, Lower Annuity</t>
        </is>
      </c>
      <c r="AK65" s="25">
        <f>IF(AJ65="Fully Annuity",10,IF(AJ65="Higher Annuity, Lower One Time",5,IF(AJ65="Higher One Time, Lower Annuity",3,0)))</f>
        <v/>
      </c>
      <c r="AL65" s="25" t="inlineStr">
        <is>
          <t>Good</t>
        </is>
      </c>
      <c r="AM65" s="25">
        <f>IF(AL65="Good",10,0)</f>
        <v/>
      </c>
      <c r="AN65" s="25" t="inlineStr">
        <is>
          <t>Yes for more than 2 years</t>
        </is>
      </c>
      <c r="AO65" s="25">
        <f>IF(AN65="Yes for more than 2 years",10,IF(AN65="Yes only for next 1 to 2 years",5,0))</f>
        <v/>
      </c>
      <c r="AP65" s="25" t="inlineStr">
        <is>
          <t>20 to 40</t>
        </is>
      </c>
      <c r="AQ65" s="25">
        <f>IF(AP65="Above 40",20,IF(AP65="20 to 40",10,IF(AP65="0 to 20",-5,0)))</f>
        <v/>
      </c>
      <c r="AR65" s="25" t="inlineStr">
        <is>
          <t>Between 50 to 75</t>
        </is>
      </c>
      <c r="AS65" s="25">
        <f>IF(AR65="Between 50 to 75",10,IF(AR65="Above 75",0,0))</f>
        <v/>
      </c>
      <c r="AT65" s="25" t="inlineStr">
        <is>
          <t>Stage 2</t>
        </is>
      </c>
      <c r="AU65" s="25">
        <f>IF(AT65="Stage 2",20,IF(AT65="Stage 1",0,IF(AT65="Stage 3",5,IF(AT65="Stage 4",-5,0))))</f>
        <v/>
      </c>
      <c r="AV65" s="25" t="inlineStr">
        <is>
          <t>Positive Trend</t>
        </is>
      </c>
      <c r="AW65" s="25">
        <f>IF(AV65="Positive Trend",20,IF(AV65="Negative Trend",-10,0))</f>
        <v/>
      </c>
      <c r="AX65" s="25" t="inlineStr">
        <is>
          <t>Uptrend</t>
        </is>
      </c>
      <c r="AY65" s="25">
        <f>IF(AX65="Uptrend",10,IF(AX65="Sideways",5,0))</f>
        <v/>
      </c>
      <c r="AZ65" s="25" t="inlineStr">
        <is>
          <t>Uptrend</t>
        </is>
      </c>
      <c r="BA65" s="25">
        <f>IF(AZ65="Uptrend",10,IF(AZ65="Sideways",5,0))</f>
        <v/>
      </c>
      <c r="BB65" s="25" t="inlineStr">
        <is>
          <t>Close to 52 week high or retracement</t>
        </is>
      </c>
      <c r="BC65" s="25">
        <f>IF(BB65="Overhead supply in last 2 years in last 2 years",-5,IF(BB65="Close to 52 week high or retracement",5,IF(BB65="Blue sky scenario",10,IF(BB65="Long term Downtrend",-10,0))))</f>
        <v/>
      </c>
      <c r="BD65" s="25" t="inlineStr">
        <is>
          <t>Yes</t>
        </is>
      </c>
      <c r="BE65" s="25">
        <f>IF(BD65="Yes",10,0)</f>
        <v/>
      </c>
      <c r="BF65" s="25" t="inlineStr">
        <is>
          <t>Between 12 to 20%</t>
        </is>
      </c>
      <c r="BG65" s="25">
        <f>IF(BF65="More than 20%",10,IF(BF65="Between 12 to 20%",5,IF(BF65="Less than 12%",0,0)))</f>
        <v/>
      </c>
      <c r="BH65" s="25" t="inlineStr">
        <is>
          <t>No</t>
        </is>
      </c>
      <c r="BI65" s="25">
        <f>IF(BH65="No",10,0)</f>
        <v/>
      </c>
      <c r="BJ65" s="25" t="inlineStr">
        <is>
          <t>Yes</t>
        </is>
      </c>
      <c r="BK65" s="25">
        <f>IF(BJ65="NO",5,0)</f>
        <v/>
      </c>
      <c r="BL65" s="25" t="inlineStr">
        <is>
          <t>Less than 1.5</t>
        </is>
      </c>
      <c r="BM65" s="25">
        <f>IF(BL65="Above 2",0,IF(BL65="Between 1.5 to 2",5,IF(BL65="Less than 1.5",10,0)))</f>
        <v/>
      </c>
      <c r="BN65" s="25" t="inlineStr">
        <is>
          <t>Above 70%</t>
        </is>
      </c>
      <c r="BO65" s="25">
        <f>IF(BN65="Above 70%",10,IF(BN65="Between 50% to 70%",5,IF(BN65="Less than 50%",0,IF(BN65="Negative",-10,IF(BN65="Less than 50% and Borrowings are increasing",-5,0)))))</f>
        <v/>
      </c>
      <c r="BP65" s="25" t="inlineStr">
        <is>
          <t>Less than 0.7</t>
        </is>
      </c>
      <c r="BQ65" s="25">
        <f>IF(BP65="More than 1.2",-10,IF(BP65="Between 0.7 to 1.2",0,IF(BP65="Less than 0.7",10,0)))</f>
        <v/>
      </c>
      <c r="BR65" s="25" t="inlineStr">
        <is>
          <t>No</t>
        </is>
      </c>
      <c r="BS65" s="25">
        <f>IF(BR65="Yes",-10,0)</f>
        <v/>
      </c>
      <c r="BT65" s="25" t="inlineStr">
        <is>
          <t>Less than 15%</t>
        </is>
      </c>
      <c r="BU65" s="25">
        <f>IF(BT65="More than 15%",-10,IF(BT65="Less than 15%",10,0))</f>
        <v/>
      </c>
      <c r="BV65" s="25" t="inlineStr">
        <is>
          <t>No</t>
        </is>
      </c>
      <c r="BW65" s="25">
        <f>IF(BV65="Yes, more than 10%",-10,IF(BV65="No",10,0))</f>
        <v/>
      </c>
    </row>
    <row r="66">
      <c r="A66" s="25">
        <f>IF(B66=0,"",RANK(B66,$B$2:$B$292,0))</f>
        <v/>
      </c>
      <c r="B66" s="26">
        <f>SUM(Q66,S66,U66,W66,Y66,AA66,AC66,AE66,AG66,AI66,AK66,AM66,AO66,AQ66,AS66,AU66,AW66,AY66,BA66,BC66,BE66,BG66,BI66,BK66,BM66,BO66,BQ66,BS66,BU66,BW66)</f>
        <v/>
      </c>
      <c r="C66" s="25" t="inlineStr">
        <is>
          <t>MARINE</t>
        </is>
      </c>
      <c r="D66" s="25" t="inlineStr">
        <is>
          <t>Marine Electricals (India) Ltd</t>
        </is>
      </c>
      <c r="E66" s="25" t="inlineStr">
        <is>
          <t>industrials</t>
        </is>
      </c>
      <c r="F66" s="25" t="inlineStr">
        <is>
          <t>electric equipment</t>
        </is>
      </c>
      <c r="G66" s="25" t="inlineStr">
        <is>
          <t>smallcap</t>
        </is>
      </c>
      <c r="H66" s="26" t="n">
        <v>616.27</v>
      </c>
      <c r="I66" s="26" t="n">
        <v>258.1</v>
      </c>
      <c r="J66" s="26" t="n">
        <v>2.75</v>
      </c>
      <c r="K66" s="26" t="n">
        <v>1197837</v>
      </c>
      <c r="L66" s="26" t="n">
        <v>62.82</v>
      </c>
      <c r="M66" s="26" t="n">
        <v>24.31</v>
      </c>
      <c r="N66" s="26" t="n">
        <v>191.62</v>
      </c>
      <c r="O66" s="25" t="inlineStr">
        <is>
          <t>Near 52W High Breakout</t>
        </is>
      </c>
      <c r="P66" s="25" t="inlineStr">
        <is>
          <t>Cyclical in an Upturn</t>
        </is>
      </c>
      <c r="Q66" s="25">
        <f>IF(P66="Growing Industry",10,IF(P66="Cyclical in an Upturn",5,0))</f>
        <v/>
      </c>
      <c r="R66" s="25" t="inlineStr">
        <is>
          <t>Too Many Players with High ROCE</t>
        </is>
      </c>
      <c r="S66" s="25">
        <f>IF(R66="Monopoly",10,IF(R66="Oligopoly",5,IF(R66="Duopoly that cooperate",10,IF(R66="Duopoly that compete",5,IF(R66="Too many players with High ROCE",5,0)))))</f>
        <v/>
      </c>
      <c r="T66" s="25" t="inlineStr">
        <is>
          <t>No</t>
        </is>
      </c>
      <c r="U66" s="25">
        <f>IF(T66="No",5,0)</f>
        <v/>
      </c>
      <c r="V66" s="25" t="inlineStr">
        <is>
          <t>Tailwind</t>
        </is>
      </c>
      <c r="W66" s="25">
        <f>IF(V66="Tailwind",10,0)</f>
        <v/>
      </c>
      <c r="X66" s="25" t="inlineStr">
        <is>
          <t>Structural (10 Years Consistency)</t>
        </is>
      </c>
      <c r="Y66" s="25">
        <f>IF(X66="Structural (10 Years Consistency)",10,IF(X66="Shallow Cyclical (2 to 3 years growth)",5,0))</f>
        <v/>
      </c>
      <c r="Z66" s="25" t="inlineStr">
        <is>
          <t>No</t>
        </is>
      </c>
      <c r="AA66" s="25">
        <f>IF(Z66="Yes due to Product Mix change or Operating Leverage",10,IF(Z66="Yes, these are peak margins",-5,IF(Z66="No",5,0)))</f>
        <v/>
      </c>
      <c r="AB66" s="25" t="inlineStr">
        <is>
          <t>Stable</t>
        </is>
      </c>
      <c r="AC66" s="25">
        <f>IF(AB66="Stable",10,0)</f>
        <v/>
      </c>
      <c r="AD66" s="25" t="inlineStr">
        <is>
          <t>Yes</t>
        </is>
      </c>
      <c r="AE66" s="25">
        <f>IF(AD66="Yes",10,0)</f>
        <v/>
      </c>
      <c r="AF66" s="25" t="inlineStr">
        <is>
          <t>B2B</t>
        </is>
      </c>
      <c r="AG66" s="25">
        <f>IF(AF66="B2C",10,IF(AF66="B2B",5,0))</f>
        <v/>
      </c>
      <c r="AH66" s="25" t="inlineStr">
        <is>
          <t>Yes</t>
        </is>
      </c>
      <c r="AI66" s="25">
        <f>IF(AH66="Yes",10,0)</f>
        <v/>
      </c>
      <c r="AJ66" s="25" t="inlineStr">
        <is>
          <t>Higher One Time, Lower Annuity</t>
        </is>
      </c>
      <c r="AK66" s="25">
        <f>IF(AJ66="Fully Annuity",10,IF(AJ66="Higher Annuity, Lower One Time",5,IF(AJ66="Higher One Time, Lower Annuity",3,0)))</f>
        <v/>
      </c>
      <c r="AL66" s="25" t="inlineStr">
        <is>
          <t>Good</t>
        </is>
      </c>
      <c r="AM66" s="25">
        <f>IF(AL66="Good",10,0)</f>
        <v/>
      </c>
      <c r="AN66" s="25" t="inlineStr">
        <is>
          <t>Yes for more than 2 years</t>
        </is>
      </c>
      <c r="AO66" s="25">
        <f>IF(AN66="Yes for more than 2 years",10,IF(AN66="Yes only for next 1 to 2 years",5,0))</f>
        <v/>
      </c>
      <c r="AP66" s="25" t="inlineStr">
        <is>
          <t>20 to 40</t>
        </is>
      </c>
      <c r="AQ66" s="25">
        <f>IF(AP66="Above 40",20,IF(AP66="20 to 40",10,IF(AP66="0 to 20",-5,0)))</f>
        <v/>
      </c>
      <c r="AR66" s="25" t="inlineStr">
        <is>
          <t>Between 50 to 75</t>
        </is>
      </c>
      <c r="AS66" s="25">
        <f>IF(AR66="Between 50 to 75",10,IF(AR66="Above 75",0,0))</f>
        <v/>
      </c>
      <c r="AT66" s="25" t="inlineStr">
        <is>
          <t>Stage 2</t>
        </is>
      </c>
      <c r="AU66" s="25">
        <f>IF(AT66="Stage 2",20,IF(AT66="Stage 1",0,IF(AT66="Stage 3",5,IF(AT66="Stage 4",-5,0))))</f>
        <v/>
      </c>
      <c r="AV66" s="25" t="inlineStr">
        <is>
          <t>Positive Trend</t>
        </is>
      </c>
      <c r="AW66" s="25">
        <f>IF(AV66="Positive Trend",20,IF(AV66="Negative Trend",-10,0))</f>
        <v/>
      </c>
      <c r="AX66" s="25" t="inlineStr">
        <is>
          <t>Uptrend</t>
        </is>
      </c>
      <c r="AY66" s="25">
        <f>IF(AX66="Uptrend",10,IF(AX66="Sideways",5,0))</f>
        <v/>
      </c>
      <c r="AZ66" s="25" t="inlineStr">
        <is>
          <t>Uptrend</t>
        </is>
      </c>
      <c r="BA66" s="25">
        <f>IF(AZ66="Uptrend",10,IF(AZ66="Sideways",5,0))</f>
        <v/>
      </c>
      <c r="BB66" s="25" t="inlineStr">
        <is>
          <t>Close to 52 week high or retracement</t>
        </is>
      </c>
      <c r="BC66" s="25">
        <f>IF(BB66="Overhead supply in last 2 years in last 2 years",-5,IF(BB66="Close to 52 week high or retracement",5,IF(BB66="Blue sky scenario",10,IF(BB66="Long term Downtrend",-10,0))))</f>
        <v/>
      </c>
      <c r="BD66" s="25" t="inlineStr">
        <is>
          <t>Yes</t>
        </is>
      </c>
      <c r="BE66" s="25">
        <f>IF(BD66="Yes",10,0)</f>
        <v/>
      </c>
      <c r="BF66" s="25" t="inlineStr">
        <is>
          <t>More than 20%</t>
        </is>
      </c>
      <c r="BG66" s="25">
        <f>IF(BF66="More than 20%",10,IF(BF66="Between 12 to 20%",5,IF(BF66="Less than 12%",0,0)))</f>
        <v/>
      </c>
      <c r="BH66" s="25" t="inlineStr">
        <is>
          <t>No</t>
        </is>
      </c>
      <c r="BI66" s="25">
        <f>IF(BH66="No",10,0)</f>
        <v/>
      </c>
      <c r="BJ66" s="25" t="inlineStr">
        <is>
          <t>Yes</t>
        </is>
      </c>
      <c r="BK66" s="25">
        <f>IF(BJ66="NO",5,0)</f>
        <v/>
      </c>
      <c r="BL66" s="25" t="inlineStr">
        <is>
          <t>Less than 1.5</t>
        </is>
      </c>
      <c r="BM66" s="25">
        <f>IF(BL66="Above 2",0,IF(BL66="Between 1.5 to 2",5,IF(BL66="Less than 1.5",10,0)))</f>
        <v/>
      </c>
      <c r="BN66" s="25" t="inlineStr">
        <is>
          <t>Above 70%</t>
        </is>
      </c>
      <c r="BO66" s="25">
        <f>IF(BN66="Above 70%",10,IF(BN66="Between 50% to 70%",5,IF(BN66="Less than 50%",0,IF(BN66="Negative",-10,IF(BN66="Less than 50% and Borrowings are increasing",-5,0)))))</f>
        <v/>
      </c>
      <c r="BP66" s="25" t="inlineStr">
        <is>
          <t>Less than 0.7</t>
        </is>
      </c>
      <c r="BQ66" s="25">
        <f>IF(BP66="More than 1.2",-10,IF(BP66="Between 0.7 to 1.2",0,IF(BP66="Less than 0.7",10,0)))</f>
        <v/>
      </c>
      <c r="BR66" s="25" t="inlineStr">
        <is>
          <t>No</t>
        </is>
      </c>
      <c r="BS66" s="25">
        <f>IF(BR66="Yes",-10,0)</f>
        <v/>
      </c>
      <c r="BT66" s="25" t="inlineStr">
        <is>
          <t>Less than 15%</t>
        </is>
      </c>
      <c r="BU66" s="25">
        <f>IF(BT66="More than 15%",-10,IF(BT66="Less than 15%",10,0))</f>
        <v/>
      </c>
      <c r="BV66" s="25" t="inlineStr">
        <is>
          <t>No</t>
        </is>
      </c>
      <c r="BW66" s="25">
        <f>IF(BV66="Yes, more than 10%",-10,IF(BV66="No",10,0))</f>
        <v/>
      </c>
    </row>
    <row r="67">
      <c r="A67" s="25">
        <f>IF(B67=0,"",RANK(B67,$B$2:$B$292,0))</f>
        <v/>
      </c>
      <c r="B67" s="26">
        <f>SUM(Q67,S67,U67,W67,Y67,AA67,AC67,AE67,AG67,AI67,AK67,AM67,AO67,AQ67,AS67,AU67,AW67,AY67,BA67,BC67,BE67,BG67,BI67,BK67,BM67,BO67,BQ67,BS67,BU67,BW67)</f>
        <v/>
      </c>
      <c r="C67" s="25" t="inlineStr">
        <is>
          <t>CENTUM</t>
        </is>
      </c>
      <c r="D67" s="25" t="inlineStr">
        <is>
          <t>Centum Electronics Limited</t>
        </is>
      </c>
      <c r="E67" s="25" t="inlineStr">
        <is>
          <t>consumer discretionary</t>
        </is>
      </c>
      <c r="F67" s="25" t="inlineStr">
        <is>
          <t>electronics - components</t>
        </is>
      </c>
      <c r="G67" s="25" t="inlineStr">
        <is>
          <t>midcap</t>
        </is>
      </c>
      <c r="H67" s="26" t="n">
        <v>5176</v>
      </c>
      <c r="I67" s="26" t="n">
        <v>3600</v>
      </c>
      <c r="J67" s="26" t="n">
        <v>2.53</v>
      </c>
      <c r="K67" s="26" t="n">
        <v>57164</v>
      </c>
      <c r="L67" s="26" t="n">
        <v>68.94</v>
      </c>
      <c r="M67" s="26" t="n">
        <v>56.24</v>
      </c>
      <c r="N67" s="26" t="n">
        <v>2612.75</v>
      </c>
      <c r="O67" s="25" t="inlineStr">
        <is>
          <t>Near 52W High Breakout</t>
        </is>
      </c>
      <c r="P67" s="25" t="inlineStr">
        <is>
          <t>Growing Industry</t>
        </is>
      </c>
      <c r="Q67" s="25">
        <f>IF(P67="Growing Industry",10,IF(P67="Cyclical in an Upturn",5,0))</f>
        <v/>
      </c>
      <c r="R67" s="25" t="inlineStr">
        <is>
          <t>Too Many Players with High ROCE</t>
        </is>
      </c>
      <c r="S67" s="25">
        <f>IF(R67="Monopoly",10,IF(R67="Oligopoly",5,IF(R67="Duopoly that cooperate",10,IF(R67="Duopoly that compete",5,IF(R67="Too many players with High ROCE",5,0)))))</f>
        <v/>
      </c>
      <c r="T67" s="25" t="inlineStr">
        <is>
          <t>No</t>
        </is>
      </c>
      <c r="U67" s="25">
        <f>IF(T67="No",5,0)</f>
        <v/>
      </c>
      <c r="V67" s="25" t="inlineStr">
        <is>
          <t>Tailwind</t>
        </is>
      </c>
      <c r="W67" s="25">
        <f>IF(V67="Tailwind",10,0)</f>
        <v/>
      </c>
      <c r="X67" s="25" t="inlineStr">
        <is>
          <t>Structural (10 Years Consistency)</t>
        </is>
      </c>
      <c r="Y67" s="25">
        <f>IF(X67="Structural (10 Years Consistency)",10,IF(X67="Shallow Cyclical (2 to 3 years growth)",5,0))</f>
        <v/>
      </c>
      <c r="Z67" s="25" t="inlineStr">
        <is>
          <t>No</t>
        </is>
      </c>
      <c r="AA67" s="25">
        <f>IF(Z67="Yes due to Product Mix change or Operating Leverage",10,IF(Z67="Yes, these are peak margins",-5,IF(Z67="No",5,0)))</f>
        <v/>
      </c>
      <c r="AB67" s="25" t="inlineStr">
        <is>
          <t>Stable</t>
        </is>
      </c>
      <c r="AC67" s="25">
        <f>IF(AB67="Stable",10,0)</f>
        <v/>
      </c>
      <c r="AD67" s="25" t="inlineStr">
        <is>
          <t>Yes</t>
        </is>
      </c>
      <c r="AE67" s="25">
        <f>IF(AD67="Yes",10,0)</f>
        <v/>
      </c>
      <c r="AF67" s="25" t="inlineStr">
        <is>
          <t>B2B</t>
        </is>
      </c>
      <c r="AG67" s="25">
        <f>IF(AF67="B2C",10,IF(AF67="B2B",5,0))</f>
        <v/>
      </c>
      <c r="AH67" s="25" t="inlineStr">
        <is>
          <t>Yes</t>
        </is>
      </c>
      <c r="AI67" s="25">
        <f>IF(AH67="Yes",10,0)</f>
        <v/>
      </c>
      <c r="AJ67" s="25" t="inlineStr">
        <is>
          <t>Higher One Time, Lower Annuity</t>
        </is>
      </c>
      <c r="AK67" s="25">
        <f>IF(AJ67="Fully Annuity",10,IF(AJ67="Higher Annuity, Lower One Time",5,IF(AJ67="Higher One Time, Lower Annuity",3,0)))</f>
        <v/>
      </c>
      <c r="AL67" s="25" t="inlineStr">
        <is>
          <t>Good</t>
        </is>
      </c>
      <c r="AM67" s="25">
        <f>IF(AL67="Good",10,0)</f>
        <v/>
      </c>
      <c r="AN67" s="25" t="inlineStr">
        <is>
          <t>Yes for more than 2 years</t>
        </is>
      </c>
      <c r="AO67" s="25">
        <f>IF(AN67="Yes for more than 2 years",10,IF(AN67="Yes only for next 1 to 2 years",5,0))</f>
        <v/>
      </c>
      <c r="AP67" s="25" t="inlineStr">
        <is>
          <t>Above 40</t>
        </is>
      </c>
      <c r="AQ67" s="25">
        <f>IF(AP67="Above 40",20,IF(AP67="20 to 40",10,IF(AP67="0 to 20",-5,0)))</f>
        <v/>
      </c>
      <c r="AR67" s="25" t="inlineStr">
        <is>
          <t>Between 50 to 75</t>
        </is>
      </c>
      <c r="AS67" s="25">
        <f>IF(AR67="Between 50 to 75",10,IF(AR67="Above 75",0,0))</f>
        <v/>
      </c>
      <c r="AT67" s="25" t="inlineStr">
        <is>
          <t>Stage 2</t>
        </is>
      </c>
      <c r="AU67" s="25">
        <f>IF(AT67="Stage 2",20,IF(AT67="Stage 1",0,IF(AT67="Stage 3",5,IF(AT67="Stage 4",-5,0))))</f>
        <v/>
      </c>
      <c r="AV67" s="25" t="inlineStr">
        <is>
          <t>Positive Trend</t>
        </is>
      </c>
      <c r="AW67" s="25">
        <f>IF(AV67="Positive Trend",20,IF(AV67="Negative Trend",-10,0))</f>
        <v/>
      </c>
      <c r="AX67" s="25" t="inlineStr">
        <is>
          <t>Uptrend</t>
        </is>
      </c>
      <c r="AY67" s="25">
        <f>IF(AX67="Uptrend",10,IF(AX67="Sideways",5,0))</f>
        <v/>
      </c>
      <c r="AZ67" s="25" t="inlineStr">
        <is>
          <t>Uptrend</t>
        </is>
      </c>
      <c r="BA67" s="25">
        <f>IF(AZ67="Uptrend",10,IF(AZ67="Sideways",5,0))</f>
        <v/>
      </c>
      <c r="BB67" s="25" t="inlineStr">
        <is>
          <t>Blue sky scenario</t>
        </is>
      </c>
      <c r="BC67" s="25">
        <f>IF(BB67="Overhead supply in last 2 years in last 2 years",-5,IF(BB67="Close to 52 week high or retracement",5,IF(BB67="Blue sky scenario",10,IF(BB67="Long term Downtrend",-10,0))))</f>
        <v/>
      </c>
      <c r="BD67" s="25" t="inlineStr">
        <is>
          <t>Yes</t>
        </is>
      </c>
      <c r="BE67" s="25">
        <f>IF(BD67="Yes",10,0)</f>
        <v/>
      </c>
      <c r="BF67" s="25" t="inlineStr">
        <is>
          <t>Less than 12%</t>
        </is>
      </c>
      <c r="BG67" s="25">
        <f>IF(BF67="More than 20%",10,IF(BF67="Between 12 to 20%",5,IF(BF67="Less than 12%",0,0)))</f>
        <v/>
      </c>
      <c r="BH67" s="25" t="inlineStr">
        <is>
          <t>No</t>
        </is>
      </c>
      <c r="BI67" s="25">
        <f>IF(BH67="No",10,0)</f>
        <v/>
      </c>
      <c r="BJ67" s="25" t="inlineStr">
        <is>
          <t>Yes</t>
        </is>
      </c>
      <c r="BK67" s="25">
        <f>IF(BJ67="NO",5,0)</f>
        <v/>
      </c>
      <c r="BL67" s="25" t="inlineStr">
        <is>
          <t>Less than 1.5</t>
        </is>
      </c>
      <c r="BM67" s="25">
        <f>IF(BL67="Above 2",0,IF(BL67="Between 1.5 to 2",5,IF(BL67="Less than 1.5",10,0)))</f>
        <v/>
      </c>
      <c r="BN67" s="25" t="inlineStr">
        <is>
          <t>Less than 50%</t>
        </is>
      </c>
      <c r="BO67" s="25">
        <f>IF(BN67="Above 70%",10,IF(BN67="Between 50% to 70%",5,IF(BN67="Less than 50%",0,IF(BN67="Negative",-10,IF(BN67="Less than 50% and Borrowings are increasing",-5,0)))))</f>
        <v/>
      </c>
      <c r="BP67" s="25" t="inlineStr">
        <is>
          <t>Less than 0.7</t>
        </is>
      </c>
      <c r="BQ67" s="25">
        <f>IF(BP67="More than 1.2",-10,IF(BP67="Between 0.7 to 1.2",0,IF(BP67="Less than 0.7",10,0)))</f>
        <v/>
      </c>
      <c r="BR67" s="25" t="inlineStr">
        <is>
          <t>No</t>
        </is>
      </c>
      <c r="BS67" s="25">
        <f>IF(BR67="Yes",-10,0)</f>
        <v/>
      </c>
      <c r="BT67" s="25" t="inlineStr">
        <is>
          <t>Less than 15%</t>
        </is>
      </c>
      <c r="BU67" s="25">
        <f>IF(BT67="More than 15%",-10,IF(BT67="Less than 15%",10,0))</f>
        <v/>
      </c>
      <c r="BV67" s="25" t="inlineStr">
        <is>
          <t>No</t>
        </is>
      </c>
      <c r="BW67" s="25">
        <f>IF(BV67="Yes, more than 10%",-10,IF(BV67="No",10,0))</f>
        <v/>
      </c>
    </row>
    <row r="68">
      <c r="A68" s="25">
        <f>IF(B68=0,"",RANK(B68,$B$2:$B$292,0))</f>
        <v/>
      </c>
      <c r="B68" s="26">
        <f>SUM(Q68,S68,U68,W68,Y68,AA68,AC68,AE68,AG68,AI68,AK68,AM68,AO68,AQ68,AS68,AU68,AW68,AY68,BA68,BC68,BE68,BG68,BI68,BK68,BM68,BO68,BQ68,BS68,BU68,BW68)</f>
        <v/>
      </c>
      <c r="C68" s="25" t="inlineStr">
        <is>
          <t>MOTHERSON</t>
        </is>
      </c>
      <c r="D68" s="25" t="inlineStr">
        <is>
          <t>Samvardhana Motherson International Ltd</t>
        </is>
      </c>
      <c r="E68" s="25" t="inlineStr">
        <is>
          <t>auto</t>
        </is>
      </c>
      <c r="F68" s="25" t="inlineStr">
        <is>
          <t>auto ancillaries</t>
        </is>
      </c>
      <c r="G68" s="25" t="inlineStr">
        <is>
          <t>largecap</t>
        </is>
      </c>
      <c r="H68" s="26" t="n">
        <v>149630.33</v>
      </c>
      <c r="I68" s="26" t="n">
        <v>144.89</v>
      </c>
      <c r="J68" s="26" t="n">
        <v>2.2</v>
      </c>
      <c r="K68" s="26" t="n">
        <v>25070101</v>
      </c>
      <c r="L68" s="26" t="n">
        <v>67.3</v>
      </c>
      <c r="M68" s="26" t="n">
        <v>18.72</v>
      </c>
      <c r="N68" s="26" t="n">
        <v>115.6</v>
      </c>
      <c r="O68" s="25" t="inlineStr">
        <is>
          <t>Near 52W High Breakout</t>
        </is>
      </c>
      <c r="P68" s="25" t="inlineStr">
        <is>
          <t>Growing Industry</t>
        </is>
      </c>
      <c r="Q68" s="25">
        <f>IF(P68="Growing Industry",10,IF(P68="Cyclical in an Upturn",5,0))</f>
        <v/>
      </c>
      <c r="R68" s="25" t="inlineStr">
        <is>
          <t>Too Many Players with High ROCE</t>
        </is>
      </c>
      <c r="S68" s="25">
        <f>IF(R68="Monopoly",10,IF(R68="Oligopoly",5,IF(R68="Duopoly that cooperate",10,IF(R68="Duopoly that compete",5,IF(R68="Too many players with High ROCE",5,0)))))</f>
        <v/>
      </c>
      <c r="T68" s="25" t="inlineStr">
        <is>
          <t>No</t>
        </is>
      </c>
      <c r="U68" s="25">
        <f>IF(T68="No",5,0)</f>
        <v/>
      </c>
      <c r="V68" s="25" t="inlineStr">
        <is>
          <t>Tailwind</t>
        </is>
      </c>
      <c r="W68" s="25">
        <f>IF(V68="Tailwind",10,0)</f>
        <v/>
      </c>
      <c r="X68" s="25" t="inlineStr">
        <is>
          <t>Structural (10 Years Consistency)</t>
        </is>
      </c>
      <c r="Y68" s="25">
        <f>IF(X68="Structural (10 Years Consistency)",10,IF(X68="Shallow Cyclical (2 to 3 years growth)",5,0))</f>
        <v/>
      </c>
      <c r="Z68" s="25" t="inlineStr">
        <is>
          <t>No</t>
        </is>
      </c>
      <c r="AA68" s="25">
        <f>IF(Z68="Yes due to Product Mix change or Operating Leverage",10,IF(Z68="Yes, these are peak margins",-5,IF(Z68="No",5,0)))</f>
        <v/>
      </c>
      <c r="AB68" s="25" t="inlineStr">
        <is>
          <t>Stable</t>
        </is>
      </c>
      <c r="AC68" s="25">
        <f>IF(AB68="Stable",10,0)</f>
        <v/>
      </c>
      <c r="AD68" s="25" t="inlineStr">
        <is>
          <t>Yes</t>
        </is>
      </c>
      <c r="AE68" s="25">
        <f>IF(AD68="Yes",10,0)</f>
        <v/>
      </c>
      <c r="AF68" s="25" t="inlineStr">
        <is>
          <t>B2B</t>
        </is>
      </c>
      <c r="AG68" s="25">
        <f>IF(AF68="B2C",10,IF(AF68="B2B",5,0))</f>
        <v/>
      </c>
      <c r="AH68" s="25" t="inlineStr">
        <is>
          <t>Yes</t>
        </is>
      </c>
      <c r="AI68" s="25">
        <f>IF(AH68="Yes",10,0)</f>
        <v/>
      </c>
      <c r="AJ68" s="25" t="inlineStr">
        <is>
          <t>Higher One Time, Lower Annuity</t>
        </is>
      </c>
      <c r="AK68" s="25">
        <f>IF(AJ68="Fully Annuity",10,IF(AJ68="Higher Annuity, Lower One Time",5,IF(AJ68="Higher One Time, Lower Annuity",3,0)))</f>
        <v/>
      </c>
      <c r="AL68" s="25" t="inlineStr">
        <is>
          <t>Good</t>
        </is>
      </c>
      <c r="AM68" s="25">
        <f>IF(AL68="Good",10,0)</f>
        <v/>
      </c>
      <c r="AN68" s="25" t="inlineStr">
        <is>
          <t>Yes for more than 2 years</t>
        </is>
      </c>
      <c r="AO68" s="25">
        <f>IF(AN68="Yes for more than 2 years",10,IF(AN68="Yes only for next 1 to 2 years",5,0))</f>
        <v/>
      </c>
      <c r="AP68" s="25" t="inlineStr">
        <is>
          <t>0 to 20</t>
        </is>
      </c>
      <c r="AQ68" s="25">
        <f>IF(AP68="Above 40",20,IF(AP68="20 to 40",10,IF(AP68="0 to 20",-5,0)))</f>
        <v/>
      </c>
      <c r="AR68" s="25" t="inlineStr">
        <is>
          <t>Between 50 to 75</t>
        </is>
      </c>
      <c r="AS68" s="25">
        <f>IF(AR68="Between 50 to 75",10,IF(AR68="Above 75",0,0))</f>
        <v/>
      </c>
      <c r="AT68" s="25" t="inlineStr">
        <is>
          <t>Stage 2</t>
        </is>
      </c>
      <c r="AU68" s="25">
        <f>IF(AT68="Stage 2",20,IF(AT68="Stage 1",0,IF(AT68="Stage 3",5,IF(AT68="Stage 4",-5,0))))</f>
        <v/>
      </c>
      <c r="AV68" s="25" t="inlineStr">
        <is>
          <t>Positive Trend</t>
        </is>
      </c>
      <c r="AW68" s="25">
        <f>IF(AV68="Positive Trend",20,IF(AV68="Negative Trend",-10,0))</f>
        <v/>
      </c>
      <c r="AX68" s="25" t="inlineStr">
        <is>
          <t>Uptrend</t>
        </is>
      </c>
      <c r="AY68" s="25">
        <f>IF(AX68="Uptrend",10,IF(AX68="Sideways",5,0))</f>
        <v/>
      </c>
      <c r="AZ68" s="25" t="inlineStr">
        <is>
          <t>Uptrend</t>
        </is>
      </c>
      <c r="BA68" s="25">
        <f>IF(AZ68="Uptrend",10,IF(AZ68="Sideways",5,0))</f>
        <v/>
      </c>
      <c r="BB68" s="25" t="inlineStr">
        <is>
          <t>Blue sky scenario</t>
        </is>
      </c>
      <c r="BC68" s="25">
        <f>IF(BB68="Overhead supply in last 2 years in last 2 years",-5,IF(BB68="Close to 52 week high or retracement",5,IF(BB68="Blue sky scenario",10,IF(BB68="Long term Downtrend",-10,0))))</f>
        <v/>
      </c>
      <c r="BD68" s="25" t="inlineStr">
        <is>
          <t>Yes</t>
        </is>
      </c>
      <c r="BE68" s="25">
        <f>IF(BD68="Yes",10,0)</f>
        <v/>
      </c>
      <c r="BF68" s="25" t="inlineStr">
        <is>
          <t>More than 20%</t>
        </is>
      </c>
      <c r="BG68" s="25">
        <f>IF(BF68="More than 20%",10,IF(BF68="Between 12 to 20%",5,IF(BF68="Less than 12%",0,0)))</f>
        <v/>
      </c>
      <c r="BH68" s="25" t="inlineStr">
        <is>
          <t>No</t>
        </is>
      </c>
      <c r="BI68" s="25">
        <f>IF(BH68="No",10,0)</f>
        <v/>
      </c>
      <c r="BJ68" s="25" t="inlineStr">
        <is>
          <t>No</t>
        </is>
      </c>
      <c r="BK68" s="25">
        <f>IF(BJ68="NO",5,0)</f>
        <v/>
      </c>
      <c r="BL68" s="25" t="inlineStr">
        <is>
          <t>Less than 1.5</t>
        </is>
      </c>
      <c r="BM68" s="25">
        <f>IF(BL68="Above 2",0,IF(BL68="Between 1.5 to 2",5,IF(BL68="Less than 1.5",10,0)))</f>
        <v/>
      </c>
      <c r="BN68" s="25" t="inlineStr">
        <is>
          <t>Above 70%</t>
        </is>
      </c>
      <c r="BO68" s="25">
        <f>IF(BN68="Above 70%",10,IF(BN68="Between 50% to 70%",5,IF(BN68="Less than 50%",0,IF(BN68="Negative",-10,IF(BN68="Less than 50% and Borrowings are increasing",-5,0)))))</f>
        <v/>
      </c>
      <c r="BP68" s="25" t="inlineStr">
        <is>
          <t>Less than 0.7</t>
        </is>
      </c>
      <c r="BQ68" s="25">
        <f>IF(BP68="More than 1.2",-10,IF(BP68="Between 0.7 to 1.2",0,IF(BP68="Less than 0.7",10,0)))</f>
        <v/>
      </c>
      <c r="BR68" s="25" t="inlineStr">
        <is>
          <t>No</t>
        </is>
      </c>
      <c r="BS68" s="25">
        <f>IF(BR68="Yes",-10,0)</f>
        <v/>
      </c>
      <c r="BT68" s="25" t="inlineStr">
        <is>
          <t>Less than 15%</t>
        </is>
      </c>
      <c r="BU68" s="25">
        <f>IF(BT68="More than 15%",-10,IF(BT68="Less than 15%",10,0))</f>
        <v/>
      </c>
      <c r="BV68" s="25" t="inlineStr">
        <is>
          <t>No</t>
        </is>
      </c>
      <c r="BW68" s="25">
        <f>IF(BV68="Yes, more than 10%",-10,IF(BV68="No",10,0))</f>
        <v/>
      </c>
    </row>
    <row r="69">
      <c r="A69" s="25">
        <f>IF(B69=0,"",RANK(B69,$B$2:$B$292,0))</f>
        <v/>
      </c>
      <c r="B69" s="26">
        <f>SUM(Q69,S69,U69,W69,Y69,AA69,AC69,AE69,AG69,AI69,AK69,AM69,AO69,AQ69,AS69,AU69,AW69,AY69,BA69,BC69,BE69,BG69,BI69,BK69,BM69,BO69,BQ69,BS69,BU69,BW69)</f>
        <v/>
      </c>
      <c r="C69" s="25" t="inlineStr">
        <is>
          <t>MAYURUNIQ</t>
        </is>
      </c>
      <c r="D69" s="25" t="inlineStr">
        <is>
          <t>Mayur Uniquoters Ltd</t>
        </is>
      </c>
      <c r="E69" s="25" t="inlineStr">
        <is>
          <t>consumer discretionary</t>
        </is>
      </c>
      <c r="F69" s="25" t="inlineStr">
        <is>
          <t>leather / leather products</t>
        </is>
      </c>
      <c r="G69" s="25" t="inlineStr">
        <is>
          <t>smallcap</t>
        </is>
      </c>
      <c r="H69" s="26" t="n">
        <v>3192.68</v>
      </c>
      <c r="I69" s="26" t="n">
        <v>745.25</v>
      </c>
      <c r="J69" s="26" t="n">
        <v>1.43</v>
      </c>
      <c r="K69" s="26" t="n">
        <v>200689</v>
      </c>
      <c r="L69" s="26" t="n">
        <v>76</v>
      </c>
      <c r="M69" s="26" t="n">
        <v>31.28</v>
      </c>
      <c r="N69" s="26" t="n">
        <v>591.3</v>
      </c>
      <c r="O69" s="25" t="inlineStr">
        <is>
          <t>Near 52W High Breakout</t>
        </is>
      </c>
      <c r="P69" s="25" t="inlineStr">
        <is>
          <t>Growing Industry</t>
        </is>
      </c>
      <c r="Q69" s="25">
        <f>IF(P69="Growing Industry",10,IF(P69="Cyclical in an Upturn",5,0))</f>
        <v/>
      </c>
      <c r="R69" s="25" t="inlineStr">
        <is>
          <t>Too Many Players with High ROCE</t>
        </is>
      </c>
      <c r="S69" s="25">
        <f>IF(R69="Monopoly",10,IF(R69="Oligopoly",5,IF(R69="Duopoly that cooperate",10,IF(R69="Duopoly that compete",5,IF(R69="Too many players with High ROCE",5,0)))))</f>
        <v/>
      </c>
      <c r="T69" s="25" t="inlineStr">
        <is>
          <t>No</t>
        </is>
      </c>
      <c r="U69" s="25">
        <f>IF(T69="No",5,0)</f>
        <v/>
      </c>
      <c r="V69" s="25" t="inlineStr">
        <is>
          <t>Tailwind</t>
        </is>
      </c>
      <c r="W69" s="25">
        <f>IF(V69="Tailwind",10,0)</f>
        <v/>
      </c>
      <c r="X69" s="25" t="inlineStr">
        <is>
          <t>Structural (10 Years Consistency)</t>
        </is>
      </c>
      <c r="Y69" s="25">
        <f>IF(X69="Structural (10 Years Consistency)",10,IF(X69="Shallow Cyclical (2 to 3 years growth)",5,0))</f>
        <v/>
      </c>
      <c r="Z69" s="25" t="inlineStr">
        <is>
          <t>No</t>
        </is>
      </c>
      <c r="AA69" s="25">
        <f>IF(Z69="Yes due to Product Mix change or Operating Leverage",10,IF(Z69="Yes, these are peak margins",-5,IF(Z69="No",5,0)))</f>
        <v/>
      </c>
      <c r="AB69" s="25" t="inlineStr">
        <is>
          <t>Stable</t>
        </is>
      </c>
      <c r="AC69" s="25">
        <f>IF(AB69="Stable",10,0)</f>
        <v/>
      </c>
      <c r="AD69" s="25" t="inlineStr">
        <is>
          <t>Yes</t>
        </is>
      </c>
      <c r="AE69" s="25">
        <f>IF(AD69="Yes",10,0)</f>
        <v/>
      </c>
      <c r="AF69" s="25" t="inlineStr">
        <is>
          <t>B2B</t>
        </is>
      </c>
      <c r="AG69" s="25">
        <f>IF(AF69="B2C",10,IF(AF69="B2B",5,0))</f>
        <v/>
      </c>
      <c r="AH69" s="25" t="inlineStr">
        <is>
          <t>Yes</t>
        </is>
      </c>
      <c r="AI69" s="25">
        <f>IF(AH69="Yes",10,0)</f>
        <v/>
      </c>
      <c r="AJ69" s="25" t="inlineStr">
        <is>
          <t>Higher One Time, Lower Annuity</t>
        </is>
      </c>
      <c r="AK69" s="25">
        <f>IF(AJ69="Fully Annuity",10,IF(AJ69="Higher Annuity, Lower One Time",5,IF(AJ69="Higher One Time, Lower Annuity",3,0)))</f>
        <v/>
      </c>
      <c r="AL69" s="25" t="inlineStr">
        <is>
          <t>Good</t>
        </is>
      </c>
      <c r="AM69" s="25">
        <f>IF(AL69="Good",10,0)</f>
        <v/>
      </c>
      <c r="AN69" s="25" t="inlineStr">
        <is>
          <t>Yes for more than 2 years</t>
        </is>
      </c>
      <c r="AO69" s="25">
        <f>IF(AN69="Yes for more than 2 years",10,IF(AN69="Yes only for next 1 to 2 years",5,0))</f>
        <v/>
      </c>
      <c r="AP69" s="25" t="inlineStr">
        <is>
          <t>20 to 40</t>
        </is>
      </c>
      <c r="AQ69" s="25">
        <f>IF(AP69="Above 40",20,IF(AP69="20 to 40",10,IF(AP69="0 to 20",-5,0)))</f>
        <v/>
      </c>
      <c r="AR69" s="25" t="inlineStr">
        <is>
          <t>Above 75</t>
        </is>
      </c>
      <c r="AS69" s="25">
        <f>IF(AR69="Between 50 to 75",10,IF(AR69="Above 75",0,0))</f>
        <v/>
      </c>
      <c r="AT69" s="25" t="inlineStr">
        <is>
          <t>Stage 2</t>
        </is>
      </c>
      <c r="AU69" s="25">
        <f>IF(AT69="Stage 2",20,IF(AT69="Stage 1",0,IF(AT69="Stage 3",5,IF(AT69="Stage 4",-5,0))))</f>
        <v/>
      </c>
      <c r="AV69" s="25" t="inlineStr">
        <is>
          <t>Positive Trend</t>
        </is>
      </c>
      <c r="AW69" s="25">
        <f>IF(AV69="Positive Trend",20,IF(AV69="Negative Trend",-10,0))</f>
        <v/>
      </c>
      <c r="AX69" s="25" t="inlineStr">
        <is>
          <t>Uptrend</t>
        </is>
      </c>
      <c r="AY69" s="25">
        <f>IF(AX69="Uptrend",10,IF(AX69="Sideways",5,0))</f>
        <v/>
      </c>
      <c r="AZ69" s="25" t="inlineStr">
        <is>
          <t>Uptrend</t>
        </is>
      </c>
      <c r="BA69" s="25">
        <f>IF(AZ69="Uptrend",10,IF(AZ69="Sideways",5,0))</f>
        <v/>
      </c>
      <c r="BB69" s="25" t="inlineStr">
        <is>
          <t>Blue sky scenario</t>
        </is>
      </c>
      <c r="BC69" s="25">
        <f>IF(BB69="Overhead supply in last 2 years in last 2 years",-5,IF(BB69="Close to 52 week high or retracement",5,IF(BB69="Blue sky scenario",10,IF(BB69="Long term Downtrend",-10,0))))</f>
        <v/>
      </c>
      <c r="BD69" s="25" t="inlineStr">
        <is>
          <t>Yes</t>
        </is>
      </c>
      <c r="BE69" s="25">
        <f>IF(BD69="Yes",10,0)</f>
        <v/>
      </c>
      <c r="BF69" s="25" t="inlineStr">
        <is>
          <t>More than 20%</t>
        </is>
      </c>
      <c r="BG69" s="25">
        <f>IF(BF69="More than 20%",10,IF(BF69="Between 12 to 20%",5,IF(BF69="Less than 12%",0,0)))</f>
        <v/>
      </c>
      <c r="BH69" s="25" t="inlineStr">
        <is>
          <t>No</t>
        </is>
      </c>
      <c r="BI69" s="25">
        <f>IF(BH69="No",10,0)</f>
        <v/>
      </c>
      <c r="BJ69" s="25" t="inlineStr">
        <is>
          <t>No</t>
        </is>
      </c>
      <c r="BK69" s="25">
        <f>IF(BJ69="NO",5,0)</f>
        <v/>
      </c>
      <c r="BL69" s="25" t="inlineStr">
        <is>
          <t>Less than 1.5</t>
        </is>
      </c>
      <c r="BM69" s="25">
        <f>IF(BL69="Above 2",0,IF(BL69="Between 1.5 to 2",5,IF(BL69="Less than 1.5",10,0)))</f>
        <v/>
      </c>
      <c r="BN69" s="25" t="inlineStr">
        <is>
          <t>Between 50% to 70%</t>
        </is>
      </c>
      <c r="BO69" s="25">
        <f>IF(BN69="Above 70%",10,IF(BN69="Between 50% to 70%",5,IF(BN69="Less than 50%",0,IF(BN69="Negative",-10,IF(BN69="Less than 50% and Borrowings are increasing",-5,0)))))</f>
        <v/>
      </c>
      <c r="BP69" s="25" t="inlineStr">
        <is>
          <t>Less than 0.7</t>
        </is>
      </c>
      <c r="BQ69" s="25">
        <f>IF(BP69="More than 1.2",-10,IF(BP69="Between 0.7 to 1.2",0,IF(BP69="Less than 0.7",10,0)))</f>
        <v/>
      </c>
      <c r="BR69" s="25" t="inlineStr">
        <is>
          <t>No</t>
        </is>
      </c>
      <c r="BS69" s="25">
        <f>IF(BR69="Yes",-10,0)</f>
        <v/>
      </c>
      <c r="BT69" s="25" t="inlineStr">
        <is>
          <t>Less than 15%</t>
        </is>
      </c>
      <c r="BU69" s="25">
        <f>IF(BT69="More than 15%",-10,IF(BT69="Less than 15%",10,0))</f>
        <v/>
      </c>
      <c r="BV69" s="25" t="inlineStr">
        <is>
          <t>No</t>
        </is>
      </c>
      <c r="BW69" s="25">
        <f>IF(BV69="Yes, more than 10%",-10,IF(BV69="No",10,0))</f>
        <v/>
      </c>
    </row>
    <row r="70">
      <c r="A70" s="25">
        <f>IF(B70=0,"",RANK(B70,$B$2:$B$292,0))</f>
        <v/>
      </c>
      <c r="B70" s="26">
        <f>SUM(Q70,S70,U70,W70,Y70,AA70,AC70,AE70,AG70,AI70,AK70,AM70,AO70,AQ70,AS70,AU70,AW70,AY70,BA70,BC70,BE70,BG70,BI70,BK70,BM70,BO70,BQ70,BS70,BU70,BW70)</f>
        <v/>
      </c>
      <c r="C70" s="25" t="inlineStr">
        <is>
          <t>GRWRHITECH</t>
        </is>
      </c>
      <c r="D70" s="25" t="inlineStr">
        <is>
          <t>Garware Hi Tech Films Ltd</t>
        </is>
      </c>
      <c r="E70" s="25" t="inlineStr">
        <is>
          <t>industrials</t>
        </is>
      </c>
      <c r="F70" s="25" t="inlineStr">
        <is>
          <t>packaging</t>
        </is>
      </c>
      <c r="G70" s="25" t="inlineStr">
        <is>
          <t>midcap</t>
        </is>
      </c>
      <c r="H70" s="26" t="n">
        <v>13506.15</v>
      </c>
      <c r="I70" s="26" t="n">
        <v>5894.5</v>
      </c>
      <c r="J70" s="26" t="n">
        <v>1.39</v>
      </c>
      <c r="K70" s="26" t="n">
        <v>116546</v>
      </c>
      <c r="L70" s="26" t="n">
        <v>72.22</v>
      </c>
      <c r="M70" s="26" t="n">
        <v>25</v>
      </c>
      <c r="N70" s="26" t="n">
        <v>4516.53</v>
      </c>
      <c r="O70" s="25" t="inlineStr">
        <is>
          <t>Near 52W High Breakout</t>
        </is>
      </c>
      <c r="P70" s="25" t="inlineStr">
        <is>
          <t>Cyclical in an Upturn</t>
        </is>
      </c>
      <c r="Q70" s="25">
        <f>IF(P70="Growing Industry",10,IF(P70="Cyclical in an Upturn",5,0))</f>
        <v/>
      </c>
      <c r="R70" s="25" t="inlineStr">
        <is>
          <t>Too Many Players with High ROCE</t>
        </is>
      </c>
      <c r="S70" s="25">
        <f>IF(R70="Monopoly",10,IF(R70="Oligopoly",5,IF(R70="Duopoly that cooperate",10,IF(R70="Duopoly that compete",5,IF(R70="Too many players with High ROCE",5,0)))))</f>
        <v/>
      </c>
      <c r="T70" s="25" t="inlineStr">
        <is>
          <t>No</t>
        </is>
      </c>
      <c r="U70" s="25">
        <f>IF(T70="No",5,0)</f>
        <v/>
      </c>
      <c r="V70" s="25" t="inlineStr">
        <is>
          <t>Tailwind</t>
        </is>
      </c>
      <c r="W70" s="25">
        <f>IF(V70="Tailwind",10,0)</f>
        <v/>
      </c>
      <c r="X70" s="25" t="inlineStr">
        <is>
          <t>Structural (10 Years Consistency)</t>
        </is>
      </c>
      <c r="Y70" s="25">
        <f>IF(X70="Structural (10 Years Consistency)",10,IF(X70="Shallow Cyclical (2 to 3 years growth)",5,0))</f>
        <v/>
      </c>
      <c r="Z70" s="25" t="inlineStr">
        <is>
          <t>No</t>
        </is>
      </c>
      <c r="AA70" s="25">
        <f>IF(Z70="Yes due to Product Mix change or Operating Leverage",10,IF(Z70="Yes, these are peak margins",-5,IF(Z70="No",5,0)))</f>
        <v/>
      </c>
      <c r="AB70" s="25" t="inlineStr">
        <is>
          <t>Stable</t>
        </is>
      </c>
      <c r="AC70" s="25">
        <f>IF(AB70="Stable",10,0)</f>
        <v/>
      </c>
      <c r="AD70" s="25" t="inlineStr">
        <is>
          <t>Yes</t>
        </is>
      </c>
      <c r="AE70" s="25">
        <f>IF(AD70="Yes",10,0)</f>
        <v/>
      </c>
      <c r="AF70" s="25" t="inlineStr">
        <is>
          <t>B2B</t>
        </is>
      </c>
      <c r="AG70" s="25">
        <f>IF(AF70="B2C",10,IF(AF70="B2B",5,0))</f>
        <v/>
      </c>
      <c r="AH70" s="25" t="inlineStr">
        <is>
          <t>Yes</t>
        </is>
      </c>
      <c r="AI70" s="25">
        <f>IF(AH70="Yes",10,0)</f>
        <v/>
      </c>
      <c r="AJ70" s="25" t="inlineStr">
        <is>
          <t>Higher One Time, Lower Annuity</t>
        </is>
      </c>
      <c r="AK70" s="25">
        <f>IF(AJ70="Fully Annuity",10,IF(AJ70="Higher Annuity, Lower One Time",5,IF(AJ70="Higher One Time, Lower Annuity",3,0)))</f>
        <v/>
      </c>
      <c r="AL70" s="25" t="inlineStr">
        <is>
          <t>Good</t>
        </is>
      </c>
      <c r="AM70" s="25">
        <f>IF(AL70="Good",10,0)</f>
        <v/>
      </c>
      <c r="AN70" s="25" t="inlineStr">
        <is>
          <t>Yes for more than 2 years</t>
        </is>
      </c>
      <c r="AO70" s="25">
        <f>IF(AN70="Yes for more than 2 years",10,IF(AN70="Yes only for next 1 to 2 years",5,0))</f>
        <v/>
      </c>
      <c r="AP70" s="25" t="inlineStr">
        <is>
          <t>20 to 40</t>
        </is>
      </c>
      <c r="AQ70" s="25">
        <f>IF(AP70="Above 40",20,IF(AP70="20 to 40",10,IF(AP70="0 to 20",-5,0)))</f>
        <v/>
      </c>
      <c r="AR70" s="25" t="inlineStr">
        <is>
          <t>Between 50 to 75</t>
        </is>
      </c>
      <c r="AS70" s="25">
        <f>IF(AR70="Between 50 to 75",10,IF(AR70="Above 75",0,0))</f>
        <v/>
      </c>
      <c r="AT70" s="25" t="inlineStr">
        <is>
          <t>Stage 2</t>
        </is>
      </c>
      <c r="AU70" s="25">
        <f>IF(AT70="Stage 2",20,IF(AT70="Stage 1",0,IF(AT70="Stage 3",5,IF(AT70="Stage 4",-5,0))))</f>
        <v/>
      </c>
      <c r="AV70" s="25" t="inlineStr">
        <is>
          <t>Positive Trend</t>
        </is>
      </c>
      <c r="AW70" s="25">
        <f>IF(AV70="Positive Trend",20,IF(AV70="Negative Trend",-10,0))</f>
        <v/>
      </c>
      <c r="AX70" s="25" t="inlineStr">
        <is>
          <t>Uptrend</t>
        </is>
      </c>
      <c r="AY70" s="25">
        <f>IF(AX70="Uptrend",10,IF(AX70="Sideways",5,0))</f>
        <v/>
      </c>
      <c r="AZ70" s="25" t="inlineStr">
        <is>
          <t>Uptrend</t>
        </is>
      </c>
      <c r="BA70" s="25">
        <f>IF(AZ70="Uptrend",10,IF(AZ70="Sideways",5,0))</f>
        <v/>
      </c>
      <c r="BB70" s="25" t="inlineStr">
        <is>
          <t>Blue sky scenario</t>
        </is>
      </c>
      <c r="BC70" s="25">
        <f>IF(BB70="Overhead supply in last 2 years in last 2 years",-5,IF(BB70="Close to 52 week high or retracement",5,IF(BB70="Blue sky scenario",10,IF(BB70="Long term Downtrend",-10,0))))</f>
        <v/>
      </c>
      <c r="BD70" s="25" t="inlineStr">
        <is>
          <t>Yes</t>
        </is>
      </c>
      <c r="BE70" s="25">
        <f>IF(BD70="Yes",10,0)</f>
        <v/>
      </c>
      <c r="BF70" s="25" t="inlineStr">
        <is>
          <t>More than 20%</t>
        </is>
      </c>
      <c r="BG70" s="25">
        <f>IF(BF70="More than 20%",10,IF(BF70="Between 12 to 20%",5,IF(BF70="Less than 12%",0,0)))</f>
        <v/>
      </c>
      <c r="BH70" s="25" t="inlineStr">
        <is>
          <t>No</t>
        </is>
      </c>
      <c r="BI70" s="25">
        <f>IF(BH70="No",10,0)</f>
        <v/>
      </c>
      <c r="BJ70" s="25" t="inlineStr">
        <is>
          <t>Yes</t>
        </is>
      </c>
      <c r="BK70" s="25">
        <f>IF(BJ70="NO",5,0)</f>
        <v/>
      </c>
      <c r="BL70" s="25" t="inlineStr">
        <is>
          <t>Less than 1.5</t>
        </is>
      </c>
      <c r="BM70" s="25">
        <f>IF(BL70="Above 2",0,IF(BL70="Between 1.5 to 2",5,IF(BL70="Less than 1.5",10,0)))</f>
        <v/>
      </c>
      <c r="BN70" s="25" t="inlineStr">
        <is>
          <t>Between 50% to 70%</t>
        </is>
      </c>
      <c r="BO70" s="25">
        <f>IF(BN70="Above 70%",10,IF(BN70="Between 50% to 70%",5,IF(BN70="Less than 50%",0,IF(BN70="Negative",-10,IF(BN70="Less than 50% and Borrowings are increasing",-5,0)))))</f>
        <v/>
      </c>
      <c r="BP70" s="25" t="inlineStr">
        <is>
          <t>Less than 0.7</t>
        </is>
      </c>
      <c r="BQ70" s="25">
        <f>IF(BP70="More than 1.2",-10,IF(BP70="Between 0.7 to 1.2",0,IF(BP70="Less than 0.7",10,0)))</f>
        <v/>
      </c>
      <c r="BR70" s="25" t="inlineStr">
        <is>
          <t>No</t>
        </is>
      </c>
      <c r="BS70" s="25">
        <f>IF(BR70="Yes",-10,0)</f>
        <v/>
      </c>
      <c r="BT70" s="25" t="inlineStr">
        <is>
          <t>Less than 15%</t>
        </is>
      </c>
      <c r="BU70" s="25">
        <f>IF(BT70="More than 15%",-10,IF(BT70="Less than 15%",10,0))</f>
        <v/>
      </c>
      <c r="BV70" s="25" t="inlineStr">
        <is>
          <t>No</t>
        </is>
      </c>
      <c r="BW70" s="25">
        <f>IF(BV70="Yes, more than 10%",-10,IF(BV70="No",10,0))</f>
        <v/>
      </c>
    </row>
    <row r="71">
      <c r="A71" s="25">
        <f>IF(B71=0,"",RANK(B71,$B$2:$B$292,0))</f>
        <v/>
      </c>
      <c r="B71" s="26">
        <f>SUM(Q71,S71,U71,W71,Y71,AA71,AC71,AE71,AG71,AI71,AK71,AM71,AO71,AQ71,AS71,AU71,AW71,AY71,BA71,BC71,BE71,BG71,BI71,BK71,BM71,BO71,BQ71,BS71,BU71,BW71)</f>
        <v/>
      </c>
      <c r="C71" s="25" t="inlineStr">
        <is>
          <t>SOLARINDS</t>
        </is>
      </c>
      <c r="D71" s="25" t="inlineStr">
        <is>
          <t>Solar Industries India Limited</t>
        </is>
      </c>
      <c r="E71" s="25" t="inlineStr">
        <is>
          <t>aerospace &amp; defence</t>
        </is>
      </c>
      <c r="F71" s="25" t="inlineStr">
        <is>
          <t>chemicals</t>
        </is>
      </c>
      <c r="G71" s="25" t="inlineStr">
        <is>
          <t>largecap</t>
        </is>
      </c>
      <c r="H71" s="26" t="n">
        <v>164719.05</v>
      </c>
      <c r="I71" s="26" t="n">
        <v>18386</v>
      </c>
      <c r="J71" s="26" t="n">
        <v>1.01</v>
      </c>
      <c r="K71" s="26" t="n">
        <v>184106</v>
      </c>
      <c r="L71" s="26" t="n">
        <v>73.66</v>
      </c>
      <c r="M71" s="26" t="n">
        <v>30.89</v>
      </c>
      <c r="N71" s="26" t="n">
        <v>15131.65</v>
      </c>
      <c r="O71" s="25" t="inlineStr">
        <is>
          <t>Near 52W High Breakout</t>
        </is>
      </c>
      <c r="P71" s="25" t="inlineStr">
        <is>
          <t>Growing Industry</t>
        </is>
      </c>
      <c r="Q71" s="25">
        <f>IF(P71="Growing Industry",10,IF(P71="Cyclical in an Upturn",5,0))</f>
        <v/>
      </c>
      <c r="R71" s="25" t="inlineStr">
        <is>
          <t>Too Many Players with High ROCE</t>
        </is>
      </c>
      <c r="S71" s="25">
        <f>IF(R71="Monopoly",10,IF(R71="Oligopoly",5,IF(R71="Duopoly that cooperate",10,IF(R71="Duopoly that compete",5,IF(R71="Too many players with High ROCE",5,0)))))</f>
        <v/>
      </c>
      <c r="T71" s="25" t="inlineStr">
        <is>
          <t>No</t>
        </is>
      </c>
      <c r="U71" s="25">
        <f>IF(T71="No",5,0)</f>
        <v/>
      </c>
      <c r="V71" s="25" t="inlineStr">
        <is>
          <t>Tailwind</t>
        </is>
      </c>
      <c r="W71" s="25">
        <f>IF(V71="Tailwind",10,0)</f>
        <v/>
      </c>
      <c r="X71" s="25" t="inlineStr">
        <is>
          <t>Structural (10 Years Consistency)</t>
        </is>
      </c>
      <c r="Y71" s="25">
        <f>IF(X71="Structural (10 Years Consistency)",10,IF(X71="Shallow Cyclical (2 to 3 years growth)",5,0))</f>
        <v/>
      </c>
      <c r="Z71" s="25" t="inlineStr">
        <is>
          <t>No</t>
        </is>
      </c>
      <c r="AA71" s="25">
        <f>IF(Z71="Yes due to Product Mix change or Operating Leverage",10,IF(Z71="Yes, these are peak margins",-5,IF(Z71="No",5,0)))</f>
        <v/>
      </c>
      <c r="AB71" s="25" t="inlineStr">
        <is>
          <t>Stable</t>
        </is>
      </c>
      <c r="AC71" s="25">
        <f>IF(AB71="Stable",10,0)</f>
        <v/>
      </c>
      <c r="AD71" s="25" t="inlineStr">
        <is>
          <t>Yes</t>
        </is>
      </c>
      <c r="AE71" s="25">
        <f>IF(AD71="Yes",10,0)</f>
        <v/>
      </c>
      <c r="AF71" s="25" t="inlineStr">
        <is>
          <t>B2B</t>
        </is>
      </c>
      <c r="AG71" s="25">
        <f>IF(AF71="B2C",10,IF(AF71="B2B",5,0))</f>
        <v/>
      </c>
      <c r="AH71" s="25" t="inlineStr">
        <is>
          <t>Yes</t>
        </is>
      </c>
      <c r="AI71" s="25">
        <f>IF(AH71="Yes",10,0)</f>
        <v/>
      </c>
      <c r="AJ71" s="25" t="inlineStr">
        <is>
          <t>Higher One Time, Lower Annuity</t>
        </is>
      </c>
      <c r="AK71" s="25">
        <f>IF(AJ71="Fully Annuity",10,IF(AJ71="Higher Annuity, Lower One Time",5,IF(AJ71="Higher One Time, Lower Annuity",3,0)))</f>
        <v/>
      </c>
      <c r="AL71" s="25" t="inlineStr">
        <is>
          <t>Good</t>
        </is>
      </c>
      <c r="AM71" s="25">
        <f>IF(AL71="Good",10,0)</f>
        <v/>
      </c>
      <c r="AN71" s="25" t="inlineStr">
        <is>
          <t>Yes for more than 2 years</t>
        </is>
      </c>
      <c r="AO71" s="25">
        <f>IF(AN71="Yes for more than 2 years",10,IF(AN71="Yes only for next 1 to 2 years",5,0))</f>
        <v/>
      </c>
      <c r="AP71" s="25" t="inlineStr">
        <is>
          <t>20 to 40</t>
        </is>
      </c>
      <c r="AQ71" s="25">
        <f>IF(AP71="Above 40",20,IF(AP71="20 to 40",10,IF(AP71="0 to 20",-5,0)))</f>
        <v/>
      </c>
      <c r="AR71" s="25" t="inlineStr">
        <is>
          <t>Between 50 to 75</t>
        </is>
      </c>
      <c r="AS71" s="25">
        <f>IF(AR71="Between 50 to 75",10,IF(AR71="Above 75",0,0))</f>
        <v/>
      </c>
      <c r="AT71" s="25" t="inlineStr">
        <is>
          <t>Stage 2</t>
        </is>
      </c>
      <c r="AU71" s="25">
        <f>IF(AT71="Stage 2",20,IF(AT71="Stage 1",0,IF(AT71="Stage 3",5,IF(AT71="Stage 4",-5,0))))</f>
        <v/>
      </c>
      <c r="AV71" s="25" t="inlineStr">
        <is>
          <t>Positive Trend</t>
        </is>
      </c>
      <c r="AW71" s="25">
        <f>IF(AV71="Positive Trend",20,IF(AV71="Negative Trend",-10,0))</f>
        <v/>
      </c>
      <c r="AX71" s="25" t="inlineStr">
        <is>
          <t>Uptrend</t>
        </is>
      </c>
      <c r="AY71" s="25">
        <f>IF(AX71="Uptrend",10,IF(AX71="Sideways",5,0))</f>
        <v/>
      </c>
      <c r="AZ71" s="25" t="inlineStr">
        <is>
          <t>Uptrend</t>
        </is>
      </c>
      <c r="BA71" s="25">
        <f>IF(AZ71="Uptrend",10,IF(AZ71="Sideways",5,0))</f>
        <v/>
      </c>
      <c r="BB71" s="25" t="inlineStr">
        <is>
          <t>Blue sky scenario</t>
        </is>
      </c>
      <c r="BC71" s="25">
        <f>IF(BB71="Overhead supply in last 2 years in last 2 years",-5,IF(BB71="Close to 52 week high or retracement",5,IF(BB71="Blue sky scenario",10,IF(BB71="Long term Downtrend",-10,0))))</f>
        <v/>
      </c>
      <c r="BD71" s="25" t="inlineStr">
        <is>
          <t>Yes</t>
        </is>
      </c>
      <c r="BE71" s="25">
        <f>IF(BD71="Yes",10,0)</f>
        <v/>
      </c>
      <c r="BF71" s="25" t="inlineStr">
        <is>
          <t>More than 20%</t>
        </is>
      </c>
      <c r="BG71" s="25">
        <f>IF(BF71="More than 20%",10,IF(BF71="Between 12 to 20%",5,IF(BF71="Less than 12%",0,0)))</f>
        <v/>
      </c>
      <c r="BH71" s="25" t="inlineStr">
        <is>
          <t>No</t>
        </is>
      </c>
      <c r="BI71" s="25">
        <f>IF(BH71="No",10,0)</f>
        <v/>
      </c>
      <c r="BJ71" s="25" t="inlineStr">
        <is>
          <t>Yes</t>
        </is>
      </c>
      <c r="BK71" s="25">
        <f>IF(BJ71="NO",5,0)</f>
        <v/>
      </c>
      <c r="BL71" s="25" t="inlineStr">
        <is>
          <t>Less than 1.5</t>
        </is>
      </c>
      <c r="BM71" s="25">
        <f>IF(BL71="Above 2",0,IF(BL71="Between 1.5 to 2",5,IF(BL71="Less than 1.5",10,0)))</f>
        <v/>
      </c>
      <c r="BN71" s="25" t="inlineStr">
        <is>
          <t>Less than 50%</t>
        </is>
      </c>
      <c r="BO71" s="25">
        <f>IF(BN71="Above 70%",10,IF(BN71="Between 50% to 70%",5,IF(BN71="Less than 50%",0,IF(BN71="Negative",-10,IF(BN71="Less than 50% and Borrowings are increasing",-5,0)))))</f>
        <v/>
      </c>
      <c r="BP71" s="25" t="inlineStr">
        <is>
          <t>Less than 0.7</t>
        </is>
      </c>
      <c r="BQ71" s="25">
        <f>IF(BP71="More than 1.2",-10,IF(BP71="Between 0.7 to 1.2",0,IF(BP71="Less than 0.7",10,0)))</f>
        <v/>
      </c>
      <c r="BR71" s="25" t="inlineStr">
        <is>
          <t>No</t>
        </is>
      </c>
      <c r="BS71" s="25">
        <f>IF(BR71="Yes",-10,0)</f>
        <v/>
      </c>
      <c r="BT71" s="25" t="inlineStr">
        <is>
          <t>Less than 15%</t>
        </is>
      </c>
      <c r="BU71" s="25">
        <f>IF(BT71="More than 15%",-10,IF(BT71="Less than 15%",10,0))</f>
        <v/>
      </c>
      <c r="BV71" s="25" t="inlineStr">
        <is>
          <t>No</t>
        </is>
      </c>
      <c r="BW71" s="25">
        <f>IF(BV71="Yes, more than 10%",-10,IF(BV71="No",10,0))</f>
        <v/>
      </c>
    </row>
    <row r="72">
      <c r="A72" s="25">
        <f>IF(B72=0,"",RANK(B72,$B$2:$B$292,0))</f>
        <v/>
      </c>
      <c r="B72" s="26">
        <f>SUM(Q72,S72,U72,W72,Y72,AA72,AC72,AE72,AG72,AI72,AK72,AM72,AO72,AQ72,AS72,AU72,AW72,AY72,BA72,BC72,BE72,BG72,BI72,BK72,BM72,BO72,BQ72,BS72,BU72,BW72)</f>
        <v/>
      </c>
      <c r="C72" s="25" t="inlineStr">
        <is>
          <t>PGIL</t>
        </is>
      </c>
      <c r="D72" s="25" t="inlineStr">
        <is>
          <t>Pearl Global Industries Limited</t>
        </is>
      </c>
      <c r="E72" s="25" t="inlineStr">
        <is>
          <t>consumer discretionary</t>
        </is>
      </c>
      <c r="F72" s="25" t="inlineStr">
        <is>
          <t>textiles - products</t>
        </is>
      </c>
      <c r="G72" s="25" t="inlineStr">
        <is>
          <t>midcap</t>
        </is>
      </c>
      <c r="H72" s="26" t="n">
        <v>7525.49</v>
      </c>
      <c r="I72" s="26" t="n">
        <v>1645.1</v>
      </c>
      <c r="J72" s="26" t="n">
        <v>0.88</v>
      </c>
      <c r="K72" s="26" t="n">
        <v>34733</v>
      </c>
      <c r="L72" s="26" t="n">
        <v>55.48</v>
      </c>
      <c r="M72" s="26" t="n">
        <v>28.77</v>
      </c>
      <c r="N72" s="26" t="n">
        <v>1198.78</v>
      </c>
      <c r="O72" s="25" t="inlineStr">
        <is>
          <t>Earnings / Momentum Support</t>
        </is>
      </c>
      <c r="P72" s="25" t="inlineStr">
        <is>
          <t>Growing Industry</t>
        </is>
      </c>
      <c r="Q72" s="25">
        <f>IF(P72="Growing Industry",10,IF(P72="Cyclical in an Upturn",5,0))</f>
        <v/>
      </c>
      <c r="R72" s="25" t="inlineStr">
        <is>
          <t>Too Many Players with High ROCE</t>
        </is>
      </c>
      <c r="S72" s="25">
        <f>IF(R72="Monopoly",10,IF(R72="Oligopoly",5,IF(R72="Duopoly that cooperate",10,IF(R72="Duopoly that compete",5,IF(R72="Too many players with High ROCE",5,0)))))</f>
        <v/>
      </c>
      <c r="T72" s="25" t="inlineStr">
        <is>
          <t>No</t>
        </is>
      </c>
      <c r="U72" s="25">
        <f>IF(T72="No",5,0)</f>
        <v/>
      </c>
      <c r="V72" s="25" t="inlineStr">
        <is>
          <t>Tailwind</t>
        </is>
      </c>
      <c r="W72" s="25">
        <f>IF(V72="Tailwind",10,0)</f>
        <v/>
      </c>
      <c r="X72" s="25" t="inlineStr">
        <is>
          <t>Structural (10 Years Consistency)</t>
        </is>
      </c>
      <c r="Y72" s="25">
        <f>IF(X72="Structural (10 Years Consistency)",10,IF(X72="Shallow Cyclical (2 to 3 years growth)",5,0))</f>
        <v/>
      </c>
      <c r="Z72" s="25" t="inlineStr">
        <is>
          <t>No</t>
        </is>
      </c>
      <c r="AA72" s="25">
        <f>IF(Z72="Yes due to Product Mix change or Operating Leverage",10,IF(Z72="Yes, these are peak margins",-5,IF(Z72="No",5,0)))</f>
        <v/>
      </c>
      <c r="AB72" s="25" t="inlineStr">
        <is>
          <t>Stable</t>
        </is>
      </c>
      <c r="AC72" s="25">
        <f>IF(AB72="Stable",10,0)</f>
        <v/>
      </c>
      <c r="AD72" s="25" t="inlineStr">
        <is>
          <t>Yes</t>
        </is>
      </c>
      <c r="AE72" s="25">
        <f>IF(AD72="Yes",10,0)</f>
        <v/>
      </c>
      <c r="AF72" s="25" t="inlineStr">
        <is>
          <t>B2B</t>
        </is>
      </c>
      <c r="AG72" s="25">
        <f>IF(AF72="B2C",10,IF(AF72="B2B",5,0))</f>
        <v/>
      </c>
      <c r="AH72" s="25" t="inlineStr">
        <is>
          <t>No</t>
        </is>
      </c>
      <c r="AI72" s="25">
        <f>IF(AH72="Yes",10,0)</f>
        <v/>
      </c>
      <c r="AJ72" s="25" t="inlineStr">
        <is>
          <t>Higher One Time, Lower Annuity</t>
        </is>
      </c>
      <c r="AK72" s="25">
        <f>IF(AJ72="Fully Annuity",10,IF(AJ72="Higher Annuity, Lower One Time",5,IF(AJ72="Higher One Time, Lower Annuity",3,0)))</f>
        <v/>
      </c>
      <c r="AL72" s="25" t="inlineStr">
        <is>
          <t>Good</t>
        </is>
      </c>
      <c r="AM72" s="25">
        <f>IF(AL72="Good",10,0)</f>
        <v/>
      </c>
      <c r="AN72" s="25" t="inlineStr">
        <is>
          <t>Yes for more than 2 years</t>
        </is>
      </c>
      <c r="AO72" s="25">
        <f>IF(AN72="Yes for more than 2 years",10,IF(AN72="Yes only for next 1 to 2 years",5,0))</f>
        <v/>
      </c>
      <c r="AP72" s="25" t="inlineStr">
        <is>
          <t>20 to 40</t>
        </is>
      </c>
      <c r="AQ72" s="25">
        <f>IF(AP72="Above 40",20,IF(AP72="20 to 40",10,IF(AP72="0 to 20",-5,0)))</f>
        <v/>
      </c>
      <c r="AR72" s="25" t="inlineStr">
        <is>
          <t>Between 50 to 75</t>
        </is>
      </c>
      <c r="AS72" s="25">
        <f>IF(AR72="Between 50 to 75",10,IF(AR72="Above 75",0,0))</f>
        <v/>
      </c>
      <c r="AT72" s="25" t="inlineStr">
        <is>
          <t>Stage 2</t>
        </is>
      </c>
      <c r="AU72" s="25">
        <f>IF(AT72="Stage 2",20,IF(AT72="Stage 1",0,IF(AT72="Stage 3",5,IF(AT72="Stage 4",-5,0))))</f>
        <v/>
      </c>
      <c r="AV72" s="25" t="inlineStr">
        <is>
          <t>Positive Trend</t>
        </is>
      </c>
      <c r="AW72" s="25">
        <f>IF(AV72="Positive Trend",20,IF(AV72="Negative Trend",-10,0))</f>
        <v/>
      </c>
      <c r="AX72" s="25" t="inlineStr">
        <is>
          <t>Uptrend</t>
        </is>
      </c>
      <c r="AY72" s="25">
        <f>IF(AX72="Uptrend",10,IF(AX72="Sideways",5,0))</f>
        <v/>
      </c>
      <c r="AZ72" s="25" t="inlineStr">
        <is>
          <t>Uptrend</t>
        </is>
      </c>
      <c r="BA72" s="25">
        <f>IF(AZ72="Uptrend",10,IF(AZ72="Sideways",5,0))</f>
        <v/>
      </c>
      <c r="BB72" s="25" t="inlineStr">
        <is>
          <t>Close to 52 week high or retracement</t>
        </is>
      </c>
      <c r="BC72" s="25">
        <f>IF(BB72="Overhead supply in last 2 years in last 2 years",-5,IF(BB72="Close to 52 week high or retracement",5,IF(BB72="Blue sky scenario",10,IF(BB72="Long term Downtrend",-10,0))))</f>
        <v/>
      </c>
      <c r="BD72" s="25" t="inlineStr">
        <is>
          <t>Yes</t>
        </is>
      </c>
      <c r="BE72" s="25">
        <f>IF(BD72="Yes",10,0)</f>
        <v/>
      </c>
      <c r="BF72" s="25" t="inlineStr">
        <is>
          <t>More than 20%</t>
        </is>
      </c>
      <c r="BG72" s="25">
        <f>IF(BF72="More than 20%",10,IF(BF72="Between 12 to 20%",5,IF(BF72="Less than 12%",0,0)))</f>
        <v/>
      </c>
      <c r="BH72" s="25" t="inlineStr">
        <is>
          <t>No</t>
        </is>
      </c>
      <c r="BI72" s="25">
        <f>IF(BH72="No",10,0)</f>
        <v/>
      </c>
      <c r="BJ72" s="25" t="inlineStr">
        <is>
          <t>No</t>
        </is>
      </c>
      <c r="BK72" s="25">
        <f>IF(BJ72="NO",5,0)</f>
        <v/>
      </c>
      <c r="BL72" s="25" t="inlineStr">
        <is>
          <t>Less than 1.5</t>
        </is>
      </c>
      <c r="BM72" s="25">
        <f>IF(BL72="Above 2",0,IF(BL72="Between 1.5 to 2",5,IF(BL72="Less than 1.5",10,0)))</f>
        <v/>
      </c>
      <c r="BN72" s="25" t="inlineStr">
        <is>
          <t>Above 70%</t>
        </is>
      </c>
      <c r="BO72" s="25">
        <f>IF(BN72="Above 70%",10,IF(BN72="Between 50% to 70%",5,IF(BN72="Less than 50%",0,IF(BN72="Negative",-10,IF(BN72="Less than 50% and Borrowings are increasing",-5,0)))))</f>
        <v/>
      </c>
      <c r="BP72" s="25" t="inlineStr">
        <is>
          <t>Less than 0.7</t>
        </is>
      </c>
      <c r="BQ72" s="25">
        <f>IF(BP72="More than 1.2",-10,IF(BP72="Between 0.7 to 1.2",0,IF(BP72="Less than 0.7",10,0)))</f>
        <v/>
      </c>
      <c r="BR72" s="25" t="inlineStr">
        <is>
          <t>No</t>
        </is>
      </c>
      <c r="BS72" s="25">
        <f>IF(BR72="Yes",-10,0)</f>
        <v/>
      </c>
      <c r="BT72" s="25" t="inlineStr">
        <is>
          <t>Less than 15%</t>
        </is>
      </c>
      <c r="BU72" s="25">
        <f>IF(BT72="More than 15%",-10,IF(BT72="Less than 15%",10,0))</f>
        <v/>
      </c>
      <c r="BV72" s="25" t="inlineStr">
        <is>
          <t>No</t>
        </is>
      </c>
      <c r="BW72" s="25">
        <f>IF(BV72="Yes, more than 10%",-10,IF(BV72="No",10,0))</f>
        <v/>
      </c>
    </row>
    <row r="73">
      <c r="A73" s="25">
        <f>IF(B73=0,"",RANK(B73,$B$2:$B$292,0))</f>
        <v/>
      </c>
      <c r="B73" s="26">
        <f>SUM(Q73,S73,U73,W73,Y73,AA73,AC73,AE73,AG73,AI73,AK73,AM73,AO73,AQ73,AS73,AU73,AW73,AY73,BA73,BC73,BE73,BG73,BI73,BK73,BM73,BO73,BQ73,BS73,BU73,BW73)</f>
        <v/>
      </c>
      <c r="C73" s="25" t="inlineStr">
        <is>
          <t>WELCORP</t>
        </is>
      </c>
      <c r="D73" s="25" t="inlineStr">
        <is>
          <t>Welspun Corp Limited</t>
        </is>
      </c>
      <c r="E73" s="25" t="inlineStr">
        <is>
          <t>industrials</t>
        </is>
      </c>
      <c r="F73" s="25" t="inlineStr">
        <is>
          <t>steel - large</t>
        </is>
      </c>
      <c r="G73" s="25" t="inlineStr">
        <is>
          <t>largecap</t>
        </is>
      </c>
      <c r="H73" s="26" t="n">
        <v>36339.8</v>
      </c>
      <c r="I73" s="26" t="n">
        <v>1386.8</v>
      </c>
      <c r="J73" s="26" t="n">
        <v>0.67</v>
      </c>
      <c r="K73" s="26" t="n">
        <v>632341</v>
      </c>
      <c r="L73" s="26" t="n">
        <v>81.65000000000001</v>
      </c>
      <c r="M73" s="26" t="n">
        <v>46.28</v>
      </c>
      <c r="N73" s="26" t="n">
        <v>1134.53</v>
      </c>
      <c r="O73" s="25" t="inlineStr">
        <is>
          <t>Near 52W High Breakout</t>
        </is>
      </c>
      <c r="P73" s="25" t="inlineStr">
        <is>
          <t>Cyclical in an Upturn</t>
        </is>
      </c>
      <c r="Q73" s="25">
        <f>IF(P73="Growing Industry",10,IF(P73="Cyclical in an Upturn",5,0))</f>
        <v/>
      </c>
      <c r="R73" s="25" t="inlineStr">
        <is>
          <t>Too Many Players with High ROCE</t>
        </is>
      </c>
      <c r="S73" s="25">
        <f>IF(R73="Monopoly",10,IF(R73="Oligopoly",5,IF(R73="Duopoly that cooperate",10,IF(R73="Duopoly that compete",5,IF(R73="Too many players with High ROCE",5,0)))))</f>
        <v/>
      </c>
      <c r="T73" s="25" t="inlineStr">
        <is>
          <t>No</t>
        </is>
      </c>
      <c r="U73" s="25">
        <f>IF(T73="No",5,0)</f>
        <v/>
      </c>
      <c r="V73" s="25" t="inlineStr">
        <is>
          <t>Tailwind</t>
        </is>
      </c>
      <c r="W73" s="25">
        <f>IF(V73="Tailwind",10,0)</f>
        <v/>
      </c>
      <c r="X73" s="25" t="inlineStr">
        <is>
          <t>Structural (10 Years Consistency)</t>
        </is>
      </c>
      <c r="Y73" s="25">
        <f>IF(X73="Structural (10 Years Consistency)",10,IF(X73="Shallow Cyclical (2 to 3 years growth)",5,0))</f>
        <v/>
      </c>
      <c r="Z73" s="25" t="inlineStr">
        <is>
          <t>No</t>
        </is>
      </c>
      <c r="AA73" s="25">
        <f>IF(Z73="Yes due to Product Mix change or Operating Leverage",10,IF(Z73="Yes, these are peak margins",-5,IF(Z73="No",5,0)))</f>
        <v/>
      </c>
      <c r="AB73" s="25" t="inlineStr">
        <is>
          <t>Stable</t>
        </is>
      </c>
      <c r="AC73" s="25">
        <f>IF(AB73="Stable",10,0)</f>
        <v/>
      </c>
      <c r="AD73" s="25" t="inlineStr">
        <is>
          <t>Yes</t>
        </is>
      </c>
      <c r="AE73" s="25">
        <f>IF(AD73="Yes",10,0)</f>
        <v/>
      </c>
      <c r="AF73" s="25" t="inlineStr">
        <is>
          <t>B2B</t>
        </is>
      </c>
      <c r="AG73" s="25">
        <f>IF(AF73="B2C",10,IF(AF73="B2B",5,0))</f>
        <v/>
      </c>
      <c r="AH73" s="25" t="inlineStr">
        <is>
          <t>Yes</t>
        </is>
      </c>
      <c r="AI73" s="25">
        <f>IF(AH73="Yes",10,0)</f>
        <v/>
      </c>
      <c r="AJ73" s="25" t="inlineStr">
        <is>
          <t>Higher One Time, Lower Annuity</t>
        </is>
      </c>
      <c r="AK73" s="25">
        <f>IF(AJ73="Fully Annuity",10,IF(AJ73="Higher Annuity, Lower One Time",5,IF(AJ73="Higher One Time, Lower Annuity",3,0)))</f>
        <v/>
      </c>
      <c r="AL73" s="25" t="inlineStr">
        <is>
          <t>Good</t>
        </is>
      </c>
      <c r="AM73" s="25">
        <f>IF(AL73="Good",10,0)</f>
        <v/>
      </c>
      <c r="AN73" s="25" t="inlineStr">
        <is>
          <t>Yes for more than 2 years</t>
        </is>
      </c>
      <c r="AO73" s="25">
        <f>IF(AN73="Yes for more than 2 years",10,IF(AN73="Yes only for next 1 to 2 years",5,0))</f>
        <v/>
      </c>
      <c r="AP73" s="25" t="inlineStr">
        <is>
          <t>Above 40</t>
        </is>
      </c>
      <c r="AQ73" s="25">
        <f>IF(AP73="Above 40",20,IF(AP73="20 to 40",10,IF(AP73="0 to 20",-5,0)))</f>
        <v/>
      </c>
      <c r="AR73" s="25" t="inlineStr">
        <is>
          <t>Above 75</t>
        </is>
      </c>
      <c r="AS73" s="25">
        <f>IF(AR73="Between 50 to 75",10,IF(AR73="Above 75",0,0))</f>
        <v/>
      </c>
      <c r="AT73" s="25" t="inlineStr">
        <is>
          <t>Stage 2</t>
        </is>
      </c>
      <c r="AU73" s="25">
        <f>IF(AT73="Stage 2",20,IF(AT73="Stage 1",0,IF(AT73="Stage 3",5,IF(AT73="Stage 4",-5,0))))</f>
        <v/>
      </c>
      <c r="AV73" s="25" t="inlineStr">
        <is>
          <t>Positive Trend</t>
        </is>
      </c>
      <c r="AW73" s="25">
        <f>IF(AV73="Positive Trend",20,IF(AV73="Negative Trend",-10,0))</f>
        <v/>
      </c>
      <c r="AX73" s="25" t="inlineStr">
        <is>
          <t>Uptrend</t>
        </is>
      </c>
      <c r="AY73" s="25">
        <f>IF(AX73="Uptrend",10,IF(AX73="Sideways",5,0))</f>
        <v/>
      </c>
      <c r="AZ73" s="25" t="inlineStr">
        <is>
          <t>Uptrend</t>
        </is>
      </c>
      <c r="BA73" s="25">
        <f>IF(AZ73="Uptrend",10,IF(AZ73="Sideways",5,0))</f>
        <v/>
      </c>
      <c r="BB73" s="25" t="inlineStr">
        <is>
          <t>Blue sky scenario</t>
        </is>
      </c>
      <c r="BC73" s="25">
        <f>IF(BB73="Overhead supply in last 2 years in last 2 years",-5,IF(BB73="Close to 52 week high or retracement",5,IF(BB73="Blue sky scenario",10,IF(BB73="Long term Downtrend",-10,0))))</f>
        <v/>
      </c>
      <c r="BD73" s="25" t="inlineStr">
        <is>
          <t>Yes</t>
        </is>
      </c>
      <c r="BE73" s="25">
        <f>IF(BD73="Yes",10,0)</f>
        <v/>
      </c>
      <c r="BF73" s="25" t="inlineStr">
        <is>
          <t>Less than 12%</t>
        </is>
      </c>
      <c r="BG73" s="25">
        <f>IF(BF73="More than 20%",10,IF(BF73="Between 12 to 20%",5,IF(BF73="Less than 12%",0,0)))</f>
        <v/>
      </c>
      <c r="BH73" s="25" t="inlineStr">
        <is>
          <t>No</t>
        </is>
      </c>
      <c r="BI73" s="25">
        <f>IF(BH73="No",10,0)</f>
        <v/>
      </c>
      <c r="BJ73" s="25" t="inlineStr">
        <is>
          <t>No</t>
        </is>
      </c>
      <c r="BK73" s="25">
        <f>IF(BJ73="NO",5,0)</f>
        <v/>
      </c>
      <c r="BL73" s="25" t="inlineStr">
        <is>
          <t>Less than 1.5</t>
        </is>
      </c>
      <c r="BM73" s="25">
        <f>IF(BL73="Above 2",0,IF(BL73="Between 1.5 to 2",5,IF(BL73="Less than 1.5",10,0)))</f>
        <v/>
      </c>
      <c r="BN73" s="25" t="inlineStr">
        <is>
          <t>Above 70%</t>
        </is>
      </c>
      <c r="BO73" s="25">
        <f>IF(BN73="Above 70%",10,IF(BN73="Between 50% to 70%",5,IF(BN73="Less than 50%",0,IF(BN73="Negative",-10,IF(BN73="Less than 50% and Borrowings are increasing",-5,0)))))</f>
        <v/>
      </c>
      <c r="BP73" s="25" t="inlineStr">
        <is>
          <t>Less than 0.7</t>
        </is>
      </c>
      <c r="BQ73" s="25">
        <f>IF(BP73="More than 1.2",-10,IF(BP73="Between 0.7 to 1.2",0,IF(BP73="Less than 0.7",10,0)))</f>
        <v/>
      </c>
      <c r="BR73" s="25" t="inlineStr">
        <is>
          <t>No</t>
        </is>
      </c>
      <c r="BS73" s="25">
        <f>IF(BR73="Yes",-10,0)</f>
        <v/>
      </c>
      <c r="BT73" s="25" t="inlineStr">
        <is>
          <t>Less than 15%</t>
        </is>
      </c>
      <c r="BU73" s="25">
        <f>IF(BT73="More than 15%",-10,IF(BT73="Less than 15%",10,0))</f>
        <v/>
      </c>
      <c r="BV73" s="25" t="inlineStr">
        <is>
          <t>No</t>
        </is>
      </c>
      <c r="BW73" s="25">
        <f>IF(BV73="Yes, more than 10%",-10,IF(BV73="No",10,0))</f>
        <v/>
      </c>
    </row>
    <row r="74">
      <c r="A74" s="25">
        <f>IF(B74=0,"",RANK(B74,$B$2:$B$292,0))</f>
        <v/>
      </c>
      <c r="B74" s="26">
        <f>SUM(Q74,S74,U74,W74,Y74,AA74,AC74,AE74,AG74,AI74,AK74,AM74,AO74,AQ74,AS74,AU74,AW74,AY74,BA74,BC74,BE74,BG74,BI74,BK74,BM74,BO74,BQ74,BS74,BU74,BW74)</f>
        <v/>
      </c>
      <c r="C74" s="25" t="inlineStr">
        <is>
          <t>GRINDWELL</t>
        </is>
      </c>
      <c r="D74" s="25" t="inlineStr">
        <is>
          <t>Grindwell Norton Limited</t>
        </is>
      </c>
      <c r="E74" s="25" t="inlineStr">
        <is>
          <t>industrials</t>
        </is>
      </c>
      <c r="F74" s="25" t="inlineStr">
        <is>
          <t>abrasives and grinding wheels</t>
        </is>
      </c>
      <c r="G74" s="25" t="inlineStr">
        <is>
          <t>largecap</t>
        </is>
      </c>
      <c r="H74" s="26" t="n">
        <v>20461.06</v>
      </c>
      <c r="I74" s="26" t="n">
        <v>1859</v>
      </c>
      <c r="J74" s="26" t="n">
        <v>0.6</v>
      </c>
      <c r="K74" s="26" t="n">
        <v>47514</v>
      </c>
      <c r="L74" s="26" t="n">
        <v>62.85</v>
      </c>
      <c r="M74" s="26" t="n">
        <v>25.01</v>
      </c>
      <c r="N74" s="26" t="n">
        <v>1581.86</v>
      </c>
      <c r="O74" s="25" t="inlineStr">
        <is>
          <t>Near 52W High Breakout</t>
        </is>
      </c>
      <c r="P74" s="25" t="inlineStr">
        <is>
          <t>Cyclical in an Upturn</t>
        </is>
      </c>
      <c r="Q74" s="25">
        <f>IF(P74="Growing Industry",10,IF(P74="Cyclical in an Upturn",5,0))</f>
        <v/>
      </c>
      <c r="R74" s="25" t="inlineStr">
        <is>
          <t>Too Many Players with High ROCE</t>
        </is>
      </c>
      <c r="S74" s="25">
        <f>IF(R74="Monopoly",10,IF(R74="Oligopoly",5,IF(R74="Duopoly that cooperate",10,IF(R74="Duopoly that compete",5,IF(R74="Too many players with High ROCE",5,0)))))</f>
        <v/>
      </c>
      <c r="T74" s="25" t="inlineStr">
        <is>
          <t>No</t>
        </is>
      </c>
      <c r="U74" s="25">
        <f>IF(T74="No",5,0)</f>
        <v/>
      </c>
      <c r="V74" s="25" t="inlineStr">
        <is>
          <t>Tailwind</t>
        </is>
      </c>
      <c r="W74" s="25">
        <f>IF(V74="Tailwind",10,0)</f>
        <v/>
      </c>
      <c r="X74" s="25" t="inlineStr">
        <is>
          <t>Structural (10 Years Consistency)</t>
        </is>
      </c>
      <c r="Y74" s="25">
        <f>IF(X74="Structural (10 Years Consistency)",10,IF(X74="Shallow Cyclical (2 to 3 years growth)",5,0))</f>
        <v/>
      </c>
      <c r="Z74" s="25" t="inlineStr">
        <is>
          <t>No</t>
        </is>
      </c>
      <c r="AA74" s="25">
        <f>IF(Z74="Yes due to Product Mix change or Operating Leverage",10,IF(Z74="Yes, these are peak margins",-5,IF(Z74="No",5,0)))</f>
        <v/>
      </c>
      <c r="AB74" s="25" t="inlineStr">
        <is>
          <t>Stable</t>
        </is>
      </c>
      <c r="AC74" s="25">
        <f>IF(AB74="Stable",10,0)</f>
        <v/>
      </c>
      <c r="AD74" s="25" t="inlineStr">
        <is>
          <t>Yes</t>
        </is>
      </c>
      <c r="AE74" s="25">
        <f>IF(AD74="Yes",10,0)</f>
        <v/>
      </c>
      <c r="AF74" s="25" t="inlineStr">
        <is>
          <t>B2B</t>
        </is>
      </c>
      <c r="AG74" s="25">
        <f>IF(AF74="B2C",10,IF(AF74="B2B",5,0))</f>
        <v/>
      </c>
      <c r="AH74" s="25" t="inlineStr">
        <is>
          <t>Yes</t>
        </is>
      </c>
      <c r="AI74" s="25">
        <f>IF(AH74="Yes",10,0)</f>
        <v/>
      </c>
      <c r="AJ74" s="25" t="inlineStr">
        <is>
          <t>Higher One Time, Lower Annuity</t>
        </is>
      </c>
      <c r="AK74" s="25">
        <f>IF(AJ74="Fully Annuity",10,IF(AJ74="Higher Annuity, Lower One Time",5,IF(AJ74="Higher One Time, Lower Annuity",3,0)))</f>
        <v/>
      </c>
      <c r="AL74" s="25" t="inlineStr">
        <is>
          <t>Good</t>
        </is>
      </c>
      <c r="AM74" s="25">
        <f>IF(AL74="Good",10,0)</f>
        <v/>
      </c>
      <c r="AN74" s="25" t="inlineStr">
        <is>
          <t>Yes for more than 2 years</t>
        </is>
      </c>
      <c r="AO74" s="25">
        <f>IF(AN74="Yes for more than 2 years",10,IF(AN74="Yes only for next 1 to 2 years",5,0))</f>
        <v/>
      </c>
      <c r="AP74" s="25" t="inlineStr">
        <is>
          <t>20 to 40</t>
        </is>
      </c>
      <c r="AQ74" s="25">
        <f>IF(AP74="Above 40",20,IF(AP74="20 to 40",10,IF(AP74="0 to 20",-5,0)))</f>
        <v/>
      </c>
      <c r="AR74" s="25" t="inlineStr">
        <is>
          <t>Between 50 to 75</t>
        </is>
      </c>
      <c r="AS74" s="25">
        <f>IF(AR74="Between 50 to 75",10,IF(AR74="Above 75",0,0))</f>
        <v/>
      </c>
      <c r="AT74" s="25" t="inlineStr">
        <is>
          <t>Stage 2</t>
        </is>
      </c>
      <c r="AU74" s="25">
        <f>IF(AT74="Stage 2",20,IF(AT74="Stage 1",0,IF(AT74="Stage 3",5,IF(AT74="Stage 4",-5,0))))</f>
        <v/>
      </c>
      <c r="AV74" s="25" t="inlineStr">
        <is>
          <t>Positive Trend</t>
        </is>
      </c>
      <c r="AW74" s="25">
        <f>IF(AV74="Positive Trend",20,IF(AV74="Negative Trend",-10,0))</f>
        <v/>
      </c>
      <c r="AX74" s="25" t="inlineStr">
        <is>
          <t>Uptrend</t>
        </is>
      </c>
      <c r="AY74" s="25">
        <f>IF(AX74="Uptrend",10,IF(AX74="Sideways",5,0))</f>
        <v/>
      </c>
      <c r="AZ74" s="25" t="inlineStr">
        <is>
          <t>Uptrend</t>
        </is>
      </c>
      <c r="BA74" s="25">
        <f>IF(AZ74="Uptrend",10,IF(AZ74="Sideways",5,0))</f>
        <v/>
      </c>
      <c r="BB74" s="25" t="inlineStr">
        <is>
          <t>Close to 52 week high or retracement</t>
        </is>
      </c>
      <c r="BC74" s="25">
        <f>IF(BB74="Overhead supply in last 2 years in last 2 years",-5,IF(BB74="Close to 52 week high or retracement",5,IF(BB74="Blue sky scenario",10,IF(BB74="Long term Downtrend",-10,0))))</f>
        <v/>
      </c>
      <c r="BD74" s="25" t="inlineStr">
        <is>
          <t>Yes</t>
        </is>
      </c>
      <c r="BE74" s="25">
        <f>IF(BD74="Yes",10,0)</f>
        <v/>
      </c>
      <c r="BF74" s="25" t="inlineStr">
        <is>
          <t>More than 20%</t>
        </is>
      </c>
      <c r="BG74" s="25">
        <f>IF(BF74="More than 20%",10,IF(BF74="Between 12 to 20%",5,IF(BF74="Less than 12%",0,0)))</f>
        <v/>
      </c>
      <c r="BH74" s="25" t="inlineStr">
        <is>
          <t>No</t>
        </is>
      </c>
      <c r="BI74" s="25">
        <f>IF(BH74="No",10,0)</f>
        <v/>
      </c>
      <c r="BJ74" s="25" t="inlineStr">
        <is>
          <t>Yes</t>
        </is>
      </c>
      <c r="BK74" s="25">
        <f>IF(BJ74="NO",5,0)</f>
        <v/>
      </c>
      <c r="BL74" s="25" t="inlineStr">
        <is>
          <t>Less than 1.5</t>
        </is>
      </c>
      <c r="BM74" s="25">
        <f>IF(BL74="Above 2",0,IF(BL74="Between 1.5 to 2",5,IF(BL74="Less than 1.5",10,0)))</f>
        <v/>
      </c>
      <c r="BN74" s="25" t="inlineStr">
        <is>
          <t>Above 70%</t>
        </is>
      </c>
      <c r="BO74" s="25">
        <f>IF(BN74="Above 70%",10,IF(BN74="Between 50% to 70%",5,IF(BN74="Less than 50%",0,IF(BN74="Negative",-10,IF(BN74="Less than 50% and Borrowings are increasing",-5,0)))))</f>
        <v/>
      </c>
      <c r="BP74" s="25" t="inlineStr">
        <is>
          <t>Less than 0.7</t>
        </is>
      </c>
      <c r="BQ74" s="25">
        <f>IF(BP74="More than 1.2",-10,IF(BP74="Between 0.7 to 1.2",0,IF(BP74="Less than 0.7",10,0)))</f>
        <v/>
      </c>
      <c r="BR74" s="25" t="inlineStr">
        <is>
          <t>No</t>
        </is>
      </c>
      <c r="BS74" s="25">
        <f>IF(BR74="Yes",-10,0)</f>
        <v/>
      </c>
      <c r="BT74" s="25" t="inlineStr">
        <is>
          <t>Less than 15%</t>
        </is>
      </c>
      <c r="BU74" s="25">
        <f>IF(BT74="More than 15%",-10,IF(BT74="Less than 15%",10,0))</f>
        <v/>
      </c>
      <c r="BV74" s="25" t="inlineStr">
        <is>
          <t>No</t>
        </is>
      </c>
      <c r="BW74" s="25">
        <f>IF(BV74="Yes, more than 10%",-10,IF(BV74="No",10,0))</f>
        <v/>
      </c>
    </row>
    <row r="75">
      <c r="A75" s="25">
        <f>IF(B75=0,"",RANK(B75,$B$2:$B$292,0))</f>
        <v/>
      </c>
      <c r="B75" s="26">
        <f>SUM(Q75,S75,U75,W75,Y75,AA75,AC75,AE75,AG75,AI75,AK75,AM75,AO75,AQ75,AS75,AU75,AW75,AY75,BA75,BC75,BE75,BG75,BI75,BK75,BM75,BO75,BQ75,BS75,BU75,BW75)</f>
        <v/>
      </c>
      <c r="C75" s="25" t="inlineStr">
        <is>
          <t>GVT&amp;D</t>
        </is>
      </c>
      <c r="D75" s="25" t="inlineStr">
        <is>
          <t>GE Vernova T&amp;D India Ltd</t>
        </is>
      </c>
      <c r="E75" s="25" t="inlineStr">
        <is>
          <t>industrials</t>
        </is>
      </c>
      <c r="F75" s="25" t="inlineStr">
        <is>
          <t>electric equipment</t>
        </is>
      </c>
      <c r="G75" s="25" t="inlineStr">
        <is>
          <t>largecap</t>
        </is>
      </c>
      <c r="H75" s="26" t="n">
        <v>121750.13</v>
      </c>
      <c r="I75" s="26" t="n">
        <v>4781</v>
      </c>
      <c r="J75" s="26" t="n">
        <v>0.55</v>
      </c>
      <c r="K75" s="26" t="n">
        <v>1308469</v>
      </c>
      <c r="L75" s="26" t="n">
        <v>65.86</v>
      </c>
      <c r="M75" s="26" t="n">
        <v>49.15</v>
      </c>
      <c r="N75" s="26" t="n">
        <v>3909.13</v>
      </c>
      <c r="O75" s="25" t="inlineStr">
        <is>
          <t>Earnings / Momentum Support</t>
        </is>
      </c>
      <c r="P75" s="25" t="inlineStr">
        <is>
          <t>Cyclical in an Upturn</t>
        </is>
      </c>
      <c r="Q75" s="25">
        <f>IF(P75="Growing Industry",10,IF(P75="Cyclical in an Upturn",5,0))</f>
        <v/>
      </c>
      <c r="R75" s="25" t="inlineStr">
        <is>
          <t>Too Many Players with High ROCE</t>
        </is>
      </c>
      <c r="S75" s="25">
        <f>IF(R75="Monopoly",10,IF(R75="Oligopoly",5,IF(R75="Duopoly that cooperate",10,IF(R75="Duopoly that compete",5,IF(R75="Too many players with High ROCE",5,0)))))</f>
        <v/>
      </c>
      <c r="T75" s="25" t="inlineStr">
        <is>
          <t>No</t>
        </is>
      </c>
      <c r="U75" s="25">
        <f>IF(T75="No",5,0)</f>
        <v/>
      </c>
      <c r="V75" s="25" t="inlineStr">
        <is>
          <t>Tailwind</t>
        </is>
      </c>
      <c r="W75" s="25">
        <f>IF(V75="Tailwind",10,0)</f>
        <v/>
      </c>
      <c r="X75" s="25" t="inlineStr">
        <is>
          <t>Structural (10 Years Consistency)</t>
        </is>
      </c>
      <c r="Y75" s="25">
        <f>IF(X75="Structural (10 Years Consistency)",10,IF(X75="Shallow Cyclical (2 to 3 years growth)",5,0))</f>
        <v/>
      </c>
      <c r="Z75" s="25" t="inlineStr">
        <is>
          <t>No</t>
        </is>
      </c>
      <c r="AA75" s="25">
        <f>IF(Z75="Yes due to Product Mix change or Operating Leverage",10,IF(Z75="Yes, these are peak margins",-5,IF(Z75="No",5,0)))</f>
        <v/>
      </c>
      <c r="AB75" s="25" t="inlineStr">
        <is>
          <t>Stable</t>
        </is>
      </c>
      <c r="AC75" s="25">
        <f>IF(AB75="Stable",10,0)</f>
        <v/>
      </c>
      <c r="AD75" s="25" t="inlineStr">
        <is>
          <t>Yes</t>
        </is>
      </c>
      <c r="AE75" s="25">
        <f>IF(AD75="Yes",10,0)</f>
        <v/>
      </c>
      <c r="AF75" s="25" t="inlineStr">
        <is>
          <t>B2B</t>
        </is>
      </c>
      <c r="AG75" s="25">
        <f>IF(AF75="B2C",10,IF(AF75="B2B",5,0))</f>
        <v/>
      </c>
      <c r="AH75" s="25" t="inlineStr">
        <is>
          <t>No</t>
        </is>
      </c>
      <c r="AI75" s="25">
        <f>IF(AH75="Yes",10,0)</f>
        <v/>
      </c>
      <c r="AJ75" s="25" t="inlineStr">
        <is>
          <t>Higher One Time, Lower Annuity</t>
        </is>
      </c>
      <c r="AK75" s="25">
        <f>IF(AJ75="Fully Annuity",10,IF(AJ75="Higher Annuity, Lower One Time",5,IF(AJ75="Higher One Time, Lower Annuity",3,0)))</f>
        <v/>
      </c>
      <c r="AL75" s="25" t="inlineStr">
        <is>
          <t>Good</t>
        </is>
      </c>
      <c r="AM75" s="25">
        <f>IF(AL75="Good",10,0)</f>
        <v/>
      </c>
      <c r="AN75" s="25" t="inlineStr">
        <is>
          <t>Yes for more than 2 years</t>
        </is>
      </c>
      <c r="AO75" s="25">
        <f>IF(AN75="Yes for more than 2 years",10,IF(AN75="Yes only for next 1 to 2 years",5,0))</f>
        <v/>
      </c>
      <c r="AP75" s="25" t="inlineStr">
        <is>
          <t>Above 40</t>
        </is>
      </c>
      <c r="AQ75" s="25">
        <f>IF(AP75="Above 40",20,IF(AP75="20 to 40",10,IF(AP75="0 to 20",-5,0)))</f>
        <v/>
      </c>
      <c r="AR75" s="25" t="inlineStr">
        <is>
          <t>Between 50 to 75</t>
        </is>
      </c>
      <c r="AS75" s="25">
        <f>IF(AR75="Between 50 to 75",10,IF(AR75="Above 75",0,0))</f>
        <v/>
      </c>
      <c r="AT75" s="25" t="inlineStr">
        <is>
          <t>Stage 2</t>
        </is>
      </c>
      <c r="AU75" s="25">
        <f>IF(AT75="Stage 2",20,IF(AT75="Stage 1",0,IF(AT75="Stage 3",5,IF(AT75="Stage 4",-5,0))))</f>
        <v/>
      </c>
      <c r="AV75" s="25" t="inlineStr">
        <is>
          <t>Positive Trend</t>
        </is>
      </c>
      <c r="AW75" s="25">
        <f>IF(AV75="Positive Trend",20,IF(AV75="Negative Trend",-10,0))</f>
        <v/>
      </c>
      <c r="AX75" s="25" t="inlineStr">
        <is>
          <t>Uptrend</t>
        </is>
      </c>
      <c r="AY75" s="25">
        <f>IF(AX75="Uptrend",10,IF(AX75="Sideways",5,0))</f>
        <v/>
      </c>
      <c r="AZ75" s="25" t="inlineStr">
        <is>
          <t>Uptrend</t>
        </is>
      </c>
      <c r="BA75" s="25">
        <f>IF(AZ75="Uptrend",10,IF(AZ75="Sideways",5,0))</f>
        <v/>
      </c>
      <c r="BB75" s="25" t="inlineStr">
        <is>
          <t>Close to 52 week high or retracement</t>
        </is>
      </c>
      <c r="BC75" s="25">
        <f>IF(BB75="Overhead supply in last 2 years in last 2 years",-5,IF(BB75="Close to 52 week high or retracement",5,IF(BB75="Blue sky scenario",10,IF(BB75="Long term Downtrend",-10,0))))</f>
        <v/>
      </c>
      <c r="BD75" s="25" t="inlineStr">
        <is>
          <t>Yes</t>
        </is>
      </c>
      <c r="BE75" s="25">
        <f>IF(BD75="Yes",10,0)</f>
        <v/>
      </c>
      <c r="BF75" s="25" t="inlineStr">
        <is>
          <t>More than 20%</t>
        </is>
      </c>
      <c r="BG75" s="25">
        <f>IF(BF75="More than 20%",10,IF(BF75="Between 12 to 20%",5,IF(BF75="Less than 12%",0,0)))</f>
        <v/>
      </c>
      <c r="BH75" s="25" t="inlineStr">
        <is>
          <t>No</t>
        </is>
      </c>
      <c r="BI75" s="25">
        <f>IF(BH75="No",10,0)</f>
        <v/>
      </c>
      <c r="BJ75" s="25" t="inlineStr">
        <is>
          <t>Yes</t>
        </is>
      </c>
      <c r="BK75" s="25">
        <f>IF(BJ75="NO",5,0)</f>
        <v/>
      </c>
      <c r="BL75" s="25" t="inlineStr">
        <is>
          <t>Less than 1.5</t>
        </is>
      </c>
      <c r="BM75" s="25">
        <f>IF(BL75="Above 2",0,IF(BL75="Between 1.5 to 2",5,IF(BL75="Less than 1.5",10,0)))</f>
        <v/>
      </c>
      <c r="BN75" s="25" t="inlineStr">
        <is>
          <t>Above 70%</t>
        </is>
      </c>
      <c r="BO75" s="25">
        <f>IF(BN75="Above 70%",10,IF(BN75="Between 50% to 70%",5,IF(BN75="Less than 50%",0,IF(BN75="Negative",-10,IF(BN75="Less than 50% and Borrowings are increasing",-5,0)))))</f>
        <v/>
      </c>
      <c r="BP75" s="25" t="inlineStr">
        <is>
          <t>Less than 0.7</t>
        </is>
      </c>
      <c r="BQ75" s="25">
        <f>IF(BP75="More than 1.2",-10,IF(BP75="Between 0.7 to 1.2",0,IF(BP75="Less than 0.7",10,0)))</f>
        <v/>
      </c>
      <c r="BR75" s="25" t="inlineStr">
        <is>
          <t>No</t>
        </is>
      </c>
      <c r="BS75" s="25">
        <f>IF(BR75="Yes",-10,0)</f>
        <v/>
      </c>
      <c r="BT75" s="25" t="inlineStr">
        <is>
          <t>Less than 15%</t>
        </is>
      </c>
      <c r="BU75" s="25">
        <f>IF(BT75="More than 15%",-10,IF(BT75="Less than 15%",10,0))</f>
        <v/>
      </c>
      <c r="BV75" s="25" t="inlineStr">
        <is>
          <t>No</t>
        </is>
      </c>
      <c r="BW75" s="25">
        <f>IF(BV75="Yes, more than 10%",-10,IF(BV75="No",10,0))</f>
        <v/>
      </c>
    </row>
    <row r="76">
      <c r="A76" s="25">
        <f>IF(B76=0,"",RANK(B76,$B$2:$B$292,0))</f>
        <v/>
      </c>
      <c r="B76" s="26">
        <f>SUM(Q76,S76,U76,W76,Y76,AA76,AC76,AE76,AG76,AI76,AK76,AM76,AO76,AQ76,AS76,AU76,AW76,AY76,BA76,BC76,BE76,BG76,BI76,BK76,BM76,BO76,BQ76,BS76,BU76,BW76)</f>
        <v/>
      </c>
      <c r="C76" s="25" t="inlineStr">
        <is>
          <t>CUMMINSIND</t>
        </is>
      </c>
      <c r="D76" s="25" t="inlineStr">
        <is>
          <t>Cummins India Limited</t>
        </is>
      </c>
      <c r="E76" s="25" t="inlineStr">
        <is>
          <t>industrials</t>
        </is>
      </c>
      <c r="F76" s="25" t="inlineStr">
        <is>
          <t>engines</t>
        </is>
      </c>
      <c r="G76" s="25" t="inlineStr">
        <is>
          <t>largecap</t>
        </is>
      </c>
      <c r="H76" s="26" t="n">
        <v>157463.46</v>
      </c>
      <c r="I76" s="26" t="n">
        <v>5708</v>
      </c>
      <c r="J76" s="26" t="n">
        <v>0.48</v>
      </c>
      <c r="K76" s="26" t="n">
        <v>702121</v>
      </c>
      <c r="L76" s="26" t="n">
        <v>72.95999999999999</v>
      </c>
      <c r="M76" s="26" t="n">
        <v>38.7</v>
      </c>
      <c r="N76" s="26" t="n">
        <v>4943.2</v>
      </c>
      <c r="O76" s="25" t="inlineStr">
        <is>
          <t>Near 52W High Breakout</t>
        </is>
      </c>
      <c r="P76" s="25" t="inlineStr">
        <is>
          <t>Cyclical in an Upturn</t>
        </is>
      </c>
      <c r="Q76" s="25">
        <f>IF(P76="Growing Industry",10,IF(P76="Cyclical in an Upturn",5,0))</f>
        <v/>
      </c>
      <c r="R76" s="25" t="inlineStr">
        <is>
          <t>Too Many Players with High ROCE</t>
        </is>
      </c>
      <c r="S76" s="25">
        <f>IF(R76="Monopoly",10,IF(R76="Oligopoly",5,IF(R76="Duopoly that cooperate",10,IF(R76="Duopoly that compete",5,IF(R76="Too many players with High ROCE",5,0)))))</f>
        <v/>
      </c>
      <c r="T76" s="25" t="inlineStr">
        <is>
          <t>No</t>
        </is>
      </c>
      <c r="U76" s="25">
        <f>IF(T76="No",5,0)</f>
        <v/>
      </c>
      <c r="V76" s="25" t="inlineStr">
        <is>
          <t>Tailwind</t>
        </is>
      </c>
      <c r="W76" s="25">
        <f>IF(V76="Tailwind",10,0)</f>
        <v/>
      </c>
      <c r="X76" s="25" t="inlineStr">
        <is>
          <t>Structural (10 Years Consistency)</t>
        </is>
      </c>
      <c r="Y76" s="25">
        <f>IF(X76="Structural (10 Years Consistency)",10,IF(X76="Shallow Cyclical (2 to 3 years growth)",5,0))</f>
        <v/>
      </c>
      <c r="Z76" s="25" t="inlineStr">
        <is>
          <t>No</t>
        </is>
      </c>
      <c r="AA76" s="25">
        <f>IF(Z76="Yes due to Product Mix change or Operating Leverage",10,IF(Z76="Yes, these are peak margins",-5,IF(Z76="No",5,0)))</f>
        <v/>
      </c>
      <c r="AB76" s="25" t="inlineStr">
        <is>
          <t>Stable</t>
        </is>
      </c>
      <c r="AC76" s="25">
        <f>IF(AB76="Stable",10,0)</f>
        <v/>
      </c>
      <c r="AD76" s="25" t="inlineStr">
        <is>
          <t>Yes</t>
        </is>
      </c>
      <c r="AE76" s="25">
        <f>IF(AD76="Yes",10,0)</f>
        <v/>
      </c>
      <c r="AF76" s="25" t="inlineStr">
        <is>
          <t>B2B</t>
        </is>
      </c>
      <c r="AG76" s="25">
        <f>IF(AF76="B2C",10,IF(AF76="B2B",5,0))</f>
        <v/>
      </c>
      <c r="AH76" s="25" t="inlineStr">
        <is>
          <t>Yes</t>
        </is>
      </c>
      <c r="AI76" s="25">
        <f>IF(AH76="Yes",10,0)</f>
        <v/>
      </c>
      <c r="AJ76" s="25" t="inlineStr">
        <is>
          <t>Higher One Time, Lower Annuity</t>
        </is>
      </c>
      <c r="AK76" s="25">
        <f>IF(AJ76="Fully Annuity",10,IF(AJ76="Higher Annuity, Lower One Time",5,IF(AJ76="Higher One Time, Lower Annuity",3,0)))</f>
        <v/>
      </c>
      <c r="AL76" s="25" t="inlineStr">
        <is>
          <t>Good</t>
        </is>
      </c>
      <c r="AM76" s="25">
        <f>IF(AL76="Good",10,0)</f>
        <v/>
      </c>
      <c r="AN76" s="25" t="inlineStr">
        <is>
          <t>Yes for more than 2 years</t>
        </is>
      </c>
      <c r="AO76" s="25">
        <f>IF(AN76="Yes for more than 2 years",10,IF(AN76="Yes only for next 1 to 2 years",5,0))</f>
        <v/>
      </c>
      <c r="AP76" s="25" t="inlineStr">
        <is>
          <t>20 to 40</t>
        </is>
      </c>
      <c r="AQ76" s="25">
        <f>IF(AP76="Above 40",20,IF(AP76="20 to 40",10,IF(AP76="0 to 20",-5,0)))</f>
        <v/>
      </c>
      <c r="AR76" s="25" t="inlineStr">
        <is>
          <t>Between 50 to 75</t>
        </is>
      </c>
      <c r="AS76" s="25">
        <f>IF(AR76="Between 50 to 75",10,IF(AR76="Above 75",0,0))</f>
        <v/>
      </c>
      <c r="AT76" s="25" t="inlineStr">
        <is>
          <t>Stage 2</t>
        </is>
      </c>
      <c r="AU76" s="25">
        <f>IF(AT76="Stage 2",20,IF(AT76="Stage 1",0,IF(AT76="Stage 3",5,IF(AT76="Stage 4",-5,0))))</f>
        <v/>
      </c>
      <c r="AV76" s="25" t="inlineStr">
        <is>
          <t>Positive Trend</t>
        </is>
      </c>
      <c r="AW76" s="25">
        <f>IF(AV76="Positive Trend",20,IF(AV76="Negative Trend",-10,0))</f>
        <v/>
      </c>
      <c r="AX76" s="25" t="inlineStr">
        <is>
          <t>Uptrend</t>
        </is>
      </c>
      <c r="AY76" s="25">
        <f>IF(AX76="Uptrend",10,IF(AX76="Sideways",5,0))</f>
        <v/>
      </c>
      <c r="AZ76" s="25" t="inlineStr">
        <is>
          <t>Uptrend</t>
        </is>
      </c>
      <c r="BA76" s="25">
        <f>IF(AZ76="Uptrend",10,IF(AZ76="Sideways",5,0))</f>
        <v/>
      </c>
      <c r="BB76" s="25" t="inlineStr">
        <is>
          <t>Blue sky scenario</t>
        </is>
      </c>
      <c r="BC76" s="25">
        <f>IF(BB76="Overhead supply in last 2 years in last 2 years",-5,IF(BB76="Close to 52 week high or retracement",5,IF(BB76="Blue sky scenario",10,IF(BB76="Long term Downtrend",-10,0))))</f>
        <v/>
      </c>
      <c r="BD76" s="25" t="inlineStr">
        <is>
          <t>Yes</t>
        </is>
      </c>
      <c r="BE76" s="25">
        <f>IF(BD76="Yes",10,0)</f>
        <v/>
      </c>
      <c r="BF76" s="25" t="inlineStr">
        <is>
          <t>More than 20%</t>
        </is>
      </c>
      <c r="BG76" s="25">
        <f>IF(BF76="More than 20%",10,IF(BF76="Between 12 to 20%",5,IF(BF76="Less than 12%",0,0)))</f>
        <v/>
      </c>
      <c r="BH76" s="25" t="inlineStr">
        <is>
          <t>No</t>
        </is>
      </c>
      <c r="BI76" s="25">
        <f>IF(BH76="No",10,0)</f>
        <v/>
      </c>
      <c r="BJ76" s="25" t="inlineStr">
        <is>
          <t>Yes</t>
        </is>
      </c>
      <c r="BK76" s="25">
        <f>IF(BJ76="NO",5,0)</f>
        <v/>
      </c>
      <c r="BL76" s="25" t="inlineStr">
        <is>
          <t>Less than 1.5</t>
        </is>
      </c>
      <c r="BM76" s="25">
        <f>IF(BL76="Above 2",0,IF(BL76="Between 1.5 to 2",5,IF(BL76="Less than 1.5",10,0)))</f>
        <v/>
      </c>
      <c r="BN76" s="25" t="inlineStr">
        <is>
          <t>Between 50% to 70%</t>
        </is>
      </c>
      <c r="BO76" s="25">
        <f>IF(BN76="Above 70%",10,IF(BN76="Between 50% to 70%",5,IF(BN76="Less than 50%",0,IF(BN76="Negative",-10,IF(BN76="Less than 50% and Borrowings are increasing",-5,0)))))</f>
        <v/>
      </c>
      <c r="BP76" s="25" t="inlineStr">
        <is>
          <t>Less than 0.7</t>
        </is>
      </c>
      <c r="BQ76" s="25">
        <f>IF(BP76="More than 1.2",-10,IF(BP76="Between 0.7 to 1.2",0,IF(BP76="Less than 0.7",10,0)))</f>
        <v/>
      </c>
      <c r="BR76" s="25" t="inlineStr">
        <is>
          <t>No</t>
        </is>
      </c>
      <c r="BS76" s="25">
        <f>IF(BR76="Yes",-10,0)</f>
        <v/>
      </c>
      <c r="BT76" s="25" t="inlineStr">
        <is>
          <t>Less than 15%</t>
        </is>
      </c>
      <c r="BU76" s="25">
        <f>IF(BT76="More than 15%",-10,IF(BT76="Less than 15%",10,0))</f>
        <v/>
      </c>
      <c r="BV76" s="25" t="inlineStr">
        <is>
          <t>No</t>
        </is>
      </c>
      <c r="BW76" s="25">
        <f>IF(BV76="Yes, more than 10%",-10,IF(BV76="No",10,0))</f>
        <v/>
      </c>
    </row>
    <row r="77">
      <c r="A77" s="25">
        <f>IF(B77=0,"",RANK(B77,$B$2:$B$292,0))</f>
        <v/>
      </c>
      <c r="B77" s="26">
        <f>SUM(Q77,S77,U77,W77,Y77,AA77,AC77,AE77,AG77,AI77,AK77,AM77,AO77,AQ77,AS77,AU77,AW77,AY77,BA77,BC77,BE77,BG77,BI77,BK77,BM77,BO77,BQ77,BS77,BU77,BW77)</f>
        <v/>
      </c>
      <c r="C77" s="25" t="inlineStr">
        <is>
          <t>SJS</t>
        </is>
      </c>
      <c r="D77" s="25" t="inlineStr">
        <is>
          <t>S J S Enterprises Ltd</t>
        </is>
      </c>
      <c r="E77" s="25" t="inlineStr">
        <is>
          <t>auto</t>
        </is>
      </c>
      <c r="F77" s="25" t="inlineStr">
        <is>
          <t>plastics products</t>
        </is>
      </c>
      <c r="G77" s="25" t="inlineStr">
        <is>
          <t>midcap</t>
        </is>
      </c>
      <c r="H77" s="26" t="n">
        <v>6426.55</v>
      </c>
      <c r="I77" s="26" t="n">
        <v>2018.2</v>
      </c>
      <c r="J77" s="26" t="n">
        <v>0.48</v>
      </c>
      <c r="K77" s="26" t="n">
        <v>116994</v>
      </c>
      <c r="L77" s="26" t="n">
        <v>61.26</v>
      </c>
      <c r="M77" s="26" t="n">
        <v>19.85</v>
      </c>
      <c r="N77" s="26" t="n">
        <v>1637.65</v>
      </c>
      <c r="O77" s="25" t="inlineStr">
        <is>
          <t>Near 52W High Breakout</t>
        </is>
      </c>
      <c r="P77" s="25" t="inlineStr">
        <is>
          <t>Growing Industry</t>
        </is>
      </c>
      <c r="Q77" s="25">
        <f>IF(P77="Growing Industry",10,IF(P77="Cyclical in an Upturn",5,0))</f>
        <v/>
      </c>
      <c r="R77" s="25" t="inlineStr">
        <is>
          <t>Too Many Players with High ROCE</t>
        </is>
      </c>
      <c r="S77" s="25">
        <f>IF(R77="Monopoly",10,IF(R77="Oligopoly",5,IF(R77="Duopoly that cooperate",10,IF(R77="Duopoly that compete",5,IF(R77="Too many players with High ROCE",5,0)))))</f>
        <v/>
      </c>
      <c r="T77" s="25" t="inlineStr">
        <is>
          <t>No</t>
        </is>
      </c>
      <c r="U77" s="25">
        <f>IF(T77="No",5,0)</f>
        <v/>
      </c>
      <c r="V77" s="25" t="inlineStr">
        <is>
          <t>Tailwind</t>
        </is>
      </c>
      <c r="W77" s="25">
        <f>IF(V77="Tailwind",10,0)</f>
        <v/>
      </c>
      <c r="X77" s="25" t="inlineStr">
        <is>
          <t>Structural (10 Years Consistency)</t>
        </is>
      </c>
      <c r="Y77" s="25">
        <f>IF(X77="Structural (10 Years Consistency)",10,IF(X77="Shallow Cyclical (2 to 3 years growth)",5,0))</f>
        <v/>
      </c>
      <c r="Z77" s="25" t="inlineStr">
        <is>
          <t>No</t>
        </is>
      </c>
      <c r="AA77" s="25">
        <f>IF(Z77="Yes due to Product Mix change or Operating Leverage",10,IF(Z77="Yes, these are peak margins",-5,IF(Z77="No",5,0)))</f>
        <v/>
      </c>
      <c r="AB77" s="25" t="inlineStr">
        <is>
          <t>Stable</t>
        </is>
      </c>
      <c r="AC77" s="25">
        <f>IF(AB77="Stable",10,0)</f>
        <v/>
      </c>
      <c r="AD77" s="25" t="inlineStr">
        <is>
          <t>Yes</t>
        </is>
      </c>
      <c r="AE77" s="25">
        <f>IF(AD77="Yes",10,0)</f>
        <v/>
      </c>
      <c r="AF77" s="25" t="inlineStr">
        <is>
          <t>B2B</t>
        </is>
      </c>
      <c r="AG77" s="25">
        <f>IF(AF77="B2C",10,IF(AF77="B2B",5,0))</f>
        <v/>
      </c>
      <c r="AH77" s="25" t="inlineStr">
        <is>
          <t>Yes</t>
        </is>
      </c>
      <c r="AI77" s="25">
        <f>IF(AH77="Yes",10,0)</f>
        <v/>
      </c>
      <c r="AJ77" s="25" t="inlineStr">
        <is>
          <t>Higher One Time, Lower Annuity</t>
        </is>
      </c>
      <c r="AK77" s="25">
        <f>IF(AJ77="Fully Annuity",10,IF(AJ77="Higher Annuity, Lower One Time",5,IF(AJ77="Higher One Time, Lower Annuity",3,0)))</f>
        <v/>
      </c>
      <c r="AL77" s="25" t="inlineStr">
        <is>
          <t>Good</t>
        </is>
      </c>
      <c r="AM77" s="25">
        <f>IF(AL77="Good",10,0)</f>
        <v/>
      </c>
      <c r="AN77" s="25" t="inlineStr">
        <is>
          <t>Yes for more than 2 years</t>
        </is>
      </c>
      <c r="AO77" s="25">
        <f>IF(AN77="Yes for more than 2 years",10,IF(AN77="Yes only for next 1 to 2 years",5,0))</f>
        <v/>
      </c>
      <c r="AP77" s="25" t="inlineStr">
        <is>
          <t>0 to 20</t>
        </is>
      </c>
      <c r="AQ77" s="25">
        <f>IF(AP77="Above 40",20,IF(AP77="20 to 40",10,IF(AP77="0 to 20",-5,0)))</f>
        <v/>
      </c>
      <c r="AR77" s="25" t="inlineStr">
        <is>
          <t>Between 50 to 75</t>
        </is>
      </c>
      <c r="AS77" s="25">
        <f>IF(AR77="Between 50 to 75",10,IF(AR77="Above 75",0,0))</f>
        <v/>
      </c>
      <c r="AT77" s="25" t="inlineStr">
        <is>
          <t>Stage 2</t>
        </is>
      </c>
      <c r="AU77" s="25">
        <f>IF(AT77="Stage 2",20,IF(AT77="Stage 1",0,IF(AT77="Stage 3",5,IF(AT77="Stage 4",-5,0))))</f>
        <v/>
      </c>
      <c r="AV77" s="25" t="inlineStr">
        <is>
          <t>Positive Trend</t>
        </is>
      </c>
      <c r="AW77" s="25">
        <f>IF(AV77="Positive Trend",20,IF(AV77="Negative Trend",-10,0))</f>
        <v/>
      </c>
      <c r="AX77" s="25" t="inlineStr">
        <is>
          <t>Uptrend</t>
        </is>
      </c>
      <c r="AY77" s="25">
        <f>IF(AX77="Uptrend",10,IF(AX77="Sideways",5,0))</f>
        <v/>
      </c>
      <c r="AZ77" s="25" t="inlineStr">
        <is>
          <t>Uptrend</t>
        </is>
      </c>
      <c r="BA77" s="25">
        <f>IF(AZ77="Uptrend",10,IF(AZ77="Sideways",5,0))</f>
        <v/>
      </c>
      <c r="BB77" s="25" t="inlineStr">
        <is>
          <t>Blue sky scenario</t>
        </is>
      </c>
      <c r="BC77" s="25">
        <f>IF(BB77="Overhead supply in last 2 years in last 2 years",-5,IF(BB77="Close to 52 week high or retracement",5,IF(BB77="Blue sky scenario",10,IF(BB77="Long term Downtrend",-10,0))))</f>
        <v/>
      </c>
      <c r="BD77" s="25" t="inlineStr">
        <is>
          <t>Yes</t>
        </is>
      </c>
      <c r="BE77" s="25">
        <f>IF(BD77="Yes",10,0)</f>
        <v/>
      </c>
      <c r="BF77" s="25" t="inlineStr">
        <is>
          <t>More than 20%</t>
        </is>
      </c>
      <c r="BG77" s="25">
        <f>IF(BF77="More than 20%",10,IF(BF77="Between 12 to 20%",5,IF(BF77="Less than 12%",0,0)))</f>
        <v/>
      </c>
      <c r="BH77" s="25" t="inlineStr">
        <is>
          <t>No</t>
        </is>
      </c>
      <c r="BI77" s="25">
        <f>IF(BH77="No",10,0)</f>
        <v/>
      </c>
      <c r="BJ77" s="25" t="inlineStr">
        <is>
          <t>No</t>
        </is>
      </c>
      <c r="BK77" s="25">
        <f>IF(BJ77="NO",5,0)</f>
        <v/>
      </c>
      <c r="BL77" s="25" t="inlineStr">
        <is>
          <t>Less than 1.5</t>
        </is>
      </c>
      <c r="BM77" s="25">
        <f>IF(BL77="Above 2",0,IF(BL77="Between 1.5 to 2",5,IF(BL77="Less than 1.5",10,0)))</f>
        <v/>
      </c>
      <c r="BN77" s="25" t="inlineStr">
        <is>
          <t>Above 70%</t>
        </is>
      </c>
      <c r="BO77" s="25">
        <f>IF(BN77="Above 70%",10,IF(BN77="Between 50% to 70%",5,IF(BN77="Less than 50%",0,IF(BN77="Negative",-10,IF(BN77="Less than 50% and Borrowings are increasing",-5,0)))))</f>
        <v/>
      </c>
      <c r="BP77" s="25" t="inlineStr">
        <is>
          <t>Less than 0.7</t>
        </is>
      </c>
      <c r="BQ77" s="25">
        <f>IF(BP77="More than 1.2",-10,IF(BP77="Between 0.7 to 1.2",0,IF(BP77="Less than 0.7",10,0)))</f>
        <v/>
      </c>
      <c r="BR77" s="25" t="inlineStr">
        <is>
          <t>No</t>
        </is>
      </c>
      <c r="BS77" s="25">
        <f>IF(BR77="Yes",-10,0)</f>
        <v/>
      </c>
      <c r="BT77" s="25" t="inlineStr">
        <is>
          <t>Less than 15%</t>
        </is>
      </c>
      <c r="BU77" s="25">
        <f>IF(BT77="More than 15%",-10,IF(BT77="Less than 15%",10,0))</f>
        <v/>
      </c>
      <c r="BV77" s="25" t="inlineStr">
        <is>
          <t>No</t>
        </is>
      </c>
      <c r="BW77" s="25">
        <f>IF(BV77="Yes, more than 10%",-10,IF(BV77="No",10,0))</f>
        <v/>
      </c>
    </row>
    <row r="78">
      <c r="A78" s="25">
        <f>IF(B78=0,"",RANK(B78,$B$2:$B$292,0))</f>
        <v/>
      </c>
      <c r="B78" s="26">
        <f>SUM(Q78,S78,U78,W78,Y78,AA78,AC78,AE78,AG78,AI78,AK78,AM78,AO78,AQ78,AS78,AU78,AW78,AY78,BA78,BC78,BE78,BG78,BI78,BK78,BM78,BO78,BQ78,BS78,BU78,BW78)</f>
        <v/>
      </c>
      <c r="C78" s="25" t="inlineStr">
        <is>
          <t>TALBROAUTO</t>
        </is>
      </c>
      <c r="D78" s="25" t="inlineStr">
        <is>
          <t>Talbros Automotive Components Limited</t>
        </is>
      </c>
      <c r="E78" s="25" t="inlineStr">
        <is>
          <t>auto</t>
        </is>
      </c>
      <c r="F78" s="25" t="inlineStr">
        <is>
          <t>auto ancillaries</t>
        </is>
      </c>
      <c r="G78" s="25" t="inlineStr">
        <is>
          <t>smallcap</t>
        </is>
      </c>
      <c r="H78" s="26" t="n">
        <v>2120.36</v>
      </c>
      <c r="I78" s="26" t="n">
        <v>342.35</v>
      </c>
      <c r="J78" s="26" t="n">
        <v>-0.33</v>
      </c>
      <c r="K78" s="26" t="n">
        <v>91878</v>
      </c>
      <c r="L78" s="26" t="n">
        <v>64.98</v>
      </c>
      <c r="M78" s="26" t="n">
        <v>26.78</v>
      </c>
      <c r="N78" s="26" t="n">
        <v>273.38</v>
      </c>
      <c r="O78" s="25" t="inlineStr">
        <is>
          <t>Near 52W High Breakout</t>
        </is>
      </c>
      <c r="P78" s="25" t="inlineStr">
        <is>
          <t>Growing Industry</t>
        </is>
      </c>
      <c r="Q78" s="25">
        <f>IF(P78="Growing Industry",10,IF(P78="Cyclical in an Upturn",5,0))</f>
        <v/>
      </c>
      <c r="R78" s="25" t="inlineStr">
        <is>
          <t>Too Many Players with High ROCE</t>
        </is>
      </c>
      <c r="S78" s="25">
        <f>IF(R78="Monopoly",10,IF(R78="Oligopoly",5,IF(R78="Duopoly that cooperate",10,IF(R78="Duopoly that compete",5,IF(R78="Too many players with High ROCE",5,0)))))</f>
        <v/>
      </c>
      <c r="T78" s="25" t="inlineStr">
        <is>
          <t>No</t>
        </is>
      </c>
      <c r="U78" s="25">
        <f>IF(T78="No",5,0)</f>
        <v/>
      </c>
      <c r="V78" s="25" t="inlineStr">
        <is>
          <t>Tailwind</t>
        </is>
      </c>
      <c r="W78" s="25">
        <f>IF(V78="Tailwind",10,0)</f>
        <v/>
      </c>
      <c r="X78" s="25" t="inlineStr">
        <is>
          <t>Structural (10 Years Consistency)</t>
        </is>
      </c>
      <c r="Y78" s="25">
        <f>IF(X78="Structural (10 Years Consistency)",10,IF(X78="Shallow Cyclical (2 to 3 years growth)",5,0))</f>
        <v/>
      </c>
      <c r="Z78" s="25" t="inlineStr">
        <is>
          <t>No</t>
        </is>
      </c>
      <c r="AA78" s="25">
        <f>IF(Z78="Yes due to Product Mix change or Operating Leverage",10,IF(Z78="Yes, these are peak margins",-5,IF(Z78="No",5,0)))</f>
        <v/>
      </c>
      <c r="AB78" s="25" t="inlineStr">
        <is>
          <t>Stable</t>
        </is>
      </c>
      <c r="AC78" s="25">
        <f>IF(AB78="Stable",10,0)</f>
        <v/>
      </c>
      <c r="AD78" s="25" t="inlineStr">
        <is>
          <t>Yes</t>
        </is>
      </c>
      <c r="AE78" s="25">
        <f>IF(AD78="Yes",10,0)</f>
        <v/>
      </c>
      <c r="AF78" s="25" t="inlineStr">
        <is>
          <t>B2B</t>
        </is>
      </c>
      <c r="AG78" s="25">
        <f>IF(AF78="B2C",10,IF(AF78="B2B",5,0))</f>
        <v/>
      </c>
      <c r="AH78" s="25" t="inlineStr">
        <is>
          <t>Yes</t>
        </is>
      </c>
      <c r="AI78" s="25">
        <f>IF(AH78="Yes",10,0)</f>
        <v/>
      </c>
      <c r="AJ78" s="25" t="inlineStr">
        <is>
          <t>Higher One Time, Lower Annuity</t>
        </is>
      </c>
      <c r="AK78" s="25">
        <f>IF(AJ78="Fully Annuity",10,IF(AJ78="Higher Annuity, Lower One Time",5,IF(AJ78="Higher One Time, Lower Annuity",3,0)))</f>
        <v/>
      </c>
      <c r="AL78" s="25" t="inlineStr">
        <is>
          <t>Good</t>
        </is>
      </c>
      <c r="AM78" s="25">
        <f>IF(AL78="Good",10,0)</f>
        <v/>
      </c>
      <c r="AN78" s="25" t="inlineStr">
        <is>
          <t>Yes for more than 2 years</t>
        </is>
      </c>
      <c r="AO78" s="25">
        <f>IF(AN78="Yes for more than 2 years",10,IF(AN78="Yes only for next 1 to 2 years",5,0))</f>
        <v/>
      </c>
      <c r="AP78" s="25" t="inlineStr">
        <is>
          <t>20 to 40</t>
        </is>
      </c>
      <c r="AQ78" s="25">
        <f>IF(AP78="Above 40",20,IF(AP78="20 to 40",10,IF(AP78="0 to 20",-5,0)))</f>
        <v/>
      </c>
      <c r="AR78" s="25" t="inlineStr">
        <is>
          <t>Between 50 to 75</t>
        </is>
      </c>
      <c r="AS78" s="25">
        <f>IF(AR78="Between 50 to 75",10,IF(AR78="Above 75",0,0))</f>
        <v/>
      </c>
      <c r="AT78" s="25" t="inlineStr">
        <is>
          <t>Stage 2</t>
        </is>
      </c>
      <c r="AU78" s="25">
        <f>IF(AT78="Stage 2",20,IF(AT78="Stage 1",0,IF(AT78="Stage 3",5,IF(AT78="Stage 4",-5,0))))</f>
        <v/>
      </c>
      <c r="AV78" s="25" t="inlineStr">
        <is>
          <t>Positive Trend</t>
        </is>
      </c>
      <c r="AW78" s="25">
        <f>IF(AV78="Positive Trend",20,IF(AV78="Negative Trend",-10,0))</f>
        <v/>
      </c>
      <c r="AX78" s="25" t="inlineStr">
        <is>
          <t>Uptrend</t>
        </is>
      </c>
      <c r="AY78" s="25">
        <f>IF(AX78="Uptrend",10,IF(AX78="Sideways",5,0))</f>
        <v/>
      </c>
      <c r="AZ78" s="25" t="inlineStr">
        <is>
          <t>Uptrend</t>
        </is>
      </c>
      <c r="BA78" s="25">
        <f>IF(AZ78="Uptrend",10,IF(AZ78="Sideways",5,0))</f>
        <v/>
      </c>
      <c r="BB78" s="25" t="inlineStr">
        <is>
          <t>Close to 52 week high or retracement</t>
        </is>
      </c>
      <c r="BC78" s="25">
        <f>IF(BB78="Overhead supply in last 2 years in last 2 years",-5,IF(BB78="Close to 52 week high or retracement",5,IF(BB78="Blue sky scenario",10,IF(BB78="Long term Downtrend",-10,0))))</f>
        <v/>
      </c>
      <c r="BD78" s="25" t="inlineStr">
        <is>
          <t>Yes</t>
        </is>
      </c>
      <c r="BE78" s="25">
        <f>IF(BD78="Yes",10,0)</f>
        <v/>
      </c>
      <c r="BF78" s="25" t="inlineStr">
        <is>
          <t>Between 12 to 20%</t>
        </is>
      </c>
      <c r="BG78" s="25">
        <f>IF(BF78="More than 20%",10,IF(BF78="Between 12 to 20%",5,IF(BF78="Less than 12%",0,0)))</f>
        <v/>
      </c>
      <c r="BH78" s="25" t="inlineStr">
        <is>
          <t>No</t>
        </is>
      </c>
      <c r="BI78" s="25">
        <f>IF(BH78="No",10,0)</f>
        <v/>
      </c>
      <c r="BJ78" s="25" t="inlineStr">
        <is>
          <t>No</t>
        </is>
      </c>
      <c r="BK78" s="25">
        <f>IF(BJ78="NO",5,0)</f>
        <v/>
      </c>
      <c r="BL78" s="25" t="inlineStr">
        <is>
          <t>Less than 1.5</t>
        </is>
      </c>
      <c r="BM78" s="25">
        <f>IF(BL78="Above 2",0,IF(BL78="Between 1.5 to 2",5,IF(BL78="Less than 1.5",10,0)))</f>
        <v/>
      </c>
      <c r="BN78" s="25" t="inlineStr">
        <is>
          <t>Between 50% to 70%</t>
        </is>
      </c>
      <c r="BO78" s="25">
        <f>IF(BN78="Above 70%",10,IF(BN78="Between 50% to 70%",5,IF(BN78="Less than 50%",0,IF(BN78="Negative",-10,IF(BN78="Less than 50% and Borrowings are increasing",-5,0)))))</f>
        <v/>
      </c>
      <c r="BP78" s="25" t="inlineStr">
        <is>
          <t>Less than 0.7</t>
        </is>
      </c>
      <c r="BQ78" s="25">
        <f>IF(BP78="More than 1.2",-10,IF(BP78="Between 0.7 to 1.2",0,IF(BP78="Less than 0.7",10,0)))</f>
        <v/>
      </c>
      <c r="BR78" s="25" t="inlineStr">
        <is>
          <t>No</t>
        </is>
      </c>
      <c r="BS78" s="25">
        <f>IF(BR78="Yes",-10,0)</f>
        <v/>
      </c>
      <c r="BT78" s="25" t="inlineStr">
        <is>
          <t>Less than 15%</t>
        </is>
      </c>
      <c r="BU78" s="25">
        <f>IF(BT78="More than 15%",-10,IF(BT78="Less than 15%",10,0))</f>
        <v/>
      </c>
      <c r="BV78" s="25" t="inlineStr">
        <is>
          <t>No</t>
        </is>
      </c>
      <c r="BW78" s="25">
        <f>IF(BV78="Yes, more than 10%",-10,IF(BV78="No",10,0))</f>
        <v/>
      </c>
    </row>
    <row r="79">
      <c r="A79" s="25">
        <f>IF(B79=0,"",RANK(B79,$B$2:$B$292,0))</f>
        <v/>
      </c>
      <c r="B79" s="26">
        <f>SUM(Q79,S79,U79,W79,Y79,AA79,AC79,AE79,AG79,AI79,AK79,AM79,AO79,AQ79,AS79,AU79,AW79,AY79,BA79,BC79,BE79,BG79,BI79,BK79,BM79,BO79,BQ79,BS79,BU79,BW79)</f>
        <v/>
      </c>
      <c r="C79" s="25" t="inlineStr">
        <is>
          <t>LUMAXTECH</t>
        </is>
      </c>
      <c r="D79" s="25" t="inlineStr">
        <is>
          <t>Lumax Auto Technologies Limited</t>
        </is>
      </c>
      <c r="E79" s="25" t="inlineStr">
        <is>
          <t>auto</t>
        </is>
      </c>
      <c r="F79" s="25" t="inlineStr">
        <is>
          <t>auto ancillaries</t>
        </is>
      </c>
      <c r="G79" s="25" t="inlineStr">
        <is>
          <t>midcap</t>
        </is>
      </c>
      <c r="H79" s="26" t="n">
        <v>12003.94</v>
      </c>
      <c r="I79" s="26" t="n">
        <v>1746.8</v>
      </c>
      <c r="J79" s="26" t="n">
        <v>-0.82</v>
      </c>
      <c r="K79" s="26" t="n">
        <v>273298</v>
      </c>
      <c r="L79" s="26" t="n">
        <v>57.99</v>
      </c>
      <c r="M79" s="26" t="n">
        <v>22.41</v>
      </c>
      <c r="N79" s="26" t="n">
        <v>1301.7</v>
      </c>
      <c r="O79" s="25" t="inlineStr">
        <is>
          <t>Near 52W High Breakout</t>
        </is>
      </c>
      <c r="P79" s="25" t="inlineStr">
        <is>
          <t>Growing Industry</t>
        </is>
      </c>
      <c r="Q79" s="25">
        <f>IF(P79="Growing Industry",10,IF(P79="Cyclical in an Upturn",5,0))</f>
        <v/>
      </c>
      <c r="R79" s="25" t="inlineStr">
        <is>
          <t>Too Many Players with High ROCE</t>
        </is>
      </c>
      <c r="S79" s="25">
        <f>IF(R79="Monopoly",10,IF(R79="Oligopoly",5,IF(R79="Duopoly that cooperate",10,IF(R79="Duopoly that compete",5,IF(R79="Too many players with High ROCE",5,0)))))</f>
        <v/>
      </c>
      <c r="T79" s="25" t="inlineStr">
        <is>
          <t>No</t>
        </is>
      </c>
      <c r="U79" s="25">
        <f>IF(T79="No",5,0)</f>
        <v/>
      </c>
      <c r="V79" s="25" t="inlineStr">
        <is>
          <t>Tailwind</t>
        </is>
      </c>
      <c r="W79" s="25">
        <f>IF(V79="Tailwind",10,0)</f>
        <v/>
      </c>
      <c r="X79" s="25" t="inlineStr">
        <is>
          <t>Structural (10 Years Consistency)</t>
        </is>
      </c>
      <c r="Y79" s="25">
        <f>IF(X79="Structural (10 Years Consistency)",10,IF(X79="Shallow Cyclical (2 to 3 years growth)",5,0))</f>
        <v/>
      </c>
      <c r="Z79" s="25" t="inlineStr">
        <is>
          <t>No</t>
        </is>
      </c>
      <c r="AA79" s="25">
        <f>IF(Z79="Yes due to Product Mix change or Operating Leverage",10,IF(Z79="Yes, these are peak margins",-5,IF(Z79="No",5,0)))</f>
        <v/>
      </c>
      <c r="AB79" s="25" t="inlineStr">
        <is>
          <t>Stable</t>
        </is>
      </c>
      <c r="AC79" s="25">
        <f>IF(AB79="Stable",10,0)</f>
        <v/>
      </c>
      <c r="AD79" s="25" t="inlineStr">
        <is>
          <t>Yes</t>
        </is>
      </c>
      <c r="AE79" s="25">
        <f>IF(AD79="Yes",10,0)</f>
        <v/>
      </c>
      <c r="AF79" s="25" t="inlineStr">
        <is>
          <t>B2B</t>
        </is>
      </c>
      <c r="AG79" s="25">
        <f>IF(AF79="B2C",10,IF(AF79="B2B",5,0))</f>
        <v/>
      </c>
      <c r="AH79" s="25" t="inlineStr">
        <is>
          <t>Yes</t>
        </is>
      </c>
      <c r="AI79" s="25">
        <f>IF(AH79="Yes",10,0)</f>
        <v/>
      </c>
      <c r="AJ79" s="25" t="inlineStr">
        <is>
          <t>Higher One Time, Lower Annuity</t>
        </is>
      </c>
      <c r="AK79" s="25">
        <f>IF(AJ79="Fully Annuity",10,IF(AJ79="Higher Annuity, Lower One Time",5,IF(AJ79="Higher One Time, Lower Annuity",3,0)))</f>
        <v/>
      </c>
      <c r="AL79" s="25" t="inlineStr">
        <is>
          <t>Good</t>
        </is>
      </c>
      <c r="AM79" s="25">
        <f>IF(AL79="Good",10,0)</f>
        <v/>
      </c>
      <c r="AN79" s="25" t="inlineStr">
        <is>
          <t>Yes for more than 2 years</t>
        </is>
      </c>
      <c r="AO79" s="25">
        <f>IF(AN79="Yes for more than 2 years",10,IF(AN79="Yes only for next 1 to 2 years",5,0))</f>
        <v/>
      </c>
      <c r="AP79" s="25" t="inlineStr">
        <is>
          <t>20 to 40</t>
        </is>
      </c>
      <c r="AQ79" s="25">
        <f>IF(AP79="Above 40",20,IF(AP79="20 to 40",10,IF(AP79="0 to 20",-5,0)))</f>
        <v/>
      </c>
      <c r="AR79" s="25" t="inlineStr">
        <is>
          <t>Between 50 to 75</t>
        </is>
      </c>
      <c r="AS79" s="25">
        <f>IF(AR79="Between 50 to 75",10,IF(AR79="Above 75",0,0))</f>
        <v/>
      </c>
      <c r="AT79" s="25" t="inlineStr">
        <is>
          <t>Stage 2</t>
        </is>
      </c>
      <c r="AU79" s="25">
        <f>IF(AT79="Stage 2",20,IF(AT79="Stage 1",0,IF(AT79="Stage 3",5,IF(AT79="Stage 4",-5,0))))</f>
        <v/>
      </c>
      <c r="AV79" s="25" t="inlineStr">
        <is>
          <t>Positive Trend</t>
        </is>
      </c>
      <c r="AW79" s="25">
        <f>IF(AV79="Positive Trend",20,IF(AV79="Negative Trend",-10,0))</f>
        <v/>
      </c>
      <c r="AX79" s="25" t="inlineStr">
        <is>
          <t>Uptrend</t>
        </is>
      </c>
      <c r="AY79" s="25">
        <f>IF(AX79="Uptrend",10,IF(AX79="Sideways",5,0))</f>
        <v/>
      </c>
      <c r="AZ79" s="25" t="inlineStr">
        <is>
          <t>Uptrend</t>
        </is>
      </c>
      <c r="BA79" s="25">
        <f>IF(AZ79="Uptrend",10,IF(AZ79="Sideways",5,0))</f>
        <v/>
      </c>
      <c r="BB79" s="25" t="inlineStr">
        <is>
          <t>Blue sky scenario</t>
        </is>
      </c>
      <c r="BC79" s="25">
        <f>IF(BB79="Overhead supply in last 2 years in last 2 years",-5,IF(BB79="Close to 52 week high or retracement",5,IF(BB79="Blue sky scenario",10,IF(BB79="Long term Downtrend",-10,0))))</f>
        <v/>
      </c>
      <c r="BD79" s="25" t="inlineStr">
        <is>
          <t>Yes</t>
        </is>
      </c>
      <c r="BE79" s="25">
        <f>IF(BD79="Yes",10,0)</f>
        <v/>
      </c>
      <c r="BF79" s="25" t="inlineStr">
        <is>
          <t>More than 20%</t>
        </is>
      </c>
      <c r="BG79" s="25">
        <f>IF(BF79="More than 20%",10,IF(BF79="Between 12 to 20%",5,IF(BF79="Less than 12%",0,0)))</f>
        <v/>
      </c>
      <c r="BH79" s="25" t="inlineStr">
        <is>
          <t>No</t>
        </is>
      </c>
      <c r="BI79" s="25">
        <f>IF(BH79="No",10,0)</f>
        <v/>
      </c>
      <c r="BJ79" s="25" t="inlineStr">
        <is>
          <t>Yes</t>
        </is>
      </c>
      <c r="BK79" s="25">
        <f>IF(BJ79="NO",5,0)</f>
        <v/>
      </c>
      <c r="BL79" s="25" t="inlineStr">
        <is>
          <t>Less than 1.5</t>
        </is>
      </c>
      <c r="BM79" s="25">
        <f>IF(BL79="Above 2",0,IF(BL79="Between 1.5 to 2",5,IF(BL79="Less than 1.5",10,0)))</f>
        <v/>
      </c>
      <c r="BN79" s="25" t="inlineStr">
        <is>
          <t>Above 70%</t>
        </is>
      </c>
      <c r="BO79" s="25">
        <f>IF(BN79="Above 70%",10,IF(BN79="Between 50% to 70%",5,IF(BN79="Less than 50%",0,IF(BN79="Negative",-10,IF(BN79="Less than 50% and Borrowings are increasing",-5,0)))))</f>
        <v/>
      </c>
      <c r="BP79" s="25" t="inlineStr">
        <is>
          <t>Between 0.7 to 1.2</t>
        </is>
      </c>
      <c r="BQ79" s="25">
        <f>IF(BP79="More than 1.2",-10,IF(BP79="Between 0.7 to 1.2",0,IF(BP79="Less than 0.7",10,0)))</f>
        <v/>
      </c>
      <c r="BR79" s="25" t="inlineStr">
        <is>
          <t>No</t>
        </is>
      </c>
      <c r="BS79" s="25">
        <f>IF(BR79="Yes",-10,0)</f>
        <v/>
      </c>
      <c r="BT79" s="25" t="inlineStr">
        <is>
          <t>Less than 15%</t>
        </is>
      </c>
      <c r="BU79" s="25">
        <f>IF(BT79="More than 15%",-10,IF(BT79="Less than 15%",10,0))</f>
        <v/>
      </c>
      <c r="BV79" s="25" t="inlineStr">
        <is>
          <t>No</t>
        </is>
      </c>
      <c r="BW79" s="25">
        <f>IF(BV79="Yes, more than 10%",-10,IF(BV79="No",10,0))</f>
        <v/>
      </c>
    </row>
    <row r="80">
      <c r="A80" s="25">
        <f>IF(B80=0,"",RANK(B80,$B$2:$B$292,0))</f>
        <v/>
      </c>
      <c r="B80" s="26">
        <f>SUM(Q80,S80,U80,W80,Y80,AA80,AC80,AE80,AG80,AI80,AK80,AM80,AO80,AQ80,AS80,AU80,AW80,AY80,BA80,BC80,BE80,BG80,BI80,BK80,BM80,BO80,BQ80,BS80,BU80,BW80)</f>
        <v/>
      </c>
      <c r="C80" s="25" t="inlineStr">
        <is>
          <t>SOMANYCERA</t>
        </is>
      </c>
      <c r="D80" s="25" t="inlineStr">
        <is>
          <t>Somany Ceramics Limited</t>
        </is>
      </c>
      <c r="E80" s="25" t="inlineStr">
        <is>
          <t>building materials</t>
        </is>
      </c>
      <c r="F80" s="25" t="inlineStr">
        <is>
          <t>ceramics - tiles / sanitaryware</t>
        </is>
      </c>
      <c r="G80" s="25" t="inlineStr">
        <is>
          <t>smallcap</t>
        </is>
      </c>
      <c r="H80" s="26" t="n">
        <v>2157.27</v>
      </c>
      <c r="I80" s="26" t="n">
        <v>518.05</v>
      </c>
      <c r="J80" s="26" t="n">
        <v>-1.51</v>
      </c>
      <c r="K80" s="26" t="n">
        <v>172505</v>
      </c>
      <c r="L80" s="26" t="n">
        <v>63.35</v>
      </c>
      <c r="M80" s="26" t="n">
        <v>28.51</v>
      </c>
      <c r="N80" s="26" t="n">
        <v>399.62</v>
      </c>
      <c r="O80" s="25" t="inlineStr">
        <is>
          <t>Earnings / Momentum Support</t>
        </is>
      </c>
      <c r="P80" s="25" t="inlineStr">
        <is>
          <t>Growing Industry</t>
        </is>
      </c>
      <c r="Q80" s="25">
        <f>IF(P80="Growing Industry",10,IF(P80="Cyclical in an Upturn",5,0))</f>
        <v/>
      </c>
      <c r="R80" s="25" t="inlineStr">
        <is>
          <t>Too Many Players with High ROCE</t>
        </is>
      </c>
      <c r="S80" s="25">
        <f>IF(R80="Monopoly",10,IF(R80="Oligopoly",5,IF(R80="Duopoly that cooperate",10,IF(R80="Duopoly that compete",5,IF(R80="Too many players with High ROCE",5,0)))))</f>
        <v/>
      </c>
      <c r="T80" s="25" t="inlineStr">
        <is>
          <t>No</t>
        </is>
      </c>
      <c r="U80" s="25">
        <f>IF(T80="No",5,0)</f>
        <v/>
      </c>
      <c r="V80" s="25" t="inlineStr">
        <is>
          <t>Tailwind</t>
        </is>
      </c>
      <c r="W80" s="25">
        <f>IF(V80="Tailwind",10,0)</f>
        <v/>
      </c>
      <c r="X80" s="25" t="inlineStr">
        <is>
          <t>Structural (10 Years Consistency)</t>
        </is>
      </c>
      <c r="Y80" s="25">
        <f>IF(X80="Structural (10 Years Consistency)",10,IF(X80="Shallow Cyclical (2 to 3 years growth)",5,0))</f>
        <v/>
      </c>
      <c r="Z80" s="25" t="inlineStr">
        <is>
          <t>No</t>
        </is>
      </c>
      <c r="AA80" s="25">
        <f>IF(Z80="Yes due to Product Mix change or Operating Leverage",10,IF(Z80="Yes, these are peak margins",-5,IF(Z80="No",5,0)))</f>
        <v/>
      </c>
      <c r="AB80" s="25" t="inlineStr">
        <is>
          <t>Stable</t>
        </is>
      </c>
      <c r="AC80" s="25">
        <f>IF(AB80="Stable",10,0)</f>
        <v/>
      </c>
      <c r="AD80" s="25" t="inlineStr">
        <is>
          <t>Yes</t>
        </is>
      </c>
      <c r="AE80" s="25">
        <f>IF(AD80="Yes",10,0)</f>
        <v/>
      </c>
      <c r="AF80" s="25" t="inlineStr">
        <is>
          <t>B2B</t>
        </is>
      </c>
      <c r="AG80" s="25">
        <f>IF(AF80="B2C",10,IF(AF80="B2B",5,0))</f>
        <v/>
      </c>
      <c r="AH80" s="25" t="inlineStr">
        <is>
          <t>No</t>
        </is>
      </c>
      <c r="AI80" s="25">
        <f>IF(AH80="Yes",10,0)</f>
        <v/>
      </c>
      <c r="AJ80" s="25" t="inlineStr">
        <is>
          <t>Higher One Time, Lower Annuity</t>
        </is>
      </c>
      <c r="AK80" s="25">
        <f>IF(AJ80="Fully Annuity",10,IF(AJ80="Higher Annuity, Lower One Time",5,IF(AJ80="Higher One Time, Lower Annuity",3,0)))</f>
        <v/>
      </c>
      <c r="AL80" s="25" t="inlineStr">
        <is>
          <t>Good</t>
        </is>
      </c>
      <c r="AM80" s="25">
        <f>IF(AL80="Good",10,0)</f>
        <v/>
      </c>
      <c r="AN80" s="25" t="inlineStr">
        <is>
          <t>Yes for more than 2 years</t>
        </is>
      </c>
      <c r="AO80" s="25">
        <f>IF(AN80="Yes for more than 2 years",10,IF(AN80="Yes only for next 1 to 2 years",5,0))</f>
        <v/>
      </c>
      <c r="AP80" s="25" t="inlineStr">
        <is>
          <t>20 to 40</t>
        </is>
      </c>
      <c r="AQ80" s="25">
        <f>IF(AP80="Above 40",20,IF(AP80="20 to 40",10,IF(AP80="0 to 20",-5,0)))</f>
        <v/>
      </c>
      <c r="AR80" s="25" t="inlineStr">
        <is>
          <t>Between 50 to 75</t>
        </is>
      </c>
      <c r="AS80" s="25">
        <f>IF(AR80="Between 50 to 75",10,IF(AR80="Above 75",0,0))</f>
        <v/>
      </c>
      <c r="AT80" s="25" t="inlineStr">
        <is>
          <t>Stage 2</t>
        </is>
      </c>
      <c r="AU80" s="25">
        <f>IF(AT80="Stage 2",20,IF(AT80="Stage 1",0,IF(AT80="Stage 3",5,IF(AT80="Stage 4",-5,0))))</f>
        <v/>
      </c>
      <c r="AV80" s="25" t="inlineStr">
        <is>
          <t>Positive Trend</t>
        </is>
      </c>
      <c r="AW80" s="25">
        <f>IF(AV80="Positive Trend",20,IF(AV80="Negative Trend",-10,0))</f>
        <v/>
      </c>
      <c r="AX80" s="25" t="inlineStr">
        <is>
          <t>Uptrend</t>
        </is>
      </c>
      <c r="AY80" s="25">
        <f>IF(AX80="Uptrend",10,IF(AX80="Sideways",5,0))</f>
        <v/>
      </c>
      <c r="AZ80" s="25" t="inlineStr">
        <is>
          <t>Uptrend</t>
        </is>
      </c>
      <c r="BA80" s="25">
        <f>IF(AZ80="Uptrend",10,IF(AZ80="Sideways",5,0))</f>
        <v/>
      </c>
      <c r="BB80" s="25" t="inlineStr">
        <is>
          <t>Close to 52 week high or retracement</t>
        </is>
      </c>
      <c r="BC80" s="25">
        <f>IF(BB80="Overhead supply in last 2 years in last 2 years",-5,IF(BB80="Close to 52 week high or retracement",5,IF(BB80="Blue sky scenario",10,IF(BB80="Long term Downtrend",-10,0))))</f>
        <v/>
      </c>
      <c r="BD80" s="25" t="inlineStr">
        <is>
          <t>Yes</t>
        </is>
      </c>
      <c r="BE80" s="25">
        <f>IF(BD80="Yes",10,0)</f>
        <v/>
      </c>
      <c r="BF80" s="25" t="inlineStr">
        <is>
          <t>More than 20%</t>
        </is>
      </c>
      <c r="BG80" s="25">
        <f>IF(BF80="More than 20%",10,IF(BF80="Between 12 to 20%",5,IF(BF80="Less than 12%",0,0)))</f>
        <v/>
      </c>
      <c r="BH80" s="25" t="inlineStr">
        <is>
          <t>No</t>
        </is>
      </c>
      <c r="BI80" s="25">
        <f>IF(BH80="No",10,0)</f>
        <v/>
      </c>
      <c r="BJ80" s="25" t="inlineStr">
        <is>
          <t>No</t>
        </is>
      </c>
      <c r="BK80" s="25">
        <f>IF(BJ80="NO",5,0)</f>
        <v/>
      </c>
      <c r="BL80" s="25" t="inlineStr">
        <is>
          <t>Less than 1.5</t>
        </is>
      </c>
      <c r="BM80" s="25">
        <f>IF(BL80="Above 2",0,IF(BL80="Between 1.5 to 2",5,IF(BL80="Less than 1.5",10,0)))</f>
        <v/>
      </c>
      <c r="BN80" s="25" t="inlineStr">
        <is>
          <t>Above 70%</t>
        </is>
      </c>
      <c r="BO80" s="25">
        <f>IF(BN80="Above 70%",10,IF(BN80="Between 50% to 70%",5,IF(BN80="Less than 50%",0,IF(BN80="Negative",-10,IF(BN80="Less than 50% and Borrowings are increasing",-5,0)))))</f>
        <v/>
      </c>
      <c r="BP80" s="25" t="inlineStr">
        <is>
          <t>Less than 0.7</t>
        </is>
      </c>
      <c r="BQ80" s="25">
        <f>IF(BP80="More than 1.2",-10,IF(BP80="Between 0.7 to 1.2",0,IF(BP80="Less than 0.7",10,0)))</f>
        <v/>
      </c>
      <c r="BR80" s="25" t="inlineStr">
        <is>
          <t>No</t>
        </is>
      </c>
      <c r="BS80" s="25">
        <f>IF(BR80="Yes",-10,0)</f>
        <v/>
      </c>
      <c r="BT80" s="25" t="inlineStr">
        <is>
          <t>Less than 15%</t>
        </is>
      </c>
      <c r="BU80" s="25">
        <f>IF(BT80="More than 15%",-10,IF(BT80="Less than 15%",10,0))</f>
        <v/>
      </c>
      <c r="BV80" s="25" t="inlineStr">
        <is>
          <t>No</t>
        </is>
      </c>
      <c r="BW80" s="25">
        <f>IF(BV80="Yes, more than 10%",-10,IF(BV80="No",10,0))</f>
        <v/>
      </c>
    </row>
    <row r="81">
      <c r="A81" s="25">
        <f>IF(B81=0,"",RANK(B81,$B$2:$B$292,0))</f>
        <v/>
      </c>
      <c r="B81" s="26">
        <f>SUM(Q81,S81,U81,W81,Y81,AA81,AC81,AE81,AG81,AI81,AK81,AM81,AO81,AQ81,AS81,AU81,AW81,AY81,BA81,BC81,BE81,BG81,BI81,BK81,BM81,BO81,BQ81,BS81,BU81,BW81)</f>
        <v/>
      </c>
      <c r="C81" s="25" t="inlineStr">
        <is>
          <t>WHEELS</t>
        </is>
      </c>
      <c r="D81" s="25" t="inlineStr">
        <is>
          <t>Wheels India Limited</t>
        </is>
      </c>
      <c r="E81" s="25" t="inlineStr">
        <is>
          <t>auto</t>
        </is>
      </c>
      <c r="F81" s="25" t="inlineStr">
        <is>
          <t>auto ancillaries</t>
        </is>
      </c>
      <c r="G81" s="25" t="inlineStr">
        <is>
          <t>smallcap</t>
        </is>
      </c>
      <c r="H81" s="26" t="n">
        <v>3803.24</v>
      </c>
      <c r="I81" s="26" t="n">
        <v>1517.9</v>
      </c>
      <c r="J81" s="26" t="n">
        <v>-2.49</v>
      </c>
      <c r="K81" s="26" t="n">
        <v>76131</v>
      </c>
      <c r="L81" s="26" t="n">
        <v>71.48999999999999</v>
      </c>
      <c r="M81" s="26" t="n">
        <v>47.24</v>
      </c>
      <c r="N81" s="26" t="n">
        <v>1311.78</v>
      </c>
      <c r="O81" s="25" t="inlineStr">
        <is>
          <t>Earnings / Momentum Support</t>
        </is>
      </c>
      <c r="P81" s="25" t="inlineStr">
        <is>
          <t>Growing Industry</t>
        </is>
      </c>
      <c r="Q81" s="25">
        <f>IF(P81="Growing Industry",10,IF(P81="Cyclical in an Upturn",5,0))</f>
        <v/>
      </c>
      <c r="R81" s="25" t="inlineStr">
        <is>
          <t>Too Many Players with High ROCE</t>
        </is>
      </c>
      <c r="S81" s="25">
        <f>IF(R81="Monopoly",10,IF(R81="Oligopoly",5,IF(R81="Duopoly that cooperate",10,IF(R81="Duopoly that compete",5,IF(R81="Too many players with High ROCE",5,0)))))</f>
        <v/>
      </c>
      <c r="T81" s="25" t="inlineStr">
        <is>
          <t>No</t>
        </is>
      </c>
      <c r="U81" s="25">
        <f>IF(T81="No",5,0)</f>
        <v/>
      </c>
      <c r="V81" s="25" t="inlineStr">
        <is>
          <t>Tailwind</t>
        </is>
      </c>
      <c r="W81" s="25">
        <f>IF(V81="Tailwind",10,0)</f>
        <v/>
      </c>
      <c r="X81" s="25" t="inlineStr">
        <is>
          <t>Structural (10 Years Consistency)</t>
        </is>
      </c>
      <c r="Y81" s="25">
        <f>IF(X81="Structural (10 Years Consistency)",10,IF(X81="Shallow Cyclical (2 to 3 years growth)",5,0))</f>
        <v/>
      </c>
      <c r="Z81" s="25" t="inlineStr">
        <is>
          <t>No</t>
        </is>
      </c>
      <c r="AA81" s="25">
        <f>IF(Z81="Yes due to Product Mix change or Operating Leverage",10,IF(Z81="Yes, these are peak margins",-5,IF(Z81="No",5,0)))</f>
        <v/>
      </c>
      <c r="AB81" s="25" t="inlineStr">
        <is>
          <t>Stable</t>
        </is>
      </c>
      <c r="AC81" s="25">
        <f>IF(AB81="Stable",10,0)</f>
        <v/>
      </c>
      <c r="AD81" s="25" t="inlineStr">
        <is>
          <t>Yes</t>
        </is>
      </c>
      <c r="AE81" s="25">
        <f>IF(AD81="Yes",10,0)</f>
        <v/>
      </c>
      <c r="AF81" s="25" t="inlineStr">
        <is>
          <t>B2B</t>
        </is>
      </c>
      <c r="AG81" s="25">
        <f>IF(AF81="B2C",10,IF(AF81="B2B",5,0))</f>
        <v/>
      </c>
      <c r="AH81" s="25" t="inlineStr">
        <is>
          <t>No</t>
        </is>
      </c>
      <c r="AI81" s="25">
        <f>IF(AH81="Yes",10,0)</f>
        <v/>
      </c>
      <c r="AJ81" s="25" t="inlineStr">
        <is>
          <t>Higher One Time, Lower Annuity</t>
        </is>
      </c>
      <c r="AK81" s="25">
        <f>IF(AJ81="Fully Annuity",10,IF(AJ81="Higher Annuity, Lower One Time",5,IF(AJ81="Higher One Time, Lower Annuity",3,0)))</f>
        <v/>
      </c>
      <c r="AL81" s="25" t="inlineStr">
        <is>
          <t>Good</t>
        </is>
      </c>
      <c r="AM81" s="25">
        <f>IF(AL81="Good",10,0)</f>
        <v/>
      </c>
      <c r="AN81" s="25" t="inlineStr">
        <is>
          <t>Yes for more than 2 years</t>
        </is>
      </c>
      <c r="AO81" s="25">
        <f>IF(AN81="Yes for more than 2 years",10,IF(AN81="Yes only for next 1 to 2 years",5,0))</f>
        <v/>
      </c>
      <c r="AP81" s="25" t="inlineStr">
        <is>
          <t>Above 40</t>
        </is>
      </c>
      <c r="AQ81" s="25">
        <f>IF(AP81="Above 40",20,IF(AP81="20 to 40",10,IF(AP81="0 to 20",-5,0)))</f>
        <v/>
      </c>
      <c r="AR81" s="25" t="inlineStr">
        <is>
          <t>Between 50 to 75</t>
        </is>
      </c>
      <c r="AS81" s="25">
        <f>IF(AR81="Between 50 to 75",10,IF(AR81="Above 75",0,0))</f>
        <v/>
      </c>
      <c r="AT81" s="25" t="inlineStr">
        <is>
          <t>Stage 2</t>
        </is>
      </c>
      <c r="AU81" s="25">
        <f>IF(AT81="Stage 2",20,IF(AT81="Stage 1",0,IF(AT81="Stage 3",5,IF(AT81="Stage 4",-5,0))))</f>
        <v/>
      </c>
      <c r="AV81" s="25" t="inlineStr">
        <is>
          <t>Positive Trend</t>
        </is>
      </c>
      <c r="AW81" s="25">
        <f>IF(AV81="Positive Trend",20,IF(AV81="Negative Trend",-10,0))</f>
        <v/>
      </c>
      <c r="AX81" s="25" t="inlineStr">
        <is>
          <t>Uptrend</t>
        </is>
      </c>
      <c r="AY81" s="25">
        <f>IF(AX81="Uptrend",10,IF(AX81="Sideways",5,0))</f>
        <v/>
      </c>
      <c r="AZ81" s="25" t="inlineStr">
        <is>
          <t>Uptrend</t>
        </is>
      </c>
      <c r="BA81" s="25">
        <f>IF(AZ81="Uptrend",10,IF(AZ81="Sideways",5,0))</f>
        <v/>
      </c>
      <c r="BB81" s="25" t="inlineStr">
        <is>
          <t>Close to 52 week high or retracement</t>
        </is>
      </c>
      <c r="BC81" s="25">
        <f>IF(BB81="Overhead supply in last 2 years in last 2 years",-5,IF(BB81="Close to 52 week high or retracement",5,IF(BB81="Blue sky scenario",10,IF(BB81="Long term Downtrend",-10,0))))</f>
        <v/>
      </c>
      <c r="BD81" s="25" t="inlineStr">
        <is>
          <t>Yes</t>
        </is>
      </c>
      <c r="BE81" s="25">
        <f>IF(BD81="Yes",10,0)</f>
        <v/>
      </c>
      <c r="BF81" s="25" t="inlineStr">
        <is>
          <t>Less than 12%</t>
        </is>
      </c>
      <c r="BG81" s="25">
        <f>IF(BF81="More than 20%",10,IF(BF81="Between 12 to 20%",5,IF(BF81="Less than 12%",0,0)))</f>
        <v/>
      </c>
      <c r="BH81" s="25" t="inlineStr">
        <is>
          <t>No</t>
        </is>
      </c>
      <c r="BI81" s="25">
        <f>IF(BH81="No",10,0)</f>
        <v/>
      </c>
      <c r="BJ81" s="25" t="inlineStr">
        <is>
          <t>No</t>
        </is>
      </c>
      <c r="BK81" s="25">
        <f>IF(BJ81="NO",5,0)</f>
        <v/>
      </c>
      <c r="BL81" s="25" t="inlineStr">
        <is>
          <t>Less than 1.5</t>
        </is>
      </c>
      <c r="BM81" s="25">
        <f>IF(BL81="Above 2",0,IF(BL81="Between 1.5 to 2",5,IF(BL81="Less than 1.5",10,0)))</f>
        <v/>
      </c>
      <c r="BN81" s="25" t="inlineStr">
        <is>
          <t>Above 70%</t>
        </is>
      </c>
      <c r="BO81" s="25">
        <f>IF(BN81="Above 70%",10,IF(BN81="Between 50% to 70%",5,IF(BN81="Less than 50%",0,IF(BN81="Negative",-10,IF(BN81="Less than 50% and Borrowings are increasing",-5,0)))))</f>
        <v/>
      </c>
      <c r="BP81" s="25" t="inlineStr">
        <is>
          <t>Less than 0.7</t>
        </is>
      </c>
      <c r="BQ81" s="25">
        <f>IF(BP81="More than 1.2",-10,IF(BP81="Between 0.7 to 1.2",0,IF(BP81="Less than 0.7",10,0)))</f>
        <v/>
      </c>
      <c r="BR81" s="25" t="inlineStr">
        <is>
          <t>No</t>
        </is>
      </c>
      <c r="BS81" s="25">
        <f>IF(BR81="Yes",-10,0)</f>
        <v/>
      </c>
      <c r="BT81" s="25" t="inlineStr">
        <is>
          <t>Less than 15%</t>
        </is>
      </c>
      <c r="BU81" s="25">
        <f>IF(BT81="More than 15%",-10,IF(BT81="Less than 15%",10,0))</f>
        <v/>
      </c>
      <c r="BV81" s="25" t="inlineStr">
        <is>
          <t>No</t>
        </is>
      </c>
      <c r="BW81" s="25">
        <f>IF(BV81="Yes, more than 10%",-10,IF(BV81="No",10,0))</f>
        <v/>
      </c>
    </row>
    <row r="82">
      <c r="A82" s="25">
        <f>IF(B82=0,"",RANK(B82,$B$2:$B$292,0))</f>
        <v/>
      </c>
      <c r="B82" s="26">
        <f>SUM(Q82,S82,U82,W82,Y82,AA82,AC82,AE82,AG82,AI82,AK82,AM82,AO82,AQ82,AS82,AU82,AW82,AY82,BA82,BC82,BE82,BG82,BI82,BK82,BM82,BO82,BQ82,BS82,BU82,BW82)</f>
        <v/>
      </c>
      <c r="C82" s="25" t="inlineStr">
        <is>
          <t>POWERINDIA</t>
        </is>
      </c>
      <c r="D82" s="25" t="inlineStr">
        <is>
          <t>Hitachi Energy India Ltd</t>
        </is>
      </c>
      <c r="E82" s="25" t="inlineStr">
        <is>
          <t>industrials</t>
        </is>
      </c>
      <c r="F82" s="25" t="inlineStr">
        <is>
          <t>electric equipment</t>
        </is>
      </c>
      <c r="G82" s="25" t="inlineStr">
        <is>
          <t>largecap</t>
        </is>
      </c>
      <c r="H82" s="26" t="n">
        <v>162154.26</v>
      </c>
      <c r="I82" s="26" t="n">
        <v>35105</v>
      </c>
      <c r="J82" s="26" t="n">
        <v>-3.5</v>
      </c>
      <c r="K82" s="26" t="n">
        <v>244798</v>
      </c>
      <c r="L82" s="26" t="n">
        <v>68.66</v>
      </c>
      <c r="M82" s="26" t="n">
        <v>59.34</v>
      </c>
      <c r="N82" s="26" t="n">
        <v>30707.04</v>
      </c>
      <c r="O82" s="25" t="inlineStr">
        <is>
          <t>Earnings / Momentum Support</t>
        </is>
      </c>
      <c r="P82" s="25" t="inlineStr">
        <is>
          <t>Cyclical in an Upturn</t>
        </is>
      </c>
      <c r="Q82" s="25">
        <f>IF(P82="Growing Industry",10,IF(P82="Cyclical in an Upturn",5,0))</f>
        <v/>
      </c>
      <c r="R82" s="25" t="inlineStr">
        <is>
          <t>Too Many Players with High ROCE</t>
        </is>
      </c>
      <c r="S82" s="25">
        <f>IF(R82="Monopoly",10,IF(R82="Oligopoly",5,IF(R82="Duopoly that cooperate",10,IF(R82="Duopoly that compete",5,IF(R82="Too many players with High ROCE",5,0)))))</f>
        <v/>
      </c>
      <c r="T82" s="25" t="inlineStr">
        <is>
          <t>No</t>
        </is>
      </c>
      <c r="U82" s="25">
        <f>IF(T82="No",5,0)</f>
        <v/>
      </c>
      <c r="V82" s="25" t="inlineStr">
        <is>
          <t>Tailwind</t>
        </is>
      </c>
      <c r="W82" s="25">
        <f>IF(V82="Tailwind",10,0)</f>
        <v/>
      </c>
      <c r="X82" s="25" t="inlineStr">
        <is>
          <t>Structural (10 Years Consistency)</t>
        </is>
      </c>
      <c r="Y82" s="25">
        <f>IF(X82="Structural (10 Years Consistency)",10,IF(X82="Shallow Cyclical (2 to 3 years growth)",5,0))</f>
        <v/>
      </c>
      <c r="Z82" s="25" t="inlineStr">
        <is>
          <t>No</t>
        </is>
      </c>
      <c r="AA82" s="25">
        <f>IF(Z82="Yes due to Product Mix change or Operating Leverage",10,IF(Z82="Yes, these are peak margins",-5,IF(Z82="No",5,0)))</f>
        <v/>
      </c>
      <c r="AB82" s="25" t="inlineStr">
        <is>
          <t>Stable</t>
        </is>
      </c>
      <c r="AC82" s="25">
        <f>IF(AB82="Stable",10,0)</f>
        <v/>
      </c>
      <c r="AD82" s="25" t="inlineStr">
        <is>
          <t>Yes</t>
        </is>
      </c>
      <c r="AE82" s="25">
        <f>IF(AD82="Yes",10,0)</f>
        <v/>
      </c>
      <c r="AF82" s="25" t="inlineStr">
        <is>
          <t>B2B</t>
        </is>
      </c>
      <c r="AG82" s="25">
        <f>IF(AF82="B2C",10,IF(AF82="B2B",5,0))</f>
        <v/>
      </c>
      <c r="AH82" s="25" t="inlineStr">
        <is>
          <t>No</t>
        </is>
      </c>
      <c r="AI82" s="25">
        <f>IF(AH82="Yes",10,0)</f>
        <v/>
      </c>
      <c r="AJ82" s="25" t="inlineStr">
        <is>
          <t>Higher One Time, Lower Annuity</t>
        </is>
      </c>
      <c r="AK82" s="25">
        <f>IF(AJ82="Fully Annuity",10,IF(AJ82="Higher Annuity, Lower One Time",5,IF(AJ82="Higher One Time, Lower Annuity",3,0)))</f>
        <v/>
      </c>
      <c r="AL82" s="25" t="inlineStr">
        <is>
          <t>Good</t>
        </is>
      </c>
      <c r="AM82" s="25">
        <f>IF(AL82="Good",10,0)</f>
        <v/>
      </c>
      <c r="AN82" s="25" t="inlineStr">
        <is>
          <t>Yes for more than 2 years</t>
        </is>
      </c>
      <c r="AO82" s="25">
        <f>IF(AN82="Yes for more than 2 years",10,IF(AN82="Yes only for next 1 to 2 years",5,0))</f>
        <v/>
      </c>
      <c r="AP82" s="25" t="inlineStr">
        <is>
          <t>Above 40</t>
        </is>
      </c>
      <c r="AQ82" s="25">
        <f>IF(AP82="Above 40",20,IF(AP82="20 to 40",10,IF(AP82="0 to 20",-5,0)))</f>
        <v/>
      </c>
      <c r="AR82" s="25" t="inlineStr">
        <is>
          <t>Between 50 to 75</t>
        </is>
      </c>
      <c r="AS82" s="25">
        <f>IF(AR82="Between 50 to 75",10,IF(AR82="Above 75",0,0))</f>
        <v/>
      </c>
      <c r="AT82" s="25" t="inlineStr">
        <is>
          <t>Stage 2</t>
        </is>
      </c>
      <c r="AU82" s="25">
        <f>IF(AT82="Stage 2",20,IF(AT82="Stage 1",0,IF(AT82="Stage 3",5,IF(AT82="Stage 4",-5,0))))</f>
        <v/>
      </c>
      <c r="AV82" s="25" t="inlineStr">
        <is>
          <t>Positive Trend</t>
        </is>
      </c>
      <c r="AW82" s="25">
        <f>IF(AV82="Positive Trend",20,IF(AV82="Negative Trend",-10,0))</f>
        <v/>
      </c>
      <c r="AX82" s="25" t="inlineStr">
        <is>
          <t>Uptrend</t>
        </is>
      </c>
      <c r="AY82" s="25">
        <f>IF(AX82="Uptrend",10,IF(AX82="Sideways",5,0))</f>
        <v/>
      </c>
      <c r="AZ82" s="25" t="inlineStr">
        <is>
          <t>Uptrend</t>
        </is>
      </c>
      <c r="BA82" s="25">
        <f>IF(AZ82="Uptrend",10,IF(AZ82="Sideways",5,0))</f>
        <v/>
      </c>
      <c r="BB82" s="25" t="inlineStr">
        <is>
          <t>Close to 52 week high or retracement</t>
        </is>
      </c>
      <c r="BC82" s="25">
        <f>IF(BB82="Overhead supply in last 2 years in last 2 years",-5,IF(BB82="Close to 52 week high or retracement",5,IF(BB82="Blue sky scenario",10,IF(BB82="Long term Downtrend",-10,0))))</f>
        <v/>
      </c>
      <c r="BD82" s="25" t="inlineStr">
        <is>
          <t>Yes</t>
        </is>
      </c>
      <c r="BE82" s="25">
        <f>IF(BD82="Yes",10,0)</f>
        <v/>
      </c>
      <c r="BF82" s="25" t="inlineStr">
        <is>
          <t>More than 20%</t>
        </is>
      </c>
      <c r="BG82" s="25">
        <f>IF(BF82="More than 20%",10,IF(BF82="Between 12 to 20%",5,IF(BF82="Less than 12%",0,0)))</f>
        <v/>
      </c>
      <c r="BH82" s="25" t="inlineStr">
        <is>
          <t>No</t>
        </is>
      </c>
      <c r="BI82" s="25">
        <f>IF(BH82="No",10,0)</f>
        <v/>
      </c>
      <c r="BJ82" s="25" t="inlineStr">
        <is>
          <t>Yes</t>
        </is>
      </c>
      <c r="BK82" s="25">
        <f>IF(BJ82="NO",5,0)</f>
        <v/>
      </c>
      <c r="BL82" s="25" t="inlineStr">
        <is>
          <t>Less than 1.5</t>
        </is>
      </c>
      <c r="BM82" s="25">
        <f>IF(BL82="Above 2",0,IF(BL82="Between 1.5 to 2",5,IF(BL82="Less than 1.5",10,0)))</f>
        <v/>
      </c>
      <c r="BN82" s="25" t="inlineStr">
        <is>
          <t>Above 70%</t>
        </is>
      </c>
      <c r="BO82" s="25">
        <f>IF(BN82="Above 70%",10,IF(BN82="Between 50% to 70%",5,IF(BN82="Less than 50%",0,IF(BN82="Negative",-10,IF(BN82="Less than 50% and Borrowings are increasing",-5,0)))))</f>
        <v/>
      </c>
      <c r="BP82" s="25" t="inlineStr">
        <is>
          <t>Less than 0.7</t>
        </is>
      </c>
      <c r="BQ82" s="25">
        <f>IF(BP82="More than 1.2",-10,IF(BP82="Between 0.7 to 1.2",0,IF(BP82="Less than 0.7",10,0)))</f>
        <v/>
      </c>
      <c r="BR82" s="25" t="inlineStr">
        <is>
          <t>No</t>
        </is>
      </c>
      <c r="BS82" s="25">
        <f>IF(BR82="Yes",-10,0)</f>
        <v/>
      </c>
      <c r="BT82" s="25" t="inlineStr">
        <is>
          <t>Less than 15%</t>
        </is>
      </c>
      <c r="BU82" s="25">
        <f>IF(BT82="More than 15%",-10,IF(BT82="Less than 15%",10,0))</f>
        <v/>
      </c>
      <c r="BV82" s="25" t="inlineStr">
        <is>
          <t>No</t>
        </is>
      </c>
      <c r="BW82" s="25">
        <f>IF(BV82="Yes, more than 10%",-10,IF(BV82="No",10,0))</f>
        <v/>
      </c>
    </row>
    <row r="83">
      <c r="A83" s="25">
        <f>IF(B83=0,"",RANK(B83,$B$2:$B$292,0))</f>
        <v/>
      </c>
      <c r="B83" s="26">
        <f>SUM(Q83,S83,U83,W83,Y83,AA83,AC83,AE83,AG83,AI83,AK83,AM83,AO83,AQ83,AS83,AU83,AW83,AY83,BA83,BC83,BE83,BG83,BI83,BK83,BM83,BO83,BQ83,BS83,BU83,BW83)</f>
        <v/>
      </c>
      <c r="C83" s="25" t="inlineStr">
        <is>
          <t>SKMEGGPROD</t>
        </is>
      </c>
      <c r="D83" s="25" t="inlineStr">
        <is>
          <t>Skm Egg Products Export (india) Limited</t>
        </is>
      </c>
      <c r="E83" s="25" t="inlineStr">
        <is>
          <t>fmcg</t>
        </is>
      </c>
      <c r="F83" s="25" t="inlineStr">
        <is>
          <t>food - processing - indian</t>
        </is>
      </c>
      <c r="G83" s="25" t="inlineStr">
        <is>
          <t>smallcap</t>
        </is>
      </c>
      <c r="H83" s="26" t="n">
        <v>1085.74</v>
      </c>
      <c r="I83" s="26" t="n">
        <v>232.77</v>
      </c>
      <c r="J83" s="26" t="n">
        <v>12.9</v>
      </c>
      <c r="K83" s="26" t="n">
        <v>9987648</v>
      </c>
      <c r="L83" s="26" t="n">
        <v>68.95</v>
      </c>
      <c r="M83" s="26" t="n">
        <v>15.58</v>
      </c>
      <c r="N83" s="26" t="n">
        <v>161.26</v>
      </c>
      <c r="O83" s="25" t="inlineStr">
        <is>
          <t>Volume Spike &amp; Near 52W High Breakout</t>
        </is>
      </c>
      <c r="P83" s="25" t="inlineStr">
        <is>
          <t>Growing Industry</t>
        </is>
      </c>
      <c r="Q83" s="25">
        <f>IF(P83="Growing Industry",10,IF(P83="Cyclical in an Upturn",5,0))</f>
        <v/>
      </c>
      <c r="R83" s="25" t="inlineStr">
        <is>
          <t>Too Many Players with High ROCE</t>
        </is>
      </c>
      <c r="S83" s="25">
        <f>IF(R83="Monopoly",10,IF(R83="Oligopoly",5,IF(R83="Duopoly that cooperate",10,IF(R83="Duopoly that compete",5,IF(R83="Too many players with High ROCE",5,0)))))</f>
        <v/>
      </c>
      <c r="T83" s="25" t="inlineStr">
        <is>
          <t>No</t>
        </is>
      </c>
      <c r="U83" s="25">
        <f>IF(T83="No",5,0)</f>
        <v/>
      </c>
      <c r="V83" s="25" t="inlineStr">
        <is>
          <t>Tailwind</t>
        </is>
      </c>
      <c r="W83" s="25">
        <f>IF(V83="Tailwind",10,0)</f>
        <v/>
      </c>
      <c r="X83" s="25" t="inlineStr">
        <is>
          <t>Structural (10 Years Consistency)</t>
        </is>
      </c>
      <c r="Y83" s="25">
        <f>IF(X83="Structural (10 Years Consistency)",10,IF(X83="Shallow Cyclical (2 to 3 years growth)",5,0))</f>
        <v/>
      </c>
      <c r="Z83" s="25" t="inlineStr">
        <is>
          <t>No</t>
        </is>
      </c>
      <c r="AA83" s="25">
        <f>IF(Z83="Yes due to Product Mix change or Operating Leverage",10,IF(Z83="Yes, these are peak margins",-5,IF(Z83="No",5,0)))</f>
        <v/>
      </c>
      <c r="AB83" s="25" t="inlineStr">
        <is>
          <t>Stable</t>
        </is>
      </c>
      <c r="AC83" s="25">
        <f>IF(AB83="Stable",10,0)</f>
        <v/>
      </c>
      <c r="AD83" s="25" t="inlineStr">
        <is>
          <t>Yes</t>
        </is>
      </c>
      <c r="AE83" s="25">
        <f>IF(AD83="Yes",10,0)</f>
        <v/>
      </c>
      <c r="AF83" s="25" t="inlineStr">
        <is>
          <t>B2C</t>
        </is>
      </c>
      <c r="AG83" s="25">
        <f>IF(AF83="B2C",10,IF(AF83="B2B",5,0))</f>
        <v/>
      </c>
      <c r="AH83" s="25" t="inlineStr">
        <is>
          <t>Yes</t>
        </is>
      </c>
      <c r="AI83" s="25">
        <f>IF(AH83="Yes",10,0)</f>
        <v/>
      </c>
      <c r="AJ83" s="25" t="inlineStr">
        <is>
          <t>Higher Annuity, Lower One Time</t>
        </is>
      </c>
      <c r="AK83" s="25">
        <f>IF(AJ83="Fully Annuity",10,IF(AJ83="Higher Annuity, Lower One Time",5,IF(AJ83="Higher One Time, Lower Annuity",3,0)))</f>
        <v/>
      </c>
      <c r="AL83" s="25" t="inlineStr">
        <is>
          <t>Good</t>
        </is>
      </c>
      <c r="AM83" s="25">
        <f>IF(AL83="Good",10,0)</f>
        <v/>
      </c>
      <c r="AN83" s="25" t="inlineStr">
        <is>
          <t>Yes for more than 2 years</t>
        </is>
      </c>
      <c r="AO83" s="25">
        <f>IF(AN83="Yes for more than 2 years",10,IF(AN83="Yes only for next 1 to 2 years",5,0))</f>
        <v/>
      </c>
      <c r="AP83" s="25" t="inlineStr">
        <is>
          <t>0 to 20</t>
        </is>
      </c>
      <c r="AQ83" s="25">
        <f>IF(AP83="Above 40",20,IF(AP83="20 to 40",10,IF(AP83="0 to 20",-5,0)))</f>
        <v/>
      </c>
      <c r="AR83" s="25" t="inlineStr">
        <is>
          <t>Between 50 to 75</t>
        </is>
      </c>
      <c r="AS83" s="25">
        <f>IF(AR83="Between 50 to 75",10,IF(AR83="Above 75",0,0))</f>
        <v/>
      </c>
      <c r="AT83" s="25" t="inlineStr">
        <is>
          <t>Stage 2</t>
        </is>
      </c>
      <c r="AU83" s="25">
        <f>IF(AT83="Stage 2",20,IF(AT83="Stage 1",0,IF(AT83="Stage 3",5,IF(AT83="Stage 4",-5,0))))</f>
        <v/>
      </c>
      <c r="AV83" s="25" t="inlineStr">
        <is>
          <t>Positive Trend</t>
        </is>
      </c>
      <c r="AW83" s="25">
        <f>IF(AV83="Positive Trend",20,IF(AV83="Negative Trend",-10,0))</f>
        <v/>
      </c>
      <c r="AX83" s="25" t="inlineStr">
        <is>
          <t>Uptrend</t>
        </is>
      </c>
      <c r="AY83" s="25">
        <f>IF(AX83="Uptrend",10,IF(AX83="Sideways",5,0))</f>
        <v/>
      </c>
      <c r="AZ83" s="25" t="inlineStr">
        <is>
          <t>Uptrend</t>
        </is>
      </c>
      <c r="BA83" s="25">
        <f>IF(AZ83="Uptrend",10,IF(AZ83="Sideways",5,0))</f>
        <v/>
      </c>
      <c r="BB83" s="25" t="inlineStr">
        <is>
          <t>Blue sky scenario</t>
        </is>
      </c>
      <c r="BC83" s="25">
        <f>IF(BB83="Overhead supply in last 2 years in last 2 years",-5,IF(BB83="Close to 52 week high or retracement",5,IF(BB83="Blue sky scenario",10,IF(BB83="Long term Downtrend",-10,0))))</f>
        <v/>
      </c>
      <c r="BD83" s="25" t="inlineStr">
        <is>
          <t>Yes</t>
        </is>
      </c>
      <c r="BE83" s="25">
        <f>IF(BD83="Yes",10,0)</f>
        <v/>
      </c>
      <c r="BF83" s="25" t="inlineStr">
        <is>
          <t>More than 20%</t>
        </is>
      </c>
      <c r="BG83" s="25">
        <f>IF(BF83="More than 20%",10,IF(BF83="Between 12 to 20%",5,IF(BF83="Less than 12%",0,0)))</f>
        <v/>
      </c>
      <c r="BH83" s="25" t="inlineStr">
        <is>
          <t>No</t>
        </is>
      </c>
      <c r="BI83" s="25">
        <f>IF(BH83="No",10,0)</f>
        <v/>
      </c>
      <c r="BJ83" s="25" t="inlineStr">
        <is>
          <t>No</t>
        </is>
      </c>
      <c r="BK83" s="25">
        <f>IF(BJ83="NO",5,0)</f>
        <v/>
      </c>
      <c r="BL83" s="25" t="inlineStr">
        <is>
          <t>Less than 1.5</t>
        </is>
      </c>
      <c r="BM83" s="25">
        <f>IF(BL83="Above 2",0,IF(BL83="Between 1.5 to 2",5,IF(BL83="Less than 1.5",10,0)))</f>
        <v/>
      </c>
      <c r="BN83" s="25" t="inlineStr">
        <is>
          <t>Less than 50%</t>
        </is>
      </c>
      <c r="BO83" s="25">
        <f>IF(BN83="Above 70%",10,IF(BN83="Between 50% to 70%",5,IF(BN83="Less than 50%",0,IF(BN83="Negative",-10,IF(BN83="Less than 50% and Borrowings are increasing",-5,0)))))</f>
        <v/>
      </c>
      <c r="BP83" s="25" t="inlineStr">
        <is>
          <t>Less than 0.7</t>
        </is>
      </c>
      <c r="BQ83" s="25">
        <f>IF(BP83="More than 1.2",-10,IF(BP83="Between 0.7 to 1.2",0,IF(BP83="Less than 0.7",10,0)))</f>
        <v/>
      </c>
      <c r="BR83" s="25" t="inlineStr">
        <is>
          <t>No</t>
        </is>
      </c>
      <c r="BS83" s="25">
        <f>IF(BR83="Yes",-10,0)</f>
        <v/>
      </c>
      <c r="BT83" s="25" t="inlineStr">
        <is>
          <t>Less than 15%</t>
        </is>
      </c>
      <c r="BU83" s="25">
        <f>IF(BT83="More than 15%",-10,IF(BT83="Less than 15%",10,0))</f>
        <v/>
      </c>
      <c r="BV83" s="25" t="inlineStr">
        <is>
          <t>No</t>
        </is>
      </c>
      <c r="BW83" s="25">
        <f>IF(BV83="Yes, more than 10%",-10,IF(BV83="No",10,0))</f>
        <v/>
      </c>
    </row>
    <row r="84">
      <c r="A84" s="25">
        <f>IF(B84=0,"",RANK(B84,$B$2:$B$292,0))</f>
        <v/>
      </c>
      <c r="B84" s="26">
        <f>SUM(Q84,S84,U84,W84,Y84,AA84,AC84,AE84,AG84,AI84,AK84,AM84,AO84,AQ84,AS84,AU84,AW84,AY84,BA84,BC84,BE84,BG84,BI84,BK84,BM84,BO84,BQ84,BS84,BU84,BW84)</f>
        <v/>
      </c>
      <c r="C84" s="25" t="inlineStr">
        <is>
          <t>SPARC</t>
        </is>
      </c>
      <c r="D84" s="25" t="inlineStr">
        <is>
          <t>Sun Pharma Advanced Research Company Limited</t>
        </is>
      </c>
      <c r="E84" s="25" t="inlineStr">
        <is>
          <t>healthcare</t>
        </is>
      </c>
      <c r="F84" s="25" t="inlineStr">
        <is>
          <t>miscellaneous</t>
        </is>
      </c>
      <c r="G84" s="25" t="inlineStr">
        <is>
          <t>midcap</t>
        </is>
      </c>
      <c r="H84" s="26" t="n">
        <v>6372.63</v>
      </c>
      <c r="I84" s="26" t="n">
        <v>204.24</v>
      </c>
      <c r="J84" s="26" t="n">
        <v>4.01</v>
      </c>
      <c r="K84" s="26" t="n">
        <v>6984191</v>
      </c>
      <c r="L84" s="26" t="n">
        <v>69.83</v>
      </c>
      <c r="M84" s="26" t="n">
        <v>43.38</v>
      </c>
      <c r="N84" s="26" t="n">
        <v>146.18</v>
      </c>
      <c r="O84" s="25" t="inlineStr">
        <is>
          <t>Near 52W High Breakout</t>
        </is>
      </c>
      <c r="P84" s="25" t="inlineStr">
        <is>
          <t>Growing Industry</t>
        </is>
      </c>
      <c r="Q84" s="25">
        <f>IF(P84="Growing Industry",10,IF(P84="Cyclical in an Upturn",5,0))</f>
        <v/>
      </c>
      <c r="R84" s="25" t="inlineStr">
        <is>
          <t>Too Many Players with High ROCE</t>
        </is>
      </c>
      <c r="S84" s="25">
        <f>IF(R84="Monopoly",10,IF(R84="Oligopoly",5,IF(R84="Duopoly that cooperate",10,IF(R84="Duopoly that compete",5,IF(R84="Too many players with High ROCE",5,0)))))</f>
        <v/>
      </c>
      <c r="T84" s="25" t="inlineStr">
        <is>
          <t>Yes</t>
        </is>
      </c>
      <c r="U84" s="25">
        <f>IF(T84="No",5,0)</f>
        <v/>
      </c>
      <c r="V84" s="25" t="inlineStr">
        <is>
          <t>Tailwind</t>
        </is>
      </c>
      <c r="W84" s="25">
        <f>IF(V84="Tailwind",10,0)</f>
        <v/>
      </c>
      <c r="X84" s="25" t="inlineStr">
        <is>
          <t>Structural (10 Years Consistency)</t>
        </is>
      </c>
      <c r="Y84" s="25">
        <f>IF(X84="Structural (10 Years Consistency)",10,IF(X84="Shallow Cyclical (2 to 3 years growth)",5,0))</f>
        <v/>
      </c>
      <c r="Z84" s="25" t="inlineStr">
        <is>
          <t>No</t>
        </is>
      </c>
      <c r="AA84" s="25">
        <f>IF(Z84="Yes due to Product Mix change or Operating Leverage",10,IF(Z84="Yes, these are peak margins",-5,IF(Z84="No",5,0)))</f>
        <v/>
      </c>
      <c r="AB84" s="25" t="inlineStr">
        <is>
          <t>Stable</t>
        </is>
      </c>
      <c r="AC84" s="25">
        <f>IF(AB84="Stable",10,0)</f>
        <v/>
      </c>
      <c r="AD84" s="25" t="inlineStr">
        <is>
          <t>Yes</t>
        </is>
      </c>
      <c r="AE84" s="25">
        <f>IF(AD84="Yes",10,0)</f>
        <v/>
      </c>
      <c r="AF84" s="25" t="inlineStr">
        <is>
          <t>B2B</t>
        </is>
      </c>
      <c r="AG84" s="25">
        <f>IF(AF84="B2C",10,IF(AF84="B2B",5,0))</f>
        <v/>
      </c>
      <c r="AH84" s="25" t="inlineStr">
        <is>
          <t>Yes</t>
        </is>
      </c>
      <c r="AI84" s="25">
        <f>IF(AH84="Yes",10,0)</f>
        <v/>
      </c>
      <c r="AJ84" s="25" t="inlineStr">
        <is>
          <t>Higher Annuity, Lower One Time</t>
        </is>
      </c>
      <c r="AK84" s="25">
        <f>IF(AJ84="Fully Annuity",10,IF(AJ84="Higher Annuity, Lower One Time",5,IF(AJ84="Higher One Time, Lower Annuity",3,0)))</f>
        <v/>
      </c>
      <c r="AL84" s="25" t="inlineStr">
        <is>
          <t>Good</t>
        </is>
      </c>
      <c r="AM84" s="25">
        <f>IF(AL84="Good",10,0)</f>
        <v/>
      </c>
      <c r="AN84" s="25" t="inlineStr">
        <is>
          <t>Yes for more than 2 years</t>
        </is>
      </c>
      <c r="AO84" s="25">
        <f>IF(AN84="Yes for more than 2 years",10,IF(AN84="Yes only for next 1 to 2 years",5,0))</f>
        <v/>
      </c>
      <c r="AP84" s="25" t="inlineStr">
        <is>
          <t>Above 40</t>
        </is>
      </c>
      <c r="AQ84" s="25">
        <f>IF(AP84="Above 40",20,IF(AP84="20 to 40",10,IF(AP84="0 to 20",-5,0)))</f>
        <v/>
      </c>
      <c r="AR84" s="25" t="inlineStr">
        <is>
          <t>Between 50 to 75</t>
        </is>
      </c>
      <c r="AS84" s="25">
        <f>IF(AR84="Between 50 to 75",10,IF(AR84="Above 75",0,0))</f>
        <v/>
      </c>
      <c r="AT84" s="25" t="inlineStr">
        <is>
          <t>Stage 2</t>
        </is>
      </c>
      <c r="AU84" s="25">
        <f>IF(AT84="Stage 2",20,IF(AT84="Stage 1",0,IF(AT84="Stage 3",5,IF(AT84="Stage 4",-5,0))))</f>
        <v/>
      </c>
      <c r="AV84" s="25" t="inlineStr">
        <is>
          <t>Positive Trend</t>
        </is>
      </c>
      <c r="AW84" s="25">
        <f>IF(AV84="Positive Trend",20,IF(AV84="Negative Trend",-10,0))</f>
        <v/>
      </c>
      <c r="AX84" s="25" t="inlineStr">
        <is>
          <t>Uptrend</t>
        </is>
      </c>
      <c r="AY84" s="25">
        <f>IF(AX84="Uptrend",10,IF(AX84="Sideways",5,0))</f>
        <v/>
      </c>
      <c r="AZ84" s="25" t="inlineStr">
        <is>
          <t>Uptrend</t>
        </is>
      </c>
      <c r="BA84" s="25">
        <f>IF(AZ84="Uptrend",10,IF(AZ84="Sideways",5,0))</f>
        <v/>
      </c>
      <c r="BB84" s="25" t="inlineStr">
        <is>
          <t>Close to 52 week high or retracement</t>
        </is>
      </c>
      <c r="BC84" s="25">
        <f>IF(BB84="Overhead supply in last 2 years in last 2 years",-5,IF(BB84="Close to 52 week high or retracement",5,IF(BB84="Blue sky scenario",10,IF(BB84="Long term Downtrend",-10,0))))</f>
        <v/>
      </c>
      <c r="BD84" s="25" t="inlineStr">
        <is>
          <t>Yes</t>
        </is>
      </c>
      <c r="BE84" s="25">
        <f>IF(BD84="Yes",10,0)</f>
        <v/>
      </c>
      <c r="BF84" s="25" t="inlineStr">
        <is>
          <t>More than 20%</t>
        </is>
      </c>
      <c r="BG84" s="25">
        <f>IF(BF84="More than 20%",10,IF(BF84="Between 12 to 20%",5,IF(BF84="Less than 12%",0,0)))</f>
        <v/>
      </c>
      <c r="BH84" s="25" t="inlineStr">
        <is>
          <t>No</t>
        </is>
      </c>
      <c r="BI84" s="25">
        <f>IF(BH84="No",10,0)</f>
        <v/>
      </c>
      <c r="BJ84" s="25" t="inlineStr">
        <is>
          <t>No</t>
        </is>
      </c>
      <c r="BK84" s="25">
        <f>IF(BJ84="NO",5,0)</f>
        <v/>
      </c>
      <c r="BL84" s="25" t="inlineStr">
        <is>
          <t>Less than 1.5</t>
        </is>
      </c>
      <c r="BM84" s="25">
        <f>IF(BL84="Above 2",0,IF(BL84="Between 1.5 to 2",5,IF(BL84="Less than 1.5",10,0)))</f>
        <v/>
      </c>
      <c r="BN84" s="25" t="inlineStr">
        <is>
          <t>Negative</t>
        </is>
      </c>
      <c r="BO84" s="25">
        <f>IF(BN84="Above 70%",10,IF(BN84="Between 50% to 70%",5,IF(BN84="Less than 50%",0,IF(BN84="Negative",-10,IF(BN84="Less than 50% and Borrowings are increasing",-5,0)))))</f>
        <v/>
      </c>
      <c r="BP84" s="25" t="inlineStr">
        <is>
          <t>Less than 0.7</t>
        </is>
      </c>
      <c r="BQ84" s="25">
        <f>IF(BP84="More than 1.2",-10,IF(BP84="Between 0.7 to 1.2",0,IF(BP84="Less than 0.7",10,0)))</f>
        <v/>
      </c>
      <c r="BR84" s="25" t="inlineStr">
        <is>
          <t>No</t>
        </is>
      </c>
      <c r="BS84" s="25">
        <f>IF(BR84="Yes",-10,0)</f>
        <v/>
      </c>
      <c r="BT84" s="25" t="inlineStr">
        <is>
          <t>Less than 15%</t>
        </is>
      </c>
      <c r="BU84" s="25">
        <f>IF(BT84="More than 15%",-10,IF(BT84="Less than 15%",10,0))</f>
        <v/>
      </c>
      <c r="BV84" s="25" t="inlineStr">
        <is>
          <t>No</t>
        </is>
      </c>
      <c r="BW84" s="25">
        <f>IF(BV84="Yes, more than 10%",-10,IF(BV84="No",10,0))</f>
        <v/>
      </c>
    </row>
    <row r="85">
      <c r="A85" s="25">
        <f>IF(B85=0,"",RANK(B85,$B$2:$B$292,0))</f>
        <v/>
      </c>
      <c r="B85" s="26">
        <f>SUM(Q85,S85,U85,W85,Y85,AA85,AC85,AE85,AG85,AI85,AK85,AM85,AO85,AQ85,AS85,AU85,AW85,AY85,BA85,BC85,BE85,BG85,BI85,BK85,BM85,BO85,BQ85,BS85,BU85,BW85)</f>
        <v/>
      </c>
      <c r="C85" s="25" t="inlineStr">
        <is>
          <t>SHILPAMED</t>
        </is>
      </c>
      <c r="D85" s="25" t="inlineStr">
        <is>
          <t>Shilpa Medicare Limited</t>
        </is>
      </c>
      <c r="E85" s="25" t="inlineStr">
        <is>
          <t>healthcare</t>
        </is>
      </c>
      <c r="F85" s="25" t="inlineStr">
        <is>
          <t>pharmaceuticals - indian - formulations</t>
        </is>
      </c>
      <c r="G85" s="25" t="inlineStr">
        <is>
          <t>midcap</t>
        </is>
      </c>
      <c r="H85" s="26" t="n">
        <v>9764.42</v>
      </c>
      <c r="I85" s="26" t="n">
        <v>517.35</v>
      </c>
      <c r="J85" s="26" t="n">
        <v>3.63</v>
      </c>
      <c r="K85" s="26" t="n">
        <v>2867786</v>
      </c>
      <c r="L85" s="26" t="n">
        <v>76.92</v>
      </c>
      <c r="M85" s="26" t="n">
        <v>39.55</v>
      </c>
      <c r="N85" s="26" t="n">
        <v>401.23</v>
      </c>
      <c r="O85" s="25" t="inlineStr">
        <is>
          <t>Near 52W High Breakout</t>
        </is>
      </c>
      <c r="P85" s="25" t="inlineStr">
        <is>
          <t>Growing Industry</t>
        </is>
      </c>
      <c r="Q85" s="25">
        <f>IF(P85="Growing Industry",10,IF(P85="Cyclical in an Upturn",5,0))</f>
        <v/>
      </c>
      <c r="R85" s="25" t="inlineStr">
        <is>
          <t>Too Many Players with High ROCE</t>
        </is>
      </c>
      <c r="S85" s="25">
        <f>IF(R85="Monopoly",10,IF(R85="Oligopoly",5,IF(R85="Duopoly that cooperate",10,IF(R85="Duopoly that compete",5,IF(R85="Too many players with High ROCE",5,0)))))</f>
        <v/>
      </c>
      <c r="T85" s="25" t="inlineStr">
        <is>
          <t>Yes</t>
        </is>
      </c>
      <c r="U85" s="25">
        <f>IF(T85="No",5,0)</f>
        <v/>
      </c>
      <c r="V85" s="25" t="inlineStr">
        <is>
          <t>Tailwind</t>
        </is>
      </c>
      <c r="W85" s="25">
        <f>IF(V85="Tailwind",10,0)</f>
        <v/>
      </c>
      <c r="X85" s="25" t="inlineStr">
        <is>
          <t>Structural (10 Years Consistency)</t>
        </is>
      </c>
      <c r="Y85" s="25">
        <f>IF(X85="Structural (10 Years Consistency)",10,IF(X85="Shallow Cyclical (2 to 3 years growth)",5,0))</f>
        <v/>
      </c>
      <c r="Z85" s="25" t="inlineStr">
        <is>
          <t>No</t>
        </is>
      </c>
      <c r="AA85" s="25">
        <f>IF(Z85="Yes due to Product Mix change or Operating Leverage",10,IF(Z85="Yes, these are peak margins",-5,IF(Z85="No",5,0)))</f>
        <v/>
      </c>
      <c r="AB85" s="25" t="inlineStr">
        <is>
          <t>Stable</t>
        </is>
      </c>
      <c r="AC85" s="25">
        <f>IF(AB85="Stable",10,0)</f>
        <v/>
      </c>
      <c r="AD85" s="25" t="inlineStr">
        <is>
          <t>Yes</t>
        </is>
      </c>
      <c r="AE85" s="25">
        <f>IF(AD85="Yes",10,0)</f>
        <v/>
      </c>
      <c r="AF85" s="25" t="inlineStr">
        <is>
          <t>B2B</t>
        </is>
      </c>
      <c r="AG85" s="25">
        <f>IF(AF85="B2C",10,IF(AF85="B2B",5,0))</f>
        <v/>
      </c>
      <c r="AH85" s="25" t="inlineStr">
        <is>
          <t>Yes</t>
        </is>
      </c>
      <c r="AI85" s="25">
        <f>IF(AH85="Yes",10,0)</f>
        <v/>
      </c>
      <c r="AJ85" s="25" t="inlineStr">
        <is>
          <t>Higher Annuity, Lower One Time</t>
        </is>
      </c>
      <c r="AK85" s="25">
        <f>IF(AJ85="Fully Annuity",10,IF(AJ85="Higher Annuity, Lower One Time",5,IF(AJ85="Higher One Time, Lower Annuity",3,0)))</f>
        <v/>
      </c>
      <c r="AL85" s="25" t="inlineStr">
        <is>
          <t>Good</t>
        </is>
      </c>
      <c r="AM85" s="25">
        <f>IF(AL85="Good",10,0)</f>
        <v/>
      </c>
      <c r="AN85" s="25" t="inlineStr">
        <is>
          <t>Yes for more than 2 years</t>
        </is>
      </c>
      <c r="AO85" s="25">
        <f>IF(AN85="Yes for more than 2 years",10,IF(AN85="Yes only for next 1 to 2 years",5,0))</f>
        <v/>
      </c>
      <c r="AP85" s="25" t="inlineStr">
        <is>
          <t>20 to 40</t>
        </is>
      </c>
      <c r="AQ85" s="25">
        <f>IF(AP85="Above 40",20,IF(AP85="20 to 40",10,IF(AP85="0 to 20",-5,0)))</f>
        <v/>
      </c>
      <c r="AR85" s="25" t="inlineStr">
        <is>
          <t>Above 75</t>
        </is>
      </c>
      <c r="AS85" s="25">
        <f>IF(AR85="Between 50 to 75",10,IF(AR85="Above 75",0,0))</f>
        <v/>
      </c>
      <c r="AT85" s="25" t="inlineStr">
        <is>
          <t>Stage 2</t>
        </is>
      </c>
      <c r="AU85" s="25">
        <f>IF(AT85="Stage 2",20,IF(AT85="Stage 1",0,IF(AT85="Stage 3",5,IF(AT85="Stage 4",-5,0))))</f>
        <v/>
      </c>
      <c r="AV85" s="25" t="inlineStr">
        <is>
          <t>Positive Trend</t>
        </is>
      </c>
      <c r="AW85" s="25">
        <f>IF(AV85="Positive Trend",20,IF(AV85="Negative Trend",-10,0))</f>
        <v/>
      </c>
      <c r="AX85" s="25" t="inlineStr">
        <is>
          <t>Uptrend</t>
        </is>
      </c>
      <c r="AY85" s="25">
        <f>IF(AX85="Uptrend",10,IF(AX85="Sideways",5,0))</f>
        <v/>
      </c>
      <c r="AZ85" s="25" t="inlineStr">
        <is>
          <t>Uptrend</t>
        </is>
      </c>
      <c r="BA85" s="25">
        <f>IF(AZ85="Uptrend",10,IF(AZ85="Sideways",5,0))</f>
        <v/>
      </c>
      <c r="BB85" s="25" t="inlineStr">
        <is>
          <t>Blue sky scenario</t>
        </is>
      </c>
      <c r="BC85" s="25">
        <f>IF(BB85="Overhead supply in last 2 years in last 2 years",-5,IF(BB85="Close to 52 week high or retracement",5,IF(BB85="Blue sky scenario",10,IF(BB85="Long term Downtrend",-10,0))))</f>
        <v/>
      </c>
      <c r="BD85" s="25" t="inlineStr">
        <is>
          <t>Yes</t>
        </is>
      </c>
      <c r="BE85" s="25">
        <f>IF(BD85="Yes",10,0)</f>
        <v/>
      </c>
      <c r="BF85" s="25" t="inlineStr">
        <is>
          <t>More than 20%</t>
        </is>
      </c>
      <c r="BG85" s="25">
        <f>IF(BF85="More than 20%",10,IF(BF85="Between 12 to 20%",5,IF(BF85="Less than 12%",0,0)))</f>
        <v/>
      </c>
      <c r="BH85" s="25" t="inlineStr">
        <is>
          <t>No</t>
        </is>
      </c>
      <c r="BI85" s="25">
        <f>IF(BH85="No",10,0)</f>
        <v/>
      </c>
      <c r="BJ85" s="25" t="inlineStr">
        <is>
          <t>Yes</t>
        </is>
      </c>
      <c r="BK85" s="25">
        <f>IF(BJ85="NO",5,0)</f>
        <v/>
      </c>
      <c r="BL85" s="25" t="inlineStr">
        <is>
          <t>Less than 1.5</t>
        </is>
      </c>
      <c r="BM85" s="25">
        <f>IF(BL85="Above 2",0,IF(BL85="Between 1.5 to 2",5,IF(BL85="Less than 1.5",10,0)))</f>
        <v/>
      </c>
      <c r="BN85" s="25" t="inlineStr">
        <is>
          <t>Above 70%</t>
        </is>
      </c>
      <c r="BO85" s="25">
        <f>IF(BN85="Above 70%",10,IF(BN85="Between 50% to 70%",5,IF(BN85="Less than 50%",0,IF(BN85="Negative",-10,IF(BN85="Less than 50% and Borrowings are increasing",-5,0)))))</f>
        <v/>
      </c>
      <c r="BP85" s="25" t="inlineStr">
        <is>
          <t>Less than 0.7</t>
        </is>
      </c>
      <c r="BQ85" s="25">
        <f>IF(BP85="More than 1.2",-10,IF(BP85="Between 0.7 to 1.2",0,IF(BP85="Less than 0.7",10,0)))</f>
        <v/>
      </c>
      <c r="BR85" s="25" t="inlineStr">
        <is>
          <t>No</t>
        </is>
      </c>
      <c r="BS85" s="25">
        <f>IF(BR85="Yes",-10,0)</f>
        <v/>
      </c>
      <c r="BT85" s="25" t="inlineStr">
        <is>
          <t>Less than 15%</t>
        </is>
      </c>
      <c r="BU85" s="25">
        <f>IF(BT85="More than 15%",-10,IF(BT85="Less than 15%",10,0))</f>
        <v/>
      </c>
      <c r="BV85" s="25" t="inlineStr">
        <is>
          <t>No</t>
        </is>
      </c>
      <c r="BW85" s="25">
        <f>IF(BV85="Yes, more than 10%",-10,IF(BV85="No",10,0))</f>
        <v/>
      </c>
    </row>
    <row r="86">
      <c r="A86" s="25">
        <f>IF(B86=0,"",RANK(B86,$B$2:$B$292,0))</f>
        <v/>
      </c>
      <c r="B86" s="26">
        <f>SUM(Q86,S86,U86,W86,Y86,AA86,AC86,AE86,AG86,AI86,AK86,AM86,AO86,AQ86,AS86,AU86,AW86,AY86,BA86,BC86,BE86,BG86,BI86,BK86,BM86,BO86,BQ86,BS86,BU86,BW86)</f>
        <v/>
      </c>
      <c r="C86" s="25" t="inlineStr">
        <is>
          <t>TATATECH</t>
        </is>
      </c>
      <c r="D86" s="25" t="inlineStr">
        <is>
          <t>Tata Technologies Ltd</t>
        </is>
      </c>
      <c r="E86" s="25" t="inlineStr">
        <is>
          <t>i.t</t>
        </is>
      </c>
      <c r="F86" s="25" t="inlineStr">
        <is>
          <t>computers - software - medium / small</t>
        </is>
      </c>
      <c r="G86" s="25" t="inlineStr">
        <is>
          <t>largecap</t>
        </is>
      </c>
      <c r="H86" s="26" t="n">
        <v>29019.4</v>
      </c>
      <c r="I86" s="26" t="n">
        <v>737.95</v>
      </c>
      <c r="J86" s="26" t="n">
        <v>3.24</v>
      </c>
      <c r="K86" s="26" t="n">
        <v>2515331</v>
      </c>
      <c r="L86" s="26" t="n">
        <v>69.61</v>
      </c>
      <c r="M86" s="26" t="n">
        <v>33.37</v>
      </c>
      <c r="N86" s="26" t="n">
        <v>610.13</v>
      </c>
      <c r="O86" s="25" t="inlineStr">
        <is>
          <t>Near 52W High Breakout</t>
        </is>
      </c>
      <c r="P86" s="25" t="inlineStr">
        <is>
          <t>Growing Industry</t>
        </is>
      </c>
      <c r="Q86" s="25">
        <f>IF(P86="Growing Industry",10,IF(P86="Cyclical in an Upturn",5,0))</f>
        <v/>
      </c>
      <c r="R86" s="25" t="inlineStr">
        <is>
          <t>Too Many Players with High ROCE</t>
        </is>
      </c>
      <c r="S86" s="25">
        <f>IF(R86="Monopoly",10,IF(R86="Oligopoly",5,IF(R86="Duopoly that cooperate",10,IF(R86="Duopoly that compete",5,IF(R86="Too many players with High ROCE",5,0)))))</f>
        <v/>
      </c>
      <c r="T86" s="25" t="inlineStr">
        <is>
          <t>No</t>
        </is>
      </c>
      <c r="U86" s="25">
        <f>IF(T86="No",5,0)</f>
        <v/>
      </c>
      <c r="V86" s="25" t="inlineStr">
        <is>
          <t>Tailwind</t>
        </is>
      </c>
      <c r="W86" s="25">
        <f>IF(V86="Tailwind",10,0)</f>
        <v/>
      </c>
      <c r="X86" s="25" t="inlineStr">
        <is>
          <t>Structural (10 Years Consistency)</t>
        </is>
      </c>
      <c r="Y86" s="25">
        <f>IF(X86="Structural (10 Years Consistency)",10,IF(X86="Shallow Cyclical (2 to 3 years growth)",5,0))</f>
        <v/>
      </c>
      <c r="Z86" s="25" t="inlineStr">
        <is>
          <t>No</t>
        </is>
      </c>
      <c r="AA86" s="25">
        <f>IF(Z86="Yes due to Product Mix change or Operating Leverage",10,IF(Z86="Yes, these are peak margins",-5,IF(Z86="No",5,0)))</f>
        <v/>
      </c>
      <c r="AB86" s="25" t="inlineStr">
        <is>
          <t>Stable</t>
        </is>
      </c>
      <c r="AC86" s="25">
        <f>IF(AB86="Stable",10,0)</f>
        <v/>
      </c>
      <c r="AD86" s="25" t="inlineStr">
        <is>
          <t>Yes</t>
        </is>
      </c>
      <c r="AE86" s="25">
        <f>IF(AD86="Yes",10,0)</f>
        <v/>
      </c>
      <c r="AF86" s="25" t="inlineStr">
        <is>
          <t>B2B</t>
        </is>
      </c>
      <c r="AG86" s="25">
        <f>IF(AF86="B2C",10,IF(AF86="B2B",5,0))</f>
        <v/>
      </c>
      <c r="AH86" s="25" t="inlineStr">
        <is>
          <t>Yes</t>
        </is>
      </c>
      <c r="AI86" s="25">
        <f>IF(AH86="Yes",10,0)</f>
        <v/>
      </c>
      <c r="AJ86" s="25" t="inlineStr">
        <is>
          <t>Higher Annuity, Lower One Time</t>
        </is>
      </c>
      <c r="AK86" s="25">
        <f>IF(AJ86="Fully Annuity",10,IF(AJ86="Higher Annuity, Lower One Time",5,IF(AJ86="Higher One Time, Lower Annuity",3,0)))</f>
        <v/>
      </c>
      <c r="AL86" s="25" t="inlineStr">
        <is>
          <t>Good</t>
        </is>
      </c>
      <c r="AM86" s="25">
        <f>IF(AL86="Good",10,0)</f>
        <v/>
      </c>
      <c r="AN86" s="25" t="inlineStr">
        <is>
          <t>Yes for more than 2 years</t>
        </is>
      </c>
      <c r="AO86" s="25">
        <f>IF(AN86="Yes for more than 2 years",10,IF(AN86="Yes only for next 1 to 2 years",5,0))</f>
        <v/>
      </c>
      <c r="AP86" s="25" t="inlineStr">
        <is>
          <t>20 to 40</t>
        </is>
      </c>
      <c r="AQ86" s="25">
        <f>IF(AP86="Above 40",20,IF(AP86="20 to 40",10,IF(AP86="0 to 20",-5,0)))</f>
        <v/>
      </c>
      <c r="AR86" s="25" t="inlineStr">
        <is>
          <t>Between 50 to 75</t>
        </is>
      </c>
      <c r="AS86" s="25">
        <f>IF(AR86="Between 50 to 75",10,IF(AR86="Above 75",0,0))</f>
        <v/>
      </c>
      <c r="AT86" s="25" t="inlineStr">
        <is>
          <t>Stage 2</t>
        </is>
      </c>
      <c r="AU86" s="25">
        <f>IF(AT86="Stage 2",20,IF(AT86="Stage 1",0,IF(AT86="Stage 3",5,IF(AT86="Stage 4",-5,0))))</f>
        <v/>
      </c>
      <c r="AV86" s="25" t="inlineStr">
        <is>
          <t>Positive Trend</t>
        </is>
      </c>
      <c r="AW86" s="25">
        <f>IF(AV86="Positive Trend",20,IF(AV86="Negative Trend",-10,0))</f>
        <v/>
      </c>
      <c r="AX86" s="25" t="inlineStr">
        <is>
          <t>Uptrend</t>
        </is>
      </c>
      <c r="AY86" s="25">
        <f>IF(AX86="Uptrend",10,IF(AX86="Sideways",5,0))</f>
        <v/>
      </c>
      <c r="AZ86" s="25" t="inlineStr">
        <is>
          <t>Uptrend</t>
        </is>
      </c>
      <c r="BA86" s="25">
        <f>IF(AZ86="Uptrend",10,IF(AZ86="Sideways",5,0))</f>
        <v/>
      </c>
      <c r="BB86" s="25" t="inlineStr">
        <is>
          <t>Close to 52 week high or retracement</t>
        </is>
      </c>
      <c r="BC86" s="25">
        <f>IF(BB86="Overhead supply in last 2 years in last 2 years",-5,IF(BB86="Close to 52 week high or retracement",5,IF(BB86="Blue sky scenario",10,IF(BB86="Long term Downtrend",-10,0))))</f>
        <v/>
      </c>
      <c r="BD86" s="25" t="inlineStr">
        <is>
          <t>Yes</t>
        </is>
      </c>
      <c r="BE86" s="25">
        <f>IF(BD86="Yes",10,0)</f>
        <v/>
      </c>
      <c r="BF86" s="25" t="inlineStr">
        <is>
          <t>Less than 12%</t>
        </is>
      </c>
      <c r="BG86" s="25">
        <f>IF(BF86="More than 20%",10,IF(BF86="Between 12 to 20%",5,IF(BF86="Less than 12%",0,0)))</f>
        <v/>
      </c>
      <c r="BH86" s="25" t="inlineStr">
        <is>
          <t>No</t>
        </is>
      </c>
      <c r="BI86" s="25">
        <f>IF(BH86="No",10,0)</f>
        <v/>
      </c>
      <c r="BJ86" s="25" t="inlineStr">
        <is>
          <t>Yes</t>
        </is>
      </c>
      <c r="BK86" s="25">
        <f>IF(BJ86="NO",5,0)</f>
        <v/>
      </c>
      <c r="BL86" s="25" t="inlineStr">
        <is>
          <t>Less than 1.5</t>
        </is>
      </c>
      <c r="BM86" s="25">
        <f>IF(BL86="Above 2",0,IF(BL86="Between 1.5 to 2",5,IF(BL86="Less than 1.5",10,0)))</f>
        <v/>
      </c>
      <c r="BN86" s="25" t="inlineStr">
        <is>
          <t>Above 70%</t>
        </is>
      </c>
      <c r="BO86" s="25">
        <f>IF(BN86="Above 70%",10,IF(BN86="Between 50% to 70%",5,IF(BN86="Less than 50%",0,IF(BN86="Negative",-10,IF(BN86="Less than 50% and Borrowings are increasing",-5,0)))))</f>
        <v/>
      </c>
      <c r="BP86" s="25" t="inlineStr">
        <is>
          <t>Less than 0.7</t>
        </is>
      </c>
      <c r="BQ86" s="25">
        <f>IF(BP86="More than 1.2",-10,IF(BP86="Between 0.7 to 1.2",0,IF(BP86="Less than 0.7",10,0)))</f>
        <v/>
      </c>
      <c r="BR86" s="25" t="inlineStr">
        <is>
          <t>No</t>
        </is>
      </c>
      <c r="BS86" s="25">
        <f>IF(BR86="Yes",-10,0)</f>
        <v/>
      </c>
      <c r="BT86" s="25" t="inlineStr">
        <is>
          <t>Less than 15%</t>
        </is>
      </c>
      <c r="BU86" s="25">
        <f>IF(BT86="More than 15%",-10,IF(BT86="Less than 15%",10,0))</f>
        <v/>
      </c>
      <c r="BV86" s="25" t="inlineStr">
        <is>
          <t>No</t>
        </is>
      </c>
      <c r="BW86" s="25">
        <f>IF(BV86="Yes, more than 10%",-10,IF(BV86="No",10,0))</f>
        <v/>
      </c>
    </row>
    <row r="87">
      <c r="A87" s="25">
        <f>IF(B87=0,"",RANK(B87,$B$2:$B$292,0))</f>
        <v/>
      </c>
      <c r="B87" s="26">
        <f>SUM(Q87,S87,U87,W87,Y87,AA87,AC87,AE87,AG87,AI87,AK87,AM87,AO87,AQ87,AS87,AU87,AW87,AY87,BA87,BC87,BE87,BG87,BI87,BK87,BM87,BO87,BQ87,BS87,BU87,BW87)</f>
        <v/>
      </c>
      <c r="C87" s="25" t="inlineStr">
        <is>
          <t>AVTNPL</t>
        </is>
      </c>
      <c r="D87" s="25" t="inlineStr">
        <is>
          <t>Avt Natural Products Limited</t>
        </is>
      </c>
      <c r="E87" s="25" t="inlineStr">
        <is>
          <t>fmcg</t>
        </is>
      </c>
      <c r="F87" s="25" t="inlineStr">
        <is>
          <t>solvent extraction</t>
        </is>
      </c>
      <c r="G87" s="25" t="inlineStr">
        <is>
          <t>smallcap</t>
        </is>
      </c>
      <c r="H87" s="26" t="n">
        <v>1060.2</v>
      </c>
      <c r="I87" s="26" t="n">
        <v>71.01000000000001</v>
      </c>
      <c r="J87" s="26" t="n">
        <v>2</v>
      </c>
      <c r="K87" s="26" t="n">
        <v>273073</v>
      </c>
      <c r="L87" s="26" t="n">
        <v>58.64</v>
      </c>
      <c r="M87" s="26" t="n">
        <v>21.77</v>
      </c>
      <c r="N87" s="26" t="n">
        <v>55.2</v>
      </c>
      <c r="O87" s="25" t="inlineStr">
        <is>
          <t>Earnings / Momentum Support</t>
        </is>
      </c>
      <c r="P87" s="25" t="inlineStr">
        <is>
          <t>Growing Industry</t>
        </is>
      </c>
      <c r="Q87" s="25">
        <f>IF(P87="Growing Industry",10,IF(P87="Cyclical in an Upturn",5,0))</f>
        <v/>
      </c>
      <c r="R87" s="25" t="inlineStr">
        <is>
          <t>Too Many Players with High ROCE</t>
        </is>
      </c>
      <c r="S87" s="25">
        <f>IF(R87="Monopoly",10,IF(R87="Oligopoly",5,IF(R87="Duopoly that cooperate",10,IF(R87="Duopoly that compete",5,IF(R87="Too many players with High ROCE",5,0)))))</f>
        <v/>
      </c>
      <c r="T87" s="25" t="inlineStr">
        <is>
          <t>No</t>
        </is>
      </c>
      <c r="U87" s="25">
        <f>IF(T87="No",5,0)</f>
        <v/>
      </c>
      <c r="V87" s="25" t="inlineStr">
        <is>
          <t>Tailwind</t>
        </is>
      </c>
      <c r="W87" s="25">
        <f>IF(V87="Tailwind",10,0)</f>
        <v/>
      </c>
      <c r="X87" s="25" t="inlineStr">
        <is>
          <t>Structural (10 Years Consistency)</t>
        </is>
      </c>
      <c r="Y87" s="25">
        <f>IF(X87="Structural (10 Years Consistency)",10,IF(X87="Shallow Cyclical (2 to 3 years growth)",5,0))</f>
        <v/>
      </c>
      <c r="Z87" s="25" t="inlineStr">
        <is>
          <t>No</t>
        </is>
      </c>
      <c r="AA87" s="25">
        <f>IF(Z87="Yes due to Product Mix change or Operating Leverage",10,IF(Z87="Yes, these are peak margins",-5,IF(Z87="No",5,0)))</f>
        <v/>
      </c>
      <c r="AB87" s="25" t="inlineStr">
        <is>
          <t>Stable</t>
        </is>
      </c>
      <c r="AC87" s="25">
        <f>IF(AB87="Stable",10,0)</f>
        <v/>
      </c>
      <c r="AD87" s="25" t="inlineStr">
        <is>
          <t>Yes</t>
        </is>
      </c>
      <c r="AE87" s="25">
        <f>IF(AD87="Yes",10,0)</f>
        <v/>
      </c>
      <c r="AF87" s="25" t="inlineStr">
        <is>
          <t>B2C</t>
        </is>
      </c>
      <c r="AG87" s="25">
        <f>IF(AF87="B2C",10,IF(AF87="B2B",5,0))</f>
        <v/>
      </c>
      <c r="AH87" s="25" t="inlineStr">
        <is>
          <t>No</t>
        </is>
      </c>
      <c r="AI87" s="25">
        <f>IF(AH87="Yes",10,0)</f>
        <v/>
      </c>
      <c r="AJ87" s="25" t="inlineStr">
        <is>
          <t>Higher Annuity, Lower One Time</t>
        </is>
      </c>
      <c r="AK87" s="25">
        <f>IF(AJ87="Fully Annuity",10,IF(AJ87="Higher Annuity, Lower One Time",5,IF(AJ87="Higher One Time, Lower Annuity",3,0)))</f>
        <v/>
      </c>
      <c r="AL87" s="25" t="inlineStr">
        <is>
          <t>Good</t>
        </is>
      </c>
      <c r="AM87" s="25">
        <f>IF(AL87="Good",10,0)</f>
        <v/>
      </c>
      <c r="AN87" s="25" t="inlineStr">
        <is>
          <t>Yes for more than 2 years</t>
        </is>
      </c>
      <c r="AO87" s="25">
        <f>IF(AN87="Yes for more than 2 years",10,IF(AN87="Yes only for next 1 to 2 years",5,0))</f>
        <v/>
      </c>
      <c r="AP87" s="25" t="inlineStr">
        <is>
          <t>20 to 40</t>
        </is>
      </c>
      <c r="AQ87" s="25">
        <f>IF(AP87="Above 40",20,IF(AP87="20 to 40",10,IF(AP87="0 to 20",-5,0)))</f>
        <v/>
      </c>
      <c r="AR87" s="25" t="inlineStr">
        <is>
          <t>Between 50 to 75</t>
        </is>
      </c>
      <c r="AS87" s="25">
        <f>IF(AR87="Between 50 to 75",10,IF(AR87="Above 75",0,0))</f>
        <v/>
      </c>
      <c r="AT87" s="25" t="inlineStr">
        <is>
          <t>Stage 2</t>
        </is>
      </c>
      <c r="AU87" s="25">
        <f>IF(AT87="Stage 2",20,IF(AT87="Stage 1",0,IF(AT87="Stage 3",5,IF(AT87="Stage 4",-5,0))))</f>
        <v/>
      </c>
      <c r="AV87" s="25" t="inlineStr">
        <is>
          <t>Positive Trend</t>
        </is>
      </c>
      <c r="AW87" s="25">
        <f>IF(AV87="Positive Trend",20,IF(AV87="Negative Trend",-10,0))</f>
        <v/>
      </c>
      <c r="AX87" s="25" t="inlineStr">
        <is>
          <t>Uptrend</t>
        </is>
      </c>
      <c r="AY87" s="25">
        <f>IF(AX87="Uptrend",10,IF(AX87="Sideways",5,0))</f>
        <v/>
      </c>
      <c r="AZ87" s="25" t="inlineStr">
        <is>
          <t>Uptrend</t>
        </is>
      </c>
      <c r="BA87" s="25">
        <f>IF(AZ87="Uptrend",10,IF(AZ87="Sideways",5,0))</f>
        <v/>
      </c>
      <c r="BB87" s="25" t="inlineStr">
        <is>
          <t>Close to 52 week high or retracement</t>
        </is>
      </c>
      <c r="BC87" s="25">
        <f>IF(BB87="Overhead supply in last 2 years in last 2 years",-5,IF(BB87="Close to 52 week high or retracement",5,IF(BB87="Blue sky scenario",10,IF(BB87="Long term Downtrend",-10,0))))</f>
        <v/>
      </c>
      <c r="BD87" s="25" t="inlineStr">
        <is>
          <t>Yes</t>
        </is>
      </c>
      <c r="BE87" s="25">
        <f>IF(BD87="Yes",10,0)</f>
        <v/>
      </c>
      <c r="BF87" s="25" t="inlineStr">
        <is>
          <t>Less than 12%</t>
        </is>
      </c>
      <c r="BG87" s="25">
        <f>IF(BF87="More than 20%",10,IF(BF87="Between 12 to 20%",5,IF(BF87="Less than 12%",0,0)))</f>
        <v/>
      </c>
      <c r="BH87" s="25" t="inlineStr">
        <is>
          <t>No</t>
        </is>
      </c>
      <c r="BI87" s="25">
        <f>IF(BH87="No",10,0)</f>
        <v/>
      </c>
      <c r="BJ87" s="25" t="inlineStr">
        <is>
          <t>No</t>
        </is>
      </c>
      <c r="BK87" s="25">
        <f>IF(BJ87="NO",5,0)</f>
        <v/>
      </c>
      <c r="BL87" s="25" t="inlineStr">
        <is>
          <t>Less than 1.5</t>
        </is>
      </c>
      <c r="BM87" s="25">
        <f>IF(BL87="Above 2",0,IF(BL87="Between 1.5 to 2",5,IF(BL87="Less than 1.5",10,0)))</f>
        <v/>
      </c>
      <c r="BN87" s="25" t="inlineStr">
        <is>
          <t>Above 70%</t>
        </is>
      </c>
      <c r="BO87" s="25">
        <f>IF(BN87="Above 70%",10,IF(BN87="Between 50% to 70%",5,IF(BN87="Less than 50%",0,IF(BN87="Negative",-10,IF(BN87="Less than 50% and Borrowings are increasing",-5,0)))))</f>
        <v/>
      </c>
      <c r="BP87" s="25" t="inlineStr">
        <is>
          <t>Less than 0.7</t>
        </is>
      </c>
      <c r="BQ87" s="25">
        <f>IF(BP87="More than 1.2",-10,IF(BP87="Between 0.7 to 1.2",0,IF(BP87="Less than 0.7",10,0)))</f>
        <v/>
      </c>
      <c r="BR87" s="25" t="inlineStr">
        <is>
          <t>No</t>
        </is>
      </c>
      <c r="BS87" s="25">
        <f>IF(BR87="Yes",-10,0)</f>
        <v/>
      </c>
      <c r="BT87" s="25" t="inlineStr">
        <is>
          <t>Less than 15%</t>
        </is>
      </c>
      <c r="BU87" s="25">
        <f>IF(BT87="More than 15%",-10,IF(BT87="Less than 15%",10,0))</f>
        <v/>
      </c>
      <c r="BV87" s="25" t="inlineStr">
        <is>
          <t>No</t>
        </is>
      </c>
      <c r="BW87" s="25">
        <f>IF(BV87="Yes, more than 10%",-10,IF(BV87="No",10,0))</f>
        <v/>
      </c>
    </row>
    <row r="88">
      <c r="A88" s="25">
        <f>IF(B88=0,"",RANK(B88,$B$2:$B$292,0))</f>
        <v/>
      </c>
      <c r="B88" s="26">
        <f>SUM(Q88,S88,U88,W88,Y88,AA88,AC88,AE88,AG88,AI88,AK88,AM88,AO88,AQ88,AS88,AU88,AW88,AY88,BA88,BC88,BE88,BG88,BI88,BK88,BM88,BO88,BQ88,BS88,BU88,BW88)</f>
        <v/>
      </c>
      <c r="C88" s="25" t="inlineStr">
        <is>
          <t>KEI</t>
        </is>
      </c>
      <c r="D88" s="25" t="inlineStr">
        <is>
          <t>Kei Industries Limited</t>
        </is>
      </c>
      <c r="E88" s="25" t="inlineStr">
        <is>
          <t>industrials</t>
        </is>
      </c>
      <c r="F88" s="25" t="inlineStr">
        <is>
          <t>cables - power</t>
        </is>
      </c>
      <c r="G88" s="25" t="inlineStr">
        <is>
          <t>largecap</t>
        </is>
      </c>
      <c r="H88" s="26" t="n">
        <v>49463.75</v>
      </c>
      <c r="I88" s="26" t="n">
        <v>5261.5</v>
      </c>
      <c r="J88" s="26" t="n">
        <v>1.69</v>
      </c>
      <c r="K88" s="26" t="n">
        <v>204472</v>
      </c>
      <c r="L88" s="26" t="n">
        <v>65.58</v>
      </c>
      <c r="M88" s="26" t="n">
        <v>22.66</v>
      </c>
      <c r="N88" s="26" t="n">
        <v>4189.89</v>
      </c>
      <c r="O88" s="25" t="inlineStr">
        <is>
          <t>Near 52W High Breakout</t>
        </is>
      </c>
      <c r="P88" s="25" t="inlineStr">
        <is>
          <t>Growing Industry</t>
        </is>
      </c>
      <c r="Q88" s="25">
        <f>IF(P88="Growing Industry",10,IF(P88="Cyclical in an Upturn",5,0))</f>
        <v/>
      </c>
      <c r="R88" s="25" t="inlineStr">
        <is>
          <t>Too Many Players with High ROCE</t>
        </is>
      </c>
      <c r="S88" s="25">
        <f>IF(R88="Monopoly",10,IF(R88="Oligopoly",5,IF(R88="Duopoly that cooperate",10,IF(R88="Duopoly that compete",5,IF(R88="Too many players with High ROCE",5,0)))))</f>
        <v/>
      </c>
      <c r="T88" s="25" t="inlineStr">
        <is>
          <t>No</t>
        </is>
      </c>
      <c r="U88" s="25">
        <f>IF(T88="No",5,0)</f>
        <v/>
      </c>
      <c r="V88" s="25" t="inlineStr">
        <is>
          <t>Tailwind</t>
        </is>
      </c>
      <c r="W88" s="25">
        <f>IF(V88="Tailwind",10,0)</f>
        <v/>
      </c>
      <c r="X88" s="25" t="inlineStr">
        <is>
          <t>Structural (10 Years Consistency)</t>
        </is>
      </c>
      <c r="Y88" s="25">
        <f>IF(X88="Structural (10 Years Consistency)",10,IF(X88="Shallow Cyclical (2 to 3 years growth)",5,0))</f>
        <v/>
      </c>
      <c r="Z88" s="25" t="inlineStr">
        <is>
          <t>No</t>
        </is>
      </c>
      <c r="AA88" s="25">
        <f>IF(Z88="Yes due to Product Mix change or Operating Leverage",10,IF(Z88="Yes, these are peak margins",-5,IF(Z88="No",5,0)))</f>
        <v/>
      </c>
      <c r="AB88" s="25" t="inlineStr">
        <is>
          <t>Stable</t>
        </is>
      </c>
      <c r="AC88" s="25">
        <f>IF(AB88="Stable",10,0)</f>
        <v/>
      </c>
      <c r="AD88" s="25" t="inlineStr">
        <is>
          <t>Yes</t>
        </is>
      </c>
      <c r="AE88" s="25">
        <f>IF(AD88="Yes",10,0)</f>
        <v/>
      </c>
      <c r="AF88" s="25" t="inlineStr">
        <is>
          <t>B2B</t>
        </is>
      </c>
      <c r="AG88" s="25">
        <f>IF(AF88="B2C",10,IF(AF88="B2B",5,0))</f>
        <v/>
      </c>
      <c r="AH88" s="25" t="inlineStr">
        <is>
          <t>Yes</t>
        </is>
      </c>
      <c r="AI88" s="25">
        <f>IF(AH88="Yes",10,0)</f>
        <v/>
      </c>
      <c r="AJ88" s="25" t="inlineStr">
        <is>
          <t>Fully Annuity</t>
        </is>
      </c>
      <c r="AK88" s="25">
        <f>IF(AJ88="Fully Annuity",10,IF(AJ88="Higher Annuity, Lower One Time",5,IF(AJ88="Higher One Time, Lower Annuity",3,0)))</f>
        <v/>
      </c>
      <c r="AL88" s="25" t="inlineStr">
        <is>
          <t>Good</t>
        </is>
      </c>
      <c r="AM88" s="25">
        <f>IF(AL88="Good",10,0)</f>
        <v/>
      </c>
      <c r="AN88" s="25" t="inlineStr">
        <is>
          <t>Yes for more than 2 years</t>
        </is>
      </c>
      <c r="AO88" s="25">
        <f>IF(AN88="Yes for more than 2 years",10,IF(AN88="Yes only for next 1 to 2 years",5,0))</f>
        <v/>
      </c>
      <c r="AP88" s="25" t="inlineStr">
        <is>
          <t>Above 40</t>
        </is>
      </c>
      <c r="AQ88" s="25">
        <f>IF(AP88="Above 40",20,IF(AP88="20 to 40",10,IF(AP88="0 to 20",-5,0)))</f>
        <v/>
      </c>
      <c r="AR88" s="25" t="inlineStr">
        <is>
          <t>Between 50 to 75</t>
        </is>
      </c>
      <c r="AS88" s="25">
        <f>IF(AR88="Between 50 to 75",10,IF(AR88="Above 75",0,0))</f>
        <v/>
      </c>
      <c r="AT88" s="25" t="inlineStr">
        <is>
          <t>Stage 2</t>
        </is>
      </c>
      <c r="AU88" s="25">
        <f>IF(AT88="Stage 2",20,IF(AT88="Stage 1",0,IF(AT88="Stage 3",5,IF(AT88="Stage 4",-5,0))))</f>
        <v/>
      </c>
      <c r="AV88" s="25" t="inlineStr">
        <is>
          <t>Positive Trend</t>
        </is>
      </c>
      <c r="AW88" s="25">
        <f>IF(AV88="Positive Trend",20,IF(AV88="Negative Trend",-10,0))</f>
        <v/>
      </c>
      <c r="AX88" s="25" t="inlineStr">
        <is>
          <t>Uptrend</t>
        </is>
      </c>
      <c r="AY88" s="25">
        <f>IF(AX88="Uptrend",10,IF(AX88="Sideways",5,0))</f>
        <v/>
      </c>
      <c r="AZ88" s="25" t="inlineStr">
        <is>
          <t>Uptrend</t>
        </is>
      </c>
      <c r="BA88" s="25">
        <f>IF(AZ88="Uptrend",10,IF(AZ88="Sideways",5,0))</f>
        <v/>
      </c>
      <c r="BB88" s="25" t="inlineStr">
        <is>
          <t>Close to 52 week high or retracement</t>
        </is>
      </c>
      <c r="BC88" s="25">
        <f>IF(BB88="Overhead supply in last 2 years in last 2 years",-5,IF(BB88="Close to 52 week high or retracement",5,IF(BB88="Blue sky scenario",10,IF(BB88="Long term Downtrend",-10,0))))</f>
        <v/>
      </c>
      <c r="BD88" s="25" t="inlineStr">
        <is>
          <t>Yes</t>
        </is>
      </c>
      <c r="BE88" s="25">
        <f>IF(BD88="Yes",10,0)</f>
        <v/>
      </c>
      <c r="BF88" s="25" t="inlineStr">
        <is>
          <t>More than 20%</t>
        </is>
      </c>
      <c r="BG88" s="25">
        <f>IF(BF88="More than 20%",10,IF(BF88="Between 12 to 20%",5,IF(BF88="Less than 12%",0,0)))</f>
        <v/>
      </c>
      <c r="BH88" s="25" t="inlineStr">
        <is>
          <t>Yes</t>
        </is>
      </c>
      <c r="BI88" s="25">
        <f>IF(BH88="No",10,0)</f>
        <v/>
      </c>
      <c r="BJ88" s="25" t="inlineStr">
        <is>
          <t>No</t>
        </is>
      </c>
      <c r="BK88" s="25">
        <f>IF(BJ88="NO",5,0)</f>
        <v/>
      </c>
      <c r="BL88" s="25" t="inlineStr">
        <is>
          <t>Less than 1.5</t>
        </is>
      </c>
      <c r="BM88" s="25">
        <f>IF(BL88="Above 2",0,IF(BL88="Between 1.5 to 2",5,IF(BL88="Less than 1.5",10,0)))</f>
        <v/>
      </c>
      <c r="BN88" s="25" t="inlineStr">
        <is>
          <t>Above 70%</t>
        </is>
      </c>
      <c r="BO88" s="25">
        <f>IF(BN88="Above 70%",10,IF(BN88="Between 50% to 70%",5,IF(BN88="Less than 50%",0,IF(BN88="Negative",-10,IF(BN88="Less than 50% and Borrowings are increasing",-5,0)))))</f>
        <v/>
      </c>
      <c r="BP88" s="25" t="inlineStr">
        <is>
          <t>Less than 0.7</t>
        </is>
      </c>
      <c r="BQ88" s="25">
        <f>IF(BP88="More than 1.2",-10,IF(BP88="Between 0.7 to 1.2",0,IF(BP88="Less than 0.7",10,0)))</f>
        <v/>
      </c>
      <c r="BR88" s="25" t="inlineStr">
        <is>
          <t>No</t>
        </is>
      </c>
      <c r="BS88" s="25">
        <f>IF(BR88="Yes",-10,0)</f>
        <v/>
      </c>
      <c r="BT88" s="25" t="inlineStr">
        <is>
          <t>Less than 15%</t>
        </is>
      </c>
      <c r="BU88" s="25">
        <f>IF(BT88="More than 15%",-10,IF(BT88="Less than 15%",10,0))</f>
        <v/>
      </c>
      <c r="BV88" s="25" t="inlineStr">
        <is>
          <t>Yes, More Than 10%</t>
        </is>
      </c>
      <c r="BW88" s="25">
        <f>IF(BV88="Yes, more than 10%",-10,IF(BV88="No",10,0))</f>
        <v/>
      </c>
    </row>
    <row r="89">
      <c r="A89" s="25">
        <f>IF(B89=0,"",RANK(B89,$B$2:$B$292,0))</f>
        <v/>
      </c>
      <c r="B89" s="26">
        <f>SUM(Q89,S89,U89,W89,Y89,AA89,AC89,AE89,AG89,AI89,AK89,AM89,AO89,AQ89,AS89,AU89,AW89,AY89,BA89,BC89,BE89,BG89,BI89,BK89,BM89,BO89,BQ89,BS89,BU89,BW89)</f>
        <v/>
      </c>
      <c r="C89" s="25" t="inlineStr">
        <is>
          <t>MARKSANS</t>
        </is>
      </c>
      <c r="D89" s="25" t="inlineStr">
        <is>
          <t>Marksans Pharma Limited</t>
        </is>
      </c>
      <c r="E89" s="25" t="inlineStr">
        <is>
          <t>healthcare</t>
        </is>
      </c>
      <c r="F89" s="25" t="inlineStr">
        <is>
          <t>pharmaceuticals - indian - formulations</t>
        </is>
      </c>
      <c r="G89" s="25" t="inlineStr">
        <is>
          <t>midcap</t>
        </is>
      </c>
      <c r="H89" s="26" t="n">
        <v>10816.11</v>
      </c>
      <c r="I89" s="26" t="n">
        <v>241.19</v>
      </c>
      <c r="J89" s="26" t="n">
        <v>1.05</v>
      </c>
      <c r="K89" s="26" t="n">
        <v>2681082</v>
      </c>
      <c r="L89" s="26" t="n">
        <v>71.84</v>
      </c>
      <c r="M89" s="26" t="n">
        <v>25.72</v>
      </c>
      <c r="N89" s="26" t="n">
        <v>191.22</v>
      </c>
      <c r="O89" s="25" t="inlineStr">
        <is>
          <t>Earnings / Momentum Support</t>
        </is>
      </c>
      <c r="P89" s="25" t="inlineStr">
        <is>
          <t>Growing Industry</t>
        </is>
      </c>
      <c r="Q89" s="25">
        <f>IF(P89="Growing Industry",10,IF(P89="Cyclical in an Upturn",5,0))</f>
        <v/>
      </c>
      <c r="R89" s="25" t="inlineStr">
        <is>
          <t>Too Many Players with High ROCE</t>
        </is>
      </c>
      <c r="S89" s="25">
        <f>IF(R89="Monopoly",10,IF(R89="Oligopoly",5,IF(R89="Duopoly that cooperate",10,IF(R89="Duopoly that compete",5,IF(R89="Too many players with High ROCE",5,0)))))</f>
        <v/>
      </c>
      <c r="T89" s="25" t="inlineStr">
        <is>
          <t>Yes</t>
        </is>
      </c>
      <c r="U89" s="25">
        <f>IF(T89="No",5,0)</f>
        <v/>
      </c>
      <c r="V89" s="25" t="inlineStr">
        <is>
          <t>Tailwind</t>
        </is>
      </c>
      <c r="W89" s="25">
        <f>IF(V89="Tailwind",10,0)</f>
        <v/>
      </c>
      <c r="X89" s="25" t="inlineStr">
        <is>
          <t>Structural (10 Years Consistency)</t>
        </is>
      </c>
      <c r="Y89" s="25">
        <f>IF(X89="Structural (10 Years Consistency)",10,IF(X89="Shallow Cyclical (2 to 3 years growth)",5,0))</f>
        <v/>
      </c>
      <c r="Z89" s="25" t="inlineStr">
        <is>
          <t>No</t>
        </is>
      </c>
      <c r="AA89" s="25">
        <f>IF(Z89="Yes due to Product Mix change or Operating Leverage",10,IF(Z89="Yes, these are peak margins",-5,IF(Z89="No",5,0)))</f>
        <v/>
      </c>
      <c r="AB89" s="25" t="inlineStr">
        <is>
          <t>Stable</t>
        </is>
      </c>
      <c r="AC89" s="25">
        <f>IF(AB89="Stable",10,0)</f>
        <v/>
      </c>
      <c r="AD89" s="25" t="inlineStr">
        <is>
          <t>Yes</t>
        </is>
      </c>
      <c r="AE89" s="25">
        <f>IF(AD89="Yes",10,0)</f>
        <v/>
      </c>
      <c r="AF89" s="25" t="inlineStr">
        <is>
          <t>B2B</t>
        </is>
      </c>
      <c r="AG89" s="25">
        <f>IF(AF89="B2C",10,IF(AF89="B2B",5,0))</f>
        <v/>
      </c>
      <c r="AH89" s="25" t="inlineStr">
        <is>
          <t>No</t>
        </is>
      </c>
      <c r="AI89" s="25">
        <f>IF(AH89="Yes",10,0)</f>
        <v/>
      </c>
      <c r="AJ89" s="25" t="inlineStr">
        <is>
          <t>Higher Annuity, Lower One Time</t>
        </is>
      </c>
      <c r="AK89" s="25">
        <f>IF(AJ89="Fully Annuity",10,IF(AJ89="Higher Annuity, Lower One Time",5,IF(AJ89="Higher One Time, Lower Annuity",3,0)))</f>
        <v/>
      </c>
      <c r="AL89" s="25" t="inlineStr">
        <is>
          <t>Good</t>
        </is>
      </c>
      <c r="AM89" s="25">
        <f>IF(AL89="Good",10,0)</f>
        <v/>
      </c>
      <c r="AN89" s="25" t="inlineStr">
        <is>
          <t>Yes for more than 2 years</t>
        </is>
      </c>
      <c r="AO89" s="25">
        <f>IF(AN89="Yes for more than 2 years",10,IF(AN89="Yes only for next 1 to 2 years",5,0))</f>
        <v/>
      </c>
      <c r="AP89" s="25" t="inlineStr">
        <is>
          <t>20 to 40</t>
        </is>
      </c>
      <c r="AQ89" s="25">
        <f>IF(AP89="Above 40",20,IF(AP89="20 to 40",10,IF(AP89="0 to 20",-5,0)))</f>
        <v/>
      </c>
      <c r="AR89" s="25" t="inlineStr">
        <is>
          <t>Between 50 to 75</t>
        </is>
      </c>
      <c r="AS89" s="25">
        <f>IF(AR89="Between 50 to 75",10,IF(AR89="Above 75",0,0))</f>
        <v/>
      </c>
      <c r="AT89" s="25" t="inlineStr">
        <is>
          <t>Stage 2</t>
        </is>
      </c>
      <c r="AU89" s="25">
        <f>IF(AT89="Stage 2",20,IF(AT89="Stage 1",0,IF(AT89="Stage 3",5,IF(AT89="Stage 4",-5,0))))</f>
        <v/>
      </c>
      <c r="AV89" s="25" t="inlineStr">
        <is>
          <t>Positive Trend</t>
        </is>
      </c>
      <c r="AW89" s="25">
        <f>IF(AV89="Positive Trend",20,IF(AV89="Negative Trend",-10,0))</f>
        <v/>
      </c>
      <c r="AX89" s="25" t="inlineStr">
        <is>
          <t>Uptrend</t>
        </is>
      </c>
      <c r="AY89" s="25">
        <f>IF(AX89="Uptrend",10,IF(AX89="Sideways",5,0))</f>
        <v/>
      </c>
      <c r="AZ89" s="25" t="inlineStr">
        <is>
          <t>Uptrend</t>
        </is>
      </c>
      <c r="BA89" s="25">
        <f>IF(AZ89="Uptrend",10,IF(AZ89="Sideways",5,0))</f>
        <v/>
      </c>
      <c r="BB89" s="25" t="inlineStr">
        <is>
          <t>Close to 52 week high or retracement</t>
        </is>
      </c>
      <c r="BC89" s="25">
        <f>IF(BB89="Overhead supply in last 2 years in last 2 years",-5,IF(BB89="Close to 52 week high or retracement",5,IF(BB89="Blue sky scenario",10,IF(BB89="Long term Downtrend",-10,0))))</f>
        <v/>
      </c>
      <c r="BD89" s="25" t="inlineStr">
        <is>
          <t>Yes</t>
        </is>
      </c>
      <c r="BE89" s="25">
        <f>IF(BD89="Yes",10,0)</f>
        <v/>
      </c>
      <c r="BF89" s="25" t="inlineStr">
        <is>
          <t>More than 20%</t>
        </is>
      </c>
      <c r="BG89" s="25">
        <f>IF(BF89="More than 20%",10,IF(BF89="Between 12 to 20%",5,IF(BF89="Less than 12%",0,0)))</f>
        <v/>
      </c>
      <c r="BH89" s="25" t="inlineStr">
        <is>
          <t>No</t>
        </is>
      </c>
      <c r="BI89" s="25">
        <f>IF(BH89="No",10,0)</f>
        <v/>
      </c>
      <c r="BJ89" s="25" t="inlineStr">
        <is>
          <t>No</t>
        </is>
      </c>
      <c r="BK89" s="25">
        <f>IF(BJ89="NO",5,0)</f>
        <v/>
      </c>
      <c r="BL89" s="25" t="inlineStr">
        <is>
          <t>Less than 1.5</t>
        </is>
      </c>
      <c r="BM89" s="25">
        <f>IF(BL89="Above 2",0,IF(BL89="Between 1.5 to 2",5,IF(BL89="Less than 1.5",10,0)))</f>
        <v/>
      </c>
      <c r="BN89" s="25" t="inlineStr">
        <is>
          <t>Above 70%</t>
        </is>
      </c>
      <c r="BO89" s="25">
        <f>IF(BN89="Above 70%",10,IF(BN89="Between 50% to 70%",5,IF(BN89="Less than 50%",0,IF(BN89="Negative",-10,IF(BN89="Less than 50% and Borrowings are increasing",-5,0)))))</f>
        <v/>
      </c>
      <c r="BP89" s="25" t="inlineStr">
        <is>
          <t>Less than 0.7</t>
        </is>
      </c>
      <c r="BQ89" s="25">
        <f>IF(BP89="More than 1.2",-10,IF(BP89="Between 0.7 to 1.2",0,IF(BP89="Less than 0.7",10,0)))</f>
        <v/>
      </c>
      <c r="BR89" s="25" t="inlineStr">
        <is>
          <t>No</t>
        </is>
      </c>
      <c r="BS89" s="25">
        <f>IF(BR89="Yes",-10,0)</f>
        <v/>
      </c>
      <c r="BT89" s="25" t="inlineStr">
        <is>
          <t>Less than 15%</t>
        </is>
      </c>
      <c r="BU89" s="25">
        <f>IF(BT89="More than 15%",-10,IF(BT89="Less than 15%",10,0))</f>
        <v/>
      </c>
      <c r="BV89" s="25" t="inlineStr">
        <is>
          <t>No</t>
        </is>
      </c>
      <c r="BW89" s="25">
        <f>IF(BV89="Yes, more than 10%",-10,IF(BV89="No",10,0))</f>
        <v/>
      </c>
    </row>
    <row r="90">
      <c r="A90" s="25">
        <f>IF(B90=0,"",RANK(B90,$B$2:$B$292,0))</f>
        <v/>
      </c>
      <c r="B90" s="26">
        <f>SUM(Q90,S90,U90,W90,Y90,AA90,AC90,AE90,AG90,AI90,AK90,AM90,AO90,AQ90,AS90,AU90,AW90,AY90,BA90,BC90,BE90,BG90,BI90,BK90,BM90,BO90,BQ90,BS90,BU90,BW90)</f>
        <v/>
      </c>
      <c r="C90" s="25" t="inlineStr">
        <is>
          <t>BLSE</t>
        </is>
      </c>
      <c r="D90" s="25" t="inlineStr">
        <is>
          <t>BLS E-Services Ltd</t>
        </is>
      </c>
      <c r="E90" s="25" t="inlineStr">
        <is>
          <t>i.t</t>
        </is>
      </c>
      <c r="F90" s="25" t="inlineStr">
        <is>
          <t>computers - software - medium / small</t>
        </is>
      </c>
      <c r="G90" s="25" t="inlineStr">
        <is>
          <t>smallcap</t>
        </is>
      </c>
      <c r="H90" s="26" t="n">
        <v>2026.74</v>
      </c>
      <c r="I90" s="26" t="n">
        <v>224.21</v>
      </c>
      <c r="J90" s="26" t="n">
        <v>0.51</v>
      </c>
      <c r="K90" s="26" t="n">
        <v>285565</v>
      </c>
      <c r="L90" s="26" t="n">
        <v>67.81999999999999</v>
      </c>
      <c r="M90" s="26" t="n">
        <v>21.42</v>
      </c>
      <c r="N90" s="26" t="n">
        <v>171.68</v>
      </c>
      <c r="O90" s="25" t="inlineStr">
        <is>
          <t>Near 52W High Breakout</t>
        </is>
      </c>
      <c r="P90" s="25" t="inlineStr">
        <is>
          <t>Growing Industry</t>
        </is>
      </c>
      <c r="Q90" s="25">
        <f>IF(P90="Growing Industry",10,IF(P90="Cyclical in an Upturn",5,0))</f>
        <v/>
      </c>
      <c r="R90" s="25" t="inlineStr">
        <is>
          <t>Too Many Players with High ROCE</t>
        </is>
      </c>
      <c r="S90" s="25">
        <f>IF(R90="Monopoly",10,IF(R90="Oligopoly",5,IF(R90="Duopoly that cooperate",10,IF(R90="Duopoly that compete",5,IF(R90="Too many players with High ROCE",5,0)))))</f>
        <v/>
      </c>
      <c r="T90" s="25" t="inlineStr">
        <is>
          <t>No</t>
        </is>
      </c>
      <c r="U90" s="25">
        <f>IF(T90="No",5,0)</f>
        <v/>
      </c>
      <c r="V90" s="25" t="inlineStr">
        <is>
          <t>Tailwind</t>
        </is>
      </c>
      <c r="W90" s="25">
        <f>IF(V90="Tailwind",10,0)</f>
        <v/>
      </c>
      <c r="X90" s="25" t="inlineStr">
        <is>
          <t>Structural (10 Years Consistency)</t>
        </is>
      </c>
      <c r="Y90" s="25">
        <f>IF(X90="Structural (10 Years Consistency)",10,IF(X90="Shallow Cyclical (2 to 3 years growth)",5,0))</f>
        <v/>
      </c>
      <c r="Z90" s="25" t="inlineStr">
        <is>
          <t>No</t>
        </is>
      </c>
      <c r="AA90" s="25">
        <f>IF(Z90="Yes due to Product Mix change or Operating Leverage",10,IF(Z90="Yes, these are peak margins",-5,IF(Z90="No",5,0)))</f>
        <v/>
      </c>
      <c r="AB90" s="25" t="inlineStr">
        <is>
          <t>Stable</t>
        </is>
      </c>
      <c r="AC90" s="25">
        <f>IF(AB90="Stable",10,0)</f>
        <v/>
      </c>
      <c r="AD90" s="25" t="inlineStr">
        <is>
          <t>Yes</t>
        </is>
      </c>
      <c r="AE90" s="25">
        <f>IF(AD90="Yes",10,0)</f>
        <v/>
      </c>
      <c r="AF90" s="25" t="inlineStr">
        <is>
          <t>B2B</t>
        </is>
      </c>
      <c r="AG90" s="25">
        <f>IF(AF90="B2C",10,IF(AF90="B2B",5,0))</f>
        <v/>
      </c>
      <c r="AH90" s="25" t="inlineStr">
        <is>
          <t>Yes</t>
        </is>
      </c>
      <c r="AI90" s="25">
        <f>IF(AH90="Yes",10,0)</f>
        <v/>
      </c>
      <c r="AJ90" s="25" t="inlineStr">
        <is>
          <t>Higher Annuity, Lower One Time</t>
        </is>
      </c>
      <c r="AK90" s="25">
        <f>IF(AJ90="Fully Annuity",10,IF(AJ90="Higher Annuity, Lower One Time",5,IF(AJ90="Higher One Time, Lower Annuity",3,0)))</f>
        <v/>
      </c>
      <c r="AL90" s="25" t="inlineStr">
        <is>
          <t>Good</t>
        </is>
      </c>
      <c r="AM90" s="25">
        <f>IF(AL90="Good",10,0)</f>
        <v/>
      </c>
      <c r="AN90" s="25" t="inlineStr">
        <is>
          <t>Yes for more than 2 years</t>
        </is>
      </c>
      <c r="AO90" s="25">
        <f>IF(AN90="Yes for more than 2 years",10,IF(AN90="Yes only for next 1 to 2 years",5,0))</f>
        <v/>
      </c>
      <c r="AP90" s="25" t="inlineStr">
        <is>
          <t>20 to 40</t>
        </is>
      </c>
      <c r="AQ90" s="25">
        <f>IF(AP90="Above 40",20,IF(AP90="20 to 40",10,IF(AP90="0 to 20",-5,0)))</f>
        <v/>
      </c>
      <c r="AR90" s="25" t="inlineStr">
        <is>
          <t>Between 50 to 75</t>
        </is>
      </c>
      <c r="AS90" s="25">
        <f>IF(AR90="Between 50 to 75",10,IF(AR90="Above 75",0,0))</f>
        <v/>
      </c>
      <c r="AT90" s="25" t="inlineStr">
        <is>
          <t>Stage 2</t>
        </is>
      </c>
      <c r="AU90" s="25">
        <f>IF(AT90="Stage 2",20,IF(AT90="Stage 1",0,IF(AT90="Stage 3",5,IF(AT90="Stage 4",-5,0))))</f>
        <v/>
      </c>
      <c r="AV90" s="25" t="inlineStr">
        <is>
          <t>Positive Trend</t>
        </is>
      </c>
      <c r="AW90" s="25">
        <f>IF(AV90="Positive Trend",20,IF(AV90="Negative Trend",-10,0))</f>
        <v/>
      </c>
      <c r="AX90" s="25" t="inlineStr">
        <is>
          <t>Uptrend</t>
        </is>
      </c>
      <c r="AY90" s="25">
        <f>IF(AX90="Uptrend",10,IF(AX90="Sideways",5,0))</f>
        <v/>
      </c>
      <c r="AZ90" s="25" t="inlineStr">
        <is>
          <t>Uptrend</t>
        </is>
      </c>
      <c r="BA90" s="25">
        <f>IF(AZ90="Uptrend",10,IF(AZ90="Sideways",5,0))</f>
        <v/>
      </c>
      <c r="BB90" s="25" t="inlineStr">
        <is>
          <t>Close to 52 week high or retracement</t>
        </is>
      </c>
      <c r="BC90" s="25">
        <f>IF(BB90="Overhead supply in last 2 years in last 2 years",-5,IF(BB90="Close to 52 week high or retracement",5,IF(BB90="Blue sky scenario",10,IF(BB90="Long term Downtrend",-10,0))))</f>
        <v/>
      </c>
      <c r="BD90" s="25" t="inlineStr">
        <is>
          <t>Yes</t>
        </is>
      </c>
      <c r="BE90" s="25">
        <f>IF(BD90="Yes",10,0)</f>
        <v/>
      </c>
      <c r="BF90" s="25" t="inlineStr">
        <is>
          <t>Less than 12%</t>
        </is>
      </c>
      <c r="BG90" s="25">
        <f>IF(BF90="More than 20%",10,IF(BF90="Between 12 to 20%",5,IF(BF90="Less than 12%",0,0)))</f>
        <v/>
      </c>
      <c r="BH90" s="25" t="inlineStr">
        <is>
          <t>No</t>
        </is>
      </c>
      <c r="BI90" s="25">
        <f>IF(BH90="No",10,0)</f>
        <v/>
      </c>
      <c r="BJ90" s="25" t="inlineStr">
        <is>
          <t>No</t>
        </is>
      </c>
      <c r="BK90" s="25">
        <f>IF(BJ90="NO",5,0)</f>
        <v/>
      </c>
      <c r="BL90" s="25" t="inlineStr">
        <is>
          <t>Less than 1.5</t>
        </is>
      </c>
      <c r="BM90" s="25">
        <f>IF(BL90="Above 2",0,IF(BL90="Between 1.5 to 2",5,IF(BL90="Less than 1.5",10,0)))</f>
        <v/>
      </c>
      <c r="BN90" s="25" t="inlineStr">
        <is>
          <t>Between 50% to 70%</t>
        </is>
      </c>
      <c r="BO90" s="25">
        <f>IF(BN90="Above 70%",10,IF(BN90="Between 50% to 70%",5,IF(BN90="Less than 50%",0,IF(BN90="Negative",-10,IF(BN90="Less than 50% and Borrowings are increasing",-5,0)))))</f>
        <v/>
      </c>
      <c r="BP90" s="25" t="inlineStr">
        <is>
          <t>Less than 0.7</t>
        </is>
      </c>
      <c r="BQ90" s="25">
        <f>IF(BP90="More than 1.2",-10,IF(BP90="Between 0.7 to 1.2",0,IF(BP90="Less than 0.7",10,0)))</f>
        <v/>
      </c>
      <c r="BR90" s="25" t="inlineStr">
        <is>
          <t>No</t>
        </is>
      </c>
      <c r="BS90" s="25">
        <f>IF(BR90="Yes",-10,0)</f>
        <v/>
      </c>
      <c r="BT90" s="25" t="inlineStr">
        <is>
          <t>Less than 15%</t>
        </is>
      </c>
      <c r="BU90" s="25">
        <f>IF(BT90="More than 15%",-10,IF(BT90="Less than 15%",10,0))</f>
        <v/>
      </c>
      <c r="BV90" s="25" t="inlineStr">
        <is>
          <t>No</t>
        </is>
      </c>
      <c r="BW90" s="25">
        <f>IF(BV90="Yes, more than 10%",-10,IF(BV90="No",10,0))</f>
        <v/>
      </c>
    </row>
    <row r="91">
      <c r="A91" s="25">
        <f>IF(B91=0,"",RANK(B91,$B$2:$B$292,0))</f>
        <v/>
      </c>
      <c r="B91" s="26">
        <f>SUM(Q91,S91,U91,W91,Y91,AA91,AC91,AE91,AG91,AI91,AK91,AM91,AO91,AQ91,AS91,AU91,AW91,AY91,BA91,BC91,BE91,BG91,BI91,BK91,BM91,BO91,BQ91,BS91,BU91,BW91)</f>
        <v/>
      </c>
      <c r="C91" s="25" t="inlineStr">
        <is>
          <t>SUVEN</t>
        </is>
      </c>
      <c r="D91" s="25" t="inlineStr">
        <is>
          <t>Suven Life Sciences Limited</t>
        </is>
      </c>
      <c r="E91" s="25" t="inlineStr">
        <is>
          <t>healthcare</t>
        </is>
      </c>
      <c r="F91" s="25" t="inlineStr">
        <is>
          <t>miscellaneous</t>
        </is>
      </c>
      <c r="G91" s="25" t="inlineStr">
        <is>
          <t>midcap</t>
        </is>
      </c>
      <c r="H91" s="26" t="n">
        <v>7248.36</v>
      </c>
      <c r="I91" s="26" t="n">
        <v>275.2</v>
      </c>
      <c r="J91" s="26" t="n">
        <v>0.13</v>
      </c>
      <c r="K91" s="26" t="n">
        <v>2766020</v>
      </c>
      <c r="L91" s="26" t="n">
        <v>74.27</v>
      </c>
      <c r="M91" s="26" t="n">
        <v>34.4</v>
      </c>
      <c r="N91" s="26" t="n">
        <v>201.83</v>
      </c>
      <c r="O91" s="25" t="inlineStr">
        <is>
          <t>Earnings / Momentum Support</t>
        </is>
      </c>
      <c r="P91" s="25" t="inlineStr">
        <is>
          <t>Growing Industry</t>
        </is>
      </c>
      <c r="Q91" s="25">
        <f>IF(P91="Growing Industry",10,IF(P91="Cyclical in an Upturn",5,0))</f>
        <v/>
      </c>
      <c r="R91" s="25" t="inlineStr">
        <is>
          <t>Too Many Players with High ROCE</t>
        </is>
      </c>
      <c r="S91" s="25">
        <f>IF(R91="Monopoly",10,IF(R91="Oligopoly",5,IF(R91="Duopoly that cooperate",10,IF(R91="Duopoly that compete",5,IF(R91="Too many players with High ROCE",5,0)))))</f>
        <v/>
      </c>
      <c r="T91" s="25" t="inlineStr">
        <is>
          <t>Yes</t>
        </is>
      </c>
      <c r="U91" s="25">
        <f>IF(T91="No",5,0)</f>
        <v/>
      </c>
      <c r="V91" s="25" t="inlineStr">
        <is>
          <t>Tailwind</t>
        </is>
      </c>
      <c r="W91" s="25">
        <f>IF(V91="Tailwind",10,0)</f>
        <v/>
      </c>
      <c r="X91" s="25" t="inlineStr">
        <is>
          <t>Structural (10 Years Consistency)</t>
        </is>
      </c>
      <c r="Y91" s="25">
        <f>IF(X91="Structural (10 Years Consistency)",10,IF(X91="Shallow Cyclical (2 to 3 years growth)",5,0))</f>
        <v/>
      </c>
      <c r="Z91" s="25" t="inlineStr">
        <is>
          <t>No</t>
        </is>
      </c>
      <c r="AA91" s="25">
        <f>IF(Z91="Yes due to Product Mix change or Operating Leverage",10,IF(Z91="Yes, these are peak margins",-5,IF(Z91="No",5,0)))</f>
        <v/>
      </c>
      <c r="AB91" s="25" t="inlineStr">
        <is>
          <t>Stable</t>
        </is>
      </c>
      <c r="AC91" s="25">
        <f>IF(AB91="Stable",10,0)</f>
        <v/>
      </c>
      <c r="AD91" s="25" t="inlineStr">
        <is>
          <t>Yes</t>
        </is>
      </c>
      <c r="AE91" s="25">
        <f>IF(AD91="Yes",10,0)</f>
        <v/>
      </c>
      <c r="AF91" s="25" t="inlineStr">
        <is>
          <t>B2B</t>
        </is>
      </c>
      <c r="AG91" s="25">
        <f>IF(AF91="B2C",10,IF(AF91="B2B",5,0))</f>
        <v/>
      </c>
      <c r="AH91" s="25" t="inlineStr">
        <is>
          <t>No</t>
        </is>
      </c>
      <c r="AI91" s="25">
        <f>IF(AH91="Yes",10,0)</f>
        <v/>
      </c>
      <c r="AJ91" s="25" t="inlineStr">
        <is>
          <t>Higher Annuity, Lower One Time</t>
        </is>
      </c>
      <c r="AK91" s="25">
        <f>IF(AJ91="Fully Annuity",10,IF(AJ91="Higher Annuity, Lower One Time",5,IF(AJ91="Higher One Time, Lower Annuity",3,0)))</f>
        <v/>
      </c>
      <c r="AL91" s="25" t="inlineStr">
        <is>
          <t>Good</t>
        </is>
      </c>
      <c r="AM91" s="25">
        <f>IF(AL91="Good",10,0)</f>
        <v/>
      </c>
      <c r="AN91" s="25" t="inlineStr">
        <is>
          <t>Yes for more than 2 years</t>
        </is>
      </c>
      <c r="AO91" s="25">
        <f>IF(AN91="Yes for more than 2 years",10,IF(AN91="Yes only for next 1 to 2 years",5,0))</f>
        <v/>
      </c>
      <c r="AP91" s="25" t="inlineStr">
        <is>
          <t>20 to 40</t>
        </is>
      </c>
      <c r="AQ91" s="25">
        <f>IF(AP91="Above 40",20,IF(AP91="20 to 40",10,IF(AP91="0 to 20",-5,0)))</f>
        <v/>
      </c>
      <c r="AR91" s="25" t="inlineStr">
        <is>
          <t>Between 50 to 75</t>
        </is>
      </c>
      <c r="AS91" s="25">
        <f>IF(AR91="Between 50 to 75",10,IF(AR91="Above 75",0,0))</f>
        <v/>
      </c>
      <c r="AT91" s="25" t="inlineStr">
        <is>
          <t>Stage 2</t>
        </is>
      </c>
      <c r="AU91" s="25">
        <f>IF(AT91="Stage 2",20,IF(AT91="Stage 1",0,IF(AT91="Stage 3",5,IF(AT91="Stage 4",-5,0))))</f>
        <v/>
      </c>
      <c r="AV91" s="25" t="inlineStr">
        <is>
          <t>Positive Trend</t>
        </is>
      </c>
      <c r="AW91" s="25">
        <f>IF(AV91="Positive Trend",20,IF(AV91="Negative Trend",-10,0))</f>
        <v/>
      </c>
      <c r="AX91" s="25" t="inlineStr">
        <is>
          <t>Uptrend</t>
        </is>
      </c>
      <c r="AY91" s="25">
        <f>IF(AX91="Uptrend",10,IF(AX91="Sideways",5,0))</f>
        <v/>
      </c>
      <c r="AZ91" s="25" t="inlineStr">
        <is>
          <t>Uptrend</t>
        </is>
      </c>
      <c r="BA91" s="25">
        <f>IF(AZ91="Uptrend",10,IF(AZ91="Sideways",5,0))</f>
        <v/>
      </c>
      <c r="BB91" s="25" t="inlineStr">
        <is>
          <t>Close to 52 week high or retracement</t>
        </is>
      </c>
      <c r="BC91" s="25">
        <f>IF(BB91="Overhead supply in last 2 years in last 2 years",-5,IF(BB91="Close to 52 week high or retracement",5,IF(BB91="Blue sky scenario",10,IF(BB91="Long term Downtrend",-10,0))))</f>
        <v/>
      </c>
      <c r="BD91" s="25" t="inlineStr">
        <is>
          <t>Yes</t>
        </is>
      </c>
      <c r="BE91" s="25">
        <f>IF(BD91="Yes",10,0)</f>
        <v/>
      </c>
      <c r="BF91" s="25" t="inlineStr">
        <is>
          <t>More than 20%</t>
        </is>
      </c>
      <c r="BG91" s="25">
        <f>IF(BF91="More than 20%",10,IF(BF91="Between 12 to 20%",5,IF(BF91="Less than 12%",0,0)))</f>
        <v/>
      </c>
      <c r="BH91" s="25" t="inlineStr">
        <is>
          <t>No</t>
        </is>
      </c>
      <c r="BI91" s="25">
        <f>IF(BH91="No",10,0)</f>
        <v/>
      </c>
      <c r="BJ91" s="25" t="inlineStr">
        <is>
          <t>No</t>
        </is>
      </c>
      <c r="BK91" s="25">
        <f>IF(BJ91="NO",5,0)</f>
        <v/>
      </c>
      <c r="BL91" s="25" t="inlineStr">
        <is>
          <t>Less than 1.5</t>
        </is>
      </c>
      <c r="BM91" s="25">
        <f>IF(BL91="Above 2",0,IF(BL91="Between 1.5 to 2",5,IF(BL91="Less than 1.5",10,0)))</f>
        <v/>
      </c>
      <c r="BN91" s="25" t="inlineStr">
        <is>
          <t>Above 70%</t>
        </is>
      </c>
      <c r="BO91" s="25">
        <f>IF(BN91="Above 70%",10,IF(BN91="Between 50% to 70%",5,IF(BN91="Less than 50%",0,IF(BN91="Negative",-10,IF(BN91="Less than 50% and Borrowings are increasing",-5,0)))))</f>
        <v/>
      </c>
      <c r="BP91" s="25" t="inlineStr">
        <is>
          <t>Less than 0.7</t>
        </is>
      </c>
      <c r="BQ91" s="25">
        <f>IF(BP91="More than 1.2",-10,IF(BP91="Between 0.7 to 1.2",0,IF(BP91="Less than 0.7",10,0)))</f>
        <v/>
      </c>
      <c r="BR91" s="25" t="inlineStr">
        <is>
          <t>No</t>
        </is>
      </c>
      <c r="BS91" s="25">
        <f>IF(BR91="Yes",-10,0)</f>
        <v/>
      </c>
      <c r="BT91" s="25" t="inlineStr">
        <is>
          <t>Less than 15%</t>
        </is>
      </c>
      <c r="BU91" s="25">
        <f>IF(BT91="More than 15%",-10,IF(BT91="Less than 15%",10,0))</f>
        <v/>
      </c>
      <c r="BV91" s="25" t="inlineStr">
        <is>
          <t>No</t>
        </is>
      </c>
      <c r="BW91" s="25">
        <f>IF(BV91="Yes, more than 10%",-10,IF(BV91="No",10,0))</f>
        <v/>
      </c>
    </row>
    <row r="92">
      <c r="A92" s="25">
        <f>IF(B92=0,"",RANK(B92,$B$2:$B$292,0))</f>
        <v/>
      </c>
      <c r="B92" s="26">
        <f>SUM(Q92,S92,U92,W92,Y92,AA92,AC92,AE92,AG92,AI92,AK92,AM92,AO92,AQ92,AS92,AU92,AW92,AY92,BA92,BC92,BE92,BG92,BI92,BK92,BM92,BO92,BQ92,BS92,BU92,BW92)</f>
        <v/>
      </c>
      <c r="C92" s="25" t="inlineStr">
        <is>
          <t>KOPRAN</t>
        </is>
      </c>
      <c r="D92" s="25" t="inlineStr">
        <is>
          <t>Kopran Limited</t>
        </is>
      </c>
      <c r="E92" s="25" t="inlineStr">
        <is>
          <t>healthcare</t>
        </is>
      </c>
      <c r="F92" s="25" t="inlineStr">
        <is>
          <t>pharmaceuticals - indian - bulk drugs &amp; formln</t>
        </is>
      </c>
      <c r="G92" s="25" t="inlineStr">
        <is>
          <t>smallcap</t>
        </is>
      </c>
      <c r="H92" s="26" t="n">
        <v>946.2</v>
      </c>
      <c r="I92" s="26" t="n">
        <v>195.92</v>
      </c>
      <c r="J92" s="26" t="n">
        <v>-0.02</v>
      </c>
      <c r="K92" s="26" t="n">
        <v>490179</v>
      </c>
      <c r="L92" s="26" t="n">
        <v>65.90000000000001</v>
      </c>
      <c r="M92" s="26" t="n">
        <v>25.16</v>
      </c>
      <c r="N92" s="26" t="n">
        <v>149.8</v>
      </c>
      <c r="O92" s="25" t="inlineStr">
        <is>
          <t>Earnings / Momentum Support</t>
        </is>
      </c>
      <c r="P92" s="25" t="inlineStr">
        <is>
          <t>Growing Industry</t>
        </is>
      </c>
      <c r="Q92" s="25">
        <f>IF(P92="Growing Industry",10,IF(P92="Cyclical in an Upturn",5,0))</f>
        <v/>
      </c>
      <c r="R92" s="25" t="inlineStr">
        <is>
          <t>Too Many Players with High ROCE</t>
        </is>
      </c>
      <c r="S92" s="25">
        <f>IF(R92="Monopoly",10,IF(R92="Oligopoly",5,IF(R92="Duopoly that cooperate",10,IF(R92="Duopoly that compete",5,IF(R92="Too many players with High ROCE",5,0)))))</f>
        <v/>
      </c>
      <c r="T92" s="25" t="inlineStr">
        <is>
          <t>Yes</t>
        </is>
      </c>
      <c r="U92" s="25">
        <f>IF(T92="No",5,0)</f>
        <v/>
      </c>
      <c r="V92" s="25" t="inlineStr">
        <is>
          <t>Tailwind</t>
        </is>
      </c>
      <c r="W92" s="25">
        <f>IF(V92="Tailwind",10,0)</f>
        <v/>
      </c>
      <c r="X92" s="25" t="inlineStr">
        <is>
          <t>Structural (10 Years Consistency)</t>
        </is>
      </c>
      <c r="Y92" s="25">
        <f>IF(X92="Structural (10 Years Consistency)",10,IF(X92="Shallow Cyclical (2 to 3 years growth)",5,0))</f>
        <v/>
      </c>
      <c r="Z92" s="25" t="inlineStr">
        <is>
          <t>No</t>
        </is>
      </c>
      <c r="AA92" s="25">
        <f>IF(Z92="Yes due to Product Mix change or Operating Leverage",10,IF(Z92="Yes, these are peak margins",-5,IF(Z92="No",5,0)))</f>
        <v/>
      </c>
      <c r="AB92" s="25" t="inlineStr">
        <is>
          <t>Stable</t>
        </is>
      </c>
      <c r="AC92" s="25">
        <f>IF(AB92="Stable",10,0)</f>
        <v/>
      </c>
      <c r="AD92" s="25" t="inlineStr">
        <is>
          <t>Yes</t>
        </is>
      </c>
      <c r="AE92" s="25">
        <f>IF(AD92="Yes",10,0)</f>
        <v/>
      </c>
      <c r="AF92" s="25" t="inlineStr">
        <is>
          <t>B2B</t>
        </is>
      </c>
      <c r="AG92" s="25">
        <f>IF(AF92="B2C",10,IF(AF92="B2B",5,0))</f>
        <v/>
      </c>
      <c r="AH92" s="25" t="inlineStr">
        <is>
          <t>No</t>
        </is>
      </c>
      <c r="AI92" s="25">
        <f>IF(AH92="Yes",10,0)</f>
        <v/>
      </c>
      <c r="AJ92" s="25" t="inlineStr">
        <is>
          <t>Higher Annuity, Lower One Time</t>
        </is>
      </c>
      <c r="AK92" s="25">
        <f>IF(AJ92="Fully Annuity",10,IF(AJ92="Higher Annuity, Lower One Time",5,IF(AJ92="Higher One Time, Lower Annuity",3,0)))</f>
        <v/>
      </c>
      <c r="AL92" s="25" t="inlineStr">
        <is>
          <t>Good</t>
        </is>
      </c>
      <c r="AM92" s="25">
        <f>IF(AL92="Good",10,0)</f>
        <v/>
      </c>
      <c r="AN92" s="25" t="inlineStr">
        <is>
          <t>Yes for more than 2 years</t>
        </is>
      </c>
      <c r="AO92" s="25">
        <f>IF(AN92="Yes for more than 2 years",10,IF(AN92="Yes only for next 1 to 2 years",5,0))</f>
        <v/>
      </c>
      <c r="AP92" s="25" t="inlineStr">
        <is>
          <t>20 to 40</t>
        </is>
      </c>
      <c r="AQ92" s="25">
        <f>IF(AP92="Above 40",20,IF(AP92="20 to 40",10,IF(AP92="0 to 20",-5,0)))</f>
        <v/>
      </c>
      <c r="AR92" s="25" t="inlineStr">
        <is>
          <t>Between 50 to 75</t>
        </is>
      </c>
      <c r="AS92" s="25">
        <f>IF(AR92="Between 50 to 75",10,IF(AR92="Above 75",0,0))</f>
        <v/>
      </c>
      <c r="AT92" s="25" t="inlineStr">
        <is>
          <t>Stage 2</t>
        </is>
      </c>
      <c r="AU92" s="25">
        <f>IF(AT92="Stage 2",20,IF(AT92="Stage 1",0,IF(AT92="Stage 3",5,IF(AT92="Stage 4",-5,0))))</f>
        <v/>
      </c>
      <c r="AV92" s="25" t="inlineStr">
        <is>
          <t>Positive Trend</t>
        </is>
      </c>
      <c r="AW92" s="25">
        <f>IF(AV92="Positive Trend",20,IF(AV92="Negative Trend",-10,0))</f>
        <v/>
      </c>
      <c r="AX92" s="25" t="inlineStr">
        <is>
          <t>Uptrend</t>
        </is>
      </c>
      <c r="AY92" s="25">
        <f>IF(AX92="Uptrend",10,IF(AX92="Sideways",5,0))</f>
        <v/>
      </c>
      <c r="AZ92" s="25" t="inlineStr">
        <is>
          <t>Uptrend</t>
        </is>
      </c>
      <c r="BA92" s="25">
        <f>IF(AZ92="Uptrend",10,IF(AZ92="Sideways",5,0))</f>
        <v/>
      </c>
      <c r="BB92" s="25" t="inlineStr">
        <is>
          <t>Close to 52 week high or retracement</t>
        </is>
      </c>
      <c r="BC92" s="25">
        <f>IF(BB92="Overhead supply in last 2 years in last 2 years",-5,IF(BB92="Close to 52 week high or retracement",5,IF(BB92="Blue sky scenario",10,IF(BB92="Long term Downtrend",-10,0))))</f>
        <v/>
      </c>
      <c r="BD92" s="25" t="inlineStr">
        <is>
          <t>Yes</t>
        </is>
      </c>
      <c r="BE92" s="25">
        <f>IF(BD92="Yes",10,0)</f>
        <v/>
      </c>
      <c r="BF92" s="25" t="inlineStr">
        <is>
          <t>More than 20%</t>
        </is>
      </c>
      <c r="BG92" s="25">
        <f>IF(BF92="More than 20%",10,IF(BF92="Between 12 to 20%",5,IF(BF92="Less than 12%",0,0)))</f>
        <v/>
      </c>
      <c r="BH92" s="25" t="inlineStr">
        <is>
          <t>No</t>
        </is>
      </c>
      <c r="BI92" s="25">
        <f>IF(BH92="No",10,0)</f>
        <v/>
      </c>
      <c r="BJ92" s="25" t="inlineStr">
        <is>
          <t>No</t>
        </is>
      </c>
      <c r="BK92" s="25">
        <f>IF(BJ92="NO",5,0)</f>
        <v/>
      </c>
      <c r="BL92" s="25" t="inlineStr">
        <is>
          <t>Less than 1.5</t>
        </is>
      </c>
      <c r="BM92" s="25">
        <f>IF(BL92="Above 2",0,IF(BL92="Between 1.5 to 2",5,IF(BL92="Less than 1.5",10,0)))</f>
        <v/>
      </c>
      <c r="BN92" s="25" t="inlineStr">
        <is>
          <t>Above 70%</t>
        </is>
      </c>
      <c r="BO92" s="25">
        <f>IF(BN92="Above 70%",10,IF(BN92="Between 50% to 70%",5,IF(BN92="Less than 50%",0,IF(BN92="Negative",-10,IF(BN92="Less than 50% and Borrowings are increasing",-5,0)))))</f>
        <v/>
      </c>
      <c r="BP92" s="25" t="inlineStr">
        <is>
          <t>Less than 0.7</t>
        </is>
      </c>
      <c r="BQ92" s="25">
        <f>IF(BP92="More than 1.2",-10,IF(BP92="Between 0.7 to 1.2",0,IF(BP92="Less than 0.7",10,0)))</f>
        <v/>
      </c>
      <c r="BR92" s="25" t="inlineStr">
        <is>
          <t>No</t>
        </is>
      </c>
      <c r="BS92" s="25">
        <f>IF(BR92="Yes",-10,0)</f>
        <v/>
      </c>
      <c r="BT92" s="25" t="inlineStr">
        <is>
          <t>Less than 15%</t>
        </is>
      </c>
      <c r="BU92" s="25">
        <f>IF(BT92="More than 15%",-10,IF(BT92="Less than 15%",10,0))</f>
        <v/>
      </c>
      <c r="BV92" s="25" t="inlineStr">
        <is>
          <t>No</t>
        </is>
      </c>
      <c r="BW92" s="25">
        <f>IF(BV92="Yes, more than 10%",-10,IF(BV92="No",10,0))</f>
        <v/>
      </c>
    </row>
    <row r="93">
      <c r="A93" s="25">
        <f>IF(B93=0,"",RANK(B93,$B$2:$B$292,0))</f>
        <v/>
      </c>
      <c r="B93" s="26">
        <f>SUM(Q93,S93,U93,W93,Y93,AA93,AC93,AE93,AG93,AI93,AK93,AM93,AO93,AQ93,AS93,AU93,AW93,AY93,BA93,BC93,BE93,BG93,BI93,BK93,BM93,BO93,BQ93,BS93,BU93,BW93)</f>
        <v/>
      </c>
      <c r="C93" s="25" t="inlineStr">
        <is>
          <t>HESTERBIO</t>
        </is>
      </c>
      <c r="D93" s="25" t="inlineStr">
        <is>
          <t>Hester Biosciences Limited</t>
        </is>
      </c>
      <c r="E93" s="25" t="inlineStr">
        <is>
          <t>healthcare</t>
        </is>
      </c>
      <c r="F93" s="25" t="inlineStr">
        <is>
          <t>pharmaceuticals - indian - formulations</t>
        </is>
      </c>
      <c r="G93" s="25" t="inlineStr">
        <is>
          <t>smallcap</t>
        </is>
      </c>
      <c r="H93" s="26" t="n">
        <v>1715.92</v>
      </c>
      <c r="I93" s="26" t="n">
        <v>2015.4</v>
      </c>
      <c r="J93" s="26" t="n">
        <v>-0.08</v>
      </c>
      <c r="K93" s="26" t="n">
        <v>4673</v>
      </c>
      <c r="L93" s="26" t="n">
        <v>71.48999999999999</v>
      </c>
      <c r="M93" s="26" t="n">
        <v>32.52</v>
      </c>
      <c r="N93" s="26" t="n">
        <v>1552.85</v>
      </c>
      <c r="O93" s="25" t="inlineStr">
        <is>
          <t>Earnings / Momentum Support</t>
        </is>
      </c>
      <c r="P93" s="25" t="inlineStr">
        <is>
          <t>Growing Industry</t>
        </is>
      </c>
      <c r="Q93" s="25">
        <f>IF(P93="Growing Industry",10,IF(P93="Cyclical in an Upturn",5,0))</f>
        <v/>
      </c>
      <c r="R93" s="25" t="inlineStr">
        <is>
          <t>Too Many Players with High ROCE</t>
        </is>
      </c>
      <c r="S93" s="25">
        <f>IF(R93="Monopoly",10,IF(R93="Oligopoly",5,IF(R93="Duopoly that cooperate",10,IF(R93="Duopoly that compete",5,IF(R93="Too many players with High ROCE",5,0)))))</f>
        <v/>
      </c>
      <c r="T93" s="25" t="inlineStr">
        <is>
          <t>Yes</t>
        </is>
      </c>
      <c r="U93" s="25">
        <f>IF(T93="No",5,0)</f>
        <v/>
      </c>
      <c r="V93" s="25" t="inlineStr">
        <is>
          <t>Tailwind</t>
        </is>
      </c>
      <c r="W93" s="25">
        <f>IF(V93="Tailwind",10,0)</f>
        <v/>
      </c>
      <c r="X93" s="25" t="inlineStr">
        <is>
          <t>Structural (10 Years Consistency)</t>
        </is>
      </c>
      <c r="Y93" s="25">
        <f>IF(X93="Structural (10 Years Consistency)",10,IF(X93="Shallow Cyclical (2 to 3 years growth)",5,0))</f>
        <v/>
      </c>
      <c r="Z93" s="25" t="inlineStr">
        <is>
          <t>No</t>
        </is>
      </c>
      <c r="AA93" s="25">
        <f>IF(Z93="Yes due to Product Mix change or Operating Leverage",10,IF(Z93="Yes, these are peak margins",-5,IF(Z93="No",5,0)))</f>
        <v/>
      </c>
      <c r="AB93" s="25" t="inlineStr">
        <is>
          <t>Stable</t>
        </is>
      </c>
      <c r="AC93" s="25">
        <f>IF(AB93="Stable",10,0)</f>
        <v/>
      </c>
      <c r="AD93" s="25" t="inlineStr">
        <is>
          <t>Yes</t>
        </is>
      </c>
      <c r="AE93" s="25">
        <f>IF(AD93="Yes",10,0)</f>
        <v/>
      </c>
      <c r="AF93" s="25" t="inlineStr">
        <is>
          <t>B2B</t>
        </is>
      </c>
      <c r="AG93" s="25">
        <f>IF(AF93="B2C",10,IF(AF93="B2B",5,0))</f>
        <v/>
      </c>
      <c r="AH93" s="25" t="inlineStr">
        <is>
          <t>No</t>
        </is>
      </c>
      <c r="AI93" s="25">
        <f>IF(AH93="Yes",10,0)</f>
        <v/>
      </c>
      <c r="AJ93" s="25" t="inlineStr">
        <is>
          <t>Higher Annuity, Lower One Time</t>
        </is>
      </c>
      <c r="AK93" s="25">
        <f>IF(AJ93="Fully Annuity",10,IF(AJ93="Higher Annuity, Lower One Time",5,IF(AJ93="Higher One Time, Lower Annuity",3,0)))</f>
        <v/>
      </c>
      <c r="AL93" s="25" t="inlineStr">
        <is>
          <t>Good</t>
        </is>
      </c>
      <c r="AM93" s="25">
        <f>IF(AL93="Good",10,0)</f>
        <v/>
      </c>
      <c r="AN93" s="25" t="inlineStr">
        <is>
          <t>Yes for more than 2 years</t>
        </is>
      </c>
      <c r="AO93" s="25">
        <f>IF(AN93="Yes for more than 2 years",10,IF(AN93="Yes only for next 1 to 2 years",5,0))</f>
        <v/>
      </c>
      <c r="AP93" s="25" t="inlineStr">
        <is>
          <t>20 to 40</t>
        </is>
      </c>
      <c r="AQ93" s="25">
        <f>IF(AP93="Above 40",20,IF(AP93="20 to 40",10,IF(AP93="0 to 20",-5,0)))</f>
        <v/>
      </c>
      <c r="AR93" s="25" t="inlineStr">
        <is>
          <t>Between 50 to 75</t>
        </is>
      </c>
      <c r="AS93" s="25">
        <f>IF(AR93="Between 50 to 75",10,IF(AR93="Above 75",0,0))</f>
        <v/>
      </c>
      <c r="AT93" s="25" t="inlineStr">
        <is>
          <t>Stage 2</t>
        </is>
      </c>
      <c r="AU93" s="25">
        <f>IF(AT93="Stage 2",20,IF(AT93="Stage 1",0,IF(AT93="Stage 3",5,IF(AT93="Stage 4",-5,0))))</f>
        <v/>
      </c>
      <c r="AV93" s="25" t="inlineStr">
        <is>
          <t>Positive Trend</t>
        </is>
      </c>
      <c r="AW93" s="25">
        <f>IF(AV93="Positive Trend",20,IF(AV93="Negative Trend",-10,0))</f>
        <v/>
      </c>
      <c r="AX93" s="25" t="inlineStr">
        <is>
          <t>Uptrend</t>
        </is>
      </c>
      <c r="AY93" s="25">
        <f>IF(AX93="Uptrend",10,IF(AX93="Sideways",5,0))</f>
        <v/>
      </c>
      <c r="AZ93" s="25" t="inlineStr">
        <is>
          <t>Uptrend</t>
        </is>
      </c>
      <c r="BA93" s="25">
        <f>IF(AZ93="Uptrend",10,IF(AZ93="Sideways",5,0))</f>
        <v/>
      </c>
      <c r="BB93" s="25" t="inlineStr">
        <is>
          <t>Close to 52 week high or retracement</t>
        </is>
      </c>
      <c r="BC93" s="25">
        <f>IF(BB93="Overhead supply in last 2 years in last 2 years",-5,IF(BB93="Close to 52 week high or retracement",5,IF(BB93="Blue sky scenario",10,IF(BB93="Long term Downtrend",-10,0))))</f>
        <v/>
      </c>
      <c r="BD93" s="25" t="inlineStr">
        <is>
          <t>Yes</t>
        </is>
      </c>
      <c r="BE93" s="25">
        <f>IF(BD93="Yes",10,0)</f>
        <v/>
      </c>
      <c r="BF93" s="25" t="inlineStr">
        <is>
          <t>More than 20%</t>
        </is>
      </c>
      <c r="BG93" s="25">
        <f>IF(BF93="More than 20%",10,IF(BF93="Between 12 to 20%",5,IF(BF93="Less than 12%",0,0)))</f>
        <v/>
      </c>
      <c r="BH93" s="25" t="inlineStr">
        <is>
          <t>No</t>
        </is>
      </c>
      <c r="BI93" s="25">
        <f>IF(BH93="No",10,0)</f>
        <v/>
      </c>
      <c r="BJ93" s="25" t="inlineStr">
        <is>
          <t>No</t>
        </is>
      </c>
      <c r="BK93" s="25">
        <f>IF(BJ93="NO",5,0)</f>
        <v/>
      </c>
      <c r="BL93" s="25" t="inlineStr">
        <is>
          <t>Less than 1.5</t>
        </is>
      </c>
      <c r="BM93" s="25">
        <f>IF(BL93="Above 2",0,IF(BL93="Between 1.5 to 2",5,IF(BL93="Less than 1.5",10,0)))</f>
        <v/>
      </c>
      <c r="BN93" s="25" t="inlineStr">
        <is>
          <t>Above 70%</t>
        </is>
      </c>
      <c r="BO93" s="25">
        <f>IF(BN93="Above 70%",10,IF(BN93="Between 50% to 70%",5,IF(BN93="Less than 50%",0,IF(BN93="Negative",-10,IF(BN93="Less than 50% and Borrowings are increasing",-5,0)))))</f>
        <v/>
      </c>
      <c r="BP93" s="25" t="inlineStr">
        <is>
          <t>Less than 0.7</t>
        </is>
      </c>
      <c r="BQ93" s="25">
        <f>IF(BP93="More than 1.2",-10,IF(BP93="Between 0.7 to 1.2",0,IF(BP93="Less than 0.7",10,0)))</f>
        <v/>
      </c>
      <c r="BR93" s="25" t="inlineStr">
        <is>
          <t>No</t>
        </is>
      </c>
      <c r="BS93" s="25">
        <f>IF(BR93="Yes",-10,0)</f>
        <v/>
      </c>
      <c r="BT93" s="25" t="inlineStr">
        <is>
          <t>Less than 15%</t>
        </is>
      </c>
      <c r="BU93" s="25">
        <f>IF(BT93="More than 15%",-10,IF(BT93="Less than 15%",10,0))</f>
        <v/>
      </c>
      <c r="BV93" s="25" t="inlineStr">
        <is>
          <t>No</t>
        </is>
      </c>
      <c r="BW93" s="25">
        <f>IF(BV93="Yes, more than 10%",-10,IF(BV93="No",10,0))</f>
        <v/>
      </c>
    </row>
    <row r="94">
      <c r="A94" s="25">
        <f>IF(B94=0,"",RANK(B94,$B$2:$B$292,0))</f>
        <v/>
      </c>
      <c r="B94" s="26">
        <f>SUM(Q94,S94,U94,W94,Y94,AA94,AC94,AE94,AG94,AI94,AK94,AM94,AO94,AQ94,AS94,AU94,AW94,AY94,BA94,BC94,BE94,BG94,BI94,BK94,BM94,BO94,BQ94,BS94,BU94,BW94)</f>
        <v/>
      </c>
      <c r="C94" s="25" t="inlineStr">
        <is>
          <t>VIYASH</t>
        </is>
      </c>
      <c r="D94" s="25" t="inlineStr">
        <is>
          <t>Viyash Scientific Ltd</t>
        </is>
      </c>
      <c r="E94" s="25" t="inlineStr">
        <is>
          <t>healthcare</t>
        </is>
      </c>
      <c r="F94" s="25" t="inlineStr">
        <is>
          <t>pharmaceuticals - indian - bulk drugs &amp; formln</t>
        </is>
      </c>
      <c r="G94" s="25" t="inlineStr">
        <is>
          <t>midcap</t>
        </is>
      </c>
      <c r="H94" s="26" t="n">
        <v>10938.74</v>
      </c>
      <c r="I94" s="26" t="n">
        <v>249.95</v>
      </c>
      <c r="J94" s="26" t="n">
        <v>-0.18</v>
      </c>
      <c r="K94" s="26" t="n">
        <v>2640036</v>
      </c>
      <c r="L94" s="26" t="n">
        <v>65.40000000000001</v>
      </c>
      <c r="M94" s="26" t="n">
        <v>29.24</v>
      </c>
      <c r="N94" s="26" t="n">
        <v>197.59</v>
      </c>
      <c r="O94" s="25" t="inlineStr">
        <is>
          <t>Near 52W High Breakout</t>
        </is>
      </c>
      <c r="P94" s="25" t="inlineStr">
        <is>
          <t>Growing Industry</t>
        </is>
      </c>
      <c r="Q94" s="25">
        <f>IF(P94="Growing Industry",10,IF(P94="Cyclical in an Upturn",5,0))</f>
        <v/>
      </c>
      <c r="R94" s="25" t="inlineStr">
        <is>
          <t>Too Many Players with High ROCE</t>
        </is>
      </c>
      <c r="S94" s="25">
        <f>IF(R94="Monopoly",10,IF(R94="Oligopoly",5,IF(R94="Duopoly that cooperate",10,IF(R94="Duopoly that compete",5,IF(R94="Too many players with High ROCE",5,0)))))</f>
        <v/>
      </c>
      <c r="T94" s="25" t="inlineStr">
        <is>
          <t>Yes</t>
        </is>
      </c>
      <c r="U94" s="25">
        <f>IF(T94="No",5,0)</f>
        <v/>
      </c>
      <c r="V94" s="25" t="inlineStr">
        <is>
          <t>Tailwind</t>
        </is>
      </c>
      <c r="W94" s="25">
        <f>IF(V94="Tailwind",10,0)</f>
        <v/>
      </c>
      <c r="X94" s="25" t="inlineStr">
        <is>
          <t>Structural (10 Years Consistency)</t>
        </is>
      </c>
      <c r="Y94" s="25">
        <f>IF(X94="Structural (10 Years Consistency)",10,IF(X94="Shallow Cyclical (2 to 3 years growth)",5,0))</f>
        <v/>
      </c>
      <c r="Z94" s="25" t="inlineStr">
        <is>
          <t>No</t>
        </is>
      </c>
      <c r="AA94" s="25">
        <f>IF(Z94="Yes due to Product Mix change or Operating Leverage",10,IF(Z94="Yes, these are peak margins",-5,IF(Z94="No",5,0)))</f>
        <v/>
      </c>
      <c r="AB94" s="25" t="inlineStr">
        <is>
          <t>Stable</t>
        </is>
      </c>
      <c r="AC94" s="25">
        <f>IF(AB94="Stable",10,0)</f>
        <v/>
      </c>
      <c r="AD94" s="25" t="inlineStr">
        <is>
          <t>Yes</t>
        </is>
      </c>
      <c r="AE94" s="25">
        <f>IF(AD94="Yes",10,0)</f>
        <v/>
      </c>
      <c r="AF94" s="25" t="inlineStr">
        <is>
          <t>B2B</t>
        </is>
      </c>
      <c r="AG94" s="25">
        <f>IF(AF94="B2C",10,IF(AF94="B2B",5,0))</f>
        <v/>
      </c>
      <c r="AH94" s="25" t="inlineStr">
        <is>
          <t>Yes</t>
        </is>
      </c>
      <c r="AI94" s="25">
        <f>IF(AH94="Yes",10,0)</f>
        <v/>
      </c>
      <c r="AJ94" s="25" t="inlineStr">
        <is>
          <t>Higher Annuity, Lower One Time</t>
        </is>
      </c>
      <c r="AK94" s="25">
        <f>IF(AJ94="Fully Annuity",10,IF(AJ94="Higher Annuity, Lower One Time",5,IF(AJ94="Higher One Time, Lower Annuity",3,0)))</f>
        <v/>
      </c>
      <c r="AL94" s="25" t="inlineStr">
        <is>
          <t>Good</t>
        </is>
      </c>
      <c r="AM94" s="25">
        <f>IF(AL94="Good",10,0)</f>
        <v/>
      </c>
      <c r="AN94" s="25" t="inlineStr">
        <is>
          <t>Yes for more than 2 years</t>
        </is>
      </c>
      <c r="AO94" s="25">
        <f>IF(AN94="Yes for more than 2 years",10,IF(AN94="Yes only for next 1 to 2 years",5,0))</f>
        <v/>
      </c>
      <c r="AP94" s="25" t="inlineStr">
        <is>
          <t>20 to 40</t>
        </is>
      </c>
      <c r="AQ94" s="25">
        <f>IF(AP94="Above 40",20,IF(AP94="20 to 40",10,IF(AP94="0 to 20",-5,0)))</f>
        <v/>
      </c>
      <c r="AR94" s="25" t="inlineStr">
        <is>
          <t>Between 50 to 75</t>
        </is>
      </c>
      <c r="AS94" s="25">
        <f>IF(AR94="Between 50 to 75",10,IF(AR94="Above 75",0,0))</f>
        <v/>
      </c>
      <c r="AT94" s="25" t="inlineStr">
        <is>
          <t>Stage 2</t>
        </is>
      </c>
      <c r="AU94" s="25">
        <f>IF(AT94="Stage 2",20,IF(AT94="Stage 1",0,IF(AT94="Stage 3",5,IF(AT94="Stage 4",-5,0))))</f>
        <v/>
      </c>
      <c r="AV94" s="25" t="inlineStr">
        <is>
          <t>Positive Trend</t>
        </is>
      </c>
      <c r="AW94" s="25">
        <f>IF(AV94="Positive Trend",20,IF(AV94="Negative Trend",-10,0))</f>
        <v/>
      </c>
      <c r="AX94" s="25" t="inlineStr">
        <is>
          <t>Uptrend</t>
        </is>
      </c>
      <c r="AY94" s="25">
        <f>IF(AX94="Uptrend",10,IF(AX94="Sideways",5,0))</f>
        <v/>
      </c>
      <c r="AZ94" s="25" t="inlineStr">
        <is>
          <t>Uptrend</t>
        </is>
      </c>
      <c r="BA94" s="25">
        <f>IF(AZ94="Uptrend",10,IF(AZ94="Sideways",5,0))</f>
        <v/>
      </c>
      <c r="BB94" s="25" t="inlineStr">
        <is>
          <t>Blue sky scenario</t>
        </is>
      </c>
      <c r="BC94" s="25">
        <f>IF(BB94="Overhead supply in last 2 years in last 2 years",-5,IF(BB94="Close to 52 week high or retracement",5,IF(BB94="Blue sky scenario",10,IF(BB94="Long term Downtrend",-10,0))))</f>
        <v/>
      </c>
      <c r="BD94" s="25" t="inlineStr">
        <is>
          <t>Yes</t>
        </is>
      </c>
      <c r="BE94" s="25">
        <f>IF(BD94="Yes",10,0)</f>
        <v/>
      </c>
      <c r="BF94" s="25" t="inlineStr">
        <is>
          <t>More than 20%</t>
        </is>
      </c>
      <c r="BG94" s="25">
        <f>IF(BF94="More than 20%",10,IF(BF94="Between 12 to 20%",5,IF(BF94="Less than 12%",0,0)))</f>
        <v/>
      </c>
      <c r="BH94" s="25" t="inlineStr">
        <is>
          <t>No</t>
        </is>
      </c>
      <c r="BI94" s="25">
        <f>IF(BH94="No",10,0)</f>
        <v/>
      </c>
      <c r="BJ94" s="25" t="inlineStr">
        <is>
          <t>Yes</t>
        </is>
      </c>
      <c r="BK94" s="25">
        <f>IF(BJ94="NO",5,0)</f>
        <v/>
      </c>
      <c r="BL94" s="25" t="inlineStr">
        <is>
          <t>Less than 1.5</t>
        </is>
      </c>
      <c r="BM94" s="25">
        <f>IF(BL94="Above 2",0,IF(BL94="Between 1.5 to 2",5,IF(BL94="Less than 1.5",10,0)))</f>
        <v/>
      </c>
      <c r="BN94" s="25" t="inlineStr">
        <is>
          <t>Less than 50%</t>
        </is>
      </c>
      <c r="BO94" s="25">
        <f>IF(BN94="Above 70%",10,IF(BN94="Between 50% to 70%",5,IF(BN94="Less than 50%",0,IF(BN94="Negative",-10,IF(BN94="Less than 50% and Borrowings are increasing",-5,0)))))</f>
        <v/>
      </c>
      <c r="BP94" s="25" t="inlineStr">
        <is>
          <t>Less than 0.7</t>
        </is>
      </c>
      <c r="BQ94" s="25">
        <f>IF(BP94="More than 1.2",-10,IF(BP94="Between 0.7 to 1.2",0,IF(BP94="Less than 0.7",10,0)))</f>
        <v/>
      </c>
      <c r="BR94" s="25" t="inlineStr">
        <is>
          <t>No</t>
        </is>
      </c>
      <c r="BS94" s="25">
        <f>IF(BR94="Yes",-10,0)</f>
        <v/>
      </c>
      <c r="BT94" s="25" t="inlineStr">
        <is>
          <t>Less than 15%</t>
        </is>
      </c>
      <c r="BU94" s="25">
        <f>IF(BT94="More than 15%",-10,IF(BT94="Less than 15%",10,0))</f>
        <v/>
      </c>
      <c r="BV94" s="25" t="inlineStr">
        <is>
          <t>No</t>
        </is>
      </c>
      <c r="BW94" s="25">
        <f>IF(BV94="Yes, more than 10%",-10,IF(BV94="No",10,0))</f>
        <v/>
      </c>
    </row>
    <row r="95">
      <c r="A95" s="25">
        <f>IF(B95=0,"",RANK(B95,$B$2:$B$292,0))</f>
        <v/>
      </c>
      <c r="B95" s="26">
        <f>SUM(Q95,S95,U95,W95,Y95,AA95,AC95,AE95,AG95,AI95,AK95,AM95,AO95,AQ95,AS95,AU95,AW95,AY95,BA95,BC95,BE95,BG95,BI95,BK95,BM95,BO95,BQ95,BS95,BU95,BW95)</f>
        <v/>
      </c>
      <c r="C95" s="25" t="inlineStr">
        <is>
          <t>GRANULES</t>
        </is>
      </c>
      <c r="D95" s="25" t="inlineStr">
        <is>
          <t>Granules India Limited</t>
        </is>
      </c>
      <c r="E95" s="25" t="inlineStr">
        <is>
          <t>healthcare</t>
        </is>
      </c>
      <c r="F95" s="25" t="inlineStr">
        <is>
          <t>pharmaceuticals - indian - bulk drugs &amp; formln</t>
        </is>
      </c>
      <c r="G95" s="25" t="inlineStr">
        <is>
          <t>midcap</t>
        </is>
      </c>
      <c r="H95" s="26" t="n">
        <v>19303.38</v>
      </c>
      <c r="I95" s="26" t="n">
        <v>777.55</v>
      </c>
      <c r="J95" s="26" t="n">
        <v>-0.19</v>
      </c>
      <c r="K95" s="26" t="n">
        <v>427014</v>
      </c>
      <c r="L95" s="26" t="n">
        <v>76.87</v>
      </c>
      <c r="M95" s="26" t="n">
        <v>32.31</v>
      </c>
      <c r="N95" s="26" t="n">
        <v>650.76</v>
      </c>
      <c r="O95" s="25" t="inlineStr">
        <is>
          <t>Near 52W High Breakout</t>
        </is>
      </c>
      <c r="P95" s="25" t="inlineStr">
        <is>
          <t>Growing Industry</t>
        </is>
      </c>
      <c r="Q95" s="25">
        <f>IF(P95="Growing Industry",10,IF(P95="Cyclical in an Upturn",5,0))</f>
        <v/>
      </c>
      <c r="R95" s="25" t="inlineStr">
        <is>
          <t>Too Many Players with High ROCE</t>
        </is>
      </c>
      <c r="S95" s="25">
        <f>IF(R95="Monopoly",10,IF(R95="Oligopoly",5,IF(R95="Duopoly that cooperate",10,IF(R95="Duopoly that compete",5,IF(R95="Too many players with High ROCE",5,0)))))</f>
        <v/>
      </c>
      <c r="T95" s="25" t="inlineStr">
        <is>
          <t>Yes</t>
        </is>
      </c>
      <c r="U95" s="25">
        <f>IF(T95="No",5,0)</f>
        <v/>
      </c>
      <c r="V95" s="25" t="inlineStr">
        <is>
          <t>Tailwind</t>
        </is>
      </c>
      <c r="W95" s="25">
        <f>IF(V95="Tailwind",10,0)</f>
        <v/>
      </c>
      <c r="X95" s="25" t="inlineStr">
        <is>
          <t>Structural (10 Years Consistency)</t>
        </is>
      </c>
      <c r="Y95" s="25">
        <f>IF(X95="Structural (10 Years Consistency)",10,IF(X95="Shallow Cyclical (2 to 3 years growth)",5,0))</f>
        <v/>
      </c>
      <c r="Z95" s="25" t="inlineStr">
        <is>
          <t>No</t>
        </is>
      </c>
      <c r="AA95" s="25">
        <f>IF(Z95="Yes due to Product Mix change or Operating Leverage",10,IF(Z95="Yes, these are peak margins",-5,IF(Z95="No",5,0)))</f>
        <v/>
      </c>
      <c r="AB95" s="25" t="inlineStr">
        <is>
          <t>Stable</t>
        </is>
      </c>
      <c r="AC95" s="25">
        <f>IF(AB95="Stable",10,0)</f>
        <v/>
      </c>
      <c r="AD95" s="25" t="inlineStr">
        <is>
          <t>Yes</t>
        </is>
      </c>
      <c r="AE95" s="25">
        <f>IF(AD95="Yes",10,0)</f>
        <v/>
      </c>
      <c r="AF95" s="25" t="inlineStr">
        <is>
          <t>B2B</t>
        </is>
      </c>
      <c r="AG95" s="25">
        <f>IF(AF95="B2C",10,IF(AF95="B2B",5,0))</f>
        <v/>
      </c>
      <c r="AH95" s="25" t="inlineStr">
        <is>
          <t>Yes</t>
        </is>
      </c>
      <c r="AI95" s="25">
        <f>IF(AH95="Yes",10,0)</f>
        <v/>
      </c>
      <c r="AJ95" s="25" t="inlineStr">
        <is>
          <t>Higher Annuity, Lower One Time</t>
        </is>
      </c>
      <c r="AK95" s="25">
        <f>IF(AJ95="Fully Annuity",10,IF(AJ95="Higher Annuity, Lower One Time",5,IF(AJ95="Higher One Time, Lower Annuity",3,0)))</f>
        <v/>
      </c>
      <c r="AL95" s="25" t="inlineStr">
        <is>
          <t>Good</t>
        </is>
      </c>
      <c r="AM95" s="25">
        <f>IF(AL95="Good",10,0)</f>
        <v/>
      </c>
      <c r="AN95" s="25" t="inlineStr">
        <is>
          <t>Yes for more than 2 years</t>
        </is>
      </c>
      <c r="AO95" s="25">
        <f>IF(AN95="Yes for more than 2 years",10,IF(AN95="Yes only for next 1 to 2 years",5,0))</f>
        <v/>
      </c>
      <c r="AP95" s="25" t="inlineStr">
        <is>
          <t>20 to 40</t>
        </is>
      </c>
      <c r="AQ95" s="25">
        <f>IF(AP95="Above 40",20,IF(AP95="20 to 40",10,IF(AP95="0 to 20",-5,0)))</f>
        <v/>
      </c>
      <c r="AR95" s="25" t="inlineStr">
        <is>
          <t>Above 75</t>
        </is>
      </c>
      <c r="AS95" s="25">
        <f>IF(AR95="Between 50 to 75",10,IF(AR95="Above 75",0,0))</f>
        <v/>
      </c>
      <c r="AT95" s="25" t="inlineStr">
        <is>
          <t>Stage 2</t>
        </is>
      </c>
      <c r="AU95" s="25">
        <f>IF(AT95="Stage 2",20,IF(AT95="Stage 1",0,IF(AT95="Stage 3",5,IF(AT95="Stage 4",-5,0))))</f>
        <v/>
      </c>
      <c r="AV95" s="25" t="inlineStr">
        <is>
          <t>Positive Trend</t>
        </is>
      </c>
      <c r="AW95" s="25">
        <f>IF(AV95="Positive Trend",20,IF(AV95="Negative Trend",-10,0))</f>
        <v/>
      </c>
      <c r="AX95" s="25" t="inlineStr">
        <is>
          <t>Uptrend</t>
        </is>
      </c>
      <c r="AY95" s="25">
        <f>IF(AX95="Uptrend",10,IF(AX95="Sideways",5,0))</f>
        <v/>
      </c>
      <c r="AZ95" s="25" t="inlineStr">
        <is>
          <t>Uptrend</t>
        </is>
      </c>
      <c r="BA95" s="25">
        <f>IF(AZ95="Uptrend",10,IF(AZ95="Sideways",5,0))</f>
        <v/>
      </c>
      <c r="BB95" s="25" t="inlineStr">
        <is>
          <t>Blue sky scenario</t>
        </is>
      </c>
      <c r="BC95" s="25">
        <f>IF(BB95="Overhead supply in last 2 years in last 2 years",-5,IF(BB95="Close to 52 week high or retracement",5,IF(BB95="Blue sky scenario",10,IF(BB95="Long term Downtrend",-10,0))))</f>
        <v/>
      </c>
      <c r="BD95" s="25" t="inlineStr">
        <is>
          <t>Yes</t>
        </is>
      </c>
      <c r="BE95" s="25">
        <f>IF(BD95="Yes",10,0)</f>
        <v/>
      </c>
      <c r="BF95" s="25" t="inlineStr">
        <is>
          <t>More than 20%</t>
        </is>
      </c>
      <c r="BG95" s="25">
        <f>IF(BF95="More than 20%",10,IF(BF95="Between 12 to 20%",5,IF(BF95="Less than 12%",0,0)))</f>
        <v/>
      </c>
      <c r="BH95" s="25" t="inlineStr">
        <is>
          <t>No</t>
        </is>
      </c>
      <c r="BI95" s="25">
        <f>IF(BH95="No",10,0)</f>
        <v/>
      </c>
      <c r="BJ95" s="25" t="inlineStr">
        <is>
          <t>No</t>
        </is>
      </c>
      <c r="BK95" s="25">
        <f>IF(BJ95="NO",5,0)</f>
        <v/>
      </c>
      <c r="BL95" s="25" t="inlineStr">
        <is>
          <t>Less than 1.5</t>
        </is>
      </c>
      <c r="BM95" s="25">
        <f>IF(BL95="Above 2",0,IF(BL95="Between 1.5 to 2",5,IF(BL95="Less than 1.5",10,0)))</f>
        <v/>
      </c>
      <c r="BN95" s="25" t="inlineStr">
        <is>
          <t>Between 50% to 70%</t>
        </is>
      </c>
      <c r="BO95" s="25">
        <f>IF(BN95="Above 70%",10,IF(BN95="Between 50% to 70%",5,IF(BN95="Less than 50%",0,IF(BN95="Negative",-10,IF(BN95="Less than 50% and Borrowings are increasing",-5,0)))))</f>
        <v/>
      </c>
      <c r="BP95" s="25" t="inlineStr">
        <is>
          <t>Less than 0.7</t>
        </is>
      </c>
      <c r="BQ95" s="25">
        <f>IF(BP95="More than 1.2",-10,IF(BP95="Between 0.7 to 1.2",0,IF(BP95="Less than 0.7",10,0)))</f>
        <v/>
      </c>
      <c r="BR95" s="25" t="inlineStr">
        <is>
          <t>No</t>
        </is>
      </c>
      <c r="BS95" s="25">
        <f>IF(BR95="Yes",-10,0)</f>
        <v/>
      </c>
      <c r="BT95" s="25" t="inlineStr">
        <is>
          <t>Less than 15%</t>
        </is>
      </c>
      <c r="BU95" s="25">
        <f>IF(BT95="More than 15%",-10,IF(BT95="Less than 15%",10,0))</f>
        <v/>
      </c>
      <c r="BV95" s="25" t="inlineStr">
        <is>
          <t>No</t>
        </is>
      </c>
      <c r="BW95" s="25">
        <f>IF(BV95="Yes, more than 10%",-10,IF(BV95="No",10,0))</f>
        <v/>
      </c>
    </row>
    <row r="96">
      <c r="A96" s="25">
        <f>IF(B96=0,"",RANK(B96,$B$2:$B$292,0))</f>
        <v/>
      </c>
      <c r="B96" s="26">
        <f>SUM(Q96,S96,U96,W96,Y96,AA96,AC96,AE96,AG96,AI96,AK96,AM96,AO96,AQ96,AS96,AU96,AW96,AY96,BA96,BC96,BE96,BG96,BI96,BK96,BM96,BO96,BQ96,BS96,BU96,BW96)</f>
        <v/>
      </c>
      <c r="C96" s="25" t="inlineStr">
        <is>
          <t>RUBYMILLS</t>
        </is>
      </c>
      <c r="D96" s="25" t="inlineStr">
        <is>
          <t>The Ruby Mills Limited</t>
        </is>
      </c>
      <c r="E96" s="25" t="inlineStr">
        <is>
          <t>textiles</t>
        </is>
      </c>
      <c r="F96" s="25" t="inlineStr">
        <is>
          <t>textiles - composite</t>
        </is>
      </c>
      <c r="G96" s="25" t="inlineStr">
        <is>
          <t>smallcap</t>
        </is>
      </c>
      <c r="H96" s="26" t="n">
        <v>838.17</v>
      </c>
      <c r="I96" s="26" t="n">
        <v>279.05</v>
      </c>
      <c r="J96" s="26" t="n">
        <v>11.33</v>
      </c>
      <c r="K96" s="26" t="n">
        <v>849410</v>
      </c>
      <c r="L96" s="26" t="n">
        <v>68.12</v>
      </c>
      <c r="M96" s="26" t="n">
        <v>33.99</v>
      </c>
      <c r="N96" s="26" t="n">
        <v>207.84</v>
      </c>
      <c r="O96" s="25" t="inlineStr">
        <is>
          <t>Volume Spike &amp; Near 52W High Breakout</t>
        </is>
      </c>
      <c r="P96" s="25" t="inlineStr">
        <is>
          <t>Growing Industry</t>
        </is>
      </c>
      <c r="Q96" s="25">
        <f>IF(P96="Growing Industry",10,IF(P96="Cyclical in an Upturn",5,0))</f>
        <v/>
      </c>
      <c r="R96" s="25" t="inlineStr">
        <is>
          <t>Too Many Players with High ROCE</t>
        </is>
      </c>
      <c r="S96" s="25">
        <f>IF(R96="Monopoly",10,IF(R96="Oligopoly",5,IF(R96="Duopoly that cooperate",10,IF(R96="Duopoly that compete",5,IF(R96="Too many players with High ROCE",5,0)))))</f>
        <v/>
      </c>
      <c r="T96" s="25" t="inlineStr">
        <is>
          <t>No</t>
        </is>
      </c>
      <c r="U96" s="25">
        <f>IF(T96="No",5,0)</f>
        <v/>
      </c>
      <c r="V96" s="25" t="inlineStr">
        <is>
          <t>Tailwind</t>
        </is>
      </c>
      <c r="W96" s="25">
        <f>IF(V96="Tailwind",10,0)</f>
        <v/>
      </c>
      <c r="X96" s="25" t="inlineStr">
        <is>
          <t>Structural (10 Years Consistency)</t>
        </is>
      </c>
      <c r="Y96" s="25">
        <f>IF(X96="Structural (10 Years Consistency)",10,IF(X96="Shallow Cyclical (2 to 3 years growth)",5,0))</f>
        <v/>
      </c>
      <c r="Z96" s="25" t="inlineStr">
        <is>
          <t>No</t>
        </is>
      </c>
      <c r="AA96" s="25">
        <f>IF(Z96="Yes due to Product Mix change or Operating Leverage",10,IF(Z96="Yes, these are peak margins",-5,IF(Z96="No",5,0)))</f>
        <v/>
      </c>
      <c r="AB96" s="25" t="inlineStr">
        <is>
          <t>Stable</t>
        </is>
      </c>
      <c r="AC96" s="25">
        <f>IF(AB96="Stable",10,0)</f>
        <v/>
      </c>
      <c r="AD96" s="25" t="inlineStr">
        <is>
          <t>Yes</t>
        </is>
      </c>
      <c r="AE96" s="25">
        <f>IF(AD96="Yes",10,0)</f>
        <v/>
      </c>
      <c r="AF96" s="25" t="inlineStr">
        <is>
          <t>B2B</t>
        </is>
      </c>
      <c r="AG96" s="25">
        <f>IF(AF96="B2C",10,IF(AF96="B2B",5,0))</f>
        <v/>
      </c>
      <c r="AH96" s="25" t="inlineStr">
        <is>
          <t>Yes</t>
        </is>
      </c>
      <c r="AI96" s="25">
        <f>IF(AH96="Yes",10,0)</f>
        <v/>
      </c>
      <c r="AJ96" s="25" t="inlineStr">
        <is>
          <t>Higher One Time, Lower Annuity</t>
        </is>
      </c>
      <c r="AK96" s="25">
        <f>IF(AJ96="Fully Annuity",10,IF(AJ96="Higher Annuity, Lower One Time",5,IF(AJ96="Higher One Time, Lower Annuity",3,0)))</f>
        <v/>
      </c>
      <c r="AL96" s="25" t="inlineStr">
        <is>
          <t>Good</t>
        </is>
      </c>
      <c r="AM96" s="25">
        <f>IF(AL96="Good",10,0)</f>
        <v/>
      </c>
      <c r="AN96" s="25" t="inlineStr">
        <is>
          <t>Yes for more than 2 years</t>
        </is>
      </c>
      <c r="AO96" s="25">
        <f>IF(AN96="Yes for more than 2 years",10,IF(AN96="Yes only for next 1 to 2 years",5,0))</f>
        <v/>
      </c>
      <c r="AP96" s="25" t="inlineStr">
        <is>
          <t>20 to 40</t>
        </is>
      </c>
      <c r="AQ96" s="25">
        <f>IF(AP96="Above 40",20,IF(AP96="20 to 40",10,IF(AP96="0 to 20",-5,0)))</f>
        <v/>
      </c>
      <c r="AR96" s="25" t="inlineStr">
        <is>
          <t>Between 50 to 75</t>
        </is>
      </c>
      <c r="AS96" s="25">
        <f>IF(AR96="Between 50 to 75",10,IF(AR96="Above 75",0,0))</f>
        <v/>
      </c>
      <c r="AT96" s="25" t="inlineStr">
        <is>
          <t>Stage 2</t>
        </is>
      </c>
      <c r="AU96" s="25">
        <f>IF(AT96="Stage 2",20,IF(AT96="Stage 1",0,IF(AT96="Stage 3",5,IF(AT96="Stage 4",-5,0))))</f>
        <v/>
      </c>
      <c r="AV96" s="25" t="inlineStr">
        <is>
          <t>Positive Trend</t>
        </is>
      </c>
      <c r="AW96" s="25">
        <f>IF(AV96="Positive Trend",20,IF(AV96="Negative Trend",-10,0))</f>
        <v/>
      </c>
      <c r="AX96" s="25" t="inlineStr">
        <is>
          <t>Uptrend</t>
        </is>
      </c>
      <c r="AY96" s="25">
        <f>IF(AX96="Uptrend",10,IF(AX96="Sideways",5,0))</f>
        <v/>
      </c>
      <c r="AZ96" s="25" t="inlineStr">
        <is>
          <t>Uptrend</t>
        </is>
      </c>
      <c r="BA96" s="25">
        <f>IF(AZ96="Uptrend",10,IF(AZ96="Sideways",5,0))</f>
        <v/>
      </c>
      <c r="BB96" s="25" t="inlineStr">
        <is>
          <t>Close to 52 week high or retracement</t>
        </is>
      </c>
      <c r="BC96" s="25">
        <f>IF(BB96="Overhead supply in last 2 years in last 2 years",-5,IF(BB96="Close to 52 week high or retracement",5,IF(BB96="Blue sky scenario",10,IF(BB96="Long term Downtrend",-10,0))))</f>
        <v/>
      </c>
      <c r="BD96" s="25" t="inlineStr">
        <is>
          <t>Yes</t>
        </is>
      </c>
      <c r="BE96" s="25">
        <f>IF(BD96="Yes",10,0)</f>
        <v/>
      </c>
      <c r="BF96" s="25" t="inlineStr">
        <is>
          <t>Less than 12%</t>
        </is>
      </c>
      <c r="BG96" s="25">
        <f>IF(BF96="More than 20%",10,IF(BF96="Between 12 to 20%",5,IF(BF96="Less than 12%",0,0)))</f>
        <v/>
      </c>
      <c r="BH96" s="25" t="inlineStr">
        <is>
          <t>No</t>
        </is>
      </c>
      <c r="BI96" s="25">
        <f>IF(BH96="No",10,0)</f>
        <v/>
      </c>
      <c r="BJ96" s="25" t="inlineStr">
        <is>
          <t>No</t>
        </is>
      </c>
      <c r="BK96" s="25">
        <f>IF(BJ96="NO",5,0)</f>
        <v/>
      </c>
      <c r="BL96" s="25" t="inlineStr">
        <is>
          <t>Less than 1.5</t>
        </is>
      </c>
      <c r="BM96" s="25">
        <f>IF(BL96="Above 2",0,IF(BL96="Between 1.5 to 2",5,IF(BL96="Less than 1.5",10,0)))</f>
        <v/>
      </c>
      <c r="BN96" s="25" t="inlineStr">
        <is>
          <t>Between 50% to 70%</t>
        </is>
      </c>
      <c r="BO96" s="25">
        <f>IF(BN96="Above 70%",10,IF(BN96="Between 50% to 70%",5,IF(BN96="Less than 50%",0,IF(BN96="Negative",-10,IF(BN96="Less than 50% and Borrowings are increasing",-5,0)))))</f>
        <v/>
      </c>
      <c r="BP96" s="25" t="inlineStr">
        <is>
          <t>Less than 0.7</t>
        </is>
      </c>
      <c r="BQ96" s="25">
        <f>IF(BP96="More than 1.2",-10,IF(BP96="Between 0.7 to 1.2",0,IF(BP96="Less than 0.7",10,0)))</f>
        <v/>
      </c>
      <c r="BR96" s="25" t="inlineStr">
        <is>
          <t>No</t>
        </is>
      </c>
      <c r="BS96" s="25">
        <f>IF(BR96="Yes",-10,0)</f>
        <v/>
      </c>
      <c r="BT96" s="25" t="inlineStr">
        <is>
          <t>Less than 15%</t>
        </is>
      </c>
      <c r="BU96" s="25">
        <f>IF(BT96="More than 15%",-10,IF(BT96="Less than 15%",10,0))</f>
        <v/>
      </c>
      <c r="BV96" s="25" t="inlineStr">
        <is>
          <t>No</t>
        </is>
      </c>
      <c r="BW96" s="25">
        <f>IF(BV96="Yes, more than 10%",-10,IF(BV96="No",10,0))</f>
        <v/>
      </c>
    </row>
    <row r="97">
      <c r="A97" s="25">
        <f>IF(B97=0,"",RANK(B97,$B$2:$B$292,0))</f>
        <v/>
      </c>
      <c r="B97" s="26">
        <f>SUM(Q97,S97,U97,W97,Y97,AA97,AC97,AE97,AG97,AI97,AK97,AM97,AO97,AQ97,AS97,AU97,AW97,AY97,BA97,BC97,BE97,BG97,BI97,BK97,BM97,BO97,BQ97,BS97,BU97,BW97)</f>
        <v/>
      </c>
      <c r="C97" s="25" t="inlineStr">
        <is>
          <t>PARACABLES</t>
        </is>
      </c>
      <c r="D97" s="25" t="inlineStr">
        <is>
          <t>Paramount Communications Limited</t>
        </is>
      </c>
      <c r="E97" s="25" t="inlineStr">
        <is>
          <t>industrials</t>
        </is>
      </c>
      <c r="F97" s="25" t="inlineStr">
        <is>
          <t>cables - power</t>
        </is>
      </c>
      <c r="G97" s="25" t="inlineStr">
        <is>
          <t>smallcap</t>
        </is>
      </c>
      <c r="H97" s="26" t="n">
        <v>1848.66</v>
      </c>
      <c r="I97" s="26" t="n">
        <v>65.90000000000001</v>
      </c>
      <c r="J97" s="26" t="n">
        <v>8.800000000000001</v>
      </c>
      <c r="K97" s="26" t="n">
        <v>5196198</v>
      </c>
      <c r="L97" s="26" t="n">
        <v>74.39</v>
      </c>
      <c r="M97" s="26" t="n">
        <v>29.87</v>
      </c>
      <c r="N97" s="26" t="n">
        <v>46.26</v>
      </c>
      <c r="O97" s="25" t="inlineStr">
        <is>
          <t>Near 52W High Breakout</t>
        </is>
      </c>
      <c r="P97" s="25" t="inlineStr">
        <is>
          <t>Cyclical in an Upturn</t>
        </is>
      </c>
      <c r="Q97" s="25">
        <f>IF(P97="Growing Industry",10,IF(P97="Cyclical in an Upturn",5,0))</f>
        <v/>
      </c>
      <c r="R97" s="25" t="inlineStr">
        <is>
          <t>Too Many Players with High ROCE</t>
        </is>
      </c>
      <c r="S97" s="25">
        <f>IF(R97="Monopoly",10,IF(R97="Oligopoly",5,IF(R97="Duopoly that cooperate",10,IF(R97="Duopoly that compete",5,IF(R97="Too many players with High ROCE",5,0)))))</f>
        <v/>
      </c>
      <c r="T97" s="25" t="inlineStr">
        <is>
          <t>No</t>
        </is>
      </c>
      <c r="U97" s="25">
        <f>IF(T97="No",5,0)</f>
        <v/>
      </c>
      <c r="V97" s="25" t="inlineStr">
        <is>
          <t>Tailwind</t>
        </is>
      </c>
      <c r="W97" s="25">
        <f>IF(V97="Tailwind",10,0)</f>
        <v/>
      </c>
      <c r="X97" s="25" t="inlineStr">
        <is>
          <t>Structural (10 Years Consistency)</t>
        </is>
      </c>
      <c r="Y97" s="25">
        <f>IF(X97="Structural (10 Years Consistency)",10,IF(X97="Shallow Cyclical (2 to 3 years growth)",5,0))</f>
        <v/>
      </c>
      <c r="Z97" s="25" t="inlineStr">
        <is>
          <t>No</t>
        </is>
      </c>
      <c r="AA97" s="25">
        <f>IF(Z97="Yes due to Product Mix change or Operating Leverage",10,IF(Z97="Yes, these are peak margins",-5,IF(Z97="No",5,0)))</f>
        <v/>
      </c>
      <c r="AB97" s="25" t="inlineStr">
        <is>
          <t>Stable</t>
        </is>
      </c>
      <c r="AC97" s="25">
        <f>IF(AB97="Stable",10,0)</f>
        <v/>
      </c>
      <c r="AD97" s="25" t="inlineStr">
        <is>
          <t>Yes</t>
        </is>
      </c>
      <c r="AE97" s="25">
        <f>IF(AD97="Yes",10,0)</f>
        <v/>
      </c>
      <c r="AF97" s="25" t="inlineStr">
        <is>
          <t>B2B</t>
        </is>
      </c>
      <c r="AG97" s="25">
        <f>IF(AF97="B2C",10,IF(AF97="B2B",5,0))</f>
        <v/>
      </c>
      <c r="AH97" s="25" t="inlineStr">
        <is>
          <t>Yes</t>
        </is>
      </c>
      <c r="AI97" s="25">
        <f>IF(AH97="Yes",10,0)</f>
        <v/>
      </c>
      <c r="AJ97" s="25" t="inlineStr">
        <is>
          <t>Higher One Time, Lower Annuity</t>
        </is>
      </c>
      <c r="AK97" s="25">
        <f>IF(AJ97="Fully Annuity",10,IF(AJ97="Higher Annuity, Lower One Time",5,IF(AJ97="Higher One Time, Lower Annuity",3,0)))</f>
        <v/>
      </c>
      <c r="AL97" s="25" t="inlineStr">
        <is>
          <t>Good</t>
        </is>
      </c>
      <c r="AM97" s="25">
        <f>IF(AL97="Good",10,0)</f>
        <v/>
      </c>
      <c r="AN97" s="25" t="inlineStr">
        <is>
          <t>Yes for more than 2 years</t>
        </is>
      </c>
      <c r="AO97" s="25">
        <f>IF(AN97="Yes for more than 2 years",10,IF(AN97="Yes only for next 1 to 2 years",5,0))</f>
        <v/>
      </c>
      <c r="AP97" s="25" t="inlineStr">
        <is>
          <t>20 to 40</t>
        </is>
      </c>
      <c r="AQ97" s="25">
        <f>IF(AP97="Above 40",20,IF(AP97="20 to 40",10,IF(AP97="0 to 20",-5,0)))</f>
        <v/>
      </c>
      <c r="AR97" s="25" t="inlineStr">
        <is>
          <t>Between 50 to 75</t>
        </is>
      </c>
      <c r="AS97" s="25">
        <f>IF(AR97="Between 50 to 75",10,IF(AR97="Above 75",0,0))</f>
        <v/>
      </c>
      <c r="AT97" s="25" t="inlineStr">
        <is>
          <t>Stage 2</t>
        </is>
      </c>
      <c r="AU97" s="25">
        <f>IF(AT97="Stage 2",20,IF(AT97="Stage 1",0,IF(AT97="Stage 3",5,IF(AT97="Stage 4",-5,0))))</f>
        <v/>
      </c>
      <c r="AV97" s="25" t="inlineStr">
        <is>
          <t>Positive Trend</t>
        </is>
      </c>
      <c r="AW97" s="25">
        <f>IF(AV97="Positive Trend",20,IF(AV97="Negative Trend",-10,0))</f>
        <v/>
      </c>
      <c r="AX97" s="25" t="inlineStr">
        <is>
          <t>Uptrend</t>
        </is>
      </c>
      <c r="AY97" s="25">
        <f>IF(AX97="Uptrend",10,IF(AX97="Sideways",5,0))</f>
        <v/>
      </c>
      <c r="AZ97" s="25" t="inlineStr">
        <is>
          <t>Uptrend</t>
        </is>
      </c>
      <c r="BA97" s="25">
        <f>IF(AZ97="Uptrend",10,IF(AZ97="Sideways",5,0))</f>
        <v/>
      </c>
      <c r="BB97" s="25" t="inlineStr">
        <is>
          <t>Close to 52 week high or retracement</t>
        </is>
      </c>
      <c r="BC97" s="25">
        <f>IF(BB97="Overhead supply in last 2 years in last 2 years",-5,IF(BB97="Close to 52 week high or retracement",5,IF(BB97="Blue sky scenario",10,IF(BB97="Long term Downtrend",-10,0))))</f>
        <v/>
      </c>
      <c r="BD97" s="25" t="inlineStr">
        <is>
          <t>Yes</t>
        </is>
      </c>
      <c r="BE97" s="25">
        <f>IF(BD97="Yes",10,0)</f>
        <v/>
      </c>
      <c r="BF97" s="25" t="inlineStr">
        <is>
          <t>Less than 12%</t>
        </is>
      </c>
      <c r="BG97" s="25">
        <f>IF(BF97="More than 20%",10,IF(BF97="Between 12 to 20%",5,IF(BF97="Less than 12%",0,0)))</f>
        <v/>
      </c>
      <c r="BH97" s="25" t="inlineStr">
        <is>
          <t>No</t>
        </is>
      </c>
      <c r="BI97" s="25">
        <f>IF(BH97="No",10,0)</f>
        <v/>
      </c>
      <c r="BJ97" s="25" t="inlineStr">
        <is>
          <t>No</t>
        </is>
      </c>
      <c r="BK97" s="25">
        <f>IF(BJ97="NO",5,0)</f>
        <v/>
      </c>
      <c r="BL97" s="25" t="inlineStr">
        <is>
          <t>Less than 1.5</t>
        </is>
      </c>
      <c r="BM97" s="25">
        <f>IF(BL97="Above 2",0,IF(BL97="Between 1.5 to 2",5,IF(BL97="Less than 1.5",10,0)))</f>
        <v/>
      </c>
      <c r="BN97" s="25" t="inlineStr">
        <is>
          <t>Above 70%</t>
        </is>
      </c>
      <c r="BO97" s="25">
        <f>IF(BN97="Above 70%",10,IF(BN97="Between 50% to 70%",5,IF(BN97="Less than 50%",0,IF(BN97="Negative",-10,IF(BN97="Less than 50% and Borrowings are increasing",-5,0)))))</f>
        <v/>
      </c>
      <c r="BP97" s="25" t="inlineStr">
        <is>
          <t>Less than 0.7</t>
        </is>
      </c>
      <c r="BQ97" s="25">
        <f>IF(BP97="More than 1.2",-10,IF(BP97="Between 0.7 to 1.2",0,IF(BP97="Less than 0.7",10,0)))</f>
        <v/>
      </c>
      <c r="BR97" s="25" t="inlineStr">
        <is>
          <t>No</t>
        </is>
      </c>
      <c r="BS97" s="25">
        <f>IF(BR97="Yes",-10,0)</f>
        <v/>
      </c>
      <c r="BT97" s="25" t="inlineStr">
        <is>
          <t>Less than 15%</t>
        </is>
      </c>
      <c r="BU97" s="25">
        <f>IF(BT97="More than 15%",-10,IF(BT97="Less than 15%",10,0))</f>
        <v/>
      </c>
      <c r="BV97" s="25" t="inlineStr">
        <is>
          <t>No</t>
        </is>
      </c>
      <c r="BW97" s="25">
        <f>IF(BV97="Yes, more than 10%",-10,IF(BV97="No",10,0))</f>
        <v/>
      </c>
    </row>
    <row r="98">
      <c r="A98" s="25">
        <f>IF(B98=0,"",RANK(B98,$B$2:$B$292,0))</f>
        <v/>
      </c>
      <c r="B98" s="26">
        <f>SUM(Q98,S98,U98,W98,Y98,AA98,AC98,AE98,AG98,AI98,AK98,AM98,AO98,AQ98,AS98,AU98,AW98,AY98,BA98,BC98,BE98,BG98,BI98,BK98,BM98,BO98,BQ98,BS98,BU98,BW98)</f>
        <v/>
      </c>
      <c r="C98" s="25" t="inlineStr">
        <is>
          <t>CARYSIL</t>
        </is>
      </c>
      <c r="D98" s="25" t="inlineStr">
        <is>
          <t>Carysil Ltd</t>
        </is>
      </c>
      <c r="E98" s="25" t="inlineStr">
        <is>
          <t>consumer discretionary</t>
        </is>
      </c>
      <c r="F98" s="25" t="inlineStr">
        <is>
          <t>domestic appliances</t>
        </is>
      </c>
      <c r="G98" s="25" t="inlineStr">
        <is>
          <t>smallcap</t>
        </is>
      </c>
      <c r="H98" s="26" t="n">
        <v>3003.54</v>
      </c>
      <c r="I98" s="26" t="n">
        <v>1113.5</v>
      </c>
      <c r="J98" s="26" t="n">
        <v>5.45</v>
      </c>
      <c r="K98" s="26" t="n">
        <v>141083</v>
      </c>
      <c r="L98" s="26" t="n">
        <v>67.79000000000001</v>
      </c>
      <c r="M98" s="26" t="n">
        <v>18.25</v>
      </c>
      <c r="N98" s="26" t="n">
        <v>840.71</v>
      </c>
      <c r="O98" s="25" t="inlineStr">
        <is>
          <t>Near 52W High Breakout</t>
        </is>
      </c>
      <c r="P98" s="25" t="inlineStr">
        <is>
          <t>Growing Industry</t>
        </is>
      </c>
      <c r="Q98" s="25">
        <f>IF(P98="Growing Industry",10,IF(P98="Cyclical in an Upturn",5,0))</f>
        <v/>
      </c>
      <c r="R98" s="25" t="inlineStr">
        <is>
          <t>Too Many Players with High ROCE</t>
        </is>
      </c>
      <c r="S98" s="25">
        <f>IF(R98="Monopoly",10,IF(R98="Oligopoly",5,IF(R98="Duopoly that cooperate",10,IF(R98="Duopoly that compete",5,IF(R98="Too many players with High ROCE",5,0)))))</f>
        <v/>
      </c>
      <c r="T98" s="25" t="inlineStr">
        <is>
          <t>No</t>
        </is>
      </c>
      <c r="U98" s="25">
        <f>IF(T98="No",5,0)</f>
        <v/>
      </c>
      <c r="V98" s="25" t="inlineStr">
        <is>
          <t>Tailwind</t>
        </is>
      </c>
      <c r="W98" s="25">
        <f>IF(V98="Tailwind",10,0)</f>
        <v/>
      </c>
      <c r="X98" s="25" t="inlineStr">
        <is>
          <t>Structural (10 Years Consistency)</t>
        </is>
      </c>
      <c r="Y98" s="25">
        <f>IF(X98="Structural (10 Years Consistency)",10,IF(X98="Shallow Cyclical (2 to 3 years growth)",5,0))</f>
        <v/>
      </c>
      <c r="Z98" s="25" t="inlineStr">
        <is>
          <t>No</t>
        </is>
      </c>
      <c r="AA98" s="25">
        <f>IF(Z98="Yes due to Product Mix change or Operating Leverage",10,IF(Z98="Yes, these are peak margins",-5,IF(Z98="No",5,0)))</f>
        <v/>
      </c>
      <c r="AB98" s="25" t="inlineStr">
        <is>
          <t>Stable</t>
        </is>
      </c>
      <c r="AC98" s="25">
        <f>IF(AB98="Stable",10,0)</f>
        <v/>
      </c>
      <c r="AD98" s="25" t="inlineStr">
        <is>
          <t>Yes</t>
        </is>
      </c>
      <c r="AE98" s="25">
        <f>IF(AD98="Yes",10,0)</f>
        <v/>
      </c>
      <c r="AF98" s="25" t="inlineStr">
        <is>
          <t>B2B</t>
        </is>
      </c>
      <c r="AG98" s="25">
        <f>IF(AF98="B2C",10,IF(AF98="B2B",5,0))</f>
        <v/>
      </c>
      <c r="AH98" s="25" t="inlineStr">
        <is>
          <t>Yes</t>
        </is>
      </c>
      <c r="AI98" s="25">
        <f>IF(AH98="Yes",10,0)</f>
        <v/>
      </c>
      <c r="AJ98" s="25" t="inlineStr">
        <is>
          <t>Higher One Time, Lower Annuity</t>
        </is>
      </c>
      <c r="AK98" s="25">
        <f>IF(AJ98="Fully Annuity",10,IF(AJ98="Higher Annuity, Lower One Time",5,IF(AJ98="Higher One Time, Lower Annuity",3,0)))</f>
        <v/>
      </c>
      <c r="AL98" s="25" t="inlineStr">
        <is>
          <t>Good</t>
        </is>
      </c>
      <c r="AM98" s="25">
        <f>IF(AL98="Good",10,0)</f>
        <v/>
      </c>
      <c r="AN98" s="25" t="inlineStr">
        <is>
          <t>Yes for more than 2 years</t>
        </is>
      </c>
      <c r="AO98" s="25">
        <f>IF(AN98="Yes for more than 2 years",10,IF(AN98="Yes only for next 1 to 2 years",5,0))</f>
        <v/>
      </c>
      <c r="AP98" s="25" t="inlineStr">
        <is>
          <t>0 to 20</t>
        </is>
      </c>
      <c r="AQ98" s="25">
        <f>IF(AP98="Above 40",20,IF(AP98="20 to 40",10,IF(AP98="0 to 20",-5,0)))</f>
        <v/>
      </c>
      <c r="AR98" s="25" t="inlineStr">
        <is>
          <t>Between 50 to 75</t>
        </is>
      </c>
      <c r="AS98" s="25">
        <f>IF(AR98="Between 50 to 75",10,IF(AR98="Above 75",0,0))</f>
        <v/>
      </c>
      <c r="AT98" s="25" t="inlineStr">
        <is>
          <t>Stage 2</t>
        </is>
      </c>
      <c r="AU98" s="25">
        <f>IF(AT98="Stage 2",20,IF(AT98="Stage 1",0,IF(AT98="Stage 3",5,IF(AT98="Stage 4",-5,0))))</f>
        <v/>
      </c>
      <c r="AV98" s="25" t="inlineStr">
        <is>
          <t>Positive Trend</t>
        </is>
      </c>
      <c r="AW98" s="25">
        <f>IF(AV98="Positive Trend",20,IF(AV98="Negative Trend",-10,0))</f>
        <v/>
      </c>
      <c r="AX98" s="25" t="inlineStr">
        <is>
          <t>Uptrend</t>
        </is>
      </c>
      <c r="AY98" s="25">
        <f>IF(AX98="Uptrend",10,IF(AX98="Sideways",5,0))</f>
        <v/>
      </c>
      <c r="AZ98" s="25" t="inlineStr">
        <is>
          <t>Uptrend</t>
        </is>
      </c>
      <c r="BA98" s="25">
        <f>IF(AZ98="Uptrend",10,IF(AZ98="Sideways",5,0))</f>
        <v/>
      </c>
      <c r="BB98" s="25" t="inlineStr">
        <is>
          <t>Blue sky scenario</t>
        </is>
      </c>
      <c r="BC98" s="25">
        <f>IF(BB98="Overhead supply in last 2 years in last 2 years",-5,IF(BB98="Close to 52 week high or retracement",5,IF(BB98="Blue sky scenario",10,IF(BB98="Long term Downtrend",-10,0))))</f>
        <v/>
      </c>
      <c r="BD98" s="25" t="inlineStr">
        <is>
          <t>Yes</t>
        </is>
      </c>
      <c r="BE98" s="25">
        <f>IF(BD98="Yes",10,0)</f>
        <v/>
      </c>
      <c r="BF98" s="25" t="inlineStr">
        <is>
          <t>More than 20%</t>
        </is>
      </c>
      <c r="BG98" s="25">
        <f>IF(BF98="More than 20%",10,IF(BF98="Between 12 to 20%",5,IF(BF98="Less than 12%",0,0)))</f>
        <v/>
      </c>
      <c r="BH98" s="25" t="inlineStr">
        <is>
          <t>No</t>
        </is>
      </c>
      <c r="BI98" s="25">
        <f>IF(BH98="No",10,0)</f>
        <v/>
      </c>
      <c r="BJ98" s="25" t="inlineStr">
        <is>
          <t>No</t>
        </is>
      </c>
      <c r="BK98" s="25">
        <f>IF(BJ98="NO",5,0)</f>
        <v/>
      </c>
      <c r="BL98" s="25" t="inlineStr">
        <is>
          <t>Less than 1.5</t>
        </is>
      </c>
      <c r="BM98" s="25">
        <f>IF(BL98="Above 2",0,IF(BL98="Between 1.5 to 2",5,IF(BL98="Less than 1.5",10,0)))</f>
        <v/>
      </c>
      <c r="BN98" s="25" t="inlineStr">
        <is>
          <t>Between 50% to 70%</t>
        </is>
      </c>
      <c r="BO98" s="25">
        <f>IF(BN98="Above 70%",10,IF(BN98="Between 50% to 70%",5,IF(BN98="Less than 50%",0,IF(BN98="Negative",-10,IF(BN98="Less than 50% and Borrowings are increasing",-5,0)))))</f>
        <v/>
      </c>
      <c r="BP98" s="25" t="inlineStr">
        <is>
          <t>Less than 0.7</t>
        </is>
      </c>
      <c r="BQ98" s="25">
        <f>IF(BP98="More than 1.2",-10,IF(BP98="Between 0.7 to 1.2",0,IF(BP98="Less than 0.7",10,0)))</f>
        <v/>
      </c>
      <c r="BR98" s="25" t="inlineStr">
        <is>
          <t>No</t>
        </is>
      </c>
      <c r="BS98" s="25">
        <f>IF(BR98="Yes",-10,0)</f>
        <v/>
      </c>
      <c r="BT98" s="25" t="inlineStr">
        <is>
          <t>Less than 15%</t>
        </is>
      </c>
      <c r="BU98" s="25">
        <f>IF(BT98="More than 15%",-10,IF(BT98="Less than 15%",10,0))</f>
        <v/>
      </c>
      <c r="BV98" s="25" t="inlineStr">
        <is>
          <t>No</t>
        </is>
      </c>
      <c r="BW98" s="25">
        <f>IF(BV98="Yes, more than 10%",-10,IF(BV98="No",10,0))</f>
        <v/>
      </c>
    </row>
    <row r="99">
      <c r="A99" s="25">
        <f>IF(B99=0,"",RANK(B99,$B$2:$B$292,0))</f>
        <v/>
      </c>
      <c r="B99" s="26">
        <f>SUM(Q99,S99,U99,W99,Y99,AA99,AC99,AE99,AG99,AI99,AK99,AM99,AO99,AQ99,AS99,AU99,AW99,AY99,BA99,BC99,BE99,BG99,BI99,BK99,BM99,BO99,BQ99,BS99,BU99,BW99)</f>
        <v/>
      </c>
      <c r="C99" s="25" t="inlineStr">
        <is>
          <t>STLTECH</t>
        </is>
      </c>
      <c r="D99" s="25" t="inlineStr">
        <is>
          <t>Sterlite Technologies Limited</t>
        </is>
      </c>
      <c r="E99" s="25" t="inlineStr">
        <is>
          <t>industrials</t>
        </is>
      </c>
      <c r="F99" s="25" t="inlineStr">
        <is>
          <t>cables - telephone</t>
        </is>
      </c>
      <c r="G99" s="25" t="inlineStr">
        <is>
          <t>largecap</t>
        </is>
      </c>
      <c r="H99" s="26" t="n">
        <v>27479.42</v>
      </c>
      <c r="I99" s="26" t="n">
        <v>591.05</v>
      </c>
      <c r="J99" s="26" t="n">
        <v>4.99</v>
      </c>
      <c r="K99" s="26" t="n">
        <v>7891383</v>
      </c>
      <c r="L99" s="26" t="n">
        <v>95.78</v>
      </c>
      <c r="M99" s="26" t="n">
        <v>76.40000000000001</v>
      </c>
      <c r="N99" s="26" t="n">
        <v>475.05</v>
      </c>
      <c r="O99" s="25" t="inlineStr">
        <is>
          <t>Near 52W High Breakout</t>
        </is>
      </c>
      <c r="P99" s="25" t="inlineStr">
        <is>
          <t>Cyclical in an Upturn</t>
        </is>
      </c>
      <c r="Q99" s="25">
        <f>IF(P99="Growing Industry",10,IF(P99="Cyclical in an Upturn",5,0))</f>
        <v/>
      </c>
      <c r="R99" s="25" t="inlineStr">
        <is>
          <t>Too Many Players with High ROCE</t>
        </is>
      </c>
      <c r="S99" s="25">
        <f>IF(R99="Monopoly",10,IF(R99="Oligopoly",5,IF(R99="Duopoly that cooperate",10,IF(R99="Duopoly that compete",5,IF(R99="Too many players with High ROCE",5,0)))))</f>
        <v/>
      </c>
      <c r="T99" s="25" t="inlineStr">
        <is>
          <t>No</t>
        </is>
      </c>
      <c r="U99" s="25">
        <f>IF(T99="No",5,0)</f>
        <v/>
      </c>
      <c r="V99" s="25" t="inlineStr">
        <is>
          <t>Tailwind</t>
        </is>
      </c>
      <c r="W99" s="25">
        <f>IF(V99="Tailwind",10,0)</f>
        <v/>
      </c>
      <c r="X99" s="25" t="inlineStr">
        <is>
          <t>Structural (10 Years Consistency)</t>
        </is>
      </c>
      <c r="Y99" s="25">
        <f>IF(X99="Structural (10 Years Consistency)",10,IF(X99="Shallow Cyclical (2 to 3 years growth)",5,0))</f>
        <v/>
      </c>
      <c r="Z99" s="25" t="inlineStr">
        <is>
          <t>No</t>
        </is>
      </c>
      <c r="AA99" s="25">
        <f>IF(Z99="Yes due to Product Mix change or Operating Leverage",10,IF(Z99="Yes, these are peak margins",-5,IF(Z99="No",5,0)))</f>
        <v/>
      </c>
      <c r="AB99" s="25" t="inlineStr">
        <is>
          <t>Stable</t>
        </is>
      </c>
      <c r="AC99" s="25">
        <f>IF(AB99="Stable",10,0)</f>
        <v/>
      </c>
      <c r="AD99" s="25" t="inlineStr">
        <is>
          <t>Yes</t>
        </is>
      </c>
      <c r="AE99" s="25">
        <f>IF(AD99="Yes",10,0)</f>
        <v/>
      </c>
      <c r="AF99" s="25" t="inlineStr">
        <is>
          <t>B2B</t>
        </is>
      </c>
      <c r="AG99" s="25">
        <f>IF(AF99="B2C",10,IF(AF99="B2B",5,0))</f>
        <v/>
      </c>
      <c r="AH99" s="25" t="inlineStr">
        <is>
          <t>Yes</t>
        </is>
      </c>
      <c r="AI99" s="25">
        <f>IF(AH99="Yes",10,0)</f>
        <v/>
      </c>
      <c r="AJ99" s="25" t="inlineStr">
        <is>
          <t>Higher One Time, Lower Annuity</t>
        </is>
      </c>
      <c r="AK99" s="25">
        <f>IF(AJ99="Fully Annuity",10,IF(AJ99="Higher Annuity, Lower One Time",5,IF(AJ99="Higher One Time, Lower Annuity",3,0)))</f>
        <v/>
      </c>
      <c r="AL99" s="25" t="inlineStr">
        <is>
          <t>Good</t>
        </is>
      </c>
      <c r="AM99" s="25">
        <f>IF(AL99="Good",10,0)</f>
        <v/>
      </c>
      <c r="AN99" s="25" t="inlineStr">
        <is>
          <t>Yes for more than 2 years</t>
        </is>
      </c>
      <c r="AO99" s="25">
        <f>IF(AN99="Yes for more than 2 years",10,IF(AN99="Yes only for next 1 to 2 years",5,0))</f>
        <v/>
      </c>
      <c r="AP99" s="25" t="inlineStr">
        <is>
          <t>Above 40</t>
        </is>
      </c>
      <c r="AQ99" s="25">
        <f>IF(AP99="Above 40",20,IF(AP99="20 to 40",10,IF(AP99="0 to 20",-5,0)))</f>
        <v/>
      </c>
      <c r="AR99" s="25" t="inlineStr">
        <is>
          <t>Above 75</t>
        </is>
      </c>
      <c r="AS99" s="25">
        <f>IF(AR99="Between 50 to 75",10,IF(AR99="Above 75",0,0))</f>
        <v/>
      </c>
      <c r="AT99" s="25" t="inlineStr">
        <is>
          <t>Stage 2</t>
        </is>
      </c>
      <c r="AU99" s="25">
        <f>IF(AT99="Stage 2",20,IF(AT99="Stage 1",0,IF(AT99="Stage 3",5,IF(AT99="Stage 4",-5,0))))</f>
        <v/>
      </c>
      <c r="AV99" s="25" t="inlineStr">
        <is>
          <t>Positive Trend</t>
        </is>
      </c>
      <c r="AW99" s="25">
        <f>IF(AV99="Positive Trend",20,IF(AV99="Negative Trend",-10,0))</f>
        <v/>
      </c>
      <c r="AX99" s="25" t="inlineStr">
        <is>
          <t>Uptrend</t>
        </is>
      </c>
      <c r="AY99" s="25">
        <f>IF(AX99="Uptrend",10,IF(AX99="Sideways",5,0))</f>
        <v/>
      </c>
      <c r="AZ99" s="25" t="inlineStr">
        <is>
          <t>Uptrend</t>
        </is>
      </c>
      <c r="BA99" s="25">
        <f>IF(AZ99="Uptrend",10,IF(AZ99="Sideways",5,0))</f>
        <v/>
      </c>
      <c r="BB99" s="25" t="inlineStr">
        <is>
          <t>Blue sky scenario</t>
        </is>
      </c>
      <c r="BC99" s="25">
        <f>IF(BB99="Overhead supply in last 2 years in last 2 years",-5,IF(BB99="Close to 52 week high or retracement",5,IF(BB99="Blue sky scenario",10,IF(BB99="Long term Downtrend",-10,0))))</f>
        <v/>
      </c>
      <c r="BD99" s="25" t="inlineStr">
        <is>
          <t>Yes</t>
        </is>
      </c>
      <c r="BE99" s="25">
        <f>IF(BD99="Yes",10,0)</f>
        <v/>
      </c>
      <c r="BF99" s="25" t="inlineStr">
        <is>
          <t>More than 20%</t>
        </is>
      </c>
      <c r="BG99" s="25">
        <f>IF(BF99="More than 20%",10,IF(BF99="Between 12 to 20%",5,IF(BF99="Less than 12%",0,0)))</f>
        <v/>
      </c>
      <c r="BH99" s="25" t="inlineStr">
        <is>
          <t>No</t>
        </is>
      </c>
      <c r="BI99" s="25">
        <f>IF(BH99="No",10,0)</f>
        <v/>
      </c>
      <c r="BJ99" s="25" t="inlineStr">
        <is>
          <t>Yes</t>
        </is>
      </c>
      <c r="BK99" s="25">
        <f>IF(BJ99="NO",5,0)</f>
        <v/>
      </c>
      <c r="BL99" s="25" t="inlineStr">
        <is>
          <t>Less than 1.5</t>
        </is>
      </c>
      <c r="BM99" s="25">
        <f>IF(BL99="Above 2",0,IF(BL99="Between 1.5 to 2",5,IF(BL99="Less than 1.5",10,0)))</f>
        <v/>
      </c>
      <c r="BN99" s="25" t="inlineStr">
        <is>
          <t>Above 70%</t>
        </is>
      </c>
      <c r="BO99" s="25">
        <f>IF(BN99="Above 70%",10,IF(BN99="Between 50% to 70%",5,IF(BN99="Less than 50%",0,IF(BN99="Negative",-10,IF(BN99="Less than 50% and Borrowings are increasing",-5,0)))))</f>
        <v/>
      </c>
      <c r="BP99" s="25" t="inlineStr">
        <is>
          <t>Between 0.7 to 1.2</t>
        </is>
      </c>
      <c r="BQ99" s="25">
        <f>IF(BP99="More than 1.2",-10,IF(BP99="Between 0.7 to 1.2",0,IF(BP99="Less than 0.7",10,0)))</f>
        <v/>
      </c>
      <c r="BR99" s="25" t="inlineStr">
        <is>
          <t>No</t>
        </is>
      </c>
      <c r="BS99" s="25">
        <f>IF(BR99="Yes",-10,0)</f>
        <v/>
      </c>
      <c r="BT99" s="25" t="inlineStr">
        <is>
          <t>Less than 15%</t>
        </is>
      </c>
      <c r="BU99" s="25">
        <f>IF(BT99="More than 15%",-10,IF(BT99="Less than 15%",10,0))</f>
        <v/>
      </c>
      <c r="BV99" s="25" t="inlineStr">
        <is>
          <t>No</t>
        </is>
      </c>
      <c r="BW99" s="25">
        <f>IF(BV99="Yes, more than 10%",-10,IF(BV99="No",10,0))</f>
        <v/>
      </c>
    </row>
    <row r="100">
      <c r="A100" s="25">
        <f>IF(B100=0,"",RANK(B100,$B$2:$B$292,0))</f>
        <v/>
      </c>
      <c r="B100" s="26">
        <f>SUM(Q100,S100,U100,W100,Y100,AA100,AC100,AE100,AG100,AI100,AK100,AM100,AO100,AQ100,AS100,AU100,AW100,AY100,BA100,BC100,BE100,BG100,BI100,BK100,BM100,BO100,BQ100,BS100,BU100,BW100)</f>
        <v/>
      </c>
      <c r="C100" s="25" t="inlineStr">
        <is>
          <t>SKIPPER</t>
        </is>
      </c>
      <c r="D100" s="25" t="inlineStr">
        <is>
          <t>Skipper Limited</t>
        </is>
      </c>
      <c r="E100" s="25" t="inlineStr">
        <is>
          <t>industrials</t>
        </is>
      </c>
      <c r="F100" s="25" t="inlineStr">
        <is>
          <t>engineering</t>
        </is>
      </c>
      <c r="G100" s="25" t="inlineStr">
        <is>
          <t>midcap</t>
        </is>
      </c>
      <c r="H100" s="26" t="n">
        <v>6179.8</v>
      </c>
      <c r="I100" s="26" t="n">
        <v>572.4</v>
      </c>
      <c r="J100" s="26" t="n">
        <v>4.58</v>
      </c>
      <c r="K100" s="26" t="n">
        <v>1868980</v>
      </c>
      <c r="L100" s="26" t="n">
        <v>72.44</v>
      </c>
      <c r="M100" s="26" t="n">
        <v>32.69</v>
      </c>
      <c r="N100" s="26" t="n">
        <v>431.23</v>
      </c>
      <c r="O100" s="25" t="inlineStr">
        <is>
          <t>Near 52W High Breakout</t>
        </is>
      </c>
      <c r="P100" s="25" t="inlineStr">
        <is>
          <t>Cyclical in an Upturn</t>
        </is>
      </c>
      <c r="Q100" s="25">
        <f>IF(P100="Growing Industry",10,IF(P100="Cyclical in an Upturn",5,0))</f>
        <v/>
      </c>
      <c r="R100" s="25" t="inlineStr">
        <is>
          <t>Too Many Players with High ROCE</t>
        </is>
      </c>
      <c r="S100" s="25">
        <f>IF(R100="Monopoly",10,IF(R100="Oligopoly",5,IF(R100="Duopoly that cooperate",10,IF(R100="Duopoly that compete",5,IF(R100="Too many players with High ROCE",5,0)))))</f>
        <v/>
      </c>
      <c r="T100" s="25" t="inlineStr">
        <is>
          <t>No</t>
        </is>
      </c>
      <c r="U100" s="25">
        <f>IF(T100="No",5,0)</f>
        <v/>
      </c>
      <c r="V100" s="25" t="inlineStr">
        <is>
          <t>Tailwind</t>
        </is>
      </c>
      <c r="W100" s="25">
        <f>IF(V100="Tailwind",10,0)</f>
        <v/>
      </c>
      <c r="X100" s="25" t="inlineStr">
        <is>
          <t>Structural (10 Years Consistency)</t>
        </is>
      </c>
      <c r="Y100" s="25">
        <f>IF(X100="Structural (10 Years Consistency)",10,IF(X100="Shallow Cyclical (2 to 3 years growth)",5,0))</f>
        <v/>
      </c>
      <c r="Z100" s="25" t="inlineStr">
        <is>
          <t>No</t>
        </is>
      </c>
      <c r="AA100" s="25">
        <f>IF(Z100="Yes due to Product Mix change or Operating Leverage",10,IF(Z100="Yes, these are peak margins",-5,IF(Z100="No",5,0)))</f>
        <v/>
      </c>
      <c r="AB100" s="25" t="inlineStr">
        <is>
          <t>Stable</t>
        </is>
      </c>
      <c r="AC100" s="25">
        <f>IF(AB100="Stable",10,0)</f>
        <v/>
      </c>
      <c r="AD100" s="25" t="inlineStr">
        <is>
          <t>Yes</t>
        </is>
      </c>
      <c r="AE100" s="25">
        <f>IF(AD100="Yes",10,0)</f>
        <v/>
      </c>
      <c r="AF100" s="25" t="inlineStr">
        <is>
          <t>B2B</t>
        </is>
      </c>
      <c r="AG100" s="25">
        <f>IF(AF100="B2C",10,IF(AF100="B2B",5,0))</f>
        <v/>
      </c>
      <c r="AH100" s="25" t="inlineStr">
        <is>
          <t>Yes</t>
        </is>
      </c>
      <c r="AI100" s="25">
        <f>IF(AH100="Yes",10,0)</f>
        <v/>
      </c>
      <c r="AJ100" s="25" t="inlineStr">
        <is>
          <t>Higher One Time, Lower Annuity</t>
        </is>
      </c>
      <c r="AK100" s="25">
        <f>IF(AJ100="Fully Annuity",10,IF(AJ100="Higher Annuity, Lower One Time",5,IF(AJ100="Higher One Time, Lower Annuity",3,0)))</f>
        <v/>
      </c>
      <c r="AL100" s="25" t="inlineStr">
        <is>
          <t>Good</t>
        </is>
      </c>
      <c r="AM100" s="25">
        <f>IF(AL100="Good",10,0)</f>
        <v/>
      </c>
      <c r="AN100" s="25" t="inlineStr">
        <is>
          <t>Yes for more than 2 years</t>
        </is>
      </c>
      <c r="AO100" s="25">
        <f>IF(AN100="Yes for more than 2 years",10,IF(AN100="Yes only for next 1 to 2 years",5,0))</f>
        <v/>
      </c>
      <c r="AP100" s="25" t="inlineStr">
        <is>
          <t>20 to 40</t>
        </is>
      </c>
      <c r="AQ100" s="25">
        <f>IF(AP100="Above 40",20,IF(AP100="20 to 40",10,IF(AP100="0 to 20",-5,0)))</f>
        <v/>
      </c>
      <c r="AR100" s="25" t="inlineStr">
        <is>
          <t>Between 50 to 75</t>
        </is>
      </c>
      <c r="AS100" s="25">
        <f>IF(AR100="Between 50 to 75",10,IF(AR100="Above 75",0,0))</f>
        <v/>
      </c>
      <c r="AT100" s="25" t="inlineStr">
        <is>
          <t>Stage 2</t>
        </is>
      </c>
      <c r="AU100" s="25">
        <f>IF(AT100="Stage 2",20,IF(AT100="Stage 1",0,IF(AT100="Stage 3",5,IF(AT100="Stage 4",-5,0))))</f>
        <v/>
      </c>
      <c r="AV100" s="25" t="inlineStr">
        <is>
          <t>Positive Trend</t>
        </is>
      </c>
      <c r="AW100" s="25">
        <f>IF(AV100="Positive Trend",20,IF(AV100="Negative Trend",-10,0))</f>
        <v/>
      </c>
      <c r="AX100" s="25" t="inlineStr">
        <is>
          <t>Uptrend</t>
        </is>
      </c>
      <c r="AY100" s="25">
        <f>IF(AX100="Uptrend",10,IF(AX100="Sideways",5,0))</f>
        <v/>
      </c>
      <c r="AZ100" s="25" t="inlineStr">
        <is>
          <t>Uptrend</t>
        </is>
      </c>
      <c r="BA100" s="25">
        <f>IF(AZ100="Uptrend",10,IF(AZ100="Sideways",5,0))</f>
        <v/>
      </c>
      <c r="BB100" s="25" t="inlineStr">
        <is>
          <t>Close to 52 week high or retracement</t>
        </is>
      </c>
      <c r="BC100" s="25">
        <f>IF(BB100="Overhead supply in last 2 years in last 2 years",-5,IF(BB100="Close to 52 week high or retracement",5,IF(BB100="Blue sky scenario",10,IF(BB100="Long term Downtrend",-10,0))))</f>
        <v/>
      </c>
      <c r="BD100" s="25" t="inlineStr">
        <is>
          <t>Yes</t>
        </is>
      </c>
      <c r="BE100" s="25">
        <f>IF(BD100="Yes",10,0)</f>
        <v/>
      </c>
      <c r="BF100" s="25" t="inlineStr">
        <is>
          <t>More than 20%</t>
        </is>
      </c>
      <c r="BG100" s="25">
        <f>IF(BF100="More than 20%",10,IF(BF100="Between 12 to 20%",5,IF(BF100="Less than 12%",0,0)))</f>
        <v/>
      </c>
      <c r="BH100" s="25" t="inlineStr">
        <is>
          <t>No</t>
        </is>
      </c>
      <c r="BI100" s="25">
        <f>IF(BH100="No",10,0)</f>
        <v/>
      </c>
      <c r="BJ100" s="25" t="inlineStr">
        <is>
          <t>No</t>
        </is>
      </c>
      <c r="BK100" s="25">
        <f>IF(BJ100="NO",5,0)</f>
        <v/>
      </c>
      <c r="BL100" s="25" t="inlineStr">
        <is>
          <t>Less than 1.5</t>
        </is>
      </c>
      <c r="BM100" s="25">
        <f>IF(BL100="Above 2",0,IF(BL100="Between 1.5 to 2",5,IF(BL100="Less than 1.5",10,0)))</f>
        <v/>
      </c>
      <c r="BN100" s="25" t="inlineStr">
        <is>
          <t>Less than 50%</t>
        </is>
      </c>
      <c r="BO100" s="25">
        <f>IF(BN100="Above 70%",10,IF(BN100="Between 50% to 70%",5,IF(BN100="Less than 50%",0,IF(BN100="Negative",-10,IF(BN100="Less than 50% and Borrowings are increasing",-5,0)))))</f>
        <v/>
      </c>
      <c r="BP100" s="25" t="inlineStr">
        <is>
          <t>Less than 0.7</t>
        </is>
      </c>
      <c r="BQ100" s="25">
        <f>IF(BP100="More than 1.2",-10,IF(BP100="Between 0.7 to 1.2",0,IF(BP100="Less than 0.7",10,0)))</f>
        <v/>
      </c>
      <c r="BR100" s="25" t="inlineStr">
        <is>
          <t>No</t>
        </is>
      </c>
      <c r="BS100" s="25">
        <f>IF(BR100="Yes",-10,0)</f>
        <v/>
      </c>
      <c r="BT100" s="25" t="inlineStr">
        <is>
          <t>Less than 15%</t>
        </is>
      </c>
      <c r="BU100" s="25">
        <f>IF(BT100="More than 15%",-10,IF(BT100="Less than 15%",10,0))</f>
        <v/>
      </c>
      <c r="BV100" s="25" t="inlineStr">
        <is>
          <t>No</t>
        </is>
      </c>
      <c r="BW100" s="25">
        <f>IF(BV100="Yes, more than 10%",-10,IF(BV100="No",10,0))</f>
        <v/>
      </c>
    </row>
    <row r="101">
      <c r="A101" s="25">
        <f>IF(B101=0,"",RANK(B101,$B$2:$B$292,0))</f>
        <v/>
      </c>
      <c r="B101" s="26">
        <f>SUM(Q101,S101,U101,W101,Y101,AA101,AC101,AE101,AG101,AI101,AK101,AM101,AO101,AQ101,AS101,AU101,AW101,AY101,BA101,BC101,BE101,BG101,BI101,BK101,BM101,BO101,BQ101,BS101,BU101,BW101)</f>
        <v/>
      </c>
      <c r="C101" s="25" t="inlineStr">
        <is>
          <t>ARVIND</t>
        </is>
      </c>
      <c r="D101" s="25" t="inlineStr">
        <is>
          <t>Arvind Limited</t>
        </is>
      </c>
      <c r="E101" s="25" t="inlineStr">
        <is>
          <t>textiles</t>
        </is>
      </c>
      <c r="F101" s="25" t="inlineStr">
        <is>
          <t>textiles - cotton/blended</t>
        </is>
      </c>
      <c r="G101" s="25" t="inlineStr">
        <is>
          <t>midcap</t>
        </is>
      </c>
      <c r="H101" s="26" t="n">
        <v>12559.22</v>
      </c>
      <c r="I101" s="26" t="n">
        <v>500.65</v>
      </c>
      <c r="J101" s="26" t="n">
        <v>4.49</v>
      </c>
      <c r="K101" s="26" t="n">
        <v>1476167</v>
      </c>
      <c r="L101" s="26" t="n">
        <v>77.08</v>
      </c>
      <c r="M101" s="26" t="n">
        <v>33.68</v>
      </c>
      <c r="N101" s="26" t="n">
        <v>401.9</v>
      </c>
      <c r="O101" s="25" t="inlineStr">
        <is>
          <t>Near 52W High Breakout</t>
        </is>
      </c>
      <c r="P101" s="25" t="inlineStr">
        <is>
          <t>Growing Industry</t>
        </is>
      </c>
      <c r="Q101" s="25">
        <f>IF(P101="Growing Industry",10,IF(P101="Cyclical in an Upturn",5,0))</f>
        <v/>
      </c>
      <c r="R101" s="25" t="inlineStr">
        <is>
          <t>Too Many Players with High ROCE</t>
        </is>
      </c>
      <c r="S101" s="25">
        <f>IF(R101="Monopoly",10,IF(R101="Oligopoly",5,IF(R101="Duopoly that cooperate",10,IF(R101="Duopoly that compete",5,IF(R101="Too many players with High ROCE",5,0)))))</f>
        <v/>
      </c>
      <c r="T101" s="25" t="inlineStr">
        <is>
          <t>No</t>
        </is>
      </c>
      <c r="U101" s="25">
        <f>IF(T101="No",5,0)</f>
        <v/>
      </c>
      <c r="V101" s="25" t="inlineStr">
        <is>
          <t>Tailwind</t>
        </is>
      </c>
      <c r="W101" s="25">
        <f>IF(V101="Tailwind",10,0)</f>
        <v/>
      </c>
      <c r="X101" s="25" t="inlineStr">
        <is>
          <t>Structural (10 Years Consistency)</t>
        </is>
      </c>
      <c r="Y101" s="25">
        <f>IF(X101="Structural (10 Years Consistency)",10,IF(X101="Shallow Cyclical (2 to 3 years growth)",5,0))</f>
        <v/>
      </c>
      <c r="Z101" s="25" t="inlineStr">
        <is>
          <t>No</t>
        </is>
      </c>
      <c r="AA101" s="25">
        <f>IF(Z101="Yes due to Product Mix change or Operating Leverage",10,IF(Z101="Yes, these are peak margins",-5,IF(Z101="No",5,0)))</f>
        <v/>
      </c>
      <c r="AB101" s="25" t="inlineStr">
        <is>
          <t>Stable</t>
        </is>
      </c>
      <c r="AC101" s="25">
        <f>IF(AB101="Stable",10,0)</f>
        <v/>
      </c>
      <c r="AD101" s="25" t="inlineStr">
        <is>
          <t>Yes</t>
        </is>
      </c>
      <c r="AE101" s="25">
        <f>IF(AD101="Yes",10,0)</f>
        <v/>
      </c>
      <c r="AF101" s="25" t="inlineStr">
        <is>
          <t>B2B</t>
        </is>
      </c>
      <c r="AG101" s="25">
        <f>IF(AF101="B2C",10,IF(AF101="B2B",5,0))</f>
        <v/>
      </c>
      <c r="AH101" s="25" t="inlineStr">
        <is>
          <t>Yes</t>
        </is>
      </c>
      <c r="AI101" s="25">
        <f>IF(AH101="Yes",10,0)</f>
        <v/>
      </c>
      <c r="AJ101" s="25" t="inlineStr">
        <is>
          <t>Higher One Time, Lower Annuity</t>
        </is>
      </c>
      <c r="AK101" s="25">
        <f>IF(AJ101="Fully Annuity",10,IF(AJ101="Higher Annuity, Lower One Time",5,IF(AJ101="Higher One Time, Lower Annuity",3,0)))</f>
        <v/>
      </c>
      <c r="AL101" s="25" t="inlineStr">
        <is>
          <t>Good</t>
        </is>
      </c>
      <c r="AM101" s="25">
        <f>IF(AL101="Good",10,0)</f>
        <v/>
      </c>
      <c r="AN101" s="25" t="inlineStr">
        <is>
          <t>Yes for more than 2 years</t>
        </is>
      </c>
      <c r="AO101" s="25">
        <f>IF(AN101="Yes for more than 2 years",10,IF(AN101="Yes only for next 1 to 2 years",5,0))</f>
        <v/>
      </c>
      <c r="AP101" s="25" t="inlineStr">
        <is>
          <t>20 to 40</t>
        </is>
      </c>
      <c r="AQ101" s="25">
        <f>IF(AP101="Above 40",20,IF(AP101="20 to 40",10,IF(AP101="0 to 20",-5,0)))</f>
        <v/>
      </c>
      <c r="AR101" s="25" t="inlineStr">
        <is>
          <t>Above 75</t>
        </is>
      </c>
      <c r="AS101" s="25">
        <f>IF(AR101="Between 50 to 75",10,IF(AR101="Above 75",0,0))</f>
        <v/>
      </c>
      <c r="AT101" s="25" t="inlineStr">
        <is>
          <t>Stage 2</t>
        </is>
      </c>
      <c r="AU101" s="25">
        <f>IF(AT101="Stage 2",20,IF(AT101="Stage 1",0,IF(AT101="Stage 3",5,IF(AT101="Stage 4",-5,0))))</f>
        <v/>
      </c>
      <c r="AV101" s="25" t="inlineStr">
        <is>
          <t>Positive Trend</t>
        </is>
      </c>
      <c r="AW101" s="25">
        <f>IF(AV101="Positive Trend",20,IF(AV101="Negative Trend",-10,0))</f>
        <v/>
      </c>
      <c r="AX101" s="25" t="inlineStr">
        <is>
          <t>Uptrend</t>
        </is>
      </c>
      <c r="AY101" s="25">
        <f>IF(AX101="Uptrend",10,IF(AX101="Sideways",5,0))</f>
        <v/>
      </c>
      <c r="AZ101" s="25" t="inlineStr">
        <is>
          <t>Uptrend</t>
        </is>
      </c>
      <c r="BA101" s="25">
        <f>IF(AZ101="Uptrend",10,IF(AZ101="Sideways",5,0))</f>
        <v/>
      </c>
      <c r="BB101" s="25" t="inlineStr">
        <is>
          <t>Blue sky scenario</t>
        </is>
      </c>
      <c r="BC101" s="25">
        <f>IF(BB101="Overhead supply in last 2 years in last 2 years",-5,IF(BB101="Close to 52 week high or retracement",5,IF(BB101="Blue sky scenario",10,IF(BB101="Long term Downtrend",-10,0))))</f>
        <v/>
      </c>
      <c r="BD101" s="25" t="inlineStr">
        <is>
          <t>Yes</t>
        </is>
      </c>
      <c r="BE101" s="25">
        <f>IF(BD101="Yes",10,0)</f>
        <v/>
      </c>
      <c r="BF101" s="25" t="inlineStr">
        <is>
          <t>Less than 12%</t>
        </is>
      </c>
      <c r="BG101" s="25">
        <f>IF(BF101="More than 20%",10,IF(BF101="Between 12 to 20%",5,IF(BF101="Less than 12%",0,0)))</f>
        <v/>
      </c>
      <c r="BH101" s="25" t="inlineStr">
        <is>
          <t>No</t>
        </is>
      </c>
      <c r="BI101" s="25">
        <f>IF(BH101="No",10,0)</f>
        <v/>
      </c>
      <c r="BJ101" s="25" t="inlineStr">
        <is>
          <t>No</t>
        </is>
      </c>
      <c r="BK101" s="25">
        <f>IF(BJ101="NO",5,0)</f>
        <v/>
      </c>
      <c r="BL101" s="25" t="inlineStr">
        <is>
          <t>Less than 1.5</t>
        </is>
      </c>
      <c r="BM101" s="25">
        <f>IF(BL101="Above 2",0,IF(BL101="Between 1.5 to 2",5,IF(BL101="Less than 1.5",10,0)))</f>
        <v/>
      </c>
      <c r="BN101" s="25" t="inlineStr">
        <is>
          <t>Above 70%</t>
        </is>
      </c>
      <c r="BO101" s="25">
        <f>IF(BN101="Above 70%",10,IF(BN101="Between 50% to 70%",5,IF(BN101="Less than 50%",0,IF(BN101="Negative",-10,IF(BN101="Less than 50% and Borrowings are increasing",-5,0)))))</f>
        <v/>
      </c>
      <c r="BP101" s="25" t="inlineStr">
        <is>
          <t>Less than 0.7</t>
        </is>
      </c>
      <c r="BQ101" s="25">
        <f>IF(BP101="More than 1.2",-10,IF(BP101="Between 0.7 to 1.2",0,IF(BP101="Less than 0.7",10,0)))</f>
        <v/>
      </c>
      <c r="BR101" s="25" t="inlineStr">
        <is>
          <t>No</t>
        </is>
      </c>
      <c r="BS101" s="25">
        <f>IF(BR101="Yes",-10,0)</f>
        <v/>
      </c>
      <c r="BT101" s="25" t="inlineStr">
        <is>
          <t>Less than 15%</t>
        </is>
      </c>
      <c r="BU101" s="25">
        <f>IF(BT101="More than 15%",-10,IF(BT101="Less than 15%",10,0))</f>
        <v/>
      </c>
      <c r="BV101" s="25" t="inlineStr">
        <is>
          <t>No</t>
        </is>
      </c>
      <c r="BW101" s="25">
        <f>IF(BV101="Yes, more than 10%",-10,IF(BV101="No",10,0))</f>
        <v/>
      </c>
    </row>
    <row r="102">
      <c r="A102" s="25">
        <f>IF(B102=0,"",RANK(B102,$B$2:$B$292,0))</f>
        <v/>
      </c>
      <c r="B102" s="26">
        <f>SUM(Q102,S102,U102,W102,Y102,AA102,AC102,AE102,AG102,AI102,AK102,AM102,AO102,AQ102,AS102,AU102,AW102,AY102,BA102,BC102,BE102,BG102,BI102,BK102,BM102,BO102,BQ102,BS102,BU102,BW102)</f>
        <v/>
      </c>
      <c r="C102" s="25" t="inlineStr">
        <is>
          <t>ICIL</t>
        </is>
      </c>
      <c r="D102" s="25" t="inlineStr">
        <is>
          <t>Indo Count Industries Limited</t>
        </is>
      </c>
      <c r="E102" s="25" t="inlineStr">
        <is>
          <t>textiles</t>
        </is>
      </c>
      <c r="F102" s="25" t="inlineStr">
        <is>
          <t>textiles - cotton/blended</t>
        </is>
      </c>
      <c r="G102" s="25" t="inlineStr">
        <is>
          <t>midcap</t>
        </is>
      </c>
      <c r="H102" s="26" t="n">
        <v>6629.87</v>
      </c>
      <c r="I102" s="26" t="n">
        <v>346.25</v>
      </c>
      <c r="J102" s="26" t="n">
        <v>3.44</v>
      </c>
      <c r="K102" s="26" t="n">
        <v>2036293</v>
      </c>
      <c r="L102" s="26" t="n">
        <v>64.61</v>
      </c>
      <c r="M102" s="26" t="n">
        <v>21.38</v>
      </c>
      <c r="N102" s="26" t="n">
        <v>249.96</v>
      </c>
      <c r="O102" s="25" t="inlineStr">
        <is>
          <t>Volume Spike &amp; Near 52W High Breakout</t>
        </is>
      </c>
      <c r="P102" s="25" t="inlineStr">
        <is>
          <t>Growing Industry</t>
        </is>
      </c>
      <c r="Q102" s="25">
        <f>IF(P102="Growing Industry",10,IF(P102="Cyclical in an Upturn",5,0))</f>
        <v/>
      </c>
      <c r="R102" s="25" t="inlineStr">
        <is>
          <t>Too Many Players with High ROCE</t>
        </is>
      </c>
      <c r="S102" s="25">
        <f>IF(R102="Monopoly",10,IF(R102="Oligopoly",5,IF(R102="Duopoly that cooperate",10,IF(R102="Duopoly that compete",5,IF(R102="Too many players with High ROCE",5,0)))))</f>
        <v/>
      </c>
      <c r="T102" s="25" t="inlineStr">
        <is>
          <t>No</t>
        </is>
      </c>
      <c r="U102" s="25">
        <f>IF(T102="No",5,0)</f>
        <v/>
      </c>
      <c r="V102" s="25" t="inlineStr">
        <is>
          <t>Tailwind</t>
        </is>
      </c>
      <c r="W102" s="25">
        <f>IF(V102="Tailwind",10,0)</f>
        <v/>
      </c>
      <c r="X102" s="25" t="inlineStr">
        <is>
          <t>Structural (10 Years Consistency)</t>
        </is>
      </c>
      <c r="Y102" s="25">
        <f>IF(X102="Structural (10 Years Consistency)",10,IF(X102="Shallow Cyclical (2 to 3 years growth)",5,0))</f>
        <v/>
      </c>
      <c r="Z102" s="25" t="inlineStr">
        <is>
          <t>No</t>
        </is>
      </c>
      <c r="AA102" s="25">
        <f>IF(Z102="Yes due to Product Mix change or Operating Leverage",10,IF(Z102="Yes, these are peak margins",-5,IF(Z102="No",5,0)))</f>
        <v/>
      </c>
      <c r="AB102" s="25" t="inlineStr">
        <is>
          <t>Stable</t>
        </is>
      </c>
      <c r="AC102" s="25">
        <f>IF(AB102="Stable",10,0)</f>
        <v/>
      </c>
      <c r="AD102" s="25" t="inlineStr">
        <is>
          <t>Yes</t>
        </is>
      </c>
      <c r="AE102" s="25">
        <f>IF(AD102="Yes",10,0)</f>
        <v/>
      </c>
      <c r="AF102" s="25" t="inlineStr">
        <is>
          <t>B2B</t>
        </is>
      </c>
      <c r="AG102" s="25">
        <f>IF(AF102="B2C",10,IF(AF102="B2B",5,0))</f>
        <v/>
      </c>
      <c r="AH102" s="25" t="inlineStr">
        <is>
          <t>Yes</t>
        </is>
      </c>
      <c r="AI102" s="25">
        <f>IF(AH102="Yes",10,0)</f>
        <v/>
      </c>
      <c r="AJ102" s="25" t="inlineStr">
        <is>
          <t>Higher One Time, Lower Annuity</t>
        </is>
      </c>
      <c r="AK102" s="25">
        <f>IF(AJ102="Fully Annuity",10,IF(AJ102="Higher Annuity, Lower One Time",5,IF(AJ102="Higher One Time, Lower Annuity",3,0)))</f>
        <v/>
      </c>
      <c r="AL102" s="25" t="inlineStr">
        <is>
          <t>Good</t>
        </is>
      </c>
      <c r="AM102" s="25">
        <f>IF(AL102="Good",10,0)</f>
        <v/>
      </c>
      <c r="AN102" s="25" t="inlineStr">
        <is>
          <t>Yes for more than 2 years</t>
        </is>
      </c>
      <c r="AO102" s="25">
        <f>IF(AN102="Yes for more than 2 years",10,IF(AN102="Yes only for next 1 to 2 years",5,0))</f>
        <v/>
      </c>
      <c r="AP102" s="25" t="inlineStr">
        <is>
          <t>20 to 40</t>
        </is>
      </c>
      <c r="AQ102" s="25">
        <f>IF(AP102="Above 40",20,IF(AP102="20 to 40",10,IF(AP102="0 to 20",-5,0)))</f>
        <v/>
      </c>
      <c r="AR102" s="25" t="inlineStr">
        <is>
          <t>Between 50 to 75</t>
        </is>
      </c>
      <c r="AS102" s="25">
        <f>IF(AR102="Between 50 to 75",10,IF(AR102="Above 75",0,0))</f>
        <v/>
      </c>
      <c r="AT102" s="25" t="inlineStr">
        <is>
          <t>Stage 2</t>
        </is>
      </c>
      <c r="AU102" s="25">
        <f>IF(AT102="Stage 2",20,IF(AT102="Stage 1",0,IF(AT102="Stage 3",5,IF(AT102="Stage 4",-5,0))))</f>
        <v/>
      </c>
      <c r="AV102" s="25" t="inlineStr">
        <is>
          <t>Positive Trend</t>
        </is>
      </c>
      <c r="AW102" s="25">
        <f>IF(AV102="Positive Trend",20,IF(AV102="Negative Trend",-10,0))</f>
        <v/>
      </c>
      <c r="AX102" s="25" t="inlineStr">
        <is>
          <t>Uptrend</t>
        </is>
      </c>
      <c r="AY102" s="25">
        <f>IF(AX102="Uptrend",10,IF(AX102="Sideways",5,0))</f>
        <v/>
      </c>
      <c r="AZ102" s="25" t="inlineStr">
        <is>
          <t>Uptrend</t>
        </is>
      </c>
      <c r="BA102" s="25">
        <f>IF(AZ102="Uptrend",10,IF(AZ102="Sideways",5,0))</f>
        <v/>
      </c>
      <c r="BB102" s="25" t="inlineStr">
        <is>
          <t>Close to 52 week high or retracement</t>
        </is>
      </c>
      <c r="BC102" s="25">
        <f>IF(BB102="Overhead supply in last 2 years in last 2 years",-5,IF(BB102="Close to 52 week high or retracement",5,IF(BB102="Blue sky scenario",10,IF(BB102="Long term Downtrend",-10,0))))</f>
        <v/>
      </c>
      <c r="BD102" s="25" t="inlineStr">
        <is>
          <t>Yes</t>
        </is>
      </c>
      <c r="BE102" s="25">
        <f>IF(BD102="Yes",10,0)</f>
        <v/>
      </c>
      <c r="BF102" s="25" t="inlineStr">
        <is>
          <t>Less than 12%</t>
        </is>
      </c>
      <c r="BG102" s="25">
        <f>IF(BF102="More than 20%",10,IF(BF102="Between 12 to 20%",5,IF(BF102="Less than 12%",0,0)))</f>
        <v/>
      </c>
      <c r="BH102" s="25" t="inlineStr">
        <is>
          <t>No</t>
        </is>
      </c>
      <c r="BI102" s="25">
        <f>IF(BH102="No",10,0)</f>
        <v/>
      </c>
      <c r="BJ102" s="25" t="inlineStr">
        <is>
          <t>Yes</t>
        </is>
      </c>
      <c r="BK102" s="25">
        <f>IF(BJ102="NO",5,0)</f>
        <v/>
      </c>
      <c r="BL102" s="25" t="inlineStr">
        <is>
          <t>Less than 1.5</t>
        </is>
      </c>
      <c r="BM102" s="25">
        <f>IF(BL102="Above 2",0,IF(BL102="Between 1.5 to 2",5,IF(BL102="Less than 1.5",10,0)))</f>
        <v/>
      </c>
      <c r="BN102" s="25" t="inlineStr">
        <is>
          <t>Above 70%</t>
        </is>
      </c>
      <c r="BO102" s="25">
        <f>IF(BN102="Above 70%",10,IF(BN102="Between 50% to 70%",5,IF(BN102="Less than 50%",0,IF(BN102="Negative",-10,IF(BN102="Less than 50% and Borrowings are increasing",-5,0)))))</f>
        <v/>
      </c>
      <c r="BP102" s="25" t="inlineStr">
        <is>
          <t>Less than 0.7</t>
        </is>
      </c>
      <c r="BQ102" s="25">
        <f>IF(BP102="More than 1.2",-10,IF(BP102="Between 0.7 to 1.2",0,IF(BP102="Less than 0.7",10,0)))</f>
        <v/>
      </c>
      <c r="BR102" s="25" t="inlineStr">
        <is>
          <t>No</t>
        </is>
      </c>
      <c r="BS102" s="25">
        <f>IF(BR102="Yes",-10,0)</f>
        <v/>
      </c>
      <c r="BT102" s="25" t="inlineStr">
        <is>
          <t>Less than 15%</t>
        </is>
      </c>
      <c r="BU102" s="25">
        <f>IF(BT102="More than 15%",-10,IF(BT102="Less than 15%",10,0))</f>
        <v/>
      </c>
      <c r="BV102" s="25" t="inlineStr">
        <is>
          <t>No</t>
        </is>
      </c>
      <c r="BW102" s="25">
        <f>IF(BV102="Yes, more than 10%",-10,IF(BV102="No",10,0))</f>
        <v/>
      </c>
    </row>
    <row r="103">
      <c r="A103" s="25">
        <f>IF(B103=0,"",RANK(B103,$B$2:$B$292,0))</f>
        <v/>
      </c>
      <c r="B103" s="26">
        <f>SUM(Q103,S103,U103,W103,Y103,AA103,AC103,AE103,AG103,AI103,AK103,AM103,AO103,AQ103,AS103,AU103,AW103,AY103,BA103,BC103,BE103,BG103,BI103,BK103,BM103,BO103,BQ103,BS103,BU103,BW103)</f>
        <v/>
      </c>
      <c r="C103" s="25" t="inlineStr">
        <is>
          <t>NMDC</t>
        </is>
      </c>
      <c r="D103" s="25" t="inlineStr">
        <is>
          <t>Nmdc Limited</t>
        </is>
      </c>
      <c r="E103" s="25" t="inlineStr">
        <is>
          <t>metals &amp; mining</t>
        </is>
      </c>
      <c r="F103" s="25" t="inlineStr">
        <is>
          <t>mining / minerals / metals</t>
        </is>
      </c>
      <c r="G103" s="25" t="inlineStr">
        <is>
          <t>largecap</t>
        </is>
      </c>
      <c r="H103" s="26" t="n">
        <v>81210.02</v>
      </c>
      <c r="I103" s="26" t="n">
        <v>95.31</v>
      </c>
      <c r="J103" s="26" t="n">
        <v>3.18</v>
      </c>
      <c r="K103" s="26" t="n">
        <v>102137637</v>
      </c>
      <c r="L103" s="26" t="n">
        <v>67.33</v>
      </c>
      <c r="M103" s="26" t="n">
        <v>43.26</v>
      </c>
      <c r="N103" s="26" t="n">
        <v>78.66</v>
      </c>
      <c r="O103" s="25" t="inlineStr">
        <is>
          <t>Volume Spike &amp; Near 52W High Breakout</t>
        </is>
      </c>
      <c r="P103" s="25" t="inlineStr">
        <is>
          <t>Cyclical in an Upturn</t>
        </is>
      </c>
      <c r="Q103" s="25">
        <f>IF(P103="Growing Industry",10,IF(P103="Cyclical in an Upturn",5,0))</f>
        <v/>
      </c>
      <c r="R103" s="25" t="inlineStr">
        <is>
          <t>Too Many Players with High ROCE</t>
        </is>
      </c>
      <c r="S103" s="25">
        <f>IF(R103="Monopoly",10,IF(R103="Oligopoly",5,IF(R103="Duopoly that cooperate",10,IF(R103="Duopoly that compete",5,IF(R103="Too many players with High ROCE",5,0)))))</f>
        <v/>
      </c>
      <c r="T103" s="25" t="inlineStr">
        <is>
          <t>No</t>
        </is>
      </c>
      <c r="U103" s="25">
        <f>IF(T103="No",5,0)</f>
        <v/>
      </c>
      <c r="V103" s="25" t="inlineStr">
        <is>
          <t>Tailwind</t>
        </is>
      </c>
      <c r="W103" s="25">
        <f>IF(V103="Tailwind",10,0)</f>
        <v/>
      </c>
      <c r="X103" s="25" t="inlineStr">
        <is>
          <t>Cyclical</t>
        </is>
      </c>
      <c r="Y103" s="25">
        <f>IF(X103="Structural (10 Years Consistency)",10,IF(X103="Shallow Cyclical (2 to 3 years growth)",5,0))</f>
        <v/>
      </c>
      <c r="Z103" s="25" t="inlineStr">
        <is>
          <t>No</t>
        </is>
      </c>
      <c r="AA103" s="25">
        <f>IF(Z103="Yes due to Product Mix change or Operating Leverage",10,IF(Z103="Yes, these are peak margins",-5,IF(Z103="No",5,0)))</f>
        <v/>
      </c>
      <c r="AB103" s="25" t="inlineStr">
        <is>
          <t>Volatile</t>
        </is>
      </c>
      <c r="AC103" s="25">
        <f>IF(AB103="Stable",10,0)</f>
        <v/>
      </c>
      <c r="AD103" s="25" t="inlineStr">
        <is>
          <t>Yes</t>
        </is>
      </c>
      <c r="AE103" s="25">
        <f>IF(AD103="Yes",10,0)</f>
        <v/>
      </c>
      <c r="AF103" s="25" t="inlineStr">
        <is>
          <t>B2B</t>
        </is>
      </c>
      <c r="AG103" s="25">
        <f>IF(AF103="B2C",10,IF(AF103="B2B",5,0))</f>
        <v/>
      </c>
      <c r="AH103" s="25" t="inlineStr">
        <is>
          <t>Yes</t>
        </is>
      </c>
      <c r="AI103" s="25">
        <f>IF(AH103="Yes",10,0)</f>
        <v/>
      </c>
      <c r="AJ103" s="25" t="inlineStr">
        <is>
          <t>Higher One Time, Lower Annuity</t>
        </is>
      </c>
      <c r="AK103" s="25">
        <f>IF(AJ103="Fully Annuity",10,IF(AJ103="Higher Annuity, Lower One Time",5,IF(AJ103="Higher One Time, Lower Annuity",3,0)))</f>
        <v/>
      </c>
      <c r="AL103" s="25" t="inlineStr">
        <is>
          <t>Good</t>
        </is>
      </c>
      <c r="AM103" s="25">
        <f>IF(AL103="Good",10,0)</f>
        <v/>
      </c>
      <c r="AN103" s="25" t="inlineStr">
        <is>
          <t>Yes for more than 2 years</t>
        </is>
      </c>
      <c r="AO103" s="25">
        <f>IF(AN103="Yes for more than 2 years",10,IF(AN103="Yes only for next 1 to 2 years",5,0))</f>
        <v/>
      </c>
      <c r="AP103" s="25" t="inlineStr">
        <is>
          <t>Above 40</t>
        </is>
      </c>
      <c r="AQ103" s="25">
        <f>IF(AP103="Above 40",20,IF(AP103="20 to 40",10,IF(AP103="0 to 20",-5,0)))</f>
        <v/>
      </c>
      <c r="AR103" s="25" t="inlineStr">
        <is>
          <t>Between 50 to 75</t>
        </is>
      </c>
      <c r="AS103" s="25">
        <f>IF(AR103="Between 50 to 75",10,IF(AR103="Above 75",0,0))</f>
        <v/>
      </c>
      <c r="AT103" s="25" t="inlineStr">
        <is>
          <t>Stage 2</t>
        </is>
      </c>
      <c r="AU103" s="25">
        <f>IF(AT103="Stage 2",20,IF(AT103="Stage 1",0,IF(AT103="Stage 3",5,IF(AT103="Stage 4",-5,0))))</f>
        <v/>
      </c>
      <c r="AV103" s="25" t="inlineStr">
        <is>
          <t>Positive Trend</t>
        </is>
      </c>
      <c r="AW103" s="25">
        <f>IF(AV103="Positive Trend",20,IF(AV103="Negative Trend",-10,0))</f>
        <v/>
      </c>
      <c r="AX103" s="25" t="inlineStr">
        <is>
          <t>Uptrend</t>
        </is>
      </c>
      <c r="AY103" s="25">
        <f>IF(AX103="Uptrend",10,IF(AX103="Sideways",5,0))</f>
        <v/>
      </c>
      <c r="AZ103" s="25" t="inlineStr">
        <is>
          <t>Uptrend</t>
        </is>
      </c>
      <c r="BA103" s="25">
        <f>IF(AZ103="Uptrend",10,IF(AZ103="Sideways",5,0))</f>
        <v/>
      </c>
      <c r="BB103" s="25" t="inlineStr">
        <is>
          <t>Blue sky scenario</t>
        </is>
      </c>
      <c r="BC103" s="25">
        <f>IF(BB103="Overhead supply in last 2 years in last 2 years",-5,IF(BB103="Close to 52 week high or retracement",5,IF(BB103="Blue sky scenario",10,IF(BB103="Long term Downtrend",-10,0))))</f>
        <v/>
      </c>
      <c r="BD103" s="25" t="inlineStr">
        <is>
          <t>Yes</t>
        </is>
      </c>
      <c r="BE103" s="25">
        <f>IF(BD103="Yes",10,0)</f>
        <v/>
      </c>
      <c r="BF103" s="25" t="inlineStr">
        <is>
          <t>More than 20%</t>
        </is>
      </c>
      <c r="BG103" s="25">
        <f>IF(BF103="More than 20%",10,IF(BF103="Between 12 to 20%",5,IF(BF103="Less than 12%",0,0)))</f>
        <v/>
      </c>
      <c r="BH103" s="25" t="inlineStr">
        <is>
          <t>No</t>
        </is>
      </c>
      <c r="BI103" s="25">
        <f>IF(BH103="No",10,0)</f>
        <v/>
      </c>
      <c r="BJ103" s="25" t="inlineStr">
        <is>
          <t>No</t>
        </is>
      </c>
      <c r="BK103" s="25">
        <f>IF(BJ103="NO",5,0)</f>
        <v/>
      </c>
      <c r="BL103" s="25" t="inlineStr">
        <is>
          <t>Less than 1.5</t>
        </is>
      </c>
      <c r="BM103" s="25">
        <f>IF(BL103="Above 2",0,IF(BL103="Between 1.5 to 2",5,IF(BL103="Less than 1.5",10,0)))</f>
        <v/>
      </c>
      <c r="BN103" s="25" t="inlineStr">
        <is>
          <t>Between 50% to 70%</t>
        </is>
      </c>
      <c r="BO103" s="25">
        <f>IF(BN103="Above 70%",10,IF(BN103="Between 50% to 70%",5,IF(BN103="Less than 50%",0,IF(BN103="Negative",-10,IF(BN103="Less than 50% and Borrowings are increasing",-5,0)))))</f>
        <v/>
      </c>
      <c r="BP103" s="25" t="inlineStr">
        <is>
          <t>Less than 0.7</t>
        </is>
      </c>
      <c r="BQ103" s="25">
        <f>IF(BP103="More than 1.2",-10,IF(BP103="Between 0.7 to 1.2",0,IF(BP103="Less than 0.7",10,0)))</f>
        <v/>
      </c>
      <c r="BR103" s="25" t="inlineStr">
        <is>
          <t>No</t>
        </is>
      </c>
      <c r="BS103" s="25">
        <f>IF(BR103="Yes",-10,0)</f>
        <v/>
      </c>
      <c r="BT103" s="25" t="inlineStr">
        <is>
          <t>Less than 15%</t>
        </is>
      </c>
      <c r="BU103" s="25">
        <f>IF(BT103="More than 15%",-10,IF(BT103="Less than 15%",10,0))</f>
        <v/>
      </c>
      <c r="BV103" s="25" t="inlineStr">
        <is>
          <t>No</t>
        </is>
      </c>
      <c r="BW103" s="25">
        <f>IF(BV103="Yes, more than 10%",-10,IF(BV103="No",10,0))</f>
        <v/>
      </c>
    </row>
    <row r="104">
      <c r="A104" s="25">
        <f>IF(B104=0,"",RANK(B104,$B$2:$B$292,0))</f>
        <v/>
      </c>
      <c r="B104" s="26">
        <f>SUM(Q104,S104,U104,W104,Y104,AA104,AC104,AE104,AG104,AI104,AK104,AM104,AO104,AQ104,AS104,AU104,AW104,AY104,BA104,BC104,BE104,BG104,BI104,BK104,BM104,BO104,BQ104,BS104,BU104,BW104)</f>
        <v/>
      </c>
      <c r="C104" s="25" t="inlineStr">
        <is>
          <t>IDEAFORGE</t>
        </is>
      </c>
      <c r="D104" s="25" t="inlineStr">
        <is>
          <t>Ideaforge Technology Ltd</t>
        </is>
      </c>
      <c r="E104" s="25" t="inlineStr">
        <is>
          <t>aerospace &amp; defence</t>
        </is>
      </c>
      <c r="F104" s="25" t="inlineStr">
        <is>
          <t>engineering</t>
        </is>
      </c>
      <c r="G104" s="25" t="inlineStr">
        <is>
          <t>smallcap</t>
        </is>
      </c>
      <c r="H104" s="26" t="n">
        <v>3486.31</v>
      </c>
      <c r="I104" s="26" t="n">
        <v>828.9</v>
      </c>
      <c r="J104" s="26" t="n">
        <v>2.89</v>
      </c>
      <c r="K104" s="26" t="n">
        <v>261811</v>
      </c>
      <c r="L104" s="26" t="n">
        <v>74.92</v>
      </c>
      <c r="M104" s="26" t="n">
        <v>36.89</v>
      </c>
      <c r="N104" s="26" t="n">
        <v>599.2</v>
      </c>
      <c r="O104" s="25" t="inlineStr">
        <is>
          <t>Near 52W High Breakout</t>
        </is>
      </c>
      <c r="P104" s="25" t="inlineStr">
        <is>
          <t>Growing Industry</t>
        </is>
      </c>
      <c r="Q104" s="25">
        <f>IF(P104="Growing Industry",10,IF(P104="Cyclical in an Upturn",5,0))</f>
        <v/>
      </c>
      <c r="R104" s="25" t="inlineStr">
        <is>
          <t>Too Many Players with High ROCE</t>
        </is>
      </c>
      <c r="S104" s="25">
        <f>IF(R104="Monopoly",10,IF(R104="Oligopoly",5,IF(R104="Duopoly that cooperate",10,IF(R104="Duopoly that compete",5,IF(R104="Too many players with High ROCE",5,0)))))</f>
        <v/>
      </c>
      <c r="T104" s="25" t="inlineStr">
        <is>
          <t>No</t>
        </is>
      </c>
      <c r="U104" s="25">
        <f>IF(T104="No",5,0)</f>
        <v/>
      </c>
      <c r="V104" s="25" t="inlineStr">
        <is>
          <t>Tailwind</t>
        </is>
      </c>
      <c r="W104" s="25">
        <f>IF(V104="Tailwind",10,0)</f>
        <v/>
      </c>
      <c r="X104" s="25" t="inlineStr">
        <is>
          <t>Structural (10 Years Consistency)</t>
        </is>
      </c>
      <c r="Y104" s="25">
        <f>IF(X104="Structural (10 Years Consistency)",10,IF(X104="Shallow Cyclical (2 to 3 years growth)",5,0))</f>
        <v/>
      </c>
      <c r="Z104" s="25" t="inlineStr">
        <is>
          <t>No</t>
        </is>
      </c>
      <c r="AA104" s="25">
        <f>IF(Z104="Yes due to Product Mix change or Operating Leverage",10,IF(Z104="Yes, these are peak margins",-5,IF(Z104="No",5,0)))</f>
        <v/>
      </c>
      <c r="AB104" s="25" t="inlineStr">
        <is>
          <t>Stable</t>
        </is>
      </c>
      <c r="AC104" s="25">
        <f>IF(AB104="Stable",10,0)</f>
        <v/>
      </c>
      <c r="AD104" s="25" t="inlineStr">
        <is>
          <t>Yes</t>
        </is>
      </c>
      <c r="AE104" s="25">
        <f>IF(AD104="Yes",10,0)</f>
        <v/>
      </c>
      <c r="AF104" s="25" t="inlineStr">
        <is>
          <t>B2B</t>
        </is>
      </c>
      <c r="AG104" s="25">
        <f>IF(AF104="B2C",10,IF(AF104="B2B",5,0))</f>
        <v/>
      </c>
      <c r="AH104" s="25" t="inlineStr">
        <is>
          <t>Yes</t>
        </is>
      </c>
      <c r="AI104" s="25">
        <f>IF(AH104="Yes",10,0)</f>
        <v/>
      </c>
      <c r="AJ104" s="25" t="inlineStr">
        <is>
          <t>Higher One Time, Lower Annuity</t>
        </is>
      </c>
      <c r="AK104" s="25">
        <f>IF(AJ104="Fully Annuity",10,IF(AJ104="Higher Annuity, Lower One Time",5,IF(AJ104="Higher One Time, Lower Annuity",3,0)))</f>
        <v/>
      </c>
      <c r="AL104" s="25" t="inlineStr">
        <is>
          <t>Good</t>
        </is>
      </c>
      <c r="AM104" s="25">
        <f>IF(AL104="Good",10,0)</f>
        <v/>
      </c>
      <c r="AN104" s="25" t="inlineStr">
        <is>
          <t>Yes for more than 2 years</t>
        </is>
      </c>
      <c r="AO104" s="25">
        <f>IF(AN104="Yes for more than 2 years",10,IF(AN104="Yes only for next 1 to 2 years",5,0))</f>
        <v/>
      </c>
      <c r="AP104" s="25" t="inlineStr">
        <is>
          <t>20 to 40</t>
        </is>
      </c>
      <c r="AQ104" s="25">
        <f>IF(AP104="Above 40",20,IF(AP104="20 to 40",10,IF(AP104="0 to 20",-5,0)))</f>
        <v/>
      </c>
      <c r="AR104" s="25" t="inlineStr">
        <is>
          <t>Between 50 to 75</t>
        </is>
      </c>
      <c r="AS104" s="25">
        <f>IF(AR104="Between 50 to 75",10,IF(AR104="Above 75",0,0))</f>
        <v/>
      </c>
      <c r="AT104" s="25" t="inlineStr">
        <is>
          <t>Stage 2</t>
        </is>
      </c>
      <c r="AU104" s="25">
        <f>IF(AT104="Stage 2",20,IF(AT104="Stage 1",0,IF(AT104="Stage 3",5,IF(AT104="Stage 4",-5,0))))</f>
        <v/>
      </c>
      <c r="AV104" s="25" t="inlineStr">
        <is>
          <t>Positive Trend</t>
        </is>
      </c>
      <c r="AW104" s="25">
        <f>IF(AV104="Positive Trend",20,IF(AV104="Negative Trend",-10,0))</f>
        <v/>
      </c>
      <c r="AX104" s="25" t="inlineStr">
        <is>
          <t>Uptrend</t>
        </is>
      </c>
      <c r="AY104" s="25">
        <f>IF(AX104="Uptrend",10,IF(AX104="Sideways",5,0))</f>
        <v/>
      </c>
      <c r="AZ104" s="25" t="inlineStr">
        <is>
          <t>Uptrend</t>
        </is>
      </c>
      <c r="BA104" s="25">
        <f>IF(AZ104="Uptrend",10,IF(AZ104="Sideways",5,0))</f>
        <v/>
      </c>
      <c r="BB104" s="25" t="inlineStr">
        <is>
          <t>Blue sky scenario</t>
        </is>
      </c>
      <c r="BC104" s="25">
        <f>IF(BB104="Overhead supply in last 2 years in last 2 years",-5,IF(BB104="Close to 52 week high or retracement",5,IF(BB104="Blue sky scenario",10,IF(BB104="Long term Downtrend",-10,0))))</f>
        <v/>
      </c>
      <c r="BD104" s="25" t="inlineStr">
        <is>
          <t>Yes</t>
        </is>
      </c>
      <c r="BE104" s="25">
        <f>IF(BD104="Yes",10,0)</f>
        <v/>
      </c>
      <c r="BF104" s="25" t="inlineStr">
        <is>
          <t>More than 20%</t>
        </is>
      </c>
      <c r="BG104" s="25">
        <f>IF(BF104="More than 20%",10,IF(BF104="Between 12 to 20%",5,IF(BF104="Less than 12%",0,0)))</f>
        <v/>
      </c>
      <c r="BH104" s="25" t="inlineStr">
        <is>
          <t>No</t>
        </is>
      </c>
      <c r="BI104" s="25">
        <f>IF(BH104="No",10,0)</f>
        <v/>
      </c>
      <c r="BJ104" s="25" t="inlineStr">
        <is>
          <t>No</t>
        </is>
      </c>
      <c r="BK104" s="25">
        <f>IF(BJ104="NO",5,0)</f>
        <v/>
      </c>
      <c r="BL104" s="25" t="inlineStr">
        <is>
          <t>Less than 1.5</t>
        </is>
      </c>
      <c r="BM104" s="25">
        <f>IF(BL104="Above 2",0,IF(BL104="Between 1.5 to 2",5,IF(BL104="Less than 1.5",10,0)))</f>
        <v/>
      </c>
      <c r="BN104" s="25" t="inlineStr">
        <is>
          <t>Negative</t>
        </is>
      </c>
      <c r="BO104" s="25">
        <f>IF(BN104="Above 70%",10,IF(BN104="Between 50% to 70%",5,IF(BN104="Less than 50%",0,IF(BN104="Negative",-10,IF(BN104="Less than 50% and Borrowings are increasing",-5,0)))))</f>
        <v/>
      </c>
      <c r="BP104" s="25" t="inlineStr">
        <is>
          <t>Less than 0.7</t>
        </is>
      </c>
      <c r="BQ104" s="25">
        <f>IF(BP104="More than 1.2",-10,IF(BP104="Between 0.7 to 1.2",0,IF(BP104="Less than 0.7",10,0)))</f>
        <v/>
      </c>
      <c r="BR104" s="25" t="inlineStr">
        <is>
          <t>No</t>
        </is>
      </c>
      <c r="BS104" s="25">
        <f>IF(BR104="Yes",-10,0)</f>
        <v/>
      </c>
      <c r="BT104" s="25" t="inlineStr">
        <is>
          <t>Less than 15%</t>
        </is>
      </c>
      <c r="BU104" s="25">
        <f>IF(BT104="More than 15%",-10,IF(BT104="Less than 15%",10,0))</f>
        <v/>
      </c>
      <c r="BV104" s="25" t="inlineStr">
        <is>
          <t>No</t>
        </is>
      </c>
      <c r="BW104" s="25">
        <f>IF(BV104="Yes, more than 10%",-10,IF(BV104="No",10,0))</f>
        <v/>
      </c>
    </row>
    <row r="105">
      <c r="A105" s="25">
        <f>IF(B105=0,"",RANK(B105,$B$2:$B$292,0))</f>
        <v/>
      </c>
      <c r="B105" s="26">
        <f>SUM(Q105,S105,U105,W105,Y105,AA105,AC105,AE105,AG105,AI105,AK105,AM105,AO105,AQ105,AS105,AU105,AW105,AY105,BA105,BC105,BE105,BG105,BI105,BK105,BM105,BO105,BQ105,BS105,BU105,BW105)</f>
        <v/>
      </c>
      <c r="C105" s="25" t="inlineStr">
        <is>
          <t>MTARTECH</t>
        </is>
      </c>
      <c r="D105" s="25" t="inlineStr">
        <is>
          <t>MTAR Technologies Ltd</t>
        </is>
      </c>
      <c r="E105" s="25" t="inlineStr">
        <is>
          <t>aerospace &amp; defence</t>
        </is>
      </c>
      <c r="F105" s="25" t="inlineStr">
        <is>
          <t>engineering</t>
        </is>
      </c>
      <c r="G105" s="25" t="inlineStr">
        <is>
          <t>largecap</t>
        </is>
      </c>
      <c r="H105" s="26" t="n">
        <v>21745.49</v>
      </c>
      <c r="I105" s="26" t="n">
        <v>7216</v>
      </c>
      <c r="J105" s="26" t="n">
        <v>2.07</v>
      </c>
      <c r="K105" s="26" t="n">
        <v>1975339</v>
      </c>
      <c r="L105" s="26" t="n">
        <v>76.7</v>
      </c>
      <c r="M105" s="26" t="n">
        <v>64.09999999999999</v>
      </c>
      <c r="N105" s="26" t="n">
        <v>5930.46</v>
      </c>
      <c r="O105" s="25" t="inlineStr">
        <is>
          <t>Earnings / Momentum Support</t>
        </is>
      </c>
      <c r="P105" s="25" t="inlineStr">
        <is>
          <t>Growing Industry</t>
        </is>
      </c>
      <c r="Q105" s="25">
        <f>IF(P105="Growing Industry",10,IF(P105="Cyclical in an Upturn",5,0))</f>
        <v/>
      </c>
      <c r="R105" s="25" t="inlineStr">
        <is>
          <t>Too Many Players with High ROCE</t>
        </is>
      </c>
      <c r="S105" s="25">
        <f>IF(R105="Monopoly",10,IF(R105="Oligopoly",5,IF(R105="Duopoly that cooperate",10,IF(R105="Duopoly that compete",5,IF(R105="Too many players with High ROCE",5,0)))))</f>
        <v/>
      </c>
      <c r="T105" s="25" t="inlineStr">
        <is>
          <t>No</t>
        </is>
      </c>
      <c r="U105" s="25">
        <f>IF(T105="No",5,0)</f>
        <v/>
      </c>
      <c r="V105" s="25" t="inlineStr">
        <is>
          <t>Tailwind</t>
        </is>
      </c>
      <c r="W105" s="25">
        <f>IF(V105="Tailwind",10,0)</f>
        <v/>
      </c>
      <c r="X105" s="25" t="inlineStr">
        <is>
          <t>Structural (10 Years Consistency)</t>
        </is>
      </c>
      <c r="Y105" s="25">
        <f>IF(X105="Structural (10 Years Consistency)",10,IF(X105="Shallow Cyclical (2 to 3 years growth)",5,0))</f>
        <v/>
      </c>
      <c r="Z105" s="25" t="inlineStr">
        <is>
          <t>No</t>
        </is>
      </c>
      <c r="AA105" s="25">
        <f>IF(Z105="Yes due to Product Mix change or Operating Leverage",10,IF(Z105="Yes, these are peak margins",-5,IF(Z105="No",5,0)))</f>
        <v/>
      </c>
      <c r="AB105" s="25" t="inlineStr">
        <is>
          <t>Stable</t>
        </is>
      </c>
      <c r="AC105" s="25">
        <f>IF(AB105="Stable",10,0)</f>
        <v/>
      </c>
      <c r="AD105" s="25" t="inlineStr">
        <is>
          <t>Yes</t>
        </is>
      </c>
      <c r="AE105" s="25">
        <f>IF(AD105="Yes",10,0)</f>
        <v/>
      </c>
      <c r="AF105" s="25" t="inlineStr">
        <is>
          <t>B2B</t>
        </is>
      </c>
      <c r="AG105" s="25">
        <f>IF(AF105="B2C",10,IF(AF105="B2B",5,0))</f>
        <v/>
      </c>
      <c r="AH105" s="25" t="inlineStr">
        <is>
          <t>No</t>
        </is>
      </c>
      <c r="AI105" s="25">
        <f>IF(AH105="Yes",10,0)</f>
        <v/>
      </c>
      <c r="AJ105" s="25" t="inlineStr">
        <is>
          <t>Higher One Time, Lower Annuity</t>
        </is>
      </c>
      <c r="AK105" s="25">
        <f>IF(AJ105="Fully Annuity",10,IF(AJ105="Higher Annuity, Lower One Time",5,IF(AJ105="Higher One Time, Lower Annuity",3,0)))</f>
        <v/>
      </c>
      <c r="AL105" s="25" t="inlineStr">
        <is>
          <t>Good</t>
        </is>
      </c>
      <c r="AM105" s="25">
        <f>IF(AL105="Good",10,0)</f>
        <v/>
      </c>
      <c r="AN105" s="25" t="inlineStr">
        <is>
          <t>Yes for more than 2 years</t>
        </is>
      </c>
      <c r="AO105" s="25">
        <f>IF(AN105="Yes for more than 2 years",10,IF(AN105="Yes only for next 1 to 2 years",5,0))</f>
        <v/>
      </c>
      <c r="AP105" s="25" t="inlineStr">
        <is>
          <t>Above 40</t>
        </is>
      </c>
      <c r="AQ105" s="25">
        <f>IF(AP105="Above 40",20,IF(AP105="20 to 40",10,IF(AP105="0 to 20",-5,0)))</f>
        <v/>
      </c>
      <c r="AR105" s="25" t="inlineStr">
        <is>
          <t>Above 75</t>
        </is>
      </c>
      <c r="AS105" s="25">
        <f>IF(AR105="Between 50 to 75",10,IF(AR105="Above 75",0,0))</f>
        <v/>
      </c>
      <c r="AT105" s="25" t="inlineStr">
        <is>
          <t>Stage 2</t>
        </is>
      </c>
      <c r="AU105" s="25">
        <f>IF(AT105="Stage 2",20,IF(AT105="Stage 1",0,IF(AT105="Stage 3",5,IF(AT105="Stage 4",-5,0))))</f>
        <v/>
      </c>
      <c r="AV105" s="25" t="inlineStr">
        <is>
          <t>Positive Trend</t>
        </is>
      </c>
      <c r="AW105" s="25">
        <f>IF(AV105="Positive Trend",20,IF(AV105="Negative Trend",-10,0))</f>
        <v/>
      </c>
      <c r="AX105" s="25" t="inlineStr">
        <is>
          <t>Uptrend</t>
        </is>
      </c>
      <c r="AY105" s="25">
        <f>IF(AX105="Uptrend",10,IF(AX105="Sideways",5,0))</f>
        <v/>
      </c>
      <c r="AZ105" s="25" t="inlineStr">
        <is>
          <t>Uptrend</t>
        </is>
      </c>
      <c r="BA105" s="25">
        <f>IF(AZ105="Uptrend",10,IF(AZ105="Sideways",5,0))</f>
        <v/>
      </c>
      <c r="BB105" s="25" t="inlineStr">
        <is>
          <t>Close to 52 week high or retracement</t>
        </is>
      </c>
      <c r="BC105" s="25">
        <f>IF(BB105="Overhead supply in last 2 years in last 2 years",-5,IF(BB105="Close to 52 week high or retracement",5,IF(BB105="Blue sky scenario",10,IF(BB105="Long term Downtrend",-10,0))))</f>
        <v/>
      </c>
      <c r="BD105" s="25" t="inlineStr">
        <is>
          <t>Yes</t>
        </is>
      </c>
      <c r="BE105" s="25">
        <f>IF(BD105="Yes",10,0)</f>
        <v/>
      </c>
      <c r="BF105" s="25" t="inlineStr">
        <is>
          <t>More than 20%</t>
        </is>
      </c>
      <c r="BG105" s="25">
        <f>IF(BF105="More than 20%",10,IF(BF105="Between 12 to 20%",5,IF(BF105="Less than 12%",0,0)))</f>
        <v/>
      </c>
      <c r="BH105" s="25" t="inlineStr">
        <is>
          <t>No</t>
        </is>
      </c>
      <c r="BI105" s="25">
        <f>IF(BH105="No",10,0)</f>
        <v/>
      </c>
      <c r="BJ105" s="25" t="inlineStr">
        <is>
          <t>Yes</t>
        </is>
      </c>
      <c r="BK105" s="25">
        <f>IF(BJ105="NO",5,0)</f>
        <v/>
      </c>
      <c r="BL105" s="25" t="inlineStr">
        <is>
          <t>Less than 1.5</t>
        </is>
      </c>
      <c r="BM105" s="25">
        <f>IF(BL105="Above 2",0,IF(BL105="Between 1.5 to 2",5,IF(BL105="Less than 1.5",10,0)))</f>
        <v/>
      </c>
      <c r="BN105" s="25" t="inlineStr">
        <is>
          <t>Above 70%</t>
        </is>
      </c>
      <c r="BO105" s="25">
        <f>IF(BN105="Above 70%",10,IF(BN105="Between 50% to 70%",5,IF(BN105="Less than 50%",0,IF(BN105="Negative",-10,IF(BN105="Less than 50% and Borrowings are increasing",-5,0)))))</f>
        <v/>
      </c>
      <c r="BP105" s="25" t="inlineStr">
        <is>
          <t>Less than 0.7</t>
        </is>
      </c>
      <c r="BQ105" s="25">
        <f>IF(BP105="More than 1.2",-10,IF(BP105="Between 0.7 to 1.2",0,IF(BP105="Less than 0.7",10,0)))</f>
        <v/>
      </c>
      <c r="BR105" s="25" t="inlineStr">
        <is>
          <t>No</t>
        </is>
      </c>
      <c r="BS105" s="25">
        <f>IF(BR105="Yes",-10,0)</f>
        <v/>
      </c>
      <c r="BT105" s="25" t="inlineStr">
        <is>
          <t>Less than 15%</t>
        </is>
      </c>
      <c r="BU105" s="25">
        <f>IF(BT105="More than 15%",-10,IF(BT105="Less than 15%",10,0))</f>
        <v/>
      </c>
      <c r="BV105" s="25" t="inlineStr">
        <is>
          <t>No</t>
        </is>
      </c>
      <c r="BW105" s="25">
        <f>IF(BV105="Yes, more than 10%",-10,IF(BV105="No",10,0))</f>
        <v/>
      </c>
    </row>
    <row r="106">
      <c r="A106" s="25">
        <f>IF(B106=0,"",RANK(B106,$B$2:$B$292,0))</f>
        <v/>
      </c>
      <c r="B106" s="26">
        <f>SUM(Q106,S106,U106,W106,Y106,AA106,AC106,AE106,AG106,AI106,AK106,AM106,AO106,AQ106,AS106,AU106,AW106,AY106,BA106,BC106,BE106,BG106,BI106,BK106,BM106,BO106,BQ106,BS106,BU106,BW106)</f>
        <v/>
      </c>
      <c r="C106" s="25" t="inlineStr">
        <is>
          <t>SONACOMS</t>
        </is>
      </c>
      <c r="D106" s="25" t="inlineStr">
        <is>
          <t>Sona BLW Precision Forgings Ltd</t>
        </is>
      </c>
      <c r="E106" s="25" t="inlineStr">
        <is>
          <t>auto</t>
        </is>
      </c>
      <c r="F106" s="25" t="inlineStr">
        <is>
          <t>auto ancillaries</t>
        </is>
      </c>
      <c r="G106" s="25" t="inlineStr">
        <is>
          <t>largecap</t>
        </is>
      </c>
      <c r="H106" s="26" t="n">
        <v>37323.25</v>
      </c>
      <c r="I106" s="26" t="n">
        <v>611.35</v>
      </c>
      <c r="J106" s="26" t="n">
        <v>1.86</v>
      </c>
      <c r="K106" s="26" t="n">
        <v>1611420</v>
      </c>
      <c r="L106" s="26" t="n">
        <v>64.47</v>
      </c>
      <c r="M106" s="26" t="n">
        <v>23.21</v>
      </c>
      <c r="N106" s="26" t="n">
        <v>497.27</v>
      </c>
      <c r="O106" s="25" t="inlineStr">
        <is>
          <t>Near 52W High Breakout</t>
        </is>
      </c>
      <c r="P106" s="25" t="inlineStr">
        <is>
          <t>Growing Industry</t>
        </is>
      </c>
      <c r="Q106" s="25">
        <f>IF(P106="Growing Industry",10,IF(P106="Cyclical in an Upturn",5,0))</f>
        <v/>
      </c>
      <c r="R106" s="25" t="inlineStr">
        <is>
          <t>Too Many Players with High ROCE</t>
        </is>
      </c>
      <c r="S106" s="25">
        <f>IF(R106="Monopoly",10,IF(R106="Oligopoly",5,IF(R106="Duopoly that cooperate",10,IF(R106="Duopoly that compete",5,IF(R106="Too many players with High ROCE",5,0)))))</f>
        <v/>
      </c>
      <c r="T106" s="25" t="inlineStr">
        <is>
          <t>No</t>
        </is>
      </c>
      <c r="U106" s="25">
        <f>IF(T106="No",5,0)</f>
        <v/>
      </c>
      <c r="V106" s="25" t="inlineStr">
        <is>
          <t>Tailwind</t>
        </is>
      </c>
      <c r="W106" s="25">
        <f>IF(V106="Tailwind",10,0)</f>
        <v/>
      </c>
      <c r="X106" s="25" t="inlineStr">
        <is>
          <t>Structural (10 Years Consistency)</t>
        </is>
      </c>
      <c r="Y106" s="25">
        <f>IF(X106="Structural (10 Years Consistency)",10,IF(X106="Shallow Cyclical (2 to 3 years growth)",5,0))</f>
        <v/>
      </c>
      <c r="Z106" s="25" t="inlineStr">
        <is>
          <t>No</t>
        </is>
      </c>
      <c r="AA106" s="25">
        <f>IF(Z106="Yes due to Product Mix change or Operating Leverage",10,IF(Z106="Yes, these are peak margins",-5,IF(Z106="No",5,0)))</f>
        <v/>
      </c>
      <c r="AB106" s="25" t="inlineStr">
        <is>
          <t>Stable</t>
        </is>
      </c>
      <c r="AC106" s="25">
        <f>IF(AB106="Stable",10,0)</f>
        <v/>
      </c>
      <c r="AD106" s="25" t="inlineStr">
        <is>
          <t>Yes</t>
        </is>
      </c>
      <c r="AE106" s="25">
        <f>IF(AD106="Yes",10,0)</f>
        <v/>
      </c>
      <c r="AF106" s="25" t="inlineStr">
        <is>
          <t>B2B</t>
        </is>
      </c>
      <c r="AG106" s="25">
        <f>IF(AF106="B2C",10,IF(AF106="B2B",5,0))</f>
        <v/>
      </c>
      <c r="AH106" s="25" t="inlineStr">
        <is>
          <t>Yes</t>
        </is>
      </c>
      <c r="AI106" s="25">
        <f>IF(AH106="Yes",10,0)</f>
        <v/>
      </c>
      <c r="AJ106" s="25" t="inlineStr">
        <is>
          <t>Higher One Time, Lower Annuity</t>
        </is>
      </c>
      <c r="AK106" s="25">
        <f>IF(AJ106="Fully Annuity",10,IF(AJ106="Higher Annuity, Lower One Time",5,IF(AJ106="Higher One Time, Lower Annuity",3,0)))</f>
        <v/>
      </c>
      <c r="AL106" s="25" t="inlineStr">
        <is>
          <t>Good</t>
        </is>
      </c>
      <c r="AM106" s="25">
        <f>IF(AL106="Good",10,0)</f>
        <v/>
      </c>
      <c r="AN106" s="25" t="inlineStr">
        <is>
          <t>Yes for more than 2 years</t>
        </is>
      </c>
      <c r="AO106" s="25">
        <f>IF(AN106="Yes for more than 2 years",10,IF(AN106="Yes only for next 1 to 2 years",5,0))</f>
        <v/>
      </c>
      <c r="AP106" s="25" t="inlineStr">
        <is>
          <t>20 to 40</t>
        </is>
      </c>
      <c r="AQ106" s="25">
        <f>IF(AP106="Above 40",20,IF(AP106="20 to 40",10,IF(AP106="0 to 20",-5,0)))</f>
        <v/>
      </c>
      <c r="AR106" s="25" t="inlineStr">
        <is>
          <t>Between 50 to 75</t>
        </is>
      </c>
      <c r="AS106" s="25">
        <f>IF(AR106="Between 50 to 75",10,IF(AR106="Above 75",0,0))</f>
        <v/>
      </c>
      <c r="AT106" s="25" t="inlineStr">
        <is>
          <t>Stage 2</t>
        </is>
      </c>
      <c r="AU106" s="25">
        <f>IF(AT106="Stage 2",20,IF(AT106="Stage 1",0,IF(AT106="Stage 3",5,IF(AT106="Stage 4",-5,0))))</f>
        <v/>
      </c>
      <c r="AV106" s="25" t="inlineStr">
        <is>
          <t>Positive Trend</t>
        </is>
      </c>
      <c r="AW106" s="25">
        <f>IF(AV106="Positive Trend",20,IF(AV106="Negative Trend",-10,0))</f>
        <v/>
      </c>
      <c r="AX106" s="25" t="inlineStr">
        <is>
          <t>Uptrend</t>
        </is>
      </c>
      <c r="AY106" s="25">
        <f>IF(AX106="Uptrend",10,IF(AX106="Sideways",5,0))</f>
        <v/>
      </c>
      <c r="AZ106" s="25" t="inlineStr">
        <is>
          <t>Uptrend</t>
        </is>
      </c>
      <c r="BA106" s="25">
        <f>IF(AZ106="Uptrend",10,IF(AZ106="Sideways",5,0))</f>
        <v/>
      </c>
      <c r="BB106" s="25" t="inlineStr">
        <is>
          <t>Close to 52 week high or retracement</t>
        </is>
      </c>
      <c r="BC106" s="25">
        <f>IF(BB106="Overhead supply in last 2 years in last 2 years",-5,IF(BB106="Close to 52 week high or retracement",5,IF(BB106="Blue sky scenario",10,IF(BB106="Long term Downtrend",-10,0))))</f>
        <v/>
      </c>
      <c r="BD106" s="25" t="inlineStr">
        <is>
          <t>Yes</t>
        </is>
      </c>
      <c r="BE106" s="25">
        <f>IF(BD106="Yes",10,0)</f>
        <v/>
      </c>
      <c r="BF106" s="25" t="inlineStr">
        <is>
          <t>Between 12 to 20%</t>
        </is>
      </c>
      <c r="BG106" s="25">
        <f>IF(BF106="More than 20%",10,IF(BF106="Between 12 to 20%",5,IF(BF106="Less than 12%",0,0)))</f>
        <v/>
      </c>
      <c r="BH106" s="25" t="inlineStr">
        <is>
          <t>No</t>
        </is>
      </c>
      <c r="BI106" s="25">
        <f>IF(BH106="No",10,0)</f>
        <v/>
      </c>
      <c r="BJ106" s="25" t="inlineStr">
        <is>
          <t>Yes</t>
        </is>
      </c>
      <c r="BK106" s="25">
        <f>IF(BJ106="NO",5,0)</f>
        <v/>
      </c>
      <c r="BL106" s="25" t="inlineStr">
        <is>
          <t>Less than 1.5</t>
        </is>
      </c>
      <c r="BM106" s="25">
        <f>IF(BL106="Above 2",0,IF(BL106="Between 1.5 to 2",5,IF(BL106="Less than 1.5",10,0)))</f>
        <v/>
      </c>
      <c r="BN106" s="25" t="inlineStr">
        <is>
          <t>Between 50% to 70%</t>
        </is>
      </c>
      <c r="BO106" s="25">
        <f>IF(BN106="Above 70%",10,IF(BN106="Between 50% to 70%",5,IF(BN106="Less than 50%",0,IF(BN106="Negative",-10,IF(BN106="Less than 50% and Borrowings are increasing",-5,0)))))</f>
        <v/>
      </c>
      <c r="BP106" s="25" t="inlineStr">
        <is>
          <t>Less than 0.7</t>
        </is>
      </c>
      <c r="BQ106" s="25">
        <f>IF(BP106="More than 1.2",-10,IF(BP106="Between 0.7 to 1.2",0,IF(BP106="Less than 0.7",10,0)))</f>
        <v/>
      </c>
      <c r="BR106" s="25" t="inlineStr">
        <is>
          <t>No</t>
        </is>
      </c>
      <c r="BS106" s="25">
        <f>IF(BR106="Yes",-10,0)</f>
        <v/>
      </c>
      <c r="BT106" s="25" t="inlineStr">
        <is>
          <t>Less than 15%</t>
        </is>
      </c>
      <c r="BU106" s="25">
        <f>IF(BT106="More than 15%",-10,IF(BT106="Less than 15%",10,0))</f>
        <v/>
      </c>
      <c r="BV106" s="25" t="inlineStr">
        <is>
          <t>No</t>
        </is>
      </c>
      <c r="BW106" s="25">
        <f>IF(BV106="Yes, more than 10%",-10,IF(BV106="No",10,0))</f>
        <v/>
      </c>
    </row>
    <row r="107">
      <c r="A107" s="25">
        <f>IF(B107=0,"",RANK(B107,$B$2:$B$292,0))</f>
        <v/>
      </c>
      <c r="B107" s="26">
        <f>SUM(Q107,S107,U107,W107,Y107,AA107,AC107,AE107,AG107,AI107,AK107,AM107,AO107,AQ107,AS107,AU107,AW107,AY107,BA107,BC107,BE107,BG107,BI107,BK107,BM107,BO107,BQ107,BS107,BU107,BW107)</f>
        <v/>
      </c>
      <c r="C107" s="25" t="inlineStr">
        <is>
          <t>NAHARINDUS</t>
        </is>
      </c>
      <c r="D107" s="25" t="inlineStr">
        <is>
          <t>Nahar Industrial Enterprises Limited</t>
        </is>
      </c>
      <c r="E107" s="25" t="inlineStr">
        <is>
          <t>textiles</t>
        </is>
      </c>
      <c r="F107" s="25" t="inlineStr">
        <is>
          <t>textiles - cotton/blended</t>
        </is>
      </c>
      <c r="G107" s="25" t="inlineStr">
        <is>
          <t>smallcap</t>
        </is>
      </c>
      <c r="H107" s="26" t="n">
        <v>518.64</v>
      </c>
      <c r="I107" s="26" t="n">
        <v>122.21</v>
      </c>
      <c r="J107" s="26" t="n">
        <v>1.81</v>
      </c>
      <c r="K107" s="26" t="n">
        <v>39987</v>
      </c>
      <c r="L107" s="26" t="n">
        <v>62</v>
      </c>
      <c r="M107" s="26" t="n">
        <v>17.95</v>
      </c>
      <c r="N107" s="26" t="n">
        <v>92.7</v>
      </c>
      <c r="O107" s="25" t="inlineStr">
        <is>
          <t>Volume Spike / Accumulation</t>
        </is>
      </c>
      <c r="P107" s="25" t="inlineStr">
        <is>
          <t>Growing Industry</t>
        </is>
      </c>
      <c r="Q107" s="25">
        <f>IF(P107="Growing Industry",10,IF(P107="Cyclical in an Upturn",5,0))</f>
        <v/>
      </c>
      <c r="R107" s="25" t="inlineStr">
        <is>
          <t>Too Many Players with High ROCE</t>
        </is>
      </c>
      <c r="S107" s="25">
        <f>IF(R107="Monopoly",10,IF(R107="Oligopoly",5,IF(R107="Duopoly that cooperate",10,IF(R107="Duopoly that compete",5,IF(R107="Too many players with High ROCE",5,0)))))</f>
        <v/>
      </c>
      <c r="T107" s="25" t="inlineStr">
        <is>
          <t>No</t>
        </is>
      </c>
      <c r="U107" s="25">
        <f>IF(T107="No",5,0)</f>
        <v/>
      </c>
      <c r="V107" s="25" t="inlineStr">
        <is>
          <t>Tailwind</t>
        </is>
      </c>
      <c r="W107" s="25">
        <f>IF(V107="Tailwind",10,0)</f>
        <v/>
      </c>
      <c r="X107" s="25" t="inlineStr">
        <is>
          <t>Structural (10 Years Consistency)</t>
        </is>
      </c>
      <c r="Y107" s="25">
        <f>IF(X107="Structural (10 Years Consistency)",10,IF(X107="Shallow Cyclical (2 to 3 years growth)",5,0))</f>
        <v/>
      </c>
      <c r="Z107" s="25" t="inlineStr">
        <is>
          <t>No</t>
        </is>
      </c>
      <c r="AA107" s="25">
        <f>IF(Z107="Yes due to Product Mix change or Operating Leverage",10,IF(Z107="Yes, these are peak margins",-5,IF(Z107="No",5,0)))</f>
        <v/>
      </c>
      <c r="AB107" s="25" t="inlineStr">
        <is>
          <t>Stable</t>
        </is>
      </c>
      <c r="AC107" s="25">
        <f>IF(AB107="Stable",10,0)</f>
        <v/>
      </c>
      <c r="AD107" s="25" t="inlineStr">
        <is>
          <t>Yes</t>
        </is>
      </c>
      <c r="AE107" s="25">
        <f>IF(AD107="Yes",10,0)</f>
        <v/>
      </c>
      <c r="AF107" s="25" t="inlineStr">
        <is>
          <t>B2B</t>
        </is>
      </c>
      <c r="AG107" s="25">
        <f>IF(AF107="B2C",10,IF(AF107="B2B",5,0))</f>
        <v/>
      </c>
      <c r="AH107" s="25" t="inlineStr">
        <is>
          <t>Yes</t>
        </is>
      </c>
      <c r="AI107" s="25">
        <f>IF(AH107="Yes",10,0)</f>
        <v/>
      </c>
      <c r="AJ107" s="25" t="inlineStr">
        <is>
          <t>Higher One Time, Lower Annuity</t>
        </is>
      </c>
      <c r="AK107" s="25">
        <f>IF(AJ107="Fully Annuity",10,IF(AJ107="Higher Annuity, Lower One Time",5,IF(AJ107="Higher One Time, Lower Annuity",3,0)))</f>
        <v/>
      </c>
      <c r="AL107" s="25" t="inlineStr">
        <is>
          <t>Good</t>
        </is>
      </c>
      <c r="AM107" s="25">
        <f>IF(AL107="Good",10,0)</f>
        <v/>
      </c>
      <c r="AN107" s="25" t="inlineStr">
        <is>
          <t>Yes for more than 2 years</t>
        </is>
      </c>
      <c r="AO107" s="25">
        <f>IF(AN107="Yes for more than 2 years",10,IF(AN107="Yes only for next 1 to 2 years",5,0))</f>
        <v/>
      </c>
      <c r="AP107" s="25" t="inlineStr">
        <is>
          <t>0 to 20</t>
        </is>
      </c>
      <c r="AQ107" s="25">
        <f>IF(AP107="Above 40",20,IF(AP107="20 to 40",10,IF(AP107="0 to 20",-5,0)))</f>
        <v/>
      </c>
      <c r="AR107" s="25" t="inlineStr">
        <is>
          <t>Between 50 to 75</t>
        </is>
      </c>
      <c r="AS107" s="25">
        <f>IF(AR107="Between 50 to 75",10,IF(AR107="Above 75",0,0))</f>
        <v/>
      </c>
      <c r="AT107" s="25" t="inlineStr">
        <is>
          <t>Stage 2</t>
        </is>
      </c>
      <c r="AU107" s="25">
        <f>IF(AT107="Stage 2",20,IF(AT107="Stage 1",0,IF(AT107="Stage 3",5,IF(AT107="Stage 4",-5,0))))</f>
        <v/>
      </c>
      <c r="AV107" s="25" t="inlineStr">
        <is>
          <t>Positive Trend</t>
        </is>
      </c>
      <c r="AW107" s="25">
        <f>IF(AV107="Positive Trend",20,IF(AV107="Negative Trend",-10,0))</f>
        <v/>
      </c>
      <c r="AX107" s="25" t="inlineStr">
        <is>
          <t>Uptrend</t>
        </is>
      </c>
      <c r="AY107" s="25">
        <f>IF(AX107="Uptrend",10,IF(AX107="Sideways",5,0))</f>
        <v/>
      </c>
      <c r="AZ107" s="25" t="inlineStr">
        <is>
          <t>Uptrend</t>
        </is>
      </c>
      <c r="BA107" s="25">
        <f>IF(AZ107="Uptrend",10,IF(AZ107="Sideways",5,0))</f>
        <v/>
      </c>
      <c r="BB107" s="25" t="inlineStr">
        <is>
          <t>Close to 52 week high or retracement</t>
        </is>
      </c>
      <c r="BC107" s="25">
        <f>IF(BB107="Overhead supply in last 2 years in last 2 years",-5,IF(BB107="Close to 52 week high or retracement",5,IF(BB107="Blue sky scenario",10,IF(BB107="Long term Downtrend",-10,0))))</f>
        <v/>
      </c>
      <c r="BD107" s="25" t="inlineStr">
        <is>
          <t>Yes</t>
        </is>
      </c>
      <c r="BE107" s="25">
        <f>IF(BD107="Yes",10,0)</f>
        <v/>
      </c>
      <c r="BF107" s="25" t="inlineStr">
        <is>
          <t>More than 20%</t>
        </is>
      </c>
      <c r="BG107" s="25">
        <f>IF(BF107="More than 20%",10,IF(BF107="Between 12 to 20%",5,IF(BF107="Less than 12%",0,0)))</f>
        <v/>
      </c>
      <c r="BH107" s="25" t="inlineStr">
        <is>
          <t>No</t>
        </is>
      </c>
      <c r="BI107" s="25">
        <f>IF(BH107="No",10,0)</f>
        <v/>
      </c>
      <c r="BJ107" s="25" t="inlineStr">
        <is>
          <t>No</t>
        </is>
      </c>
      <c r="BK107" s="25">
        <f>IF(BJ107="NO",5,0)</f>
        <v/>
      </c>
      <c r="BL107" s="25" t="inlineStr">
        <is>
          <t>Less than 1.5</t>
        </is>
      </c>
      <c r="BM107" s="25">
        <f>IF(BL107="Above 2",0,IF(BL107="Between 1.5 to 2",5,IF(BL107="Less than 1.5",10,0)))</f>
        <v/>
      </c>
      <c r="BN107" s="25" t="inlineStr">
        <is>
          <t>Above 70%</t>
        </is>
      </c>
      <c r="BO107" s="25">
        <f>IF(BN107="Above 70%",10,IF(BN107="Between 50% to 70%",5,IF(BN107="Less than 50%",0,IF(BN107="Negative",-10,IF(BN107="Less than 50% and Borrowings are increasing",-5,0)))))</f>
        <v/>
      </c>
      <c r="BP107" s="25" t="inlineStr">
        <is>
          <t>Less than 0.7</t>
        </is>
      </c>
      <c r="BQ107" s="25">
        <f>IF(BP107="More than 1.2",-10,IF(BP107="Between 0.7 to 1.2",0,IF(BP107="Less than 0.7",10,0)))</f>
        <v/>
      </c>
      <c r="BR107" s="25" t="inlineStr">
        <is>
          <t>No</t>
        </is>
      </c>
      <c r="BS107" s="25">
        <f>IF(BR107="Yes",-10,0)</f>
        <v/>
      </c>
      <c r="BT107" s="25" t="inlineStr">
        <is>
          <t>Less than 15%</t>
        </is>
      </c>
      <c r="BU107" s="25">
        <f>IF(BT107="More than 15%",-10,IF(BT107="Less than 15%",10,0))</f>
        <v/>
      </c>
      <c r="BV107" s="25" t="inlineStr">
        <is>
          <t>No</t>
        </is>
      </c>
      <c r="BW107" s="25">
        <f>IF(BV107="Yes, more than 10%",-10,IF(BV107="No",10,0))</f>
        <v/>
      </c>
    </row>
    <row r="108">
      <c r="A108" s="25">
        <f>IF(B108=0,"",RANK(B108,$B$2:$B$292,0))</f>
        <v/>
      </c>
      <c r="B108" s="26">
        <f>SUM(Q108,S108,U108,W108,Y108,AA108,AC108,AE108,AG108,AI108,AK108,AM108,AO108,AQ108,AS108,AU108,AW108,AY108,BA108,BC108,BE108,BG108,BI108,BK108,BM108,BO108,BQ108,BS108,BU108,BW108)</f>
        <v/>
      </c>
      <c r="C108" s="25" t="inlineStr">
        <is>
          <t>MINDACORP</t>
        </is>
      </c>
      <c r="D108" s="25" t="inlineStr">
        <is>
          <t>Minda Corporation Limited</t>
        </is>
      </c>
      <c r="E108" s="25" t="inlineStr">
        <is>
          <t>auto</t>
        </is>
      </c>
      <c r="F108" s="25" t="inlineStr">
        <is>
          <t>auto ancillaries</t>
        </is>
      </c>
      <c r="G108" s="25" t="inlineStr">
        <is>
          <t>midcap</t>
        </is>
      </c>
      <c r="H108" s="26" t="n">
        <v>14794.24</v>
      </c>
      <c r="I108" s="26" t="n">
        <v>629.85</v>
      </c>
      <c r="J108" s="26" t="n">
        <v>1.79</v>
      </c>
      <c r="K108" s="26" t="n">
        <v>572134</v>
      </c>
      <c r="L108" s="26" t="n">
        <v>63.99</v>
      </c>
      <c r="M108" s="26" t="n">
        <v>19.13</v>
      </c>
      <c r="N108" s="26" t="n">
        <v>502.48</v>
      </c>
      <c r="O108" s="25" t="inlineStr">
        <is>
          <t>Near 52W High Breakout</t>
        </is>
      </c>
      <c r="P108" s="25" t="inlineStr">
        <is>
          <t>Growing Industry</t>
        </is>
      </c>
      <c r="Q108" s="25">
        <f>IF(P108="Growing Industry",10,IF(P108="Cyclical in an Upturn",5,0))</f>
        <v/>
      </c>
      <c r="R108" s="25" t="inlineStr">
        <is>
          <t>Too Many Players with High ROCE</t>
        </is>
      </c>
      <c r="S108" s="25">
        <f>IF(R108="Monopoly",10,IF(R108="Oligopoly",5,IF(R108="Duopoly that cooperate",10,IF(R108="Duopoly that compete",5,IF(R108="Too many players with High ROCE",5,0)))))</f>
        <v/>
      </c>
      <c r="T108" s="25" t="inlineStr">
        <is>
          <t>No</t>
        </is>
      </c>
      <c r="U108" s="25">
        <f>IF(T108="No",5,0)</f>
        <v/>
      </c>
      <c r="V108" s="25" t="inlineStr">
        <is>
          <t>Tailwind</t>
        </is>
      </c>
      <c r="W108" s="25">
        <f>IF(V108="Tailwind",10,0)</f>
        <v/>
      </c>
      <c r="X108" s="25" t="inlineStr">
        <is>
          <t>Structural (10 Years Consistency)</t>
        </is>
      </c>
      <c r="Y108" s="25">
        <f>IF(X108="Structural (10 Years Consistency)",10,IF(X108="Shallow Cyclical (2 to 3 years growth)",5,0))</f>
        <v/>
      </c>
      <c r="Z108" s="25" t="inlineStr">
        <is>
          <t>No</t>
        </is>
      </c>
      <c r="AA108" s="25">
        <f>IF(Z108="Yes due to Product Mix change or Operating Leverage",10,IF(Z108="Yes, these are peak margins",-5,IF(Z108="No",5,0)))</f>
        <v/>
      </c>
      <c r="AB108" s="25" t="inlineStr">
        <is>
          <t>Stable</t>
        </is>
      </c>
      <c r="AC108" s="25">
        <f>IF(AB108="Stable",10,0)</f>
        <v/>
      </c>
      <c r="AD108" s="25" t="inlineStr">
        <is>
          <t>Yes</t>
        </is>
      </c>
      <c r="AE108" s="25">
        <f>IF(AD108="Yes",10,0)</f>
        <v/>
      </c>
      <c r="AF108" s="25" t="inlineStr">
        <is>
          <t>B2B</t>
        </is>
      </c>
      <c r="AG108" s="25">
        <f>IF(AF108="B2C",10,IF(AF108="B2B",5,0))</f>
        <v/>
      </c>
      <c r="AH108" s="25" t="inlineStr">
        <is>
          <t>Yes</t>
        </is>
      </c>
      <c r="AI108" s="25">
        <f>IF(AH108="Yes",10,0)</f>
        <v/>
      </c>
      <c r="AJ108" s="25" t="inlineStr">
        <is>
          <t>Higher One Time, Lower Annuity</t>
        </is>
      </c>
      <c r="AK108" s="25">
        <f>IF(AJ108="Fully Annuity",10,IF(AJ108="Higher Annuity, Lower One Time",5,IF(AJ108="Higher One Time, Lower Annuity",3,0)))</f>
        <v/>
      </c>
      <c r="AL108" s="25" t="inlineStr">
        <is>
          <t>Good</t>
        </is>
      </c>
      <c r="AM108" s="25">
        <f>IF(AL108="Good",10,0)</f>
        <v/>
      </c>
      <c r="AN108" s="25" t="inlineStr">
        <is>
          <t>Yes for more than 2 years</t>
        </is>
      </c>
      <c r="AO108" s="25">
        <f>IF(AN108="Yes for more than 2 years",10,IF(AN108="Yes only for next 1 to 2 years",5,0))</f>
        <v/>
      </c>
      <c r="AP108" s="25" t="inlineStr">
        <is>
          <t>0 to 20</t>
        </is>
      </c>
      <c r="AQ108" s="25">
        <f>IF(AP108="Above 40",20,IF(AP108="20 to 40",10,IF(AP108="0 to 20",-5,0)))</f>
        <v/>
      </c>
      <c r="AR108" s="25" t="inlineStr">
        <is>
          <t>Between 50 to 75</t>
        </is>
      </c>
      <c r="AS108" s="25">
        <f>IF(AR108="Between 50 to 75",10,IF(AR108="Above 75",0,0))</f>
        <v/>
      </c>
      <c r="AT108" s="25" t="inlineStr">
        <is>
          <t>Stage 2</t>
        </is>
      </c>
      <c r="AU108" s="25">
        <f>IF(AT108="Stage 2",20,IF(AT108="Stage 1",0,IF(AT108="Stage 3",5,IF(AT108="Stage 4",-5,0))))</f>
        <v/>
      </c>
      <c r="AV108" s="25" t="inlineStr">
        <is>
          <t>Positive Trend</t>
        </is>
      </c>
      <c r="AW108" s="25">
        <f>IF(AV108="Positive Trend",20,IF(AV108="Negative Trend",-10,0))</f>
        <v/>
      </c>
      <c r="AX108" s="25" t="inlineStr">
        <is>
          <t>Uptrend</t>
        </is>
      </c>
      <c r="AY108" s="25">
        <f>IF(AX108="Uptrend",10,IF(AX108="Sideways",5,0))</f>
        <v/>
      </c>
      <c r="AZ108" s="25" t="inlineStr">
        <is>
          <t>Uptrend</t>
        </is>
      </c>
      <c r="BA108" s="25">
        <f>IF(AZ108="Uptrend",10,IF(AZ108="Sideways",5,0))</f>
        <v/>
      </c>
      <c r="BB108" s="25" t="inlineStr">
        <is>
          <t>Blue sky scenario</t>
        </is>
      </c>
      <c r="BC108" s="25">
        <f>IF(BB108="Overhead supply in last 2 years in last 2 years",-5,IF(BB108="Close to 52 week high or retracement",5,IF(BB108="Blue sky scenario",10,IF(BB108="Long term Downtrend",-10,0))))</f>
        <v/>
      </c>
      <c r="BD108" s="25" t="inlineStr">
        <is>
          <t>Yes</t>
        </is>
      </c>
      <c r="BE108" s="25">
        <f>IF(BD108="Yes",10,0)</f>
        <v/>
      </c>
      <c r="BF108" s="25" t="inlineStr">
        <is>
          <t>More than 20%</t>
        </is>
      </c>
      <c r="BG108" s="25">
        <f>IF(BF108="More than 20%",10,IF(BF108="Between 12 to 20%",5,IF(BF108="Less than 12%",0,0)))</f>
        <v/>
      </c>
      <c r="BH108" s="25" t="inlineStr">
        <is>
          <t>No</t>
        </is>
      </c>
      <c r="BI108" s="25">
        <f>IF(BH108="No",10,0)</f>
        <v/>
      </c>
      <c r="BJ108" s="25" t="inlineStr">
        <is>
          <t>Yes</t>
        </is>
      </c>
      <c r="BK108" s="25">
        <f>IF(BJ108="NO",5,0)</f>
        <v/>
      </c>
      <c r="BL108" s="25" t="inlineStr">
        <is>
          <t>Less than 1.5</t>
        </is>
      </c>
      <c r="BM108" s="25">
        <f>IF(BL108="Above 2",0,IF(BL108="Between 1.5 to 2",5,IF(BL108="Less than 1.5",10,0)))</f>
        <v/>
      </c>
      <c r="BN108" s="25" t="inlineStr">
        <is>
          <t>Above 70%</t>
        </is>
      </c>
      <c r="BO108" s="25">
        <f>IF(BN108="Above 70%",10,IF(BN108="Between 50% to 70%",5,IF(BN108="Less than 50%",0,IF(BN108="Negative",-10,IF(BN108="Less than 50% and Borrowings are increasing",-5,0)))))</f>
        <v/>
      </c>
      <c r="BP108" s="25" t="inlineStr">
        <is>
          <t>Less than 0.7</t>
        </is>
      </c>
      <c r="BQ108" s="25">
        <f>IF(BP108="More than 1.2",-10,IF(BP108="Between 0.7 to 1.2",0,IF(BP108="Less than 0.7",10,0)))</f>
        <v/>
      </c>
      <c r="BR108" s="25" t="inlineStr">
        <is>
          <t>No</t>
        </is>
      </c>
      <c r="BS108" s="25">
        <f>IF(BR108="Yes",-10,0)</f>
        <v/>
      </c>
      <c r="BT108" s="25" t="inlineStr">
        <is>
          <t>Less than 15%</t>
        </is>
      </c>
      <c r="BU108" s="25">
        <f>IF(BT108="More than 15%",-10,IF(BT108="Less than 15%",10,0))</f>
        <v/>
      </c>
      <c r="BV108" s="25" t="inlineStr">
        <is>
          <t>No</t>
        </is>
      </c>
      <c r="BW108" s="25">
        <f>IF(BV108="Yes, more than 10%",-10,IF(BV108="No",10,0))</f>
        <v/>
      </c>
    </row>
    <row r="109">
      <c r="A109" s="25">
        <f>IF(B109=0,"",RANK(B109,$B$2:$B$292,0))</f>
        <v/>
      </c>
      <c r="B109" s="26">
        <f>SUM(Q109,S109,U109,W109,Y109,AA109,AC109,AE109,AG109,AI109,AK109,AM109,AO109,AQ109,AS109,AU109,AW109,AY109,BA109,BC109,BE109,BG109,BI109,BK109,BM109,BO109,BQ109,BS109,BU109,BW109)</f>
        <v/>
      </c>
      <c r="C109" s="25" t="inlineStr">
        <is>
          <t>KIRLPNU</t>
        </is>
      </c>
      <c r="D109" s="25" t="inlineStr">
        <is>
          <t>Kirloskar Pneumatic Company Ltd</t>
        </is>
      </c>
      <c r="E109" s="25" t="inlineStr">
        <is>
          <t>industrials</t>
        </is>
      </c>
      <c r="F109" s="25" t="inlineStr">
        <is>
          <t>compressors / drilling equipment</t>
        </is>
      </c>
      <c r="G109" s="25" t="inlineStr">
        <is>
          <t>midcap</t>
        </is>
      </c>
      <c r="H109" s="26" t="n">
        <v>10089.96</v>
      </c>
      <c r="I109" s="26" t="n">
        <v>1578.5</v>
      </c>
      <c r="J109" s="26" t="n">
        <v>1.62</v>
      </c>
      <c r="K109" s="26" t="n">
        <v>91216</v>
      </c>
      <c r="L109" s="26" t="n">
        <v>74.17</v>
      </c>
      <c r="M109" s="26" t="n">
        <v>31.96</v>
      </c>
      <c r="N109" s="26" t="n">
        <v>1281.06</v>
      </c>
      <c r="O109" s="25" t="inlineStr">
        <is>
          <t>Near 52W High Breakout</t>
        </is>
      </c>
      <c r="P109" s="25" t="inlineStr">
        <is>
          <t>Cyclical in an Upturn</t>
        </is>
      </c>
      <c r="Q109" s="25">
        <f>IF(P109="Growing Industry",10,IF(P109="Cyclical in an Upturn",5,0))</f>
        <v/>
      </c>
      <c r="R109" s="25" t="inlineStr">
        <is>
          <t>Too Many Players with High ROCE</t>
        </is>
      </c>
      <c r="S109" s="25">
        <f>IF(R109="Monopoly",10,IF(R109="Oligopoly",5,IF(R109="Duopoly that cooperate",10,IF(R109="Duopoly that compete",5,IF(R109="Too many players with High ROCE",5,0)))))</f>
        <v/>
      </c>
      <c r="T109" s="25" t="inlineStr">
        <is>
          <t>No</t>
        </is>
      </c>
      <c r="U109" s="25">
        <f>IF(T109="No",5,0)</f>
        <v/>
      </c>
      <c r="V109" s="25" t="inlineStr">
        <is>
          <t>Tailwind</t>
        </is>
      </c>
      <c r="W109" s="25">
        <f>IF(V109="Tailwind",10,0)</f>
        <v/>
      </c>
      <c r="X109" s="25" t="inlineStr">
        <is>
          <t>Structural (10 Years Consistency)</t>
        </is>
      </c>
      <c r="Y109" s="25">
        <f>IF(X109="Structural (10 Years Consistency)",10,IF(X109="Shallow Cyclical (2 to 3 years growth)",5,0))</f>
        <v/>
      </c>
      <c r="Z109" s="25" t="inlineStr">
        <is>
          <t>No</t>
        </is>
      </c>
      <c r="AA109" s="25">
        <f>IF(Z109="Yes due to Product Mix change or Operating Leverage",10,IF(Z109="Yes, these are peak margins",-5,IF(Z109="No",5,0)))</f>
        <v/>
      </c>
      <c r="AB109" s="25" t="inlineStr">
        <is>
          <t>Stable</t>
        </is>
      </c>
      <c r="AC109" s="25">
        <f>IF(AB109="Stable",10,0)</f>
        <v/>
      </c>
      <c r="AD109" s="25" t="inlineStr">
        <is>
          <t>Yes</t>
        </is>
      </c>
      <c r="AE109" s="25">
        <f>IF(AD109="Yes",10,0)</f>
        <v/>
      </c>
      <c r="AF109" s="25" t="inlineStr">
        <is>
          <t>B2B</t>
        </is>
      </c>
      <c r="AG109" s="25">
        <f>IF(AF109="B2C",10,IF(AF109="B2B",5,0))</f>
        <v/>
      </c>
      <c r="AH109" s="25" t="inlineStr">
        <is>
          <t>Yes</t>
        </is>
      </c>
      <c r="AI109" s="25">
        <f>IF(AH109="Yes",10,0)</f>
        <v/>
      </c>
      <c r="AJ109" s="25" t="inlineStr">
        <is>
          <t>Higher One Time, Lower Annuity</t>
        </is>
      </c>
      <c r="AK109" s="25">
        <f>IF(AJ109="Fully Annuity",10,IF(AJ109="Higher Annuity, Lower One Time",5,IF(AJ109="Higher One Time, Lower Annuity",3,0)))</f>
        <v/>
      </c>
      <c r="AL109" s="25" t="inlineStr">
        <is>
          <t>Good</t>
        </is>
      </c>
      <c r="AM109" s="25">
        <f>IF(AL109="Good",10,0)</f>
        <v/>
      </c>
      <c r="AN109" s="25" t="inlineStr">
        <is>
          <t>Yes for more than 2 years</t>
        </is>
      </c>
      <c r="AO109" s="25">
        <f>IF(AN109="Yes for more than 2 years",10,IF(AN109="Yes only for next 1 to 2 years",5,0))</f>
        <v/>
      </c>
      <c r="AP109" s="25" t="inlineStr">
        <is>
          <t>20 to 40</t>
        </is>
      </c>
      <c r="AQ109" s="25">
        <f>IF(AP109="Above 40",20,IF(AP109="20 to 40",10,IF(AP109="0 to 20",-5,0)))</f>
        <v/>
      </c>
      <c r="AR109" s="25" t="inlineStr">
        <is>
          <t>Between 50 to 75</t>
        </is>
      </c>
      <c r="AS109" s="25">
        <f>IF(AR109="Between 50 to 75",10,IF(AR109="Above 75",0,0))</f>
        <v/>
      </c>
      <c r="AT109" s="25" t="inlineStr">
        <is>
          <t>Stage 2</t>
        </is>
      </c>
      <c r="AU109" s="25">
        <f>IF(AT109="Stage 2",20,IF(AT109="Stage 1",0,IF(AT109="Stage 3",5,IF(AT109="Stage 4",-5,0))))</f>
        <v/>
      </c>
      <c r="AV109" s="25" t="inlineStr">
        <is>
          <t>Positive Trend</t>
        </is>
      </c>
      <c r="AW109" s="25">
        <f>IF(AV109="Positive Trend",20,IF(AV109="Negative Trend",-10,0))</f>
        <v/>
      </c>
      <c r="AX109" s="25" t="inlineStr">
        <is>
          <t>Uptrend</t>
        </is>
      </c>
      <c r="AY109" s="25">
        <f>IF(AX109="Uptrend",10,IF(AX109="Sideways",5,0))</f>
        <v/>
      </c>
      <c r="AZ109" s="25" t="inlineStr">
        <is>
          <t>Uptrend</t>
        </is>
      </c>
      <c r="BA109" s="25">
        <f>IF(AZ109="Uptrend",10,IF(AZ109="Sideways",5,0))</f>
        <v/>
      </c>
      <c r="BB109" s="25" t="inlineStr">
        <is>
          <t>Close to 52 week high or retracement</t>
        </is>
      </c>
      <c r="BC109" s="25">
        <f>IF(BB109="Overhead supply in last 2 years in last 2 years",-5,IF(BB109="Close to 52 week high or retracement",5,IF(BB109="Blue sky scenario",10,IF(BB109="Long term Downtrend",-10,0))))</f>
        <v/>
      </c>
      <c r="BD109" s="25" t="inlineStr">
        <is>
          <t>Yes</t>
        </is>
      </c>
      <c r="BE109" s="25">
        <f>IF(BD109="Yes",10,0)</f>
        <v/>
      </c>
      <c r="BF109" s="25" t="inlineStr">
        <is>
          <t>More than 20%</t>
        </is>
      </c>
      <c r="BG109" s="25">
        <f>IF(BF109="More than 20%",10,IF(BF109="Between 12 to 20%",5,IF(BF109="Less than 12%",0,0)))</f>
        <v/>
      </c>
      <c r="BH109" s="25" t="inlineStr">
        <is>
          <t>No</t>
        </is>
      </c>
      <c r="BI109" s="25">
        <f>IF(BH109="No",10,0)</f>
        <v/>
      </c>
      <c r="BJ109" s="25" t="inlineStr">
        <is>
          <t>Yes</t>
        </is>
      </c>
      <c r="BK109" s="25">
        <f>IF(BJ109="NO",5,0)</f>
        <v/>
      </c>
      <c r="BL109" s="25" t="inlineStr">
        <is>
          <t>Less than 1.5</t>
        </is>
      </c>
      <c r="BM109" s="25">
        <f>IF(BL109="Above 2",0,IF(BL109="Between 1.5 to 2",5,IF(BL109="Less than 1.5",10,0)))</f>
        <v/>
      </c>
      <c r="BN109" s="25" t="inlineStr">
        <is>
          <t>Between 50% to 70%</t>
        </is>
      </c>
      <c r="BO109" s="25">
        <f>IF(BN109="Above 70%",10,IF(BN109="Between 50% to 70%",5,IF(BN109="Less than 50%",0,IF(BN109="Negative",-10,IF(BN109="Less than 50% and Borrowings are increasing",-5,0)))))</f>
        <v/>
      </c>
      <c r="BP109" s="25" t="inlineStr">
        <is>
          <t>Less than 0.7</t>
        </is>
      </c>
      <c r="BQ109" s="25">
        <f>IF(BP109="More than 1.2",-10,IF(BP109="Between 0.7 to 1.2",0,IF(BP109="Less than 0.7",10,0)))</f>
        <v/>
      </c>
      <c r="BR109" s="25" t="inlineStr">
        <is>
          <t>No</t>
        </is>
      </c>
      <c r="BS109" s="25">
        <f>IF(BR109="Yes",-10,0)</f>
        <v/>
      </c>
      <c r="BT109" s="25" t="inlineStr">
        <is>
          <t>Less than 15%</t>
        </is>
      </c>
      <c r="BU109" s="25">
        <f>IF(BT109="More than 15%",-10,IF(BT109="Less than 15%",10,0))</f>
        <v/>
      </c>
      <c r="BV109" s="25" t="inlineStr">
        <is>
          <t>No</t>
        </is>
      </c>
      <c r="BW109" s="25">
        <f>IF(BV109="Yes, more than 10%",-10,IF(BV109="No",10,0))</f>
        <v/>
      </c>
    </row>
    <row r="110">
      <c r="A110" s="25">
        <f>IF(B110=0,"",RANK(B110,$B$2:$B$292,0))</f>
        <v/>
      </c>
      <c r="B110" s="26">
        <f>SUM(Q110,S110,U110,W110,Y110,AA110,AC110,AE110,AG110,AI110,AK110,AM110,AO110,AQ110,AS110,AU110,AW110,AY110,BA110,BC110,BE110,BG110,BI110,BK110,BM110,BO110,BQ110,BS110,BU110,BW110)</f>
        <v/>
      </c>
      <c r="C110" s="25" t="inlineStr">
        <is>
          <t>HARDWYN</t>
        </is>
      </c>
      <c r="D110" s="25" t="inlineStr">
        <is>
          <t>Hardwyn India Ltd</t>
        </is>
      </c>
      <c r="E110" s="25" t="inlineStr">
        <is>
          <t>services</t>
        </is>
      </c>
      <c r="F110" s="25" t="inlineStr">
        <is>
          <t>trading</t>
        </is>
      </c>
      <c r="G110" s="25" t="inlineStr">
        <is>
          <t>smallcap</t>
        </is>
      </c>
      <c r="H110" s="26" t="n">
        <v>1223.53</v>
      </c>
      <c r="I110" s="26" t="n">
        <v>25.44</v>
      </c>
      <c r="J110" s="26" t="n">
        <v>1.56</v>
      </c>
      <c r="K110" s="26" t="n">
        <v>4751717</v>
      </c>
      <c r="L110" s="26" t="n">
        <v>68.14</v>
      </c>
      <c r="M110" s="26" t="n">
        <v>42.63</v>
      </c>
      <c r="N110" s="26" t="n">
        <v>20.71</v>
      </c>
      <c r="O110" s="25" t="inlineStr">
        <is>
          <t>Earnings / Momentum Support</t>
        </is>
      </c>
      <c r="P110" s="25" t="inlineStr">
        <is>
          <t>Growing Industry</t>
        </is>
      </c>
      <c r="Q110" s="25">
        <f>IF(P110="Growing Industry",10,IF(P110="Cyclical in an Upturn",5,0))</f>
        <v/>
      </c>
      <c r="R110" s="25" t="inlineStr">
        <is>
          <t>Too Many Players with High ROCE</t>
        </is>
      </c>
      <c r="S110" s="25">
        <f>IF(R110="Monopoly",10,IF(R110="Oligopoly",5,IF(R110="Duopoly that cooperate",10,IF(R110="Duopoly that compete",5,IF(R110="Too many players with High ROCE",5,0)))))</f>
        <v/>
      </c>
      <c r="T110" s="25" t="inlineStr">
        <is>
          <t>No</t>
        </is>
      </c>
      <c r="U110" s="25">
        <f>IF(T110="No",5,0)</f>
        <v/>
      </c>
      <c r="V110" s="25" t="inlineStr">
        <is>
          <t>Tailwind</t>
        </is>
      </c>
      <c r="W110" s="25">
        <f>IF(V110="Tailwind",10,0)</f>
        <v/>
      </c>
      <c r="X110" s="25" t="inlineStr">
        <is>
          <t>Structural (10 Years Consistency)</t>
        </is>
      </c>
      <c r="Y110" s="25">
        <f>IF(X110="Structural (10 Years Consistency)",10,IF(X110="Shallow Cyclical (2 to 3 years growth)",5,0))</f>
        <v/>
      </c>
      <c r="Z110" s="25" t="inlineStr">
        <is>
          <t>No</t>
        </is>
      </c>
      <c r="AA110" s="25">
        <f>IF(Z110="Yes due to Product Mix change or Operating Leverage",10,IF(Z110="Yes, these are peak margins",-5,IF(Z110="No",5,0)))</f>
        <v/>
      </c>
      <c r="AB110" s="25" t="inlineStr">
        <is>
          <t>Stable</t>
        </is>
      </c>
      <c r="AC110" s="25">
        <f>IF(AB110="Stable",10,0)</f>
        <v/>
      </c>
      <c r="AD110" s="25" t="inlineStr">
        <is>
          <t>Yes</t>
        </is>
      </c>
      <c r="AE110" s="25">
        <f>IF(AD110="Yes",10,0)</f>
        <v/>
      </c>
      <c r="AF110" s="25" t="inlineStr">
        <is>
          <t>B2B</t>
        </is>
      </c>
      <c r="AG110" s="25">
        <f>IF(AF110="B2C",10,IF(AF110="B2B",5,0))</f>
        <v/>
      </c>
      <c r="AH110" s="25" t="inlineStr">
        <is>
          <t>No</t>
        </is>
      </c>
      <c r="AI110" s="25">
        <f>IF(AH110="Yes",10,0)</f>
        <v/>
      </c>
      <c r="AJ110" s="25" t="inlineStr">
        <is>
          <t>Higher One Time, Lower Annuity</t>
        </is>
      </c>
      <c r="AK110" s="25">
        <f>IF(AJ110="Fully Annuity",10,IF(AJ110="Higher Annuity, Lower One Time",5,IF(AJ110="Higher One Time, Lower Annuity",3,0)))</f>
        <v/>
      </c>
      <c r="AL110" s="25" t="inlineStr">
        <is>
          <t>Good</t>
        </is>
      </c>
      <c r="AM110" s="25">
        <f>IF(AL110="Good",10,0)</f>
        <v/>
      </c>
      <c r="AN110" s="25" t="inlineStr">
        <is>
          <t>Yes for more than 2 years</t>
        </is>
      </c>
      <c r="AO110" s="25">
        <f>IF(AN110="Yes for more than 2 years",10,IF(AN110="Yes only for next 1 to 2 years",5,0))</f>
        <v/>
      </c>
      <c r="AP110" s="25" t="inlineStr">
        <is>
          <t>Above 40</t>
        </is>
      </c>
      <c r="AQ110" s="25">
        <f>IF(AP110="Above 40",20,IF(AP110="20 to 40",10,IF(AP110="0 to 20",-5,0)))</f>
        <v/>
      </c>
      <c r="AR110" s="25" t="inlineStr">
        <is>
          <t>Between 50 to 75</t>
        </is>
      </c>
      <c r="AS110" s="25">
        <f>IF(AR110="Between 50 to 75",10,IF(AR110="Above 75",0,0))</f>
        <v/>
      </c>
      <c r="AT110" s="25" t="inlineStr">
        <is>
          <t>Stage 2</t>
        </is>
      </c>
      <c r="AU110" s="25">
        <f>IF(AT110="Stage 2",20,IF(AT110="Stage 1",0,IF(AT110="Stage 3",5,IF(AT110="Stage 4",-5,0))))</f>
        <v/>
      </c>
      <c r="AV110" s="25" t="inlineStr">
        <is>
          <t>Positive Trend</t>
        </is>
      </c>
      <c r="AW110" s="25">
        <f>IF(AV110="Positive Trend",20,IF(AV110="Negative Trend",-10,0))</f>
        <v/>
      </c>
      <c r="AX110" s="25" t="inlineStr">
        <is>
          <t>Uptrend</t>
        </is>
      </c>
      <c r="AY110" s="25">
        <f>IF(AX110="Uptrend",10,IF(AX110="Sideways",5,0))</f>
        <v/>
      </c>
      <c r="AZ110" s="25" t="inlineStr">
        <is>
          <t>Uptrend</t>
        </is>
      </c>
      <c r="BA110" s="25">
        <f>IF(AZ110="Uptrend",10,IF(AZ110="Sideways",5,0))</f>
        <v/>
      </c>
      <c r="BB110" s="25" t="inlineStr">
        <is>
          <t>Close to 52 week high or retracement</t>
        </is>
      </c>
      <c r="BC110" s="25">
        <f>IF(BB110="Overhead supply in last 2 years in last 2 years",-5,IF(BB110="Close to 52 week high or retracement",5,IF(BB110="Blue sky scenario",10,IF(BB110="Long term Downtrend",-10,0))))</f>
        <v/>
      </c>
      <c r="BD110" s="25" t="inlineStr">
        <is>
          <t>Yes</t>
        </is>
      </c>
      <c r="BE110" s="25">
        <f>IF(BD110="Yes",10,0)</f>
        <v/>
      </c>
      <c r="BF110" s="25" t="inlineStr">
        <is>
          <t>Less than 12%</t>
        </is>
      </c>
      <c r="BG110" s="25">
        <f>IF(BF110="More than 20%",10,IF(BF110="Between 12 to 20%",5,IF(BF110="Less than 12%",0,0)))</f>
        <v/>
      </c>
      <c r="BH110" s="25" t="inlineStr">
        <is>
          <t>No</t>
        </is>
      </c>
      <c r="BI110" s="25">
        <f>IF(BH110="No",10,0)</f>
        <v/>
      </c>
      <c r="BJ110" s="25" t="inlineStr">
        <is>
          <t>Yes</t>
        </is>
      </c>
      <c r="BK110" s="25">
        <f>IF(BJ110="NO",5,0)</f>
        <v/>
      </c>
      <c r="BL110" s="25" t="inlineStr">
        <is>
          <t>Less than 1.5</t>
        </is>
      </c>
      <c r="BM110" s="25">
        <f>IF(BL110="Above 2",0,IF(BL110="Between 1.5 to 2",5,IF(BL110="Less than 1.5",10,0)))</f>
        <v/>
      </c>
      <c r="BN110" s="25" t="inlineStr">
        <is>
          <t>Above 70%</t>
        </is>
      </c>
      <c r="BO110" s="25">
        <f>IF(BN110="Above 70%",10,IF(BN110="Between 50% to 70%",5,IF(BN110="Less than 50%",0,IF(BN110="Negative",-10,IF(BN110="Less than 50% and Borrowings are increasing",-5,0)))))</f>
        <v/>
      </c>
      <c r="BP110" s="25" t="inlineStr">
        <is>
          <t>Less than 0.7</t>
        </is>
      </c>
      <c r="BQ110" s="25">
        <f>IF(BP110="More than 1.2",-10,IF(BP110="Between 0.7 to 1.2",0,IF(BP110="Less than 0.7",10,0)))</f>
        <v/>
      </c>
      <c r="BR110" s="25" t="inlineStr">
        <is>
          <t>No</t>
        </is>
      </c>
      <c r="BS110" s="25">
        <f>IF(BR110="Yes",-10,0)</f>
        <v/>
      </c>
      <c r="BT110" s="25" t="inlineStr">
        <is>
          <t>Less than 15%</t>
        </is>
      </c>
      <c r="BU110" s="25">
        <f>IF(BT110="More than 15%",-10,IF(BT110="Less than 15%",10,0))</f>
        <v/>
      </c>
      <c r="BV110" s="25" t="inlineStr">
        <is>
          <t>No</t>
        </is>
      </c>
      <c r="BW110" s="25">
        <f>IF(BV110="Yes, more than 10%",-10,IF(BV110="No",10,0))</f>
        <v/>
      </c>
    </row>
    <row r="111">
      <c r="A111" s="25">
        <f>IF(B111=0,"",RANK(B111,$B$2:$B$292,0))</f>
        <v/>
      </c>
      <c r="B111" s="26">
        <f>SUM(Q111,S111,U111,W111,Y111,AA111,AC111,AE111,AG111,AI111,AK111,AM111,AO111,AQ111,AS111,AU111,AW111,AY111,BA111,BC111,BE111,BG111,BI111,BK111,BM111,BO111,BQ111,BS111,BU111,BW111)</f>
        <v/>
      </c>
      <c r="C111" s="25" t="inlineStr">
        <is>
          <t>CGPOWER</t>
        </is>
      </c>
      <c r="D111" s="25" t="inlineStr">
        <is>
          <t>CG Power and Industrial Solutions Ltd</t>
        </is>
      </c>
      <c r="E111" s="25" t="inlineStr">
        <is>
          <t>industrials</t>
        </is>
      </c>
      <c r="F111" s="25" t="inlineStr">
        <is>
          <t>electric equipment</t>
        </is>
      </c>
      <c r="G111" s="25" t="inlineStr">
        <is>
          <t>largecap</t>
        </is>
      </c>
      <c r="H111" s="26" t="n">
        <v>140853.08</v>
      </c>
      <c r="I111" s="26" t="n">
        <v>907.7</v>
      </c>
      <c r="J111" s="26" t="n">
        <v>1.49</v>
      </c>
      <c r="K111" s="26" t="n">
        <v>4931769</v>
      </c>
      <c r="L111" s="26" t="n">
        <v>70.04000000000001</v>
      </c>
      <c r="M111" s="26" t="n">
        <v>22.68</v>
      </c>
      <c r="N111" s="26" t="n">
        <v>752.28</v>
      </c>
      <c r="O111" s="25" t="inlineStr">
        <is>
          <t>Near 52W High Breakout</t>
        </is>
      </c>
      <c r="P111" s="25" t="inlineStr">
        <is>
          <t>Cyclical in an Upturn</t>
        </is>
      </c>
      <c r="Q111" s="25">
        <f>IF(P111="Growing Industry",10,IF(P111="Cyclical in an Upturn",5,0))</f>
        <v/>
      </c>
      <c r="R111" s="25" t="inlineStr">
        <is>
          <t>Too Many Players with High ROCE</t>
        </is>
      </c>
      <c r="S111" s="25">
        <f>IF(R111="Monopoly",10,IF(R111="Oligopoly",5,IF(R111="Duopoly that cooperate",10,IF(R111="Duopoly that compete",5,IF(R111="Too many players with High ROCE",5,0)))))</f>
        <v/>
      </c>
      <c r="T111" s="25" t="inlineStr">
        <is>
          <t>No</t>
        </is>
      </c>
      <c r="U111" s="25">
        <f>IF(T111="No",5,0)</f>
        <v/>
      </c>
      <c r="V111" s="25" t="inlineStr">
        <is>
          <t>Tailwind</t>
        </is>
      </c>
      <c r="W111" s="25">
        <f>IF(V111="Tailwind",10,0)</f>
        <v/>
      </c>
      <c r="X111" s="25" t="inlineStr">
        <is>
          <t>Structural (10 Years Consistency)</t>
        </is>
      </c>
      <c r="Y111" s="25">
        <f>IF(X111="Structural (10 Years Consistency)",10,IF(X111="Shallow Cyclical (2 to 3 years growth)",5,0))</f>
        <v/>
      </c>
      <c r="Z111" s="25" t="inlineStr">
        <is>
          <t>No</t>
        </is>
      </c>
      <c r="AA111" s="25">
        <f>IF(Z111="Yes due to Product Mix change or Operating Leverage",10,IF(Z111="Yes, these are peak margins",-5,IF(Z111="No",5,0)))</f>
        <v/>
      </c>
      <c r="AB111" s="25" t="inlineStr">
        <is>
          <t>Stable</t>
        </is>
      </c>
      <c r="AC111" s="25">
        <f>IF(AB111="Stable",10,0)</f>
        <v/>
      </c>
      <c r="AD111" s="25" t="inlineStr">
        <is>
          <t>Yes</t>
        </is>
      </c>
      <c r="AE111" s="25">
        <f>IF(AD111="Yes",10,0)</f>
        <v/>
      </c>
      <c r="AF111" s="25" t="inlineStr">
        <is>
          <t>B2B</t>
        </is>
      </c>
      <c r="AG111" s="25">
        <f>IF(AF111="B2C",10,IF(AF111="B2B",5,0))</f>
        <v/>
      </c>
      <c r="AH111" s="25" t="inlineStr">
        <is>
          <t>Yes</t>
        </is>
      </c>
      <c r="AI111" s="25">
        <f>IF(AH111="Yes",10,0)</f>
        <v/>
      </c>
      <c r="AJ111" s="25" t="inlineStr">
        <is>
          <t>Higher One Time, Lower Annuity</t>
        </is>
      </c>
      <c r="AK111" s="25">
        <f>IF(AJ111="Fully Annuity",10,IF(AJ111="Higher Annuity, Lower One Time",5,IF(AJ111="Higher One Time, Lower Annuity",3,0)))</f>
        <v/>
      </c>
      <c r="AL111" s="25" t="inlineStr">
        <is>
          <t>Good</t>
        </is>
      </c>
      <c r="AM111" s="25">
        <f>IF(AL111="Good",10,0)</f>
        <v/>
      </c>
      <c r="AN111" s="25" t="inlineStr">
        <is>
          <t>Yes for more than 2 years</t>
        </is>
      </c>
      <c r="AO111" s="25">
        <f>IF(AN111="Yes for more than 2 years",10,IF(AN111="Yes only for next 1 to 2 years",5,0))</f>
        <v/>
      </c>
      <c r="AP111" s="25" t="inlineStr">
        <is>
          <t>20 to 40</t>
        </is>
      </c>
      <c r="AQ111" s="25">
        <f>IF(AP111="Above 40",20,IF(AP111="20 to 40",10,IF(AP111="0 to 20",-5,0)))</f>
        <v/>
      </c>
      <c r="AR111" s="25" t="inlineStr">
        <is>
          <t>Between 50 to 75</t>
        </is>
      </c>
      <c r="AS111" s="25">
        <f>IF(AR111="Between 50 to 75",10,IF(AR111="Above 75",0,0))</f>
        <v/>
      </c>
      <c r="AT111" s="25" t="inlineStr">
        <is>
          <t>Stage 2</t>
        </is>
      </c>
      <c r="AU111" s="25">
        <f>IF(AT111="Stage 2",20,IF(AT111="Stage 1",0,IF(AT111="Stage 3",5,IF(AT111="Stage 4",-5,0))))</f>
        <v/>
      </c>
      <c r="AV111" s="25" t="inlineStr">
        <is>
          <t>Positive Trend</t>
        </is>
      </c>
      <c r="AW111" s="25">
        <f>IF(AV111="Positive Trend",20,IF(AV111="Negative Trend",-10,0))</f>
        <v/>
      </c>
      <c r="AX111" s="25" t="inlineStr">
        <is>
          <t>Uptrend</t>
        </is>
      </c>
      <c r="AY111" s="25">
        <f>IF(AX111="Uptrend",10,IF(AX111="Sideways",5,0))</f>
        <v/>
      </c>
      <c r="AZ111" s="25" t="inlineStr">
        <is>
          <t>Uptrend</t>
        </is>
      </c>
      <c r="BA111" s="25">
        <f>IF(AZ111="Uptrend",10,IF(AZ111="Sideways",5,0))</f>
        <v/>
      </c>
      <c r="BB111" s="25" t="inlineStr">
        <is>
          <t>Blue sky scenario</t>
        </is>
      </c>
      <c r="BC111" s="25">
        <f>IF(BB111="Overhead supply in last 2 years in last 2 years",-5,IF(BB111="Close to 52 week high or retracement",5,IF(BB111="Blue sky scenario",10,IF(BB111="Long term Downtrend",-10,0))))</f>
        <v/>
      </c>
      <c r="BD111" s="25" t="inlineStr">
        <is>
          <t>Yes</t>
        </is>
      </c>
      <c r="BE111" s="25">
        <f>IF(BD111="Yes",10,0)</f>
        <v/>
      </c>
      <c r="BF111" s="25" t="inlineStr">
        <is>
          <t>More than 20%</t>
        </is>
      </c>
      <c r="BG111" s="25">
        <f>IF(BF111="More than 20%",10,IF(BF111="Between 12 to 20%",5,IF(BF111="Less than 12%",0,0)))</f>
        <v/>
      </c>
      <c r="BH111" s="25" t="inlineStr">
        <is>
          <t>No</t>
        </is>
      </c>
      <c r="BI111" s="25">
        <f>IF(BH111="No",10,0)</f>
        <v/>
      </c>
      <c r="BJ111" s="25" t="inlineStr">
        <is>
          <t>Yes</t>
        </is>
      </c>
      <c r="BK111" s="25">
        <f>IF(BJ111="NO",5,0)</f>
        <v/>
      </c>
      <c r="BL111" s="25" t="inlineStr">
        <is>
          <t>Less than 1.5</t>
        </is>
      </c>
      <c r="BM111" s="25">
        <f>IF(BL111="Above 2",0,IF(BL111="Between 1.5 to 2",5,IF(BL111="Less than 1.5",10,0)))</f>
        <v/>
      </c>
      <c r="BN111" s="25" t="inlineStr">
        <is>
          <t>Less than 50%</t>
        </is>
      </c>
      <c r="BO111" s="25">
        <f>IF(BN111="Above 70%",10,IF(BN111="Between 50% to 70%",5,IF(BN111="Less than 50%",0,IF(BN111="Negative",-10,IF(BN111="Less than 50% and Borrowings are increasing",-5,0)))))</f>
        <v/>
      </c>
      <c r="BP111" s="25" t="inlineStr">
        <is>
          <t>Less than 0.7</t>
        </is>
      </c>
      <c r="BQ111" s="25">
        <f>IF(BP111="More than 1.2",-10,IF(BP111="Between 0.7 to 1.2",0,IF(BP111="Less than 0.7",10,0)))</f>
        <v/>
      </c>
      <c r="BR111" s="25" t="inlineStr">
        <is>
          <t>No</t>
        </is>
      </c>
      <c r="BS111" s="25">
        <f>IF(BR111="Yes",-10,0)</f>
        <v/>
      </c>
      <c r="BT111" s="25" t="inlineStr">
        <is>
          <t>Less than 15%</t>
        </is>
      </c>
      <c r="BU111" s="25">
        <f>IF(BT111="More than 15%",-10,IF(BT111="Less than 15%",10,0))</f>
        <v/>
      </c>
      <c r="BV111" s="25" t="inlineStr">
        <is>
          <t>No</t>
        </is>
      </c>
      <c r="BW111" s="25">
        <f>IF(BV111="Yes, more than 10%",-10,IF(BV111="No",10,0))</f>
        <v/>
      </c>
    </row>
    <row r="112">
      <c r="A112" s="25">
        <f>IF(B112=0,"",RANK(B112,$B$2:$B$292,0))</f>
        <v/>
      </c>
      <c r="B112" s="26">
        <f>SUM(Q112,S112,U112,W112,Y112,AA112,AC112,AE112,AG112,AI112,AK112,AM112,AO112,AQ112,AS112,AU112,AW112,AY112,BA112,BC112,BE112,BG112,BI112,BK112,BM112,BO112,BQ112,BS112,BU112,BW112)</f>
        <v/>
      </c>
      <c r="C112" s="25" t="inlineStr">
        <is>
          <t>BHEL</t>
        </is>
      </c>
      <c r="D112" s="25" t="inlineStr">
        <is>
          <t>Bharat Heavy Electricals Limited</t>
        </is>
      </c>
      <c r="E112" s="25" t="inlineStr">
        <is>
          <t>industrials</t>
        </is>
      </c>
      <c r="F112" s="25" t="inlineStr">
        <is>
          <t>electric equipment</t>
        </is>
      </c>
      <c r="G112" s="25" t="inlineStr">
        <is>
          <t>largecap</t>
        </is>
      </c>
      <c r="H112" s="26" t="n">
        <v>140953.92</v>
      </c>
      <c r="I112" s="26" t="n">
        <v>410.75</v>
      </c>
      <c r="J112" s="26" t="n">
        <v>1.47</v>
      </c>
      <c r="K112" s="26" t="n">
        <v>8510633</v>
      </c>
      <c r="L112" s="26" t="n">
        <v>76.42</v>
      </c>
      <c r="M112" s="26" t="n">
        <v>37.25</v>
      </c>
      <c r="N112" s="26" t="n">
        <v>343.54</v>
      </c>
      <c r="O112" s="25" t="inlineStr">
        <is>
          <t>Near 52W High Breakout</t>
        </is>
      </c>
      <c r="P112" s="25" t="inlineStr">
        <is>
          <t>Cyclical in an Upturn</t>
        </is>
      </c>
      <c r="Q112" s="25">
        <f>IF(P112="Growing Industry",10,IF(P112="Cyclical in an Upturn",5,0))</f>
        <v/>
      </c>
      <c r="R112" s="25" t="inlineStr">
        <is>
          <t>Too Many Players with High ROCE</t>
        </is>
      </c>
      <c r="S112" s="25">
        <f>IF(R112="Monopoly",10,IF(R112="Oligopoly",5,IF(R112="Duopoly that cooperate",10,IF(R112="Duopoly that compete",5,IF(R112="Too many players with High ROCE",5,0)))))</f>
        <v/>
      </c>
      <c r="T112" s="25" t="inlineStr">
        <is>
          <t>No</t>
        </is>
      </c>
      <c r="U112" s="25">
        <f>IF(T112="No",5,0)</f>
        <v/>
      </c>
      <c r="V112" s="25" t="inlineStr">
        <is>
          <t>Tailwind</t>
        </is>
      </c>
      <c r="W112" s="25">
        <f>IF(V112="Tailwind",10,0)</f>
        <v/>
      </c>
      <c r="X112" s="25" t="inlineStr">
        <is>
          <t>Structural (10 Years Consistency)</t>
        </is>
      </c>
      <c r="Y112" s="25">
        <f>IF(X112="Structural (10 Years Consistency)",10,IF(X112="Shallow Cyclical (2 to 3 years growth)",5,0))</f>
        <v/>
      </c>
      <c r="Z112" s="25" t="inlineStr">
        <is>
          <t>No</t>
        </is>
      </c>
      <c r="AA112" s="25">
        <f>IF(Z112="Yes due to Product Mix change or Operating Leverage",10,IF(Z112="Yes, these are peak margins",-5,IF(Z112="No",5,0)))</f>
        <v/>
      </c>
      <c r="AB112" s="25" t="inlineStr">
        <is>
          <t>Stable</t>
        </is>
      </c>
      <c r="AC112" s="25">
        <f>IF(AB112="Stable",10,0)</f>
        <v/>
      </c>
      <c r="AD112" s="25" t="inlineStr">
        <is>
          <t>Yes</t>
        </is>
      </c>
      <c r="AE112" s="25">
        <f>IF(AD112="Yes",10,0)</f>
        <v/>
      </c>
      <c r="AF112" s="25" t="inlineStr">
        <is>
          <t>B2B</t>
        </is>
      </c>
      <c r="AG112" s="25">
        <f>IF(AF112="B2C",10,IF(AF112="B2B",5,0))</f>
        <v/>
      </c>
      <c r="AH112" s="25" t="inlineStr">
        <is>
          <t>Yes</t>
        </is>
      </c>
      <c r="AI112" s="25">
        <f>IF(AH112="Yes",10,0)</f>
        <v/>
      </c>
      <c r="AJ112" s="25" t="inlineStr">
        <is>
          <t>Higher One Time, Lower Annuity</t>
        </is>
      </c>
      <c r="AK112" s="25">
        <f>IF(AJ112="Fully Annuity",10,IF(AJ112="Higher Annuity, Lower One Time",5,IF(AJ112="Higher One Time, Lower Annuity",3,0)))</f>
        <v/>
      </c>
      <c r="AL112" s="25" t="inlineStr">
        <is>
          <t>Good</t>
        </is>
      </c>
      <c r="AM112" s="25">
        <f>IF(AL112="Good",10,0)</f>
        <v/>
      </c>
      <c r="AN112" s="25" t="inlineStr">
        <is>
          <t>Yes for more than 2 years</t>
        </is>
      </c>
      <c r="AO112" s="25">
        <f>IF(AN112="Yes for more than 2 years",10,IF(AN112="Yes only for next 1 to 2 years",5,0))</f>
        <v/>
      </c>
      <c r="AP112" s="25" t="inlineStr">
        <is>
          <t>20 to 40</t>
        </is>
      </c>
      <c r="AQ112" s="25">
        <f>IF(AP112="Above 40",20,IF(AP112="20 to 40",10,IF(AP112="0 to 20",-5,0)))</f>
        <v/>
      </c>
      <c r="AR112" s="25" t="inlineStr">
        <is>
          <t>Above 75</t>
        </is>
      </c>
      <c r="AS112" s="25">
        <f>IF(AR112="Between 50 to 75",10,IF(AR112="Above 75",0,0))</f>
        <v/>
      </c>
      <c r="AT112" s="25" t="inlineStr">
        <is>
          <t>Stage 2</t>
        </is>
      </c>
      <c r="AU112" s="25">
        <f>IF(AT112="Stage 2",20,IF(AT112="Stage 1",0,IF(AT112="Stage 3",5,IF(AT112="Stage 4",-5,0))))</f>
        <v/>
      </c>
      <c r="AV112" s="25" t="inlineStr">
        <is>
          <t>Positive Trend</t>
        </is>
      </c>
      <c r="AW112" s="25">
        <f>IF(AV112="Positive Trend",20,IF(AV112="Negative Trend",-10,0))</f>
        <v/>
      </c>
      <c r="AX112" s="25" t="inlineStr">
        <is>
          <t>Uptrend</t>
        </is>
      </c>
      <c r="AY112" s="25">
        <f>IF(AX112="Uptrend",10,IF(AX112="Sideways",5,0))</f>
        <v/>
      </c>
      <c r="AZ112" s="25" t="inlineStr">
        <is>
          <t>Uptrend</t>
        </is>
      </c>
      <c r="BA112" s="25">
        <f>IF(AZ112="Uptrend",10,IF(AZ112="Sideways",5,0))</f>
        <v/>
      </c>
      <c r="BB112" s="25" t="inlineStr">
        <is>
          <t>Blue sky scenario</t>
        </is>
      </c>
      <c r="BC112" s="25">
        <f>IF(BB112="Overhead supply in last 2 years in last 2 years",-5,IF(BB112="Close to 52 week high or retracement",5,IF(BB112="Blue sky scenario",10,IF(BB112="Long term Downtrend",-10,0))))</f>
        <v/>
      </c>
      <c r="BD112" s="25" t="inlineStr">
        <is>
          <t>Yes</t>
        </is>
      </c>
      <c r="BE112" s="25">
        <f>IF(BD112="Yes",10,0)</f>
        <v/>
      </c>
      <c r="BF112" s="25" t="inlineStr">
        <is>
          <t>More than 20%</t>
        </is>
      </c>
      <c r="BG112" s="25">
        <f>IF(BF112="More than 20%",10,IF(BF112="Between 12 to 20%",5,IF(BF112="Less than 12%",0,0)))</f>
        <v/>
      </c>
      <c r="BH112" s="25" t="inlineStr">
        <is>
          <t>No</t>
        </is>
      </c>
      <c r="BI112" s="25">
        <f>IF(BH112="No",10,0)</f>
        <v/>
      </c>
      <c r="BJ112" s="25" t="inlineStr">
        <is>
          <t>Yes</t>
        </is>
      </c>
      <c r="BK112" s="25">
        <f>IF(BJ112="NO",5,0)</f>
        <v/>
      </c>
      <c r="BL112" s="25" t="inlineStr">
        <is>
          <t>Less than 1.5</t>
        </is>
      </c>
      <c r="BM112" s="25">
        <f>IF(BL112="Above 2",0,IF(BL112="Between 1.5 to 2",5,IF(BL112="Less than 1.5",10,0)))</f>
        <v/>
      </c>
      <c r="BN112" s="25" t="inlineStr">
        <is>
          <t>Above 70%</t>
        </is>
      </c>
      <c r="BO112" s="25">
        <f>IF(BN112="Above 70%",10,IF(BN112="Between 50% to 70%",5,IF(BN112="Less than 50%",0,IF(BN112="Negative",-10,IF(BN112="Less than 50% and Borrowings are increasing",-5,0)))))</f>
        <v/>
      </c>
      <c r="BP112" s="25" t="inlineStr">
        <is>
          <t>Less than 0.7</t>
        </is>
      </c>
      <c r="BQ112" s="25">
        <f>IF(BP112="More than 1.2",-10,IF(BP112="Between 0.7 to 1.2",0,IF(BP112="Less than 0.7",10,0)))</f>
        <v/>
      </c>
      <c r="BR112" s="25" t="inlineStr">
        <is>
          <t>No</t>
        </is>
      </c>
      <c r="BS112" s="25">
        <f>IF(BR112="Yes",-10,0)</f>
        <v/>
      </c>
      <c r="BT112" s="25" t="inlineStr">
        <is>
          <t>Less than 15%</t>
        </is>
      </c>
      <c r="BU112" s="25">
        <f>IF(BT112="More than 15%",-10,IF(BT112="Less than 15%",10,0))</f>
        <v/>
      </c>
      <c r="BV112" s="25" t="inlineStr">
        <is>
          <t>No</t>
        </is>
      </c>
      <c r="BW112" s="25">
        <f>IF(BV112="Yes, more than 10%",-10,IF(BV112="No",10,0))</f>
        <v/>
      </c>
    </row>
    <row r="113">
      <c r="A113" s="25">
        <f>IF(B113=0,"",RANK(B113,$B$2:$B$292,0))</f>
        <v/>
      </c>
      <c r="B113" s="26">
        <f>SUM(Q113,S113,U113,W113,Y113,AA113,AC113,AE113,AG113,AI113,AK113,AM113,AO113,AQ113,AS113,AU113,AW113,AY113,BA113,BC113,BE113,BG113,BI113,BK113,BM113,BO113,BQ113,BS113,BU113,BW113)</f>
        <v/>
      </c>
      <c r="C113" s="25" t="inlineStr">
        <is>
          <t>SIS</t>
        </is>
      </c>
      <c r="D113" s="25" t="inlineStr">
        <is>
          <t>Security &amp; Intelligence Services India</t>
        </is>
      </c>
      <c r="E113" s="25" t="inlineStr">
        <is>
          <t>miscellaneous</t>
        </is>
      </c>
      <c r="F113" s="25" t="inlineStr">
        <is>
          <t>miscellaneous</t>
        </is>
      </c>
      <c r="G113" s="25" t="inlineStr">
        <is>
          <t>midcap</t>
        </is>
      </c>
      <c r="H113" s="26" t="n">
        <v>5758.25</v>
      </c>
      <c r="I113" s="26" t="n">
        <v>412.5</v>
      </c>
      <c r="J113" s="26" t="n">
        <v>1.2</v>
      </c>
      <c r="K113" s="26" t="n">
        <v>55768</v>
      </c>
      <c r="L113" s="26" t="n">
        <v>74.64</v>
      </c>
      <c r="M113" s="26" t="n">
        <v>35.01</v>
      </c>
      <c r="N113" s="26" t="n">
        <v>332.33</v>
      </c>
      <c r="O113" s="25" t="inlineStr">
        <is>
          <t>Near 52W High Breakout</t>
        </is>
      </c>
      <c r="P113" s="25" t="inlineStr">
        <is>
          <t>Growing Industry</t>
        </is>
      </c>
      <c r="Q113" s="25">
        <f>IF(P113="Growing Industry",10,IF(P113="Cyclical in an Upturn",5,0))</f>
        <v/>
      </c>
      <c r="R113" s="25" t="inlineStr">
        <is>
          <t>Too Many Players with High ROCE</t>
        </is>
      </c>
      <c r="S113" s="25">
        <f>IF(R113="Monopoly",10,IF(R113="Oligopoly",5,IF(R113="Duopoly that cooperate",10,IF(R113="Duopoly that compete",5,IF(R113="Too many players with High ROCE",5,0)))))</f>
        <v/>
      </c>
      <c r="T113" s="25" t="inlineStr">
        <is>
          <t>No</t>
        </is>
      </c>
      <c r="U113" s="25">
        <f>IF(T113="No",5,0)</f>
        <v/>
      </c>
      <c r="V113" s="25" t="inlineStr">
        <is>
          <t>Tailwind</t>
        </is>
      </c>
      <c r="W113" s="25">
        <f>IF(V113="Tailwind",10,0)</f>
        <v/>
      </c>
      <c r="X113" s="25" t="inlineStr">
        <is>
          <t>Structural (10 Years Consistency)</t>
        </is>
      </c>
      <c r="Y113" s="25">
        <f>IF(X113="Structural (10 Years Consistency)",10,IF(X113="Shallow Cyclical (2 to 3 years growth)",5,0))</f>
        <v/>
      </c>
      <c r="Z113" s="25" t="inlineStr">
        <is>
          <t>No</t>
        </is>
      </c>
      <c r="AA113" s="25">
        <f>IF(Z113="Yes due to Product Mix change or Operating Leverage",10,IF(Z113="Yes, these are peak margins",-5,IF(Z113="No",5,0)))</f>
        <v/>
      </c>
      <c r="AB113" s="25" t="inlineStr">
        <is>
          <t>Stable</t>
        </is>
      </c>
      <c r="AC113" s="25">
        <f>IF(AB113="Stable",10,0)</f>
        <v/>
      </c>
      <c r="AD113" s="25" t="inlineStr">
        <is>
          <t>Yes</t>
        </is>
      </c>
      <c r="AE113" s="25">
        <f>IF(AD113="Yes",10,0)</f>
        <v/>
      </c>
      <c r="AF113" s="25" t="inlineStr">
        <is>
          <t>B2B</t>
        </is>
      </c>
      <c r="AG113" s="25">
        <f>IF(AF113="B2C",10,IF(AF113="B2B",5,0))</f>
        <v/>
      </c>
      <c r="AH113" s="25" t="inlineStr">
        <is>
          <t>Yes</t>
        </is>
      </c>
      <c r="AI113" s="25">
        <f>IF(AH113="Yes",10,0)</f>
        <v/>
      </c>
      <c r="AJ113" s="25" t="inlineStr">
        <is>
          <t>Higher One Time, Lower Annuity</t>
        </is>
      </c>
      <c r="AK113" s="25">
        <f>IF(AJ113="Fully Annuity",10,IF(AJ113="Higher Annuity, Lower One Time",5,IF(AJ113="Higher One Time, Lower Annuity",3,0)))</f>
        <v/>
      </c>
      <c r="AL113" s="25" t="inlineStr">
        <is>
          <t>Good</t>
        </is>
      </c>
      <c r="AM113" s="25">
        <f>IF(AL113="Good",10,0)</f>
        <v/>
      </c>
      <c r="AN113" s="25" t="inlineStr">
        <is>
          <t>Yes for more than 2 years</t>
        </is>
      </c>
      <c r="AO113" s="25">
        <f>IF(AN113="Yes for more than 2 years",10,IF(AN113="Yes only for next 1 to 2 years",5,0))</f>
        <v/>
      </c>
      <c r="AP113" s="25" t="inlineStr">
        <is>
          <t>20 to 40</t>
        </is>
      </c>
      <c r="AQ113" s="25">
        <f>IF(AP113="Above 40",20,IF(AP113="20 to 40",10,IF(AP113="0 to 20",-5,0)))</f>
        <v/>
      </c>
      <c r="AR113" s="25" t="inlineStr">
        <is>
          <t>Between 50 to 75</t>
        </is>
      </c>
      <c r="AS113" s="25">
        <f>IF(AR113="Between 50 to 75",10,IF(AR113="Above 75",0,0))</f>
        <v/>
      </c>
      <c r="AT113" s="25" t="inlineStr">
        <is>
          <t>Stage 2</t>
        </is>
      </c>
      <c r="AU113" s="25">
        <f>IF(AT113="Stage 2",20,IF(AT113="Stage 1",0,IF(AT113="Stage 3",5,IF(AT113="Stage 4",-5,0))))</f>
        <v/>
      </c>
      <c r="AV113" s="25" t="inlineStr">
        <is>
          <t>Positive Trend</t>
        </is>
      </c>
      <c r="AW113" s="25">
        <f>IF(AV113="Positive Trend",20,IF(AV113="Negative Trend",-10,0))</f>
        <v/>
      </c>
      <c r="AX113" s="25" t="inlineStr">
        <is>
          <t>Uptrend</t>
        </is>
      </c>
      <c r="AY113" s="25">
        <f>IF(AX113="Uptrend",10,IF(AX113="Sideways",5,0))</f>
        <v/>
      </c>
      <c r="AZ113" s="25" t="inlineStr">
        <is>
          <t>Uptrend</t>
        </is>
      </c>
      <c r="BA113" s="25">
        <f>IF(AZ113="Uptrend",10,IF(AZ113="Sideways",5,0))</f>
        <v/>
      </c>
      <c r="BB113" s="25" t="inlineStr">
        <is>
          <t>Close to 52 week high or retracement</t>
        </is>
      </c>
      <c r="BC113" s="25">
        <f>IF(BB113="Overhead supply in last 2 years in last 2 years",-5,IF(BB113="Close to 52 week high or retracement",5,IF(BB113="Blue sky scenario",10,IF(BB113="Long term Downtrend",-10,0))))</f>
        <v/>
      </c>
      <c r="BD113" s="25" t="inlineStr">
        <is>
          <t>Yes</t>
        </is>
      </c>
      <c r="BE113" s="25">
        <f>IF(BD113="Yes",10,0)</f>
        <v/>
      </c>
      <c r="BF113" s="25" t="inlineStr">
        <is>
          <t>More than 20%</t>
        </is>
      </c>
      <c r="BG113" s="25">
        <f>IF(BF113="More than 20%",10,IF(BF113="Between 12 to 20%",5,IF(BF113="Less than 12%",0,0)))</f>
        <v/>
      </c>
      <c r="BH113" s="25" t="inlineStr">
        <is>
          <t>No</t>
        </is>
      </c>
      <c r="BI113" s="25">
        <f>IF(BH113="No",10,0)</f>
        <v/>
      </c>
      <c r="BJ113" s="25" t="inlineStr">
        <is>
          <t>Yes</t>
        </is>
      </c>
      <c r="BK113" s="25">
        <f>IF(BJ113="NO",5,0)</f>
        <v/>
      </c>
      <c r="BL113" s="25" t="inlineStr">
        <is>
          <t>Less than 1.5</t>
        </is>
      </c>
      <c r="BM113" s="25">
        <f>IF(BL113="Above 2",0,IF(BL113="Between 1.5 to 2",5,IF(BL113="Less than 1.5",10,0)))</f>
        <v/>
      </c>
      <c r="BN113" s="25" t="inlineStr">
        <is>
          <t>Above 70%</t>
        </is>
      </c>
      <c r="BO113" s="25">
        <f>IF(BN113="Above 70%",10,IF(BN113="Between 50% to 70%",5,IF(BN113="Less than 50%",0,IF(BN113="Negative",-10,IF(BN113="Less than 50% and Borrowings are increasing",-5,0)))))</f>
        <v/>
      </c>
      <c r="BP113" s="25" t="inlineStr">
        <is>
          <t>Between 0.7 to 1.2</t>
        </is>
      </c>
      <c r="BQ113" s="25">
        <f>IF(BP113="More than 1.2",-10,IF(BP113="Between 0.7 to 1.2",0,IF(BP113="Less than 0.7",10,0)))</f>
        <v/>
      </c>
      <c r="BR113" s="25" t="inlineStr">
        <is>
          <t>No</t>
        </is>
      </c>
      <c r="BS113" s="25">
        <f>IF(BR113="Yes",-10,0)</f>
        <v/>
      </c>
      <c r="BT113" s="25" t="inlineStr">
        <is>
          <t>Less than 15%</t>
        </is>
      </c>
      <c r="BU113" s="25">
        <f>IF(BT113="More than 15%",-10,IF(BT113="Less than 15%",10,0))</f>
        <v/>
      </c>
      <c r="BV113" s="25" t="inlineStr">
        <is>
          <t>No</t>
        </is>
      </c>
      <c r="BW113" s="25">
        <f>IF(BV113="Yes, more than 10%",-10,IF(BV113="No",10,0))</f>
        <v/>
      </c>
    </row>
    <row r="114">
      <c r="A114" s="25">
        <f>IF(B114=0,"",RANK(B114,$B$2:$B$292,0))</f>
        <v/>
      </c>
      <c r="B114" s="26">
        <f>SUM(Q114,S114,U114,W114,Y114,AA114,AC114,AE114,AG114,AI114,AK114,AM114,AO114,AQ114,AS114,AU114,AW114,AY114,BA114,BC114,BE114,BG114,BI114,BK114,BM114,BO114,BQ114,BS114,BU114,BW114)</f>
        <v/>
      </c>
      <c r="C114" s="25" t="inlineStr">
        <is>
          <t>VERANDA</t>
        </is>
      </c>
      <c r="D114" s="25" t="inlineStr">
        <is>
          <t>Veranda Learning Solutions Ltd</t>
        </is>
      </c>
      <c r="E114" s="25" t="inlineStr">
        <is>
          <t>services</t>
        </is>
      </c>
      <c r="F114" s="25" t="inlineStr">
        <is>
          <t>miscellaneous</t>
        </is>
      </c>
      <c r="G114" s="25" t="inlineStr">
        <is>
          <t>smallcap</t>
        </is>
      </c>
      <c r="H114" s="26" t="n">
        <v>2227.96</v>
      </c>
      <c r="I114" s="26" t="n">
        <v>234.29</v>
      </c>
      <c r="J114" s="26" t="n">
        <v>1.13</v>
      </c>
      <c r="K114" s="26" t="n">
        <v>420680</v>
      </c>
      <c r="L114" s="26" t="n">
        <v>63.38</v>
      </c>
      <c r="M114" s="26" t="n">
        <v>31.62</v>
      </c>
      <c r="N114" s="26" t="n">
        <v>170.78</v>
      </c>
      <c r="O114" s="25" t="inlineStr">
        <is>
          <t>Earnings / Momentum Support</t>
        </is>
      </c>
      <c r="P114" s="25" t="inlineStr">
        <is>
          <t>Growing Industry</t>
        </is>
      </c>
      <c r="Q114" s="25">
        <f>IF(P114="Growing Industry",10,IF(P114="Cyclical in an Upturn",5,0))</f>
        <v/>
      </c>
      <c r="R114" s="25" t="inlineStr">
        <is>
          <t>Too Many Players with High ROCE</t>
        </is>
      </c>
      <c r="S114" s="25">
        <f>IF(R114="Monopoly",10,IF(R114="Oligopoly",5,IF(R114="Duopoly that cooperate",10,IF(R114="Duopoly that compete",5,IF(R114="Too many players with High ROCE",5,0)))))</f>
        <v/>
      </c>
      <c r="T114" s="25" t="inlineStr">
        <is>
          <t>No</t>
        </is>
      </c>
      <c r="U114" s="25">
        <f>IF(T114="No",5,0)</f>
        <v/>
      </c>
      <c r="V114" s="25" t="inlineStr">
        <is>
          <t>Tailwind</t>
        </is>
      </c>
      <c r="W114" s="25">
        <f>IF(V114="Tailwind",10,0)</f>
        <v/>
      </c>
      <c r="X114" s="25" t="inlineStr">
        <is>
          <t>Structural (10 Years Consistency)</t>
        </is>
      </c>
      <c r="Y114" s="25">
        <f>IF(X114="Structural (10 Years Consistency)",10,IF(X114="Shallow Cyclical (2 to 3 years growth)",5,0))</f>
        <v/>
      </c>
      <c r="Z114" s="25" t="inlineStr">
        <is>
          <t>No</t>
        </is>
      </c>
      <c r="AA114" s="25">
        <f>IF(Z114="Yes due to Product Mix change or Operating Leverage",10,IF(Z114="Yes, these are peak margins",-5,IF(Z114="No",5,0)))</f>
        <v/>
      </c>
      <c r="AB114" s="25" t="inlineStr">
        <is>
          <t>Stable</t>
        </is>
      </c>
      <c r="AC114" s="25">
        <f>IF(AB114="Stable",10,0)</f>
        <v/>
      </c>
      <c r="AD114" s="25" t="inlineStr">
        <is>
          <t>Yes</t>
        </is>
      </c>
      <c r="AE114" s="25">
        <f>IF(AD114="Yes",10,0)</f>
        <v/>
      </c>
      <c r="AF114" s="25" t="inlineStr">
        <is>
          <t>B2B</t>
        </is>
      </c>
      <c r="AG114" s="25">
        <f>IF(AF114="B2C",10,IF(AF114="B2B",5,0))</f>
        <v/>
      </c>
      <c r="AH114" s="25" t="inlineStr">
        <is>
          <t>No</t>
        </is>
      </c>
      <c r="AI114" s="25">
        <f>IF(AH114="Yes",10,0)</f>
        <v/>
      </c>
      <c r="AJ114" s="25" t="inlineStr">
        <is>
          <t>Higher One Time, Lower Annuity</t>
        </is>
      </c>
      <c r="AK114" s="25">
        <f>IF(AJ114="Fully Annuity",10,IF(AJ114="Higher Annuity, Lower One Time",5,IF(AJ114="Higher One Time, Lower Annuity",3,0)))</f>
        <v/>
      </c>
      <c r="AL114" s="25" t="inlineStr">
        <is>
          <t>Good</t>
        </is>
      </c>
      <c r="AM114" s="25">
        <f>IF(AL114="Good",10,0)</f>
        <v/>
      </c>
      <c r="AN114" s="25" t="inlineStr">
        <is>
          <t>Yes for more than 2 years</t>
        </is>
      </c>
      <c r="AO114" s="25">
        <f>IF(AN114="Yes for more than 2 years",10,IF(AN114="Yes only for next 1 to 2 years",5,0))</f>
        <v/>
      </c>
      <c r="AP114" s="25" t="inlineStr">
        <is>
          <t>20 to 40</t>
        </is>
      </c>
      <c r="AQ114" s="25">
        <f>IF(AP114="Above 40",20,IF(AP114="20 to 40",10,IF(AP114="0 to 20",-5,0)))</f>
        <v/>
      </c>
      <c r="AR114" s="25" t="inlineStr">
        <is>
          <t>Between 50 to 75</t>
        </is>
      </c>
      <c r="AS114" s="25">
        <f>IF(AR114="Between 50 to 75",10,IF(AR114="Above 75",0,0))</f>
        <v/>
      </c>
      <c r="AT114" s="25" t="inlineStr">
        <is>
          <t>Stage 2</t>
        </is>
      </c>
      <c r="AU114" s="25">
        <f>IF(AT114="Stage 2",20,IF(AT114="Stage 1",0,IF(AT114="Stage 3",5,IF(AT114="Stage 4",-5,0))))</f>
        <v/>
      </c>
      <c r="AV114" s="25" t="inlineStr">
        <is>
          <t>Positive Trend</t>
        </is>
      </c>
      <c r="AW114" s="25">
        <f>IF(AV114="Positive Trend",20,IF(AV114="Negative Trend",-10,0))</f>
        <v/>
      </c>
      <c r="AX114" s="25" t="inlineStr">
        <is>
          <t>Uptrend</t>
        </is>
      </c>
      <c r="AY114" s="25">
        <f>IF(AX114="Uptrend",10,IF(AX114="Sideways",5,0))</f>
        <v/>
      </c>
      <c r="AZ114" s="25" t="inlineStr">
        <is>
          <t>Uptrend</t>
        </is>
      </c>
      <c r="BA114" s="25">
        <f>IF(AZ114="Uptrend",10,IF(AZ114="Sideways",5,0))</f>
        <v/>
      </c>
      <c r="BB114" s="25" t="inlineStr">
        <is>
          <t>Close to 52 week high or retracement</t>
        </is>
      </c>
      <c r="BC114" s="25">
        <f>IF(BB114="Overhead supply in last 2 years in last 2 years",-5,IF(BB114="Close to 52 week high or retracement",5,IF(BB114="Blue sky scenario",10,IF(BB114="Long term Downtrend",-10,0))))</f>
        <v/>
      </c>
      <c r="BD114" s="25" t="inlineStr">
        <is>
          <t>Yes</t>
        </is>
      </c>
      <c r="BE114" s="25">
        <f>IF(BD114="Yes",10,0)</f>
        <v/>
      </c>
      <c r="BF114" s="25" t="inlineStr">
        <is>
          <t>More than 20%</t>
        </is>
      </c>
      <c r="BG114" s="25">
        <f>IF(BF114="More than 20%",10,IF(BF114="Between 12 to 20%",5,IF(BF114="Less than 12%",0,0)))</f>
        <v/>
      </c>
      <c r="BH114" s="25" t="inlineStr">
        <is>
          <t>No</t>
        </is>
      </c>
      <c r="BI114" s="25">
        <f>IF(BH114="No",10,0)</f>
        <v/>
      </c>
      <c r="BJ114" s="25" t="inlineStr">
        <is>
          <t>No</t>
        </is>
      </c>
      <c r="BK114" s="25">
        <f>IF(BJ114="NO",5,0)</f>
        <v/>
      </c>
      <c r="BL114" s="25" t="inlineStr">
        <is>
          <t>Less than 1.5</t>
        </is>
      </c>
      <c r="BM114" s="25">
        <f>IF(BL114="Above 2",0,IF(BL114="Between 1.5 to 2",5,IF(BL114="Less than 1.5",10,0)))</f>
        <v/>
      </c>
      <c r="BN114" s="25" t="inlineStr">
        <is>
          <t>Between 50% to 70%</t>
        </is>
      </c>
      <c r="BO114" s="25">
        <f>IF(BN114="Above 70%",10,IF(BN114="Between 50% to 70%",5,IF(BN114="Less than 50%",0,IF(BN114="Negative",-10,IF(BN114="Less than 50% and Borrowings are increasing",-5,0)))))</f>
        <v/>
      </c>
      <c r="BP114" s="25" t="inlineStr">
        <is>
          <t>Less than 0.7</t>
        </is>
      </c>
      <c r="BQ114" s="25">
        <f>IF(BP114="More than 1.2",-10,IF(BP114="Between 0.7 to 1.2",0,IF(BP114="Less than 0.7",10,0)))</f>
        <v/>
      </c>
      <c r="BR114" s="25" t="inlineStr">
        <is>
          <t>No</t>
        </is>
      </c>
      <c r="BS114" s="25">
        <f>IF(BR114="Yes",-10,0)</f>
        <v/>
      </c>
      <c r="BT114" s="25" t="inlineStr">
        <is>
          <t>Less than 15%</t>
        </is>
      </c>
      <c r="BU114" s="25">
        <f>IF(BT114="More than 15%",-10,IF(BT114="Less than 15%",10,0))</f>
        <v/>
      </c>
      <c r="BV114" s="25" t="inlineStr">
        <is>
          <t>No</t>
        </is>
      </c>
      <c r="BW114" s="25">
        <f>IF(BV114="Yes, more than 10%",-10,IF(BV114="No",10,0))</f>
        <v/>
      </c>
    </row>
    <row r="115">
      <c r="A115" s="25">
        <f>IF(B115=0,"",RANK(B115,$B$2:$B$292,0))</f>
        <v/>
      </c>
      <c r="B115" s="26">
        <f>SUM(Q115,S115,U115,W115,Y115,AA115,AC115,AE115,AG115,AI115,AK115,AM115,AO115,AQ115,AS115,AU115,AW115,AY115,BA115,BC115,BE115,BG115,BI115,BK115,BM115,BO115,BQ115,BS115,BU115,BW115)</f>
        <v/>
      </c>
      <c r="C115" s="25" t="inlineStr">
        <is>
          <t>VISHNU</t>
        </is>
      </c>
      <c r="D115" s="25" t="inlineStr">
        <is>
          <t>Vishnu Chemicals Limited</t>
        </is>
      </c>
      <c r="E115" s="25" t="inlineStr">
        <is>
          <t>chemicals</t>
        </is>
      </c>
      <c r="F115" s="25" t="inlineStr">
        <is>
          <t>chemicals</t>
        </is>
      </c>
      <c r="G115" s="25" t="inlineStr">
        <is>
          <t>smallcap</t>
        </is>
      </c>
      <c r="H115" s="26" t="n">
        <v>4171.86</v>
      </c>
      <c r="I115" s="26" t="n">
        <v>626.7</v>
      </c>
      <c r="J115" s="26" t="n">
        <v>1.12</v>
      </c>
      <c r="K115" s="26" t="n">
        <v>455702</v>
      </c>
      <c r="L115" s="26" t="n">
        <v>66.34999999999999</v>
      </c>
      <c r="M115" s="26" t="n">
        <v>37.69</v>
      </c>
      <c r="N115" s="26" t="n">
        <v>491.35</v>
      </c>
      <c r="O115" s="25" t="inlineStr">
        <is>
          <t>Volume Spike &amp; Near 52W High Breakout</t>
        </is>
      </c>
      <c r="P115" s="25" t="inlineStr">
        <is>
          <t>Growing Industry</t>
        </is>
      </c>
      <c r="Q115" s="25">
        <f>IF(P115="Growing Industry",10,IF(P115="Cyclical in an Upturn",5,0))</f>
        <v/>
      </c>
      <c r="R115" s="25" t="inlineStr">
        <is>
          <t>Too Many Players with High ROCE</t>
        </is>
      </c>
      <c r="S115" s="25">
        <f>IF(R115="Monopoly",10,IF(R115="Oligopoly",5,IF(R115="Duopoly that cooperate",10,IF(R115="Duopoly that compete",5,IF(R115="Too many players with High ROCE",5,0)))))</f>
        <v/>
      </c>
      <c r="T115" s="25" t="inlineStr">
        <is>
          <t>No</t>
        </is>
      </c>
      <c r="U115" s="25">
        <f>IF(T115="No",5,0)</f>
        <v/>
      </c>
      <c r="V115" s="25" t="inlineStr">
        <is>
          <t>Tailwind</t>
        </is>
      </c>
      <c r="W115" s="25">
        <f>IF(V115="Tailwind",10,0)</f>
        <v/>
      </c>
      <c r="X115" s="25" t="inlineStr">
        <is>
          <t>Structural (10 Years Consistency)</t>
        </is>
      </c>
      <c r="Y115" s="25">
        <f>IF(X115="Structural (10 Years Consistency)",10,IF(X115="Shallow Cyclical (2 to 3 years growth)",5,0))</f>
        <v/>
      </c>
      <c r="Z115" s="25" t="inlineStr">
        <is>
          <t>No</t>
        </is>
      </c>
      <c r="AA115" s="25">
        <f>IF(Z115="Yes due to Product Mix change or Operating Leverage",10,IF(Z115="Yes, these are peak margins",-5,IF(Z115="No",5,0)))</f>
        <v/>
      </c>
      <c r="AB115" s="25" t="inlineStr">
        <is>
          <t>Stable</t>
        </is>
      </c>
      <c r="AC115" s="25">
        <f>IF(AB115="Stable",10,0)</f>
        <v/>
      </c>
      <c r="AD115" s="25" t="inlineStr">
        <is>
          <t>Yes</t>
        </is>
      </c>
      <c r="AE115" s="25">
        <f>IF(AD115="Yes",10,0)</f>
        <v/>
      </c>
      <c r="AF115" s="25" t="inlineStr">
        <is>
          <t>B2B</t>
        </is>
      </c>
      <c r="AG115" s="25">
        <f>IF(AF115="B2C",10,IF(AF115="B2B",5,0))</f>
        <v/>
      </c>
      <c r="AH115" s="25" t="inlineStr">
        <is>
          <t>Yes</t>
        </is>
      </c>
      <c r="AI115" s="25">
        <f>IF(AH115="Yes",10,0)</f>
        <v/>
      </c>
      <c r="AJ115" s="25" t="inlineStr">
        <is>
          <t>Higher One Time, Lower Annuity</t>
        </is>
      </c>
      <c r="AK115" s="25">
        <f>IF(AJ115="Fully Annuity",10,IF(AJ115="Higher Annuity, Lower One Time",5,IF(AJ115="Higher One Time, Lower Annuity",3,0)))</f>
        <v/>
      </c>
      <c r="AL115" s="25" t="inlineStr">
        <is>
          <t>Good</t>
        </is>
      </c>
      <c r="AM115" s="25">
        <f>IF(AL115="Good",10,0)</f>
        <v/>
      </c>
      <c r="AN115" s="25" t="inlineStr">
        <is>
          <t>Yes for more than 2 years</t>
        </is>
      </c>
      <c r="AO115" s="25">
        <f>IF(AN115="Yes for more than 2 years",10,IF(AN115="Yes only for next 1 to 2 years",5,0))</f>
        <v/>
      </c>
      <c r="AP115" s="25" t="inlineStr">
        <is>
          <t>20 to 40</t>
        </is>
      </c>
      <c r="AQ115" s="25">
        <f>IF(AP115="Above 40",20,IF(AP115="20 to 40",10,IF(AP115="0 to 20",-5,0)))</f>
        <v/>
      </c>
      <c r="AR115" s="25" t="inlineStr">
        <is>
          <t>Between 50 to 75</t>
        </is>
      </c>
      <c r="AS115" s="25">
        <f>IF(AR115="Between 50 to 75",10,IF(AR115="Above 75",0,0))</f>
        <v/>
      </c>
      <c r="AT115" s="25" t="inlineStr">
        <is>
          <t>Stage 2</t>
        </is>
      </c>
      <c r="AU115" s="25">
        <f>IF(AT115="Stage 2",20,IF(AT115="Stage 1",0,IF(AT115="Stage 3",5,IF(AT115="Stage 4",-5,0))))</f>
        <v/>
      </c>
      <c r="AV115" s="25" t="inlineStr">
        <is>
          <t>Positive Trend</t>
        </is>
      </c>
      <c r="AW115" s="25">
        <f>IF(AV115="Positive Trend",20,IF(AV115="Negative Trend",-10,0))</f>
        <v/>
      </c>
      <c r="AX115" s="25" t="inlineStr">
        <is>
          <t>Uptrend</t>
        </is>
      </c>
      <c r="AY115" s="25">
        <f>IF(AX115="Uptrend",10,IF(AX115="Sideways",5,0))</f>
        <v/>
      </c>
      <c r="AZ115" s="25" t="inlineStr">
        <is>
          <t>Uptrend</t>
        </is>
      </c>
      <c r="BA115" s="25">
        <f>IF(AZ115="Uptrend",10,IF(AZ115="Sideways",5,0))</f>
        <v/>
      </c>
      <c r="BB115" s="25" t="inlineStr">
        <is>
          <t>Blue sky scenario</t>
        </is>
      </c>
      <c r="BC115" s="25">
        <f>IF(BB115="Overhead supply in last 2 years in last 2 years",-5,IF(BB115="Close to 52 week high or retracement",5,IF(BB115="Blue sky scenario",10,IF(BB115="Long term Downtrend",-10,0))))</f>
        <v/>
      </c>
      <c r="BD115" s="25" t="inlineStr">
        <is>
          <t>Yes</t>
        </is>
      </c>
      <c r="BE115" s="25">
        <f>IF(BD115="Yes",10,0)</f>
        <v/>
      </c>
      <c r="BF115" s="25" t="inlineStr">
        <is>
          <t>Less than 12%</t>
        </is>
      </c>
      <c r="BG115" s="25">
        <f>IF(BF115="More than 20%",10,IF(BF115="Between 12 to 20%",5,IF(BF115="Less than 12%",0,0)))</f>
        <v/>
      </c>
      <c r="BH115" s="25" t="inlineStr">
        <is>
          <t>No</t>
        </is>
      </c>
      <c r="BI115" s="25">
        <f>IF(BH115="No",10,0)</f>
        <v/>
      </c>
      <c r="BJ115" s="25" t="inlineStr">
        <is>
          <t>No</t>
        </is>
      </c>
      <c r="BK115" s="25">
        <f>IF(BJ115="NO",5,0)</f>
        <v/>
      </c>
      <c r="BL115" s="25" t="inlineStr">
        <is>
          <t>Less than 1.5</t>
        </is>
      </c>
      <c r="BM115" s="25">
        <f>IF(BL115="Above 2",0,IF(BL115="Between 1.5 to 2",5,IF(BL115="Less than 1.5",10,0)))</f>
        <v/>
      </c>
      <c r="BN115" s="25" t="inlineStr">
        <is>
          <t>Less than 50%</t>
        </is>
      </c>
      <c r="BO115" s="25">
        <f>IF(BN115="Above 70%",10,IF(BN115="Between 50% to 70%",5,IF(BN115="Less than 50%",0,IF(BN115="Negative",-10,IF(BN115="Less than 50% and Borrowings are increasing",-5,0)))))</f>
        <v/>
      </c>
      <c r="BP115" s="25" t="inlineStr">
        <is>
          <t>Less than 0.7</t>
        </is>
      </c>
      <c r="BQ115" s="25">
        <f>IF(BP115="More than 1.2",-10,IF(BP115="Between 0.7 to 1.2",0,IF(BP115="Less than 0.7",10,0)))</f>
        <v/>
      </c>
      <c r="BR115" s="25" t="inlineStr">
        <is>
          <t>No</t>
        </is>
      </c>
      <c r="BS115" s="25">
        <f>IF(BR115="Yes",-10,0)</f>
        <v/>
      </c>
      <c r="BT115" s="25" t="inlineStr">
        <is>
          <t>Less than 15%</t>
        </is>
      </c>
      <c r="BU115" s="25">
        <f>IF(BT115="More than 15%",-10,IF(BT115="Less than 15%",10,0))</f>
        <v/>
      </c>
      <c r="BV115" s="25" t="inlineStr">
        <is>
          <t>No</t>
        </is>
      </c>
      <c r="BW115" s="25">
        <f>IF(BV115="Yes, more than 10%",-10,IF(BV115="No",10,0))</f>
        <v/>
      </c>
    </row>
    <row r="116">
      <c r="A116" s="25">
        <f>IF(B116=0,"",RANK(B116,$B$2:$B$292,0))</f>
        <v/>
      </c>
      <c r="B116" s="26">
        <f>SUM(Q116,S116,U116,W116,Y116,AA116,AC116,AE116,AG116,AI116,AK116,AM116,AO116,AQ116,AS116,AU116,AW116,AY116,BA116,BC116,BE116,BG116,BI116,BK116,BM116,BO116,BQ116,BS116,BU116,BW116)</f>
        <v/>
      </c>
      <c r="C116" s="25" t="inlineStr">
        <is>
          <t>POLYCAB</t>
        </is>
      </c>
      <c r="D116" s="25" t="inlineStr">
        <is>
          <t>Polycab India Ltd</t>
        </is>
      </c>
      <c r="E116" s="25" t="inlineStr">
        <is>
          <t>industrials</t>
        </is>
      </c>
      <c r="F116" s="25" t="inlineStr">
        <is>
          <t>cables - power</t>
        </is>
      </c>
      <c r="G116" s="25" t="inlineStr">
        <is>
          <t>largecap</t>
        </is>
      </c>
      <c r="H116" s="26" t="n">
        <v>142729.41</v>
      </c>
      <c r="I116" s="26" t="n">
        <v>9531.5</v>
      </c>
      <c r="J116" s="26" t="n">
        <v>0.54</v>
      </c>
      <c r="K116" s="26" t="n">
        <v>256995</v>
      </c>
      <c r="L116" s="26" t="n">
        <v>69.28</v>
      </c>
      <c r="M116" s="26" t="n">
        <v>22.51</v>
      </c>
      <c r="N116" s="26" t="n">
        <v>7945.91</v>
      </c>
      <c r="O116" s="25" t="inlineStr">
        <is>
          <t>Near 52W High Breakout</t>
        </is>
      </c>
      <c r="P116" s="25" t="inlineStr">
        <is>
          <t>Cyclical in an Upturn</t>
        </is>
      </c>
      <c r="Q116" s="25">
        <f>IF(P116="Growing Industry",10,IF(P116="Cyclical in an Upturn",5,0))</f>
        <v/>
      </c>
      <c r="R116" s="25" t="inlineStr">
        <is>
          <t>Too Many Players with High ROCE</t>
        </is>
      </c>
      <c r="S116" s="25">
        <f>IF(R116="Monopoly",10,IF(R116="Oligopoly",5,IF(R116="Duopoly that cooperate",10,IF(R116="Duopoly that compete",5,IF(R116="Too many players with High ROCE",5,0)))))</f>
        <v/>
      </c>
      <c r="T116" s="25" t="inlineStr">
        <is>
          <t>No</t>
        </is>
      </c>
      <c r="U116" s="25">
        <f>IF(T116="No",5,0)</f>
        <v/>
      </c>
      <c r="V116" s="25" t="inlineStr">
        <is>
          <t>Tailwind</t>
        </is>
      </c>
      <c r="W116" s="25">
        <f>IF(V116="Tailwind",10,0)</f>
        <v/>
      </c>
      <c r="X116" s="25" t="inlineStr">
        <is>
          <t>Structural (10 Years Consistency)</t>
        </is>
      </c>
      <c r="Y116" s="25">
        <f>IF(X116="Structural (10 Years Consistency)",10,IF(X116="Shallow Cyclical (2 to 3 years growth)",5,0))</f>
        <v/>
      </c>
      <c r="Z116" s="25" t="inlineStr">
        <is>
          <t>No</t>
        </is>
      </c>
      <c r="AA116" s="25">
        <f>IF(Z116="Yes due to Product Mix change or Operating Leverage",10,IF(Z116="Yes, these are peak margins",-5,IF(Z116="No",5,0)))</f>
        <v/>
      </c>
      <c r="AB116" s="25" t="inlineStr">
        <is>
          <t>Stable</t>
        </is>
      </c>
      <c r="AC116" s="25">
        <f>IF(AB116="Stable",10,0)</f>
        <v/>
      </c>
      <c r="AD116" s="25" t="inlineStr">
        <is>
          <t>Yes</t>
        </is>
      </c>
      <c r="AE116" s="25">
        <f>IF(AD116="Yes",10,0)</f>
        <v/>
      </c>
      <c r="AF116" s="25" t="inlineStr">
        <is>
          <t>B2B</t>
        </is>
      </c>
      <c r="AG116" s="25">
        <f>IF(AF116="B2C",10,IF(AF116="B2B",5,0))</f>
        <v/>
      </c>
      <c r="AH116" s="25" t="inlineStr">
        <is>
          <t>Yes</t>
        </is>
      </c>
      <c r="AI116" s="25">
        <f>IF(AH116="Yes",10,0)</f>
        <v/>
      </c>
      <c r="AJ116" s="25" t="inlineStr">
        <is>
          <t>Higher One Time, Lower Annuity</t>
        </is>
      </c>
      <c r="AK116" s="25">
        <f>IF(AJ116="Fully Annuity",10,IF(AJ116="Higher Annuity, Lower One Time",5,IF(AJ116="Higher One Time, Lower Annuity",3,0)))</f>
        <v/>
      </c>
      <c r="AL116" s="25" t="inlineStr">
        <is>
          <t>Good</t>
        </is>
      </c>
      <c r="AM116" s="25">
        <f>IF(AL116="Good",10,0)</f>
        <v/>
      </c>
      <c r="AN116" s="25" t="inlineStr">
        <is>
          <t>Yes for more than 2 years</t>
        </is>
      </c>
      <c r="AO116" s="25">
        <f>IF(AN116="Yes for more than 2 years",10,IF(AN116="Yes only for next 1 to 2 years",5,0))</f>
        <v/>
      </c>
      <c r="AP116" s="25" t="inlineStr">
        <is>
          <t>20 to 40</t>
        </is>
      </c>
      <c r="AQ116" s="25">
        <f>IF(AP116="Above 40",20,IF(AP116="20 to 40",10,IF(AP116="0 to 20",-5,0)))</f>
        <v/>
      </c>
      <c r="AR116" s="25" t="inlineStr">
        <is>
          <t>Between 50 to 75</t>
        </is>
      </c>
      <c r="AS116" s="25">
        <f>IF(AR116="Between 50 to 75",10,IF(AR116="Above 75",0,0))</f>
        <v/>
      </c>
      <c r="AT116" s="25" t="inlineStr">
        <is>
          <t>Stage 2</t>
        </is>
      </c>
      <c r="AU116" s="25">
        <f>IF(AT116="Stage 2",20,IF(AT116="Stage 1",0,IF(AT116="Stage 3",5,IF(AT116="Stage 4",-5,0))))</f>
        <v/>
      </c>
      <c r="AV116" s="25" t="inlineStr">
        <is>
          <t>Positive Trend</t>
        </is>
      </c>
      <c r="AW116" s="25">
        <f>IF(AV116="Positive Trend",20,IF(AV116="Negative Trend",-10,0))</f>
        <v/>
      </c>
      <c r="AX116" s="25" t="inlineStr">
        <is>
          <t>Uptrend</t>
        </is>
      </c>
      <c r="AY116" s="25">
        <f>IF(AX116="Uptrend",10,IF(AX116="Sideways",5,0))</f>
        <v/>
      </c>
      <c r="AZ116" s="25" t="inlineStr">
        <is>
          <t>Uptrend</t>
        </is>
      </c>
      <c r="BA116" s="25">
        <f>IF(AZ116="Uptrend",10,IF(AZ116="Sideways",5,0))</f>
        <v/>
      </c>
      <c r="BB116" s="25" t="inlineStr">
        <is>
          <t>Blue sky scenario</t>
        </is>
      </c>
      <c r="BC116" s="25">
        <f>IF(BB116="Overhead supply in last 2 years in last 2 years",-5,IF(BB116="Close to 52 week high or retracement",5,IF(BB116="Blue sky scenario",10,IF(BB116="Long term Downtrend",-10,0))))</f>
        <v/>
      </c>
      <c r="BD116" s="25" t="inlineStr">
        <is>
          <t>Yes</t>
        </is>
      </c>
      <c r="BE116" s="25">
        <f>IF(BD116="Yes",10,0)</f>
        <v/>
      </c>
      <c r="BF116" s="25" t="inlineStr">
        <is>
          <t>Less than 12%</t>
        </is>
      </c>
      <c r="BG116" s="25">
        <f>IF(BF116="More than 20%",10,IF(BF116="Between 12 to 20%",5,IF(BF116="Less than 12%",0,0)))</f>
        <v/>
      </c>
      <c r="BH116" s="25" t="inlineStr">
        <is>
          <t>No</t>
        </is>
      </c>
      <c r="BI116" s="25">
        <f>IF(BH116="No",10,0)</f>
        <v/>
      </c>
      <c r="BJ116" s="25" t="inlineStr">
        <is>
          <t>Yes</t>
        </is>
      </c>
      <c r="BK116" s="25">
        <f>IF(BJ116="NO",5,0)</f>
        <v/>
      </c>
      <c r="BL116" s="25" t="inlineStr">
        <is>
          <t>Less than 1.5</t>
        </is>
      </c>
      <c r="BM116" s="25">
        <f>IF(BL116="Above 2",0,IF(BL116="Between 1.5 to 2",5,IF(BL116="Less than 1.5",10,0)))</f>
        <v/>
      </c>
      <c r="BN116" s="25" t="inlineStr">
        <is>
          <t>Above 70%</t>
        </is>
      </c>
      <c r="BO116" s="25">
        <f>IF(BN116="Above 70%",10,IF(BN116="Between 50% to 70%",5,IF(BN116="Less than 50%",0,IF(BN116="Negative",-10,IF(BN116="Less than 50% and Borrowings are increasing",-5,0)))))</f>
        <v/>
      </c>
      <c r="BP116" s="25" t="inlineStr">
        <is>
          <t>Less than 0.7</t>
        </is>
      </c>
      <c r="BQ116" s="25">
        <f>IF(BP116="More than 1.2",-10,IF(BP116="Between 0.7 to 1.2",0,IF(BP116="Less than 0.7",10,0)))</f>
        <v/>
      </c>
      <c r="BR116" s="25" t="inlineStr">
        <is>
          <t>No</t>
        </is>
      </c>
      <c r="BS116" s="25">
        <f>IF(BR116="Yes",-10,0)</f>
        <v/>
      </c>
      <c r="BT116" s="25" t="inlineStr">
        <is>
          <t>Less than 15%</t>
        </is>
      </c>
      <c r="BU116" s="25">
        <f>IF(BT116="More than 15%",-10,IF(BT116="Less than 15%",10,0))</f>
        <v/>
      </c>
      <c r="BV116" s="25" t="inlineStr">
        <is>
          <t>No</t>
        </is>
      </c>
      <c r="BW116" s="25">
        <f>IF(BV116="Yes, more than 10%",-10,IF(BV116="No",10,0))</f>
        <v/>
      </c>
    </row>
    <row r="117">
      <c r="A117" s="25">
        <f>IF(B117=0,"",RANK(B117,$B$2:$B$292,0))</f>
        <v/>
      </c>
      <c r="B117" s="26">
        <f>SUM(Q117,S117,U117,W117,Y117,AA117,AC117,AE117,AG117,AI117,AK117,AM117,AO117,AQ117,AS117,AU117,AW117,AY117,BA117,BC117,BE117,BG117,BI117,BK117,BM117,BO117,BQ117,BS117,BU117,BW117)</f>
        <v/>
      </c>
      <c r="C117" s="25" t="inlineStr">
        <is>
          <t>COALINDIA</t>
        </is>
      </c>
      <c r="D117" s="25" t="inlineStr">
        <is>
          <t>Coal India Limited</t>
        </is>
      </c>
      <c r="E117" s="25" t="inlineStr">
        <is>
          <t>metals &amp; mining</t>
        </is>
      </c>
      <c r="F117" s="25" t="inlineStr">
        <is>
          <t>mining / minerals / metals</t>
        </is>
      </c>
      <c r="G117" s="25" t="inlineStr">
        <is>
          <t>largecap</t>
        </is>
      </c>
      <c r="H117" s="26" t="n">
        <v>291250.54</v>
      </c>
      <c r="I117" s="26" t="n">
        <v>472.15</v>
      </c>
      <c r="J117" s="26" t="n">
        <v>-0.1</v>
      </c>
      <c r="K117" s="26" t="n">
        <v>24933269</v>
      </c>
      <c r="L117" s="26" t="n">
        <v>62.08</v>
      </c>
      <c r="M117" s="26" t="n">
        <v>48.47</v>
      </c>
      <c r="N117" s="26" t="n">
        <v>403.94</v>
      </c>
      <c r="O117" s="25" t="inlineStr">
        <is>
          <t>Near 52W High Breakout</t>
        </is>
      </c>
      <c r="P117" s="25" t="inlineStr">
        <is>
          <t>Cyclical in an Upturn</t>
        </is>
      </c>
      <c r="Q117" s="25">
        <f>IF(P117="Growing Industry",10,IF(P117="Cyclical in an Upturn",5,0))</f>
        <v/>
      </c>
      <c r="R117" s="25" t="inlineStr">
        <is>
          <t>Too Many Players with High ROCE</t>
        </is>
      </c>
      <c r="S117" s="25">
        <f>IF(R117="Monopoly",10,IF(R117="Oligopoly",5,IF(R117="Duopoly that cooperate",10,IF(R117="Duopoly that compete",5,IF(R117="Too many players with High ROCE",5,0)))))</f>
        <v/>
      </c>
      <c r="T117" s="25" t="inlineStr">
        <is>
          <t>No</t>
        </is>
      </c>
      <c r="U117" s="25">
        <f>IF(T117="No",5,0)</f>
        <v/>
      </c>
      <c r="V117" s="25" t="inlineStr">
        <is>
          <t>Tailwind</t>
        </is>
      </c>
      <c r="W117" s="25">
        <f>IF(V117="Tailwind",10,0)</f>
        <v/>
      </c>
      <c r="X117" s="25" t="inlineStr">
        <is>
          <t>Cyclical</t>
        </is>
      </c>
      <c r="Y117" s="25">
        <f>IF(X117="Structural (10 Years Consistency)",10,IF(X117="Shallow Cyclical (2 to 3 years growth)",5,0))</f>
        <v/>
      </c>
      <c r="Z117" s="25" t="inlineStr">
        <is>
          <t>No</t>
        </is>
      </c>
      <c r="AA117" s="25">
        <f>IF(Z117="Yes due to Product Mix change or Operating Leverage",10,IF(Z117="Yes, these are peak margins",-5,IF(Z117="No",5,0)))</f>
        <v/>
      </c>
      <c r="AB117" s="25" t="inlineStr">
        <is>
          <t>Volatile</t>
        </is>
      </c>
      <c r="AC117" s="25">
        <f>IF(AB117="Stable",10,0)</f>
        <v/>
      </c>
      <c r="AD117" s="25" t="inlineStr">
        <is>
          <t>Yes</t>
        </is>
      </c>
      <c r="AE117" s="25">
        <f>IF(AD117="Yes",10,0)</f>
        <v/>
      </c>
      <c r="AF117" s="25" t="inlineStr">
        <is>
          <t>B2B</t>
        </is>
      </c>
      <c r="AG117" s="25">
        <f>IF(AF117="B2C",10,IF(AF117="B2B",5,0))</f>
        <v/>
      </c>
      <c r="AH117" s="25" t="inlineStr">
        <is>
          <t>Yes</t>
        </is>
      </c>
      <c r="AI117" s="25">
        <f>IF(AH117="Yes",10,0)</f>
        <v/>
      </c>
      <c r="AJ117" s="25" t="inlineStr">
        <is>
          <t>Higher One Time, Lower Annuity</t>
        </is>
      </c>
      <c r="AK117" s="25">
        <f>IF(AJ117="Fully Annuity",10,IF(AJ117="Higher Annuity, Lower One Time",5,IF(AJ117="Higher One Time, Lower Annuity",3,0)))</f>
        <v/>
      </c>
      <c r="AL117" s="25" t="inlineStr">
        <is>
          <t>Good</t>
        </is>
      </c>
      <c r="AM117" s="25">
        <f>IF(AL117="Good",10,0)</f>
        <v/>
      </c>
      <c r="AN117" s="25" t="inlineStr">
        <is>
          <t>Yes for more than 2 years</t>
        </is>
      </c>
      <c r="AO117" s="25">
        <f>IF(AN117="Yes for more than 2 years",10,IF(AN117="Yes only for next 1 to 2 years",5,0))</f>
        <v/>
      </c>
      <c r="AP117" s="25" t="inlineStr">
        <is>
          <t>Above 40</t>
        </is>
      </c>
      <c r="AQ117" s="25">
        <f>IF(AP117="Above 40",20,IF(AP117="20 to 40",10,IF(AP117="0 to 20",-5,0)))</f>
        <v/>
      </c>
      <c r="AR117" s="25" t="inlineStr">
        <is>
          <t>Between 50 to 75</t>
        </is>
      </c>
      <c r="AS117" s="25">
        <f>IF(AR117="Between 50 to 75",10,IF(AR117="Above 75",0,0))</f>
        <v/>
      </c>
      <c r="AT117" s="25" t="inlineStr">
        <is>
          <t>Stage 2</t>
        </is>
      </c>
      <c r="AU117" s="25">
        <f>IF(AT117="Stage 2",20,IF(AT117="Stage 1",0,IF(AT117="Stage 3",5,IF(AT117="Stage 4",-5,0))))</f>
        <v/>
      </c>
      <c r="AV117" s="25" t="inlineStr">
        <is>
          <t>Positive Trend</t>
        </is>
      </c>
      <c r="AW117" s="25">
        <f>IF(AV117="Positive Trend",20,IF(AV117="Negative Trend",-10,0))</f>
        <v/>
      </c>
      <c r="AX117" s="25" t="inlineStr">
        <is>
          <t>Uptrend</t>
        </is>
      </c>
      <c r="AY117" s="25">
        <f>IF(AX117="Uptrend",10,IF(AX117="Sideways",5,0))</f>
        <v/>
      </c>
      <c r="AZ117" s="25" t="inlineStr">
        <is>
          <t>Uptrend</t>
        </is>
      </c>
      <c r="BA117" s="25">
        <f>IF(AZ117="Uptrend",10,IF(AZ117="Sideways",5,0))</f>
        <v/>
      </c>
      <c r="BB117" s="25" t="inlineStr">
        <is>
          <t>Blue sky scenario</t>
        </is>
      </c>
      <c r="BC117" s="25">
        <f>IF(BB117="Overhead supply in last 2 years in last 2 years",-5,IF(BB117="Close to 52 week high or retracement",5,IF(BB117="Blue sky scenario",10,IF(BB117="Long term Downtrend",-10,0))))</f>
        <v/>
      </c>
      <c r="BD117" s="25" t="inlineStr">
        <is>
          <t>Yes</t>
        </is>
      </c>
      <c r="BE117" s="25">
        <f>IF(BD117="Yes",10,0)</f>
        <v/>
      </c>
      <c r="BF117" s="25" t="inlineStr">
        <is>
          <t>Between 12 to 20%</t>
        </is>
      </c>
      <c r="BG117" s="25">
        <f>IF(BF117="More than 20%",10,IF(BF117="Between 12 to 20%",5,IF(BF117="Less than 12%",0,0)))</f>
        <v/>
      </c>
      <c r="BH117" s="25" t="inlineStr">
        <is>
          <t>No</t>
        </is>
      </c>
      <c r="BI117" s="25">
        <f>IF(BH117="No",10,0)</f>
        <v/>
      </c>
      <c r="BJ117" s="25" t="inlineStr">
        <is>
          <t>No</t>
        </is>
      </c>
      <c r="BK117" s="25">
        <f>IF(BJ117="NO",5,0)</f>
        <v/>
      </c>
      <c r="BL117" s="25" t="inlineStr">
        <is>
          <t>Less than 1.5</t>
        </is>
      </c>
      <c r="BM117" s="25">
        <f>IF(BL117="Above 2",0,IF(BL117="Between 1.5 to 2",5,IF(BL117="Less than 1.5",10,0)))</f>
        <v/>
      </c>
      <c r="BN117" s="25" t="inlineStr">
        <is>
          <t>Above 70%</t>
        </is>
      </c>
      <c r="BO117" s="25">
        <f>IF(BN117="Above 70%",10,IF(BN117="Between 50% to 70%",5,IF(BN117="Less than 50%",0,IF(BN117="Negative",-10,IF(BN117="Less than 50% and Borrowings are increasing",-5,0)))))</f>
        <v/>
      </c>
      <c r="BP117" s="25" t="inlineStr">
        <is>
          <t>Less than 0.7</t>
        </is>
      </c>
      <c r="BQ117" s="25">
        <f>IF(BP117="More than 1.2",-10,IF(BP117="Between 0.7 to 1.2",0,IF(BP117="Less than 0.7",10,0)))</f>
        <v/>
      </c>
      <c r="BR117" s="25" t="inlineStr">
        <is>
          <t>No</t>
        </is>
      </c>
      <c r="BS117" s="25">
        <f>IF(BR117="Yes",-10,0)</f>
        <v/>
      </c>
      <c r="BT117" s="25" t="inlineStr">
        <is>
          <t>Less than 15%</t>
        </is>
      </c>
      <c r="BU117" s="25">
        <f>IF(BT117="More than 15%",-10,IF(BT117="Less than 15%",10,0))</f>
        <v/>
      </c>
      <c r="BV117" s="25" t="inlineStr">
        <is>
          <t>No</t>
        </is>
      </c>
      <c r="BW117" s="25">
        <f>IF(BV117="Yes, more than 10%",-10,IF(BV117="No",10,0))</f>
        <v/>
      </c>
    </row>
    <row r="118">
      <c r="A118" s="25">
        <f>IF(B118=0,"",RANK(B118,$B$2:$B$292,0))</f>
        <v/>
      </c>
      <c r="B118" s="26">
        <f>SUM(Q118,S118,U118,W118,Y118,AA118,AC118,AE118,AG118,AI118,AK118,AM118,AO118,AQ118,AS118,AU118,AW118,AY118,BA118,BC118,BE118,BG118,BI118,BK118,BM118,BO118,BQ118,BS118,BU118,BW118)</f>
        <v/>
      </c>
      <c r="C118" s="25" t="inlineStr">
        <is>
          <t>RRKABEL</t>
        </is>
      </c>
      <c r="D118" s="25" t="inlineStr">
        <is>
          <t>R R Kabel Ltd</t>
        </is>
      </c>
      <c r="E118" s="25" t="inlineStr">
        <is>
          <t>industrials</t>
        </is>
      </c>
      <c r="F118" s="25" t="inlineStr">
        <is>
          <t>cables - power</t>
        </is>
      </c>
      <c r="G118" s="25" t="inlineStr">
        <is>
          <t>largecap</t>
        </is>
      </c>
      <c r="H118" s="26" t="n">
        <v>22936.67</v>
      </c>
      <c r="I118" s="26" t="n">
        <v>2023.8</v>
      </c>
      <c r="J118" s="26" t="n">
        <v>-0.2</v>
      </c>
      <c r="K118" s="26" t="n">
        <v>412951</v>
      </c>
      <c r="L118" s="26" t="n">
        <v>72.66</v>
      </c>
      <c r="M118" s="26" t="n">
        <v>31.95</v>
      </c>
      <c r="N118" s="26" t="n">
        <v>1614.48</v>
      </c>
      <c r="O118" s="25" t="inlineStr">
        <is>
          <t>Near 52W High Breakout</t>
        </is>
      </c>
      <c r="P118" s="25" t="inlineStr">
        <is>
          <t>Cyclical in an Upturn</t>
        </is>
      </c>
      <c r="Q118" s="25">
        <f>IF(P118="Growing Industry",10,IF(P118="Cyclical in an Upturn",5,0))</f>
        <v/>
      </c>
      <c r="R118" s="25" t="inlineStr">
        <is>
          <t>Too Many Players with High ROCE</t>
        </is>
      </c>
      <c r="S118" s="25">
        <f>IF(R118="Monopoly",10,IF(R118="Oligopoly",5,IF(R118="Duopoly that cooperate",10,IF(R118="Duopoly that compete",5,IF(R118="Too many players with High ROCE",5,0)))))</f>
        <v/>
      </c>
      <c r="T118" s="25" t="inlineStr">
        <is>
          <t>No</t>
        </is>
      </c>
      <c r="U118" s="25">
        <f>IF(T118="No",5,0)</f>
        <v/>
      </c>
      <c r="V118" s="25" t="inlineStr">
        <is>
          <t>Tailwind</t>
        </is>
      </c>
      <c r="W118" s="25">
        <f>IF(V118="Tailwind",10,0)</f>
        <v/>
      </c>
      <c r="X118" s="25" t="inlineStr">
        <is>
          <t>Structural (10 Years Consistency)</t>
        </is>
      </c>
      <c r="Y118" s="25">
        <f>IF(X118="Structural (10 Years Consistency)",10,IF(X118="Shallow Cyclical (2 to 3 years growth)",5,0))</f>
        <v/>
      </c>
      <c r="Z118" s="25" t="inlineStr">
        <is>
          <t>No</t>
        </is>
      </c>
      <c r="AA118" s="25">
        <f>IF(Z118="Yes due to Product Mix change or Operating Leverage",10,IF(Z118="Yes, these are peak margins",-5,IF(Z118="No",5,0)))</f>
        <v/>
      </c>
      <c r="AB118" s="25" t="inlineStr">
        <is>
          <t>Stable</t>
        </is>
      </c>
      <c r="AC118" s="25">
        <f>IF(AB118="Stable",10,0)</f>
        <v/>
      </c>
      <c r="AD118" s="25" t="inlineStr">
        <is>
          <t>Yes</t>
        </is>
      </c>
      <c r="AE118" s="25">
        <f>IF(AD118="Yes",10,0)</f>
        <v/>
      </c>
      <c r="AF118" s="25" t="inlineStr">
        <is>
          <t>B2B</t>
        </is>
      </c>
      <c r="AG118" s="25">
        <f>IF(AF118="B2C",10,IF(AF118="B2B",5,0))</f>
        <v/>
      </c>
      <c r="AH118" s="25" t="inlineStr">
        <is>
          <t>Yes</t>
        </is>
      </c>
      <c r="AI118" s="25">
        <f>IF(AH118="Yes",10,0)</f>
        <v/>
      </c>
      <c r="AJ118" s="25" t="inlineStr">
        <is>
          <t>Higher One Time, Lower Annuity</t>
        </is>
      </c>
      <c r="AK118" s="25">
        <f>IF(AJ118="Fully Annuity",10,IF(AJ118="Higher Annuity, Lower One Time",5,IF(AJ118="Higher One Time, Lower Annuity",3,0)))</f>
        <v/>
      </c>
      <c r="AL118" s="25" t="inlineStr">
        <is>
          <t>Good</t>
        </is>
      </c>
      <c r="AM118" s="25">
        <f>IF(AL118="Good",10,0)</f>
        <v/>
      </c>
      <c r="AN118" s="25" t="inlineStr">
        <is>
          <t>Yes for more than 2 years</t>
        </is>
      </c>
      <c r="AO118" s="25">
        <f>IF(AN118="Yes for more than 2 years",10,IF(AN118="Yes only for next 1 to 2 years",5,0))</f>
        <v/>
      </c>
      <c r="AP118" s="25" t="inlineStr">
        <is>
          <t>20 to 40</t>
        </is>
      </c>
      <c r="AQ118" s="25">
        <f>IF(AP118="Above 40",20,IF(AP118="20 to 40",10,IF(AP118="0 to 20",-5,0)))</f>
        <v/>
      </c>
      <c r="AR118" s="25" t="inlineStr">
        <is>
          <t>Between 50 to 75</t>
        </is>
      </c>
      <c r="AS118" s="25">
        <f>IF(AR118="Between 50 to 75",10,IF(AR118="Above 75",0,0))</f>
        <v/>
      </c>
      <c r="AT118" s="25" t="inlineStr">
        <is>
          <t>Stage 2</t>
        </is>
      </c>
      <c r="AU118" s="25">
        <f>IF(AT118="Stage 2",20,IF(AT118="Stage 1",0,IF(AT118="Stage 3",5,IF(AT118="Stage 4",-5,0))))</f>
        <v/>
      </c>
      <c r="AV118" s="25" t="inlineStr">
        <is>
          <t>Positive Trend</t>
        </is>
      </c>
      <c r="AW118" s="25">
        <f>IF(AV118="Positive Trend",20,IF(AV118="Negative Trend",-10,0))</f>
        <v/>
      </c>
      <c r="AX118" s="25" t="inlineStr">
        <is>
          <t>Uptrend</t>
        </is>
      </c>
      <c r="AY118" s="25">
        <f>IF(AX118="Uptrend",10,IF(AX118="Sideways",5,0))</f>
        <v/>
      </c>
      <c r="AZ118" s="25" t="inlineStr">
        <is>
          <t>Uptrend</t>
        </is>
      </c>
      <c r="BA118" s="25">
        <f>IF(AZ118="Uptrend",10,IF(AZ118="Sideways",5,0))</f>
        <v/>
      </c>
      <c r="BB118" s="25" t="inlineStr">
        <is>
          <t>Blue sky scenario</t>
        </is>
      </c>
      <c r="BC118" s="25">
        <f>IF(BB118="Overhead supply in last 2 years in last 2 years",-5,IF(BB118="Close to 52 week high or retracement",5,IF(BB118="Blue sky scenario",10,IF(BB118="Long term Downtrend",-10,0))))</f>
        <v/>
      </c>
      <c r="BD118" s="25" t="inlineStr">
        <is>
          <t>Yes</t>
        </is>
      </c>
      <c r="BE118" s="25">
        <f>IF(BD118="Yes",10,0)</f>
        <v/>
      </c>
      <c r="BF118" s="25" t="inlineStr">
        <is>
          <t>More than 20%</t>
        </is>
      </c>
      <c r="BG118" s="25">
        <f>IF(BF118="More than 20%",10,IF(BF118="Between 12 to 20%",5,IF(BF118="Less than 12%",0,0)))</f>
        <v/>
      </c>
      <c r="BH118" s="25" t="inlineStr">
        <is>
          <t>No</t>
        </is>
      </c>
      <c r="BI118" s="25">
        <f>IF(BH118="No",10,0)</f>
        <v/>
      </c>
      <c r="BJ118" s="25" t="inlineStr">
        <is>
          <t>Yes</t>
        </is>
      </c>
      <c r="BK118" s="25">
        <f>IF(BJ118="NO",5,0)</f>
        <v/>
      </c>
      <c r="BL118" s="25" t="inlineStr">
        <is>
          <t>Less than 1.5</t>
        </is>
      </c>
      <c r="BM118" s="25">
        <f>IF(BL118="Above 2",0,IF(BL118="Between 1.5 to 2",5,IF(BL118="Less than 1.5",10,0)))</f>
        <v/>
      </c>
      <c r="BN118" s="25" t="inlineStr">
        <is>
          <t>Less than 50%</t>
        </is>
      </c>
      <c r="BO118" s="25">
        <f>IF(BN118="Above 70%",10,IF(BN118="Between 50% to 70%",5,IF(BN118="Less than 50%",0,IF(BN118="Negative",-10,IF(BN118="Less than 50% and Borrowings are increasing",-5,0)))))</f>
        <v/>
      </c>
      <c r="BP118" s="25" t="inlineStr">
        <is>
          <t>Less than 0.7</t>
        </is>
      </c>
      <c r="BQ118" s="25">
        <f>IF(BP118="More than 1.2",-10,IF(BP118="Between 0.7 to 1.2",0,IF(BP118="Less than 0.7",10,0)))</f>
        <v/>
      </c>
      <c r="BR118" s="25" t="inlineStr">
        <is>
          <t>No</t>
        </is>
      </c>
      <c r="BS118" s="25">
        <f>IF(BR118="Yes",-10,0)</f>
        <v/>
      </c>
      <c r="BT118" s="25" t="inlineStr">
        <is>
          <t>Less than 15%</t>
        </is>
      </c>
      <c r="BU118" s="25">
        <f>IF(BT118="More than 15%",-10,IF(BT118="Less than 15%",10,0))</f>
        <v/>
      </c>
      <c r="BV118" s="25" t="inlineStr">
        <is>
          <t>No</t>
        </is>
      </c>
      <c r="BW118" s="25">
        <f>IF(BV118="Yes, more than 10%",-10,IF(BV118="No",10,0))</f>
        <v/>
      </c>
    </row>
    <row r="119">
      <c r="A119" s="25">
        <f>IF(B119=0,"",RANK(B119,$B$2:$B$292,0))</f>
        <v/>
      </c>
      <c r="B119" s="26">
        <f>SUM(Q119,S119,U119,W119,Y119,AA119,AC119,AE119,AG119,AI119,AK119,AM119,AO119,AQ119,AS119,AU119,AW119,AY119,BA119,BC119,BE119,BG119,BI119,BK119,BM119,BO119,BQ119,BS119,BU119,BW119)</f>
        <v/>
      </c>
      <c r="C119" s="25" t="inlineStr">
        <is>
          <t>PRECWIRE</t>
        </is>
      </c>
      <c r="D119" s="25" t="inlineStr">
        <is>
          <t>Precision Wires India Limited</t>
        </is>
      </c>
      <c r="E119" s="25" t="inlineStr">
        <is>
          <t>metals &amp; mining</t>
        </is>
      </c>
      <c r="F119" s="25" t="inlineStr">
        <is>
          <t>mining / minerals / metals</t>
        </is>
      </c>
      <c r="G119" s="25" t="inlineStr">
        <is>
          <t>midcap</t>
        </is>
      </c>
      <c r="H119" s="26" t="n">
        <v>7967.69</v>
      </c>
      <c r="I119" s="26" t="n">
        <v>428.45</v>
      </c>
      <c r="J119" s="26" t="n">
        <v>-1.7</v>
      </c>
      <c r="K119" s="26" t="n">
        <v>490075</v>
      </c>
      <c r="L119" s="26" t="n">
        <v>71.17</v>
      </c>
      <c r="M119" s="26" t="n">
        <v>70.11</v>
      </c>
      <c r="N119" s="26" t="n">
        <v>309.15</v>
      </c>
      <c r="O119" s="25" t="inlineStr">
        <is>
          <t>Near 52W High Breakout</t>
        </is>
      </c>
      <c r="P119" s="25" t="inlineStr">
        <is>
          <t>Cyclical in an Upturn</t>
        </is>
      </c>
      <c r="Q119" s="25">
        <f>IF(P119="Growing Industry",10,IF(P119="Cyclical in an Upturn",5,0))</f>
        <v/>
      </c>
      <c r="R119" s="25" t="inlineStr">
        <is>
          <t>Too Many Players with High ROCE</t>
        </is>
      </c>
      <c r="S119" s="25">
        <f>IF(R119="Monopoly",10,IF(R119="Oligopoly",5,IF(R119="Duopoly that cooperate",10,IF(R119="Duopoly that compete",5,IF(R119="Too many players with High ROCE",5,0)))))</f>
        <v/>
      </c>
      <c r="T119" s="25" t="inlineStr">
        <is>
          <t>No</t>
        </is>
      </c>
      <c r="U119" s="25">
        <f>IF(T119="No",5,0)</f>
        <v/>
      </c>
      <c r="V119" s="25" t="inlineStr">
        <is>
          <t>Tailwind</t>
        </is>
      </c>
      <c r="W119" s="25">
        <f>IF(V119="Tailwind",10,0)</f>
        <v/>
      </c>
      <c r="X119" s="25" t="inlineStr">
        <is>
          <t>Cyclical</t>
        </is>
      </c>
      <c r="Y119" s="25">
        <f>IF(X119="Structural (10 Years Consistency)",10,IF(X119="Shallow Cyclical (2 to 3 years growth)",5,0))</f>
        <v/>
      </c>
      <c r="Z119" s="25" t="inlineStr">
        <is>
          <t>No</t>
        </is>
      </c>
      <c r="AA119" s="25">
        <f>IF(Z119="Yes due to Product Mix change or Operating Leverage",10,IF(Z119="Yes, these are peak margins",-5,IF(Z119="No",5,0)))</f>
        <v/>
      </c>
      <c r="AB119" s="25" t="inlineStr">
        <is>
          <t>Volatile</t>
        </is>
      </c>
      <c r="AC119" s="25">
        <f>IF(AB119="Stable",10,0)</f>
        <v/>
      </c>
      <c r="AD119" s="25" t="inlineStr">
        <is>
          <t>Yes</t>
        </is>
      </c>
      <c r="AE119" s="25">
        <f>IF(AD119="Yes",10,0)</f>
        <v/>
      </c>
      <c r="AF119" s="25" t="inlineStr">
        <is>
          <t>B2B</t>
        </is>
      </c>
      <c r="AG119" s="25">
        <f>IF(AF119="B2C",10,IF(AF119="B2B",5,0))</f>
        <v/>
      </c>
      <c r="AH119" s="25" t="inlineStr">
        <is>
          <t>Yes</t>
        </is>
      </c>
      <c r="AI119" s="25">
        <f>IF(AH119="Yes",10,0)</f>
        <v/>
      </c>
      <c r="AJ119" s="25" t="inlineStr">
        <is>
          <t>Higher One Time, Lower Annuity</t>
        </is>
      </c>
      <c r="AK119" s="25">
        <f>IF(AJ119="Fully Annuity",10,IF(AJ119="Higher Annuity, Lower One Time",5,IF(AJ119="Higher One Time, Lower Annuity",3,0)))</f>
        <v/>
      </c>
      <c r="AL119" s="25" t="inlineStr">
        <is>
          <t>Good</t>
        </is>
      </c>
      <c r="AM119" s="25">
        <f>IF(AL119="Good",10,0)</f>
        <v/>
      </c>
      <c r="AN119" s="25" t="inlineStr">
        <is>
          <t>Yes for more than 2 years</t>
        </is>
      </c>
      <c r="AO119" s="25">
        <f>IF(AN119="Yes for more than 2 years",10,IF(AN119="Yes only for next 1 to 2 years",5,0))</f>
        <v/>
      </c>
      <c r="AP119" s="25" t="inlineStr">
        <is>
          <t>Above 40</t>
        </is>
      </c>
      <c r="AQ119" s="25">
        <f>IF(AP119="Above 40",20,IF(AP119="20 to 40",10,IF(AP119="0 to 20",-5,0)))</f>
        <v/>
      </c>
      <c r="AR119" s="25" t="inlineStr">
        <is>
          <t>Between 50 to 75</t>
        </is>
      </c>
      <c r="AS119" s="25">
        <f>IF(AR119="Between 50 to 75",10,IF(AR119="Above 75",0,0))</f>
        <v/>
      </c>
      <c r="AT119" s="25" t="inlineStr">
        <is>
          <t>Stage 2</t>
        </is>
      </c>
      <c r="AU119" s="25">
        <f>IF(AT119="Stage 2",20,IF(AT119="Stage 1",0,IF(AT119="Stage 3",5,IF(AT119="Stage 4",-5,0))))</f>
        <v/>
      </c>
      <c r="AV119" s="25" t="inlineStr">
        <is>
          <t>Positive Trend</t>
        </is>
      </c>
      <c r="AW119" s="25">
        <f>IF(AV119="Positive Trend",20,IF(AV119="Negative Trend",-10,0))</f>
        <v/>
      </c>
      <c r="AX119" s="25" t="inlineStr">
        <is>
          <t>Uptrend</t>
        </is>
      </c>
      <c r="AY119" s="25">
        <f>IF(AX119="Uptrend",10,IF(AX119="Sideways",5,0))</f>
        <v/>
      </c>
      <c r="AZ119" s="25" t="inlineStr">
        <is>
          <t>Uptrend</t>
        </is>
      </c>
      <c r="BA119" s="25">
        <f>IF(AZ119="Uptrend",10,IF(AZ119="Sideways",5,0))</f>
        <v/>
      </c>
      <c r="BB119" s="25" t="inlineStr">
        <is>
          <t>Blue sky scenario</t>
        </is>
      </c>
      <c r="BC119" s="25">
        <f>IF(BB119="Overhead supply in last 2 years in last 2 years",-5,IF(BB119="Close to 52 week high or retracement",5,IF(BB119="Blue sky scenario",10,IF(BB119="Long term Downtrend",-10,0))))</f>
        <v/>
      </c>
      <c r="BD119" s="25" t="inlineStr">
        <is>
          <t>Yes</t>
        </is>
      </c>
      <c r="BE119" s="25">
        <f>IF(BD119="Yes",10,0)</f>
        <v/>
      </c>
      <c r="BF119" s="25" t="inlineStr">
        <is>
          <t>More than 20%</t>
        </is>
      </c>
      <c r="BG119" s="25">
        <f>IF(BF119="More than 20%",10,IF(BF119="Between 12 to 20%",5,IF(BF119="Less than 12%",0,0)))</f>
        <v/>
      </c>
      <c r="BH119" s="25" t="inlineStr">
        <is>
          <t>No</t>
        </is>
      </c>
      <c r="BI119" s="25">
        <f>IF(BH119="No",10,0)</f>
        <v/>
      </c>
      <c r="BJ119" s="25" t="inlineStr">
        <is>
          <t>Yes</t>
        </is>
      </c>
      <c r="BK119" s="25">
        <f>IF(BJ119="NO",5,0)</f>
        <v/>
      </c>
      <c r="BL119" s="25" t="inlineStr">
        <is>
          <t>Less than 1.5</t>
        </is>
      </c>
      <c r="BM119" s="25">
        <f>IF(BL119="Above 2",0,IF(BL119="Between 1.5 to 2",5,IF(BL119="Less than 1.5",10,0)))</f>
        <v/>
      </c>
      <c r="BN119" s="25" t="inlineStr">
        <is>
          <t>Above 70%</t>
        </is>
      </c>
      <c r="BO119" s="25">
        <f>IF(BN119="Above 70%",10,IF(BN119="Between 50% to 70%",5,IF(BN119="Less than 50%",0,IF(BN119="Negative",-10,IF(BN119="Less than 50% and Borrowings are increasing",-5,0)))))</f>
        <v/>
      </c>
      <c r="BP119" s="25" t="inlineStr">
        <is>
          <t>Less than 0.7</t>
        </is>
      </c>
      <c r="BQ119" s="25">
        <f>IF(BP119="More than 1.2",-10,IF(BP119="Between 0.7 to 1.2",0,IF(BP119="Less than 0.7",10,0)))</f>
        <v/>
      </c>
      <c r="BR119" s="25" t="inlineStr">
        <is>
          <t>No</t>
        </is>
      </c>
      <c r="BS119" s="25">
        <f>IF(BR119="Yes",-10,0)</f>
        <v/>
      </c>
      <c r="BT119" s="25" t="inlineStr">
        <is>
          <t>Less than 15%</t>
        </is>
      </c>
      <c r="BU119" s="25">
        <f>IF(BT119="More than 15%",-10,IF(BT119="Less than 15%",10,0))</f>
        <v/>
      </c>
      <c r="BV119" s="25" t="inlineStr">
        <is>
          <t>No</t>
        </is>
      </c>
      <c r="BW119" s="25">
        <f>IF(BV119="Yes, more than 10%",-10,IF(BV119="No",10,0))</f>
        <v/>
      </c>
    </row>
    <row r="120">
      <c r="A120" s="25">
        <f>IF(B120=0,"",RANK(B120,$B$2:$B$292,0))</f>
        <v/>
      </c>
      <c r="B120" s="26">
        <f>SUM(Q120,S120,U120,W120,Y120,AA120,AC120,AE120,AG120,AI120,AK120,AM120,AO120,AQ120,AS120,AU120,AW120,AY120,BA120,BC120,BE120,BG120,BI120,BK120,BM120,BO120,BQ120,BS120,BU120,BW120)</f>
        <v/>
      </c>
      <c r="C120" s="25" t="inlineStr">
        <is>
          <t>ORCHPHARMA</t>
        </is>
      </c>
      <c r="D120" s="25" t="inlineStr">
        <is>
          <t>Orchid Pharma Ltd</t>
        </is>
      </c>
      <c r="E120" s="25" t="inlineStr">
        <is>
          <t>healthcare</t>
        </is>
      </c>
      <c r="F120" s="25" t="inlineStr">
        <is>
          <t>pharmaceuticals - indian - bulk drugs &amp; formln</t>
        </is>
      </c>
      <c r="G120" s="25" t="inlineStr">
        <is>
          <t>smallcap</t>
        </is>
      </c>
      <c r="H120" s="26" t="n">
        <v>3941.38</v>
      </c>
      <c r="I120" s="26" t="n">
        <v>824.8</v>
      </c>
      <c r="J120" s="26" t="n">
        <v>6.14</v>
      </c>
      <c r="K120" s="26" t="n">
        <v>105992</v>
      </c>
      <c r="L120" s="26" t="n">
        <v>65.78</v>
      </c>
      <c r="M120" s="26" t="n">
        <v>35.81</v>
      </c>
      <c r="N120" s="26" t="n">
        <v>621.34</v>
      </c>
      <c r="O120" s="25" t="inlineStr">
        <is>
          <t>Near 52W High Breakout</t>
        </is>
      </c>
      <c r="P120" s="25" t="inlineStr">
        <is>
          <t>Growing Industry</t>
        </is>
      </c>
      <c r="Q120" s="25">
        <f>IF(P120="Growing Industry",10,IF(P120="Cyclical in an Upturn",5,0))</f>
        <v/>
      </c>
      <c r="R120" s="25" t="inlineStr">
        <is>
          <t>Too Many Players with High ROCE</t>
        </is>
      </c>
      <c r="S120" s="25">
        <f>IF(R120="Monopoly",10,IF(R120="Oligopoly",5,IF(R120="Duopoly that cooperate",10,IF(R120="Duopoly that compete",5,IF(R120="Too many players with High ROCE",5,0)))))</f>
        <v/>
      </c>
      <c r="T120" s="25" t="inlineStr">
        <is>
          <t>Yes</t>
        </is>
      </c>
      <c r="U120" s="25">
        <f>IF(T120="No",5,0)</f>
        <v/>
      </c>
      <c r="V120" s="25" t="inlineStr">
        <is>
          <t>Headwind</t>
        </is>
      </c>
      <c r="W120" s="25">
        <f>IF(V120="Tailwind",10,0)</f>
        <v/>
      </c>
      <c r="X120" s="25" t="inlineStr">
        <is>
          <t>Structural (10 Years Consistency)</t>
        </is>
      </c>
      <c r="Y120" s="25">
        <f>IF(X120="Structural (10 Years Consistency)",10,IF(X120="Shallow Cyclical (2 to 3 years growth)",5,0))</f>
        <v/>
      </c>
      <c r="Z120" s="25" t="inlineStr">
        <is>
          <t>No</t>
        </is>
      </c>
      <c r="AA120" s="25">
        <f>IF(Z120="Yes due to Product Mix change or Operating Leverage",10,IF(Z120="Yes, these are peak margins",-5,IF(Z120="No",5,0)))</f>
        <v/>
      </c>
      <c r="AB120" s="25" t="inlineStr">
        <is>
          <t>Stable</t>
        </is>
      </c>
      <c r="AC120" s="25">
        <f>IF(AB120="Stable",10,0)</f>
        <v/>
      </c>
      <c r="AD120" s="25" t="inlineStr">
        <is>
          <t>Yes</t>
        </is>
      </c>
      <c r="AE120" s="25">
        <f>IF(AD120="Yes",10,0)</f>
        <v/>
      </c>
      <c r="AF120" s="25" t="inlineStr">
        <is>
          <t>B2B</t>
        </is>
      </c>
      <c r="AG120" s="25">
        <f>IF(AF120="B2C",10,IF(AF120="B2B",5,0))</f>
        <v/>
      </c>
      <c r="AH120" s="25" t="inlineStr">
        <is>
          <t>Yes</t>
        </is>
      </c>
      <c r="AI120" s="25">
        <f>IF(AH120="Yes",10,0)</f>
        <v/>
      </c>
      <c r="AJ120" s="25" t="inlineStr">
        <is>
          <t>Higher Annuity, Lower One Time</t>
        </is>
      </c>
      <c r="AK120" s="25">
        <f>IF(AJ120="Fully Annuity",10,IF(AJ120="Higher Annuity, Lower One Time",5,IF(AJ120="Higher One Time, Lower Annuity",3,0)))</f>
        <v/>
      </c>
      <c r="AL120" s="25" t="inlineStr">
        <is>
          <t>Good</t>
        </is>
      </c>
      <c r="AM120" s="25">
        <f>IF(AL120="Good",10,0)</f>
        <v/>
      </c>
      <c r="AN120" s="25" t="inlineStr">
        <is>
          <t>Yes for more than 2 years</t>
        </is>
      </c>
      <c r="AO120" s="25">
        <f>IF(AN120="Yes for more than 2 years",10,IF(AN120="Yes only for next 1 to 2 years",5,0))</f>
        <v/>
      </c>
      <c r="AP120" s="25" t="inlineStr">
        <is>
          <t>20 to 40</t>
        </is>
      </c>
      <c r="AQ120" s="25">
        <f>IF(AP120="Above 40",20,IF(AP120="20 to 40",10,IF(AP120="0 to 20",-5,0)))</f>
        <v/>
      </c>
      <c r="AR120" s="25" t="inlineStr">
        <is>
          <t>Between 50 to 75</t>
        </is>
      </c>
      <c r="AS120" s="25">
        <f>IF(AR120="Between 50 to 75",10,IF(AR120="Above 75",0,0))</f>
        <v/>
      </c>
      <c r="AT120" s="25" t="inlineStr">
        <is>
          <t>Stage 2</t>
        </is>
      </c>
      <c r="AU120" s="25">
        <f>IF(AT120="Stage 2",20,IF(AT120="Stage 1",0,IF(AT120="Stage 3",5,IF(AT120="Stage 4",-5,0))))</f>
        <v/>
      </c>
      <c r="AV120" s="25" t="inlineStr">
        <is>
          <t>Positive Trend</t>
        </is>
      </c>
      <c r="AW120" s="25">
        <f>IF(AV120="Positive Trend",20,IF(AV120="Negative Trend",-10,0))</f>
        <v/>
      </c>
      <c r="AX120" s="25" t="inlineStr">
        <is>
          <t>Uptrend</t>
        </is>
      </c>
      <c r="AY120" s="25">
        <f>IF(AX120="Uptrend",10,IF(AX120="Sideways",5,0))</f>
        <v/>
      </c>
      <c r="AZ120" s="25" t="inlineStr">
        <is>
          <t>Uptrend</t>
        </is>
      </c>
      <c r="BA120" s="25">
        <f>IF(AZ120="Uptrend",10,IF(AZ120="Sideways",5,0))</f>
        <v/>
      </c>
      <c r="BB120" s="25" t="inlineStr">
        <is>
          <t>Close to 52 week high or retracement</t>
        </is>
      </c>
      <c r="BC120" s="25">
        <f>IF(BB120="Overhead supply in last 2 years in last 2 years",-5,IF(BB120="Close to 52 week high or retracement",5,IF(BB120="Blue sky scenario",10,IF(BB120="Long term Downtrend",-10,0))))</f>
        <v/>
      </c>
      <c r="BD120" s="25" t="inlineStr">
        <is>
          <t>Yes</t>
        </is>
      </c>
      <c r="BE120" s="25">
        <f>IF(BD120="Yes",10,0)</f>
        <v/>
      </c>
      <c r="BF120" s="25" t="inlineStr">
        <is>
          <t>More than 20%</t>
        </is>
      </c>
      <c r="BG120" s="25">
        <f>IF(BF120="More than 20%",10,IF(BF120="Between 12 to 20%",5,IF(BF120="Less than 12%",0,0)))</f>
        <v/>
      </c>
      <c r="BH120" s="25" t="inlineStr">
        <is>
          <t>No</t>
        </is>
      </c>
      <c r="BI120" s="25">
        <f>IF(BH120="No",10,0)</f>
        <v/>
      </c>
      <c r="BJ120" s="25" t="inlineStr">
        <is>
          <t>Yes</t>
        </is>
      </c>
      <c r="BK120" s="25">
        <f>IF(BJ120="NO",5,0)</f>
        <v/>
      </c>
      <c r="BL120" s="25" t="inlineStr">
        <is>
          <t>Less than 1.5</t>
        </is>
      </c>
      <c r="BM120" s="25">
        <f>IF(BL120="Above 2",0,IF(BL120="Between 1.5 to 2",5,IF(BL120="Less than 1.5",10,0)))</f>
        <v/>
      </c>
      <c r="BN120" s="25" t="inlineStr">
        <is>
          <t>Above 70%</t>
        </is>
      </c>
      <c r="BO120" s="25">
        <f>IF(BN120="Above 70%",10,IF(BN120="Between 50% to 70%",5,IF(BN120="Less than 50%",0,IF(BN120="Negative",-10,IF(BN120="Less than 50% and Borrowings are increasing",-5,0)))))</f>
        <v/>
      </c>
      <c r="BP120" s="25" t="inlineStr">
        <is>
          <t>Less than 0.7</t>
        </is>
      </c>
      <c r="BQ120" s="25">
        <f>IF(BP120="More than 1.2",-10,IF(BP120="Between 0.7 to 1.2",0,IF(BP120="Less than 0.7",10,0)))</f>
        <v/>
      </c>
      <c r="BR120" s="25" t="inlineStr">
        <is>
          <t>No</t>
        </is>
      </c>
      <c r="BS120" s="25">
        <f>IF(BR120="Yes",-10,0)</f>
        <v/>
      </c>
      <c r="BT120" s="25" t="inlineStr">
        <is>
          <t>Less than 15%</t>
        </is>
      </c>
      <c r="BU120" s="25">
        <f>IF(BT120="More than 15%",-10,IF(BT120="Less than 15%",10,0))</f>
        <v/>
      </c>
      <c r="BV120" s="25" t="inlineStr">
        <is>
          <t>No</t>
        </is>
      </c>
      <c r="BW120" s="25">
        <f>IF(BV120="Yes, more than 10%",-10,IF(BV120="No",10,0))</f>
        <v/>
      </c>
    </row>
    <row r="121">
      <c r="A121" s="25">
        <f>IF(B121=0,"",RANK(B121,$B$2:$B$292,0))</f>
        <v/>
      </c>
      <c r="B121" s="26">
        <f>SUM(Q121,S121,U121,W121,Y121,AA121,AC121,AE121,AG121,AI121,AK121,AM121,AO121,AQ121,AS121,AU121,AW121,AY121,BA121,BC121,BE121,BG121,BI121,BK121,BM121,BO121,BQ121,BS121,BU121,BW121)</f>
        <v/>
      </c>
      <c r="C121" s="25" t="inlineStr">
        <is>
          <t>GPTHEALTH</t>
        </is>
      </c>
      <c r="D121" s="25" t="inlineStr">
        <is>
          <t>GPT Healthcare Ltd</t>
        </is>
      </c>
      <c r="E121" s="25" t="inlineStr">
        <is>
          <t>healthcare</t>
        </is>
      </c>
      <c r="F121" s="25" t="inlineStr">
        <is>
          <t>healthcare</t>
        </is>
      </c>
      <c r="G121" s="25" t="inlineStr">
        <is>
          <t>smallcap</t>
        </is>
      </c>
      <c r="H121" s="26" t="n">
        <v>1174.45</v>
      </c>
      <c r="I121" s="26" t="n">
        <v>151.41</v>
      </c>
      <c r="J121" s="26" t="n">
        <v>5.78</v>
      </c>
      <c r="K121" s="26" t="n">
        <v>419003</v>
      </c>
      <c r="L121" s="26" t="n">
        <v>63.71</v>
      </c>
      <c r="M121" s="26" t="n">
        <v>26.73</v>
      </c>
      <c r="N121" s="26" t="n">
        <v>123.09</v>
      </c>
      <c r="O121" s="25" t="inlineStr">
        <is>
          <t>Earnings / Momentum Support</t>
        </is>
      </c>
      <c r="P121" s="25" t="inlineStr">
        <is>
          <t>Growing Industry</t>
        </is>
      </c>
      <c r="Q121" s="25">
        <f>IF(P121="Growing Industry",10,IF(P121="Cyclical in an Upturn",5,0))</f>
        <v/>
      </c>
      <c r="R121" s="25" t="inlineStr">
        <is>
          <t>Too Many Players with High ROCE</t>
        </is>
      </c>
      <c r="S121" s="25">
        <f>IF(R121="Monopoly",10,IF(R121="Oligopoly",5,IF(R121="Duopoly that cooperate",10,IF(R121="Duopoly that compete",5,IF(R121="Too many players with High ROCE",5,0)))))</f>
        <v/>
      </c>
      <c r="T121" s="25" t="inlineStr">
        <is>
          <t>Yes</t>
        </is>
      </c>
      <c r="U121" s="25">
        <f>IF(T121="No",5,0)</f>
        <v/>
      </c>
      <c r="V121" s="25" t="inlineStr">
        <is>
          <t>Tailwind</t>
        </is>
      </c>
      <c r="W121" s="25">
        <f>IF(V121="Tailwind",10,0)</f>
        <v/>
      </c>
      <c r="X121" s="25" t="inlineStr">
        <is>
          <t>Structural (10 Years Consistency)</t>
        </is>
      </c>
      <c r="Y121" s="25">
        <f>IF(X121="Structural (10 Years Consistency)",10,IF(X121="Shallow Cyclical (2 to 3 years growth)",5,0))</f>
        <v/>
      </c>
      <c r="Z121" s="25" t="inlineStr">
        <is>
          <t>No</t>
        </is>
      </c>
      <c r="AA121" s="25">
        <f>IF(Z121="Yes due to Product Mix change or Operating Leverage",10,IF(Z121="Yes, these are peak margins",-5,IF(Z121="No",5,0)))</f>
        <v/>
      </c>
      <c r="AB121" s="25" t="inlineStr">
        <is>
          <t>Stable</t>
        </is>
      </c>
      <c r="AC121" s="25">
        <f>IF(AB121="Stable",10,0)</f>
        <v/>
      </c>
      <c r="AD121" s="25" t="inlineStr">
        <is>
          <t>Yes</t>
        </is>
      </c>
      <c r="AE121" s="25">
        <f>IF(AD121="Yes",10,0)</f>
        <v/>
      </c>
      <c r="AF121" s="25" t="inlineStr">
        <is>
          <t>B2B</t>
        </is>
      </c>
      <c r="AG121" s="25">
        <f>IF(AF121="B2C",10,IF(AF121="B2B",5,0))</f>
        <v/>
      </c>
      <c r="AH121" s="25" t="inlineStr">
        <is>
          <t>No</t>
        </is>
      </c>
      <c r="AI121" s="25">
        <f>IF(AH121="Yes",10,0)</f>
        <v/>
      </c>
      <c r="AJ121" s="25" t="inlineStr">
        <is>
          <t>Higher Annuity, Lower One Time</t>
        </is>
      </c>
      <c r="AK121" s="25">
        <f>IF(AJ121="Fully Annuity",10,IF(AJ121="Higher Annuity, Lower One Time",5,IF(AJ121="Higher One Time, Lower Annuity",3,0)))</f>
        <v/>
      </c>
      <c r="AL121" s="25" t="inlineStr">
        <is>
          <t>Good</t>
        </is>
      </c>
      <c r="AM121" s="25">
        <f>IF(AL121="Good",10,0)</f>
        <v/>
      </c>
      <c r="AN121" s="25" t="inlineStr">
        <is>
          <t>Yes for more than 2 years</t>
        </is>
      </c>
      <c r="AO121" s="25">
        <f>IF(AN121="Yes for more than 2 years",10,IF(AN121="Yes only for next 1 to 2 years",5,0))</f>
        <v/>
      </c>
      <c r="AP121" s="25" t="inlineStr">
        <is>
          <t>20 to 40</t>
        </is>
      </c>
      <c r="AQ121" s="25">
        <f>IF(AP121="Above 40",20,IF(AP121="20 to 40",10,IF(AP121="0 to 20",-5,0)))</f>
        <v/>
      </c>
      <c r="AR121" s="25" t="inlineStr">
        <is>
          <t>Between 50 to 75</t>
        </is>
      </c>
      <c r="AS121" s="25">
        <f>IF(AR121="Between 50 to 75",10,IF(AR121="Above 75",0,0))</f>
        <v/>
      </c>
      <c r="AT121" s="25" t="inlineStr">
        <is>
          <t>Stage 2</t>
        </is>
      </c>
      <c r="AU121" s="25">
        <f>IF(AT121="Stage 2",20,IF(AT121="Stage 1",0,IF(AT121="Stage 3",5,IF(AT121="Stage 4",-5,0))))</f>
        <v/>
      </c>
      <c r="AV121" s="25" t="inlineStr">
        <is>
          <t>Positive Trend</t>
        </is>
      </c>
      <c r="AW121" s="25">
        <f>IF(AV121="Positive Trend",20,IF(AV121="Negative Trend",-10,0))</f>
        <v/>
      </c>
      <c r="AX121" s="25" t="inlineStr">
        <is>
          <t>Uptrend</t>
        </is>
      </c>
      <c r="AY121" s="25">
        <f>IF(AX121="Uptrend",10,IF(AX121="Sideways",5,0))</f>
        <v/>
      </c>
      <c r="AZ121" s="25" t="inlineStr">
        <is>
          <t>Uptrend</t>
        </is>
      </c>
      <c r="BA121" s="25">
        <f>IF(AZ121="Uptrend",10,IF(AZ121="Sideways",5,0))</f>
        <v/>
      </c>
      <c r="BB121" s="25" t="inlineStr">
        <is>
          <t>Close to 52 week high or retracement</t>
        </is>
      </c>
      <c r="BC121" s="25">
        <f>IF(BB121="Overhead supply in last 2 years in last 2 years",-5,IF(BB121="Close to 52 week high or retracement",5,IF(BB121="Blue sky scenario",10,IF(BB121="Long term Downtrend",-10,0))))</f>
        <v/>
      </c>
      <c r="BD121" s="25" t="inlineStr">
        <is>
          <t>Yes</t>
        </is>
      </c>
      <c r="BE121" s="25">
        <f>IF(BD121="Yes",10,0)</f>
        <v/>
      </c>
      <c r="BF121" s="25" t="inlineStr">
        <is>
          <t>Between 12 to 20%</t>
        </is>
      </c>
      <c r="BG121" s="25">
        <f>IF(BF121="More than 20%",10,IF(BF121="Between 12 to 20%",5,IF(BF121="Less than 12%",0,0)))</f>
        <v/>
      </c>
      <c r="BH121" s="25" t="inlineStr">
        <is>
          <t>No</t>
        </is>
      </c>
      <c r="BI121" s="25">
        <f>IF(BH121="No",10,0)</f>
        <v/>
      </c>
      <c r="BJ121" s="25" t="inlineStr">
        <is>
          <t>No</t>
        </is>
      </c>
      <c r="BK121" s="25">
        <f>IF(BJ121="NO",5,0)</f>
        <v/>
      </c>
      <c r="BL121" s="25" t="inlineStr">
        <is>
          <t>Less than 1.5</t>
        </is>
      </c>
      <c r="BM121" s="25">
        <f>IF(BL121="Above 2",0,IF(BL121="Between 1.5 to 2",5,IF(BL121="Less than 1.5",10,0)))</f>
        <v/>
      </c>
      <c r="BN121" s="25" t="inlineStr">
        <is>
          <t>Above 70%</t>
        </is>
      </c>
      <c r="BO121" s="25">
        <f>IF(BN121="Above 70%",10,IF(BN121="Between 50% to 70%",5,IF(BN121="Less than 50%",0,IF(BN121="Negative",-10,IF(BN121="Less than 50% and Borrowings are increasing",-5,0)))))</f>
        <v/>
      </c>
      <c r="BP121" s="25" t="inlineStr">
        <is>
          <t>Less than 0.7</t>
        </is>
      </c>
      <c r="BQ121" s="25">
        <f>IF(BP121="More than 1.2",-10,IF(BP121="Between 0.7 to 1.2",0,IF(BP121="Less than 0.7",10,0)))</f>
        <v/>
      </c>
      <c r="BR121" s="25" t="inlineStr">
        <is>
          <t>No</t>
        </is>
      </c>
      <c r="BS121" s="25">
        <f>IF(BR121="Yes",-10,0)</f>
        <v/>
      </c>
      <c r="BT121" s="25" t="inlineStr">
        <is>
          <t>Less than 15%</t>
        </is>
      </c>
      <c r="BU121" s="25">
        <f>IF(BT121="More than 15%",-10,IF(BT121="Less than 15%",10,0))</f>
        <v/>
      </c>
      <c r="BV121" s="25" t="inlineStr">
        <is>
          <t>No</t>
        </is>
      </c>
      <c r="BW121" s="25">
        <f>IF(BV121="Yes, more than 10%",-10,IF(BV121="No",10,0))</f>
        <v/>
      </c>
    </row>
    <row r="122">
      <c r="A122" s="25">
        <f>IF(B122=0,"",RANK(B122,$B$2:$B$292,0))</f>
        <v/>
      </c>
      <c r="B122" s="26">
        <f>SUM(Q122,S122,U122,W122,Y122,AA122,AC122,AE122,AG122,AI122,AK122,AM122,AO122,AQ122,AS122,AU122,AW122,AY122,BA122,BC122,BE122,BG122,BI122,BK122,BM122,BO122,BQ122,BS122,BU122,BW122)</f>
        <v/>
      </c>
      <c r="C122" s="25" t="inlineStr">
        <is>
          <t>GVPIL</t>
        </is>
      </c>
      <c r="D122" s="25" t="inlineStr">
        <is>
          <t>GE Power India Ltd</t>
        </is>
      </c>
      <c r="E122" s="25" t="inlineStr">
        <is>
          <t>realty</t>
        </is>
      </c>
      <c r="F122" s="25" t="inlineStr">
        <is>
          <t>engineering - turnkey services</t>
        </is>
      </c>
      <c r="G122" s="25" t="inlineStr">
        <is>
          <t>midcap</t>
        </is>
      </c>
      <c r="H122" s="26" t="n">
        <v>5525.43</v>
      </c>
      <c r="I122" s="26" t="n">
        <v>858.95</v>
      </c>
      <c r="J122" s="26" t="n">
        <v>4.51</v>
      </c>
      <c r="K122" s="26" t="n">
        <v>1113672</v>
      </c>
      <c r="L122" s="26" t="n">
        <v>85.56</v>
      </c>
      <c r="M122" s="26" t="n">
        <v>53.84</v>
      </c>
      <c r="N122" s="26" t="n">
        <v>655.71</v>
      </c>
      <c r="O122" s="25" t="inlineStr">
        <is>
          <t>Near 52W High Breakout</t>
        </is>
      </c>
      <c r="P122" s="25" t="inlineStr">
        <is>
          <t>Growing Industry</t>
        </is>
      </c>
      <c r="Q122" s="25">
        <f>IF(P122="Growing Industry",10,IF(P122="Cyclical in an Upturn",5,0))</f>
        <v/>
      </c>
      <c r="R122" s="25" t="inlineStr">
        <is>
          <t>Duopoly That Cooperate</t>
        </is>
      </c>
      <c r="S122" s="25">
        <f>IF(R122="Monopoly",10,IF(R122="Oligopoly",5,IF(R122="Duopoly that cooperate",10,IF(R122="Duopoly that compete",5,IF(R122="Too many players with High ROCE",5,0)))))</f>
        <v/>
      </c>
      <c r="T122" s="25" t="inlineStr">
        <is>
          <t>No</t>
        </is>
      </c>
      <c r="U122" s="25">
        <f>IF(T122="No",5,0)</f>
        <v/>
      </c>
      <c r="V122" s="25" t="inlineStr">
        <is>
          <t>Tailwind</t>
        </is>
      </c>
      <c r="W122" s="25">
        <f>IF(V122="Tailwind",10,0)</f>
        <v/>
      </c>
      <c r="X122" s="25" t="inlineStr">
        <is>
          <t>Shallow Cyclical (2 to 3 Years Growth)</t>
        </is>
      </c>
      <c r="Y122" s="25">
        <f>IF(X122="Structural (10 Years Consistency)",10,IF(X122="Shallow Cyclical (2 to 3 years growth)",5,0))</f>
        <v/>
      </c>
      <c r="Z122" s="25" t="inlineStr">
        <is>
          <t>Yes due to Product Mix change or Operating Leverage</t>
        </is>
      </c>
      <c r="AA122" s="25">
        <f>IF(Z122="Yes due to Product Mix change or Operating Leverage",10,IF(Z122="Yes, these are peak margins",-5,IF(Z122="No",5,0)))</f>
        <v/>
      </c>
      <c r="AB122" s="25" t="inlineStr">
        <is>
          <t>Stable</t>
        </is>
      </c>
      <c r="AC122" s="25">
        <f>IF(AB122="Stable",10,0)</f>
        <v/>
      </c>
      <c r="AD122" s="25" t="inlineStr">
        <is>
          <t>Yes</t>
        </is>
      </c>
      <c r="AE122" s="25">
        <f>IF(AD122="Yes",10,0)</f>
        <v/>
      </c>
      <c r="AF122" s="25" t="inlineStr">
        <is>
          <t>B2C</t>
        </is>
      </c>
      <c r="AG122" s="25">
        <f>IF(AF122="B2C",10,IF(AF122="B2B",5,0))</f>
        <v/>
      </c>
      <c r="AH122" s="25" t="inlineStr">
        <is>
          <t>Yes</t>
        </is>
      </c>
      <c r="AI122" s="25">
        <f>IF(AH122="Yes",10,0)</f>
        <v/>
      </c>
      <c r="AJ122" s="25" t="inlineStr">
        <is>
          <t>Fully Annuity</t>
        </is>
      </c>
      <c r="AK122" s="25">
        <f>IF(AJ122="Fully Annuity",10,IF(AJ122="Higher Annuity, Lower One Time",5,IF(AJ122="Higher One Time, Lower Annuity",3,0)))</f>
        <v/>
      </c>
      <c r="AL122" s="25" t="inlineStr">
        <is>
          <t>Good</t>
        </is>
      </c>
      <c r="AM122" s="25">
        <f>IF(AL122="Good",10,0)</f>
        <v/>
      </c>
      <c r="AN122" s="25" t="inlineStr">
        <is>
          <t>Yes only for next 1 to 2 years</t>
        </is>
      </c>
      <c r="AO122" s="25">
        <f>IF(AN122="Yes for more than 2 years",10,IF(AN122="Yes only for next 1 to 2 years",5,0))</f>
        <v/>
      </c>
      <c r="AP122" s="25" t="inlineStr">
        <is>
          <t>Above 40</t>
        </is>
      </c>
      <c r="AQ122" s="25">
        <f>IF(AP122="Above 40",20,IF(AP122="20 to 40",10,IF(AP122="0 to 20",-5,0)))</f>
        <v/>
      </c>
      <c r="AR122" s="25" t="inlineStr">
        <is>
          <t>Above 75</t>
        </is>
      </c>
      <c r="AS122" s="25">
        <f>IF(AR122="Between 50 to 75",10,IF(AR122="Above 75",0,0))</f>
        <v/>
      </c>
      <c r="AT122" s="25" t="inlineStr">
        <is>
          <t>Stage 2</t>
        </is>
      </c>
      <c r="AU122" s="25">
        <f>IF(AT122="Stage 2",20,IF(AT122="Stage 1",0,IF(AT122="Stage 3",5,IF(AT122="Stage 4",-5,0))))</f>
        <v/>
      </c>
      <c r="AV122" s="25" t="inlineStr">
        <is>
          <t>Positive Trend</t>
        </is>
      </c>
      <c r="AW122" s="25">
        <f>IF(AV122="Positive Trend",20,IF(AV122="Negative Trend",-10,0))</f>
        <v/>
      </c>
      <c r="AX122" s="25" t="inlineStr">
        <is>
          <t>Uptrend</t>
        </is>
      </c>
      <c r="AY122" s="25">
        <f>IF(AX122="Uptrend",10,IF(AX122="Sideways",5,0))</f>
        <v/>
      </c>
      <c r="AZ122" s="25" t="inlineStr">
        <is>
          <t>Uptrend</t>
        </is>
      </c>
      <c r="BA122" s="25">
        <f>IF(AZ122="Uptrend",10,IF(AZ122="Sideways",5,0))</f>
        <v/>
      </c>
      <c r="BB122" s="25" t="inlineStr">
        <is>
          <t>Close to 52 week high or retracement</t>
        </is>
      </c>
      <c r="BC122" s="25">
        <f>IF(BB122="Overhead supply in last 2 years in last 2 years",-5,IF(BB122="Close to 52 week high or retracement",5,IF(BB122="Blue sky scenario",10,IF(BB122="Long term Downtrend",-10,0))))</f>
        <v/>
      </c>
      <c r="BD122" s="25" t="inlineStr">
        <is>
          <t>Yes</t>
        </is>
      </c>
      <c r="BE122" s="25">
        <f>IF(BD122="Yes",10,0)</f>
        <v/>
      </c>
      <c r="BF122" s="25" t="inlineStr">
        <is>
          <t>More than 20%</t>
        </is>
      </c>
      <c r="BG122" s="25">
        <f>IF(BF122="More than 20%",10,IF(BF122="Between 12 to 20%",5,IF(BF122="Less than 12%",0,0)))</f>
        <v/>
      </c>
      <c r="BH122" s="25" t="inlineStr">
        <is>
          <t>No</t>
        </is>
      </c>
      <c r="BI122" s="25">
        <f>IF(BH122="No",10,0)</f>
        <v/>
      </c>
      <c r="BJ122" s="25" t="inlineStr">
        <is>
          <t>Yes</t>
        </is>
      </c>
      <c r="BK122" s="25">
        <f>IF(BJ122="NO",5,0)</f>
        <v/>
      </c>
      <c r="BL122" s="25" t="inlineStr">
        <is>
          <t>Above 2</t>
        </is>
      </c>
      <c r="BM122" s="25">
        <f>IF(BL122="Above 2",0,IF(BL122="Between 1.5 to 2",5,IF(BL122="Less than 1.5",10,0)))</f>
        <v/>
      </c>
      <c r="BN122" s="25" t="inlineStr">
        <is>
          <t>Between 50% to 70%</t>
        </is>
      </c>
      <c r="BO122" s="25">
        <f>IF(BN122="Above 70%",10,IF(BN122="Between 50% to 70%",5,IF(BN122="Less than 50%",0,IF(BN122="Negative",-10,IF(BN122="Less than 50% and Borrowings are increasing",-5,0)))))</f>
        <v/>
      </c>
      <c r="BP122" s="25" t="inlineStr">
        <is>
          <t>Between 0.7 to 1.2</t>
        </is>
      </c>
      <c r="BQ122" s="25">
        <f>IF(BP122="More than 1.2",-10,IF(BP122="Between 0.7 to 1.2",0,IF(BP122="Less than 0.7",10,0)))</f>
        <v/>
      </c>
      <c r="BR122" s="25" t="inlineStr">
        <is>
          <t>No</t>
        </is>
      </c>
      <c r="BS122" s="25">
        <f>IF(BR122="Yes",-10,0)</f>
        <v/>
      </c>
      <c r="BT122" s="25" t="inlineStr">
        <is>
          <t>Less than 15%</t>
        </is>
      </c>
      <c r="BU122" s="25">
        <f>IF(BT122="More than 15%",-10,IF(BT122="Less than 15%",10,0))</f>
        <v/>
      </c>
      <c r="BV122" s="25" t="inlineStr">
        <is>
          <t>No</t>
        </is>
      </c>
      <c r="BW122" s="25">
        <f>IF(BV122="Yes, more than 10%",-10,IF(BV122="No",10,0))</f>
        <v/>
      </c>
    </row>
    <row r="123">
      <c r="A123" s="25">
        <f>IF(B123=0,"",RANK(B123,$B$2:$B$292,0))</f>
        <v/>
      </c>
      <c r="B123" s="26">
        <f>SUM(Q123,S123,U123,W123,Y123,AA123,AC123,AE123,AG123,AI123,AK123,AM123,AO123,AQ123,AS123,AU123,AW123,AY123,BA123,BC123,BE123,BG123,BI123,BK123,BM123,BO123,BQ123,BS123,BU123,BW123)</f>
        <v/>
      </c>
      <c r="C123" s="25" t="inlineStr">
        <is>
          <t>VBL</t>
        </is>
      </c>
      <c r="D123" s="25" t="inlineStr">
        <is>
          <t>Varun Beverages Limited</t>
        </is>
      </c>
      <c r="E123" s="25" t="inlineStr">
        <is>
          <t>fmcg</t>
        </is>
      </c>
      <c r="F123" s="25" t="inlineStr">
        <is>
          <t>food - processing - indian</t>
        </is>
      </c>
      <c r="G123" s="25" t="inlineStr">
        <is>
          <t>largecap</t>
        </is>
      </c>
      <c r="H123" s="26" t="n">
        <v>177729.06</v>
      </c>
      <c r="I123" s="26" t="n">
        <v>537</v>
      </c>
      <c r="J123" s="26" t="n">
        <v>2.19</v>
      </c>
      <c r="K123" s="26" t="n">
        <v>8512936</v>
      </c>
      <c r="L123" s="26" t="n">
        <v>64.59</v>
      </c>
      <c r="M123" s="26" t="n">
        <v>29.43</v>
      </c>
      <c r="N123" s="26" t="n">
        <v>447.11</v>
      </c>
      <c r="O123" s="25" t="inlineStr">
        <is>
          <t>Near 52W High Breakout</t>
        </is>
      </c>
      <c r="P123" s="25" t="inlineStr">
        <is>
          <t>Growing Industry</t>
        </is>
      </c>
      <c r="Q123" s="25">
        <f>IF(P123="Growing Industry",10,IF(P123="Cyclical in an Upturn",5,0))</f>
        <v/>
      </c>
      <c r="R123" s="25" t="inlineStr">
        <is>
          <t>Duopoly That Cooperate</t>
        </is>
      </c>
      <c r="S123" s="25">
        <f>IF(R123="Monopoly",10,IF(R123="Oligopoly",5,IF(R123="Duopoly that cooperate",10,IF(R123="Duopoly that compete",5,IF(R123="Too many players with High ROCE",5,0)))))</f>
        <v/>
      </c>
      <c r="T123" s="25" t="inlineStr">
        <is>
          <t>No</t>
        </is>
      </c>
      <c r="U123" s="25">
        <f>IF(T123="No",5,0)</f>
        <v/>
      </c>
      <c r="V123" s="25" t="inlineStr">
        <is>
          <t>Tailwind</t>
        </is>
      </c>
      <c r="W123" s="25">
        <f>IF(V123="Tailwind",10,0)</f>
        <v/>
      </c>
      <c r="X123" s="25" t="inlineStr">
        <is>
          <t>Shallow Cyclical (2 to 3 Years Growth)</t>
        </is>
      </c>
      <c r="Y123" s="25">
        <f>IF(X123="Structural (10 Years Consistency)",10,IF(X123="Shallow Cyclical (2 to 3 years growth)",5,0))</f>
        <v/>
      </c>
      <c r="Z123" s="25" t="inlineStr">
        <is>
          <t>Yes due to Product Mix change or Operating Leverage</t>
        </is>
      </c>
      <c r="AA123" s="25">
        <f>IF(Z123="Yes due to Product Mix change or Operating Leverage",10,IF(Z123="Yes, these are peak margins",-5,IF(Z123="No",5,0)))</f>
        <v/>
      </c>
      <c r="AB123" s="25" t="inlineStr">
        <is>
          <t>Stable</t>
        </is>
      </c>
      <c r="AC123" s="25">
        <f>IF(AB123="Stable",10,0)</f>
        <v/>
      </c>
      <c r="AD123" s="25" t="inlineStr">
        <is>
          <t>Yes</t>
        </is>
      </c>
      <c r="AE123" s="25">
        <f>IF(AD123="Yes",10,0)</f>
        <v/>
      </c>
      <c r="AF123" s="25" t="inlineStr">
        <is>
          <t>B2C</t>
        </is>
      </c>
      <c r="AG123" s="25">
        <f>IF(AF123="B2C",10,IF(AF123="B2B",5,0))</f>
        <v/>
      </c>
      <c r="AH123" s="25" t="inlineStr">
        <is>
          <t>Yes</t>
        </is>
      </c>
      <c r="AI123" s="25">
        <f>IF(AH123="Yes",10,0)</f>
        <v/>
      </c>
      <c r="AJ123" s="25" t="inlineStr">
        <is>
          <t>Fully Annuity</t>
        </is>
      </c>
      <c r="AK123" s="25">
        <f>IF(AJ123="Fully Annuity",10,IF(AJ123="Higher Annuity, Lower One Time",5,IF(AJ123="Higher One Time, Lower Annuity",3,0)))</f>
        <v/>
      </c>
      <c r="AL123" s="25" t="inlineStr">
        <is>
          <t>Good</t>
        </is>
      </c>
      <c r="AM123" s="25">
        <f>IF(AL123="Good",10,0)</f>
        <v/>
      </c>
      <c r="AN123" s="25" t="inlineStr">
        <is>
          <t>Yes only for next 1 to 2 years</t>
        </is>
      </c>
      <c r="AO123" s="25">
        <f>IF(AN123="Yes for more than 2 years",10,IF(AN123="Yes only for next 1 to 2 years",5,0))</f>
        <v/>
      </c>
      <c r="AP123" s="25" t="inlineStr">
        <is>
          <t>Above 40</t>
        </is>
      </c>
      <c r="AQ123" s="25">
        <f>IF(AP123="Above 40",20,IF(AP123="20 to 40",10,IF(AP123="0 to 20",-5,0)))</f>
        <v/>
      </c>
      <c r="AR123" s="25" t="inlineStr">
        <is>
          <t>Above 75</t>
        </is>
      </c>
      <c r="AS123" s="25">
        <f>IF(AR123="Between 50 to 75",10,IF(AR123="Above 75",0,0))</f>
        <v/>
      </c>
      <c r="AT123" s="25" t="inlineStr">
        <is>
          <t>Stage 2</t>
        </is>
      </c>
      <c r="AU123" s="25">
        <f>IF(AT123="Stage 2",20,IF(AT123="Stage 1",0,IF(AT123="Stage 3",5,IF(AT123="Stage 4",-5,0))))</f>
        <v/>
      </c>
      <c r="AV123" s="25" t="inlineStr">
        <is>
          <t>Positive Trend</t>
        </is>
      </c>
      <c r="AW123" s="25">
        <f>IF(AV123="Positive Trend",20,IF(AV123="Negative Trend",-10,0))</f>
        <v/>
      </c>
      <c r="AX123" s="25" t="inlineStr">
        <is>
          <t>Uptrend</t>
        </is>
      </c>
      <c r="AY123" s="25">
        <f>IF(AX123="Uptrend",10,IF(AX123="Sideways",5,0))</f>
        <v/>
      </c>
      <c r="AZ123" s="25" t="inlineStr">
        <is>
          <t>Uptrend</t>
        </is>
      </c>
      <c r="BA123" s="25">
        <f>IF(AZ123="Uptrend",10,IF(AZ123="Sideways",5,0))</f>
        <v/>
      </c>
      <c r="BB123" s="25" t="inlineStr">
        <is>
          <t>Close to 52 week high or retracement</t>
        </is>
      </c>
      <c r="BC123" s="25">
        <f>IF(BB123="Overhead supply in last 2 years in last 2 years",-5,IF(BB123="Close to 52 week high or retracement",5,IF(BB123="Blue sky scenario",10,IF(BB123="Long term Downtrend",-10,0))))</f>
        <v/>
      </c>
      <c r="BD123" s="25" t="inlineStr">
        <is>
          <t>Yes</t>
        </is>
      </c>
      <c r="BE123" s="25">
        <f>IF(BD123="Yes",10,0)</f>
        <v/>
      </c>
      <c r="BF123" s="25" t="inlineStr">
        <is>
          <t>More than 20%</t>
        </is>
      </c>
      <c r="BG123" s="25">
        <f>IF(BF123="More than 20%",10,IF(BF123="Between 12 to 20%",5,IF(BF123="Less than 12%",0,0)))</f>
        <v/>
      </c>
      <c r="BH123" s="25" t="inlineStr">
        <is>
          <t>No</t>
        </is>
      </c>
      <c r="BI123" s="25">
        <f>IF(BH123="No",10,0)</f>
        <v/>
      </c>
      <c r="BJ123" s="25" t="inlineStr">
        <is>
          <t>Yes</t>
        </is>
      </c>
      <c r="BK123" s="25">
        <f>IF(BJ123="NO",5,0)</f>
        <v/>
      </c>
      <c r="BL123" s="25" t="inlineStr">
        <is>
          <t>Above 2</t>
        </is>
      </c>
      <c r="BM123" s="25">
        <f>IF(BL123="Above 2",0,IF(BL123="Between 1.5 to 2",5,IF(BL123="Less than 1.5",10,0)))</f>
        <v/>
      </c>
      <c r="BN123" s="25" t="inlineStr">
        <is>
          <t>Between 50% to 70%</t>
        </is>
      </c>
      <c r="BO123" s="25">
        <f>IF(BN123="Above 70%",10,IF(BN123="Between 50% to 70%",5,IF(BN123="Less than 50%",0,IF(BN123="Negative",-10,IF(BN123="Less than 50% and Borrowings are increasing",-5,0)))))</f>
        <v/>
      </c>
      <c r="BP123" s="25" t="inlineStr">
        <is>
          <t>Between 0.7 to 1.2</t>
        </is>
      </c>
      <c r="BQ123" s="25">
        <f>IF(BP123="More than 1.2",-10,IF(BP123="Between 0.7 to 1.2",0,IF(BP123="Less than 0.7",10,0)))</f>
        <v/>
      </c>
      <c r="BR123" s="25" t="inlineStr">
        <is>
          <t>No</t>
        </is>
      </c>
      <c r="BS123" s="25">
        <f>IF(BR123="Yes",-10,0)</f>
        <v/>
      </c>
      <c r="BT123" s="25" t="inlineStr">
        <is>
          <t>Less than 15%</t>
        </is>
      </c>
      <c r="BU123" s="25">
        <f>IF(BT123="More than 15%",-10,IF(BT123="Less than 15%",10,0))</f>
        <v/>
      </c>
      <c r="BV123" s="25" t="inlineStr">
        <is>
          <t>No</t>
        </is>
      </c>
      <c r="BW123" s="25">
        <f>IF(BV123="Yes, more than 10%",-10,IF(BV123="No",10,0))</f>
        <v/>
      </c>
    </row>
    <row r="124">
      <c r="A124" s="25">
        <f>IF(B124=0,"",RANK(B124,$B$2:$B$292,0))</f>
        <v/>
      </c>
      <c r="B124" s="26">
        <f>SUM(Q124,S124,U124,W124,Y124,AA124,AC124,AE124,AG124,AI124,AK124,AM124,AO124,AQ124,AS124,AU124,AW124,AY124,BA124,BC124,BE124,BG124,BI124,BK124,BM124,BO124,BQ124,BS124,BU124,BW124)</f>
        <v/>
      </c>
      <c r="C124" s="25" t="inlineStr">
        <is>
          <t>PIXTRANS</t>
        </is>
      </c>
      <c r="D124" s="25" t="inlineStr">
        <is>
          <t>Pix Transmission Ltd</t>
        </is>
      </c>
      <c r="E124" s="25" t="inlineStr">
        <is>
          <t>fmcg</t>
        </is>
      </c>
      <c r="F124" s="25" t="inlineStr">
        <is>
          <t>miscellaneous</t>
        </is>
      </c>
      <c r="G124" s="25" t="inlineStr">
        <is>
          <t>smallcap</t>
        </is>
      </c>
      <c r="H124" s="26" t="n">
        <v>2145.29</v>
      </c>
      <c r="I124" s="26" t="n">
        <v>1608.9</v>
      </c>
      <c r="J124" s="26" t="n">
        <v>2.18</v>
      </c>
      <c r="K124" s="26" t="n">
        <v>13335</v>
      </c>
      <c r="L124" s="26" t="n">
        <v>60.25</v>
      </c>
      <c r="M124" s="26" t="n">
        <v>17.24</v>
      </c>
      <c r="N124" s="26" t="n">
        <v>1314.11</v>
      </c>
      <c r="O124" s="25" t="inlineStr">
        <is>
          <t>Near 52W High Breakout</t>
        </is>
      </c>
      <c r="P124" s="25" t="inlineStr">
        <is>
          <t>Growing Industry</t>
        </is>
      </c>
      <c r="Q124" s="25">
        <f>IF(P124="Growing Industry",10,IF(P124="Cyclical in an Upturn",5,0))</f>
        <v/>
      </c>
      <c r="R124" s="25" t="inlineStr">
        <is>
          <t>Too Many Players with High ROCE</t>
        </is>
      </c>
      <c r="S124" s="25">
        <f>IF(R124="Monopoly",10,IF(R124="Oligopoly",5,IF(R124="Duopoly that cooperate",10,IF(R124="Duopoly that compete",5,IF(R124="Too many players with High ROCE",5,0)))))</f>
        <v/>
      </c>
      <c r="T124" s="25" t="inlineStr">
        <is>
          <t>No</t>
        </is>
      </c>
      <c r="U124" s="25">
        <f>IF(T124="No",5,0)</f>
        <v/>
      </c>
      <c r="V124" s="25" t="inlineStr">
        <is>
          <t>Tailwind</t>
        </is>
      </c>
      <c r="W124" s="25">
        <f>IF(V124="Tailwind",10,0)</f>
        <v/>
      </c>
      <c r="X124" s="25" t="inlineStr">
        <is>
          <t>Structural (10 Years Consistency)</t>
        </is>
      </c>
      <c r="Y124" s="25">
        <f>IF(X124="Structural (10 Years Consistency)",10,IF(X124="Shallow Cyclical (2 to 3 years growth)",5,0))</f>
        <v/>
      </c>
      <c r="Z124" s="25" t="inlineStr">
        <is>
          <t>No</t>
        </is>
      </c>
      <c r="AA124" s="25">
        <f>IF(Z124="Yes due to Product Mix change or Operating Leverage",10,IF(Z124="Yes, these are peak margins",-5,IF(Z124="No",5,0)))</f>
        <v/>
      </c>
      <c r="AB124" s="25" t="inlineStr">
        <is>
          <t>Stable</t>
        </is>
      </c>
      <c r="AC124" s="25">
        <f>IF(AB124="Stable",10,0)</f>
        <v/>
      </c>
      <c r="AD124" s="25" t="inlineStr">
        <is>
          <t>Yes</t>
        </is>
      </c>
      <c r="AE124" s="25">
        <f>IF(AD124="Yes",10,0)</f>
        <v/>
      </c>
      <c r="AF124" s="25" t="inlineStr">
        <is>
          <t>B2C</t>
        </is>
      </c>
      <c r="AG124" s="25">
        <f>IF(AF124="B2C",10,IF(AF124="B2B",5,0))</f>
        <v/>
      </c>
      <c r="AH124" s="25" t="inlineStr">
        <is>
          <t>Yes</t>
        </is>
      </c>
      <c r="AI124" s="25">
        <f>IF(AH124="Yes",10,0)</f>
        <v/>
      </c>
      <c r="AJ124" s="25" t="inlineStr">
        <is>
          <t>Higher Annuity, Lower One Time</t>
        </is>
      </c>
      <c r="AK124" s="25">
        <f>IF(AJ124="Fully Annuity",10,IF(AJ124="Higher Annuity, Lower One Time",5,IF(AJ124="Higher One Time, Lower Annuity",3,0)))</f>
        <v/>
      </c>
      <c r="AL124" s="25" t="inlineStr">
        <is>
          <t>Good</t>
        </is>
      </c>
      <c r="AM124" s="25">
        <f>IF(AL124="Good",10,0)</f>
        <v/>
      </c>
      <c r="AN124" s="25" t="inlineStr">
        <is>
          <t>Yes for more than 2 years</t>
        </is>
      </c>
      <c r="AO124" s="25">
        <f>IF(AN124="Yes for more than 2 years",10,IF(AN124="Yes only for next 1 to 2 years",5,0))</f>
        <v/>
      </c>
      <c r="AP124" s="25" t="inlineStr">
        <is>
          <t>0 to 20</t>
        </is>
      </c>
      <c r="AQ124" s="25">
        <f>IF(AP124="Above 40",20,IF(AP124="20 to 40",10,IF(AP124="0 to 20",-5,0)))</f>
        <v/>
      </c>
      <c r="AR124" s="25" t="inlineStr">
        <is>
          <t>Between 50 to 75</t>
        </is>
      </c>
      <c r="AS124" s="25">
        <f>IF(AR124="Between 50 to 75",10,IF(AR124="Above 75",0,0))</f>
        <v/>
      </c>
      <c r="AT124" s="25" t="inlineStr">
        <is>
          <t>Stage 2</t>
        </is>
      </c>
      <c r="AU124" s="25">
        <f>IF(AT124="Stage 2",20,IF(AT124="Stage 1",0,IF(AT124="Stage 3",5,IF(AT124="Stage 4",-5,0))))</f>
        <v/>
      </c>
      <c r="AV124" s="25" t="inlineStr">
        <is>
          <t>Positive Trend</t>
        </is>
      </c>
      <c r="AW124" s="25">
        <f>IF(AV124="Positive Trend",20,IF(AV124="Negative Trend",-10,0))</f>
        <v/>
      </c>
      <c r="AX124" s="25" t="inlineStr">
        <is>
          <t>Uptrend</t>
        </is>
      </c>
      <c r="AY124" s="25">
        <f>IF(AX124="Uptrend",10,IF(AX124="Sideways",5,0))</f>
        <v/>
      </c>
      <c r="AZ124" s="25" t="inlineStr">
        <is>
          <t>Uptrend</t>
        </is>
      </c>
      <c r="BA124" s="25">
        <f>IF(AZ124="Uptrend",10,IF(AZ124="Sideways",5,0))</f>
        <v/>
      </c>
      <c r="BB124" s="25" t="inlineStr">
        <is>
          <t>Close to 52 week high or retracement</t>
        </is>
      </c>
      <c r="BC124" s="25">
        <f>IF(BB124="Overhead supply in last 2 years in last 2 years",-5,IF(BB124="Close to 52 week high or retracement",5,IF(BB124="Blue sky scenario",10,IF(BB124="Long term Downtrend",-10,0))))</f>
        <v/>
      </c>
      <c r="BD124" s="25" t="inlineStr">
        <is>
          <t>Yes</t>
        </is>
      </c>
      <c r="BE124" s="25">
        <f>IF(BD124="Yes",10,0)</f>
        <v/>
      </c>
      <c r="BF124" s="25" t="inlineStr">
        <is>
          <t>Less than 12%</t>
        </is>
      </c>
      <c r="BG124" s="25">
        <f>IF(BF124="More than 20%",10,IF(BF124="Between 12 to 20%",5,IF(BF124="Less than 12%",0,0)))</f>
        <v/>
      </c>
      <c r="BH124" s="25" t="inlineStr">
        <is>
          <t>No</t>
        </is>
      </c>
      <c r="BI124" s="25">
        <f>IF(BH124="No",10,0)</f>
        <v/>
      </c>
      <c r="BJ124" s="25" t="inlineStr">
        <is>
          <t>No</t>
        </is>
      </c>
      <c r="BK124" s="25">
        <f>IF(BJ124="NO",5,0)</f>
        <v/>
      </c>
      <c r="BL124" s="25" t="inlineStr">
        <is>
          <t>Less than 1.5</t>
        </is>
      </c>
      <c r="BM124" s="25">
        <f>IF(BL124="Above 2",0,IF(BL124="Between 1.5 to 2",5,IF(BL124="Less than 1.5",10,0)))</f>
        <v/>
      </c>
      <c r="BN124" s="25" t="inlineStr">
        <is>
          <t>Above 70%</t>
        </is>
      </c>
      <c r="BO124" s="25">
        <f>IF(BN124="Above 70%",10,IF(BN124="Between 50% to 70%",5,IF(BN124="Less than 50%",0,IF(BN124="Negative",-10,IF(BN124="Less than 50% and Borrowings are increasing",-5,0)))))</f>
        <v/>
      </c>
      <c r="BP124" s="25" t="inlineStr">
        <is>
          <t>Less than 0.7</t>
        </is>
      </c>
      <c r="BQ124" s="25">
        <f>IF(BP124="More than 1.2",-10,IF(BP124="Between 0.7 to 1.2",0,IF(BP124="Less than 0.7",10,0)))</f>
        <v/>
      </c>
      <c r="BR124" s="25" t="inlineStr">
        <is>
          <t>No</t>
        </is>
      </c>
      <c r="BS124" s="25">
        <f>IF(BR124="Yes",-10,0)</f>
        <v/>
      </c>
      <c r="BT124" s="25" t="inlineStr">
        <is>
          <t>Less than 15%</t>
        </is>
      </c>
      <c r="BU124" s="25">
        <f>IF(BT124="More than 15%",-10,IF(BT124="Less than 15%",10,0))</f>
        <v/>
      </c>
      <c r="BV124" s="25" t="inlineStr">
        <is>
          <t>No</t>
        </is>
      </c>
      <c r="BW124" s="25">
        <f>IF(BV124="Yes, more than 10%",-10,IF(BV124="No",10,0))</f>
        <v/>
      </c>
    </row>
    <row r="125">
      <c r="A125" s="25">
        <f>IF(B125=0,"",RANK(B125,$B$2:$B$292,0))</f>
        <v/>
      </c>
      <c r="B125" s="26">
        <f>SUM(Q125,S125,U125,W125,Y125,AA125,AC125,AE125,AG125,AI125,AK125,AM125,AO125,AQ125,AS125,AU125,AW125,AY125,BA125,BC125,BE125,BG125,BI125,BK125,BM125,BO125,BQ125,BS125,BU125,BW125)</f>
        <v/>
      </c>
      <c r="C125" s="25" t="inlineStr">
        <is>
          <t>LAURUSLABS</t>
        </is>
      </c>
      <c r="D125" s="25" t="inlineStr">
        <is>
          <t>Laurus Labs Limited</t>
        </is>
      </c>
      <c r="E125" s="25" t="inlineStr">
        <is>
          <t>healthcare</t>
        </is>
      </c>
      <c r="F125" s="25" t="inlineStr">
        <is>
          <t>pharmaceuticals - indian - bulk drugs &amp; formln</t>
        </is>
      </c>
      <c r="G125" s="25" t="inlineStr">
        <is>
          <t>largecap</t>
        </is>
      </c>
      <c r="H125" s="26" t="n">
        <v>74953.69</v>
      </c>
      <c r="I125" s="26" t="n">
        <v>1382.6</v>
      </c>
      <c r="J125" s="26" t="n">
        <v>-0.42</v>
      </c>
      <c r="K125" s="26" t="n">
        <v>2356089</v>
      </c>
      <c r="L125" s="26" t="n">
        <v>77.47</v>
      </c>
      <c r="M125" s="26" t="n">
        <v>29.67</v>
      </c>
      <c r="N125" s="26" t="n">
        <v>1171.29</v>
      </c>
      <c r="O125" s="25" t="inlineStr">
        <is>
          <t>Near 52W High Breakout</t>
        </is>
      </c>
      <c r="P125" s="25" t="inlineStr">
        <is>
          <t>Growing Industry</t>
        </is>
      </c>
      <c r="Q125" s="25">
        <f>IF(P125="Growing Industry",10,IF(P125="Cyclical in an Upturn",5,0))</f>
        <v/>
      </c>
      <c r="R125" s="25" t="inlineStr">
        <is>
          <t>Too Many Players with High ROCE</t>
        </is>
      </c>
      <c r="S125" s="25">
        <f>IF(R125="Monopoly",10,IF(R125="Oligopoly",5,IF(R125="Duopoly that cooperate",10,IF(R125="Duopoly that compete",5,IF(R125="Too many players with High ROCE",5,0)))))</f>
        <v/>
      </c>
      <c r="T125" s="25" t="inlineStr">
        <is>
          <t>Yes</t>
        </is>
      </c>
      <c r="U125" s="25">
        <f>IF(T125="No",5,0)</f>
        <v/>
      </c>
      <c r="V125" s="25" t="inlineStr">
        <is>
          <t>Tailwind</t>
        </is>
      </c>
      <c r="W125" s="25">
        <f>IF(V125="Tailwind",10,0)</f>
        <v/>
      </c>
      <c r="X125" s="25" t="inlineStr">
        <is>
          <t>Structural (10 Years Consistency)</t>
        </is>
      </c>
      <c r="Y125" s="25">
        <f>IF(X125="Structural (10 Years Consistency)",10,IF(X125="Shallow Cyclical (2 to 3 years growth)",5,0))</f>
        <v/>
      </c>
      <c r="Z125" s="25" t="inlineStr">
        <is>
          <t>No</t>
        </is>
      </c>
      <c r="AA125" s="25">
        <f>IF(Z125="Yes due to Product Mix change or Operating Leverage",10,IF(Z125="Yes, these are peak margins",-5,IF(Z125="No",5,0)))</f>
        <v/>
      </c>
      <c r="AB125" s="25" t="inlineStr">
        <is>
          <t>Stable</t>
        </is>
      </c>
      <c r="AC125" s="25">
        <f>IF(AB125="Stable",10,0)</f>
        <v/>
      </c>
      <c r="AD125" s="25" t="inlineStr">
        <is>
          <t>Yes</t>
        </is>
      </c>
      <c r="AE125" s="25">
        <f>IF(AD125="Yes",10,0)</f>
        <v/>
      </c>
      <c r="AF125" s="25" t="inlineStr">
        <is>
          <t>B2B</t>
        </is>
      </c>
      <c r="AG125" s="25">
        <f>IF(AF125="B2C",10,IF(AF125="B2B",5,0))</f>
        <v/>
      </c>
      <c r="AH125" s="25" t="inlineStr">
        <is>
          <t>Yes</t>
        </is>
      </c>
      <c r="AI125" s="25">
        <f>IF(AH125="Yes",10,0)</f>
        <v/>
      </c>
      <c r="AJ125" s="25" t="inlineStr">
        <is>
          <t>Higher Annuity, Lower One Time</t>
        </is>
      </c>
      <c r="AK125" s="25">
        <f>IF(AJ125="Fully Annuity",10,IF(AJ125="Higher Annuity, Lower One Time",5,IF(AJ125="Higher One Time, Lower Annuity",3,0)))</f>
        <v/>
      </c>
      <c r="AL125" s="25" t="inlineStr">
        <is>
          <t>Good</t>
        </is>
      </c>
      <c r="AM125" s="25">
        <f>IF(AL125="Good",10,0)</f>
        <v/>
      </c>
      <c r="AN125" s="25" t="inlineStr">
        <is>
          <t>Yes for more than 2 years</t>
        </is>
      </c>
      <c r="AO125" s="25">
        <f>IF(AN125="Yes for more than 2 years",10,IF(AN125="Yes only for next 1 to 2 years",5,0))</f>
        <v/>
      </c>
      <c r="AP125" s="25" t="inlineStr">
        <is>
          <t>20 to 40</t>
        </is>
      </c>
      <c r="AQ125" s="25">
        <f>IF(AP125="Above 40",20,IF(AP125="20 to 40",10,IF(AP125="0 to 20",-5,0)))</f>
        <v/>
      </c>
      <c r="AR125" s="25" t="inlineStr">
        <is>
          <t>Above 75</t>
        </is>
      </c>
      <c r="AS125" s="25">
        <f>IF(AR125="Between 50 to 75",10,IF(AR125="Above 75",0,0))</f>
        <v/>
      </c>
      <c r="AT125" s="25" t="inlineStr">
        <is>
          <t>Stage 2</t>
        </is>
      </c>
      <c r="AU125" s="25">
        <f>IF(AT125="Stage 2",20,IF(AT125="Stage 1",0,IF(AT125="Stage 3",5,IF(AT125="Stage 4",-5,0))))</f>
        <v/>
      </c>
      <c r="AV125" s="25" t="inlineStr">
        <is>
          <t>Positive Trend</t>
        </is>
      </c>
      <c r="AW125" s="25">
        <f>IF(AV125="Positive Trend",20,IF(AV125="Negative Trend",-10,0))</f>
        <v/>
      </c>
      <c r="AX125" s="25" t="inlineStr">
        <is>
          <t>Uptrend</t>
        </is>
      </c>
      <c r="AY125" s="25">
        <f>IF(AX125="Uptrend",10,IF(AX125="Sideways",5,0))</f>
        <v/>
      </c>
      <c r="AZ125" s="25" t="inlineStr">
        <is>
          <t>Uptrend</t>
        </is>
      </c>
      <c r="BA125" s="25">
        <f>IF(AZ125="Uptrend",10,IF(AZ125="Sideways",5,0))</f>
        <v/>
      </c>
      <c r="BB125" s="25" t="inlineStr">
        <is>
          <t>Blue sky scenario</t>
        </is>
      </c>
      <c r="BC125" s="25">
        <f>IF(BB125="Overhead supply in last 2 years in last 2 years",-5,IF(BB125="Close to 52 week high or retracement",5,IF(BB125="Blue sky scenario",10,IF(BB125="Long term Downtrend",-10,0))))</f>
        <v/>
      </c>
      <c r="BD125" s="25" t="inlineStr">
        <is>
          <t>Yes</t>
        </is>
      </c>
      <c r="BE125" s="25">
        <f>IF(BD125="Yes",10,0)</f>
        <v/>
      </c>
      <c r="BF125" s="25" t="inlineStr">
        <is>
          <t>Between 12 to 20%</t>
        </is>
      </c>
      <c r="BG125" s="25">
        <f>IF(BF125="More than 20%",10,IF(BF125="Between 12 to 20%",5,IF(BF125="Less than 12%",0,0)))</f>
        <v/>
      </c>
      <c r="BH125" s="25" t="inlineStr">
        <is>
          <t>No</t>
        </is>
      </c>
      <c r="BI125" s="25">
        <f>IF(BH125="No",10,0)</f>
        <v/>
      </c>
      <c r="BJ125" s="25" t="inlineStr">
        <is>
          <t>Yes</t>
        </is>
      </c>
      <c r="BK125" s="25">
        <f>IF(BJ125="NO",5,0)</f>
        <v/>
      </c>
      <c r="BL125" s="25" t="inlineStr">
        <is>
          <t>Less than 1.5</t>
        </is>
      </c>
      <c r="BM125" s="25">
        <f>IF(BL125="Above 2",0,IF(BL125="Between 1.5 to 2",5,IF(BL125="Less than 1.5",10,0)))</f>
        <v/>
      </c>
      <c r="BN125" s="25" t="inlineStr">
        <is>
          <t>Above 70%</t>
        </is>
      </c>
      <c r="BO125" s="25">
        <f>IF(BN125="Above 70%",10,IF(BN125="Between 50% to 70%",5,IF(BN125="Less than 50%",0,IF(BN125="Negative",-10,IF(BN125="Less than 50% and Borrowings are increasing",-5,0)))))</f>
        <v/>
      </c>
      <c r="BP125" s="25" t="inlineStr">
        <is>
          <t>Less than 0.7</t>
        </is>
      </c>
      <c r="BQ125" s="25">
        <f>IF(BP125="More than 1.2",-10,IF(BP125="Between 0.7 to 1.2",0,IF(BP125="Less than 0.7",10,0)))</f>
        <v/>
      </c>
      <c r="BR125" s="25" t="inlineStr">
        <is>
          <t>No</t>
        </is>
      </c>
      <c r="BS125" s="25">
        <f>IF(BR125="Yes",-10,0)</f>
        <v/>
      </c>
      <c r="BT125" s="25" t="inlineStr">
        <is>
          <t>Less than 15%</t>
        </is>
      </c>
      <c r="BU125" s="25">
        <f>IF(BT125="More than 15%",-10,IF(BT125="Less than 15%",10,0))</f>
        <v/>
      </c>
      <c r="BV125" s="25" t="inlineStr">
        <is>
          <t>No</t>
        </is>
      </c>
      <c r="BW125" s="25">
        <f>IF(BV125="Yes, more than 10%",-10,IF(BV125="No",10,0))</f>
        <v/>
      </c>
    </row>
    <row r="126">
      <c r="A126" s="25">
        <f>IF(B126=0,"",RANK(B126,$B$2:$B$292,0))</f>
        <v/>
      </c>
      <c r="B126" s="26">
        <f>SUM(Q126,S126,U126,W126,Y126,AA126,AC126,AE126,AG126,AI126,AK126,AM126,AO126,AQ126,AS126,AU126,AW126,AY126,BA126,BC126,BE126,BG126,BI126,BK126,BM126,BO126,BQ126,BS126,BU126,BW126)</f>
        <v/>
      </c>
      <c r="C126" s="25" t="inlineStr">
        <is>
          <t>UNIVCABLES</t>
        </is>
      </c>
      <c r="D126" s="25" t="inlineStr">
        <is>
          <t>Universal Cables Limited</t>
        </is>
      </c>
      <c r="E126" s="25" t="inlineStr">
        <is>
          <t>industrials</t>
        </is>
      </c>
      <c r="F126" s="25" t="inlineStr">
        <is>
          <t>cables - power</t>
        </is>
      </c>
      <c r="G126" s="25" t="inlineStr">
        <is>
          <t>smallcap</t>
        </is>
      </c>
      <c r="H126" s="26" t="n">
        <v>3794.63</v>
      </c>
      <c r="I126" s="26" t="n">
        <v>1239.2</v>
      </c>
      <c r="J126" s="26" t="n">
        <v>13.3</v>
      </c>
      <c r="K126" s="26" t="n">
        <v>1121633</v>
      </c>
      <c r="L126" s="26" t="n">
        <v>70.20999999999999</v>
      </c>
      <c r="M126" s="26" t="n">
        <v>31.2</v>
      </c>
      <c r="N126" s="26" t="n">
        <v>858.9299999999999</v>
      </c>
      <c r="O126" s="25" t="inlineStr">
        <is>
          <t>Near 52W High Breakout</t>
        </is>
      </c>
      <c r="P126" s="25" t="inlineStr">
        <is>
          <t>Cyclical in an Upturn</t>
        </is>
      </c>
      <c r="Q126" s="25">
        <f>IF(P126="Growing Industry",10,IF(P126="Cyclical in an Upturn",5,0))</f>
        <v/>
      </c>
      <c r="R126" s="25" t="inlineStr">
        <is>
          <t>Too Many Players with High ROCE</t>
        </is>
      </c>
      <c r="S126" s="25">
        <f>IF(R126="Monopoly",10,IF(R126="Oligopoly",5,IF(R126="Duopoly that cooperate",10,IF(R126="Duopoly that compete",5,IF(R126="Too many players with High ROCE",5,0)))))</f>
        <v/>
      </c>
      <c r="T126" s="25" t="inlineStr">
        <is>
          <t>No</t>
        </is>
      </c>
      <c r="U126" s="25">
        <f>IF(T126="No",5,0)</f>
        <v/>
      </c>
      <c r="V126" s="25" t="inlineStr">
        <is>
          <t>Tailwind</t>
        </is>
      </c>
      <c r="W126" s="25">
        <f>IF(V126="Tailwind",10,0)</f>
        <v/>
      </c>
      <c r="X126" s="25" t="inlineStr">
        <is>
          <t>Structural (10 Years Consistency)</t>
        </is>
      </c>
      <c r="Y126" s="25">
        <f>IF(X126="Structural (10 Years Consistency)",10,IF(X126="Shallow Cyclical (2 to 3 years growth)",5,0))</f>
        <v/>
      </c>
      <c r="Z126" s="25" t="inlineStr">
        <is>
          <t>No</t>
        </is>
      </c>
      <c r="AA126" s="25">
        <f>IF(Z126="Yes due to Product Mix change or Operating Leverage",10,IF(Z126="Yes, these are peak margins",-5,IF(Z126="No",5,0)))</f>
        <v/>
      </c>
      <c r="AB126" s="25" t="inlineStr">
        <is>
          <t>Stable</t>
        </is>
      </c>
      <c r="AC126" s="25">
        <f>IF(AB126="Stable",10,0)</f>
        <v/>
      </c>
      <c r="AD126" s="25" t="inlineStr">
        <is>
          <t>Yes</t>
        </is>
      </c>
      <c r="AE126" s="25">
        <f>IF(AD126="Yes",10,0)</f>
        <v/>
      </c>
      <c r="AF126" s="25" t="inlineStr">
        <is>
          <t>B2B</t>
        </is>
      </c>
      <c r="AG126" s="25">
        <f>IF(AF126="B2C",10,IF(AF126="B2B",5,0))</f>
        <v/>
      </c>
      <c r="AH126" s="25" t="inlineStr">
        <is>
          <t>Yes</t>
        </is>
      </c>
      <c r="AI126" s="25">
        <f>IF(AH126="Yes",10,0)</f>
        <v/>
      </c>
      <c r="AJ126" s="25" t="inlineStr">
        <is>
          <t>Higher One Time, Lower Annuity</t>
        </is>
      </c>
      <c r="AK126" s="25">
        <f>IF(AJ126="Fully Annuity",10,IF(AJ126="Higher Annuity, Lower One Time",5,IF(AJ126="Higher One Time, Lower Annuity",3,0)))</f>
        <v/>
      </c>
      <c r="AL126" s="25" t="inlineStr">
        <is>
          <t>Good</t>
        </is>
      </c>
      <c r="AM126" s="25">
        <f>IF(AL126="Good",10,0)</f>
        <v/>
      </c>
      <c r="AN126" s="25" t="inlineStr">
        <is>
          <t>Yes for more than 2 years</t>
        </is>
      </c>
      <c r="AO126" s="25">
        <f>IF(AN126="Yes for more than 2 years",10,IF(AN126="Yes only for next 1 to 2 years",5,0))</f>
        <v/>
      </c>
      <c r="AP126" s="25" t="inlineStr">
        <is>
          <t>20 to 40</t>
        </is>
      </c>
      <c r="AQ126" s="25">
        <f>IF(AP126="Above 40",20,IF(AP126="20 to 40",10,IF(AP126="0 to 20",-5,0)))</f>
        <v/>
      </c>
      <c r="AR126" s="25" t="inlineStr">
        <is>
          <t>Between 50 to 75</t>
        </is>
      </c>
      <c r="AS126" s="25">
        <f>IF(AR126="Between 50 to 75",10,IF(AR126="Above 75",0,0))</f>
        <v/>
      </c>
      <c r="AT126" s="25" t="inlineStr">
        <is>
          <t>Stage 2</t>
        </is>
      </c>
      <c r="AU126" s="25">
        <f>IF(AT126="Stage 2",20,IF(AT126="Stage 1",0,IF(AT126="Stage 3",5,IF(AT126="Stage 4",-5,0))))</f>
        <v/>
      </c>
      <c r="AV126" s="25" t="inlineStr">
        <is>
          <t>Positive Trend</t>
        </is>
      </c>
      <c r="AW126" s="25">
        <f>IF(AV126="Positive Trend",20,IF(AV126="Negative Trend",-10,0))</f>
        <v/>
      </c>
      <c r="AX126" s="25" t="inlineStr">
        <is>
          <t>Uptrend</t>
        </is>
      </c>
      <c r="AY126" s="25">
        <f>IF(AX126="Uptrend",10,IF(AX126="Sideways",5,0))</f>
        <v/>
      </c>
      <c r="AZ126" s="25" t="inlineStr">
        <is>
          <t>Uptrend</t>
        </is>
      </c>
      <c r="BA126" s="25">
        <f>IF(AZ126="Uptrend",10,IF(AZ126="Sideways",5,0))</f>
        <v/>
      </c>
      <c r="BB126" s="25" t="inlineStr">
        <is>
          <t>Blue sky scenario</t>
        </is>
      </c>
      <c r="BC126" s="25">
        <f>IF(BB126="Overhead supply in last 2 years in last 2 years",-5,IF(BB126="Close to 52 week high or retracement",5,IF(BB126="Blue sky scenario",10,IF(BB126="Long term Downtrend",-10,0))))</f>
        <v/>
      </c>
      <c r="BD126" s="25" t="inlineStr">
        <is>
          <t>Yes</t>
        </is>
      </c>
      <c r="BE126" s="25">
        <f>IF(BD126="Yes",10,0)</f>
        <v/>
      </c>
      <c r="BF126" s="25" t="inlineStr">
        <is>
          <t>Less than 12%</t>
        </is>
      </c>
      <c r="BG126" s="25">
        <f>IF(BF126="More than 20%",10,IF(BF126="Between 12 to 20%",5,IF(BF126="Less than 12%",0,0)))</f>
        <v/>
      </c>
      <c r="BH126" s="25" t="inlineStr">
        <is>
          <t>No</t>
        </is>
      </c>
      <c r="BI126" s="25">
        <f>IF(BH126="No",10,0)</f>
        <v/>
      </c>
      <c r="BJ126" s="25" t="inlineStr">
        <is>
          <t>No</t>
        </is>
      </c>
      <c r="BK126" s="25">
        <f>IF(BJ126="NO",5,0)</f>
        <v/>
      </c>
      <c r="BL126" s="25" t="inlineStr">
        <is>
          <t>Less than 1.5</t>
        </is>
      </c>
      <c r="BM126" s="25">
        <f>IF(BL126="Above 2",0,IF(BL126="Between 1.5 to 2",5,IF(BL126="Less than 1.5",10,0)))</f>
        <v/>
      </c>
      <c r="BN126" s="25" t="inlineStr">
        <is>
          <t>Less than 50%</t>
        </is>
      </c>
      <c r="BO126" s="25">
        <f>IF(BN126="Above 70%",10,IF(BN126="Between 50% to 70%",5,IF(BN126="Less than 50%",0,IF(BN126="Negative",-10,IF(BN126="Less than 50% and Borrowings are increasing",-5,0)))))</f>
        <v/>
      </c>
      <c r="BP126" s="25" t="inlineStr">
        <is>
          <t>Less than 0.7</t>
        </is>
      </c>
      <c r="BQ126" s="25">
        <f>IF(BP126="More than 1.2",-10,IF(BP126="Between 0.7 to 1.2",0,IF(BP126="Less than 0.7",10,0)))</f>
        <v/>
      </c>
      <c r="BR126" s="25" t="inlineStr">
        <is>
          <t>No</t>
        </is>
      </c>
      <c r="BS126" s="25">
        <f>IF(BR126="Yes",-10,0)</f>
        <v/>
      </c>
      <c r="BT126" s="25" t="inlineStr">
        <is>
          <t>Less than 15%</t>
        </is>
      </c>
      <c r="BU126" s="25">
        <f>IF(BT126="More than 15%",-10,IF(BT126="Less than 15%",10,0))</f>
        <v/>
      </c>
      <c r="BV126" s="25" t="inlineStr">
        <is>
          <t>No</t>
        </is>
      </c>
      <c r="BW126" s="25">
        <f>IF(BV126="Yes, more than 10%",-10,IF(BV126="No",10,0))</f>
        <v/>
      </c>
    </row>
    <row r="127">
      <c r="A127" s="25">
        <f>IF(B127=0,"",RANK(B127,$B$2:$B$292,0))</f>
        <v/>
      </c>
      <c r="B127" s="26">
        <f>SUM(Q127,S127,U127,W127,Y127,AA127,AC127,AE127,AG127,AI127,AK127,AM127,AO127,AQ127,AS127,AU127,AW127,AY127,BA127,BC127,BE127,BG127,BI127,BK127,BM127,BO127,BQ127,BS127,BU127,BW127)</f>
        <v/>
      </c>
      <c r="C127" s="25" t="inlineStr">
        <is>
          <t>DREDGECORP</t>
        </is>
      </c>
      <c r="D127" s="25" t="inlineStr">
        <is>
          <t>Dredging Corporation Of India Limited</t>
        </is>
      </c>
      <c r="E127" s="25" t="inlineStr">
        <is>
          <t>miscellaneous</t>
        </is>
      </c>
      <c r="F127" s="25" t="inlineStr">
        <is>
          <t>miscellaneous</t>
        </is>
      </c>
      <c r="G127" s="25" t="inlineStr">
        <is>
          <t>smallcap</t>
        </is>
      </c>
      <c r="H127" s="26" t="n">
        <v>3170.72</v>
      </c>
      <c r="I127" s="26" t="n">
        <v>1223.3</v>
      </c>
      <c r="J127" s="26" t="n">
        <v>8.029999999999999</v>
      </c>
      <c r="K127" s="26" t="n">
        <v>1064185</v>
      </c>
      <c r="L127" s="26" t="n">
        <v>66.87</v>
      </c>
      <c r="M127" s="26" t="n">
        <v>36.5</v>
      </c>
      <c r="N127" s="26" t="n">
        <v>833.75</v>
      </c>
      <c r="O127" s="25" t="inlineStr">
        <is>
          <t>Near 52W High Breakout</t>
        </is>
      </c>
      <c r="P127" s="25" t="inlineStr">
        <is>
          <t>Growing Industry</t>
        </is>
      </c>
      <c r="Q127" s="25">
        <f>IF(P127="Growing Industry",10,IF(P127="Cyclical in an Upturn",5,0))</f>
        <v/>
      </c>
      <c r="R127" s="25" t="inlineStr">
        <is>
          <t>Too Many Players with High ROCE</t>
        </is>
      </c>
      <c r="S127" s="25">
        <f>IF(R127="Monopoly",10,IF(R127="Oligopoly",5,IF(R127="Duopoly that cooperate",10,IF(R127="Duopoly that compete",5,IF(R127="Too many players with High ROCE",5,0)))))</f>
        <v/>
      </c>
      <c r="T127" s="25" t="inlineStr">
        <is>
          <t>No</t>
        </is>
      </c>
      <c r="U127" s="25">
        <f>IF(T127="No",5,0)</f>
        <v/>
      </c>
      <c r="V127" s="25" t="inlineStr">
        <is>
          <t>Tailwind</t>
        </is>
      </c>
      <c r="W127" s="25">
        <f>IF(V127="Tailwind",10,0)</f>
        <v/>
      </c>
      <c r="X127" s="25" t="inlineStr">
        <is>
          <t>Structural (10 Years Consistency)</t>
        </is>
      </c>
      <c r="Y127" s="25">
        <f>IF(X127="Structural (10 Years Consistency)",10,IF(X127="Shallow Cyclical (2 to 3 years growth)",5,0))</f>
        <v/>
      </c>
      <c r="Z127" s="25" t="inlineStr">
        <is>
          <t>No</t>
        </is>
      </c>
      <c r="AA127" s="25">
        <f>IF(Z127="Yes due to Product Mix change or Operating Leverage",10,IF(Z127="Yes, these are peak margins",-5,IF(Z127="No",5,0)))</f>
        <v/>
      </c>
      <c r="AB127" s="25" t="inlineStr">
        <is>
          <t>Stable</t>
        </is>
      </c>
      <c r="AC127" s="25">
        <f>IF(AB127="Stable",10,0)</f>
        <v/>
      </c>
      <c r="AD127" s="25" t="inlineStr">
        <is>
          <t>Yes</t>
        </is>
      </c>
      <c r="AE127" s="25">
        <f>IF(AD127="Yes",10,0)</f>
        <v/>
      </c>
      <c r="AF127" s="25" t="inlineStr">
        <is>
          <t>B2B</t>
        </is>
      </c>
      <c r="AG127" s="25">
        <f>IF(AF127="B2C",10,IF(AF127="B2B",5,0))</f>
        <v/>
      </c>
      <c r="AH127" s="25" t="inlineStr">
        <is>
          <t>Yes</t>
        </is>
      </c>
      <c r="AI127" s="25">
        <f>IF(AH127="Yes",10,0)</f>
        <v/>
      </c>
      <c r="AJ127" s="25" t="inlineStr">
        <is>
          <t>Higher One Time, Lower Annuity</t>
        </is>
      </c>
      <c r="AK127" s="25">
        <f>IF(AJ127="Fully Annuity",10,IF(AJ127="Higher Annuity, Lower One Time",5,IF(AJ127="Higher One Time, Lower Annuity",3,0)))</f>
        <v/>
      </c>
      <c r="AL127" s="25" t="inlineStr">
        <is>
          <t>Good</t>
        </is>
      </c>
      <c r="AM127" s="25">
        <f>IF(AL127="Good",10,0)</f>
        <v/>
      </c>
      <c r="AN127" s="25" t="inlineStr">
        <is>
          <t>Yes for more than 2 years</t>
        </is>
      </c>
      <c r="AO127" s="25">
        <f>IF(AN127="Yes for more than 2 years",10,IF(AN127="Yes only for next 1 to 2 years",5,0))</f>
        <v/>
      </c>
      <c r="AP127" s="25" t="inlineStr">
        <is>
          <t>20 to 40</t>
        </is>
      </c>
      <c r="AQ127" s="25">
        <f>IF(AP127="Above 40",20,IF(AP127="20 to 40",10,IF(AP127="0 to 20",-5,0)))</f>
        <v/>
      </c>
      <c r="AR127" s="25" t="inlineStr">
        <is>
          <t>Between 50 to 75</t>
        </is>
      </c>
      <c r="AS127" s="25">
        <f>IF(AR127="Between 50 to 75",10,IF(AR127="Above 75",0,0))</f>
        <v/>
      </c>
      <c r="AT127" s="25" t="inlineStr">
        <is>
          <t>Stage 2</t>
        </is>
      </c>
      <c r="AU127" s="25">
        <f>IF(AT127="Stage 2",20,IF(AT127="Stage 1",0,IF(AT127="Stage 3",5,IF(AT127="Stage 4",-5,0))))</f>
        <v/>
      </c>
      <c r="AV127" s="25" t="inlineStr">
        <is>
          <t>Positive Trend</t>
        </is>
      </c>
      <c r="AW127" s="25">
        <f>IF(AV127="Positive Trend",20,IF(AV127="Negative Trend",-10,0))</f>
        <v/>
      </c>
      <c r="AX127" s="25" t="inlineStr">
        <is>
          <t>Uptrend</t>
        </is>
      </c>
      <c r="AY127" s="25">
        <f>IF(AX127="Uptrend",10,IF(AX127="Sideways",5,0))</f>
        <v/>
      </c>
      <c r="AZ127" s="25" t="inlineStr">
        <is>
          <t>Uptrend</t>
        </is>
      </c>
      <c r="BA127" s="25">
        <f>IF(AZ127="Uptrend",10,IF(AZ127="Sideways",5,0))</f>
        <v/>
      </c>
      <c r="BB127" s="25" t="inlineStr">
        <is>
          <t>Close to 52 week high or retracement</t>
        </is>
      </c>
      <c r="BC127" s="25">
        <f>IF(BB127="Overhead supply in last 2 years in last 2 years",-5,IF(BB127="Close to 52 week high or retracement",5,IF(BB127="Blue sky scenario",10,IF(BB127="Long term Downtrend",-10,0))))</f>
        <v/>
      </c>
      <c r="BD127" s="25" t="inlineStr">
        <is>
          <t>Yes</t>
        </is>
      </c>
      <c r="BE127" s="25">
        <f>IF(BD127="Yes",10,0)</f>
        <v/>
      </c>
      <c r="BF127" s="25" t="inlineStr">
        <is>
          <t>More than 20%</t>
        </is>
      </c>
      <c r="BG127" s="25">
        <f>IF(BF127="More than 20%",10,IF(BF127="Between 12 to 20%",5,IF(BF127="Less than 12%",0,0)))</f>
        <v/>
      </c>
      <c r="BH127" s="25" t="inlineStr">
        <is>
          <t>No</t>
        </is>
      </c>
      <c r="BI127" s="25">
        <f>IF(BH127="No",10,0)</f>
        <v/>
      </c>
      <c r="BJ127" s="25" t="inlineStr">
        <is>
          <t>Yes</t>
        </is>
      </c>
      <c r="BK127" s="25">
        <f>IF(BJ127="NO",5,0)</f>
        <v/>
      </c>
      <c r="BL127" s="25" t="inlineStr">
        <is>
          <t>Less than 1.5</t>
        </is>
      </c>
      <c r="BM127" s="25">
        <f>IF(BL127="Above 2",0,IF(BL127="Between 1.5 to 2",5,IF(BL127="Less than 1.5",10,0)))</f>
        <v/>
      </c>
      <c r="BN127" s="25" t="inlineStr">
        <is>
          <t>Between 50% to 70%</t>
        </is>
      </c>
      <c r="BO127" s="25">
        <f>IF(BN127="Above 70%",10,IF(BN127="Between 50% to 70%",5,IF(BN127="Less than 50%",0,IF(BN127="Negative",-10,IF(BN127="Less than 50% and Borrowings are increasing",-5,0)))))</f>
        <v/>
      </c>
      <c r="BP127" s="25" t="inlineStr">
        <is>
          <t>Between 0.7 to 1.2</t>
        </is>
      </c>
      <c r="BQ127" s="25">
        <f>IF(BP127="More than 1.2",-10,IF(BP127="Between 0.7 to 1.2",0,IF(BP127="Less than 0.7",10,0)))</f>
        <v/>
      </c>
      <c r="BR127" s="25" t="inlineStr">
        <is>
          <t>No</t>
        </is>
      </c>
      <c r="BS127" s="25">
        <f>IF(BR127="Yes",-10,0)</f>
        <v/>
      </c>
      <c r="BT127" s="25" t="inlineStr">
        <is>
          <t>Less than 15%</t>
        </is>
      </c>
      <c r="BU127" s="25">
        <f>IF(BT127="More than 15%",-10,IF(BT127="Less than 15%",10,0))</f>
        <v/>
      </c>
      <c r="BV127" s="25" t="inlineStr">
        <is>
          <t>No</t>
        </is>
      </c>
      <c r="BW127" s="25">
        <f>IF(BV127="Yes, more than 10%",-10,IF(BV127="No",10,0))</f>
        <v/>
      </c>
    </row>
    <row r="128">
      <c r="A128" s="25">
        <f>IF(B128=0,"",RANK(B128,$B$2:$B$292,0))</f>
        <v/>
      </c>
      <c r="B128" s="26">
        <f>SUM(Q128,S128,U128,W128,Y128,AA128,AC128,AE128,AG128,AI128,AK128,AM128,AO128,AQ128,AS128,AU128,AW128,AY128,BA128,BC128,BE128,BG128,BI128,BK128,BM128,BO128,BQ128,BS128,BU128,BW128)</f>
        <v/>
      </c>
      <c r="C128" s="25" t="inlineStr">
        <is>
          <t>PTCIL</t>
        </is>
      </c>
      <c r="D128" s="25" t="inlineStr">
        <is>
          <t>PTC Industries Ltd</t>
        </is>
      </c>
      <c r="E128" s="25" t="inlineStr">
        <is>
          <t>industrials</t>
        </is>
      </c>
      <c r="F128" s="25" t="inlineStr">
        <is>
          <t>castings &amp; forgings</t>
        </is>
      </c>
      <c r="G128" s="25" t="inlineStr">
        <is>
          <t>largecap</t>
        </is>
      </c>
      <c r="H128" s="26" t="n">
        <v>27719.72</v>
      </c>
      <c r="I128" s="26" t="n">
        <v>19380</v>
      </c>
      <c r="J128" s="26" t="n">
        <v>4.82</v>
      </c>
      <c r="K128" s="26" t="n">
        <v>148647</v>
      </c>
      <c r="L128" s="26" t="n">
        <v>63.76</v>
      </c>
      <c r="M128" s="26" t="n">
        <v>12.08</v>
      </c>
      <c r="N128" s="26" t="n">
        <v>15340.51</v>
      </c>
      <c r="O128" s="25" t="inlineStr">
        <is>
          <t>Volume Spike &amp; Near 52W High Breakout</t>
        </is>
      </c>
      <c r="P128" s="25" t="inlineStr">
        <is>
          <t>Cyclical in an Upturn</t>
        </is>
      </c>
      <c r="Q128" s="25">
        <f>IF(P128="Growing Industry",10,IF(P128="Cyclical in an Upturn",5,0))</f>
        <v/>
      </c>
      <c r="R128" s="25" t="inlineStr">
        <is>
          <t>Too Many Players with High ROCE</t>
        </is>
      </c>
      <c r="S128" s="25">
        <f>IF(R128="Monopoly",10,IF(R128="Oligopoly",5,IF(R128="Duopoly that cooperate",10,IF(R128="Duopoly that compete",5,IF(R128="Too many players with High ROCE",5,0)))))</f>
        <v/>
      </c>
      <c r="T128" s="25" t="inlineStr">
        <is>
          <t>No</t>
        </is>
      </c>
      <c r="U128" s="25">
        <f>IF(T128="No",5,0)</f>
        <v/>
      </c>
      <c r="V128" s="25" t="inlineStr">
        <is>
          <t>Tailwind</t>
        </is>
      </c>
      <c r="W128" s="25">
        <f>IF(V128="Tailwind",10,0)</f>
        <v/>
      </c>
      <c r="X128" s="25" t="inlineStr">
        <is>
          <t>Structural (10 Years Consistency)</t>
        </is>
      </c>
      <c r="Y128" s="25">
        <f>IF(X128="Structural (10 Years Consistency)",10,IF(X128="Shallow Cyclical (2 to 3 years growth)",5,0))</f>
        <v/>
      </c>
      <c r="Z128" s="25" t="inlineStr">
        <is>
          <t>No</t>
        </is>
      </c>
      <c r="AA128" s="25">
        <f>IF(Z128="Yes due to Product Mix change or Operating Leverage",10,IF(Z128="Yes, these are peak margins",-5,IF(Z128="No",5,0)))</f>
        <v/>
      </c>
      <c r="AB128" s="25" t="inlineStr">
        <is>
          <t>Stable</t>
        </is>
      </c>
      <c r="AC128" s="25">
        <f>IF(AB128="Stable",10,0)</f>
        <v/>
      </c>
      <c r="AD128" s="25" t="inlineStr">
        <is>
          <t>Yes</t>
        </is>
      </c>
      <c r="AE128" s="25">
        <f>IF(AD128="Yes",10,0)</f>
        <v/>
      </c>
      <c r="AF128" s="25" t="inlineStr">
        <is>
          <t>B2B</t>
        </is>
      </c>
      <c r="AG128" s="25">
        <f>IF(AF128="B2C",10,IF(AF128="B2B",5,0))</f>
        <v/>
      </c>
      <c r="AH128" s="25" t="inlineStr">
        <is>
          <t>Yes</t>
        </is>
      </c>
      <c r="AI128" s="25">
        <f>IF(AH128="Yes",10,0)</f>
        <v/>
      </c>
      <c r="AJ128" s="25" t="inlineStr">
        <is>
          <t>Higher One Time, Lower Annuity</t>
        </is>
      </c>
      <c r="AK128" s="25">
        <f>IF(AJ128="Fully Annuity",10,IF(AJ128="Higher Annuity, Lower One Time",5,IF(AJ128="Higher One Time, Lower Annuity",3,0)))</f>
        <v/>
      </c>
      <c r="AL128" s="25" t="inlineStr">
        <is>
          <t>Good</t>
        </is>
      </c>
      <c r="AM128" s="25">
        <f>IF(AL128="Good",10,0)</f>
        <v/>
      </c>
      <c r="AN128" s="25" t="inlineStr">
        <is>
          <t>Yes for more than 2 years</t>
        </is>
      </c>
      <c r="AO128" s="25">
        <f>IF(AN128="Yes for more than 2 years",10,IF(AN128="Yes only for next 1 to 2 years",5,0))</f>
        <v/>
      </c>
      <c r="AP128" s="25" t="inlineStr">
        <is>
          <t>0 to 20</t>
        </is>
      </c>
      <c r="AQ128" s="25">
        <f>IF(AP128="Above 40",20,IF(AP128="20 to 40",10,IF(AP128="0 to 20",-5,0)))</f>
        <v/>
      </c>
      <c r="AR128" s="25" t="inlineStr">
        <is>
          <t>Between 50 to 75</t>
        </is>
      </c>
      <c r="AS128" s="25">
        <f>IF(AR128="Between 50 to 75",10,IF(AR128="Above 75",0,0))</f>
        <v/>
      </c>
      <c r="AT128" s="25" t="inlineStr">
        <is>
          <t>Stage 2</t>
        </is>
      </c>
      <c r="AU128" s="25">
        <f>IF(AT128="Stage 2",20,IF(AT128="Stage 1",0,IF(AT128="Stage 3",5,IF(AT128="Stage 4",-5,0))))</f>
        <v/>
      </c>
      <c r="AV128" s="25" t="inlineStr">
        <is>
          <t>Positive Trend</t>
        </is>
      </c>
      <c r="AW128" s="25">
        <f>IF(AV128="Positive Trend",20,IF(AV128="Negative Trend",-10,0))</f>
        <v/>
      </c>
      <c r="AX128" s="25" t="inlineStr">
        <is>
          <t>Uptrend</t>
        </is>
      </c>
      <c r="AY128" s="25">
        <f>IF(AX128="Uptrend",10,IF(AX128="Sideways",5,0))</f>
        <v/>
      </c>
      <c r="AZ128" s="25" t="inlineStr">
        <is>
          <t>Uptrend</t>
        </is>
      </c>
      <c r="BA128" s="25">
        <f>IF(AZ128="Uptrend",10,IF(AZ128="Sideways",5,0))</f>
        <v/>
      </c>
      <c r="BB128" s="25" t="inlineStr">
        <is>
          <t>Blue sky scenario</t>
        </is>
      </c>
      <c r="BC128" s="25">
        <f>IF(BB128="Overhead supply in last 2 years in last 2 years",-5,IF(BB128="Close to 52 week high or retracement",5,IF(BB128="Blue sky scenario",10,IF(BB128="Long term Downtrend",-10,0))))</f>
        <v/>
      </c>
      <c r="BD128" s="25" t="inlineStr">
        <is>
          <t>Yes</t>
        </is>
      </c>
      <c r="BE128" s="25">
        <f>IF(BD128="Yes",10,0)</f>
        <v/>
      </c>
      <c r="BF128" s="25" t="inlineStr">
        <is>
          <t>More than 20%</t>
        </is>
      </c>
      <c r="BG128" s="25">
        <f>IF(BF128="More than 20%",10,IF(BF128="Between 12 to 20%",5,IF(BF128="Less than 12%",0,0)))</f>
        <v/>
      </c>
      <c r="BH128" s="25" t="inlineStr">
        <is>
          <t>No</t>
        </is>
      </c>
      <c r="BI128" s="25">
        <f>IF(BH128="No",10,0)</f>
        <v/>
      </c>
      <c r="BJ128" s="25" t="inlineStr">
        <is>
          <t>Yes</t>
        </is>
      </c>
      <c r="BK128" s="25">
        <f>IF(BJ128="NO",5,0)</f>
        <v/>
      </c>
      <c r="BL128" s="25" t="inlineStr">
        <is>
          <t>Less than 1.5</t>
        </is>
      </c>
      <c r="BM128" s="25">
        <f>IF(BL128="Above 2",0,IF(BL128="Between 1.5 to 2",5,IF(BL128="Less than 1.5",10,0)))</f>
        <v/>
      </c>
      <c r="BN128" s="25" t="inlineStr">
        <is>
          <t>Above 70%</t>
        </is>
      </c>
      <c r="BO128" s="25">
        <f>IF(BN128="Above 70%",10,IF(BN128="Between 50% to 70%",5,IF(BN128="Less than 50%",0,IF(BN128="Negative",-10,IF(BN128="Less than 50% and Borrowings are increasing",-5,0)))))</f>
        <v/>
      </c>
      <c r="BP128" s="25" t="inlineStr">
        <is>
          <t>Less than 0.7</t>
        </is>
      </c>
      <c r="BQ128" s="25">
        <f>IF(BP128="More than 1.2",-10,IF(BP128="Between 0.7 to 1.2",0,IF(BP128="Less than 0.7",10,0)))</f>
        <v/>
      </c>
      <c r="BR128" s="25" t="inlineStr">
        <is>
          <t>No</t>
        </is>
      </c>
      <c r="BS128" s="25">
        <f>IF(BR128="Yes",-10,0)</f>
        <v/>
      </c>
      <c r="BT128" s="25" t="inlineStr">
        <is>
          <t>Less than 15%</t>
        </is>
      </c>
      <c r="BU128" s="25">
        <f>IF(BT128="More than 15%",-10,IF(BT128="Less than 15%",10,0))</f>
        <v/>
      </c>
      <c r="BV128" s="25" t="inlineStr">
        <is>
          <t>No</t>
        </is>
      </c>
      <c r="BW128" s="25">
        <f>IF(BV128="Yes, more than 10%",-10,IF(BV128="No",10,0))</f>
        <v/>
      </c>
    </row>
    <row r="129">
      <c r="A129" s="25">
        <f>IF(B129=0,"",RANK(B129,$B$2:$B$292,0))</f>
        <v/>
      </c>
      <c r="B129" s="26">
        <f>SUM(Q129,S129,U129,W129,Y129,AA129,AC129,AE129,AG129,AI129,AK129,AM129,AO129,AQ129,AS129,AU129,AW129,AY129,BA129,BC129,BE129,BG129,BI129,BK129,BM129,BO129,BQ129,BS129,BU129,BW129)</f>
        <v/>
      </c>
      <c r="C129" s="25" t="inlineStr">
        <is>
          <t>CHENNPETRO</t>
        </is>
      </c>
      <c r="D129" s="25" t="inlineStr">
        <is>
          <t>Chennai Petroleum Corporation Limited</t>
        </is>
      </c>
      <c r="E129" s="25" t="inlineStr">
        <is>
          <t>energy</t>
        </is>
      </c>
      <c r="F129" s="25" t="inlineStr">
        <is>
          <t>refineries</t>
        </is>
      </c>
      <c r="G129" s="25" t="inlineStr">
        <is>
          <t>midcap</t>
        </is>
      </c>
      <c r="H129" s="26" t="n">
        <v>16334.09</v>
      </c>
      <c r="I129" s="26" t="n">
        <v>1141.6</v>
      </c>
      <c r="J129" s="26" t="n">
        <v>4.08</v>
      </c>
      <c r="K129" s="26" t="n">
        <v>1839119</v>
      </c>
      <c r="L129" s="26" t="n">
        <v>62.28</v>
      </c>
      <c r="M129" s="26" t="n">
        <v>42.55</v>
      </c>
      <c r="N129" s="26" t="n">
        <v>856.39</v>
      </c>
      <c r="O129" s="25" t="inlineStr">
        <is>
          <t>Near 52W High Breakout</t>
        </is>
      </c>
      <c r="P129" s="25" t="inlineStr">
        <is>
          <t>Cyclical in an Upturn</t>
        </is>
      </c>
      <c r="Q129" s="25">
        <f>IF(P129="Growing Industry",10,IF(P129="Cyclical in an Upturn",5,0))</f>
        <v/>
      </c>
      <c r="R129" s="25" t="inlineStr">
        <is>
          <t>Oligopoly</t>
        </is>
      </c>
      <c r="S129" s="25">
        <f>IF(R129="Monopoly",10,IF(R129="Oligopoly",5,IF(R129="Duopoly that cooperate",10,IF(R129="Duopoly that compete",5,IF(R129="Too many players with High ROCE",5,0)))))</f>
        <v/>
      </c>
      <c r="T129" s="25" t="inlineStr">
        <is>
          <t>Yes</t>
        </is>
      </c>
      <c r="U129" s="25">
        <f>IF(T129="No",5,0)</f>
        <v/>
      </c>
      <c r="V129" s="25" t="inlineStr">
        <is>
          <t>Tailwind</t>
        </is>
      </c>
      <c r="W129" s="25">
        <f>IF(V129="Tailwind",10,0)</f>
        <v/>
      </c>
      <c r="X129" s="25" t="inlineStr">
        <is>
          <t>Cyclical</t>
        </is>
      </c>
      <c r="Y129" s="25">
        <f>IF(X129="Structural (10 Years Consistency)",10,IF(X129="Shallow Cyclical (2 to 3 years growth)",5,0))</f>
        <v/>
      </c>
      <c r="Z129" s="25" t="inlineStr">
        <is>
          <t>No</t>
        </is>
      </c>
      <c r="AA129" s="25">
        <f>IF(Z129="Yes due to Product Mix change or Operating Leverage",10,IF(Z129="Yes, these are peak margins",-5,IF(Z129="No",5,0)))</f>
        <v/>
      </c>
      <c r="AB129" s="25" t="inlineStr">
        <is>
          <t>Volatile</t>
        </is>
      </c>
      <c r="AC129" s="25">
        <f>IF(AB129="Stable",10,0)</f>
        <v/>
      </c>
      <c r="AD129" s="25" t="inlineStr">
        <is>
          <t>Yes</t>
        </is>
      </c>
      <c r="AE129" s="25">
        <f>IF(AD129="Yes",10,0)</f>
        <v/>
      </c>
      <c r="AF129" s="25" t="inlineStr">
        <is>
          <t>B2B</t>
        </is>
      </c>
      <c r="AG129" s="25">
        <f>IF(AF129="B2C",10,IF(AF129="B2B",5,0))</f>
        <v/>
      </c>
      <c r="AH129" s="25" t="inlineStr">
        <is>
          <t>Yes</t>
        </is>
      </c>
      <c r="AI129" s="25">
        <f>IF(AH129="Yes",10,0)</f>
        <v/>
      </c>
      <c r="AJ129" s="25" t="inlineStr">
        <is>
          <t>Higher One Time, Lower Annuity</t>
        </is>
      </c>
      <c r="AK129" s="25">
        <f>IF(AJ129="Fully Annuity",10,IF(AJ129="Higher Annuity, Lower One Time",5,IF(AJ129="Higher One Time, Lower Annuity",3,0)))</f>
        <v/>
      </c>
      <c r="AL129" s="25" t="inlineStr">
        <is>
          <t>Good</t>
        </is>
      </c>
      <c r="AM129" s="25">
        <f>IF(AL129="Good",10,0)</f>
        <v/>
      </c>
      <c r="AN129" s="25" t="inlineStr">
        <is>
          <t>Yes for more than 2 years</t>
        </is>
      </c>
      <c r="AO129" s="25">
        <f>IF(AN129="Yes for more than 2 years",10,IF(AN129="Yes only for next 1 to 2 years",5,0))</f>
        <v/>
      </c>
      <c r="AP129" s="25" t="inlineStr">
        <is>
          <t>Above 40</t>
        </is>
      </c>
      <c r="AQ129" s="25">
        <f>IF(AP129="Above 40",20,IF(AP129="20 to 40",10,IF(AP129="0 to 20",-5,0)))</f>
        <v/>
      </c>
      <c r="AR129" s="25" t="inlineStr">
        <is>
          <t>Between 50 to 75</t>
        </is>
      </c>
      <c r="AS129" s="25">
        <f>IF(AR129="Between 50 to 75",10,IF(AR129="Above 75",0,0))</f>
        <v/>
      </c>
      <c r="AT129" s="25" t="inlineStr">
        <is>
          <t>Stage 2</t>
        </is>
      </c>
      <c r="AU129" s="25">
        <f>IF(AT129="Stage 2",20,IF(AT129="Stage 1",0,IF(AT129="Stage 3",5,IF(AT129="Stage 4",-5,0))))</f>
        <v/>
      </c>
      <c r="AV129" s="25" t="inlineStr">
        <is>
          <t>Positive Trend</t>
        </is>
      </c>
      <c r="AW129" s="25">
        <f>IF(AV129="Positive Trend",20,IF(AV129="Negative Trend",-10,0))</f>
        <v/>
      </c>
      <c r="AX129" s="25" t="inlineStr">
        <is>
          <t>Uptrend</t>
        </is>
      </c>
      <c r="AY129" s="25">
        <f>IF(AX129="Uptrend",10,IF(AX129="Sideways",5,0))</f>
        <v/>
      </c>
      <c r="AZ129" s="25" t="inlineStr">
        <is>
          <t>Uptrend</t>
        </is>
      </c>
      <c r="BA129" s="25">
        <f>IF(AZ129="Uptrend",10,IF(AZ129="Sideways",5,0))</f>
        <v/>
      </c>
      <c r="BB129" s="25" t="inlineStr">
        <is>
          <t>Blue sky scenario</t>
        </is>
      </c>
      <c r="BC129" s="25">
        <f>IF(BB129="Overhead supply in last 2 years in last 2 years",-5,IF(BB129="Close to 52 week high or retracement",5,IF(BB129="Blue sky scenario",10,IF(BB129="Long term Downtrend",-10,0))))</f>
        <v/>
      </c>
      <c r="BD129" s="25" t="inlineStr">
        <is>
          <t>Yes</t>
        </is>
      </c>
      <c r="BE129" s="25">
        <f>IF(BD129="Yes",10,0)</f>
        <v/>
      </c>
      <c r="BF129" s="25" t="inlineStr">
        <is>
          <t>More than 20%</t>
        </is>
      </c>
      <c r="BG129" s="25">
        <f>IF(BF129="More than 20%",10,IF(BF129="Between 12 to 20%",5,IF(BF129="Less than 12%",0,0)))</f>
        <v/>
      </c>
      <c r="BH129" s="25" t="inlineStr">
        <is>
          <t>No</t>
        </is>
      </c>
      <c r="BI129" s="25">
        <f>IF(BH129="No",10,0)</f>
        <v/>
      </c>
      <c r="BJ129" s="25" t="inlineStr">
        <is>
          <t>No</t>
        </is>
      </c>
      <c r="BK129" s="25">
        <f>IF(BJ129="NO",5,0)</f>
        <v/>
      </c>
      <c r="BL129" s="25" t="inlineStr">
        <is>
          <t>Less than 1.5</t>
        </is>
      </c>
      <c r="BM129" s="25">
        <f>IF(BL129="Above 2",0,IF(BL129="Between 1.5 to 2",5,IF(BL129="Less than 1.5",10,0)))</f>
        <v/>
      </c>
      <c r="BN129" s="25" t="inlineStr">
        <is>
          <t>Between 50% to 70%</t>
        </is>
      </c>
      <c r="BO129" s="25">
        <f>IF(BN129="Above 70%",10,IF(BN129="Between 50% to 70%",5,IF(BN129="Less than 50%",0,IF(BN129="Negative",-10,IF(BN129="Less than 50% and Borrowings are increasing",-5,0)))))</f>
        <v/>
      </c>
      <c r="BP129" s="25" t="inlineStr">
        <is>
          <t>Less than 0.7</t>
        </is>
      </c>
      <c r="BQ129" s="25">
        <f>IF(BP129="More than 1.2",-10,IF(BP129="Between 0.7 to 1.2",0,IF(BP129="Less than 0.7",10,0)))</f>
        <v/>
      </c>
      <c r="BR129" s="25" t="inlineStr">
        <is>
          <t>No</t>
        </is>
      </c>
      <c r="BS129" s="25">
        <f>IF(BR129="Yes",-10,0)</f>
        <v/>
      </c>
      <c r="BT129" s="25" t="inlineStr">
        <is>
          <t>Less than 15%</t>
        </is>
      </c>
      <c r="BU129" s="25">
        <f>IF(BT129="More than 15%",-10,IF(BT129="Less than 15%",10,0))</f>
        <v/>
      </c>
      <c r="BV129" s="25" t="inlineStr">
        <is>
          <t>No</t>
        </is>
      </c>
      <c r="BW129" s="25">
        <f>IF(BV129="Yes, more than 10%",-10,IF(BV129="No",10,0))</f>
        <v/>
      </c>
    </row>
    <row r="130">
      <c r="A130" s="25">
        <f>IF(B130=0,"",RANK(B130,$B$2:$B$292,0))</f>
        <v/>
      </c>
      <c r="B130" s="26">
        <f>SUM(Q130,S130,U130,W130,Y130,AA130,AC130,AE130,AG130,AI130,AK130,AM130,AO130,AQ130,AS130,AU130,AW130,AY130,BA130,BC130,BE130,BG130,BI130,BK130,BM130,BO130,BQ130,BS130,BU130,BW130)</f>
        <v/>
      </c>
      <c r="C130" s="25" t="inlineStr">
        <is>
          <t>SOUTHWEST</t>
        </is>
      </c>
      <c r="D130" s="25" t="inlineStr">
        <is>
          <t>South West Pinnacle Exploration Ltd</t>
        </is>
      </c>
      <c r="E130" s="25" t="inlineStr">
        <is>
          <t>metals &amp; mining</t>
        </is>
      </c>
      <c r="F130" s="25" t="inlineStr">
        <is>
          <t>mining / minerals / metals</t>
        </is>
      </c>
      <c r="G130" s="25" t="inlineStr">
        <is>
          <t>smallcap</t>
        </is>
      </c>
      <c r="H130" s="26" t="n">
        <v>769.02</v>
      </c>
      <c r="I130" s="26" t="n">
        <v>265</v>
      </c>
      <c r="J130" s="26" t="n">
        <v>2.79</v>
      </c>
      <c r="K130" s="26" t="n">
        <v>194936</v>
      </c>
      <c r="L130" s="26" t="n">
        <v>65.31999999999999</v>
      </c>
      <c r="M130" s="26" t="n">
        <v>46.03</v>
      </c>
      <c r="N130" s="26" t="n">
        <v>176.95</v>
      </c>
      <c r="O130" s="25" t="inlineStr">
        <is>
          <t>Near 52W High Breakout</t>
        </is>
      </c>
      <c r="P130" s="25" t="inlineStr">
        <is>
          <t>Cyclical in an Upturn</t>
        </is>
      </c>
      <c r="Q130" s="25">
        <f>IF(P130="Growing Industry",10,IF(P130="Cyclical in an Upturn",5,0))</f>
        <v/>
      </c>
      <c r="R130" s="25" t="inlineStr">
        <is>
          <t>Too Many Players with High ROCE</t>
        </is>
      </c>
      <c r="S130" s="25">
        <f>IF(R130="Monopoly",10,IF(R130="Oligopoly",5,IF(R130="Duopoly that cooperate",10,IF(R130="Duopoly that compete",5,IF(R130="Too many players with High ROCE",5,0)))))</f>
        <v/>
      </c>
      <c r="T130" s="25" t="inlineStr">
        <is>
          <t>No</t>
        </is>
      </c>
      <c r="U130" s="25">
        <f>IF(T130="No",5,0)</f>
        <v/>
      </c>
      <c r="V130" s="25" t="inlineStr">
        <is>
          <t>Tailwind</t>
        </is>
      </c>
      <c r="W130" s="25">
        <f>IF(V130="Tailwind",10,0)</f>
        <v/>
      </c>
      <c r="X130" s="25" t="inlineStr">
        <is>
          <t>Cyclical</t>
        </is>
      </c>
      <c r="Y130" s="25">
        <f>IF(X130="Structural (10 Years Consistency)",10,IF(X130="Shallow Cyclical (2 to 3 years growth)",5,0))</f>
        <v/>
      </c>
      <c r="Z130" s="25" t="inlineStr">
        <is>
          <t>No</t>
        </is>
      </c>
      <c r="AA130" s="25">
        <f>IF(Z130="Yes due to Product Mix change or Operating Leverage",10,IF(Z130="Yes, these are peak margins",-5,IF(Z130="No",5,0)))</f>
        <v/>
      </c>
      <c r="AB130" s="25" t="inlineStr">
        <is>
          <t>Volatile</t>
        </is>
      </c>
      <c r="AC130" s="25">
        <f>IF(AB130="Stable",10,0)</f>
        <v/>
      </c>
      <c r="AD130" s="25" t="inlineStr">
        <is>
          <t>Yes</t>
        </is>
      </c>
      <c r="AE130" s="25">
        <f>IF(AD130="Yes",10,0)</f>
        <v/>
      </c>
      <c r="AF130" s="25" t="inlineStr">
        <is>
          <t>B2B</t>
        </is>
      </c>
      <c r="AG130" s="25">
        <f>IF(AF130="B2C",10,IF(AF130="B2B",5,0))</f>
        <v/>
      </c>
      <c r="AH130" s="25" t="inlineStr">
        <is>
          <t>Yes</t>
        </is>
      </c>
      <c r="AI130" s="25">
        <f>IF(AH130="Yes",10,0)</f>
        <v/>
      </c>
      <c r="AJ130" s="25" t="inlineStr">
        <is>
          <t>Higher One Time, Lower Annuity</t>
        </is>
      </c>
      <c r="AK130" s="25">
        <f>IF(AJ130="Fully Annuity",10,IF(AJ130="Higher Annuity, Lower One Time",5,IF(AJ130="Higher One Time, Lower Annuity",3,0)))</f>
        <v/>
      </c>
      <c r="AL130" s="25" t="inlineStr">
        <is>
          <t>Good</t>
        </is>
      </c>
      <c r="AM130" s="25">
        <f>IF(AL130="Good",10,0)</f>
        <v/>
      </c>
      <c r="AN130" s="25" t="inlineStr">
        <is>
          <t>Yes for more than 2 years</t>
        </is>
      </c>
      <c r="AO130" s="25">
        <f>IF(AN130="Yes for more than 2 years",10,IF(AN130="Yes only for next 1 to 2 years",5,0))</f>
        <v/>
      </c>
      <c r="AP130" s="25" t="inlineStr">
        <is>
          <t>Above 40</t>
        </is>
      </c>
      <c r="AQ130" s="25">
        <f>IF(AP130="Above 40",20,IF(AP130="20 to 40",10,IF(AP130="0 to 20",-5,0)))</f>
        <v/>
      </c>
      <c r="AR130" s="25" t="inlineStr">
        <is>
          <t>Between 50 to 75</t>
        </is>
      </c>
      <c r="AS130" s="25">
        <f>IF(AR130="Between 50 to 75",10,IF(AR130="Above 75",0,0))</f>
        <v/>
      </c>
      <c r="AT130" s="25" t="inlineStr">
        <is>
          <t>Stage 2</t>
        </is>
      </c>
      <c r="AU130" s="25">
        <f>IF(AT130="Stage 2",20,IF(AT130="Stage 1",0,IF(AT130="Stage 3",5,IF(AT130="Stage 4",-5,0))))</f>
        <v/>
      </c>
      <c r="AV130" s="25" t="inlineStr">
        <is>
          <t>Positive Trend</t>
        </is>
      </c>
      <c r="AW130" s="25">
        <f>IF(AV130="Positive Trend",20,IF(AV130="Negative Trend",-10,0))</f>
        <v/>
      </c>
      <c r="AX130" s="25" t="inlineStr">
        <is>
          <t>Uptrend</t>
        </is>
      </c>
      <c r="AY130" s="25">
        <f>IF(AX130="Uptrend",10,IF(AX130="Sideways",5,0))</f>
        <v/>
      </c>
      <c r="AZ130" s="25" t="inlineStr">
        <is>
          <t>Uptrend</t>
        </is>
      </c>
      <c r="BA130" s="25">
        <f>IF(AZ130="Uptrend",10,IF(AZ130="Sideways",5,0))</f>
        <v/>
      </c>
      <c r="BB130" s="25" t="inlineStr">
        <is>
          <t>Blue sky scenario</t>
        </is>
      </c>
      <c r="BC130" s="25">
        <f>IF(BB130="Overhead supply in last 2 years in last 2 years",-5,IF(BB130="Close to 52 week high or retracement",5,IF(BB130="Blue sky scenario",10,IF(BB130="Long term Downtrend",-10,0))))</f>
        <v/>
      </c>
      <c r="BD130" s="25" t="inlineStr">
        <is>
          <t>Yes</t>
        </is>
      </c>
      <c r="BE130" s="25">
        <f>IF(BD130="Yes",10,0)</f>
        <v/>
      </c>
      <c r="BF130" s="25" t="inlineStr">
        <is>
          <t>More than 20%</t>
        </is>
      </c>
      <c r="BG130" s="25">
        <f>IF(BF130="More than 20%",10,IF(BF130="Between 12 to 20%",5,IF(BF130="Less than 12%",0,0)))</f>
        <v/>
      </c>
      <c r="BH130" s="25" t="inlineStr">
        <is>
          <t>No</t>
        </is>
      </c>
      <c r="BI130" s="25">
        <f>IF(BH130="No",10,0)</f>
        <v/>
      </c>
      <c r="BJ130" s="25" t="inlineStr">
        <is>
          <t>No</t>
        </is>
      </c>
      <c r="BK130" s="25">
        <f>IF(BJ130="NO",5,0)</f>
        <v/>
      </c>
      <c r="BL130" s="25" t="inlineStr">
        <is>
          <t>Less than 1.5</t>
        </is>
      </c>
      <c r="BM130" s="25">
        <f>IF(BL130="Above 2",0,IF(BL130="Between 1.5 to 2",5,IF(BL130="Less than 1.5",10,0)))</f>
        <v/>
      </c>
      <c r="BN130" s="25" t="inlineStr">
        <is>
          <t>Less than 50%</t>
        </is>
      </c>
      <c r="BO130" s="25">
        <f>IF(BN130="Above 70%",10,IF(BN130="Between 50% to 70%",5,IF(BN130="Less than 50%",0,IF(BN130="Negative",-10,IF(BN130="Less than 50% and Borrowings are increasing",-5,0)))))</f>
        <v/>
      </c>
      <c r="BP130" s="25" t="inlineStr">
        <is>
          <t>Less than 0.7</t>
        </is>
      </c>
      <c r="BQ130" s="25">
        <f>IF(BP130="More than 1.2",-10,IF(BP130="Between 0.7 to 1.2",0,IF(BP130="Less than 0.7",10,0)))</f>
        <v/>
      </c>
      <c r="BR130" s="25" t="inlineStr">
        <is>
          <t>No</t>
        </is>
      </c>
      <c r="BS130" s="25">
        <f>IF(BR130="Yes",-10,0)</f>
        <v/>
      </c>
      <c r="BT130" s="25" t="inlineStr">
        <is>
          <t>Less than 15%</t>
        </is>
      </c>
      <c r="BU130" s="25">
        <f>IF(BT130="More than 15%",-10,IF(BT130="Less than 15%",10,0))</f>
        <v/>
      </c>
      <c r="BV130" s="25" t="inlineStr">
        <is>
          <t>No</t>
        </is>
      </c>
      <c r="BW130" s="25">
        <f>IF(BV130="Yes, more than 10%",-10,IF(BV130="No",10,0))</f>
        <v/>
      </c>
    </row>
    <row r="131">
      <c r="A131" s="25">
        <f>IF(B131=0,"",RANK(B131,$B$2:$B$292,0))</f>
        <v/>
      </c>
      <c r="B131" s="26">
        <f>SUM(Q131,S131,U131,W131,Y131,AA131,AC131,AE131,AG131,AI131,AK131,AM131,AO131,AQ131,AS131,AU131,AW131,AY131,BA131,BC131,BE131,BG131,BI131,BK131,BM131,BO131,BQ131,BS131,BU131,BW131)</f>
        <v/>
      </c>
      <c r="C131" s="25" t="inlineStr">
        <is>
          <t>JAYAGROGN</t>
        </is>
      </c>
      <c r="D131" s="25" t="inlineStr">
        <is>
          <t>Jayant Agro Organics Limited</t>
        </is>
      </c>
      <c r="E131" s="25" t="inlineStr">
        <is>
          <t>chemicals</t>
        </is>
      </c>
      <c r="F131" s="25" t="inlineStr">
        <is>
          <t>chemicals</t>
        </is>
      </c>
      <c r="G131" s="25" t="inlineStr">
        <is>
          <t>smallcap</t>
        </is>
      </c>
      <c r="H131" s="26" t="n">
        <v>694.65</v>
      </c>
      <c r="I131" s="26" t="n">
        <v>235.63</v>
      </c>
      <c r="J131" s="26" t="n">
        <v>1.76</v>
      </c>
      <c r="K131" s="26" t="n">
        <v>10092</v>
      </c>
      <c r="L131" s="26" t="n">
        <v>65.65000000000001</v>
      </c>
      <c r="M131" s="26" t="n">
        <v>27.11</v>
      </c>
      <c r="N131" s="26" t="n">
        <v>180.24</v>
      </c>
      <c r="O131" s="25" t="inlineStr">
        <is>
          <t>Earnings / Momentum Support</t>
        </is>
      </c>
      <c r="P131" s="25" t="inlineStr">
        <is>
          <t>Growing Industry</t>
        </is>
      </c>
      <c r="Q131" s="25">
        <f>IF(P131="Growing Industry",10,IF(P131="Cyclical in an Upturn",5,0))</f>
        <v/>
      </c>
      <c r="R131" s="25" t="inlineStr">
        <is>
          <t>Too Many Players with High ROCE</t>
        </is>
      </c>
      <c r="S131" s="25">
        <f>IF(R131="Monopoly",10,IF(R131="Oligopoly",5,IF(R131="Duopoly that cooperate",10,IF(R131="Duopoly that compete",5,IF(R131="Too many players with High ROCE",5,0)))))</f>
        <v/>
      </c>
      <c r="T131" s="25" t="inlineStr">
        <is>
          <t>No</t>
        </is>
      </c>
      <c r="U131" s="25">
        <f>IF(T131="No",5,0)</f>
        <v/>
      </c>
      <c r="V131" s="25" t="inlineStr">
        <is>
          <t>Tailwind</t>
        </is>
      </c>
      <c r="W131" s="25">
        <f>IF(V131="Tailwind",10,0)</f>
        <v/>
      </c>
      <c r="X131" s="25" t="inlineStr">
        <is>
          <t>Structural (10 Years Consistency)</t>
        </is>
      </c>
      <c r="Y131" s="25">
        <f>IF(X131="Structural (10 Years Consistency)",10,IF(X131="Shallow Cyclical (2 to 3 years growth)",5,0))</f>
        <v/>
      </c>
      <c r="Z131" s="25" t="inlineStr">
        <is>
          <t>No</t>
        </is>
      </c>
      <c r="AA131" s="25">
        <f>IF(Z131="Yes due to Product Mix change or Operating Leverage",10,IF(Z131="Yes, these are peak margins",-5,IF(Z131="No",5,0)))</f>
        <v/>
      </c>
      <c r="AB131" s="25" t="inlineStr">
        <is>
          <t>Stable</t>
        </is>
      </c>
      <c r="AC131" s="25">
        <f>IF(AB131="Stable",10,0)</f>
        <v/>
      </c>
      <c r="AD131" s="25" t="inlineStr">
        <is>
          <t>Yes</t>
        </is>
      </c>
      <c r="AE131" s="25">
        <f>IF(AD131="Yes",10,0)</f>
        <v/>
      </c>
      <c r="AF131" s="25" t="inlineStr">
        <is>
          <t>B2B</t>
        </is>
      </c>
      <c r="AG131" s="25">
        <f>IF(AF131="B2C",10,IF(AF131="B2B",5,0))</f>
        <v/>
      </c>
      <c r="AH131" s="25" t="inlineStr">
        <is>
          <t>No</t>
        </is>
      </c>
      <c r="AI131" s="25">
        <f>IF(AH131="Yes",10,0)</f>
        <v/>
      </c>
      <c r="AJ131" s="25" t="inlineStr">
        <is>
          <t>Higher One Time, Lower Annuity</t>
        </is>
      </c>
      <c r="AK131" s="25">
        <f>IF(AJ131="Fully Annuity",10,IF(AJ131="Higher Annuity, Lower One Time",5,IF(AJ131="Higher One Time, Lower Annuity",3,0)))</f>
        <v/>
      </c>
      <c r="AL131" s="25" t="inlineStr">
        <is>
          <t>Good</t>
        </is>
      </c>
      <c r="AM131" s="25">
        <f>IF(AL131="Good",10,0)</f>
        <v/>
      </c>
      <c r="AN131" s="25" t="inlineStr">
        <is>
          <t>Yes for more than 2 years</t>
        </is>
      </c>
      <c r="AO131" s="25">
        <f>IF(AN131="Yes for more than 2 years",10,IF(AN131="Yes only for next 1 to 2 years",5,0))</f>
        <v/>
      </c>
      <c r="AP131" s="25" t="inlineStr">
        <is>
          <t>20 to 40</t>
        </is>
      </c>
      <c r="AQ131" s="25">
        <f>IF(AP131="Above 40",20,IF(AP131="20 to 40",10,IF(AP131="0 to 20",-5,0)))</f>
        <v/>
      </c>
      <c r="AR131" s="25" t="inlineStr">
        <is>
          <t>Between 50 to 75</t>
        </is>
      </c>
      <c r="AS131" s="25">
        <f>IF(AR131="Between 50 to 75",10,IF(AR131="Above 75",0,0))</f>
        <v/>
      </c>
      <c r="AT131" s="25" t="inlineStr">
        <is>
          <t>Stage 2</t>
        </is>
      </c>
      <c r="AU131" s="25">
        <f>IF(AT131="Stage 2",20,IF(AT131="Stage 1",0,IF(AT131="Stage 3",5,IF(AT131="Stage 4",-5,0))))</f>
        <v/>
      </c>
      <c r="AV131" s="25" t="inlineStr">
        <is>
          <t>Positive Trend</t>
        </is>
      </c>
      <c r="AW131" s="25">
        <f>IF(AV131="Positive Trend",20,IF(AV131="Negative Trend",-10,0))</f>
        <v/>
      </c>
      <c r="AX131" s="25" t="inlineStr">
        <is>
          <t>Uptrend</t>
        </is>
      </c>
      <c r="AY131" s="25">
        <f>IF(AX131="Uptrend",10,IF(AX131="Sideways",5,0))</f>
        <v/>
      </c>
      <c r="AZ131" s="25" t="inlineStr">
        <is>
          <t>Uptrend</t>
        </is>
      </c>
      <c r="BA131" s="25">
        <f>IF(AZ131="Uptrend",10,IF(AZ131="Sideways",5,0))</f>
        <v/>
      </c>
      <c r="BB131" s="25" t="inlineStr">
        <is>
          <t>Close to 52 week high or retracement</t>
        </is>
      </c>
      <c r="BC131" s="25">
        <f>IF(BB131="Overhead supply in last 2 years in last 2 years",-5,IF(BB131="Close to 52 week high or retracement",5,IF(BB131="Blue sky scenario",10,IF(BB131="Long term Downtrend",-10,0))))</f>
        <v/>
      </c>
      <c r="BD131" s="25" t="inlineStr">
        <is>
          <t>Yes</t>
        </is>
      </c>
      <c r="BE131" s="25">
        <f>IF(BD131="Yes",10,0)</f>
        <v/>
      </c>
      <c r="BF131" s="25" t="inlineStr">
        <is>
          <t>Less than 12%</t>
        </is>
      </c>
      <c r="BG131" s="25">
        <f>IF(BF131="More than 20%",10,IF(BF131="Between 12 to 20%",5,IF(BF131="Less than 12%",0,0)))</f>
        <v/>
      </c>
      <c r="BH131" s="25" t="inlineStr">
        <is>
          <t>No</t>
        </is>
      </c>
      <c r="BI131" s="25">
        <f>IF(BH131="No",10,0)</f>
        <v/>
      </c>
      <c r="BJ131" s="25" t="inlineStr">
        <is>
          <t>No</t>
        </is>
      </c>
      <c r="BK131" s="25">
        <f>IF(BJ131="NO",5,0)</f>
        <v/>
      </c>
      <c r="BL131" s="25" t="inlineStr">
        <is>
          <t>Less than 1.5</t>
        </is>
      </c>
      <c r="BM131" s="25">
        <f>IF(BL131="Above 2",0,IF(BL131="Between 1.5 to 2",5,IF(BL131="Less than 1.5",10,0)))</f>
        <v/>
      </c>
      <c r="BN131" s="25" t="inlineStr">
        <is>
          <t>Above 70%</t>
        </is>
      </c>
      <c r="BO131" s="25">
        <f>IF(BN131="Above 70%",10,IF(BN131="Between 50% to 70%",5,IF(BN131="Less than 50%",0,IF(BN131="Negative",-10,IF(BN131="Less than 50% and Borrowings are increasing",-5,0)))))</f>
        <v/>
      </c>
      <c r="BP131" s="25" t="inlineStr">
        <is>
          <t>Less than 0.7</t>
        </is>
      </c>
      <c r="BQ131" s="25">
        <f>IF(BP131="More than 1.2",-10,IF(BP131="Between 0.7 to 1.2",0,IF(BP131="Less than 0.7",10,0)))</f>
        <v/>
      </c>
      <c r="BR131" s="25" t="inlineStr">
        <is>
          <t>No</t>
        </is>
      </c>
      <c r="BS131" s="25">
        <f>IF(BR131="Yes",-10,0)</f>
        <v/>
      </c>
      <c r="BT131" s="25" t="inlineStr">
        <is>
          <t>Less than 15%</t>
        </is>
      </c>
      <c r="BU131" s="25">
        <f>IF(BT131="More than 15%",-10,IF(BT131="Less than 15%",10,0))</f>
        <v/>
      </c>
      <c r="BV131" s="25" t="inlineStr">
        <is>
          <t>No</t>
        </is>
      </c>
      <c r="BW131" s="25">
        <f>IF(BV131="Yes, more than 10%",-10,IF(BV131="No",10,0))</f>
        <v/>
      </c>
    </row>
    <row r="132">
      <c r="A132" s="25">
        <f>IF(B132=0,"",RANK(B132,$B$2:$B$292,0))</f>
        <v/>
      </c>
      <c r="B132" s="26">
        <f>SUM(Q132,S132,U132,W132,Y132,AA132,AC132,AE132,AG132,AI132,AK132,AM132,AO132,AQ132,AS132,AU132,AW132,AY132,BA132,BC132,BE132,BG132,BI132,BK132,BM132,BO132,BQ132,BS132,BU132,BW132)</f>
        <v/>
      </c>
      <c r="C132" s="25" t="inlineStr">
        <is>
          <t>SAIL</t>
        </is>
      </c>
      <c r="D132" s="25" t="inlineStr">
        <is>
          <t>Steel Authority Of India Limited</t>
        </is>
      </c>
      <c r="E132" s="25" t="inlineStr">
        <is>
          <t>metals &amp; mining</t>
        </is>
      </c>
      <c r="F132" s="25" t="inlineStr">
        <is>
          <t>steel - large</t>
        </is>
      </c>
      <c r="G132" s="25" t="inlineStr">
        <is>
          <t>largecap</t>
        </is>
      </c>
      <c r="H132" s="26" t="n">
        <v>84134.67</v>
      </c>
      <c r="I132" s="26" t="n">
        <v>205.85</v>
      </c>
      <c r="J132" s="26" t="n">
        <v>1.06</v>
      </c>
      <c r="K132" s="26" t="n">
        <v>16404349</v>
      </c>
      <c r="L132" s="26" t="n">
        <v>77.93000000000001</v>
      </c>
      <c r="M132" s="26" t="n">
        <v>53.1</v>
      </c>
      <c r="N132" s="26" t="n">
        <v>168.7</v>
      </c>
      <c r="O132" s="25" t="inlineStr">
        <is>
          <t>Near 52W High Breakout</t>
        </is>
      </c>
      <c r="P132" s="25" t="inlineStr">
        <is>
          <t>Cyclical in an Upturn</t>
        </is>
      </c>
      <c r="Q132" s="25">
        <f>IF(P132="Growing Industry",10,IF(P132="Cyclical in an Upturn",5,0))</f>
        <v/>
      </c>
      <c r="R132" s="25" t="inlineStr">
        <is>
          <t>Too Many Players with High ROCE</t>
        </is>
      </c>
      <c r="S132" s="25">
        <f>IF(R132="Monopoly",10,IF(R132="Oligopoly",5,IF(R132="Duopoly that cooperate",10,IF(R132="Duopoly that compete",5,IF(R132="Too many players with High ROCE",5,0)))))</f>
        <v/>
      </c>
      <c r="T132" s="25" t="inlineStr">
        <is>
          <t>No</t>
        </is>
      </c>
      <c r="U132" s="25">
        <f>IF(T132="No",5,0)</f>
        <v/>
      </c>
      <c r="V132" s="25" t="inlineStr">
        <is>
          <t>Tailwind</t>
        </is>
      </c>
      <c r="W132" s="25">
        <f>IF(V132="Tailwind",10,0)</f>
        <v/>
      </c>
      <c r="X132" s="25" t="inlineStr">
        <is>
          <t>Cyclical</t>
        </is>
      </c>
      <c r="Y132" s="25">
        <f>IF(X132="Structural (10 Years Consistency)",10,IF(X132="Shallow Cyclical (2 to 3 years growth)",5,0))</f>
        <v/>
      </c>
      <c r="Z132" s="25" t="inlineStr">
        <is>
          <t>No</t>
        </is>
      </c>
      <c r="AA132" s="25">
        <f>IF(Z132="Yes due to Product Mix change or Operating Leverage",10,IF(Z132="Yes, these are peak margins",-5,IF(Z132="No",5,0)))</f>
        <v/>
      </c>
      <c r="AB132" s="25" t="inlineStr">
        <is>
          <t>Volatile</t>
        </is>
      </c>
      <c r="AC132" s="25">
        <f>IF(AB132="Stable",10,0)</f>
        <v/>
      </c>
      <c r="AD132" s="25" t="inlineStr">
        <is>
          <t>Yes</t>
        </is>
      </c>
      <c r="AE132" s="25">
        <f>IF(AD132="Yes",10,0)</f>
        <v/>
      </c>
      <c r="AF132" s="25" t="inlineStr">
        <is>
          <t>B2B</t>
        </is>
      </c>
      <c r="AG132" s="25">
        <f>IF(AF132="B2C",10,IF(AF132="B2B",5,0))</f>
        <v/>
      </c>
      <c r="AH132" s="25" t="inlineStr">
        <is>
          <t>Yes</t>
        </is>
      </c>
      <c r="AI132" s="25">
        <f>IF(AH132="Yes",10,0)</f>
        <v/>
      </c>
      <c r="AJ132" s="25" t="inlineStr">
        <is>
          <t>Higher One Time, Lower Annuity</t>
        </is>
      </c>
      <c r="AK132" s="25">
        <f>IF(AJ132="Fully Annuity",10,IF(AJ132="Higher Annuity, Lower One Time",5,IF(AJ132="Higher One Time, Lower Annuity",3,0)))</f>
        <v/>
      </c>
      <c r="AL132" s="25" t="inlineStr">
        <is>
          <t>Good</t>
        </is>
      </c>
      <c r="AM132" s="25">
        <f>IF(AL132="Good",10,0)</f>
        <v/>
      </c>
      <c r="AN132" s="25" t="inlineStr">
        <is>
          <t>Yes for more than 2 years</t>
        </is>
      </c>
      <c r="AO132" s="25">
        <f>IF(AN132="Yes for more than 2 years",10,IF(AN132="Yes only for next 1 to 2 years",5,0))</f>
        <v/>
      </c>
      <c r="AP132" s="25" t="inlineStr">
        <is>
          <t>Above 40</t>
        </is>
      </c>
      <c r="AQ132" s="25">
        <f>IF(AP132="Above 40",20,IF(AP132="20 to 40",10,IF(AP132="0 to 20",-5,0)))</f>
        <v/>
      </c>
      <c r="AR132" s="25" t="inlineStr">
        <is>
          <t>Above 75</t>
        </is>
      </c>
      <c r="AS132" s="25">
        <f>IF(AR132="Between 50 to 75",10,IF(AR132="Above 75",0,0))</f>
        <v/>
      </c>
      <c r="AT132" s="25" t="inlineStr">
        <is>
          <t>Stage 2</t>
        </is>
      </c>
      <c r="AU132" s="25">
        <f>IF(AT132="Stage 2",20,IF(AT132="Stage 1",0,IF(AT132="Stage 3",5,IF(AT132="Stage 4",-5,0))))</f>
        <v/>
      </c>
      <c r="AV132" s="25" t="inlineStr">
        <is>
          <t>Positive Trend</t>
        </is>
      </c>
      <c r="AW132" s="25">
        <f>IF(AV132="Positive Trend",20,IF(AV132="Negative Trend",-10,0))</f>
        <v/>
      </c>
      <c r="AX132" s="25" t="inlineStr">
        <is>
          <t>Uptrend</t>
        </is>
      </c>
      <c r="AY132" s="25">
        <f>IF(AX132="Uptrend",10,IF(AX132="Sideways",5,0))</f>
        <v/>
      </c>
      <c r="AZ132" s="25" t="inlineStr">
        <is>
          <t>Uptrend</t>
        </is>
      </c>
      <c r="BA132" s="25">
        <f>IF(AZ132="Uptrend",10,IF(AZ132="Sideways",5,0))</f>
        <v/>
      </c>
      <c r="BB132" s="25" t="inlineStr">
        <is>
          <t>Blue sky scenario</t>
        </is>
      </c>
      <c r="BC132" s="25">
        <f>IF(BB132="Overhead supply in last 2 years in last 2 years",-5,IF(BB132="Close to 52 week high or retracement",5,IF(BB132="Blue sky scenario",10,IF(BB132="Long term Downtrend",-10,0))))</f>
        <v/>
      </c>
      <c r="BD132" s="25" t="inlineStr">
        <is>
          <t>Yes</t>
        </is>
      </c>
      <c r="BE132" s="25">
        <f>IF(BD132="Yes",10,0)</f>
        <v/>
      </c>
      <c r="BF132" s="25" t="inlineStr">
        <is>
          <t>More than 20%</t>
        </is>
      </c>
      <c r="BG132" s="25">
        <f>IF(BF132="More than 20%",10,IF(BF132="Between 12 to 20%",5,IF(BF132="Less than 12%",0,0)))</f>
        <v/>
      </c>
      <c r="BH132" s="25" t="inlineStr">
        <is>
          <t>No</t>
        </is>
      </c>
      <c r="BI132" s="25">
        <f>IF(BH132="No",10,0)</f>
        <v/>
      </c>
      <c r="BJ132" s="25" t="inlineStr">
        <is>
          <t>No</t>
        </is>
      </c>
      <c r="BK132" s="25">
        <f>IF(BJ132="NO",5,0)</f>
        <v/>
      </c>
      <c r="BL132" s="25" t="inlineStr">
        <is>
          <t>Less than 1.5</t>
        </is>
      </c>
      <c r="BM132" s="25">
        <f>IF(BL132="Above 2",0,IF(BL132="Between 1.5 to 2",5,IF(BL132="Less than 1.5",10,0)))</f>
        <v/>
      </c>
      <c r="BN132" s="25" t="inlineStr">
        <is>
          <t>Above 70%</t>
        </is>
      </c>
      <c r="BO132" s="25">
        <f>IF(BN132="Above 70%",10,IF(BN132="Between 50% to 70%",5,IF(BN132="Less than 50%",0,IF(BN132="Negative",-10,IF(BN132="Less than 50% and Borrowings are increasing",-5,0)))))</f>
        <v/>
      </c>
      <c r="BP132" s="25" t="inlineStr">
        <is>
          <t>Less than 0.7</t>
        </is>
      </c>
      <c r="BQ132" s="25">
        <f>IF(BP132="More than 1.2",-10,IF(BP132="Between 0.7 to 1.2",0,IF(BP132="Less than 0.7",10,0)))</f>
        <v/>
      </c>
      <c r="BR132" s="25" t="inlineStr">
        <is>
          <t>No</t>
        </is>
      </c>
      <c r="BS132" s="25">
        <f>IF(BR132="Yes",-10,0)</f>
        <v/>
      </c>
      <c r="BT132" s="25" t="inlineStr">
        <is>
          <t>Less than 15%</t>
        </is>
      </c>
      <c r="BU132" s="25">
        <f>IF(BT132="More than 15%",-10,IF(BT132="Less than 15%",10,0))</f>
        <v/>
      </c>
      <c r="BV132" s="25" t="inlineStr">
        <is>
          <t>No</t>
        </is>
      </c>
      <c r="BW132" s="25">
        <f>IF(BV132="Yes, more than 10%",-10,IF(BV132="No",10,0))</f>
        <v/>
      </c>
    </row>
    <row r="133">
      <c r="A133" s="25">
        <f>IF(B133=0,"",RANK(B133,$B$2:$B$292,0))</f>
        <v/>
      </c>
      <c r="B133" s="26">
        <f>SUM(Q133,S133,U133,W133,Y133,AA133,AC133,AE133,AG133,AI133,AK133,AM133,AO133,AQ133,AS133,AU133,AW133,AY133,BA133,BC133,BE133,BG133,BI133,BK133,BM133,BO133,BQ133,BS133,BU133,BW133)</f>
        <v/>
      </c>
      <c r="C133" s="25" t="inlineStr">
        <is>
          <t>HONASA</t>
        </is>
      </c>
      <c r="D133" s="25" t="inlineStr">
        <is>
          <t>Honasa Consumer Ltd</t>
        </is>
      </c>
      <c r="E133" s="25" t="inlineStr">
        <is>
          <t>services</t>
        </is>
      </c>
      <c r="F133" s="25" t="inlineStr">
        <is>
          <t>trading</t>
        </is>
      </c>
      <c r="G133" s="25" t="inlineStr">
        <is>
          <t>midcap</t>
        </is>
      </c>
      <c r="H133" s="26" t="n">
        <v>13107.52</v>
      </c>
      <c r="I133" s="26" t="n">
        <v>407.05</v>
      </c>
      <c r="J133" s="26" t="n">
        <v>1.04</v>
      </c>
      <c r="K133" s="26" t="n">
        <v>899490</v>
      </c>
      <c r="L133" s="26" t="n">
        <v>75.13</v>
      </c>
      <c r="M133" s="26" t="n">
        <v>27.04</v>
      </c>
      <c r="N133" s="26" t="n">
        <v>326.87</v>
      </c>
      <c r="O133" s="25" t="inlineStr">
        <is>
          <t>Near 52W High Breakout</t>
        </is>
      </c>
      <c r="P133" s="25" t="inlineStr">
        <is>
          <t>Growing Industry</t>
        </is>
      </c>
      <c r="Q133" s="25">
        <f>IF(P133="Growing Industry",10,IF(P133="Cyclical in an Upturn",5,0))</f>
        <v/>
      </c>
      <c r="R133" s="25" t="inlineStr">
        <is>
          <t>Too Many Players with High ROCE</t>
        </is>
      </c>
      <c r="S133" s="25">
        <f>IF(R133="Monopoly",10,IF(R133="Oligopoly",5,IF(R133="Duopoly that cooperate",10,IF(R133="Duopoly that compete",5,IF(R133="Too many players with High ROCE",5,0)))))</f>
        <v/>
      </c>
      <c r="T133" s="25" t="inlineStr">
        <is>
          <t>No</t>
        </is>
      </c>
      <c r="U133" s="25">
        <f>IF(T133="No",5,0)</f>
        <v/>
      </c>
      <c r="V133" s="25" t="inlineStr">
        <is>
          <t>Tailwind</t>
        </is>
      </c>
      <c r="W133" s="25">
        <f>IF(V133="Tailwind",10,0)</f>
        <v/>
      </c>
      <c r="X133" s="25" t="inlineStr">
        <is>
          <t>Structural (10 Years Consistency)</t>
        </is>
      </c>
      <c r="Y133" s="25">
        <f>IF(X133="Structural (10 Years Consistency)",10,IF(X133="Shallow Cyclical (2 to 3 years growth)",5,0))</f>
        <v/>
      </c>
      <c r="Z133" s="25" t="inlineStr">
        <is>
          <t>No</t>
        </is>
      </c>
      <c r="AA133" s="25">
        <f>IF(Z133="Yes due to Product Mix change or Operating Leverage",10,IF(Z133="Yes, these are peak margins",-5,IF(Z133="No",5,0)))</f>
        <v/>
      </c>
      <c r="AB133" s="25" t="inlineStr">
        <is>
          <t>Stable</t>
        </is>
      </c>
      <c r="AC133" s="25">
        <f>IF(AB133="Stable",10,0)</f>
        <v/>
      </c>
      <c r="AD133" s="25" t="inlineStr">
        <is>
          <t>Yes</t>
        </is>
      </c>
      <c r="AE133" s="25">
        <f>IF(AD133="Yes",10,0)</f>
        <v/>
      </c>
      <c r="AF133" s="25" t="inlineStr">
        <is>
          <t>B2B</t>
        </is>
      </c>
      <c r="AG133" s="25">
        <f>IF(AF133="B2C",10,IF(AF133="B2B",5,0))</f>
        <v/>
      </c>
      <c r="AH133" s="25" t="inlineStr">
        <is>
          <t>Yes</t>
        </is>
      </c>
      <c r="AI133" s="25">
        <f>IF(AH133="Yes",10,0)</f>
        <v/>
      </c>
      <c r="AJ133" s="25" t="inlineStr">
        <is>
          <t>Higher One Time, Lower Annuity</t>
        </is>
      </c>
      <c r="AK133" s="25">
        <f>IF(AJ133="Fully Annuity",10,IF(AJ133="Higher Annuity, Lower One Time",5,IF(AJ133="Higher One Time, Lower Annuity",3,0)))</f>
        <v/>
      </c>
      <c r="AL133" s="25" t="inlineStr">
        <is>
          <t>Good</t>
        </is>
      </c>
      <c r="AM133" s="25">
        <f>IF(AL133="Good",10,0)</f>
        <v/>
      </c>
      <c r="AN133" s="25" t="inlineStr">
        <is>
          <t>Yes for more than 2 years</t>
        </is>
      </c>
      <c r="AO133" s="25">
        <f>IF(AN133="Yes for more than 2 years",10,IF(AN133="Yes only for next 1 to 2 years",5,0))</f>
        <v/>
      </c>
      <c r="AP133" s="25" t="inlineStr">
        <is>
          <t>20 to 40</t>
        </is>
      </c>
      <c r="AQ133" s="25">
        <f>IF(AP133="Above 40",20,IF(AP133="20 to 40",10,IF(AP133="0 to 20",-5,0)))</f>
        <v/>
      </c>
      <c r="AR133" s="25" t="inlineStr">
        <is>
          <t>Above 75</t>
        </is>
      </c>
      <c r="AS133" s="25">
        <f>IF(AR133="Between 50 to 75",10,IF(AR133="Above 75",0,0))</f>
        <v/>
      </c>
      <c r="AT133" s="25" t="inlineStr">
        <is>
          <t>Stage 2</t>
        </is>
      </c>
      <c r="AU133" s="25">
        <f>IF(AT133="Stage 2",20,IF(AT133="Stage 1",0,IF(AT133="Stage 3",5,IF(AT133="Stage 4",-5,0))))</f>
        <v/>
      </c>
      <c r="AV133" s="25" t="inlineStr">
        <is>
          <t>Positive Trend</t>
        </is>
      </c>
      <c r="AW133" s="25">
        <f>IF(AV133="Positive Trend",20,IF(AV133="Negative Trend",-10,0))</f>
        <v/>
      </c>
      <c r="AX133" s="25" t="inlineStr">
        <is>
          <t>Uptrend</t>
        </is>
      </c>
      <c r="AY133" s="25">
        <f>IF(AX133="Uptrend",10,IF(AX133="Sideways",5,0))</f>
        <v/>
      </c>
      <c r="AZ133" s="25" t="inlineStr">
        <is>
          <t>Uptrend</t>
        </is>
      </c>
      <c r="BA133" s="25">
        <f>IF(AZ133="Uptrend",10,IF(AZ133="Sideways",5,0))</f>
        <v/>
      </c>
      <c r="BB133" s="25" t="inlineStr">
        <is>
          <t>Close to 52 week high or retracement</t>
        </is>
      </c>
      <c r="BC133" s="25">
        <f>IF(BB133="Overhead supply in last 2 years in last 2 years",-5,IF(BB133="Close to 52 week high or retracement",5,IF(BB133="Blue sky scenario",10,IF(BB133="Long term Downtrend",-10,0))))</f>
        <v/>
      </c>
      <c r="BD133" s="25" t="inlineStr">
        <is>
          <t>Yes</t>
        </is>
      </c>
      <c r="BE133" s="25">
        <f>IF(BD133="Yes",10,0)</f>
        <v/>
      </c>
      <c r="BF133" s="25" t="inlineStr">
        <is>
          <t>More than 20%</t>
        </is>
      </c>
      <c r="BG133" s="25">
        <f>IF(BF133="More than 20%",10,IF(BF133="Between 12 to 20%",5,IF(BF133="Less than 12%",0,0)))</f>
        <v/>
      </c>
      <c r="BH133" s="25" t="inlineStr">
        <is>
          <t>No</t>
        </is>
      </c>
      <c r="BI133" s="25">
        <f>IF(BH133="No",10,0)</f>
        <v/>
      </c>
      <c r="BJ133" s="25" t="inlineStr">
        <is>
          <t>Yes</t>
        </is>
      </c>
      <c r="BK133" s="25">
        <f>IF(BJ133="NO",5,0)</f>
        <v/>
      </c>
      <c r="BL133" s="25" t="inlineStr">
        <is>
          <t>Less than 1.5</t>
        </is>
      </c>
      <c r="BM133" s="25">
        <f>IF(BL133="Above 2",0,IF(BL133="Between 1.5 to 2",5,IF(BL133="Less than 1.5",10,0)))</f>
        <v/>
      </c>
      <c r="BN133" s="25" t="inlineStr">
        <is>
          <t>Between 50% to 70%</t>
        </is>
      </c>
      <c r="BO133" s="25">
        <f>IF(BN133="Above 70%",10,IF(BN133="Between 50% to 70%",5,IF(BN133="Less than 50%",0,IF(BN133="Negative",-10,IF(BN133="Less than 50% and Borrowings are increasing",-5,0)))))</f>
        <v/>
      </c>
      <c r="BP133" s="25" t="inlineStr">
        <is>
          <t>Less than 0.7</t>
        </is>
      </c>
      <c r="BQ133" s="25">
        <f>IF(BP133="More than 1.2",-10,IF(BP133="Between 0.7 to 1.2",0,IF(BP133="Less than 0.7",10,0)))</f>
        <v/>
      </c>
      <c r="BR133" s="25" t="inlineStr">
        <is>
          <t>No</t>
        </is>
      </c>
      <c r="BS133" s="25">
        <f>IF(BR133="Yes",-10,0)</f>
        <v/>
      </c>
      <c r="BT133" s="25" t="inlineStr">
        <is>
          <t>Less than 15%</t>
        </is>
      </c>
      <c r="BU133" s="25">
        <f>IF(BT133="More than 15%",-10,IF(BT133="Less than 15%",10,0))</f>
        <v/>
      </c>
      <c r="BV133" s="25" t="inlineStr">
        <is>
          <t>No</t>
        </is>
      </c>
      <c r="BW133" s="25">
        <f>IF(BV133="Yes, more than 10%",-10,IF(BV133="No",10,0))</f>
        <v/>
      </c>
    </row>
    <row r="134">
      <c r="A134" s="25">
        <f>IF(B134=0,"",RANK(B134,$B$2:$B$292,0))</f>
        <v/>
      </c>
      <c r="B134" s="26">
        <f>SUM(Q134,S134,U134,W134,Y134,AA134,AC134,AE134,AG134,AI134,AK134,AM134,AO134,AQ134,AS134,AU134,AW134,AY134,BA134,BC134,BE134,BG134,BI134,BK134,BM134,BO134,BQ134,BS134,BU134,BW134)</f>
        <v/>
      </c>
      <c r="C134" s="25" t="inlineStr">
        <is>
          <t>ADOR</t>
        </is>
      </c>
      <c r="D134" s="25" t="inlineStr">
        <is>
          <t>Ador Welding Ltd</t>
        </is>
      </c>
      <c r="E134" s="25" t="inlineStr">
        <is>
          <t>industrials</t>
        </is>
      </c>
      <c r="F134" s="25" t="inlineStr">
        <is>
          <t>electrodes - welding equipment</t>
        </is>
      </c>
      <c r="G134" s="25" t="inlineStr">
        <is>
          <t>smallcap</t>
        </is>
      </c>
      <c r="H134" s="26" t="n">
        <v>1916.75</v>
      </c>
      <c r="I134" s="26" t="n">
        <v>1108.8</v>
      </c>
      <c r="J134" s="26" t="n">
        <v>0.67</v>
      </c>
      <c r="K134" s="26" t="n">
        <v>18453</v>
      </c>
      <c r="L134" s="26" t="n">
        <v>58.25</v>
      </c>
      <c r="M134" s="26" t="n">
        <v>18.66</v>
      </c>
      <c r="N134" s="26" t="n">
        <v>869.49</v>
      </c>
      <c r="O134" s="25" t="inlineStr">
        <is>
          <t>Near 52W High Breakout</t>
        </is>
      </c>
      <c r="P134" s="25" t="inlineStr">
        <is>
          <t>Cyclical in an Upturn</t>
        </is>
      </c>
      <c r="Q134" s="25">
        <f>IF(P134="Growing Industry",10,IF(P134="Cyclical in an Upturn",5,0))</f>
        <v/>
      </c>
      <c r="R134" s="25" t="inlineStr">
        <is>
          <t>Too Many Players with High ROCE</t>
        </is>
      </c>
      <c r="S134" s="25">
        <f>IF(R134="Monopoly",10,IF(R134="Oligopoly",5,IF(R134="Duopoly that cooperate",10,IF(R134="Duopoly that compete",5,IF(R134="Too many players with High ROCE",5,0)))))</f>
        <v/>
      </c>
      <c r="T134" s="25" t="inlineStr">
        <is>
          <t>No</t>
        </is>
      </c>
      <c r="U134" s="25">
        <f>IF(T134="No",5,0)</f>
        <v/>
      </c>
      <c r="V134" s="25" t="inlineStr">
        <is>
          <t>Tailwind</t>
        </is>
      </c>
      <c r="W134" s="25">
        <f>IF(V134="Tailwind",10,0)</f>
        <v/>
      </c>
      <c r="X134" s="25" t="inlineStr">
        <is>
          <t>Structural (10 Years Consistency)</t>
        </is>
      </c>
      <c r="Y134" s="25">
        <f>IF(X134="Structural (10 Years Consistency)",10,IF(X134="Shallow Cyclical (2 to 3 years growth)",5,0))</f>
        <v/>
      </c>
      <c r="Z134" s="25" t="inlineStr">
        <is>
          <t>No</t>
        </is>
      </c>
      <c r="AA134" s="25">
        <f>IF(Z134="Yes due to Product Mix change or Operating Leverage",10,IF(Z134="Yes, these are peak margins",-5,IF(Z134="No",5,0)))</f>
        <v/>
      </c>
      <c r="AB134" s="25" t="inlineStr">
        <is>
          <t>Stable</t>
        </is>
      </c>
      <c r="AC134" s="25">
        <f>IF(AB134="Stable",10,0)</f>
        <v/>
      </c>
      <c r="AD134" s="25" t="inlineStr">
        <is>
          <t>Yes</t>
        </is>
      </c>
      <c r="AE134" s="25">
        <f>IF(AD134="Yes",10,0)</f>
        <v/>
      </c>
      <c r="AF134" s="25" t="inlineStr">
        <is>
          <t>B2B</t>
        </is>
      </c>
      <c r="AG134" s="25">
        <f>IF(AF134="B2C",10,IF(AF134="B2B",5,0))</f>
        <v/>
      </c>
      <c r="AH134" s="25" t="inlineStr">
        <is>
          <t>Yes</t>
        </is>
      </c>
      <c r="AI134" s="25">
        <f>IF(AH134="Yes",10,0)</f>
        <v/>
      </c>
      <c r="AJ134" s="25" t="inlineStr">
        <is>
          <t>Higher One Time, Lower Annuity</t>
        </is>
      </c>
      <c r="AK134" s="25">
        <f>IF(AJ134="Fully Annuity",10,IF(AJ134="Higher Annuity, Lower One Time",5,IF(AJ134="Higher One Time, Lower Annuity",3,0)))</f>
        <v/>
      </c>
      <c r="AL134" s="25" t="inlineStr">
        <is>
          <t>Good</t>
        </is>
      </c>
      <c r="AM134" s="25">
        <f>IF(AL134="Good",10,0)</f>
        <v/>
      </c>
      <c r="AN134" s="25" t="inlineStr">
        <is>
          <t>Yes for more than 2 years</t>
        </is>
      </c>
      <c r="AO134" s="25">
        <f>IF(AN134="Yes for more than 2 years",10,IF(AN134="Yes only for next 1 to 2 years",5,0))</f>
        <v/>
      </c>
      <c r="AP134" s="25" t="inlineStr">
        <is>
          <t>0 to 20</t>
        </is>
      </c>
      <c r="AQ134" s="25">
        <f>IF(AP134="Above 40",20,IF(AP134="20 to 40",10,IF(AP134="0 to 20",-5,0)))</f>
        <v/>
      </c>
      <c r="AR134" s="25" t="inlineStr">
        <is>
          <t>Between 50 to 75</t>
        </is>
      </c>
      <c r="AS134" s="25">
        <f>IF(AR134="Between 50 to 75",10,IF(AR134="Above 75",0,0))</f>
        <v/>
      </c>
      <c r="AT134" s="25" t="inlineStr">
        <is>
          <t>Stage 2</t>
        </is>
      </c>
      <c r="AU134" s="25">
        <f>IF(AT134="Stage 2",20,IF(AT134="Stage 1",0,IF(AT134="Stage 3",5,IF(AT134="Stage 4",-5,0))))</f>
        <v/>
      </c>
      <c r="AV134" s="25" t="inlineStr">
        <is>
          <t>Positive Trend</t>
        </is>
      </c>
      <c r="AW134" s="25">
        <f>IF(AV134="Positive Trend",20,IF(AV134="Negative Trend",-10,0))</f>
        <v/>
      </c>
      <c r="AX134" s="25" t="inlineStr">
        <is>
          <t>Uptrend</t>
        </is>
      </c>
      <c r="AY134" s="25">
        <f>IF(AX134="Uptrend",10,IF(AX134="Sideways",5,0))</f>
        <v/>
      </c>
      <c r="AZ134" s="25" t="inlineStr">
        <is>
          <t>Uptrend</t>
        </is>
      </c>
      <c r="BA134" s="25">
        <f>IF(AZ134="Uptrend",10,IF(AZ134="Sideways",5,0))</f>
        <v/>
      </c>
      <c r="BB134" s="25" t="inlineStr">
        <is>
          <t>Close to 52 week high or retracement</t>
        </is>
      </c>
      <c r="BC134" s="25">
        <f>IF(BB134="Overhead supply in last 2 years in last 2 years",-5,IF(BB134="Close to 52 week high or retracement",5,IF(BB134="Blue sky scenario",10,IF(BB134="Long term Downtrend",-10,0))))</f>
        <v/>
      </c>
      <c r="BD134" s="25" t="inlineStr">
        <is>
          <t>Yes</t>
        </is>
      </c>
      <c r="BE134" s="25">
        <f>IF(BD134="Yes",10,0)</f>
        <v/>
      </c>
      <c r="BF134" s="25" t="inlineStr">
        <is>
          <t>More than 20%</t>
        </is>
      </c>
      <c r="BG134" s="25">
        <f>IF(BF134="More than 20%",10,IF(BF134="Between 12 to 20%",5,IF(BF134="Less than 12%",0,0)))</f>
        <v/>
      </c>
      <c r="BH134" s="25" t="inlineStr">
        <is>
          <t>No</t>
        </is>
      </c>
      <c r="BI134" s="25">
        <f>IF(BH134="No",10,0)</f>
        <v/>
      </c>
      <c r="BJ134" s="25" t="inlineStr">
        <is>
          <t>No</t>
        </is>
      </c>
      <c r="BK134" s="25">
        <f>IF(BJ134="NO",5,0)</f>
        <v/>
      </c>
      <c r="BL134" s="25" t="inlineStr">
        <is>
          <t>Less than 1.5</t>
        </is>
      </c>
      <c r="BM134" s="25">
        <f>IF(BL134="Above 2",0,IF(BL134="Between 1.5 to 2",5,IF(BL134="Less than 1.5",10,0)))</f>
        <v/>
      </c>
      <c r="BN134" s="25" t="inlineStr">
        <is>
          <t>Above 70%</t>
        </is>
      </c>
      <c r="BO134" s="25">
        <f>IF(BN134="Above 70%",10,IF(BN134="Between 50% to 70%",5,IF(BN134="Less than 50%",0,IF(BN134="Negative",-10,IF(BN134="Less than 50% and Borrowings are increasing",-5,0)))))</f>
        <v/>
      </c>
      <c r="BP134" s="25" t="inlineStr">
        <is>
          <t>Less than 0.7</t>
        </is>
      </c>
      <c r="BQ134" s="25">
        <f>IF(BP134="More than 1.2",-10,IF(BP134="Between 0.7 to 1.2",0,IF(BP134="Less than 0.7",10,0)))</f>
        <v/>
      </c>
      <c r="BR134" s="25" t="inlineStr">
        <is>
          <t>No</t>
        </is>
      </c>
      <c r="BS134" s="25">
        <f>IF(BR134="Yes",-10,0)</f>
        <v/>
      </c>
      <c r="BT134" s="25" t="inlineStr">
        <is>
          <t>Less than 15%</t>
        </is>
      </c>
      <c r="BU134" s="25">
        <f>IF(BT134="More than 15%",-10,IF(BT134="Less than 15%",10,0))</f>
        <v/>
      </c>
      <c r="BV134" s="25" t="inlineStr">
        <is>
          <t>No</t>
        </is>
      </c>
      <c r="BW134" s="25">
        <f>IF(BV134="Yes, more than 10%",-10,IF(BV134="No",10,0))</f>
        <v/>
      </c>
    </row>
    <row r="135">
      <c r="A135" s="25">
        <f>IF(B135=0,"",RANK(B135,$B$2:$B$292,0))</f>
        <v/>
      </c>
      <c r="B135" s="26">
        <f>SUM(Q135,S135,U135,W135,Y135,AA135,AC135,AE135,AG135,AI135,AK135,AM135,AO135,AQ135,AS135,AU135,AW135,AY135,BA135,BC135,BE135,BG135,BI135,BK135,BM135,BO135,BQ135,BS135,BU135,BW135)</f>
        <v/>
      </c>
      <c r="C135" s="25" t="inlineStr">
        <is>
          <t>USHAMART</t>
        </is>
      </c>
      <c r="D135" s="25" t="inlineStr">
        <is>
          <t>Usha Martin Limited</t>
        </is>
      </c>
      <c r="E135" s="25" t="inlineStr">
        <is>
          <t>metals &amp; mining</t>
        </is>
      </c>
      <c r="F135" s="25" t="inlineStr">
        <is>
          <t>steel - medium / small</t>
        </is>
      </c>
      <c r="G135" s="25" t="inlineStr">
        <is>
          <t>midcap</t>
        </is>
      </c>
      <c r="H135" s="26" t="n">
        <v>14955.21</v>
      </c>
      <c r="I135" s="26" t="n">
        <v>492</v>
      </c>
      <c r="J135" s="26" t="n">
        <v>0.25</v>
      </c>
      <c r="K135" s="26" t="n">
        <v>442814</v>
      </c>
      <c r="L135" s="26" t="n">
        <v>65.8</v>
      </c>
      <c r="M135" s="26" t="n">
        <v>28.91</v>
      </c>
      <c r="N135" s="26" t="n">
        <v>412.28</v>
      </c>
      <c r="O135" s="25" t="inlineStr">
        <is>
          <t>Near 52W High Breakout</t>
        </is>
      </c>
      <c r="P135" s="25" t="inlineStr">
        <is>
          <t>Cyclical in an Upturn</t>
        </is>
      </c>
      <c r="Q135" s="25">
        <f>IF(P135="Growing Industry",10,IF(P135="Cyclical in an Upturn",5,0))</f>
        <v/>
      </c>
      <c r="R135" s="25" t="inlineStr">
        <is>
          <t>Too Many Players with High ROCE</t>
        </is>
      </c>
      <c r="S135" s="25">
        <f>IF(R135="Monopoly",10,IF(R135="Oligopoly",5,IF(R135="Duopoly that cooperate",10,IF(R135="Duopoly that compete",5,IF(R135="Too many players with High ROCE",5,0)))))</f>
        <v/>
      </c>
      <c r="T135" s="25" t="inlineStr">
        <is>
          <t>No</t>
        </is>
      </c>
      <c r="U135" s="25">
        <f>IF(T135="No",5,0)</f>
        <v/>
      </c>
      <c r="V135" s="25" t="inlineStr">
        <is>
          <t>Tailwind</t>
        </is>
      </c>
      <c r="W135" s="25">
        <f>IF(V135="Tailwind",10,0)</f>
        <v/>
      </c>
      <c r="X135" s="25" t="inlineStr">
        <is>
          <t>Cyclical</t>
        </is>
      </c>
      <c r="Y135" s="25">
        <f>IF(X135="Structural (10 Years Consistency)",10,IF(X135="Shallow Cyclical (2 to 3 years growth)",5,0))</f>
        <v/>
      </c>
      <c r="Z135" s="25" t="inlineStr">
        <is>
          <t>No</t>
        </is>
      </c>
      <c r="AA135" s="25">
        <f>IF(Z135="Yes due to Product Mix change or Operating Leverage",10,IF(Z135="Yes, these are peak margins",-5,IF(Z135="No",5,0)))</f>
        <v/>
      </c>
      <c r="AB135" s="25" t="inlineStr">
        <is>
          <t>Volatile</t>
        </is>
      </c>
      <c r="AC135" s="25">
        <f>IF(AB135="Stable",10,0)</f>
        <v/>
      </c>
      <c r="AD135" s="25" t="inlineStr">
        <is>
          <t>Yes</t>
        </is>
      </c>
      <c r="AE135" s="25">
        <f>IF(AD135="Yes",10,0)</f>
        <v/>
      </c>
      <c r="AF135" s="25" t="inlineStr">
        <is>
          <t>B2B</t>
        </is>
      </c>
      <c r="AG135" s="25">
        <f>IF(AF135="B2C",10,IF(AF135="B2B",5,0))</f>
        <v/>
      </c>
      <c r="AH135" s="25" t="inlineStr">
        <is>
          <t>Yes</t>
        </is>
      </c>
      <c r="AI135" s="25">
        <f>IF(AH135="Yes",10,0)</f>
        <v/>
      </c>
      <c r="AJ135" s="25" t="inlineStr">
        <is>
          <t>Higher One Time, Lower Annuity</t>
        </is>
      </c>
      <c r="AK135" s="25">
        <f>IF(AJ135="Fully Annuity",10,IF(AJ135="Higher Annuity, Lower One Time",5,IF(AJ135="Higher One Time, Lower Annuity",3,0)))</f>
        <v/>
      </c>
      <c r="AL135" s="25" t="inlineStr">
        <is>
          <t>Good</t>
        </is>
      </c>
      <c r="AM135" s="25">
        <f>IF(AL135="Good",10,0)</f>
        <v/>
      </c>
      <c r="AN135" s="25" t="inlineStr">
        <is>
          <t>Yes for more than 2 years</t>
        </is>
      </c>
      <c r="AO135" s="25">
        <f>IF(AN135="Yes for more than 2 years",10,IF(AN135="Yes only for next 1 to 2 years",5,0))</f>
        <v/>
      </c>
      <c r="AP135" s="25" t="inlineStr">
        <is>
          <t>20 to 40</t>
        </is>
      </c>
      <c r="AQ135" s="25">
        <f>IF(AP135="Above 40",20,IF(AP135="20 to 40",10,IF(AP135="0 to 20",-5,0)))</f>
        <v/>
      </c>
      <c r="AR135" s="25" t="inlineStr">
        <is>
          <t>Between 50 to 75</t>
        </is>
      </c>
      <c r="AS135" s="25">
        <f>IF(AR135="Between 50 to 75",10,IF(AR135="Above 75",0,0))</f>
        <v/>
      </c>
      <c r="AT135" s="25" t="inlineStr">
        <is>
          <t>Stage 2</t>
        </is>
      </c>
      <c r="AU135" s="25">
        <f>IF(AT135="Stage 2",20,IF(AT135="Stage 1",0,IF(AT135="Stage 3",5,IF(AT135="Stage 4",-5,0))))</f>
        <v/>
      </c>
      <c r="AV135" s="25" t="inlineStr">
        <is>
          <t>Positive Trend</t>
        </is>
      </c>
      <c r="AW135" s="25">
        <f>IF(AV135="Positive Trend",20,IF(AV135="Negative Trend",-10,0))</f>
        <v/>
      </c>
      <c r="AX135" s="25" t="inlineStr">
        <is>
          <t>Uptrend</t>
        </is>
      </c>
      <c r="AY135" s="25">
        <f>IF(AX135="Uptrend",10,IF(AX135="Sideways",5,0))</f>
        <v/>
      </c>
      <c r="AZ135" s="25" t="inlineStr">
        <is>
          <t>Uptrend</t>
        </is>
      </c>
      <c r="BA135" s="25">
        <f>IF(AZ135="Uptrend",10,IF(AZ135="Sideways",5,0))</f>
        <v/>
      </c>
      <c r="BB135" s="25" t="inlineStr">
        <is>
          <t>Blue sky scenario</t>
        </is>
      </c>
      <c r="BC135" s="25">
        <f>IF(BB135="Overhead supply in last 2 years in last 2 years",-5,IF(BB135="Close to 52 week high or retracement",5,IF(BB135="Blue sky scenario",10,IF(BB135="Long term Downtrend",-10,0))))</f>
        <v/>
      </c>
      <c r="BD135" s="25" t="inlineStr">
        <is>
          <t>Yes</t>
        </is>
      </c>
      <c r="BE135" s="25">
        <f>IF(BD135="Yes",10,0)</f>
        <v/>
      </c>
      <c r="BF135" s="25" t="inlineStr">
        <is>
          <t>More than 20%</t>
        </is>
      </c>
      <c r="BG135" s="25">
        <f>IF(BF135="More than 20%",10,IF(BF135="Between 12 to 20%",5,IF(BF135="Less than 12%",0,0)))</f>
        <v/>
      </c>
      <c r="BH135" s="25" t="inlineStr">
        <is>
          <t>No</t>
        </is>
      </c>
      <c r="BI135" s="25">
        <f>IF(BH135="No",10,0)</f>
        <v/>
      </c>
      <c r="BJ135" s="25" t="inlineStr">
        <is>
          <t>No</t>
        </is>
      </c>
      <c r="BK135" s="25">
        <f>IF(BJ135="NO",5,0)</f>
        <v/>
      </c>
      <c r="BL135" s="25" t="inlineStr">
        <is>
          <t>Less than 1.5</t>
        </is>
      </c>
      <c r="BM135" s="25">
        <f>IF(BL135="Above 2",0,IF(BL135="Between 1.5 to 2",5,IF(BL135="Less than 1.5",10,0)))</f>
        <v/>
      </c>
      <c r="BN135" s="25" t="inlineStr">
        <is>
          <t>Above 70%</t>
        </is>
      </c>
      <c r="BO135" s="25">
        <f>IF(BN135="Above 70%",10,IF(BN135="Between 50% to 70%",5,IF(BN135="Less than 50%",0,IF(BN135="Negative",-10,IF(BN135="Less than 50% and Borrowings are increasing",-5,0)))))</f>
        <v/>
      </c>
      <c r="BP135" s="25" t="inlineStr">
        <is>
          <t>Less than 0.7</t>
        </is>
      </c>
      <c r="BQ135" s="25">
        <f>IF(BP135="More than 1.2",-10,IF(BP135="Between 0.7 to 1.2",0,IF(BP135="Less than 0.7",10,0)))</f>
        <v/>
      </c>
      <c r="BR135" s="25" t="inlineStr">
        <is>
          <t>No</t>
        </is>
      </c>
      <c r="BS135" s="25">
        <f>IF(BR135="Yes",-10,0)</f>
        <v/>
      </c>
      <c r="BT135" s="25" t="inlineStr">
        <is>
          <t>Less than 15%</t>
        </is>
      </c>
      <c r="BU135" s="25">
        <f>IF(BT135="More than 15%",-10,IF(BT135="Less than 15%",10,0))</f>
        <v/>
      </c>
      <c r="BV135" s="25" t="inlineStr">
        <is>
          <t>No</t>
        </is>
      </c>
      <c r="BW135" s="25">
        <f>IF(BV135="Yes, more than 10%",-10,IF(BV135="No",10,0))</f>
        <v/>
      </c>
    </row>
    <row r="136">
      <c r="A136" s="25">
        <f>IF(B136=0,"",RANK(B136,$B$2:$B$292,0))</f>
        <v/>
      </c>
      <c r="B136" s="26">
        <f>SUM(Q136,S136,U136,W136,Y136,AA136,AC136,AE136,AG136,AI136,AK136,AM136,AO136,AQ136,AS136,AU136,AW136,AY136,BA136,BC136,BE136,BG136,BI136,BK136,BM136,BO136,BQ136,BS136,BU136,BW136)</f>
        <v/>
      </c>
      <c r="C136" s="25" t="inlineStr">
        <is>
          <t>NATIONALUM</t>
        </is>
      </c>
      <c r="D136" s="25" t="inlineStr">
        <is>
          <t>National Aluminium Company Limited</t>
        </is>
      </c>
      <c r="E136" s="25" t="inlineStr">
        <is>
          <t>metals &amp; mining</t>
        </is>
      </c>
      <c r="F136" s="25" t="inlineStr">
        <is>
          <t>aluminium and aluminium products</t>
        </is>
      </c>
      <c r="G136" s="25" t="inlineStr">
        <is>
          <t>largecap</t>
        </is>
      </c>
      <c r="H136" s="26" t="n">
        <v>79746.55</v>
      </c>
      <c r="I136" s="26" t="n">
        <v>434.4</v>
      </c>
      <c r="J136" s="26" t="n">
        <v>0.05</v>
      </c>
      <c r="K136" s="26" t="n">
        <v>10368957</v>
      </c>
      <c r="L136" s="26" t="n">
        <v>71.26000000000001</v>
      </c>
      <c r="M136" s="26" t="n">
        <v>56.78</v>
      </c>
      <c r="N136" s="26" t="n">
        <v>346.32</v>
      </c>
      <c r="O136" s="25" t="inlineStr">
        <is>
          <t>Near 52W High Breakout</t>
        </is>
      </c>
      <c r="P136" s="25" t="inlineStr">
        <is>
          <t>Cyclical in an Upturn</t>
        </is>
      </c>
      <c r="Q136" s="25">
        <f>IF(P136="Growing Industry",10,IF(P136="Cyclical in an Upturn",5,0))</f>
        <v/>
      </c>
      <c r="R136" s="25" t="inlineStr">
        <is>
          <t>Too Many Players with High ROCE</t>
        </is>
      </c>
      <c r="S136" s="25">
        <f>IF(R136="Monopoly",10,IF(R136="Oligopoly",5,IF(R136="Duopoly that cooperate",10,IF(R136="Duopoly that compete",5,IF(R136="Too many players with High ROCE",5,0)))))</f>
        <v/>
      </c>
      <c r="T136" s="25" t="inlineStr">
        <is>
          <t>No</t>
        </is>
      </c>
      <c r="U136" s="25">
        <f>IF(T136="No",5,0)</f>
        <v/>
      </c>
      <c r="V136" s="25" t="inlineStr">
        <is>
          <t>Tailwind</t>
        </is>
      </c>
      <c r="W136" s="25">
        <f>IF(V136="Tailwind",10,0)</f>
        <v/>
      </c>
      <c r="X136" s="25" t="inlineStr">
        <is>
          <t>Cyclical</t>
        </is>
      </c>
      <c r="Y136" s="25">
        <f>IF(X136="Structural (10 Years Consistency)",10,IF(X136="Shallow Cyclical (2 to 3 years growth)",5,0))</f>
        <v/>
      </c>
      <c r="Z136" s="25" t="inlineStr">
        <is>
          <t>No</t>
        </is>
      </c>
      <c r="AA136" s="25">
        <f>IF(Z136="Yes due to Product Mix change or Operating Leverage",10,IF(Z136="Yes, these are peak margins",-5,IF(Z136="No",5,0)))</f>
        <v/>
      </c>
      <c r="AB136" s="25" t="inlineStr">
        <is>
          <t>Volatile</t>
        </is>
      </c>
      <c r="AC136" s="25">
        <f>IF(AB136="Stable",10,0)</f>
        <v/>
      </c>
      <c r="AD136" s="25" t="inlineStr">
        <is>
          <t>Yes</t>
        </is>
      </c>
      <c r="AE136" s="25">
        <f>IF(AD136="Yes",10,0)</f>
        <v/>
      </c>
      <c r="AF136" s="25" t="inlineStr">
        <is>
          <t>B2B</t>
        </is>
      </c>
      <c r="AG136" s="25">
        <f>IF(AF136="B2C",10,IF(AF136="B2B",5,0))</f>
        <v/>
      </c>
      <c r="AH136" s="25" t="inlineStr">
        <is>
          <t>Yes</t>
        </is>
      </c>
      <c r="AI136" s="25">
        <f>IF(AH136="Yes",10,0)</f>
        <v/>
      </c>
      <c r="AJ136" s="25" t="inlineStr">
        <is>
          <t>Higher One Time, Lower Annuity</t>
        </is>
      </c>
      <c r="AK136" s="25">
        <f>IF(AJ136="Fully Annuity",10,IF(AJ136="Higher Annuity, Lower One Time",5,IF(AJ136="Higher One Time, Lower Annuity",3,0)))</f>
        <v/>
      </c>
      <c r="AL136" s="25" t="inlineStr">
        <is>
          <t>Good</t>
        </is>
      </c>
      <c r="AM136" s="25">
        <f>IF(AL136="Good",10,0)</f>
        <v/>
      </c>
      <c r="AN136" s="25" t="inlineStr">
        <is>
          <t>Yes for more than 2 years</t>
        </is>
      </c>
      <c r="AO136" s="25">
        <f>IF(AN136="Yes for more than 2 years",10,IF(AN136="Yes only for next 1 to 2 years",5,0))</f>
        <v/>
      </c>
      <c r="AP136" s="25" t="inlineStr">
        <is>
          <t>Above 40</t>
        </is>
      </c>
      <c r="AQ136" s="25">
        <f>IF(AP136="Above 40",20,IF(AP136="20 to 40",10,IF(AP136="0 to 20",-5,0)))</f>
        <v/>
      </c>
      <c r="AR136" s="25" t="inlineStr">
        <is>
          <t>Between 50 to 75</t>
        </is>
      </c>
      <c r="AS136" s="25">
        <f>IF(AR136="Between 50 to 75",10,IF(AR136="Above 75",0,0))</f>
        <v/>
      </c>
      <c r="AT136" s="25" t="inlineStr">
        <is>
          <t>Stage 2</t>
        </is>
      </c>
      <c r="AU136" s="25">
        <f>IF(AT136="Stage 2",20,IF(AT136="Stage 1",0,IF(AT136="Stage 3",5,IF(AT136="Stage 4",-5,0))))</f>
        <v/>
      </c>
      <c r="AV136" s="25" t="inlineStr">
        <is>
          <t>Positive Trend</t>
        </is>
      </c>
      <c r="AW136" s="25">
        <f>IF(AV136="Positive Trend",20,IF(AV136="Negative Trend",-10,0))</f>
        <v/>
      </c>
      <c r="AX136" s="25" t="inlineStr">
        <is>
          <t>Uptrend</t>
        </is>
      </c>
      <c r="AY136" s="25">
        <f>IF(AX136="Uptrend",10,IF(AX136="Sideways",5,0))</f>
        <v/>
      </c>
      <c r="AZ136" s="25" t="inlineStr">
        <is>
          <t>Uptrend</t>
        </is>
      </c>
      <c r="BA136" s="25">
        <f>IF(AZ136="Uptrend",10,IF(AZ136="Sideways",5,0))</f>
        <v/>
      </c>
      <c r="BB136" s="25" t="inlineStr">
        <is>
          <t>Blue sky scenario</t>
        </is>
      </c>
      <c r="BC136" s="25">
        <f>IF(BB136="Overhead supply in last 2 years in last 2 years",-5,IF(BB136="Close to 52 week high or retracement",5,IF(BB136="Blue sky scenario",10,IF(BB136="Long term Downtrend",-10,0))))</f>
        <v/>
      </c>
      <c r="BD136" s="25" t="inlineStr">
        <is>
          <t>Yes</t>
        </is>
      </c>
      <c r="BE136" s="25">
        <f>IF(BD136="Yes",10,0)</f>
        <v/>
      </c>
      <c r="BF136" s="25" t="inlineStr">
        <is>
          <t>Less than 12%</t>
        </is>
      </c>
      <c r="BG136" s="25">
        <f>IF(BF136="More than 20%",10,IF(BF136="Between 12 to 20%",5,IF(BF136="Less than 12%",0,0)))</f>
        <v/>
      </c>
      <c r="BH136" s="25" t="inlineStr">
        <is>
          <t>No</t>
        </is>
      </c>
      <c r="BI136" s="25">
        <f>IF(BH136="No",10,0)</f>
        <v/>
      </c>
      <c r="BJ136" s="25" t="inlineStr">
        <is>
          <t>No</t>
        </is>
      </c>
      <c r="BK136" s="25">
        <f>IF(BJ136="NO",5,0)</f>
        <v/>
      </c>
      <c r="BL136" s="25" t="inlineStr">
        <is>
          <t>Less than 1.5</t>
        </is>
      </c>
      <c r="BM136" s="25">
        <f>IF(BL136="Above 2",0,IF(BL136="Between 1.5 to 2",5,IF(BL136="Less than 1.5",10,0)))</f>
        <v/>
      </c>
      <c r="BN136" s="25" t="inlineStr">
        <is>
          <t>Above 70%</t>
        </is>
      </c>
      <c r="BO136" s="25">
        <f>IF(BN136="Above 70%",10,IF(BN136="Between 50% to 70%",5,IF(BN136="Less than 50%",0,IF(BN136="Negative",-10,IF(BN136="Less than 50% and Borrowings are increasing",-5,0)))))</f>
        <v/>
      </c>
      <c r="BP136" s="25" t="inlineStr">
        <is>
          <t>Less than 0.7</t>
        </is>
      </c>
      <c r="BQ136" s="25">
        <f>IF(BP136="More than 1.2",-10,IF(BP136="Between 0.7 to 1.2",0,IF(BP136="Less than 0.7",10,0)))</f>
        <v/>
      </c>
      <c r="BR136" s="25" t="inlineStr">
        <is>
          <t>No</t>
        </is>
      </c>
      <c r="BS136" s="25">
        <f>IF(BR136="Yes",-10,0)</f>
        <v/>
      </c>
      <c r="BT136" s="25" t="inlineStr">
        <is>
          <t>Less than 15%</t>
        </is>
      </c>
      <c r="BU136" s="25">
        <f>IF(BT136="More than 15%",-10,IF(BT136="Less than 15%",10,0))</f>
        <v/>
      </c>
      <c r="BV136" s="25" t="inlineStr">
        <is>
          <t>No</t>
        </is>
      </c>
      <c r="BW136" s="25">
        <f>IF(BV136="Yes, more than 10%",-10,IF(BV136="No",10,0))</f>
        <v/>
      </c>
    </row>
    <row r="137">
      <c r="A137" s="25">
        <f>IF(B137=0,"",RANK(B137,$B$2:$B$292,0))</f>
        <v/>
      </c>
      <c r="B137" s="26">
        <f>SUM(Q137,S137,U137,W137,Y137,AA137,AC137,AE137,AG137,AI137,AK137,AM137,AO137,AQ137,AS137,AU137,AW137,AY137,BA137,BC137,BE137,BG137,BI137,BK137,BM137,BO137,BQ137,BS137,BU137,BW137)</f>
        <v/>
      </c>
      <c r="C137" s="25" t="inlineStr">
        <is>
          <t>TIRUPATIFL</t>
        </is>
      </c>
      <c r="D137" s="25" t="inlineStr">
        <is>
          <t>Tirupati Forge Ltd</t>
        </is>
      </c>
      <c r="E137" s="25" t="inlineStr">
        <is>
          <t>industrials</t>
        </is>
      </c>
      <c r="F137" s="25" t="inlineStr">
        <is>
          <t>castings &amp; forgings</t>
        </is>
      </c>
      <c r="G137" s="25" t="inlineStr">
        <is>
          <t>smallcap</t>
        </is>
      </c>
      <c r="H137" s="26" t="n">
        <v>582.78</v>
      </c>
      <c r="I137" s="26" t="n">
        <v>45.05</v>
      </c>
      <c r="J137" s="26" t="n">
        <v>-0.13</v>
      </c>
      <c r="K137" s="26" t="n">
        <v>807053</v>
      </c>
      <c r="L137" s="26" t="n">
        <v>57.39</v>
      </c>
      <c r="M137" s="26" t="n">
        <v>30.9</v>
      </c>
      <c r="N137" s="26" t="n">
        <v>31.08</v>
      </c>
      <c r="O137" s="25" t="inlineStr">
        <is>
          <t>Near 52W High Breakout</t>
        </is>
      </c>
      <c r="P137" s="25" t="inlineStr">
        <is>
          <t>Cyclical in an Upturn</t>
        </is>
      </c>
      <c r="Q137" s="25">
        <f>IF(P137="Growing Industry",10,IF(P137="Cyclical in an Upturn",5,0))</f>
        <v/>
      </c>
      <c r="R137" s="25" t="inlineStr">
        <is>
          <t>Too Many Players with High ROCE</t>
        </is>
      </c>
      <c r="S137" s="25">
        <f>IF(R137="Monopoly",10,IF(R137="Oligopoly",5,IF(R137="Duopoly that cooperate",10,IF(R137="Duopoly that compete",5,IF(R137="Too many players with High ROCE",5,0)))))</f>
        <v/>
      </c>
      <c r="T137" s="25" t="inlineStr">
        <is>
          <t>No</t>
        </is>
      </c>
      <c r="U137" s="25">
        <f>IF(T137="No",5,0)</f>
        <v/>
      </c>
      <c r="V137" s="25" t="inlineStr">
        <is>
          <t>Tailwind</t>
        </is>
      </c>
      <c r="W137" s="25">
        <f>IF(V137="Tailwind",10,0)</f>
        <v/>
      </c>
      <c r="X137" s="25" t="inlineStr">
        <is>
          <t>Structural (10 Years Consistency)</t>
        </is>
      </c>
      <c r="Y137" s="25">
        <f>IF(X137="Structural (10 Years Consistency)",10,IF(X137="Shallow Cyclical (2 to 3 years growth)",5,0))</f>
        <v/>
      </c>
      <c r="Z137" s="25" t="inlineStr">
        <is>
          <t>No</t>
        </is>
      </c>
      <c r="AA137" s="25">
        <f>IF(Z137="Yes due to Product Mix change or Operating Leverage",10,IF(Z137="Yes, these are peak margins",-5,IF(Z137="No",5,0)))</f>
        <v/>
      </c>
      <c r="AB137" s="25" t="inlineStr">
        <is>
          <t>Stable</t>
        </is>
      </c>
      <c r="AC137" s="25">
        <f>IF(AB137="Stable",10,0)</f>
        <v/>
      </c>
      <c r="AD137" s="25" t="inlineStr">
        <is>
          <t>Yes</t>
        </is>
      </c>
      <c r="AE137" s="25">
        <f>IF(AD137="Yes",10,0)</f>
        <v/>
      </c>
      <c r="AF137" s="25" t="inlineStr">
        <is>
          <t>B2B</t>
        </is>
      </c>
      <c r="AG137" s="25">
        <f>IF(AF137="B2C",10,IF(AF137="B2B",5,0))</f>
        <v/>
      </c>
      <c r="AH137" s="25" t="inlineStr">
        <is>
          <t>Yes</t>
        </is>
      </c>
      <c r="AI137" s="25">
        <f>IF(AH137="Yes",10,0)</f>
        <v/>
      </c>
      <c r="AJ137" s="25" t="inlineStr">
        <is>
          <t>Higher One Time, Lower Annuity</t>
        </is>
      </c>
      <c r="AK137" s="25">
        <f>IF(AJ137="Fully Annuity",10,IF(AJ137="Higher Annuity, Lower One Time",5,IF(AJ137="Higher One Time, Lower Annuity",3,0)))</f>
        <v/>
      </c>
      <c r="AL137" s="25" t="inlineStr">
        <is>
          <t>Good</t>
        </is>
      </c>
      <c r="AM137" s="25">
        <f>IF(AL137="Good",10,0)</f>
        <v/>
      </c>
      <c r="AN137" s="25" t="inlineStr">
        <is>
          <t>Yes for more than 2 years</t>
        </is>
      </c>
      <c r="AO137" s="25">
        <f>IF(AN137="Yes for more than 2 years",10,IF(AN137="Yes only for next 1 to 2 years",5,0))</f>
        <v/>
      </c>
      <c r="AP137" s="25" t="inlineStr">
        <is>
          <t>20 to 40</t>
        </is>
      </c>
      <c r="AQ137" s="25">
        <f>IF(AP137="Above 40",20,IF(AP137="20 to 40",10,IF(AP137="0 to 20",-5,0)))</f>
        <v/>
      </c>
      <c r="AR137" s="25" t="inlineStr">
        <is>
          <t>Between 50 to 75</t>
        </is>
      </c>
      <c r="AS137" s="25">
        <f>IF(AR137="Between 50 to 75",10,IF(AR137="Above 75",0,0))</f>
        <v/>
      </c>
      <c r="AT137" s="25" t="inlineStr">
        <is>
          <t>Stage 2</t>
        </is>
      </c>
      <c r="AU137" s="25">
        <f>IF(AT137="Stage 2",20,IF(AT137="Stage 1",0,IF(AT137="Stage 3",5,IF(AT137="Stage 4",-5,0))))</f>
        <v/>
      </c>
      <c r="AV137" s="25" t="inlineStr">
        <is>
          <t>Positive Trend</t>
        </is>
      </c>
      <c r="AW137" s="25">
        <f>IF(AV137="Positive Trend",20,IF(AV137="Negative Trend",-10,0))</f>
        <v/>
      </c>
      <c r="AX137" s="25" t="inlineStr">
        <is>
          <t>Uptrend</t>
        </is>
      </c>
      <c r="AY137" s="25">
        <f>IF(AX137="Uptrend",10,IF(AX137="Sideways",5,0))</f>
        <v/>
      </c>
      <c r="AZ137" s="25" t="inlineStr">
        <is>
          <t>Uptrend</t>
        </is>
      </c>
      <c r="BA137" s="25">
        <f>IF(AZ137="Uptrend",10,IF(AZ137="Sideways",5,0))</f>
        <v/>
      </c>
      <c r="BB137" s="25" t="inlineStr">
        <is>
          <t>Close to 52 week high or retracement</t>
        </is>
      </c>
      <c r="BC137" s="25">
        <f>IF(BB137="Overhead supply in last 2 years in last 2 years",-5,IF(BB137="Close to 52 week high or retracement",5,IF(BB137="Blue sky scenario",10,IF(BB137="Long term Downtrend",-10,0))))</f>
        <v/>
      </c>
      <c r="BD137" s="25" t="inlineStr">
        <is>
          <t>Yes</t>
        </is>
      </c>
      <c r="BE137" s="25">
        <f>IF(BD137="Yes",10,0)</f>
        <v/>
      </c>
      <c r="BF137" s="25" t="inlineStr">
        <is>
          <t>Less than 12%</t>
        </is>
      </c>
      <c r="BG137" s="25">
        <f>IF(BF137="More than 20%",10,IF(BF137="Between 12 to 20%",5,IF(BF137="Less than 12%",0,0)))</f>
        <v/>
      </c>
      <c r="BH137" s="25" t="inlineStr">
        <is>
          <t>No</t>
        </is>
      </c>
      <c r="BI137" s="25">
        <f>IF(BH137="No",10,0)</f>
        <v/>
      </c>
      <c r="BJ137" s="25" t="inlineStr">
        <is>
          <t>Yes</t>
        </is>
      </c>
      <c r="BK137" s="25">
        <f>IF(BJ137="NO",5,0)</f>
        <v/>
      </c>
      <c r="BL137" s="25" t="inlineStr">
        <is>
          <t>Less than 1.5</t>
        </is>
      </c>
      <c r="BM137" s="25">
        <f>IF(BL137="Above 2",0,IF(BL137="Between 1.5 to 2",5,IF(BL137="Less than 1.5",10,0)))</f>
        <v/>
      </c>
      <c r="BN137" s="25" t="inlineStr">
        <is>
          <t>Above 70%</t>
        </is>
      </c>
      <c r="BO137" s="25">
        <f>IF(BN137="Above 70%",10,IF(BN137="Between 50% to 70%",5,IF(BN137="Less than 50%",0,IF(BN137="Negative",-10,IF(BN137="Less than 50% and Borrowings are increasing",-5,0)))))</f>
        <v/>
      </c>
      <c r="BP137" s="25" t="inlineStr">
        <is>
          <t>Less than 0.7</t>
        </is>
      </c>
      <c r="BQ137" s="25">
        <f>IF(BP137="More than 1.2",-10,IF(BP137="Between 0.7 to 1.2",0,IF(BP137="Less than 0.7",10,0)))</f>
        <v/>
      </c>
      <c r="BR137" s="25" t="inlineStr">
        <is>
          <t>No</t>
        </is>
      </c>
      <c r="BS137" s="25">
        <f>IF(BR137="Yes",-10,0)</f>
        <v/>
      </c>
      <c r="BT137" s="25" t="inlineStr">
        <is>
          <t>Less than 15%</t>
        </is>
      </c>
      <c r="BU137" s="25">
        <f>IF(BT137="More than 15%",-10,IF(BT137="Less than 15%",10,0))</f>
        <v/>
      </c>
      <c r="BV137" s="25" t="inlineStr">
        <is>
          <t>No</t>
        </is>
      </c>
      <c r="BW137" s="25">
        <f>IF(BV137="Yes, more than 10%",-10,IF(BV137="No",10,0))</f>
        <v/>
      </c>
    </row>
    <row r="138">
      <c r="A138" s="25">
        <f>IF(B138=0,"",RANK(B138,$B$2:$B$292,0))</f>
        <v/>
      </c>
      <c r="B138" s="26">
        <f>SUM(Q138,S138,U138,W138,Y138,AA138,AC138,AE138,AG138,AI138,AK138,AM138,AO138,AQ138,AS138,AU138,AW138,AY138,BA138,BC138,BE138,BG138,BI138,BK138,BM138,BO138,BQ138,BS138,BU138,BW138)</f>
        <v/>
      </c>
      <c r="C138" s="25" t="inlineStr">
        <is>
          <t>HONAUT</t>
        </is>
      </c>
      <c r="D138" s="25" t="inlineStr">
        <is>
          <t>Honeywell Automation India Limited</t>
        </is>
      </c>
      <c r="E138" s="25" t="inlineStr">
        <is>
          <t>consumer discretionary</t>
        </is>
      </c>
      <c r="F138" s="25" t="inlineStr">
        <is>
          <t>electronics - components</t>
        </is>
      </c>
      <c r="G138" s="25" t="inlineStr">
        <is>
          <t>largecap</t>
        </is>
      </c>
      <c r="H138" s="26" t="n">
        <v>31007.22</v>
      </c>
      <c r="I138" s="26" t="n">
        <v>34895</v>
      </c>
      <c r="J138" s="26" t="n">
        <v>-0.5</v>
      </c>
      <c r="K138" s="26" t="n">
        <v>29968</v>
      </c>
      <c r="L138" s="26" t="n">
        <v>57.43</v>
      </c>
      <c r="M138" s="26" t="n">
        <v>24.61</v>
      </c>
      <c r="N138" s="26" t="n">
        <v>28515.26</v>
      </c>
      <c r="O138" s="25" t="inlineStr">
        <is>
          <t>Earnings / Momentum Support</t>
        </is>
      </c>
      <c r="P138" s="25" t="inlineStr">
        <is>
          <t>Growing Industry</t>
        </is>
      </c>
      <c r="Q138" s="25">
        <f>IF(P138="Growing Industry",10,IF(P138="Cyclical in an Upturn",5,0))</f>
        <v/>
      </c>
      <c r="R138" s="25" t="inlineStr">
        <is>
          <t>Too Many Players with High ROCE</t>
        </is>
      </c>
      <c r="S138" s="25">
        <f>IF(R138="Monopoly",10,IF(R138="Oligopoly",5,IF(R138="Duopoly that cooperate",10,IF(R138="Duopoly that compete",5,IF(R138="Too many players with High ROCE",5,0)))))</f>
        <v/>
      </c>
      <c r="T138" s="25" t="inlineStr">
        <is>
          <t>No</t>
        </is>
      </c>
      <c r="U138" s="25">
        <f>IF(T138="No",5,0)</f>
        <v/>
      </c>
      <c r="V138" s="25" t="inlineStr">
        <is>
          <t>Tailwind</t>
        </is>
      </c>
      <c r="W138" s="25">
        <f>IF(V138="Tailwind",10,0)</f>
        <v/>
      </c>
      <c r="X138" s="25" t="inlineStr">
        <is>
          <t>Structural (10 Years Consistency)</t>
        </is>
      </c>
      <c r="Y138" s="25">
        <f>IF(X138="Structural (10 Years Consistency)",10,IF(X138="Shallow Cyclical (2 to 3 years growth)",5,0))</f>
        <v/>
      </c>
      <c r="Z138" s="25" t="inlineStr">
        <is>
          <t>No</t>
        </is>
      </c>
      <c r="AA138" s="25">
        <f>IF(Z138="Yes due to Product Mix change or Operating Leverage",10,IF(Z138="Yes, these are peak margins",-5,IF(Z138="No",5,0)))</f>
        <v/>
      </c>
      <c r="AB138" s="25" t="inlineStr">
        <is>
          <t>Stable</t>
        </is>
      </c>
      <c r="AC138" s="25">
        <f>IF(AB138="Stable",10,0)</f>
        <v/>
      </c>
      <c r="AD138" s="25" t="inlineStr">
        <is>
          <t>Yes</t>
        </is>
      </c>
      <c r="AE138" s="25">
        <f>IF(AD138="Yes",10,0)</f>
        <v/>
      </c>
      <c r="AF138" s="25" t="inlineStr">
        <is>
          <t>B2B</t>
        </is>
      </c>
      <c r="AG138" s="25">
        <f>IF(AF138="B2C",10,IF(AF138="B2B",5,0))</f>
        <v/>
      </c>
      <c r="AH138" s="25" t="inlineStr">
        <is>
          <t>No</t>
        </is>
      </c>
      <c r="AI138" s="25">
        <f>IF(AH138="Yes",10,0)</f>
        <v/>
      </c>
      <c r="AJ138" s="25" t="inlineStr">
        <is>
          <t>Higher One Time, Lower Annuity</t>
        </is>
      </c>
      <c r="AK138" s="25">
        <f>IF(AJ138="Fully Annuity",10,IF(AJ138="Higher Annuity, Lower One Time",5,IF(AJ138="Higher One Time, Lower Annuity",3,0)))</f>
        <v/>
      </c>
      <c r="AL138" s="25" t="inlineStr">
        <is>
          <t>Good</t>
        </is>
      </c>
      <c r="AM138" s="25">
        <f>IF(AL138="Good",10,0)</f>
        <v/>
      </c>
      <c r="AN138" s="25" t="inlineStr">
        <is>
          <t>Yes for more than 2 years</t>
        </is>
      </c>
      <c r="AO138" s="25">
        <f>IF(AN138="Yes for more than 2 years",10,IF(AN138="Yes only for next 1 to 2 years",5,0))</f>
        <v/>
      </c>
      <c r="AP138" s="25" t="inlineStr">
        <is>
          <t>20 to 40</t>
        </is>
      </c>
      <c r="AQ138" s="25">
        <f>IF(AP138="Above 40",20,IF(AP138="20 to 40",10,IF(AP138="0 to 20",-5,0)))</f>
        <v/>
      </c>
      <c r="AR138" s="25" t="inlineStr">
        <is>
          <t>Between 50 to 75</t>
        </is>
      </c>
      <c r="AS138" s="25">
        <f>IF(AR138="Between 50 to 75",10,IF(AR138="Above 75",0,0))</f>
        <v/>
      </c>
      <c r="AT138" s="25" t="inlineStr">
        <is>
          <t>Stage 2</t>
        </is>
      </c>
      <c r="AU138" s="25">
        <f>IF(AT138="Stage 2",20,IF(AT138="Stage 1",0,IF(AT138="Stage 3",5,IF(AT138="Stage 4",-5,0))))</f>
        <v/>
      </c>
      <c r="AV138" s="25" t="inlineStr">
        <is>
          <t>Positive Trend</t>
        </is>
      </c>
      <c r="AW138" s="25">
        <f>IF(AV138="Positive Trend",20,IF(AV138="Negative Trend",-10,0))</f>
        <v/>
      </c>
      <c r="AX138" s="25" t="inlineStr">
        <is>
          <t>Uptrend</t>
        </is>
      </c>
      <c r="AY138" s="25">
        <f>IF(AX138="Uptrend",10,IF(AX138="Sideways",5,0))</f>
        <v/>
      </c>
      <c r="AZ138" s="25" t="inlineStr">
        <is>
          <t>Uptrend</t>
        </is>
      </c>
      <c r="BA138" s="25">
        <f>IF(AZ138="Uptrend",10,IF(AZ138="Sideways",5,0))</f>
        <v/>
      </c>
      <c r="BB138" s="25" t="inlineStr">
        <is>
          <t>Close to 52 week high or retracement</t>
        </is>
      </c>
      <c r="BC138" s="25">
        <f>IF(BB138="Overhead supply in last 2 years in last 2 years",-5,IF(BB138="Close to 52 week high or retracement",5,IF(BB138="Blue sky scenario",10,IF(BB138="Long term Downtrend",-10,0))))</f>
        <v/>
      </c>
      <c r="BD138" s="25" t="inlineStr">
        <is>
          <t>Yes</t>
        </is>
      </c>
      <c r="BE138" s="25">
        <f>IF(BD138="Yes",10,0)</f>
        <v/>
      </c>
      <c r="BF138" s="25" t="inlineStr">
        <is>
          <t>Between 12 to 20%</t>
        </is>
      </c>
      <c r="BG138" s="25">
        <f>IF(BF138="More than 20%",10,IF(BF138="Between 12 to 20%",5,IF(BF138="Less than 12%",0,0)))</f>
        <v/>
      </c>
      <c r="BH138" s="25" t="inlineStr">
        <is>
          <t>No</t>
        </is>
      </c>
      <c r="BI138" s="25">
        <f>IF(BH138="No",10,0)</f>
        <v/>
      </c>
      <c r="BJ138" s="25" t="inlineStr">
        <is>
          <t>Yes</t>
        </is>
      </c>
      <c r="BK138" s="25">
        <f>IF(BJ138="NO",5,0)</f>
        <v/>
      </c>
      <c r="BL138" s="25" t="inlineStr">
        <is>
          <t>Less than 1.5</t>
        </is>
      </c>
      <c r="BM138" s="25">
        <f>IF(BL138="Above 2",0,IF(BL138="Between 1.5 to 2",5,IF(BL138="Less than 1.5",10,0)))</f>
        <v/>
      </c>
      <c r="BN138" s="25" t="inlineStr">
        <is>
          <t>Above 70%</t>
        </is>
      </c>
      <c r="BO138" s="25">
        <f>IF(BN138="Above 70%",10,IF(BN138="Between 50% to 70%",5,IF(BN138="Less than 50%",0,IF(BN138="Negative",-10,IF(BN138="Less than 50% and Borrowings are increasing",-5,0)))))</f>
        <v/>
      </c>
      <c r="BP138" s="25" t="inlineStr">
        <is>
          <t>Less than 0.7</t>
        </is>
      </c>
      <c r="BQ138" s="25">
        <f>IF(BP138="More than 1.2",-10,IF(BP138="Between 0.7 to 1.2",0,IF(BP138="Less than 0.7",10,0)))</f>
        <v/>
      </c>
      <c r="BR138" s="25" t="inlineStr">
        <is>
          <t>No</t>
        </is>
      </c>
      <c r="BS138" s="25">
        <f>IF(BR138="Yes",-10,0)</f>
        <v/>
      </c>
      <c r="BT138" s="25" t="inlineStr">
        <is>
          <t>Less than 15%</t>
        </is>
      </c>
      <c r="BU138" s="25">
        <f>IF(BT138="More than 15%",-10,IF(BT138="Less than 15%",10,0))</f>
        <v/>
      </c>
      <c r="BV138" s="25" t="inlineStr">
        <is>
          <t>No</t>
        </is>
      </c>
      <c r="BW138" s="25">
        <f>IF(BV138="Yes, more than 10%",-10,IF(BV138="No",10,0))</f>
        <v/>
      </c>
    </row>
    <row r="139">
      <c r="A139" s="25">
        <f>IF(B139=0,"",RANK(B139,$B$2:$B$292,0))</f>
        <v/>
      </c>
      <c r="B139" s="26">
        <f>SUM(Q139,S139,U139,W139,Y139,AA139,AC139,AE139,AG139,AI139,AK139,AM139,AO139,AQ139,AS139,AU139,AW139,AY139,BA139,BC139,BE139,BG139,BI139,BK139,BM139,BO139,BQ139,BS139,BU139,BW139)</f>
        <v/>
      </c>
      <c r="C139" s="25" t="inlineStr">
        <is>
          <t>KPIL</t>
        </is>
      </c>
      <c r="D139" s="25" t="inlineStr">
        <is>
          <t>Kalpataru Projects International Ltd</t>
        </is>
      </c>
      <c r="E139" s="25" t="inlineStr">
        <is>
          <t>realty</t>
        </is>
      </c>
      <c r="F139" s="25" t="inlineStr">
        <is>
          <t>transmisson line towers / equipment</t>
        </is>
      </c>
      <c r="G139" s="25" t="inlineStr">
        <is>
          <t>largecap</t>
        </is>
      </c>
      <c r="H139" s="26" t="n">
        <v>22231.17</v>
      </c>
      <c r="I139" s="26" t="n">
        <v>1290.8</v>
      </c>
      <c r="J139" s="26" t="n">
        <v>-0.85</v>
      </c>
      <c r="K139" s="26" t="n">
        <v>164078</v>
      </c>
      <c r="L139" s="26" t="n">
        <v>60.15</v>
      </c>
      <c r="M139" s="26" t="n">
        <v>18.97</v>
      </c>
      <c r="N139" s="26" t="n">
        <v>1064.13</v>
      </c>
      <c r="O139" s="25" t="inlineStr">
        <is>
          <t>Near 52W High Breakout</t>
        </is>
      </c>
      <c r="P139" s="25" t="inlineStr">
        <is>
          <t>Growing Industry</t>
        </is>
      </c>
      <c r="Q139" s="25">
        <f>IF(P139="Growing Industry",10,IF(P139="Cyclical in an Upturn",5,0))</f>
        <v/>
      </c>
      <c r="R139" s="25" t="inlineStr">
        <is>
          <t>Too Many Players with High ROCE</t>
        </is>
      </c>
      <c r="S139" s="25">
        <f>IF(R139="Monopoly",10,IF(R139="Oligopoly",5,IF(R139="Duopoly that cooperate",10,IF(R139="Duopoly that compete",5,IF(R139="Too many players with High ROCE",5,0)))))</f>
        <v/>
      </c>
      <c r="T139" s="25" t="inlineStr">
        <is>
          <t>No</t>
        </is>
      </c>
      <c r="U139" s="25">
        <f>IF(T139="No",5,0)</f>
        <v/>
      </c>
      <c r="V139" s="25" t="inlineStr">
        <is>
          <t>Tailwind</t>
        </is>
      </c>
      <c r="W139" s="25">
        <f>IF(V139="Tailwind",10,0)</f>
        <v/>
      </c>
      <c r="X139" s="25" t="inlineStr">
        <is>
          <t>Structural (10 Years Consistency)</t>
        </is>
      </c>
      <c r="Y139" s="25">
        <f>IF(X139="Structural (10 Years Consistency)",10,IF(X139="Shallow Cyclical (2 to 3 years growth)",5,0))</f>
        <v/>
      </c>
      <c r="Z139" s="25" t="inlineStr">
        <is>
          <t>No</t>
        </is>
      </c>
      <c r="AA139" s="25">
        <f>IF(Z139="Yes due to Product Mix change or Operating Leverage",10,IF(Z139="Yes, these are peak margins",-5,IF(Z139="No",5,0)))</f>
        <v/>
      </c>
      <c r="AB139" s="25" t="inlineStr">
        <is>
          <t>Stable</t>
        </is>
      </c>
      <c r="AC139" s="25">
        <f>IF(AB139="Stable",10,0)</f>
        <v/>
      </c>
      <c r="AD139" s="25" t="inlineStr">
        <is>
          <t>Yes</t>
        </is>
      </c>
      <c r="AE139" s="25">
        <f>IF(AD139="Yes",10,0)</f>
        <v/>
      </c>
      <c r="AF139" s="25" t="inlineStr">
        <is>
          <t>B2B</t>
        </is>
      </c>
      <c r="AG139" s="25">
        <f>IF(AF139="B2C",10,IF(AF139="B2B",5,0))</f>
        <v/>
      </c>
      <c r="AH139" s="25" t="inlineStr">
        <is>
          <t>Yes</t>
        </is>
      </c>
      <c r="AI139" s="25">
        <f>IF(AH139="Yes",10,0)</f>
        <v/>
      </c>
      <c r="AJ139" s="25" t="inlineStr">
        <is>
          <t>Higher One Time, Lower Annuity</t>
        </is>
      </c>
      <c r="AK139" s="25">
        <f>IF(AJ139="Fully Annuity",10,IF(AJ139="Higher Annuity, Lower One Time",5,IF(AJ139="Higher One Time, Lower Annuity",3,0)))</f>
        <v/>
      </c>
      <c r="AL139" s="25" t="inlineStr">
        <is>
          <t>Good</t>
        </is>
      </c>
      <c r="AM139" s="25">
        <f>IF(AL139="Good",10,0)</f>
        <v/>
      </c>
      <c r="AN139" s="25" t="inlineStr">
        <is>
          <t>Yes for more than 2 years</t>
        </is>
      </c>
      <c r="AO139" s="25">
        <f>IF(AN139="Yes for more than 2 years",10,IF(AN139="Yes only for next 1 to 2 years",5,0))</f>
        <v/>
      </c>
      <c r="AP139" s="25" t="inlineStr">
        <is>
          <t>0 to 20</t>
        </is>
      </c>
      <c r="AQ139" s="25">
        <f>IF(AP139="Above 40",20,IF(AP139="20 to 40",10,IF(AP139="0 to 20",-5,0)))</f>
        <v/>
      </c>
      <c r="AR139" s="25" t="inlineStr">
        <is>
          <t>Between 50 to 75</t>
        </is>
      </c>
      <c r="AS139" s="25">
        <f>IF(AR139="Between 50 to 75",10,IF(AR139="Above 75",0,0))</f>
        <v/>
      </c>
      <c r="AT139" s="25" t="inlineStr">
        <is>
          <t>Stage 2</t>
        </is>
      </c>
      <c r="AU139" s="25">
        <f>IF(AT139="Stage 2",20,IF(AT139="Stage 1",0,IF(AT139="Stage 3",5,IF(AT139="Stage 4",-5,0))))</f>
        <v/>
      </c>
      <c r="AV139" s="25" t="inlineStr">
        <is>
          <t>Positive Trend</t>
        </is>
      </c>
      <c r="AW139" s="25">
        <f>IF(AV139="Positive Trend",20,IF(AV139="Negative Trend",-10,0))</f>
        <v/>
      </c>
      <c r="AX139" s="25" t="inlineStr">
        <is>
          <t>Uptrend</t>
        </is>
      </c>
      <c r="AY139" s="25">
        <f>IF(AX139="Uptrend",10,IF(AX139="Sideways",5,0))</f>
        <v/>
      </c>
      <c r="AZ139" s="25" t="inlineStr">
        <is>
          <t>Uptrend</t>
        </is>
      </c>
      <c r="BA139" s="25">
        <f>IF(AZ139="Uptrend",10,IF(AZ139="Sideways",5,0))</f>
        <v/>
      </c>
      <c r="BB139" s="25" t="inlineStr">
        <is>
          <t>Close to 52 week high or retracement</t>
        </is>
      </c>
      <c r="BC139" s="25">
        <f>IF(BB139="Overhead supply in last 2 years in last 2 years",-5,IF(BB139="Close to 52 week high or retracement",5,IF(BB139="Blue sky scenario",10,IF(BB139="Long term Downtrend",-10,0))))</f>
        <v/>
      </c>
      <c r="BD139" s="25" t="inlineStr">
        <is>
          <t>Yes</t>
        </is>
      </c>
      <c r="BE139" s="25">
        <f>IF(BD139="Yes",10,0)</f>
        <v/>
      </c>
      <c r="BF139" s="25" t="inlineStr">
        <is>
          <t>More than 20%</t>
        </is>
      </c>
      <c r="BG139" s="25">
        <f>IF(BF139="More than 20%",10,IF(BF139="Between 12 to 20%",5,IF(BF139="Less than 12%",0,0)))</f>
        <v/>
      </c>
      <c r="BH139" s="25" t="inlineStr">
        <is>
          <t>No</t>
        </is>
      </c>
      <c r="BI139" s="25">
        <f>IF(BH139="No",10,0)</f>
        <v/>
      </c>
      <c r="BJ139" s="25" t="inlineStr">
        <is>
          <t>No</t>
        </is>
      </c>
      <c r="BK139" s="25">
        <f>IF(BJ139="NO",5,0)</f>
        <v/>
      </c>
      <c r="BL139" s="25" t="inlineStr">
        <is>
          <t>Less than 1.5</t>
        </is>
      </c>
      <c r="BM139" s="25">
        <f>IF(BL139="Above 2",0,IF(BL139="Between 1.5 to 2",5,IF(BL139="Less than 1.5",10,0)))</f>
        <v/>
      </c>
      <c r="BN139" s="25" t="inlineStr">
        <is>
          <t>Between 50% to 70%</t>
        </is>
      </c>
      <c r="BO139" s="25">
        <f>IF(BN139="Above 70%",10,IF(BN139="Between 50% to 70%",5,IF(BN139="Less than 50%",0,IF(BN139="Negative",-10,IF(BN139="Less than 50% and Borrowings are increasing",-5,0)))))</f>
        <v/>
      </c>
      <c r="BP139" s="25" t="inlineStr">
        <is>
          <t>Less than 0.7</t>
        </is>
      </c>
      <c r="BQ139" s="25">
        <f>IF(BP139="More than 1.2",-10,IF(BP139="Between 0.7 to 1.2",0,IF(BP139="Less than 0.7",10,0)))</f>
        <v/>
      </c>
      <c r="BR139" s="25" t="inlineStr">
        <is>
          <t>No</t>
        </is>
      </c>
      <c r="BS139" s="25">
        <f>IF(BR139="Yes",-10,0)</f>
        <v/>
      </c>
      <c r="BT139" s="25" t="inlineStr">
        <is>
          <t>Less than 15%</t>
        </is>
      </c>
      <c r="BU139" s="25">
        <f>IF(BT139="More than 15%",-10,IF(BT139="Less than 15%",10,0))</f>
        <v/>
      </c>
      <c r="BV139" s="25" t="inlineStr">
        <is>
          <t>No</t>
        </is>
      </c>
      <c r="BW139" s="25">
        <f>IF(BV139="Yes, more than 10%",-10,IF(BV139="No",10,0))</f>
        <v/>
      </c>
    </row>
    <row r="140">
      <c r="A140" s="25">
        <f>IF(B140=0,"",RANK(B140,$B$2:$B$292,0))</f>
        <v/>
      </c>
      <c r="B140" s="26">
        <f>SUM(Q140,S140,U140,W140,Y140,AA140,AC140,AE140,AG140,AI140,AK140,AM140,AO140,AQ140,AS140,AU140,AW140,AY140,BA140,BC140,BE140,BG140,BI140,BK140,BM140,BO140,BQ140,BS140,BU140,BW140)</f>
        <v/>
      </c>
      <c r="C140" s="25" t="inlineStr">
        <is>
          <t>MGEL</t>
        </is>
      </c>
      <c r="D140" s="25" t="inlineStr">
        <is>
          <t>Mangalam Global Enterprise Ltd</t>
        </is>
      </c>
      <c r="E140" s="25" t="inlineStr">
        <is>
          <t>services</t>
        </is>
      </c>
      <c r="F140" s="25" t="inlineStr">
        <is>
          <t>trading</t>
        </is>
      </c>
      <c r="G140" s="25" t="inlineStr">
        <is>
          <t>smallcap</t>
        </is>
      </c>
      <c r="H140" s="26" t="n">
        <v>506.86</v>
      </c>
      <c r="I140" s="26" t="n">
        <v>15.21</v>
      </c>
      <c r="J140" s="26" t="n">
        <v>-1.11</v>
      </c>
      <c r="K140" s="26" t="n">
        <v>502685</v>
      </c>
      <c r="L140" s="26" t="n">
        <v>61.55</v>
      </c>
      <c r="M140" s="26" t="n">
        <v>30.11</v>
      </c>
      <c r="N140" s="26" t="n">
        <v>10.55</v>
      </c>
      <c r="O140" s="25" t="inlineStr">
        <is>
          <t>Earnings / Momentum Support</t>
        </is>
      </c>
      <c r="P140" s="25" t="inlineStr">
        <is>
          <t>Growing Industry</t>
        </is>
      </c>
      <c r="Q140" s="25">
        <f>IF(P140="Growing Industry",10,IF(P140="Cyclical in an Upturn",5,0))</f>
        <v/>
      </c>
      <c r="R140" s="25" t="inlineStr">
        <is>
          <t>Too Many Players with High ROCE</t>
        </is>
      </c>
      <c r="S140" s="25">
        <f>IF(R140="Monopoly",10,IF(R140="Oligopoly",5,IF(R140="Duopoly that cooperate",10,IF(R140="Duopoly that compete",5,IF(R140="Too many players with High ROCE",5,0)))))</f>
        <v/>
      </c>
      <c r="T140" s="25" t="inlineStr">
        <is>
          <t>No</t>
        </is>
      </c>
      <c r="U140" s="25">
        <f>IF(T140="No",5,0)</f>
        <v/>
      </c>
      <c r="V140" s="25" t="inlineStr">
        <is>
          <t>Tailwind</t>
        </is>
      </c>
      <c r="W140" s="25">
        <f>IF(V140="Tailwind",10,0)</f>
        <v/>
      </c>
      <c r="X140" s="25" t="inlineStr">
        <is>
          <t>Structural (10 Years Consistency)</t>
        </is>
      </c>
      <c r="Y140" s="25">
        <f>IF(X140="Structural (10 Years Consistency)",10,IF(X140="Shallow Cyclical (2 to 3 years growth)",5,0))</f>
        <v/>
      </c>
      <c r="Z140" s="25" t="inlineStr">
        <is>
          <t>No</t>
        </is>
      </c>
      <c r="AA140" s="25">
        <f>IF(Z140="Yes due to Product Mix change or Operating Leverage",10,IF(Z140="Yes, these are peak margins",-5,IF(Z140="No",5,0)))</f>
        <v/>
      </c>
      <c r="AB140" s="25" t="inlineStr">
        <is>
          <t>Stable</t>
        </is>
      </c>
      <c r="AC140" s="25">
        <f>IF(AB140="Stable",10,0)</f>
        <v/>
      </c>
      <c r="AD140" s="25" t="inlineStr">
        <is>
          <t>Yes</t>
        </is>
      </c>
      <c r="AE140" s="25">
        <f>IF(AD140="Yes",10,0)</f>
        <v/>
      </c>
      <c r="AF140" s="25" t="inlineStr">
        <is>
          <t>B2B</t>
        </is>
      </c>
      <c r="AG140" s="25">
        <f>IF(AF140="B2C",10,IF(AF140="B2B",5,0))</f>
        <v/>
      </c>
      <c r="AH140" s="25" t="inlineStr">
        <is>
          <t>No</t>
        </is>
      </c>
      <c r="AI140" s="25">
        <f>IF(AH140="Yes",10,0)</f>
        <v/>
      </c>
      <c r="AJ140" s="25" t="inlineStr">
        <is>
          <t>Higher One Time, Lower Annuity</t>
        </is>
      </c>
      <c r="AK140" s="25">
        <f>IF(AJ140="Fully Annuity",10,IF(AJ140="Higher Annuity, Lower One Time",5,IF(AJ140="Higher One Time, Lower Annuity",3,0)))</f>
        <v/>
      </c>
      <c r="AL140" s="25" t="inlineStr">
        <is>
          <t>Good</t>
        </is>
      </c>
      <c r="AM140" s="25">
        <f>IF(AL140="Good",10,0)</f>
        <v/>
      </c>
      <c r="AN140" s="25" t="inlineStr">
        <is>
          <t>Yes for more than 2 years</t>
        </is>
      </c>
      <c r="AO140" s="25">
        <f>IF(AN140="Yes for more than 2 years",10,IF(AN140="Yes only for next 1 to 2 years",5,0))</f>
        <v/>
      </c>
      <c r="AP140" s="25" t="inlineStr">
        <is>
          <t>20 to 40</t>
        </is>
      </c>
      <c r="AQ140" s="25">
        <f>IF(AP140="Above 40",20,IF(AP140="20 to 40",10,IF(AP140="0 to 20",-5,0)))</f>
        <v/>
      </c>
      <c r="AR140" s="25" t="inlineStr">
        <is>
          <t>Between 50 to 75</t>
        </is>
      </c>
      <c r="AS140" s="25">
        <f>IF(AR140="Between 50 to 75",10,IF(AR140="Above 75",0,0))</f>
        <v/>
      </c>
      <c r="AT140" s="25" t="inlineStr">
        <is>
          <t>Stage 2</t>
        </is>
      </c>
      <c r="AU140" s="25">
        <f>IF(AT140="Stage 2",20,IF(AT140="Stage 1",0,IF(AT140="Stage 3",5,IF(AT140="Stage 4",-5,0))))</f>
        <v/>
      </c>
      <c r="AV140" s="25" t="inlineStr">
        <is>
          <t>Positive Trend</t>
        </is>
      </c>
      <c r="AW140" s="25">
        <f>IF(AV140="Positive Trend",20,IF(AV140="Negative Trend",-10,0))</f>
        <v/>
      </c>
      <c r="AX140" s="25" t="inlineStr">
        <is>
          <t>Uptrend</t>
        </is>
      </c>
      <c r="AY140" s="25">
        <f>IF(AX140="Uptrend",10,IF(AX140="Sideways",5,0))</f>
        <v/>
      </c>
      <c r="AZ140" s="25" t="inlineStr">
        <is>
          <t>Uptrend</t>
        </is>
      </c>
      <c r="BA140" s="25">
        <f>IF(AZ140="Uptrend",10,IF(AZ140="Sideways",5,0))</f>
        <v/>
      </c>
      <c r="BB140" s="25" t="inlineStr">
        <is>
          <t>Close to 52 week high or retracement</t>
        </is>
      </c>
      <c r="BC140" s="25">
        <f>IF(BB140="Overhead supply in last 2 years in last 2 years",-5,IF(BB140="Close to 52 week high or retracement",5,IF(BB140="Blue sky scenario",10,IF(BB140="Long term Downtrend",-10,0))))</f>
        <v/>
      </c>
      <c r="BD140" s="25" t="inlineStr">
        <is>
          <t>Yes</t>
        </is>
      </c>
      <c r="BE140" s="25">
        <f>IF(BD140="Yes",10,0)</f>
        <v/>
      </c>
      <c r="BF140" s="25" t="inlineStr">
        <is>
          <t>More than 20%</t>
        </is>
      </c>
      <c r="BG140" s="25">
        <f>IF(BF140="More than 20%",10,IF(BF140="Between 12 to 20%",5,IF(BF140="Less than 12%",0,0)))</f>
        <v/>
      </c>
      <c r="BH140" s="25" t="inlineStr">
        <is>
          <t>No</t>
        </is>
      </c>
      <c r="BI140" s="25">
        <f>IF(BH140="No",10,0)</f>
        <v/>
      </c>
      <c r="BJ140" s="25" t="inlineStr">
        <is>
          <t>No</t>
        </is>
      </c>
      <c r="BK140" s="25">
        <f>IF(BJ140="NO",5,0)</f>
        <v/>
      </c>
      <c r="BL140" s="25" t="inlineStr">
        <is>
          <t>Less than 1.5</t>
        </is>
      </c>
      <c r="BM140" s="25">
        <f>IF(BL140="Above 2",0,IF(BL140="Between 1.5 to 2",5,IF(BL140="Less than 1.5",10,0)))</f>
        <v/>
      </c>
      <c r="BN140" s="25" t="inlineStr">
        <is>
          <t>Above 70%</t>
        </is>
      </c>
      <c r="BO140" s="25">
        <f>IF(BN140="Above 70%",10,IF(BN140="Between 50% to 70%",5,IF(BN140="Less than 50%",0,IF(BN140="Negative",-10,IF(BN140="Less than 50% and Borrowings are increasing",-5,0)))))</f>
        <v/>
      </c>
      <c r="BP140" s="25" t="inlineStr">
        <is>
          <t>Between 0.7 to 1.2</t>
        </is>
      </c>
      <c r="BQ140" s="25">
        <f>IF(BP140="More than 1.2",-10,IF(BP140="Between 0.7 to 1.2",0,IF(BP140="Less than 0.7",10,0)))</f>
        <v/>
      </c>
      <c r="BR140" s="25" t="inlineStr">
        <is>
          <t>No</t>
        </is>
      </c>
      <c r="BS140" s="25">
        <f>IF(BR140="Yes",-10,0)</f>
        <v/>
      </c>
      <c r="BT140" s="25" t="inlineStr">
        <is>
          <t>Less than 15%</t>
        </is>
      </c>
      <c r="BU140" s="25">
        <f>IF(BT140="More than 15%",-10,IF(BT140="Less than 15%",10,0))</f>
        <v/>
      </c>
      <c r="BV140" s="25" t="inlineStr">
        <is>
          <t>No</t>
        </is>
      </c>
      <c r="BW140" s="25">
        <f>IF(BV140="Yes, more than 10%",-10,IF(BV140="No",10,0))</f>
        <v/>
      </c>
    </row>
    <row r="141">
      <c r="A141" s="25">
        <f>IF(B141=0,"",RANK(B141,$B$2:$B$292,0))</f>
        <v/>
      </c>
      <c r="B141" s="26">
        <f>SUM(Q141,S141,U141,W141,Y141,AA141,AC141,AE141,AG141,AI141,AK141,AM141,AO141,AQ141,AS141,AU141,AW141,AY141,BA141,BC141,BE141,BG141,BI141,BK141,BM141,BO141,BQ141,BS141,BU141,BW141)</f>
        <v/>
      </c>
      <c r="C141" s="25" t="inlineStr">
        <is>
          <t>KIRLOSENG</t>
        </is>
      </c>
      <c r="D141" s="25" t="inlineStr">
        <is>
          <t>Kirloskar Oil Engines Limited</t>
        </is>
      </c>
      <c r="E141" s="25" t="inlineStr">
        <is>
          <t>industrials</t>
        </is>
      </c>
      <c r="F141" s="25" t="inlineStr">
        <is>
          <t>engines</t>
        </is>
      </c>
      <c r="G141" s="25" t="inlineStr">
        <is>
          <t>largecap</t>
        </is>
      </c>
      <c r="H141" s="26" t="n">
        <v>27887.16</v>
      </c>
      <c r="I141" s="26" t="n">
        <v>1856.9</v>
      </c>
      <c r="J141" s="26" t="n">
        <v>-3.21</v>
      </c>
      <c r="K141" s="26" t="n">
        <v>648217</v>
      </c>
      <c r="L141" s="26" t="n">
        <v>70.8</v>
      </c>
      <c r="M141" s="26" t="n">
        <v>40.1</v>
      </c>
      <c r="N141" s="26" t="n">
        <v>1491.99</v>
      </c>
      <c r="O141" s="25" t="inlineStr">
        <is>
          <t>Near 52W High Breakout</t>
        </is>
      </c>
      <c r="P141" s="25" t="inlineStr">
        <is>
          <t>Cyclical in an Upturn</t>
        </is>
      </c>
      <c r="Q141" s="25">
        <f>IF(P141="Growing Industry",10,IF(P141="Cyclical in an Upturn",5,0))</f>
        <v/>
      </c>
      <c r="R141" s="25" t="inlineStr">
        <is>
          <t>Too Many Players with High ROCE</t>
        </is>
      </c>
      <c r="S141" s="25">
        <f>IF(R141="Monopoly",10,IF(R141="Oligopoly",5,IF(R141="Duopoly that cooperate",10,IF(R141="Duopoly that compete",5,IF(R141="Too many players with High ROCE",5,0)))))</f>
        <v/>
      </c>
      <c r="T141" s="25" t="inlineStr">
        <is>
          <t>No</t>
        </is>
      </c>
      <c r="U141" s="25">
        <f>IF(T141="No",5,0)</f>
        <v/>
      </c>
      <c r="V141" s="25" t="inlineStr">
        <is>
          <t>Tailwind</t>
        </is>
      </c>
      <c r="W141" s="25">
        <f>IF(V141="Tailwind",10,0)</f>
        <v/>
      </c>
      <c r="X141" s="25" t="inlineStr">
        <is>
          <t>Structural (10 Years Consistency)</t>
        </is>
      </c>
      <c r="Y141" s="25">
        <f>IF(X141="Structural (10 Years Consistency)",10,IF(X141="Shallow Cyclical (2 to 3 years growth)",5,0))</f>
        <v/>
      </c>
      <c r="Z141" s="25" t="inlineStr">
        <is>
          <t>No</t>
        </is>
      </c>
      <c r="AA141" s="25">
        <f>IF(Z141="Yes due to Product Mix change or Operating Leverage",10,IF(Z141="Yes, these are peak margins",-5,IF(Z141="No",5,0)))</f>
        <v/>
      </c>
      <c r="AB141" s="25" t="inlineStr">
        <is>
          <t>Stable</t>
        </is>
      </c>
      <c r="AC141" s="25">
        <f>IF(AB141="Stable",10,0)</f>
        <v/>
      </c>
      <c r="AD141" s="25" t="inlineStr">
        <is>
          <t>Yes</t>
        </is>
      </c>
      <c r="AE141" s="25">
        <f>IF(AD141="Yes",10,0)</f>
        <v/>
      </c>
      <c r="AF141" s="25" t="inlineStr">
        <is>
          <t>B2B</t>
        </is>
      </c>
      <c r="AG141" s="25">
        <f>IF(AF141="B2C",10,IF(AF141="B2B",5,0))</f>
        <v/>
      </c>
      <c r="AH141" s="25" t="inlineStr">
        <is>
          <t>Yes</t>
        </is>
      </c>
      <c r="AI141" s="25">
        <f>IF(AH141="Yes",10,0)</f>
        <v/>
      </c>
      <c r="AJ141" s="25" t="inlineStr">
        <is>
          <t>Higher One Time, Lower Annuity</t>
        </is>
      </c>
      <c r="AK141" s="25">
        <f>IF(AJ141="Fully Annuity",10,IF(AJ141="Higher Annuity, Lower One Time",5,IF(AJ141="Higher One Time, Lower Annuity",3,0)))</f>
        <v/>
      </c>
      <c r="AL141" s="25" t="inlineStr">
        <is>
          <t>Good</t>
        </is>
      </c>
      <c r="AM141" s="25">
        <f>IF(AL141="Good",10,0)</f>
        <v/>
      </c>
      <c r="AN141" s="25" t="inlineStr">
        <is>
          <t>Yes for more than 2 years</t>
        </is>
      </c>
      <c r="AO141" s="25">
        <f>IF(AN141="Yes for more than 2 years",10,IF(AN141="Yes only for next 1 to 2 years",5,0))</f>
        <v/>
      </c>
      <c r="AP141" s="25" t="inlineStr">
        <is>
          <t>Above 40</t>
        </is>
      </c>
      <c r="AQ141" s="25">
        <f>IF(AP141="Above 40",20,IF(AP141="20 to 40",10,IF(AP141="0 to 20",-5,0)))</f>
        <v/>
      </c>
      <c r="AR141" s="25" t="inlineStr">
        <is>
          <t>Between 50 to 75</t>
        </is>
      </c>
      <c r="AS141" s="25">
        <f>IF(AR141="Between 50 to 75",10,IF(AR141="Above 75",0,0))</f>
        <v/>
      </c>
      <c r="AT141" s="25" t="inlineStr">
        <is>
          <t>Stage 2</t>
        </is>
      </c>
      <c r="AU141" s="25">
        <f>IF(AT141="Stage 2",20,IF(AT141="Stage 1",0,IF(AT141="Stage 3",5,IF(AT141="Stage 4",-5,0))))</f>
        <v/>
      </c>
      <c r="AV141" s="25" t="inlineStr">
        <is>
          <t>Positive Trend</t>
        </is>
      </c>
      <c r="AW141" s="25">
        <f>IF(AV141="Positive Trend",20,IF(AV141="Negative Trend",-10,0))</f>
        <v/>
      </c>
      <c r="AX141" s="25" t="inlineStr">
        <is>
          <t>Uptrend</t>
        </is>
      </c>
      <c r="AY141" s="25">
        <f>IF(AX141="Uptrend",10,IF(AX141="Sideways",5,0))</f>
        <v/>
      </c>
      <c r="AZ141" s="25" t="inlineStr">
        <is>
          <t>Uptrend</t>
        </is>
      </c>
      <c r="BA141" s="25">
        <f>IF(AZ141="Uptrend",10,IF(AZ141="Sideways",5,0))</f>
        <v/>
      </c>
      <c r="BB141" s="25" t="inlineStr">
        <is>
          <t>Blue sky scenario</t>
        </is>
      </c>
      <c r="BC141" s="25">
        <f>IF(BB141="Overhead supply in last 2 years in last 2 years",-5,IF(BB141="Close to 52 week high or retracement",5,IF(BB141="Blue sky scenario",10,IF(BB141="Long term Downtrend",-10,0))))</f>
        <v/>
      </c>
      <c r="BD141" s="25" t="inlineStr">
        <is>
          <t>Yes</t>
        </is>
      </c>
      <c r="BE141" s="25">
        <f>IF(BD141="Yes",10,0)</f>
        <v/>
      </c>
      <c r="BF141" s="25" t="inlineStr">
        <is>
          <t>More than 20%</t>
        </is>
      </c>
      <c r="BG141" s="25">
        <f>IF(BF141="More than 20%",10,IF(BF141="Between 12 to 20%",5,IF(BF141="Less than 12%",0,0)))</f>
        <v/>
      </c>
      <c r="BH141" s="25" t="inlineStr">
        <is>
          <t>No</t>
        </is>
      </c>
      <c r="BI141" s="25">
        <f>IF(BH141="No",10,0)</f>
        <v/>
      </c>
      <c r="BJ141" s="25" t="inlineStr">
        <is>
          <t>Yes</t>
        </is>
      </c>
      <c r="BK141" s="25">
        <f>IF(BJ141="NO",5,0)</f>
        <v/>
      </c>
      <c r="BL141" s="25" t="inlineStr">
        <is>
          <t>Less than 1.5</t>
        </is>
      </c>
      <c r="BM141" s="25">
        <f>IF(BL141="Above 2",0,IF(BL141="Between 1.5 to 2",5,IF(BL141="Less than 1.5",10,0)))</f>
        <v/>
      </c>
      <c r="BN141" s="25" t="inlineStr">
        <is>
          <t>Between 50% to 70%</t>
        </is>
      </c>
      <c r="BO141" s="25">
        <f>IF(BN141="Above 70%",10,IF(BN141="Between 50% to 70%",5,IF(BN141="Less than 50%",0,IF(BN141="Negative",-10,IF(BN141="Less than 50% and Borrowings are increasing",-5,0)))))</f>
        <v/>
      </c>
      <c r="BP141" s="25" t="inlineStr">
        <is>
          <t>More than 1.2</t>
        </is>
      </c>
      <c r="BQ141" s="25">
        <f>IF(BP141="More than 1.2",-10,IF(BP141="Between 0.7 to 1.2",0,IF(BP141="Less than 0.7",10,0)))</f>
        <v/>
      </c>
      <c r="BR141" s="25" t="inlineStr">
        <is>
          <t>No</t>
        </is>
      </c>
      <c r="BS141" s="25">
        <f>IF(BR141="Yes",-10,0)</f>
        <v/>
      </c>
      <c r="BT141" s="25" t="inlineStr">
        <is>
          <t>Less than 15%</t>
        </is>
      </c>
      <c r="BU141" s="25">
        <f>IF(BT141="More than 15%",-10,IF(BT141="Less than 15%",10,0))</f>
        <v/>
      </c>
      <c r="BV141" s="25" t="inlineStr">
        <is>
          <t>No</t>
        </is>
      </c>
      <c r="BW141" s="25">
        <f>IF(BV141="Yes, more than 10%",-10,IF(BV141="No",10,0))</f>
        <v/>
      </c>
    </row>
    <row r="142">
      <c r="A142" s="25">
        <f>IF(B142=0,"",RANK(B142,$B$2:$B$292,0))</f>
        <v/>
      </c>
      <c r="B142" s="26">
        <f>SUM(Q142,S142,U142,W142,Y142,AA142,AC142,AE142,AG142,AI142,AK142,AM142,AO142,AQ142,AS142,AU142,AW142,AY142,BA142,BC142,BE142,BG142,BI142,BK142,BM142,BO142,BQ142,BS142,BU142,BW142)</f>
        <v/>
      </c>
      <c r="C142" s="25" t="inlineStr">
        <is>
          <t>SBCL</t>
        </is>
      </c>
      <c r="D142" s="25" t="inlineStr">
        <is>
          <t>Shivalik Bimetal Controls Ltd</t>
        </is>
      </c>
      <c r="E142" s="25" t="inlineStr">
        <is>
          <t>metals &amp; mining</t>
        </is>
      </c>
      <c r="F142" s="25" t="inlineStr">
        <is>
          <t>mining / minerals / metals</t>
        </is>
      </c>
      <c r="G142" s="25" t="inlineStr">
        <is>
          <t>smallcap</t>
        </is>
      </c>
      <c r="H142" s="26" t="n">
        <v>4209.71</v>
      </c>
      <c r="I142" s="26" t="n">
        <v>734.55</v>
      </c>
      <c r="J142" s="26" t="n">
        <v>0.51</v>
      </c>
      <c r="K142" s="26" t="n">
        <v>140241</v>
      </c>
      <c r="L142" s="26" t="n">
        <v>73.33</v>
      </c>
      <c r="M142" s="26" t="n">
        <v>30.36</v>
      </c>
      <c r="N142" s="26" t="n">
        <v>558.17</v>
      </c>
      <c r="O142" s="25" t="inlineStr">
        <is>
          <t>Near 52W High Breakout</t>
        </is>
      </c>
      <c r="P142" s="25" t="inlineStr">
        <is>
          <t>Growing Industry</t>
        </is>
      </c>
      <c r="Q142" s="25">
        <f>IF(P142="Growing Industry",10,IF(P142="Cyclical in an Upturn",5,0))</f>
        <v/>
      </c>
      <c r="R142" s="25" t="inlineStr">
        <is>
          <t>Monopoly</t>
        </is>
      </c>
      <c r="S142" s="25">
        <f>IF(R142="Monopoly",10,IF(R142="Oligopoly",5,IF(R142="Duopoly that cooperate",10,IF(R142="Duopoly that compete",5,IF(R142="Too many players with High ROCE",5,0)))))</f>
        <v/>
      </c>
      <c r="T142" s="25" t="inlineStr">
        <is>
          <t>No</t>
        </is>
      </c>
      <c r="U142" s="25">
        <f>IF(T142="No",5,0)</f>
        <v/>
      </c>
      <c r="V142" s="25" t="inlineStr">
        <is>
          <t>Tailwind</t>
        </is>
      </c>
      <c r="W142" s="25">
        <f>IF(V142="Tailwind",10,0)</f>
        <v/>
      </c>
      <c r="X142" s="25" t="inlineStr">
        <is>
          <t>Shallow Cyclical (2 to 3 Years Growth)</t>
        </is>
      </c>
      <c r="Y142" s="25">
        <f>IF(X142="Structural (10 Years Consistency)",10,IF(X142="Shallow Cyclical (2 to 3 years growth)",5,0))</f>
        <v/>
      </c>
      <c r="Z142" s="25" t="inlineStr">
        <is>
          <t>Yes due to Product Mix change or Operating Leverage</t>
        </is>
      </c>
      <c r="AA142" s="25">
        <f>IF(Z142="Yes due to Product Mix change or Operating Leverage",10,IF(Z142="Yes, these are peak margins",-5,IF(Z142="No",5,0)))</f>
        <v/>
      </c>
      <c r="AB142" s="25" t="inlineStr">
        <is>
          <t>Stable</t>
        </is>
      </c>
      <c r="AC142" s="25">
        <f>IF(AB142="Stable",10,0)</f>
        <v/>
      </c>
      <c r="AD142" s="25" t="inlineStr">
        <is>
          <t>Yes</t>
        </is>
      </c>
      <c r="AE142" s="25">
        <f>IF(AD142="Yes",10,0)</f>
        <v/>
      </c>
      <c r="AF142" s="25" t="inlineStr">
        <is>
          <t>B2B</t>
        </is>
      </c>
      <c r="AG142" s="25">
        <f>IF(AF142="B2C",10,IF(AF142="B2B",5,0))</f>
        <v/>
      </c>
      <c r="AH142" s="25" t="inlineStr">
        <is>
          <t>Yes</t>
        </is>
      </c>
      <c r="AI142" s="25">
        <f>IF(AH142="Yes",10,0)</f>
        <v/>
      </c>
      <c r="AJ142" s="25" t="inlineStr">
        <is>
          <t>Fully One Time</t>
        </is>
      </c>
      <c r="AK142" s="25">
        <f>IF(AJ142="Fully Annuity",10,IF(AJ142="Higher Annuity, Lower One Time",5,IF(AJ142="Higher One Time, Lower Annuity",3,0)))</f>
        <v/>
      </c>
      <c r="AL142" s="25" t="inlineStr">
        <is>
          <t>Good</t>
        </is>
      </c>
      <c r="AM142" s="25">
        <f>IF(AL142="Good",10,0)</f>
        <v/>
      </c>
      <c r="AN142" s="25" t="inlineStr">
        <is>
          <t>Yes for more than 2 years</t>
        </is>
      </c>
      <c r="AO142" s="25">
        <f>IF(AN142="Yes for more than 2 years",10,IF(AN142="Yes only for next 1 to 2 years",5,0))</f>
        <v/>
      </c>
      <c r="AP142" s="25" t="inlineStr">
        <is>
          <t>20 to 40</t>
        </is>
      </c>
      <c r="AQ142" s="25">
        <f>IF(AP142="Above 40",20,IF(AP142="20 to 40",10,IF(AP142="0 to 20",-5,0)))</f>
        <v/>
      </c>
      <c r="AR142" s="25" t="inlineStr">
        <is>
          <t>Between 50 to 75</t>
        </is>
      </c>
      <c r="AS142" s="25">
        <f>IF(AR142="Between 50 to 75",10,IF(AR142="Above 75",0,0))</f>
        <v/>
      </c>
      <c r="AT142" s="25" t="inlineStr">
        <is>
          <t>Stage 2</t>
        </is>
      </c>
      <c r="AU142" s="25">
        <f>IF(AT142="Stage 2",20,IF(AT142="Stage 1",0,IF(AT142="Stage 3",5,IF(AT142="Stage 4",-5,0))))</f>
        <v/>
      </c>
      <c r="AV142" s="25" t="inlineStr">
        <is>
          <t>Positive Trend</t>
        </is>
      </c>
      <c r="AW142" s="25">
        <f>IF(AV142="Positive Trend",20,IF(AV142="Negative Trend",-10,0))</f>
        <v/>
      </c>
      <c r="AX142" s="25" t="inlineStr">
        <is>
          <t>Uptrend</t>
        </is>
      </c>
      <c r="AY142" s="25">
        <f>IF(AX142="Uptrend",10,IF(AX142="Sideways",5,0))</f>
        <v/>
      </c>
      <c r="AZ142" s="25" t="inlineStr">
        <is>
          <t>Uptrend</t>
        </is>
      </c>
      <c r="BA142" s="25">
        <f>IF(AZ142="Uptrend",10,IF(AZ142="Sideways",5,0))</f>
        <v/>
      </c>
      <c r="BB142" s="25" t="inlineStr">
        <is>
          <t>Close to 52 week high or retracement</t>
        </is>
      </c>
      <c r="BC142" s="25">
        <f>IF(BB142="Overhead supply in last 2 years in last 2 years",-5,IF(BB142="Close to 52 week high or retracement",5,IF(BB142="Blue sky scenario",10,IF(BB142="Long term Downtrend",-10,0))))</f>
        <v/>
      </c>
      <c r="BD142" s="25" t="inlineStr">
        <is>
          <t>Yes</t>
        </is>
      </c>
      <c r="BE142" s="25">
        <f>IF(BD142="Yes",10,0)</f>
        <v/>
      </c>
      <c r="BF142" s="25" t="inlineStr">
        <is>
          <t>More than 20%</t>
        </is>
      </c>
      <c r="BG142" s="25">
        <f>IF(BF142="More than 20%",10,IF(BF142="Between 12 to 20%",5,IF(BF142="Less than 12%",0,0)))</f>
        <v/>
      </c>
      <c r="BH142" s="25" t="inlineStr">
        <is>
          <t>Yes</t>
        </is>
      </c>
      <c r="BI142" s="25">
        <f>IF(BH142="No",10,0)</f>
        <v/>
      </c>
      <c r="BJ142" s="25" t="inlineStr">
        <is>
          <t>No</t>
        </is>
      </c>
      <c r="BK142" s="25">
        <f>IF(BJ142="NO",5,0)</f>
        <v/>
      </c>
      <c r="BL142" s="25" t="inlineStr">
        <is>
          <t>Between 1.5 to 2</t>
        </is>
      </c>
      <c r="BM142" s="25">
        <f>IF(BL142="Above 2",0,IF(BL142="Between 1.5 to 2",5,IF(BL142="Less than 1.5",10,0)))</f>
        <v/>
      </c>
      <c r="BN142" s="25" t="inlineStr">
        <is>
          <t>Less than 50%</t>
        </is>
      </c>
      <c r="BO142" s="25">
        <f>IF(BN142="Above 70%",10,IF(BN142="Between 50% to 70%",5,IF(BN142="Less than 50%",0,IF(BN142="Negative",-10,IF(BN142="Less than 50% and Borrowings are increasing",-5,0)))))</f>
        <v/>
      </c>
      <c r="BP142" s="25" t="inlineStr">
        <is>
          <t>Less than 0.7</t>
        </is>
      </c>
      <c r="BQ142" s="25">
        <f>IF(BP142="More than 1.2",-10,IF(BP142="Between 0.7 to 1.2",0,IF(BP142="Less than 0.7",10,0)))</f>
        <v/>
      </c>
      <c r="BR142" s="25" t="inlineStr">
        <is>
          <t>No</t>
        </is>
      </c>
      <c r="BS142" s="25">
        <f>IF(BR142="Yes",-10,0)</f>
        <v/>
      </c>
      <c r="BT142" s="25" t="inlineStr">
        <is>
          <t>Less than 15%</t>
        </is>
      </c>
      <c r="BU142" s="25">
        <f>IF(BT142="More than 15%",-10,IF(BT142="Less than 15%",10,0))</f>
        <v/>
      </c>
      <c r="BV142" s="25" t="inlineStr">
        <is>
          <t>No</t>
        </is>
      </c>
      <c r="BW142" s="25">
        <f>IF(BV142="Yes, more than 10%",-10,IF(BV142="No",10,0))</f>
        <v/>
      </c>
    </row>
    <row r="143">
      <c r="A143" s="25">
        <f>IF(B143=0,"",RANK(B143,$B$2:$B$292,0))</f>
        <v/>
      </c>
      <c r="B143" s="26">
        <f>SUM(Q143,S143,U143,W143,Y143,AA143,AC143,AE143,AG143,AI143,AK143,AM143,AO143,AQ143,AS143,AU143,AW143,AY143,BA143,BC143,BE143,BG143,BI143,BK143,BM143,BO143,BQ143,BS143,BU143,BW143)</f>
        <v/>
      </c>
      <c r="C143" s="25" t="inlineStr">
        <is>
          <t>CAPLIPOINT</t>
        </is>
      </c>
      <c r="D143" s="25" t="inlineStr">
        <is>
          <t>Caplin Point Laboratories Limited</t>
        </is>
      </c>
      <c r="E143" s="25" t="inlineStr">
        <is>
          <t>healthcare</t>
        </is>
      </c>
      <c r="F143" s="25" t="inlineStr">
        <is>
          <t>pharmaceuticals - indian - formulations</t>
        </is>
      </c>
      <c r="G143" s="25" t="inlineStr">
        <is>
          <t>midcap</t>
        </is>
      </c>
      <c r="H143" s="26" t="n">
        <v>15193.98</v>
      </c>
      <c r="I143" s="26" t="n">
        <v>1988.1</v>
      </c>
      <c r="J143" s="26" t="n">
        <v>-0.54</v>
      </c>
      <c r="K143" s="26" t="n">
        <v>75756</v>
      </c>
      <c r="L143" s="26" t="n">
        <v>60.1</v>
      </c>
      <c r="M143" s="26" t="n">
        <v>23.39</v>
      </c>
      <c r="N143" s="26" t="n">
        <v>1663.11</v>
      </c>
      <c r="O143" s="25" t="inlineStr">
        <is>
          <t>Earnings / Momentum Support</t>
        </is>
      </c>
      <c r="P143" s="25" t="inlineStr">
        <is>
          <t>Growing Industry</t>
        </is>
      </c>
      <c r="Q143" s="25">
        <f>IF(P143="Growing Industry",10,IF(P143="Cyclical in an Upturn",5,0))</f>
        <v/>
      </c>
      <c r="R143" s="25" t="inlineStr">
        <is>
          <t>Too Many Players with High ROCE</t>
        </is>
      </c>
      <c r="S143" s="25">
        <f>IF(R143="Monopoly",10,IF(R143="Oligopoly",5,IF(R143="Duopoly that cooperate",10,IF(R143="Duopoly that compete",5,IF(R143="Too many players with High ROCE",5,0)))))</f>
        <v/>
      </c>
      <c r="T143" s="25" t="inlineStr">
        <is>
          <t>Yes</t>
        </is>
      </c>
      <c r="U143" s="25">
        <f>IF(T143="No",5,0)</f>
        <v/>
      </c>
      <c r="V143" s="25" t="inlineStr">
        <is>
          <t>Tailwind</t>
        </is>
      </c>
      <c r="W143" s="25">
        <f>IF(V143="Tailwind",10,0)</f>
        <v/>
      </c>
      <c r="X143" s="25" t="inlineStr">
        <is>
          <t>Structural (10 Years Consistency)</t>
        </is>
      </c>
      <c r="Y143" s="25">
        <f>IF(X143="Structural (10 Years Consistency)",10,IF(X143="Shallow Cyclical (2 to 3 years growth)",5,0))</f>
        <v/>
      </c>
      <c r="Z143" s="25" t="inlineStr">
        <is>
          <t>No</t>
        </is>
      </c>
      <c r="AA143" s="25">
        <f>IF(Z143="Yes due to Product Mix change or Operating Leverage",10,IF(Z143="Yes, these are peak margins",-5,IF(Z143="No",5,0)))</f>
        <v/>
      </c>
      <c r="AB143" s="25" t="inlineStr">
        <is>
          <t>Stable</t>
        </is>
      </c>
      <c r="AC143" s="25">
        <f>IF(AB143="Stable",10,0)</f>
        <v/>
      </c>
      <c r="AD143" s="25" t="inlineStr">
        <is>
          <t>Yes</t>
        </is>
      </c>
      <c r="AE143" s="25">
        <f>IF(AD143="Yes",10,0)</f>
        <v/>
      </c>
      <c r="AF143" s="25" t="inlineStr">
        <is>
          <t>B2B</t>
        </is>
      </c>
      <c r="AG143" s="25">
        <f>IF(AF143="B2C",10,IF(AF143="B2B",5,0))</f>
        <v/>
      </c>
      <c r="AH143" s="25" t="inlineStr">
        <is>
          <t>No</t>
        </is>
      </c>
      <c r="AI143" s="25">
        <f>IF(AH143="Yes",10,0)</f>
        <v/>
      </c>
      <c r="AJ143" s="25" t="inlineStr">
        <is>
          <t>Higher Annuity, Lower One Time</t>
        </is>
      </c>
      <c r="AK143" s="25">
        <f>IF(AJ143="Fully Annuity",10,IF(AJ143="Higher Annuity, Lower One Time",5,IF(AJ143="Higher One Time, Lower Annuity",3,0)))</f>
        <v/>
      </c>
      <c r="AL143" s="25" t="inlineStr">
        <is>
          <t>Good</t>
        </is>
      </c>
      <c r="AM143" s="25">
        <f>IF(AL143="Good",10,0)</f>
        <v/>
      </c>
      <c r="AN143" s="25" t="inlineStr">
        <is>
          <t>Yes for more than 2 years</t>
        </is>
      </c>
      <c r="AO143" s="25">
        <f>IF(AN143="Yes for more than 2 years",10,IF(AN143="Yes only for next 1 to 2 years",5,0))</f>
        <v/>
      </c>
      <c r="AP143" s="25" t="inlineStr">
        <is>
          <t>20 to 40</t>
        </is>
      </c>
      <c r="AQ143" s="25">
        <f>IF(AP143="Above 40",20,IF(AP143="20 to 40",10,IF(AP143="0 to 20",-5,0)))</f>
        <v/>
      </c>
      <c r="AR143" s="25" t="inlineStr">
        <is>
          <t>Between 50 to 75</t>
        </is>
      </c>
      <c r="AS143" s="25">
        <f>IF(AR143="Between 50 to 75",10,IF(AR143="Above 75",0,0))</f>
        <v/>
      </c>
      <c r="AT143" s="25" t="inlineStr">
        <is>
          <t>Stage 2</t>
        </is>
      </c>
      <c r="AU143" s="25">
        <f>IF(AT143="Stage 2",20,IF(AT143="Stage 1",0,IF(AT143="Stage 3",5,IF(AT143="Stage 4",-5,0))))</f>
        <v/>
      </c>
      <c r="AV143" s="25" t="inlineStr">
        <is>
          <t>Positive Trend</t>
        </is>
      </c>
      <c r="AW143" s="25">
        <f>IF(AV143="Positive Trend",20,IF(AV143="Negative Trend",-10,0))</f>
        <v/>
      </c>
      <c r="AX143" s="25" t="inlineStr">
        <is>
          <t>Uptrend</t>
        </is>
      </c>
      <c r="AY143" s="25">
        <f>IF(AX143="Uptrend",10,IF(AX143="Sideways",5,0))</f>
        <v/>
      </c>
      <c r="AZ143" s="25" t="inlineStr">
        <is>
          <t>Uptrend</t>
        </is>
      </c>
      <c r="BA143" s="25">
        <f>IF(AZ143="Uptrend",10,IF(AZ143="Sideways",5,0))</f>
        <v/>
      </c>
      <c r="BB143" s="25" t="inlineStr">
        <is>
          <t>Close to 52 week high or retracement</t>
        </is>
      </c>
      <c r="BC143" s="25">
        <f>IF(BB143="Overhead supply in last 2 years in last 2 years",-5,IF(BB143="Close to 52 week high or retracement",5,IF(BB143="Blue sky scenario",10,IF(BB143="Long term Downtrend",-10,0))))</f>
        <v/>
      </c>
      <c r="BD143" s="25" t="inlineStr">
        <is>
          <t>Yes</t>
        </is>
      </c>
      <c r="BE143" s="25">
        <f>IF(BD143="Yes",10,0)</f>
        <v/>
      </c>
      <c r="BF143" s="25" t="inlineStr">
        <is>
          <t>Between 12 to 20%</t>
        </is>
      </c>
      <c r="BG143" s="25">
        <f>IF(BF143="More than 20%",10,IF(BF143="Between 12 to 20%",5,IF(BF143="Less than 12%",0,0)))</f>
        <v/>
      </c>
      <c r="BH143" s="25" t="inlineStr">
        <is>
          <t>No</t>
        </is>
      </c>
      <c r="BI143" s="25">
        <f>IF(BH143="No",10,0)</f>
        <v/>
      </c>
      <c r="BJ143" s="25" t="inlineStr">
        <is>
          <t>No</t>
        </is>
      </c>
      <c r="BK143" s="25">
        <f>IF(BJ143="NO",5,0)</f>
        <v/>
      </c>
      <c r="BL143" s="25" t="inlineStr">
        <is>
          <t>Less than 1.5</t>
        </is>
      </c>
      <c r="BM143" s="25">
        <f>IF(BL143="Above 2",0,IF(BL143="Between 1.5 to 2",5,IF(BL143="Less than 1.5",10,0)))</f>
        <v/>
      </c>
      <c r="BN143" s="25" t="inlineStr">
        <is>
          <t>Between 50% to 70%</t>
        </is>
      </c>
      <c r="BO143" s="25">
        <f>IF(BN143="Above 70%",10,IF(BN143="Between 50% to 70%",5,IF(BN143="Less than 50%",0,IF(BN143="Negative",-10,IF(BN143="Less than 50% and Borrowings are increasing",-5,0)))))</f>
        <v/>
      </c>
      <c r="BP143" s="25" t="inlineStr">
        <is>
          <t>Less than 0.7</t>
        </is>
      </c>
      <c r="BQ143" s="25">
        <f>IF(BP143="More than 1.2",-10,IF(BP143="Between 0.7 to 1.2",0,IF(BP143="Less than 0.7",10,0)))</f>
        <v/>
      </c>
      <c r="BR143" s="25" t="inlineStr">
        <is>
          <t>No</t>
        </is>
      </c>
      <c r="BS143" s="25">
        <f>IF(BR143="Yes",-10,0)</f>
        <v/>
      </c>
      <c r="BT143" s="25" t="inlineStr">
        <is>
          <t>Less than 15%</t>
        </is>
      </c>
      <c r="BU143" s="25">
        <f>IF(BT143="More than 15%",-10,IF(BT143="Less than 15%",10,0))</f>
        <v/>
      </c>
      <c r="BV143" s="25" t="inlineStr">
        <is>
          <t>No</t>
        </is>
      </c>
      <c r="BW143" s="25">
        <f>IF(BV143="Yes, more than 10%",-10,IF(BV143="No",10,0))</f>
        <v/>
      </c>
    </row>
    <row r="144">
      <c r="A144" s="25">
        <f>IF(B144=0,"",RANK(B144,$B$2:$B$292,0))</f>
        <v/>
      </c>
      <c r="B144" s="26">
        <f>SUM(Q144,S144,U144,W144,Y144,AA144,AC144,AE144,AG144,AI144,AK144,AM144,AO144,AQ144,AS144,AU144,AW144,AY144,BA144,BC144,BE144,BG144,BI144,BK144,BM144,BO144,BQ144,BS144,BU144,BW144)</f>
        <v/>
      </c>
      <c r="C144" s="25" t="inlineStr">
        <is>
          <t>CUPID</t>
        </is>
      </c>
      <c r="D144" s="25" t="inlineStr">
        <is>
          <t>Cupid Limited</t>
        </is>
      </c>
      <c r="E144" s="25" t="inlineStr">
        <is>
          <t>fmcg</t>
        </is>
      </c>
      <c r="F144" s="25" t="inlineStr">
        <is>
          <t>personal care - indian</t>
        </is>
      </c>
      <c r="G144" s="25" t="inlineStr">
        <is>
          <t>midcap</t>
        </is>
      </c>
      <c r="H144" s="26" t="n">
        <v>17358.23</v>
      </c>
      <c r="I144" s="26" t="n">
        <v>128.35</v>
      </c>
      <c r="J144" s="26" t="n">
        <v>-0.57</v>
      </c>
      <c r="K144" s="26" t="n">
        <v>13950546</v>
      </c>
      <c r="L144" s="26" t="n">
        <v>73.01000000000001</v>
      </c>
      <c r="M144" s="26" t="n">
        <v>40.4</v>
      </c>
      <c r="N144" s="26" t="n">
        <v>101.97</v>
      </c>
      <c r="O144" s="25" t="inlineStr">
        <is>
          <t>Near 52W High Breakout</t>
        </is>
      </c>
      <c r="P144" s="25" t="inlineStr">
        <is>
          <t>Growing Industry</t>
        </is>
      </c>
      <c r="Q144" s="25">
        <f>IF(P144="Growing Industry",10,IF(P144="Cyclical in an Upturn",5,0))</f>
        <v/>
      </c>
      <c r="R144" s="25" t="inlineStr">
        <is>
          <t>Too Many Players with High ROCE</t>
        </is>
      </c>
      <c r="S144" s="25">
        <f>IF(R144="Monopoly",10,IF(R144="Oligopoly",5,IF(R144="Duopoly that cooperate",10,IF(R144="Duopoly that compete",5,IF(R144="Too many players with High ROCE",5,0)))))</f>
        <v/>
      </c>
      <c r="T144" s="25" t="inlineStr">
        <is>
          <t>No</t>
        </is>
      </c>
      <c r="U144" s="25">
        <f>IF(T144="No",5,0)</f>
        <v/>
      </c>
      <c r="V144" s="25" t="inlineStr">
        <is>
          <t>Tailwind</t>
        </is>
      </c>
      <c r="W144" s="25">
        <f>IF(V144="Tailwind",10,0)</f>
        <v/>
      </c>
      <c r="X144" s="25" t="inlineStr">
        <is>
          <t>Structural (10 Years Consistency)</t>
        </is>
      </c>
      <c r="Y144" s="25">
        <f>IF(X144="Structural (10 Years Consistency)",10,IF(X144="Shallow Cyclical (2 to 3 years growth)",5,0))</f>
        <v/>
      </c>
      <c r="Z144" s="25" t="inlineStr">
        <is>
          <t>No</t>
        </is>
      </c>
      <c r="AA144" s="25">
        <f>IF(Z144="Yes due to Product Mix change or Operating Leverage",10,IF(Z144="Yes, these are peak margins",-5,IF(Z144="No",5,0)))</f>
        <v/>
      </c>
      <c r="AB144" s="25" t="inlineStr">
        <is>
          <t>Stable</t>
        </is>
      </c>
      <c r="AC144" s="25">
        <f>IF(AB144="Stable",10,0)</f>
        <v/>
      </c>
      <c r="AD144" s="25" t="inlineStr">
        <is>
          <t>Yes</t>
        </is>
      </c>
      <c r="AE144" s="25">
        <f>IF(AD144="Yes",10,0)</f>
        <v/>
      </c>
      <c r="AF144" s="25" t="inlineStr">
        <is>
          <t>B2C</t>
        </is>
      </c>
      <c r="AG144" s="25">
        <f>IF(AF144="B2C",10,IF(AF144="B2B",5,0))</f>
        <v/>
      </c>
      <c r="AH144" s="25" t="inlineStr">
        <is>
          <t>Yes</t>
        </is>
      </c>
      <c r="AI144" s="25">
        <f>IF(AH144="Yes",10,0)</f>
        <v/>
      </c>
      <c r="AJ144" s="25" t="inlineStr">
        <is>
          <t>Higher Annuity, Lower One Time</t>
        </is>
      </c>
      <c r="AK144" s="25">
        <f>IF(AJ144="Fully Annuity",10,IF(AJ144="Higher Annuity, Lower One Time",5,IF(AJ144="Higher One Time, Lower Annuity",3,0)))</f>
        <v/>
      </c>
      <c r="AL144" s="25" t="inlineStr">
        <is>
          <t>Good</t>
        </is>
      </c>
      <c r="AM144" s="25">
        <f>IF(AL144="Good",10,0)</f>
        <v/>
      </c>
      <c r="AN144" s="25" t="inlineStr">
        <is>
          <t>Yes for more than 2 years</t>
        </is>
      </c>
      <c r="AO144" s="25">
        <f>IF(AN144="Yes for more than 2 years",10,IF(AN144="Yes only for next 1 to 2 years",5,0))</f>
        <v/>
      </c>
      <c r="AP144" s="25" t="inlineStr">
        <is>
          <t>Above 40</t>
        </is>
      </c>
      <c r="AQ144" s="25">
        <f>IF(AP144="Above 40",20,IF(AP144="20 to 40",10,IF(AP144="0 to 20",-5,0)))</f>
        <v/>
      </c>
      <c r="AR144" s="25" t="inlineStr">
        <is>
          <t>Between 50 to 75</t>
        </is>
      </c>
      <c r="AS144" s="25">
        <f>IF(AR144="Between 50 to 75",10,IF(AR144="Above 75",0,0))</f>
        <v/>
      </c>
      <c r="AT144" s="25" t="inlineStr">
        <is>
          <t>Stage 2</t>
        </is>
      </c>
      <c r="AU144" s="25">
        <f>IF(AT144="Stage 2",20,IF(AT144="Stage 1",0,IF(AT144="Stage 3",5,IF(AT144="Stage 4",-5,0))))</f>
        <v/>
      </c>
      <c r="AV144" s="25" t="inlineStr">
        <is>
          <t>Negative Trend</t>
        </is>
      </c>
      <c r="AW144" s="25">
        <f>IF(AV144="Positive Trend",20,IF(AV144="Negative Trend",-10,0))</f>
        <v/>
      </c>
      <c r="AX144" s="25" t="inlineStr">
        <is>
          <t>Uptrend</t>
        </is>
      </c>
      <c r="AY144" s="25">
        <f>IF(AX144="Uptrend",10,IF(AX144="Sideways",5,0))</f>
        <v/>
      </c>
      <c r="AZ144" s="25" t="inlineStr">
        <is>
          <t>Uptrend</t>
        </is>
      </c>
      <c r="BA144" s="25">
        <f>IF(AZ144="Uptrend",10,IF(AZ144="Sideways",5,0))</f>
        <v/>
      </c>
      <c r="BB144" s="25" t="inlineStr">
        <is>
          <t>Blue sky scenario</t>
        </is>
      </c>
      <c r="BC144" s="25">
        <f>IF(BB144="Overhead supply in last 2 years in last 2 years",-5,IF(BB144="Close to 52 week high or retracement",5,IF(BB144="Blue sky scenario",10,IF(BB144="Long term Downtrend",-10,0))))</f>
        <v/>
      </c>
      <c r="BD144" s="25" t="inlineStr">
        <is>
          <t>Yes</t>
        </is>
      </c>
      <c r="BE144" s="25">
        <f>IF(BD144="Yes",10,0)</f>
        <v/>
      </c>
      <c r="BF144" s="25" t="inlineStr">
        <is>
          <t>More than 20%</t>
        </is>
      </c>
      <c r="BG144" s="25">
        <f>IF(BF144="More than 20%",10,IF(BF144="Between 12 to 20%",5,IF(BF144="Less than 12%",0,0)))</f>
        <v/>
      </c>
      <c r="BH144" s="25" t="inlineStr">
        <is>
          <t>No</t>
        </is>
      </c>
      <c r="BI144" s="25">
        <f>IF(BH144="No",10,0)</f>
        <v/>
      </c>
      <c r="BJ144" s="25" t="inlineStr">
        <is>
          <t>Yes</t>
        </is>
      </c>
      <c r="BK144" s="25">
        <f>IF(BJ144="NO",5,0)</f>
        <v/>
      </c>
      <c r="BL144" s="25" t="inlineStr">
        <is>
          <t>Less than 1.5</t>
        </is>
      </c>
      <c r="BM144" s="25">
        <f>IF(BL144="Above 2",0,IF(BL144="Between 1.5 to 2",5,IF(BL144="Less than 1.5",10,0)))</f>
        <v/>
      </c>
      <c r="BN144" s="25" t="inlineStr">
        <is>
          <t>Less than 50%</t>
        </is>
      </c>
      <c r="BO144" s="25">
        <f>IF(BN144="Above 70%",10,IF(BN144="Between 50% to 70%",5,IF(BN144="Less than 50%",0,IF(BN144="Negative",-10,IF(BN144="Less than 50% and Borrowings are increasing",-5,0)))))</f>
        <v/>
      </c>
      <c r="BP144" s="25" t="inlineStr">
        <is>
          <t>Less than 0.7</t>
        </is>
      </c>
      <c r="BQ144" s="25">
        <f>IF(BP144="More than 1.2",-10,IF(BP144="Between 0.7 to 1.2",0,IF(BP144="Less than 0.7",10,0)))</f>
        <v/>
      </c>
      <c r="BR144" s="25" t="inlineStr">
        <is>
          <t>No</t>
        </is>
      </c>
      <c r="BS144" s="25">
        <f>IF(BR144="Yes",-10,0)</f>
        <v/>
      </c>
      <c r="BT144" s="25" t="inlineStr">
        <is>
          <t>Less than 15%</t>
        </is>
      </c>
      <c r="BU144" s="25">
        <f>IF(BT144="More than 15%",-10,IF(BT144="Less than 15%",10,0))</f>
        <v/>
      </c>
      <c r="BV144" s="25" t="inlineStr">
        <is>
          <t>No</t>
        </is>
      </c>
      <c r="BW144" s="25">
        <f>IF(BV144="Yes, more than 10%",-10,IF(BV144="No",10,0))</f>
        <v/>
      </c>
    </row>
    <row r="145">
      <c r="A145" s="25">
        <f>IF(B145=0,"",RANK(B145,$B$2:$B$292,0))</f>
        <v/>
      </c>
      <c r="B145" s="26">
        <f>SUM(Q145,S145,U145,W145,Y145,AA145,AC145,AE145,AG145,AI145,AK145,AM145,AO145,AQ145,AS145,AU145,AW145,AY145,BA145,BC145,BE145,BG145,BI145,BK145,BM145,BO145,BQ145,BS145,BU145,BW145)</f>
        <v/>
      </c>
      <c r="C145" s="25" t="inlineStr">
        <is>
          <t>JAYBARMARU</t>
        </is>
      </c>
      <c r="D145" s="25" t="inlineStr">
        <is>
          <t>Jay Bharat Maruti Limited</t>
        </is>
      </c>
      <c r="E145" s="25" t="inlineStr">
        <is>
          <t>auto</t>
        </is>
      </c>
      <c r="F145" s="25" t="inlineStr">
        <is>
          <t>auto ancillaries</t>
        </is>
      </c>
      <c r="G145" s="25" t="inlineStr">
        <is>
          <t>smallcap</t>
        </is>
      </c>
      <c r="H145" s="26" t="n">
        <v>1241.41</v>
      </c>
      <c r="I145" s="26" t="n">
        <v>126.14</v>
      </c>
      <c r="J145" s="26" t="n">
        <v>9.99</v>
      </c>
      <c r="K145" s="26" t="n">
        <v>1586981</v>
      </c>
      <c r="L145" s="26" t="n">
        <v>64.84999999999999</v>
      </c>
      <c r="M145" s="26" t="n">
        <v>15.02</v>
      </c>
      <c r="N145" s="26" t="n">
        <v>89.67</v>
      </c>
      <c r="O145" s="25" t="inlineStr">
        <is>
          <t>Near 52W High Breakout</t>
        </is>
      </c>
      <c r="P145" s="25" t="inlineStr">
        <is>
          <t>Growing Industry</t>
        </is>
      </c>
      <c r="Q145" s="25">
        <f>IF(P145="Growing Industry",10,IF(P145="Cyclical in an Upturn",5,0))</f>
        <v/>
      </c>
      <c r="R145" s="25" t="inlineStr">
        <is>
          <t>Too Many Players with High ROCE</t>
        </is>
      </c>
      <c r="S145" s="25">
        <f>IF(R145="Monopoly",10,IF(R145="Oligopoly",5,IF(R145="Duopoly that cooperate",10,IF(R145="Duopoly that compete",5,IF(R145="Too many players with High ROCE",5,0)))))</f>
        <v/>
      </c>
      <c r="T145" s="25" t="inlineStr">
        <is>
          <t>No</t>
        </is>
      </c>
      <c r="U145" s="25">
        <f>IF(T145="No",5,0)</f>
        <v/>
      </c>
      <c r="V145" s="25" t="inlineStr">
        <is>
          <t>Tailwind</t>
        </is>
      </c>
      <c r="W145" s="25">
        <f>IF(V145="Tailwind",10,0)</f>
        <v/>
      </c>
      <c r="X145" s="25" t="inlineStr">
        <is>
          <t>Structural (10 Years Consistency)</t>
        </is>
      </c>
      <c r="Y145" s="25">
        <f>IF(X145="Structural (10 Years Consistency)",10,IF(X145="Shallow Cyclical (2 to 3 years growth)",5,0))</f>
        <v/>
      </c>
      <c r="Z145" s="25" t="inlineStr">
        <is>
          <t>No</t>
        </is>
      </c>
      <c r="AA145" s="25">
        <f>IF(Z145="Yes due to Product Mix change or Operating Leverage",10,IF(Z145="Yes, these are peak margins",-5,IF(Z145="No",5,0)))</f>
        <v/>
      </c>
      <c r="AB145" s="25" t="inlineStr">
        <is>
          <t>Stable</t>
        </is>
      </c>
      <c r="AC145" s="25">
        <f>IF(AB145="Stable",10,0)</f>
        <v/>
      </c>
      <c r="AD145" s="25" t="inlineStr">
        <is>
          <t>Yes</t>
        </is>
      </c>
      <c r="AE145" s="25">
        <f>IF(AD145="Yes",10,0)</f>
        <v/>
      </c>
      <c r="AF145" s="25" t="inlineStr">
        <is>
          <t>B2B</t>
        </is>
      </c>
      <c r="AG145" s="25">
        <f>IF(AF145="B2C",10,IF(AF145="B2B",5,0))</f>
        <v/>
      </c>
      <c r="AH145" s="25" t="inlineStr">
        <is>
          <t>Yes</t>
        </is>
      </c>
      <c r="AI145" s="25">
        <f>IF(AH145="Yes",10,0)</f>
        <v/>
      </c>
      <c r="AJ145" s="25" t="inlineStr">
        <is>
          <t>Higher One Time, Lower Annuity</t>
        </is>
      </c>
      <c r="AK145" s="25">
        <f>IF(AJ145="Fully Annuity",10,IF(AJ145="Higher Annuity, Lower One Time",5,IF(AJ145="Higher One Time, Lower Annuity",3,0)))</f>
        <v/>
      </c>
      <c r="AL145" s="25" t="inlineStr">
        <is>
          <t>Good</t>
        </is>
      </c>
      <c r="AM145" s="25">
        <f>IF(AL145="Good",10,0)</f>
        <v/>
      </c>
      <c r="AN145" s="25" t="inlineStr">
        <is>
          <t>Yes for more than 2 years</t>
        </is>
      </c>
      <c r="AO145" s="25">
        <f>IF(AN145="Yes for more than 2 years",10,IF(AN145="Yes only for next 1 to 2 years",5,0))</f>
        <v/>
      </c>
      <c r="AP145" s="25" t="inlineStr">
        <is>
          <t>0 to 20</t>
        </is>
      </c>
      <c r="AQ145" s="25">
        <f>IF(AP145="Above 40",20,IF(AP145="20 to 40",10,IF(AP145="0 to 20",-5,0)))</f>
        <v/>
      </c>
      <c r="AR145" s="25" t="inlineStr">
        <is>
          <t>Between 50 to 75</t>
        </is>
      </c>
      <c r="AS145" s="25">
        <f>IF(AR145="Between 50 to 75",10,IF(AR145="Above 75",0,0))</f>
        <v/>
      </c>
      <c r="AT145" s="25" t="inlineStr">
        <is>
          <t>Stage 2</t>
        </is>
      </c>
      <c r="AU145" s="25">
        <f>IF(AT145="Stage 2",20,IF(AT145="Stage 1",0,IF(AT145="Stage 3",5,IF(AT145="Stage 4",-5,0))))</f>
        <v/>
      </c>
      <c r="AV145" s="25" t="inlineStr">
        <is>
          <t>Positive Trend</t>
        </is>
      </c>
      <c r="AW145" s="25">
        <f>IF(AV145="Positive Trend",20,IF(AV145="Negative Trend",-10,0))</f>
        <v/>
      </c>
      <c r="AX145" s="25" t="inlineStr">
        <is>
          <t>Uptrend</t>
        </is>
      </c>
      <c r="AY145" s="25">
        <f>IF(AX145="Uptrend",10,IF(AX145="Sideways",5,0))</f>
        <v/>
      </c>
      <c r="AZ145" s="25" t="inlineStr">
        <is>
          <t>Uptrend</t>
        </is>
      </c>
      <c r="BA145" s="25">
        <f>IF(AZ145="Uptrend",10,IF(AZ145="Sideways",5,0))</f>
        <v/>
      </c>
      <c r="BB145" s="25" t="inlineStr">
        <is>
          <t>Blue sky scenario</t>
        </is>
      </c>
      <c r="BC145" s="25">
        <f>IF(BB145="Overhead supply in last 2 years in last 2 years",-5,IF(BB145="Close to 52 week high or retracement",5,IF(BB145="Blue sky scenario",10,IF(BB145="Long term Downtrend",-10,0))))</f>
        <v/>
      </c>
      <c r="BD145" s="25" t="inlineStr">
        <is>
          <t>Yes</t>
        </is>
      </c>
      <c r="BE145" s="25">
        <f>IF(BD145="Yes",10,0)</f>
        <v/>
      </c>
      <c r="BF145" s="25" t="inlineStr">
        <is>
          <t>More than 20%</t>
        </is>
      </c>
      <c r="BG145" s="25">
        <f>IF(BF145="More than 20%",10,IF(BF145="Between 12 to 20%",5,IF(BF145="Less than 12%",0,0)))</f>
        <v/>
      </c>
      <c r="BH145" s="25" t="inlineStr">
        <is>
          <t>No</t>
        </is>
      </c>
      <c r="BI145" s="25">
        <f>IF(BH145="No",10,0)</f>
        <v/>
      </c>
      <c r="BJ145" s="25" t="inlineStr">
        <is>
          <t>No</t>
        </is>
      </c>
      <c r="BK145" s="25">
        <f>IF(BJ145="NO",5,0)</f>
        <v/>
      </c>
      <c r="BL145" s="25" t="inlineStr">
        <is>
          <t>Less than 1.5</t>
        </is>
      </c>
      <c r="BM145" s="25">
        <f>IF(BL145="Above 2",0,IF(BL145="Between 1.5 to 2",5,IF(BL145="Less than 1.5",10,0)))</f>
        <v/>
      </c>
      <c r="BN145" s="25" t="inlineStr">
        <is>
          <t>Between 50% to 70%</t>
        </is>
      </c>
      <c r="BO145" s="25">
        <f>IF(BN145="Above 70%",10,IF(BN145="Between 50% to 70%",5,IF(BN145="Less than 50%",0,IF(BN145="Negative",-10,IF(BN145="Less than 50% and Borrowings are increasing",-5,0)))))</f>
        <v/>
      </c>
      <c r="BP145" s="25" t="inlineStr">
        <is>
          <t>Between 0.7 to 1.2</t>
        </is>
      </c>
      <c r="BQ145" s="25">
        <f>IF(BP145="More than 1.2",-10,IF(BP145="Between 0.7 to 1.2",0,IF(BP145="Less than 0.7",10,0)))</f>
        <v/>
      </c>
      <c r="BR145" s="25" t="inlineStr">
        <is>
          <t>No</t>
        </is>
      </c>
      <c r="BS145" s="25">
        <f>IF(BR145="Yes",-10,0)</f>
        <v/>
      </c>
      <c r="BT145" s="25" t="inlineStr">
        <is>
          <t>Less than 15%</t>
        </is>
      </c>
      <c r="BU145" s="25">
        <f>IF(BT145="More than 15%",-10,IF(BT145="Less than 15%",10,0))</f>
        <v/>
      </c>
      <c r="BV145" s="25" t="inlineStr">
        <is>
          <t>No</t>
        </is>
      </c>
      <c r="BW145" s="25">
        <f>IF(BV145="Yes, more than 10%",-10,IF(BV145="No",10,0))</f>
        <v/>
      </c>
    </row>
    <row r="146">
      <c r="A146" s="25">
        <f>IF(B146=0,"",RANK(B146,$B$2:$B$292,0))</f>
        <v/>
      </c>
      <c r="B146" s="26">
        <f>SUM(Q146,S146,U146,W146,Y146,AA146,AC146,AE146,AG146,AI146,AK146,AM146,AO146,AQ146,AS146,AU146,AW146,AY146,BA146,BC146,BE146,BG146,BI146,BK146,BM146,BO146,BQ146,BS146,BU146,BW146)</f>
        <v/>
      </c>
      <c r="C146" s="25" t="inlineStr">
        <is>
          <t>SKYGOLD</t>
        </is>
      </c>
      <c r="D146" s="25" t="inlineStr">
        <is>
          <t>Sky Gold Ltd</t>
        </is>
      </c>
      <c r="E146" s="25" t="inlineStr">
        <is>
          <t>consumer discretionary</t>
        </is>
      </c>
      <c r="F146" s="25" t="inlineStr">
        <is>
          <t>diamond cutting / jewellery</t>
        </is>
      </c>
      <c r="G146" s="25" t="inlineStr">
        <is>
          <t>midcap</t>
        </is>
      </c>
      <c r="H146" s="26" t="n">
        <v>8084.42</v>
      </c>
      <c r="I146" s="26" t="n">
        <v>559.7</v>
      </c>
      <c r="J146" s="26" t="n">
        <v>7.22</v>
      </c>
      <c r="K146" s="26" t="n">
        <v>3085263</v>
      </c>
      <c r="L146" s="26" t="n">
        <v>69.42</v>
      </c>
      <c r="M146" s="26" t="n">
        <v>31.12</v>
      </c>
      <c r="N146" s="26" t="n">
        <v>407.73</v>
      </c>
      <c r="O146" s="25" t="inlineStr">
        <is>
          <t>Near 52W High Breakout</t>
        </is>
      </c>
      <c r="P146" s="25" t="inlineStr">
        <is>
          <t>Growing Industry</t>
        </is>
      </c>
      <c r="Q146" s="25">
        <f>IF(P146="Growing Industry",10,IF(P146="Cyclical in an Upturn",5,0))</f>
        <v/>
      </c>
      <c r="R146" s="25" t="inlineStr">
        <is>
          <t>Too Many Players with High ROCE</t>
        </is>
      </c>
      <c r="S146" s="25">
        <f>IF(R146="Monopoly",10,IF(R146="Oligopoly",5,IF(R146="Duopoly that cooperate",10,IF(R146="Duopoly that compete",5,IF(R146="Too many players with High ROCE",5,0)))))</f>
        <v/>
      </c>
      <c r="T146" s="25" t="inlineStr">
        <is>
          <t>No</t>
        </is>
      </c>
      <c r="U146" s="25">
        <f>IF(T146="No",5,0)</f>
        <v/>
      </c>
      <c r="V146" s="25" t="inlineStr">
        <is>
          <t>Tailwind</t>
        </is>
      </c>
      <c r="W146" s="25">
        <f>IF(V146="Tailwind",10,0)</f>
        <v/>
      </c>
      <c r="X146" s="25" t="inlineStr">
        <is>
          <t>Structural (10 Years Consistency)</t>
        </is>
      </c>
      <c r="Y146" s="25">
        <f>IF(X146="Structural (10 Years Consistency)",10,IF(X146="Shallow Cyclical (2 to 3 years growth)",5,0))</f>
        <v/>
      </c>
      <c r="Z146" s="25" t="inlineStr">
        <is>
          <t>No</t>
        </is>
      </c>
      <c r="AA146" s="25">
        <f>IF(Z146="Yes due to Product Mix change or Operating Leverage",10,IF(Z146="Yes, these are peak margins",-5,IF(Z146="No",5,0)))</f>
        <v/>
      </c>
      <c r="AB146" s="25" t="inlineStr">
        <is>
          <t>Stable</t>
        </is>
      </c>
      <c r="AC146" s="25">
        <f>IF(AB146="Stable",10,0)</f>
        <v/>
      </c>
      <c r="AD146" s="25" t="inlineStr">
        <is>
          <t>Yes</t>
        </is>
      </c>
      <c r="AE146" s="25">
        <f>IF(AD146="Yes",10,0)</f>
        <v/>
      </c>
      <c r="AF146" s="25" t="inlineStr">
        <is>
          <t>B2B</t>
        </is>
      </c>
      <c r="AG146" s="25">
        <f>IF(AF146="B2C",10,IF(AF146="B2B",5,0))</f>
        <v/>
      </c>
      <c r="AH146" s="25" t="inlineStr">
        <is>
          <t>Yes</t>
        </is>
      </c>
      <c r="AI146" s="25">
        <f>IF(AH146="Yes",10,0)</f>
        <v/>
      </c>
      <c r="AJ146" s="25" t="inlineStr">
        <is>
          <t>Higher One Time, Lower Annuity</t>
        </is>
      </c>
      <c r="AK146" s="25">
        <f>IF(AJ146="Fully Annuity",10,IF(AJ146="Higher Annuity, Lower One Time",5,IF(AJ146="Higher One Time, Lower Annuity",3,0)))</f>
        <v/>
      </c>
      <c r="AL146" s="25" t="inlineStr">
        <is>
          <t>Good</t>
        </is>
      </c>
      <c r="AM146" s="25">
        <f>IF(AL146="Good",10,0)</f>
        <v/>
      </c>
      <c r="AN146" s="25" t="inlineStr">
        <is>
          <t>Yes for more than 2 years</t>
        </is>
      </c>
      <c r="AO146" s="25">
        <f>IF(AN146="Yes for more than 2 years",10,IF(AN146="Yes only for next 1 to 2 years",5,0))</f>
        <v/>
      </c>
      <c r="AP146" s="25" t="inlineStr">
        <is>
          <t>20 to 40</t>
        </is>
      </c>
      <c r="AQ146" s="25">
        <f>IF(AP146="Above 40",20,IF(AP146="20 to 40",10,IF(AP146="0 to 20",-5,0)))</f>
        <v/>
      </c>
      <c r="AR146" s="25" t="inlineStr">
        <is>
          <t>Between 50 to 75</t>
        </is>
      </c>
      <c r="AS146" s="25">
        <f>IF(AR146="Between 50 to 75",10,IF(AR146="Above 75",0,0))</f>
        <v/>
      </c>
      <c r="AT146" s="25" t="inlineStr">
        <is>
          <t>Stage 2</t>
        </is>
      </c>
      <c r="AU146" s="25">
        <f>IF(AT146="Stage 2",20,IF(AT146="Stage 1",0,IF(AT146="Stage 3",5,IF(AT146="Stage 4",-5,0))))</f>
        <v/>
      </c>
      <c r="AV146" s="25" t="inlineStr">
        <is>
          <t>Positive Trend</t>
        </is>
      </c>
      <c r="AW146" s="25">
        <f>IF(AV146="Positive Trend",20,IF(AV146="Negative Trend",-10,0))</f>
        <v/>
      </c>
      <c r="AX146" s="25" t="inlineStr">
        <is>
          <t>Uptrend</t>
        </is>
      </c>
      <c r="AY146" s="25">
        <f>IF(AX146="Uptrend",10,IF(AX146="Sideways",5,0))</f>
        <v/>
      </c>
      <c r="AZ146" s="25" t="inlineStr">
        <is>
          <t>Uptrend</t>
        </is>
      </c>
      <c r="BA146" s="25">
        <f>IF(AZ146="Uptrend",10,IF(AZ146="Sideways",5,0))</f>
        <v/>
      </c>
      <c r="BB146" s="25" t="inlineStr">
        <is>
          <t>Blue sky scenario</t>
        </is>
      </c>
      <c r="BC146" s="25">
        <f>IF(BB146="Overhead supply in last 2 years in last 2 years",-5,IF(BB146="Close to 52 week high or retracement",5,IF(BB146="Blue sky scenario",10,IF(BB146="Long term Downtrend",-10,0))))</f>
        <v/>
      </c>
      <c r="BD146" s="25" t="inlineStr">
        <is>
          <t>Yes</t>
        </is>
      </c>
      <c r="BE146" s="25">
        <f>IF(BD146="Yes",10,0)</f>
        <v/>
      </c>
      <c r="BF146" s="25" t="inlineStr">
        <is>
          <t>More than 20%</t>
        </is>
      </c>
      <c r="BG146" s="25">
        <f>IF(BF146="More than 20%",10,IF(BF146="Between 12 to 20%",5,IF(BF146="Less than 12%",0,0)))</f>
        <v/>
      </c>
      <c r="BH146" s="25" t="inlineStr">
        <is>
          <t>No</t>
        </is>
      </c>
      <c r="BI146" s="25">
        <f>IF(BH146="No",10,0)</f>
        <v/>
      </c>
      <c r="BJ146" s="25" t="inlineStr">
        <is>
          <t>No</t>
        </is>
      </c>
      <c r="BK146" s="25">
        <f>IF(BJ146="NO",5,0)</f>
        <v/>
      </c>
      <c r="BL146" s="25" t="inlineStr">
        <is>
          <t>Less than 1.5</t>
        </is>
      </c>
      <c r="BM146" s="25">
        <f>IF(BL146="Above 2",0,IF(BL146="Between 1.5 to 2",5,IF(BL146="Less than 1.5",10,0)))</f>
        <v/>
      </c>
      <c r="BN146" s="25" t="inlineStr">
        <is>
          <t>Negative</t>
        </is>
      </c>
      <c r="BO146" s="25">
        <f>IF(BN146="Above 70%",10,IF(BN146="Between 50% to 70%",5,IF(BN146="Less than 50%",0,IF(BN146="Negative",-10,IF(BN146="Less than 50% and Borrowings are increasing",-5,0)))))</f>
        <v/>
      </c>
      <c r="BP146" s="25" t="inlineStr">
        <is>
          <t>Between 0.7 to 1.2</t>
        </is>
      </c>
      <c r="BQ146" s="25">
        <f>IF(BP146="More than 1.2",-10,IF(BP146="Between 0.7 to 1.2",0,IF(BP146="Less than 0.7",10,0)))</f>
        <v/>
      </c>
      <c r="BR146" s="25" t="inlineStr">
        <is>
          <t>No</t>
        </is>
      </c>
      <c r="BS146" s="25">
        <f>IF(BR146="Yes",-10,0)</f>
        <v/>
      </c>
      <c r="BT146" s="25" t="inlineStr">
        <is>
          <t>Less than 15%</t>
        </is>
      </c>
      <c r="BU146" s="25">
        <f>IF(BT146="More than 15%",-10,IF(BT146="Less than 15%",10,0))</f>
        <v/>
      </c>
      <c r="BV146" s="25" t="inlineStr">
        <is>
          <t>No</t>
        </is>
      </c>
      <c r="BW146" s="25">
        <f>IF(BV146="Yes, more than 10%",-10,IF(BV146="No",10,0))</f>
        <v/>
      </c>
    </row>
    <row r="147">
      <c r="A147" s="25">
        <f>IF(B147=0,"",RANK(B147,$B$2:$B$292,0))</f>
        <v/>
      </c>
      <c r="B147" s="26">
        <f>SUM(Q147,S147,U147,W147,Y147,AA147,AC147,AE147,AG147,AI147,AK147,AM147,AO147,AQ147,AS147,AU147,AW147,AY147,BA147,BC147,BE147,BG147,BI147,BK147,BM147,BO147,BQ147,BS147,BU147,BW147)</f>
        <v/>
      </c>
      <c r="C147" s="25" t="inlineStr">
        <is>
          <t>CYIENTDLM</t>
        </is>
      </c>
      <c r="D147" s="25" t="inlineStr">
        <is>
          <t>Cyient DLM Ltd</t>
        </is>
      </c>
      <c r="E147" s="25" t="inlineStr">
        <is>
          <t>consumer discretionary</t>
        </is>
      </c>
      <c r="F147" s="25" t="inlineStr">
        <is>
          <t>electronics - components</t>
        </is>
      </c>
      <c r="G147" s="25" t="inlineStr">
        <is>
          <t>smallcap</t>
        </is>
      </c>
      <c r="H147" s="26" t="n">
        <v>3436.48</v>
      </c>
      <c r="I147" s="26" t="n">
        <v>463.9</v>
      </c>
      <c r="J147" s="26" t="n">
        <v>7.14</v>
      </c>
      <c r="K147" s="26" t="n">
        <v>727905</v>
      </c>
      <c r="L147" s="26" t="n">
        <v>65.88</v>
      </c>
      <c r="M147" s="26" t="n">
        <v>28.7</v>
      </c>
      <c r="N147" s="26" t="n">
        <v>353.17</v>
      </c>
      <c r="O147" s="25" t="inlineStr">
        <is>
          <t>Near 52W High Breakout</t>
        </is>
      </c>
      <c r="P147" s="25" t="inlineStr">
        <is>
          <t>Growing Industry</t>
        </is>
      </c>
      <c r="Q147" s="25">
        <f>IF(P147="Growing Industry",10,IF(P147="Cyclical in an Upturn",5,0))</f>
        <v/>
      </c>
      <c r="R147" s="25" t="inlineStr">
        <is>
          <t>Too Many Players with High ROCE</t>
        </is>
      </c>
      <c r="S147" s="25">
        <f>IF(R147="Monopoly",10,IF(R147="Oligopoly",5,IF(R147="Duopoly that cooperate",10,IF(R147="Duopoly that compete",5,IF(R147="Too many players with High ROCE",5,0)))))</f>
        <v/>
      </c>
      <c r="T147" s="25" t="inlineStr">
        <is>
          <t>No</t>
        </is>
      </c>
      <c r="U147" s="25">
        <f>IF(T147="No",5,0)</f>
        <v/>
      </c>
      <c r="V147" s="25" t="inlineStr">
        <is>
          <t>Tailwind</t>
        </is>
      </c>
      <c r="W147" s="25">
        <f>IF(V147="Tailwind",10,0)</f>
        <v/>
      </c>
      <c r="X147" s="25" t="inlineStr">
        <is>
          <t>Structural (10 Years Consistency)</t>
        </is>
      </c>
      <c r="Y147" s="25">
        <f>IF(X147="Structural (10 Years Consistency)",10,IF(X147="Shallow Cyclical (2 to 3 years growth)",5,0))</f>
        <v/>
      </c>
      <c r="Z147" s="25" t="inlineStr">
        <is>
          <t>No</t>
        </is>
      </c>
      <c r="AA147" s="25">
        <f>IF(Z147="Yes due to Product Mix change or Operating Leverage",10,IF(Z147="Yes, these are peak margins",-5,IF(Z147="No",5,0)))</f>
        <v/>
      </c>
      <c r="AB147" s="25" t="inlineStr">
        <is>
          <t>Stable</t>
        </is>
      </c>
      <c r="AC147" s="25">
        <f>IF(AB147="Stable",10,0)</f>
        <v/>
      </c>
      <c r="AD147" s="25" t="inlineStr">
        <is>
          <t>Yes</t>
        </is>
      </c>
      <c r="AE147" s="25">
        <f>IF(AD147="Yes",10,0)</f>
        <v/>
      </c>
      <c r="AF147" s="25" t="inlineStr">
        <is>
          <t>B2B</t>
        </is>
      </c>
      <c r="AG147" s="25">
        <f>IF(AF147="B2C",10,IF(AF147="B2B",5,0))</f>
        <v/>
      </c>
      <c r="AH147" s="25" t="inlineStr">
        <is>
          <t>Yes</t>
        </is>
      </c>
      <c r="AI147" s="25">
        <f>IF(AH147="Yes",10,0)</f>
        <v/>
      </c>
      <c r="AJ147" s="25" t="inlineStr">
        <is>
          <t>Higher One Time, Lower Annuity</t>
        </is>
      </c>
      <c r="AK147" s="25">
        <f>IF(AJ147="Fully Annuity",10,IF(AJ147="Higher Annuity, Lower One Time",5,IF(AJ147="Higher One Time, Lower Annuity",3,0)))</f>
        <v/>
      </c>
      <c r="AL147" s="25" t="inlineStr">
        <is>
          <t>Good</t>
        </is>
      </c>
      <c r="AM147" s="25">
        <f>IF(AL147="Good",10,0)</f>
        <v/>
      </c>
      <c r="AN147" s="25" t="inlineStr">
        <is>
          <t>Yes for more than 2 years</t>
        </is>
      </c>
      <c r="AO147" s="25">
        <f>IF(AN147="Yes for more than 2 years",10,IF(AN147="Yes only for next 1 to 2 years",5,0))</f>
        <v/>
      </c>
      <c r="AP147" s="25" t="inlineStr">
        <is>
          <t>20 to 40</t>
        </is>
      </c>
      <c r="AQ147" s="25">
        <f>IF(AP147="Above 40",20,IF(AP147="20 to 40",10,IF(AP147="0 to 20",-5,0)))</f>
        <v/>
      </c>
      <c r="AR147" s="25" t="inlineStr">
        <is>
          <t>Between 50 to 75</t>
        </is>
      </c>
      <c r="AS147" s="25">
        <f>IF(AR147="Between 50 to 75",10,IF(AR147="Above 75",0,0))</f>
        <v/>
      </c>
      <c r="AT147" s="25" t="inlineStr">
        <is>
          <t>Stage 2</t>
        </is>
      </c>
      <c r="AU147" s="25">
        <f>IF(AT147="Stage 2",20,IF(AT147="Stage 1",0,IF(AT147="Stage 3",5,IF(AT147="Stage 4",-5,0))))</f>
        <v/>
      </c>
      <c r="AV147" s="25" t="inlineStr">
        <is>
          <t>Positive Trend</t>
        </is>
      </c>
      <c r="AW147" s="25">
        <f>IF(AV147="Positive Trend",20,IF(AV147="Negative Trend",-10,0))</f>
        <v/>
      </c>
      <c r="AX147" s="25" t="inlineStr">
        <is>
          <t>Uptrend</t>
        </is>
      </c>
      <c r="AY147" s="25">
        <f>IF(AX147="Uptrend",10,IF(AX147="Sideways",5,0))</f>
        <v/>
      </c>
      <c r="AZ147" s="25" t="inlineStr">
        <is>
          <t>Uptrend</t>
        </is>
      </c>
      <c r="BA147" s="25">
        <f>IF(AZ147="Uptrend",10,IF(AZ147="Sideways",5,0))</f>
        <v/>
      </c>
      <c r="BB147" s="25" t="inlineStr">
        <is>
          <t>Close to 52 week high or retracement</t>
        </is>
      </c>
      <c r="BC147" s="25">
        <f>IF(BB147="Overhead supply in last 2 years in last 2 years",-5,IF(BB147="Close to 52 week high or retracement",5,IF(BB147="Blue sky scenario",10,IF(BB147="Long term Downtrend",-10,0))))</f>
        <v/>
      </c>
      <c r="BD147" s="25" t="inlineStr">
        <is>
          <t>Yes</t>
        </is>
      </c>
      <c r="BE147" s="25">
        <f>IF(BD147="Yes",10,0)</f>
        <v/>
      </c>
      <c r="BF147" s="25" t="inlineStr">
        <is>
          <t>Less than 12%</t>
        </is>
      </c>
      <c r="BG147" s="25">
        <f>IF(BF147="More than 20%",10,IF(BF147="Between 12 to 20%",5,IF(BF147="Less than 12%",0,0)))</f>
        <v/>
      </c>
      <c r="BH147" s="25" t="inlineStr">
        <is>
          <t>No</t>
        </is>
      </c>
      <c r="BI147" s="25">
        <f>IF(BH147="No",10,0)</f>
        <v/>
      </c>
      <c r="BJ147" s="25" t="inlineStr">
        <is>
          <t>Yes</t>
        </is>
      </c>
      <c r="BK147" s="25">
        <f>IF(BJ147="NO",5,0)</f>
        <v/>
      </c>
      <c r="BL147" s="25" t="inlineStr">
        <is>
          <t>Less than 1.5</t>
        </is>
      </c>
      <c r="BM147" s="25">
        <f>IF(BL147="Above 2",0,IF(BL147="Between 1.5 to 2",5,IF(BL147="Less than 1.5",10,0)))</f>
        <v/>
      </c>
      <c r="BN147" s="25" t="inlineStr">
        <is>
          <t>Less than 50%</t>
        </is>
      </c>
      <c r="BO147" s="25">
        <f>IF(BN147="Above 70%",10,IF(BN147="Between 50% to 70%",5,IF(BN147="Less than 50%",0,IF(BN147="Negative",-10,IF(BN147="Less than 50% and Borrowings are increasing",-5,0)))))</f>
        <v/>
      </c>
      <c r="BP147" s="25" t="inlineStr">
        <is>
          <t>Less than 0.7</t>
        </is>
      </c>
      <c r="BQ147" s="25">
        <f>IF(BP147="More than 1.2",-10,IF(BP147="Between 0.7 to 1.2",0,IF(BP147="Less than 0.7",10,0)))</f>
        <v/>
      </c>
      <c r="BR147" s="25" t="inlineStr">
        <is>
          <t>No</t>
        </is>
      </c>
      <c r="BS147" s="25">
        <f>IF(BR147="Yes",-10,0)</f>
        <v/>
      </c>
      <c r="BT147" s="25" t="inlineStr">
        <is>
          <t>Less than 15%</t>
        </is>
      </c>
      <c r="BU147" s="25">
        <f>IF(BT147="More than 15%",-10,IF(BT147="Less than 15%",10,0))</f>
        <v/>
      </c>
      <c r="BV147" s="25" t="inlineStr">
        <is>
          <t>No</t>
        </is>
      </c>
      <c r="BW147" s="25">
        <f>IF(BV147="Yes, more than 10%",-10,IF(BV147="No",10,0))</f>
        <v/>
      </c>
    </row>
    <row r="148">
      <c r="A148" s="25">
        <f>IF(B148=0,"",RANK(B148,$B$2:$B$292,0))</f>
        <v/>
      </c>
      <c r="B148" s="26">
        <f>SUM(Q148,S148,U148,W148,Y148,AA148,AC148,AE148,AG148,AI148,AK148,AM148,AO148,AQ148,AS148,AU148,AW148,AY148,BA148,BC148,BE148,BG148,BI148,BK148,BM148,BO148,BQ148,BS148,BU148,BW148)</f>
        <v/>
      </c>
      <c r="C148" s="25" t="inlineStr">
        <is>
          <t>DIACABS</t>
        </is>
      </c>
      <c r="D148" s="25" t="inlineStr">
        <is>
          <t>Diamond Power Infrastructure Ltd</t>
        </is>
      </c>
      <c r="E148" s="25" t="inlineStr">
        <is>
          <t>industrials</t>
        </is>
      </c>
      <c r="F148" s="25" t="inlineStr">
        <is>
          <t>cables - power</t>
        </is>
      </c>
      <c r="G148" s="25" t="inlineStr">
        <is>
          <t>midcap</t>
        </is>
      </c>
      <c r="H148" s="26" t="n">
        <v>9643.040000000001</v>
      </c>
      <c r="I148" s="26" t="n">
        <v>194.65</v>
      </c>
      <c r="J148" s="26" t="n">
        <v>6.37</v>
      </c>
      <c r="K148" s="26" t="n">
        <v>5733720</v>
      </c>
      <c r="L148" s="26" t="n">
        <v>74.19</v>
      </c>
      <c r="M148" s="26" t="n">
        <v>29.5</v>
      </c>
      <c r="N148" s="26" t="n">
        <v>146.93</v>
      </c>
      <c r="O148" s="25" t="inlineStr">
        <is>
          <t>Near 52W High Breakout</t>
        </is>
      </c>
      <c r="P148" s="25" t="inlineStr">
        <is>
          <t>Cyclical in an Upturn</t>
        </is>
      </c>
      <c r="Q148" s="25">
        <f>IF(P148="Growing Industry",10,IF(P148="Cyclical in an Upturn",5,0))</f>
        <v/>
      </c>
      <c r="R148" s="25" t="inlineStr">
        <is>
          <t>Too Many Players with High ROCE</t>
        </is>
      </c>
      <c r="S148" s="25">
        <f>IF(R148="Monopoly",10,IF(R148="Oligopoly",5,IF(R148="Duopoly that cooperate",10,IF(R148="Duopoly that compete",5,IF(R148="Too many players with High ROCE",5,0)))))</f>
        <v/>
      </c>
      <c r="T148" s="25" t="inlineStr">
        <is>
          <t>No</t>
        </is>
      </c>
      <c r="U148" s="25">
        <f>IF(T148="No",5,0)</f>
        <v/>
      </c>
      <c r="V148" s="25" t="inlineStr">
        <is>
          <t>Tailwind</t>
        </is>
      </c>
      <c r="W148" s="25">
        <f>IF(V148="Tailwind",10,0)</f>
        <v/>
      </c>
      <c r="X148" s="25" t="inlineStr">
        <is>
          <t>Structural (10 Years Consistency)</t>
        </is>
      </c>
      <c r="Y148" s="25">
        <f>IF(X148="Structural (10 Years Consistency)",10,IF(X148="Shallow Cyclical (2 to 3 years growth)",5,0))</f>
        <v/>
      </c>
      <c r="Z148" s="25" t="inlineStr">
        <is>
          <t>No</t>
        </is>
      </c>
      <c r="AA148" s="25">
        <f>IF(Z148="Yes due to Product Mix change or Operating Leverage",10,IF(Z148="Yes, these are peak margins",-5,IF(Z148="No",5,0)))</f>
        <v/>
      </c>
      <c r="AB148" s="25" t="inlineStr">
        <is>
          <t>Stable</t>
        </is>
      </c>
      <c r="AC148" s="25">
        <f>IF(AB148="Stable",10,0)</f>
        <v/>
      </c>
      <c r="AD148" s="25" t="inlineStr">
        <is>
          <t>Yes</t>
        </is>
      </c>
      <c r="AE148" s="25">
        <f>IF(AD148="Yes",10,0)</f>
        <v/>
      </c>
      <c r="AF148" s="25" t="inlineStr">
        <is>
          <t>B2B</t>
        </is>
      </c>
      <c r="AG148" s="25">
        <f>IF(AF148="B2C",10,IF(AF148="B2B",5,0))</f>
        <v/>
      </c>
      <c r="AH148" s="25" t="inlineStr">
        <is>
          <t>Yes</t>
        </is>
      </c>
      <c r="AI148" s="25">
        <f>IF(AH148="Yes",10,0)</f>
        <v/>
      </c>
      <c r="AJ148" s="25" t="inlineStr">
        <is>
          <t>Higher One Time, Lower Annuity</t>
        </is>
      </c>
      <c r="AK148" s="25">
        <f>IF(AJ148="Fully Annuity",10,IF(AJ148="Higher Annuity, Lower One Time",5,IF(AJ148="Higher One Time, Lower Annuity",3,0)))</f>
        <v/>
      </c>
      <c r="AL148" s="25" t="inlineStr">
        <is>
          <t>Good</t>
        </is>
      </c>
      <c r="AM148" s="25">
        <f>IF(AL148="Good",10,0)</f>
        <v/>
      </c>
      <c r="AN148" s="25" t="inlineStr">
        <is>
          <t>Yes for more than 2 years</t>
        </is>
      </c>
      <c r="AO148" s="25">
        <f>IF(AN148="Yes for more than 2 years",10,IF(AN148="Yes only for next 1 to 2 years",5,0))</f>
        <v/>
      </c>
      <c r="AP148" s="25" t="inlineStr">
        <is>
          <t>20 to 40</t>
        </is>
      </c>
      <c r="AQ148" s="25">
        <f>IF(AP148="Above 40",20,IF(AP148="20 to 40",10,IF(AP148="0 to 20",-5,0)))</f>
        <v/>
      </c>
      <c r="AR148" s="25" t="inlineStr">
        <is>
          <t>Between 50 to 75</t>
        </is>
      </c>
      <c r="AS148" s="25">
        <f>IF(AR148="Between 50 to 75",10,IF(AR148="Above 75",0,0))</f>
        <v/>
      </c>
      <c r="AT148" s="25" t="inlineStr">
        <is>
          <t>Stage 2</t>
        </is>
      </c>
      <c r="AU148" s="25">
        <f>IF(AT148="Stage 2",20,IF(AT148="Stage 1",0,IF(AT148="Stage 3",5,IF(AT148="Stage 4",-5,0))))</f>
        <v/>
      </c>
      <c r="AV148" s="25" t="inlineStr">
        <is>
          <t>Positive Trend</t>
        </is>
      </c>
      <c r="AW148" s="25">
        <f>IF(AV148="Positive Trend",20,IF(AV148="Negative Trend",-10,0))</f>
        <v/>
      </c>
      <c r="AX148" s="25" t="inlineStr">
        <is>
          <t>Uptrend</t>
        </is>
      </c>
      <c r="AY148" s="25">
        <f>IF(AX148="Uptrend",10,IF(AX148="Sideways",5,0))</f>
        <v/>
      </c>
      <c r="AZ148" s="25" t="inlineStr">
        <is>
          <t>Uptrend</t>
        </is>
      </c>
      <c r="BA148" s="25">
        <f>IF(AZ148="Uptrend",10,IF(AZ148="Sideways",5,0))</f>
        <v/>
      </c>
      <c r="BB148" s="25" t="inlineStr">
        <is>
          <t>Blue sky scenario</t>
        </is>
      </c>
      <c r="BC148" s="25">
        <f>IF(BB148="Overhead supply in last 2 years in last 2 years",-5,IF(BB148="Close to 52 week high or retracement",5,IF(BB148="Blue sky scenario",10,IF(BB148="Long term Downtrend",-10,0))))</f>
        <v/>
      </c>
      <c r="BD148" s="25" t="inlineStr">
        <is>
          <t>Yes</t>
        </is>
      </c>
      <c r="BE148" s="25">
        <f>IF(BD148="Yes",10,0)</f>
        <v/>
      </c>
      <c r="BF148" s="25" t="inlineStr">
        <is>
          <t>More than 20%</t>
        </is>
      </c>
      <c r="BG148" s="25">
        <f>IF(BF148="More than 20%",10,IF(BF148="Between 12 to 20%",5,IF(BF148="Less than 12%",0,0)))</f>
        <v/>
      </c>
      <c r="BH148" s="25" t="inlineStr">
        <is>
          <t>No</t>
        </is>
      </c>
      <c r="BI148" s="25">
        <f>IF(BH148="No",10,0)</f>
        <v/>
      </c>
      <c r="BJ148" s="25" t="inlineStr">
        <is>
          <t>Yes</t>
        </is>
      </c>
      <c r="BK148" s="25">
        <f>IF(BJ148="NO",5,0)</f>
        <v/>
      </c>
      <c r="BL148" s="25" t="inlineStr">
        <is>
          <t>Less than 1.5</t>
        </is>
      </c>
      <c r="BM148" s="25">
        <f>IF(BL148="Above 2",0,IF(BL148="Between 1.5 to 2",5,IF(BL148="Less than 1.5",10,0)))</f>
        <v/>
      </c>
      <c r="BN148" s="25" t="inlineStr">
        <is>
          <t>Negative</t>
        </is>
      </c>
      <c r="BO148" s="25">
        <f>IF(BN148="Above 70%",10,IF(BN148="Between 50% to 70%",5,IF(BN148="Less than 50%",0,IF(BN148="Negative",-10,IF(BN148="Less than 50% and Borrowings are increasing",-5,0)))))</f>
        <v/>
      </c>
      <c r="BP148" s="25" t="inlineStr">
        <is>
          <t>Less than 0.7</t>
        </is>
      </c>
      <c r="BQ148" s="25">
        <f>IF(BP148="More than 1.2",-10,IF(BP148="Between 0.7 to 1.2",0,IF(BP148="Less than 0.7",10,0)))</f>
        <v/>
      </c>
      <c r="BR148" s="25" t="inlineStr">
        <is>
          <t>No</t>
        </is>
      </c>
      <c r="BS148" s="25">
        <f>IF(BR148="Yes",-10,0)</f>
        <v/>
      </c>
      <c r="BT148" s="25" t="inlineStr">
        <is>
          <t>Less than 15%</t>
        </is>
      </c>
      <c r="BU148" s="25">
        <f>IF(BT148="More than 15%",-10,IF(BT148="Less than 15%",10,0))</f>
        <v/>
      </c>
      <c r="BV148" s="25" t="inlineStr">
        <is>
          <t>No</t>
        </is>
      </c>
      <c r="BW148" s="25">
        <f>IF(BV148="Yes, more than 10%",-10,IF(BV148="No",10,0))</f>
        <v/>
      </c>
    </row>
    <row r="149">
      <c r="A149" s="25">
        <f>IF(B149=0,"",RANK(B149,$B$2:$B$292,0))</f>
        <v/>
      </c>
      <c r="B149" s="26">
        <f>SUM(Q149,S149,U149,W149,Y149,AA149,AC149,AE149,AG149,AI149,AK149,AM149,AO149,AQ149,AS149,AU149,AW149,AY149,BA149,BC149,BE149,BG149,BI149,BK149,BM149,BO149,BQ149,BS149,BU149,BW149)</f>
        <v/>
      </c>
      <c r="C149" s="25" t="inlineStr">
        <is>
          <t>HFCL</t>
        </is>
      </c>
      <c r="D149" s="25" t="inlineStr">
        <is>
          <t>HFCL Ltd</t>
        </is>
      </c>
      <c r="E149" s="25" t="inlineStr">
        <is>
          <t>telecom</t>
        </is>
      </c>
      <c r="F149" s="25" t="inlineStr">
        <is>
          <t>cables - telephone</t>
        </is>
      </c>
      <c r="G149" s="25" t="inlineStr">
        <is>
          <t>largecap</t>
        </is>
      </c>
      <c r="H149" s="26" t="n">
        <v>27899.82</v>
      </c>
      <c r="I149" s="26" t="n">
        <v>189.94</v>
      </c>
      <c r="J149" s="26" t="n">
        <v>4.2</v>
      </c>
      <c r="K149" s="26" t="n">
        <v>64857457</v>
      </c>
      <c r="L149" s="26" t="n">
        <v>91.89</v>
      </c>
      <c r="M149" s="26" t="n">
        <v>43.85</v>
      </c>
      <c r="N149" s="26" t="n">
        <v>149.9</v>
      </c>
      <c r="O149" s="25" t="inlineStr">
        <is>
          <t>Near 52W High Breakout</t>
        </is>
      </c>
      <c r="P149" s="25" t="inlineStr">
        <is>
          <t>Growing Industry</t>
        </is>
      </c>
      <c r="Q149" s="25">
        <f>IF(P149="Growing Industry",10,IF(P149="Cyclical in an Upturn",5,0))</f>
        <v/>
      </c>
      <c r="R149" s="25" t="inlineStr">
        <is>
          <t>Oligopoly</t>
        </is>
      </c>
      <c r="S149" s="25">
        <f>IF(R149="Monopoly",10,IF(R149="Oligopoly",5,IF(R149="Duopoly that cooperate",10,IF(R149="Duopoly that compete",5,IF(R149="Too many players with High ROCE",5,0)))))</f>
        <v/>
      </c>
      <c r="T149" s="25" t="inlineStr">
        <is>
          <t>Yes</t>
        </is>
      </c>
      <c r="U149" s="25">
        <f>IF(T149="No",5,0)</f>
        <v/>
      </c>
      <c r="V149" s="25" t="inlineStr">
        <is>
          <t>Tailwind</t>
        </is>
      </c>
      <c r="W149" s="25">
        <f>IF(V149="Tailwind",10,0)</f>
        <v/>
      </c>
      <c r="X149" s="25" t="inlineStr">
        <is>
          <t>Structural (10 Years Consistency)</t>
        </is>
      </c>
      <c r="Y149" s="25">
        <f>IF(X149="Structural (10 Years Consistency)",10,IF(X149="Shallow Cyclical (2 to 3 years growth)",5,0))</f>
        <v/>
      </c>
      <c r="Z149" s="25" t="inlineStr">
        <is>
          <t>No</t>
        </is>
      </c>
      <c r="AA149" s="25">
        <f>IF(Z149="Yes due to Product Mix change or Operating Leverage",10,IF(Z149="Yes, these are peak margins",-5,IF(Z149="No",5,0)))</f>
        <v/>
      </c>
      <c r="AB149" s="25" t="inlineStr">
        <is>
          <t>Stable</t>
        </is>
      </c>
      <c r="AC149" s="25">
        <f>IF(AB149="Stable",10,0)</f>
        <v/>
      </c>
      <c r="AD149" s="25" t="inlineStr">
        <is>
          <t>Yes</t>
        </is>
      </c>
      <c r="AE149" s="25">
        <f>IF(AD149="Yes",10,0)</f>
        <v/>
      </c>
      <c r="AF149" s="25" t="inlineStr">
        <is>
          <t>B2B</t>
        </is>
      </c>
      <c r="AG149" s="25">
        <f>IF(AF149="B2C",10,IF(AF149="B2B",5,0))</f>
        <v/>
      </c>
      <c r="AH149" s="25" t="inlineStr">
        <is>
          <t>Yes</t>
        </is>
      </c>
      <c r="AI149" s="25">
        <f>IF(AH149="Yes",10,0)</f>
        <v/>
      </c>
      <c r="AJ149" s="25" t="inlineStr">
        <is>
          <t>Higher One Time, Lower Annuity</t>
        </is>
      </c>
      <c r="AK149" s="25">
        <f>IF(AJ149="Fully Annuity",10,IF(AJ149="Higher Annuity, Lower One Time",5,IF(AJ149="Higher One Time, Lower Annuity",3,0)))</f>
        <v/>
      </c>
      <c r="AL149" s="25" t="inlineStr">
        <is>
          <t>Good</t>
        </is>
      </c>
      <c r="AM149" s="25">
        <f>IF(AL149="Good",10,0)</f>
        <v/>
      </c>
      <c r="AN149" s="25" t="inlineStr">
        <is>
          <t>Yes for more than 2 years</t>
        </is>
      </c>
      <c r="AO149" s="25">
        <f>IF(AN149="Yes for more than 2 years",10,IF(AN149="Yes only for next 1 to 2 years",5,0))</f>
        <v/>
      </c>
      <c r="AP149" s="25" t="inlineStr">
        <is>
          <t>Above 40</t>
        </is>
      </c>
      <c r="AQ149" s="25">
        <f>IF(AP149="Above 40",20,IF(AP149="20 to 40",10,IF(AP149="0 to 20",-5,0)))</f>
        <v/>
      </c>
      <c r="AR149" s="25" t="inlineStr">
        <is>
          <t>Above 75</t>
        </is>
      </c>
      <c r="AS149" s="25">
        <f>IF(AR149="Between 50 to 75",10,IF(AR149="Above 75",0,0))</f>
        <v/>
      </c>
      <c r="AT149" s="25" t="inlineStr">
        <is>
          <t>Stage 2</t>
        </is>
      </c>
      <c r="AU149" s="25">
        <f>IF(AT149="Stage 2",20,IF(AT149="Stage 1",0,IF(AT149="Stage 3",5,IF(AT149="Stage 4",-5,0))))</f>
        <v/>
      </c>
      <c r="AV149" s="25" t="inlineStr">
        <is>
          <t>Positive Trend</t>
        </is>
      </c>
      <c r="AW149" s="25">
        <f>IF(AV149="Positive Trend",20,IF(AV149="Negative Trend",-10,0))</f>
        <v/>
      </c>
      <c r="AX149" s="25" t="inlineStr">
        <is>
          <t>Uptrend</t>
        </is>
      </c>
      <c r="AY149" s="25">
        <f>IF(AX149="Uptrend",10,IF(AX149="Sideways",5,0))</f>
        <v/>
      </c>
      <c r="AZ149" s="25" t="inlineStr">
        <is>
          <t>Uptrend</t>
        </is>
      </c>
      <c r="BA149" s="25">
        <f>IF(AZ149="Uptrend",10,IF(AZ149="Sideways",5,0))</f>
        <v/>
      </c>
      <c r="BB149" s="25" t="inlineStr">
        <is>
          <t>Blue sky scenario</t>
        </is>
      </c>
      <c r="BC149" s="25">
        <f>IF(BB149="Overhead supply in last 2 years in last 2 years",-5,IF(BB149="Close to 52 week high or retracement",5,IF(BB149="Blue sky scenario",10,IF(BB149="Long term Downtrend",-10,0))))</f>
        <v/>
      </c>
      <c r="BD149" s="25" t="inlineStr">
        <is>
          <t>Yes</t>
        </is>
      </c>
      <c r="BE149" s="25">
        <f>IF(BD149="Yes",10,0)</f>
        <v/>
      </c>
      <c r="BF149" s="25" t="inlineStr">
        <is>
          <t>More than 20%</t>
        </is>
      </c>
      <c r="BG149" s="25">
        <f>IF(BF149="More than 20%",10,IF(BF149="Between 12 to 20%",5,IF(BF149="Less than 12%",0,0)))</f>
        <v/>
      </c>
      <c r="BH149" s="25" t="inlineStr">
        <is>
          <t>No</t>
        </is>
      </c>
      <c r="BI149" s="25">
        <f>IF(BH149="No",10,0)</f>
        <v/>
      </c>
      <c r="BJ149" s="25" t="inlineStr">
        <is>
          <t>Yes</t>
        </is>
      </c>
      <c r="BK149" s="25">
        <f>IF(BJ149="NO",5,0)</f>
        <v/>
      </c>
      <c r="BL149" s="25" t="inlineStr">
        <is>
          <t>Less than 1.5</t>
        </is>
      </c>
      <c r="BM149" s="25">
        <f>IF(BL149="Above 2",0,IF(BL149="Between 1.5 to 2",5,IF(BL149="Less than 1.5",10,0)))</f>
        <v/>
      </c>
      <c r="BN149" s="25" t="inlineStr">
        <is>
          <t>Negative</t>
        </is>
      </c>
      <c r="BO149" s="25">
        <f>IF(BN149="Above 70%",10,IF(BN149="Between 50% to 70%",5,IF(BN149="Less than 50%",0,IF(BN149="Negative",-10,IF(BN149="Less than 50% and Borrowings are increasing",-5,0)))))</f>
        <v/>
      </c>
      <c r="BP149" s="25" t="inlineStr">
        <is>
          <t>Less than 0.7</t>
        </is>
      </c>
      <c r="BQ149" s="25">
        <f>IF(BP149="More than 1.2",-10,IF(BP149="Between 0.7 to 1.2",0,IF(BP149="Less than 0.7",10,0)))</f>
        <v/>
      </c>
      <c r="BR149" s="25" t="inlineStr">
        <is>
          <t>No</t>
        </is>
      </c>
      <c r="BS149" s="25">
        <f>IF(BR149="Yes",-10,0)</f>
        <v/>
      </c>
      <c r="BT149" s="25" t="inlineStr">
        <is>
          <t>Less than 15%</t>
        </is>
      </c>
      <c r="BU149" s="25">
        <f>IF(BT149="More than 15%",-10,IF(BT149="Less than 15%",10,0))</f>
        <v/>
      </c>
      <c r="BV149" s="25" t="inlineStr">
        <is>
          <t>No</t>
        </is>
      </c>
      <c r="BW149" s="25">
        <f>IF(BV149="Yes, more than 10%",-10,IF(BV149="No",10,0))</f>
        <v/>
      </c>
    </row>
    <row r="150">
      <c r="A150" s="25">
        <f>IF(B150=0,"",RANK(B150,$B$2:$B$292,0))</f>
        <v/>
      </c>
      <c r="B150" s="26">
        <f>SUM(Q150,S150,U150,W150,Y150,AA150,AC150,AE150,AG150,AI150,AK150,AM150,AO150,AQ150,AS150,AU150,AW150,AY150,BA150,BC150,BE150,BG150,BI150,BK150,BM150,BO150,BQ150,BS150,BU150,BW150)</f>
        <v/>
      </c>
      <c r="C150" s="25" t="inlineStr">
        <is>
          <t>FCL</t>
        </is>
      </c>
      <c r="D150" s="25" t="inlineStr">
        <is>
          <t>Fineotex Chemical Limited</t>
        </is>
      </c>
      <c r="E150" s="25" t="inlineStr">
        <is>
          <t>chemicals</t>
        </is>
      </c>
      <c r="F150" s="25" t="inlineStr">
        <is>
          <t>chemicals</t>
        </is>
      </c>
      <c r="G150" s="25" t="inlineStr">
        <is>
          <t>smallcap</t>
        </is>
      </c>
      <c r="H150" s="26" t="n">
        <v>4761.64</v>
      </c>
      <c r="I150" s="26" t="n">
        <v>42.36</v>
      </c>
      <c r="J150" s="26" t="n">
        <v>3.6</v>
      </c>
      <c r="K150" s="26" t="n">
        <v>31485151</v>
      </c>
      <c r="L150" s="26" t="n">
        <v>77.95999999999999</v>
      </c>
      <c r="M150" s="26" t="n">
        <v>27.63</v>
      </c>
      <c r="N150" s="26" t="n">
        <v>32.1</v>
      </c>
      <c r="O150" s="25" t="inlineStr">
        <is>
          <t>Near 52W High Breakout</t>
        </is>
      </c>
      <c r="P150" s="25" t="inlineStr">
        <is>
          <t>Growing Industry</t>
        </is>
      </c>
      <c r="Q150" s="25">
        <f>IF(P150="Growing Industry",10,IF(P150="Cyclical in an Upturn",5,0))</f>
        <v/>
      </c>
      <c r="R150" s="25" t="inlineStr">
        <is>
          <t>Too Many Players with High ROCE</t>
        </is>
      </c>
      <c r="S150" s="25">
        <f>IF(R150="Monopoly",10,IF(R150="Oligopoly",5,IF(R150="Duopoly that cooperate",10,IF(R150="Duopoly that compete",5,IF(R150="Too many players with High ROCE",5,0)))))</f>
        <v/>
      </c>
      <c r="T150" s="25" t="inlineStr">
        <is>
          <t>No</t>
        </is>
      </c>
      <c r="U150" s="25">
        <f>IF(T150="No",5,0)</f>
        <v/>
      </c>
      <c r="V150" s="25" t="inlineStr">
        <is>
          <t>Tailwind</t>
        </is>
      </c>
      <c r="W150" s="25">
        <f>IF(V150="Tailwind",10,0)</f>
        <v/>
      </c>
      <c r="X150" s="25" t="inlineStr">
        <is>
          <t>Structural (10 Years Consistency)</t>
        </is>
      </c>
      <c r="Y150" s="25">
        <f>IF(X150="Structural (10 Years Consistency)",10,IF(X150="Shallow Cyclical (2 to 3 years growth)",5,0))</f>
        <v/>
      </c>
      <c r="Z150" s="25" t="inlineStr">
        <is>
          <t>No</t>
        </is>
      </c>
      <c r="AA150" s="25">
        <f>IF(Z150="Yes due to Product Mix change or Operating Leverage",10,IF(Z150="Yes, these are peak margins",-5,IF(Z150="No",5,0)))</f>
        <v/>
      </c>
      <c r="AB150" s="25" t="inlineStr">
        <is>
          <t>Stable</t>
        </is>
      </c>
      <c r="AC150" s="25">
        <f>IF(AB150="Stable",10,0)</f>
        <v/>
      </c>
      <c r="AD150" s="25" t="inlineStr">
        <is>
          <t>Yes</t>
        </is>
      </c>
      <c r="AE150" s="25">
        <f>IF(AD150="Yes",10,0)</f>
        <v/>
      </c>
      <c r="AF150" s="25" t="inlineStr">
        <is>
          <t>B2B</t>
        </is>
      </c>
      <c r="AG150" s="25">
        <f>IF(AF150="B2C",10,IF(AF150="B2B",5,0))</f>
        <v/>
      </c>
      <c r="AH150" s="25" t="inlineStr">
        <is>
          <t>Yes</t>
        </is>
      </c>
      <c r="AI150" s="25">
        <f>IF(AH150="Yes",10,0)</f>
        <v/>
      </c>
      <c r="AJ150" s="25" t="inlineStr">
        <is>
          <t>Higher One Time, Lower Annuity</t>
        </is>
      </c>
      <c r="AK150" s="25">
        <f>IF(AJ150="Fully Annuity",10,IF(AJ150="Higher Annuity, Lower One Time",5,IF(AJ150="Higher One Time, Lower Annuity",3,0)))</f>
        <v/>
      </c>
      <c r="AL150" s="25" t="inlineStr">
        <is>
          <t>Good</t>
        </is>
      </c>
      <c r="AM150" s="25">
        <f>IF(AL150="Good",10,0)</f>
        <v/>
      </c>
      <c r="AN150" s="25" t="inlineStr">
        <is>
          <t>Yes for more than 2 years</t>
        </is>
      </c>
      <c r="AO150" s="25">
        <f>IF(AN150="Yes for more than 2 years",10,IF(AN150="Yes only for next 1 to 2 years",5,0))</f>
        <v/>
      </c>
      <c r="AP150" s="25" t="inlineStr">
        <is>
          <t>20 to 40</t>
        </is>
      </c>
      <c r="AQ150" s="25">
        <f>IF(AP150="Above 40",20,IF(AP150="20 to 40",10,IF(AP150="0 to 20",-5,0)))</f>
        <v/>
      </c>
      <c r="AR150" s="25" t="inlineStr">
        <is>
          <t>Above 75</t>
        </is>
      </c>
      <c r="AS150" s="25">
        <f>IF(AR150="Between 50 to 75",10,IF(AR150="Above 75",0,0))</f>
        <v/>
      </c>
      <c r="AT150" s="25" t="inlineStr">
        <is>
          <t>Stage 2</t>
        </is>
      </c>
      <c r="AU150" s="25">
        <f>IF(AT150="Stage 2",20,IF(AT150="Stage 1",0,IF(AT150="Stage 3",5,IF(AT150="Stage 4",-5,0))))</f>
        <v/>
      </c>
      <c r="AV150" s="25" t="inlineStr">
        <is>
          <t>Positive Trend</t>
        </is>
      </c>
      <c r="AW150" s="25">
        <f>IF(AV150="Positive Trend",20,IF(AV150="Negative Trend",-10,0))</f>
        <v/>
      </c>
      <c r="AX150" s="25" t="inlineStr">
        <is>
          <t>Uptrend</t>
        </is>
      </c>
      <c r="AY150" s="25">
        <f>IF(AX150="Uptrend",10,IF(AX150="Sideways",5,0))</f>
        <v/>
      </c>
      <c r="AZ150" s="25" t="inlineStr">
        <is>
          <t>Uptrend</t>
        </is>
      </c>
      <c r="BA150" s="25">
        <f>IF(AZ150="Uptrend",10,IF(AZ150="Sideways",5,0))</f>
        <v/>
      </c>
      <c r="BB150" s="25" t="inlineStr">
        <is>
          <t>Blue sky scenario</t>
        </is>
      </c>
      <c r="BC150" s="25">
        <f>IF(BB150="Overhead supply in last 2 years in last 2 years",-5,IF(BB150="Close to 52 week high or retracement",5,IF(BB150="Blue sky scenario",10,IF(BB150="Long term Downtrend",-10,0))))</f>
        <v/>
      </c>
      <c r="BD150" s="25" t="inlineStr">
        <is>
          <t>Yes</t>
        </is>
      </c>
      <c r="BE150" s="25">
        <f>IF(BD150="Yes",10,0)</f>
        <v/>
      </c>
      <c r="BF150" s="25" t="inlineStr">
        <is>
          <t>More than 20%</t>
        </is>
      </c>
      <c r="BG150" s="25">
        <f>IF(BF150="More than 20%",10,IF(BF150="Between 12 to 20%",5,IF(BF150="Less than 12%",0,0)))</f>
        <v/>
      </c>
      <c r="BH150" s="25" t="inlineStr">
        <is>
          <t>No</t>
        </is>
      </c>
      <c r="BI150" s="25">
        <f>IF(BH150="No",10,0)</f>
        <v/>
      </c>
      <c r="BJ150" s="25" t="inlineStr">
        <is>
          <t>No</t>
        </is>
      </c>
      <c r="BK150" s="25">
        <f>IF(BJ150="NO",5,0)</f>
        <v/>
      </c>
      <c r="BL150" s="25" t="inlineStr">
        <is>
          <t>Less than 1.5</t>
        </is>
      </c>
      <c r="BM150" s="25">
        <f>IF(BL150="Above 2",0,IF(BL150="Between 1.5 to 2",5,IF(BL150="Less than 1.5",10,0)))</f>
        <v/>
      </c>
      <c r="BN150" s="25" t="inlineStr">
        <is>
          <t>Negative</t>
        </is>
      </c>
      <c r="BO150" s="25">
        <f>IF(BN150="Above 70%",10,IF(BN150="Between 50% to 70%",5,IF(BN150="Less than 50%",0,IF(BN150="Negative",-10,IF(BN150="Less than 50% and Borrowings are increasing",-5,0)))))</f>
        <v/>
      </c>
      <c r="BP150" s="25" t="inlineStr">
        <is>
          <t>Less than 0.7</t>
        </is>
      </c>
      <c r="BQ150" s="25">
        <f>IF(BP150="More than 1.2",-10,IF(BP150="Between 0.7 to 1.2",0,IF(BP150="Less than 0.7",10,0)))</f>
        <v/>
      </c>
      <c r="BR150" s="25" t="inlineStr">
        <is>
          <t>No</t>
        </is>
      </c>
      <c r="BS150" s="25">
        <f>IF(BR150="Yes",-10,0)</f>
        <v/>
      </c>
      <c r="BT150" s="25" t="inlineStr">
        <is>
          <t>Less than 15%</t>
        </is>
      </c>
      <c r="BU150" s="25">
        <f>IF(BT150="More than 15%",-10,IF(BT150="Less than 15%",10,0))</f>
        <v/>
      </c>
      <c r="BV150" s="25" t="inlineStr">
        <is>
          <t>No</t>
        </is>
      </c>
      <c r="BW150" s="25">
        <f>IF(BV150="Yes, more than 10%",-10,IF(BV150="No",10,0))</f>
        <v/>
      </c>
    </row>
    <row r="151">
      <c r="A151" s="25">
        <f>IF(B151=0,"",RANK(B151,$B$2:$B$292,0))</f>
        <v/>
      </c>
      <c r="B151" s="26">
        <f>SUM(Q151,S151,U151,W151,Y151,AA151,AC151,AE151,AG151,AI151,AK151,AM151,AO151,AQ151,AS151,AU151,AW151,AY151,BA151,BC151,BE151,BG151,BI151,BK151,BM151,BO151,BQ151,BS151,BU151,BW151)</f>
        <v/>
      </c>
      <c r="C151" s="25" t="inlineStr">
        <is>
          <t>ELGIEQUIP</t>
        </is>
      </c>
      <c r="D151" s="25" t="inlineStr">
        <is>
          <t>Elgi Equipments Limited</t>
        </is>
      </c>
      <c r="E151" s="25" t="inlineStr">
        <is>
          <t>industrials</t>
        </is>
      </c>
      <c r="F151" s="25" t="inlineStr">
        <is>
          <t>compressors / drilling equipment</t>
        </is>
      </c>
      <c r="G151" s="25" t="inlineStr">
        <is>
          <t>midcap</t>
        </is>
      </c>
      <c r="H151" s="26" t="n">
        <v>18388.65</v>
      </c>
      <c r="I151" s="26" t="n">
        <v>589.35</v>
      </c>
      <c r="J151" s="26" t="n">
        <v>1.57</v>
      </c>
      <c r="K151" s="26" t="n">
        <v>403156</v>
      </c>
      <c r="L151" s="26" t="n">
        <v>64.06</v>
      </c>
      <c r="M151" s="26" t="n">
        <v>15.79</v>
      </c>
      <c r="N151" s="26" t="n">
        <v>464.07</v>
      </c>
      <c r="O151" s="25" t="inlineStr">
        <is>
          <t>Near 52W High Breakout</t>
        </is>
      </c>
      <c r="P151" s="25" t="inlineStr">
        <is>
          <t>Cyclical in an Upturn</t>
        </is>
      </c>
      <c r="Q151" s="25">
        <f>IF(P151="Growing Industry",10,IF(P151="Cyclical in an Upturn",5,0))</f>
        <v/>
      </c>
      <c r="R151" s="25" t="inlineStr">
        <is>
          <t>Too Many Players with High ROCE</t>
        </is>
      </c>
      <c r="S151" s="25">
        <f>IF(R151="Monopoly",10,IF(R151="Oligopoly",5,IF(R151="Duopoly that cooperate",10,IF(R151="Duopoly that compete",5,IF(R151="Too many players with High ROCE",5,0)))))</f>
        <v/>
      </c>
      <c r="T151" s="25" t="inlineStr">
        <is>
          <t>No</t>
        </is>
      </c>
      <c r="U151" s="25">
        <f>IF(T151="No",5,0)</f>
        <v/>
      </c>
      <c r="V151" s="25" t="inlineStr">
        <is>
          <t>Tailwind</t>
        </is>
      </c>
      <c r="W151" s="25">
        <f>IF(V151="Tailwind",10,0)</f>
        <v/>
      </c>
      <c r="X151" s="25" t="inlineStr">
        <is>
          <t>Structural (10 Years Consistency)</t>
        </is>
      </c>
      <c r="Y151" s="25">
        <f>IF(X151="Structural (10 Years Consistency)",10,IF(X151="Shallow Cyclical (2 to 3 years growth)",5,0))</f>
        <v/>
      </c>
      <c r="Z151" s="25" t="inlineStr">
        <is>
          <t>No</t>
        </is>
      </c>
      <c r="AA151" s="25">
        <f>IF(Z151="Yes due to Product Mix change or Operating Leverage",10,IF(Z151="Yes, these are peak margins",-5,IF(Z151="No",5,0)))</f>
        <v/>
      </c>
      <c r="AB151" s="25" t="inlineStr">
        <is>
          <t>Stable</t>
        </is>
      </c>
      <c r="AC151" s="25">
        <f>IF(AB151="Stable",10,0)</f>
        <v/>
      </c>
      <c r="AD151" s="25" t="inlineStr">
        <is>
          <t>Yes</t>
        </is>
      </c>
      <c r="AE151" s="25">
        <f>IF(AD151="Yes",10,0)</f>
        <v/>
      </c>
      <c r="AF151" s="25" t="inlineStr">
        <is>
          <t>B2B</t>
        </is>
      </c>
      <c r="AG151" s="25">
        <f>IF(AF151="B2C",10,IF(AF151="B2B",5,0))</f>
        <v/>
      </c>
      <c r="AH151" s="25" t="inlineStr">
        <is>
          <t>Yes</t>
        </is>
      </c>
      <c r="AI151" s="25">
        <f>IF(AH151="Yes",10,0)</f>
        <v/>
      </c>
      <c r="AJ151" s="25" t="inlineStr">
        <is>
          <t>Higher One Time, Lower Annuity</t>
        </is>
      </c>
      <c r="AK151" s="25">
        <f>IF(AJ151="Fully Annuity",10,IF(AJ151="Higher Annuity, Lower One Time",5,IF(AJ151="Higher One Time, Lower Annuity",3,0)))</f>
        <v/>
      </c>
      <c r="AL151" s="25" t="inlineStr">
        <is>
          <t>Good</t>
        </is>
      </c>
      <c r="AM151" s="25">
        <f>IF(AL151="Good",10,0)</f>
        <v/>
      </c>
      <c r="AN151" s="25" t="inlineStr">
        <is>
          <t>Yes for more than 2 years</t>
        </is>
      </c>
      <c r="AO151" s="25">
        <f>IF(AN151="Yes for more than 2 years",10,IF(AN151="Yes only for next 1 to 2 years",5,0))</f>
        <v/>
      </c>
      <c r="AP151" s="25" t="inlineStr">
        <is>
          <t>0 to 20</t>
        </is>
      </c>
      <c r="AQ151" s="25">
        <f>IF(AP151="Above 40",20,IF(AP151="20 to 40",10,IF(AP151="0 to 20",-5,0)))</f>
        <v/>
      </c>
      <c r="AR151" s="25" t="inlineStr">
        <is>
          <t>Between 50 to 75</t>
        </is>
      </c>
      <c r="AS151" s="25">
        <f>IF(AR151="Between 50 to 75",10,IF(AR151="Above 75",0,0))</f>
        <v/>
      </c>
      <c r="AT151" s="25" t="inlineStr">
        <is>
          <t>Stage 2</t>
        </is>
      </c>
      <c r="AU151" s="25">
        <f>IF(AT151="Stage 2",20,IF(AT151="Stage 1",0,IF(AT151="Stage 3",5,IF(AT151="Stage 4",-5,0))))</f>
        <v/>
      </c>
      <c r="AV151" s="25" t="inlineStr">
        <is>
          <t>Positive Trend</t>
        </is>
      </c>
      <c r="AW151" s="25">
        <f>IF(AV151="Positive Trend",20,IF(AV151="Negative Trend",-10,0))</f>
        <v/>
      </c>
      <c r="AX151" s="25" t="inlineStr">
        <is>
          <t>Uptrend</t>
        </is>
      </c>
      <c r="AY151" s="25">
        <f>IF(AX151="Uptrend",10,IF(AX151="Sideways",5,0))</f>
        <v/>
      </c>
      <c r="AZ151" s="25" t="inlineStr">
        <is>
          <t>Uptrend</t>
        </is>
      </c>
      <c r="BA151" s="25">
        <f>IF(AZ151="Uptrend",10,IF(AZ151="Sideways",5,0))</f>
        <v/>
      </c>
      <c r="BB151" s="25" t="inlineStr">
        <is>
          <t>Close to 52 week high or retracement</t>
        </is>
      </c>
      <c r="BC151" s="25">
        <f>IF(BB151="Overhead supply in last 2 years in last 2 years",-5,IF(BB151="Close to 52 week high or retracement",5,IF(BB151="Blue sky scenario",10,IF(BB151="Long term Downtrend",-10,0))))</f>
        <v/>
      </c>
      <c r="BD151" s="25" t="inlineStr">
        <is>
          <t>Yes</t>
        </is>
      </c>
      <c r="BE151" s="25">
        <f>IF(BD151="Yes",10,0)</f>
        <v/>
      </c>
      <c r="BF151" s="25" t="inlineStr">
        <is>
          <t>More than 20%</t>
        </is>
      </c>
      <c r="BG151" s="25">
        <f>IF(BF151="More than 20%",10,IF(BF151="Between 12 to 20%",5,IF(BF151="Less than 12%",0,0)))</f>
        <v/>
      </c>
      <c r="BH151" s="25" t="inlineStr">
        <is>
          <t>No</t>
        </is>
      </c>
      <c r="BI151" s="25">
        <f>IF(BH151="No",10,0)</f>
        <v/>
      </c>
      <c r="BJ151" s="25" t="inlineStr">
        <is>
          <t>Yes</t>
        </is>
      </c>
      <c r="BK151" s="25">
        <f>IF(BJ151="NO",5,0)</f>
        <v/>
      </c>
      <c r="BL151" s="25" t="inlineStr">
        <is>
          <t>Less than 1.5</t>
        </is>
      </c>
      <c r="BM151" s="25">
        <f>IF(BL151="Above 2",0,IF(BL151="Between 1.5 to 2",5,IF(BL151="Less than 1.5",10,0)))</f>
        <v/>
      </c>
      <c r="BN151" s="25" t="inlineStr">
        <is>
          <t>Above 70%</t>
        </is>
      </c>
      <c r="BO151" s="25">
        <f>IF(BN151="Above 70%",10,IF(BN151="Between 50% to 70%",5,IF(BN151="Less than 50%",0,IF(BN151="Negative",-10,IF(BN151="Less than 50% and Borrowings are increasing",-5,0)))))</f>
        <v/>
      </c>
      <c r="BP151" s="25" t="inlineStr">
        <is>
          <t>Less than 0.7</t>
        </is>
      </c>
      <c r="BQ151" s="25">
        <f>IF(BP151="More than 1.2",-10,IF(BP151="Between 0.7 to 1.2",0,IF(BP151="Less than 0.7",10,0)))</f>
        <v/>
      </c>
      <c r="BR151" s="25" t="inlineStr">
        <is>
          <t>No</t>
        </is>
      </c>
      <c r="BS151" s="25">
        <f>IF(BR151="Yes",-10,0)</f>
        <v/>
      </c>
      <c r="BT151" s="25" t="inlineStr">
        <is>
          <t>Less than 15%</t>
        </is>
      </c>
      <c r="BU151" s="25">
        <f>IF(BT151="More than 15%",-10,IF(BT151="Less than 15%",10,0))</f>
        <v/>
      </c>
      <c r="BV151" s="25" t="inlineStr">
        <is>
          <t>No</t>
        </is>
      </c>
      <c r="BW151" s="25">
        <f>IF(BV151="Yes, more than 10%",-10,IF(BV151="No",10,0))</f>
        <v/>
      </c>
    </row>
    <row r="152">
      <c r="A152" s="25">
        <f>IF(B152=0,"",RANK(B152,$B$2:$B$292,0))</f>
        <v/>
      </c>
      <c r="B152" s="26">
        <f>SUM(Q152,S152,U152,W152,Y152,AA152,AC152,AE152,AG152,AI152,AK152,AM152,AO152,AQ152,AS152,AU152,AW152,AY152,BA152,BC152,BE152,BG152,BI152,BK152,BM152,BO152,BQ152,BS152,BU152,BW152)</f>
        <v/>
      </c>
      <c r="C152" s="25" t="inlineStr">
        <is>
          <t>NH</t>
        </is>
      </c>
      <c r="D152" s="25" t="inlineStr">
        <is>
          <t>Narayana Hrudayalaya Ltd.</t>
        </is>
      </c>
      <c r="E152" s="25" t="inlineStr">
        <is>
          <t>healthcare</t>
        </is>
      </c>
      <c r="F152" s="25" t="inlineStr">
        <is>
          <t>healthcare</t>
        </is>
      </c>
      <c r="G152" s="25" t="inlineStr">
        <is>
          <t>largecap</t>
        </is>
      </c>
      <c r="H152" s="26" t="n">
        <v>38920.52</v>
      </c>
      <c r="I152" s="26" t="n">
        <v>1934.2</v>
      </c>
      <c r="J152" s="26" t="n">
        <v>1.56</v>
      </c>
      <c r="K152" s="26" t="n">
        <v>246722</v>
      </c>
      <c r="L152" s="26" t="n">
        <v>60.32</v>
      </c>
      <c r="M152" s="26" t="n">
        <v>17.04</v>
      </c>
      <c r="N152" s="26" t="n">
        <v>1605.42</v>
      </c>
      <c r="O152" s="25" t="inlineStr">
        <is>
          <t>Earnings / Momentum Support</t>
        </is>
      </c>
      <c r="P152" s="25" t="inlineStr">
        <is>
          <t>Growing Industry</t>
        </is>
      </c>
      <c r="Q152" s="25">
        <f>IF(P152="Growing Industry",10,IF(P152="Cyclical in an Upturn",5,0))</f>
        <v/>
      </c>
      <c r="R152" s="25" t="inlineStr">
        <is>
          <t>Too Many Players with High ROCE</t>
        </is>
      </c>
      <c r="S152" s="25">
        <f>IF(R152="Monopoly",10,IF(R152="Oligopoly",5,IF(R152="Duopoly that cooperate",10,IF(R152="Duopoly that compete",5,IF(R152="Too many players with High ROCE",5,0)))))</f>
        <v/>
      </c>
      <c r="T152" s="25" t="inlineStr">
        <is>
          <t>Yes</t>
        </is>
      </c>
      <c r="U152" s="25">
        <f>IF(T152="No",5,0)</f>
        <v/>
      </c>
      <c r="V152" s="25" t="inlineStr">
        <is>
          <t>Tailwind</t>
        </is>
      </c>
      <c r="W152" s="25">
        <f>IF(V152="Tailwind",10,0)</f>
        <v/>
      </c>
      <c r="X152" s="25" t="inlineStr">
        <is>
          <t>Shallow Cyclical (2 to 3 Years Growth)</t>
        </is>
      </c>
      <c r="Y152" s="25">
        <f>IF(X152="Structural (10 Years Consistency)",10,IF(X152="Shallow Cyclical (2 to 3 years growth)",5,0))</f>
        <v/>
      </c>
      <c r="Z152" s="25" t="inlineStr">
        <is>
          <t>Yes due to Product Mix change or Operating Leverage</t>
        </is>
      </c>
      <c r="AA152" s="25">
        <f>IF(Z152="Yes due to Product Mix change or Operating Leverage",10,IF(Z152="Yes, these are peak margins",-5,IF(Z152="No",5,0)))</f>
        <v/>
      </c>
      <c r="AB152" s="25" t="inlineStr">
        <is>
          <t>Stable</t>
        </is>
      </c>
      <c r="AC152" s="25">
        <f>IF(AB152="Stable",10,0)</f>
        <v/>
      </c>
      <c r="AD152" s="25" t="inlineStr">
        <is>
          <t>Yes</t>
        </is>
      </c>
      <c r="AE152" s="25">
        <f>IF(AD152="Yes",10,0)</f>
        <v/>
      </c>
      <c r="AF152" s="25" t="inlineStr">
        <is>
          <t>B2C</t>
        </is>
      </c>
      <c r="AG152" s="25">
        <f>IF(AF152="B2C",10,IF(AF152="B2B",5,0))</f>
        <v/>
      </c>
      <c r="AH152" s="25" t="inlineStr">
        <is>
          <t>No</t>
        </is>
      </c>
      <c r="AI152" s="25">
        <f>IF(AH152="Yes",10,0)</f>
        <v/>
      </c>
      <c r="AJ152" s="25" t="inlineStr">
        <is>
          <t>Higher One Time, Lower Annuity</t>
        </is>
      </c>
      <c r="AK152" s="25">
        <f>IF(AJ152="Fully Annuity",10,IF(AJ152="Higher Annuity, Lower One Time",5,IF(AJ152="Higher One Time, Lower Annuity",3,0)))</f>
        <v/>
      </c>
      <c r="AL152" s="25" t="inlineStr">
        <is>
          <t>Good</t>
        </is>
      </c>
      <c r="AM152" s="25">
        <f>IF(AL152="Good",10,0)</f>
        <v/>
      </c>
      <c r="AN152" s="25" t="inlineStr">
        <is>
          <t>Yes for more than 2 years</t>
        </is>
      </c>
      <c r="AO152" s="25">
        <f>IF(AN152="Yes for more than 2 years",10,IF(AN152="Yes only for next 1 to 2 years",5,0))</f>
        <v/>
      </c>
      <c r="AP152" s="25" t="inlineStr">
        <is>
          <t>20 to 40</t>
        </is>
      </c>
      <c r="AQ152" s="25">
        <f>IF(AP152="Above 40",20,IF(AP152="20 to 40",10,IF(AP152="0 to 20",-5,0)))</f>
        <v/>
      </c>
      <c r="AR152" s="25" t="inlineStr">
        <is>
          <t>Between 50 to 75</t>
        </is>
      </c>
      <c r="AS152" s="25">
        <f>IF(AR152="Between 50 to 75",10,IF(AR152="Above 75",0,0))</f>
        <v/>
      </c>
      <c r="AT152" s="25" t="inlineStr">
        <is>
          <t>Stage 2</t>
        </is>
      </c>
      <c r="AU152" s="25">
        <f>IF(AT152="Stage 2",20,IF(AT152="Stage 1",0,IF(AT152="Stage 3",5,IF(AT152="Stage 4",-5,0))))</f>
        <v/>
      </c>
      <c r="AV152" s="25" t="inlineStr">
        <is>
          <t>Positive Trend</t>
        </is>
      </c>
      <c r="AW152" s="25">
        <f>IF(AV152="Positive Trend",20,IF(AV152="Negative Trend",-10,0))</f>
        <v/>
      </c>
      <c r="AX152" s="25" t="inlineStr">
        <is>
          <t>Uptrend</t>
        </is>
      </c>
      <c r="AY152" s="25">
        <f>IF(AX152="Uptrend",10,IF(AX152="Sideways",5,0))</f>
        <v/>
      </c>
      <c r="AZ152" s="25" t="inlineStr">
        <is>
          <t>Uptrend</t>
        </is>
      </c>
      <c r="BA152" s="25">
        <f>IF(AZ152="Uptrend",10,IF(AZ152="Sideways",5,0))</f>
        <v/>
      </c>
      <c r="BB152" s="25" t="inlineStr">
        <is>
          <t>Close to 52 week high or retracement</t>
        </is>
      </c>
      <c r="BC152" s="25">
        <f>IF(BB152="Overhead supply in last 2 years in last 2 years",-5,IF(BB152="Close to 52 week high or retracement",5,IF(BB152="Blue sky scenario",10,IF(BB152="Long term Downtrend",-10,0))))</f>
        <v/>
      </c>
      <c r="BD152" s="25" t="inlineStr">
        <is>
          <t>Yes</t>
        </is>
      </c>
      <c r="BE152" s="25">
        <f>IF(BD152="Yes",10,0)</f>
        <v/>
      </c>
      <c r="BF152" s="25" t="inlineStr">
        <is>
          <t>Between 12 to 20%</t>
        </is>
      </c>
      <c r="BG152" s="25">
        <f>IF(BF152="More than 20%",10,IF(BF152="Between 12 to 20%",5,IF(BF152="Less than 12%",0,0)))</f>
        <v/>
      </c>
      <c r="BH152" s="25" t="inlineStr">
        <is>
          <t>Yes</t>
        </is>
      </c>
      <c r="BI152" s="25">
        <f>IF(BH152="No",10,0)</f>
        <v/>
      </c>
      <c r="BJ152" s="25" t="inlineStr">
        <is>
          <t>No</t>
        </is>
      </c>
      <c r="BK152" s="25">
        <f>IF(BJ152="NO",5,0)</f>
        <v/>
      </c>
      <c r="BL152" s="25" t="inlineStr">
        <is>
          <t>Less than 1.5</t>
        </is>
      </c>
      <c r="BM152" s="25">
        <f>IF(BL152="Above 2",0,IF(BL152="Between 1.5 to 2",5,IF(BL152="Less than 1.5",10,0)))</f>
        <v/>
      </c>
      <c r="BN152" s="25" t="inlineStr">
        <is>
          <t>Above 70%</t>
        </is>
      </c>
      <c r="BO152" s="25">
        <f>IF(BN152="Above 70%",10,IF(BN152="Between 50% to 70%",5,IF(BN152="Less than 50%",0,IF(BN152="Negative",-10,IF(BN152="Less than 50% and Borrowings are increasing",-5,0)))))</f>
        <v/>
      </c>
      <c r="BP152" s="25" t="inlineStr">
        <is>
          <t>Less than 0.7</t>
        </is>
      </c>
      <c r="BQ152" s="25">
        <f>IF(BP152="More than 1.2",-10,IF(BP152="Between 0.7 to 1.2",0,IF(BP152="Less than 0.7",10,0)))</f>
        <v/>
      </c>
      <c r="BR152" s="25" t="inlineStr">
        <is>
          <t>No</t>
        </is>
      </c>
      <c r="BS152" s="25">
        <f>IF(BR152="Yes",-10,0)</f>
        <v/>
      </c>
      <c r="BT152" s="25" t="inlineStr">
        <is>
          <t>Less than 15%</t>
        </is>
      </c>
      <c r="BU152" s="25">
        <f>IF(BT152="More than 15%",-10,IF(BT152="Less than 15%",10,0))</f>
        <v/>
      </c>
      <c r="BV152" s="25" t="inlineStr">
        <is>
          <t>No</t>
        </is>
      </c>
      <c r="BW152" s="25">
        <f>IF(BV152="Yes, more than 10%",-10,IF(BV152="No",10,0))</f>
        <v/>
      </c>
    </row>
    <row r="153">
      <c r="A153" s="25">
        <f>IF(B153=0,"",RANK(B153,$B$2:$B$292,0))</f>
        <v/>
      </c>
      <c r="B153" s="26">
        <f>SUM(Q153,S153,U153,W153,Y153,AA153,AC153,AE153,AG153,AI153,AK153,AM153,AO153,AQ153,AS153,AU153,AW153,AY153,BA153,BC153,BE153,BG153,BI153,BK153,BM153,BO153,BQ153,BS153,BU153,BW153)</f>
        <v/>
      </c>
      <c r="C153" s="25" t="inlineStr">
        <is>
          <t>LMW</t>
        </is>
      </c>
      <c r="D153" s="25" t="inlineStr">
        <is>
          <t>LMW Ltd</t>
        </is>
      </c>
      <c r="E153" s="25" t="inlineStr">
        <is>
          <t>industrials</t>
        </is>
      </c>
      <c r="F153" s="25" t="inlineStr">
        <is>
          <t>textile machinery</t>
        </is>
      </c>
      <c r="G153" s="25" t="inlineStr">
        <is>
          <t>midcap</t>
        </is>
      </c>
      <c r="H153" s="26" t="n">
        <v>16672.96</v>
      </c>
      <c r="I153" s="26" t="n">
        <v>15843</v>
      </c>
      <c r="J153" s="26" t="n">
        <v>1.51</v>
      </c>
      <c r="K153" s="26" t="n">
        <v>2779</v>
      </c>
      <c r="L153" s="26" t="n">
        <v>59.1</v>
      </c>
      <c r="M153" s="26" t="n">
        <v>16.39</v>
      </c>
      <c r="N153" s="26" t="n">
        <v>12735.14</v>
      </c>
      <c r="O153" s="25" t="inlineStr">
        <is>
          <t>Near 52W High Breakout</t>
        </is>
      </c>
      <c r="P153" s="25" t="inlineStr">
        <is>
          <t>Cyclical in an Upturn</t>
        </is>
      </c>
      <c r="Q153" s="25">
        <f>IF(P153="Growing Industry",10,IF(P153="Cyclical in an Upturn",5,0))</f>
        <v/>
      </c>
      <c r="R153" s="25" t="inlineStr">
        <is>
          <t>Too Many Players with High ROCE</t>
        </is>
      </c>
      <c r="S153" s="25">
        <f>IF(R153="Monopoly",10,IF(R153="Oligopoly",5,IF(R153="Duopoly that cooperate",10,IF(R153="Duopoly that compete",5,IF(R153="Too many players with High ROCE",5,0)))))</f>
        <v/>
      </c>
      <c r="T153" s="25" t="inlineStr">
        <is>
          <t>No</t>
        </is>
      </c>
      <c r="U153" s="25">
        <f>IF(T153="No",5,0)</f>
        <v/>
      </c>
      <c r="V153" s="25" t="inlineStr">
        <is>
          <t>Tailwind</t>
        </is>
      </c>
      <c r="W153" s="25">
        <f>IF(V153="Tailwind",10,0)</f>
        <v/>
      </c>
      <c r="X153" s="25" t="inlineStr">
        <is>
          <t>Structural (10 Years Consistency)</t>
        </is>
      </c>
      <c r="Y153" s="25">
        <f>IF(X153="Structural (10 Years Consistency)",10,IF(X153="Shallow Cyclical (2 to 3 years growth)",5,0))</f>
        <v/>
      </c>
      <c r="Z153" s="25" t="inlineStr">
        <is>
          <t>No</t>
        </is>
      </c>
      <c r="AA153" s="25">
        <f>IF(Z153="Yes due to Product Mix change or Operating Leverage",10,IF(Z153="Yes, these are peak margins",-5,IF(Z153="No",5,0)))</f>
        <v/>
      </c>
      <c r="AB153" s="25" t="inlineStr">
        <is>
          <t>Stable</t>
        </is>
      </c>
      <c r="AC153" s="25">
        <f>IF(AB153="Stable",10,0)</f>
        <v/>
      </c>
      <c r="AD153" s="25" t="inlineStr">
        <is>
          <t>Yes</t>
        </is>
      </c>
      <c r="AE153" s="25">
        <f>IF(AD153="Yes",10,0)</f>
        <v/>
      </c>
      <c r="AF153" s="25" t="inlineStr">
        <is>
          <t>B2B</t>
        </is>
      </c>
      <c r="AG153" s="25">
        <f>IF(AF153="B2C",10,IF(AF153="B2B",5,0))</f>
        <v/>
      </c>
      <c r="AH153" s="25" t="inlineStr">
        <is>
          <t>Yes</t>
        </is>
      </c>
      <c r="AI153" s="25">
        <f>IF(AH153="Yes",10,0)</f>
        <v/>
      </c>
      <c r="AJ153" s="25" t="inlineStr">
        <is>
          <t>Higher One Time, Lower Annuity</t>
        </is>
      </c>
      <c r="AK153" s="25">
        <f>IF(AJ153="Fully Annuity",10,IF(AJ153="Higher Annuity, Lower One Time",5,IF(AJ153="Higher One Time, Lower Annuity",3,0)))</f>
        <v/>
      </c>
      <c r="AL153" s="25" t="inlineStr">
        <is>
          <t>Good</t>
        </is>
      </c>
      <c r="AM153" s="25">
        <f>IF(AL153="Good",10,0)</f>
        <v/>
      </c>
      <c r="AN153" s="25" t="inlineStr">
        <is>
          <t>Yes for more than 2 years</t>
        </is>
      </c>
      <c r="AO153" s="25">
        <f>IF(AN153="Yes for more than 2 years",10,IF(AN153="Yes only for next 1 to 2 years",5,0))</f>
        <v/>
      </c>
      <c r="AP153" s="25" t="inlineStr">
        <is>
          <t>0 to 20</t>
        </is>
      </c>
      <c r="AQ153" s="25">
        <f>IF(AP153="Above 40",20,IF(AP153="20 to 40",10,IF(AP153="0 to 20",-5,0)))</f>
        <v/>
      </c>
      <c r="AR153" s="25" t="inlineStr">
        <is>
          <t>Between 50 to 75</t>
        </is>
      </c>
      <c r="AS153" s="25">
        <f>IF(AR153="Between 50 to 75",10,IF(AR153="Above 75",0,0))</f>
        <v/>
      </c>
      <c r="AT153" s="25" t="inlineStr">
        <is>
          <t>Stage 2</t>
        </is>
      </c>
      <c r="AU153" s="25">
        <f>IF(AT153="Stage 2",20,IF(AT153="Stage 1",0,IF(AT153="Stage 3",5,IF(AT153="Stage 4",-5,0))))</f>
        <v/>
      </c>
      <c r="AV153" s="25" t="inlineStr">
        <is>
          <t>Positive Trend</t>
        </is>
      </c>
      <c r="AW153" s="25">
        <f>IF(AV153="Positive Trend",20,IF(AV153="Negative Trend",-10,0))</f>
        <v/>
      </c>
      <c r="AX153" s="25" t="inlineStr">
        <is>
          <t>Uptrend</t>
        </is>
      </c>
      <c r="AY153" s="25">
        <f>IF(AX153="Uptrend",10,IF(AX153="Sideways",5,0))</f>
        <v/>
      </c>
      <c r="AZ153" s="25" t="inlineStr">
        <is>
          <t>Uptrend</t>
        </is>
      </c>
      <c r="BA153" s="25">
        <f>IF(AZ153="Uptrend",10,IF(AZ153="Sideways",5,0))</f>
        <v/>
      </c>
      <c r="BB153" s="25" t="inlineStr">
        <is>
          <t>Close to 52 week high or retracement</t>
        </is>
      </c>
      <c r="BC153" s="25">
        <f>IF(BB153="Overhead supply in last 2 years in last 2 years",-5,IF(BB153="Close to 52 week high or retracement",5,IF(BB153="Blue sky scenario",10,IF(BB153="Long term Downtrend",-10,0))))</f>
        <v/>
      </c>
      <c r="BD153" s="25" t="inlineStr">
        <is>
          <t>Yes</t>
        </is>
      </c>
      <c r="BE153" s="25">
        <f>IF(BD153="Yes",10,0)</f>
        <v/>
      </c>
      <c r="BF153" s="25" t="inlineStr">
        <is>
          <t>More than 20%</t>
        </is>
      </c>
      <c r="BG153" s="25">
        <f>IF(BF153="More than 20%",10,IF(BF153="Between 12 to 20%",5,IF(BF153="Less than 12%",0,0)))</f>
        <v/>
      </c>
      <c r="BH153" s="25" t="inlineStr">
        <is>
          <t>No</t>
        </is>
      </c>
      <c r="BI153" s="25">
        <f>IF(BH153="No",10,0)</f>
        <v/>
      </c>
      <c r="BJ153" s="25" t="inlineStr">
        <is>
          <t>Yes</t>
        </is>
      </c>
      <c r="BK153" s="25">
        <f>IF(BJ153="NO",5,0)</f>
        <v/>
      </c>
      <c r="BL153" s="25" t="inlineStr">
        <is>
          <t>Less than 1.5</t>
        </is>
      </c>
      <c r="BM153" s="25">
        <f>IF(BL153="Above 2",0,IF(BL153="Between 1.5 to 2",5,IF(BL153="Less than 1.5",10,0)))</f>
        <v/>
      </c>
      <c r="BN153" s="25" t="inlineStr">
        <is>
          <t>Above 70%</t>
        </is>
      </c>
      <c r="BO153" s="25">
        <f>IF(BN153="Above 70%",10,IF(BN153="Between 50% to 70%",5,IF(BN153="Less than 50%",0,IF(BN153="Negative",-10,IF(BN153="Less than 50% and Borrowings are increasing",-5,0)))))</f>
        <v/>
      </c>
      <c r="BP153" s="25" t="inlineStr">
        <is>
          <t>Less than 0.7</t>
        </is>
      </c>
      <c r="BQ153" s="25">
        <f>IF(BP153="More than 1.2",-10,IF(BP153="Between 0.7 to 1.2",0,IF(BP153="Less than 0.7",10,0)))</f>
        <v/>
      </c>
      <c r="BR153" s="25" t="inlineStr">
        <is>
          <t>No</t>
        </is>
      </c>
      <c r="BS153" s="25">
        <f>IF(BR153="Yes",-10,0)</f>
        <v/>
      </c>
      <c r="BT153" s="25" t="inlineStr">
        <is>
          <t>Less than 15%</t>
        </is>
      </c>
      <c r="BU153" s="25">
        <f>IF(BT153="More than 15%",-10,IF(BT153="Less than 15%",10,0))</f>
        <v/>
      </c>
      <c r="BV153" s="25" t="inlineStr">
        <is>
          <t>No</t>
        </is>
      </c>
      <c r="BW153" s="25">
        <f>IF(BV153="Yes, more than 10%",-10,IF(BV153="No",10,0))</f>
        <v/>
      </c>
    </row>
    <row r="154">
      <c r="A154" s="25">
        <f>IF(B154=0,"",RANK(B154,$B$2:$B$292,0))</f>
        <v/>
      </c>
      <c r="B154" s="26">
        <f>SUM(Q154,S154,U154,W154,Y154,AA154,AC154,AE154,AG154,AI154,AK154,AM154,AO154,AQ154,AS154,AU154,AW154,AY154,BA154,BC154,BE154,BG154,BI154,BK154,BM154,BO154,BQ154,BS154,BU154,BW154)</f>
        <v/>
      </c>
      <c r="C154" s="25" t="inlineStr">
        <is>
          <t>MIRCELECTR</t>
        </is>
      </c>
      <c r="D154" s="25" t="inlineStr">
        <is>
          <t>Mirc Electronics Limited</t>
        </is>
      </c>
      <c r="E154" s="25" t="inlineStr">
        <is>
          <t>consumer discretionary</t>
        </is>
      </c>
      <c r="F154" s="25" t="inlineStr">
        <is>
          <t>electronics - consumer</t>
        </is>
      </c>
      <c r="G154" s="25" t="inlineStr">
        <is>
          <t>smallcap</t>
        </is>
      </c>
      <c r="H154" s="26" t="n">
        <v>1502.32</v>
      </c>
      <c r="I154" s="26" t="n">
        <v>41.04</v>
      </c>
      <c r="J154" s="26" t="n">
        <v>0.91</v>
      </c>
      <c r="K154" s="26" t="n">
        <v>362760</v>
      </c>
      <c r="L154" s="26" t="n">
        <v>66.92</v>
      </c>
      <c r="M154" s="26" t="n">
        <v>33.52</v>
      </c>
      <c r="N154" s="26" t="n">
        <v>28.74</v>
      </c>
      <c r="O154" s="25" t="inlineStr">
        <is>
          <t>Near 52W High Breakout</t>
        </is>
      </c>
      <c r="P154" s="25" t="inlineStr">
        <is>
          <t>Growing Industry</t>
        </is>
      </c>
      <c r="Q154" s="25">
        <f>IF(P154="Growing Industry",10,IF(P154="Cyclical in an Upturn",5,0))</f>
        <v/>
      </c>
      <c r="R154" s="25" t="inlineStr">
        <is>
          <t>Too Many Players with High ROCE</t>
        </is>
      </c>
      <c r="S154" s="25">
        <f>IF(R154="Monopoly",10,IF(R154="Oligopoly",5,IF(R154="Duopoly that cooperate",10,IF(R154="Duopoly that compete",5,IF(R154="Too many players with High ROCE",5,0)))))</f>
        <v/>
      </c>
      <c r="T154" s="25" t="inlineStr">
        <is>
          <t>No</t>
        </is>
      </c>
      <c r="U154" s="25">
        <f>IF(T154="No",5,0)</f>
        <v/>
      </c>
      <c r="V154" s="25" t="inlineStr">
        <is>
          <t>Tailwind</t>
        </is>
      </c>
      <c r="W154" s="25">
        <f>IF(V154="Tailwind",10,0)</f>
        <v/>
      </c>
      <c r="X154" s="25" t="inlineStr">
        <is>
          <t>Structural (10 Years Consistency)</t>
        </is>
      </c>
      <c r="Y154" s="25">
        <f>IF(X154="Structural (10 Years Consistency)",10,IF(X154="Shallow Cyclical (2 to 3 years growth)",5,0))</f>
        <v/>
      </c>
      <c r="Z154" s="25" t="inlineStr">
        <is>
          <t>No</t>
        </is>
      </c>
      <c r="AA154" s="25">
        <f>IF(Z154="Yes due to Product Mix change or Operating Leverage",10,IF(Z154="Yes, these are peak margins",-5,IF(Z154="No",5,0)))</f>
        <v/>
      </c>
      <c r="AB154" s="25" t="inlineStr">
        <is>
          <t>Stable</t>
        </is>
      </c>
      <c r="AC154" s="25">
        <f>IF(AB154="Stable",10,0)</f>
        <v/>
      </c>
      <c r="AD154" s="25" t="inlineStr">
        <is>
          <t>Yes</t>
        </is>
      </c>
      <c r="AE154" s="25">
        <f>IF(AD154="Yes",10,0)</f>
        <v/>
      </c>
      <c r="AF154" s="25" t="inlineStr">
        <is>
          <t>B2B</t>
        </is>
      </c>
      <c r="AG154" s="25">
        <f>IF(AF154="B2C",10,IF(AF154="B2B",5,0))</f>
        <v/>
      </c>
      <c r="AH154" s="25" t="inlineStr">
        <is>
          <t>Yes</t>
        </is>
      </c>
      <c r="AI154" s="25">
        <f>IF(AH154="Yes",10,0)</f>
        <v/>
      </c>
      <c r="AJ154" s="25" t="inlineStr">
        <is>
          <t>Higher One Time, Lower Annuity</t>
        </is>
      </c>
      <c r="AK154" s="25">
        <f>IF(AJ154="Fully Annuity",10,IF(AJ154="Higher Annuity, Lower One Time",5,IF(AJ154="Higher One Time, Lower Annuity",3,0)))</f>
        <v/>
      </c>
      <c r="AL154" s="25" t="inlineStr">
        <is>
          <t>Good</t>
        </is>
      </c>
      <c r="AM154" s="25">
        <f>IF(AL154="Good",10,0)</f>
        <v/>
      </c>
      <c r="AN154" s="25" t="inlineStr">
        <is>
          <t>Yes for more than 2 years</t>
        </is>
      </c>
      <c r="AO154" s="25">
        <f>IF(AN154="Yes for more than 2 years",10,IF(AN154="Yes only for next 1 to 2 years",5,0))</f>
        <v/>
      </c>
      <c r="AP154" s="25" t="inlineStr">
        <is>
          <t>20 to 40</t>
        </is>
      </c>
      <c r="AQ154" s="25">
        <f>IF(AP154="Above 40",20,IF(AP154="20 to 40",10,IF(AP154="0 to 20",-5,0)))</f>
        <v/>
      </c>
      <c r="AR154" s="25" t="inlineStr">
        <is>
          <t>Between 50 to 75</t>
        </is>
      </c>
      <c r="AS154" s="25">
        <f>IF(AR154="Between 50 to 75",10,IF(AR154="Above 75",0,0))</f>
        <v/>
      </c>
      <c r="AT154" s="25" t="inlineStr">
        <is>
          <t>Stage 2</t>
        </is>
      </c>
      <c r="AU154" s="25">
        <f>IF(AT154="Stage 2",20,IF(AT154="Stage 1",0,IF(AT154="Stage 3",5,IF(AT154="Stage 4",-5,0))))</f>
        <v/>
      </c>
      <c r="AV154" s="25" t="inlineStr">
        <is>
          <t>Negative Trend</t>
        </is>
      </c>
      <c r="AW154" s="25">
        <f>IF(AV154="Positive Trend",20,IF(AV154="Negative Trend",-10,0))</f>
        <v/>
      </c>
      <c r="AX154" s="25" t="inlineStr">
        <is>
          <t>Uptrend</t>
        </is>
      </c>
      <c r="AY154" s="25">
        <f>IF(AX154="Uptrend",10,IF(AX154="Sideways",5,0))</f>
        <v/>
      </c>
      <c r="AZ154" s="25" t="inlineStr">
        <is>
          <t>Uptrend</t>
        </is>
      </c>
      <c r="BA154" s="25">
        <f>IF(AZ154="Uptrend",10,IF(AZ154="Sideways",5,0))</f>
        <v/>
      </c>
      <c r="BB154" s="25" t="inlineStr">
        <is>
          <t>Blue sky scenario</t>
        </is>
      </c>
      <c r="BC154" s="25">
        <f>IF(BB154="Overhead supply in last 2 years in last 2 years",-5,IF(BB154="Close to 52 week high or retracement",5,IF(BB154="Blue sky scenario",10,IF(BB154="Long term Downtrend",-10,0))))</f>
        <v/>
      </c>
      <c r="BD154" s="25" t="inlineStr">
        <is>
          <t>Yes</t>
        </is>
      </c>
      <c r="BE154" s="25">
        <f>IF(BD154="Yes",10,0)</f>
        <v/>
      </c>
      <c r="BF154" s="25" t="inlineStr">
        <is>
          <t>More than 20%</t>
        </is>
      </c>
      <c r="BG154" s="25">
        <f>IF(BF154="More than 20%",10,IF(BF154="Between 12 to 20%",5,IF(BF154="Less than 12%",0,0)))</f>
        <v/>
      </c>
      <c r="BH154" s="25" t="inlineStr">
        <is>
          <t>No</t>
        </is>
      </c>
      <c r="BI154" s="25">
        <f>IF(BH154="No",10,0)</f>
        <v/>
      </c>
      <c r="BJ154" s="25" t="inlineStr">
        <is>
          <t>No</t>
        </is>
      </c>
      <c r="BK154" s="25">
        <f>IF(BJ154="NO",5,0)</f>
        <v/>
      </c>
      <c r="BL154" s="25" t="inlineStr">
        <is>
          <t>Less than 1.5</t>
        </is>
      </c>
      <c r="BM154" s="25">
        <f>IF(BL154="Above 2",0,IF(BL154="Between 1.5 to 2",5,IF(BL154="Less than 1.5",10,0)))</f>
        <v/>
      </c>
      <c r="BN154" s="25" t="inlineStr">
        <is>
          <t>Above 70%</t>
        </is>
      </c>
      <c r="BO154" s="25">
        <f>IF(BN154="Above 70%",10,IF(BN154="Between 50% to 70%",5,IF(BN154="Less than 50%",0,IF(BN154="Negative",-10,IF(BN154="Less than 50% and Borrowings are increasing",-5,0)))))</f>
        <v/>
      </c>
      <c r="BP154" s="25" t="inlineStr">
        <is>
          <t>Less than 0.7</t>
        </is>
      </c>
      <c r="BQ154" s="25">
        <f>IF(BP154="More than 1.2",-10,IF(BP154="Between 0.7 to 1.2",0,IF(BP154="Less than 0.7",10,0)))</f>
        <v/>
      </c>
      <c r="BR154" s="25" t="inlineStr">
        <is>
          <t>No</t>
        </is>
      </c>
      <c r="BS154" s="25">
        <f>IF(BR154="Yes",-10,0)</f>
        <v/>
      </c>
      <c r="BT154" s="25" t="inlineStr">
        <is>
          <t>Less than 15%</t>
        </is>
      </c>
      <c r="BU154" s="25">
        <f>IF(BT154="More than 15%",-10,IF(BT154="Less than 15%",10,0))</f>
        <v/>
      </c>
      <c r="BV154" s="25" t="inlineStr">
        <is>
          <t>No</t>
        </is>
      </c>
      <c r="BW154" s="25">
        <f>IF(BV154="Yes, more than 10%",-10,IF(BV154="No",10,0))</f>
        <v/>
      </c>
    </row>
    <row r="155">
      <c r="A155" s="25">
        <f>IF(B155=0,"",RANK(B155,$B$2:$B$292,0))</f>
        <v/>
      </c>
      <c r="B155" s="26">
        <f>SUM(Q155,S155,U155,W155,Y155,AA155,AC155,AE155,AG155,AI155,AK155,AM155,AO155,AQ155,AS155,AU155,AW155,AY155,BA155,BC155,BE155,BG155,BI155,BK155,BM155,BO155,BQ155,BS155,BU155,BW155)</f>
        <v/>
      </c>
      <c r="C155" s="25" t="inlineStr">
        <is>
          <t>AIAENG</t>
        </is>
      </c>
      <c r="D155" s="25" t="inlineStr">
        <is>
          <t>Aia Engineering Limited</t>
        </is>
      </c>
      <c r="E155" s="25" t="inlineStr">
        <is>
          <t>industrials</t>
        </is>
      </c>
      <c r="F155" s="25" t="inlineStr">
        <is>
          <t>castings &amp; forgings</t>
        </is>
      </c>
      <c r="G155" s="25" t="inlineStr">
        <is>
          <t>largecap</t>
        </is>
      </c>
      <c r="H155" s="26" t="n">
        <v>42206</v>
      </c>
      <c r="I155" s="26" t="n">
        <v>4552.3</v>
      </c>
      <c r="J155" s="26" t="n">
        <v>0.65</v>
      </c>
      <c r="K155" s="26" t="n">
        <v>74628</v>
      </c>
      <c r="L155" s="26" t="n">
        <v>70.34</v>
      </c>
      <c r="M155" s="26" t="n">
        <v>15.33</v>
      </c>
      <c r="N155" s="26" t="n">
        <v>3717.33</v>
      </c>
      <c r="O155" s="25" t="inlineStr">
        <is>
          <t>Near 52W High Breakout</t>
        </is>
      </c>
      <c r="P155" s="25" t="inlineStr">
        <is>
          <t>Cyclical in an Upturn</t>
        </is>
      </c>
      <c r="Q155" s="25">
        <f>IF(P155="Growing Industry",10,IF(P155="Cyclical in an Upturn",5,0))</f>
        <v/>
      </c>
      <c r="R155" s="25" t="inlineStr">
        <is>
          <t>Too Many Players with High ROCE</t>
        </is>
      </c>
      <c r="S155" s="25">
        <f>IF(R155="Monopoly",10,IF(R155="Oligopoly",5,IF(R155="Duopoly that cooperate",10,IF(R155="Duopoly that compete",5,IF(R155="Too many players with High ROCE",5,0)))))</f>
        <v/>
      </c>
      <c r="T155" s="25" t="inlineStr">
        <is>
          <t>No</t>
        </is>
      </c>
      <c r="U155" s="25">
        <f>IF(T155="No",5,0)</f>
        <v/>
      </c>
      <c r="V155" s="25" t="inlineStr">
        <is>
          <t>Tailwind</t>
        </is>
      </c>
      <c r="W155" s="25">
        <f>IF(V155="Tailwind",10,0)</f>
        <v/>
      </c>
      <c r="X155" s="25" t="inlineStr">
        <is>
          <t>Structural (10 Years Consistency)</t>
        </is>
      </c>
      <c r="Y155" s="25">
        <f>IF(X155="Structural (10 Years Consistency)",10,IF(X155="Shallow Cyclical (2 to 3 years growth)",5,0))</f>
        <v/>
      </c>
      <c r="Z155" s="25" t="inlineStr">
        <is>
          <t>No</t>
        </is>
      </c>
      <c r="AA155" s="25">
        <f>IF(Z155="Yes due to Product Mix change or Operating Leverage",10,IF(Z155="Yes, these are peak margins",-5,IF(Z155="No",5,0)))</f>
        <v/>
      </c>
      <c r="AB155" s="25" t="inlineStr">
        <is>
          <t>Stable</t>
        </is>
      </c>
      <c r="AC155" s="25">
        <f>IF(AB155="Stable",10,0)</f>
        <v/>
      </c>
      <c r="AD155" s="25" t="inlineStr">
        <is>
          <t>Yes</t>
        </is>
      </c>
      <c r="AE155" s="25">
        <f>IF(AD155="Yes",10,0)</f>
        <v/>
      </c>
      <c r="AF155" s="25" t="inlineStr">
        <is>
          <t>B2B</t>
        </is>
      </c>
      <c r="AG155" s="25">
        <f>IF(AF155="B2C",10,IF(AF155="B2B",5,0))</f>
        <v/>
      </c>
      <c r="AH155" s="25" t="inlineStr">
        <is>
          <t>Yes</t>
        </is>
      </c>
      <c r="AI155" s="25">
        <f>IF(AH155="Yes",10,0)</f>
        <v/>
      </c>
      <c r="AJ155" s="25" t="inlineStr">
        <is>
          <t>Higher One Time, Lower Annuity</t>
        </is>
      </c>
      <c r="AK155" s="25">
        <f>IF(AJ155="Fully Annuity",10,IF(AJ155="Higher Annuity, Lower One Time",5,IF(AJ155="Higher One Time, Lower Annuity",3,0)))</f>
        <v/>
      </c>
      <c r="AL155" s="25" t="inlineStr">
        <is>
          <t>Good</t>
        </is>
      </c>
      <c r="AM155" s="25">
        <f>IF(AL155="Good",10,0)</f>
        <v/>
      </c>
      <c r="AN155" s="25" t="inlineStr">
        <is>
          <t>Yes for more than 2 years</t>
        </is>
      </c>
      <c r="AO155" s="25">
        <f>IF(AN155="Yes for more than 2 years",10,IF(AN155="Yes only for next 1 to 2 years",5,0))</f>
        <v/>
      </c>
      <c r="AP155" s="25" t="inlineStr">
        <is>
          <t>0 to 20</t>
        </is>
      </c>
      <c r="AQ155" s="25">
        <f>IF(AP155="Above 40",20,IF(AP155="20 to 40",10,IF(AP155="0 to 20",-5,0)))</f>
        <v/>
      </c>
      <c r="AR155" s="25" t="inlineStr">
        <is>
          <t>Between 50 to 75</t>
        </is>
      </c>
      <c r="AS155" s="25">
        <f>IF(AR155="Between 50 to 75",10,IF(AR155="Above 75",0,0))</f>
        <v/>
      </c>
      <c r="AT155" s="25" t="inlineStr">
        <is>
          <t>Stage 2</t>
        </is>
      </c>
      <c r="AU155" s="25">
        <f>IF(AT155="Stage 2",20,IF(AT155="Stage 1",0,IF(AT155="Stage 3",5,IF(AT155="Stage 4",-5,0))))</f>
        <v/>
      </c>
      <c r="AV155" s="25" t="inlineStr">
        <is>
          <t>Positive Trend</t>
        </is>
      </c>
      <c r="AW155" s="25">
        <f>IF(AV155="Positive Trend",20,IF(AV155="Negative Trend",-10,0))</f>
        <v/>
      </c>
      <c r="AX155" s="25" t="inlineStr">
        <is>
          <t>Uptrend</t>
        </is>
      </c>
      <c r="AY155" s="25">
        <f>IF(AX155="Uptrend",10,IF(AX155="Sideways",5,0))</f>
        <v/>
      </c>
      <c r="AZ155" s="25" t="inlineStr">
        <is>
          <t>Uptrend</t>
        </is>
      </c>
      <c r="BA155" s="25">
        <f>IF(AZ155="Uptrend",10,IF(AZ155="Sideways",5,0))</f>
        <v/>
      </c>
      <c r="BB155" s="25" t="inlineStr">
        <is>
          <t>Blue sky scenario</t>
        </is>
      </c>
      <c r="BC155" s="25">
        <f>IF(BB155="Overhead supply in last 2 years in last 2 years",-5,IF(BB155="Close to 52 week high or retracement",5,IF(BB155="Blue sky scenario",10,IF(BB155="Long term Downtrend",-10,0))))</f>
        <v/>
      </c>
      <c r="BD155" s="25" t="inlineStr">
        <is>
          <t>Yes</t>
        </is>
      </c>
      <c r="BE155" s="25">
        <f>IF(BD155="Yes",10,0)</f>
        <v/>
      </c>
      <c r="BF155" s="25" t="inlineStr">
        <is>
          <t>More than 20%</t>
        </is>
      </c>
      <c r="BG155" s="25">
        <f>IF(BF155="More than 20%",10,IF(BF155="Between 12 to 20%",5,IF(BF155="Less than 12%",0,0)))</f>
        <v/>
      </c>
      <c r="BH155" s="25" t="inlineStr">
        <is>
          <t>No</t>
        </is>
      </c>
      <c r="BI155" s="25">
        <f>IF(BH155="No",10,0)</f>
        <v/>
      </c>
      <c r="BJ155" s="25" t="inlineStr">
        <is>
          <t>No</t>
        </is>
      </c>
      <c r="BK155" s="25">
        <f>IF(BJ155="NO",5,0)</f>
        <v/>
      </c>
      <c r="BL155" s="25" t="inlineStr">
        <is>
          <t>Less than 1.5</t>
        </is>
      </c>
      <c r="BM155" s="25">
        <f>IF(BL155="Above 2",0,IF(BL155="Between 1.5 to 2",5,IF(BL155="Less than 1.5",10,0)))</f>
        <v/>
      </c>
      <c r="BN155" s="25" t="inlineStr">
        <is>
          <t>Less than 50%</t>
        </is>
      </c>
      <c r="BO155" s="25">
        <f>IF(BN155="Above 70%",10,IF(BN155="Between 50% to 70%",5,IF(BN155="Less than 50%",0,IF(BN155="Negative",-10,IF(BN155="Less than 50% and Borrowings are increasing",-5,0)))))</f>
        <v/>
      </c>
      <c r="BP155" s="25" t="inlineStr">
        <is>
          <t>Less than 0.7</t>
        </is>
      </c>
      <c r="BQ155" s="25">
        <f>IF(BP155="More than 1.2",-10,IF(BP155="Between 0.7 to 1.2",0,IF(BP155="Less than 0.7",10,0)))</f>
        <v/>
      </c>
      <c r="BR155" s="25" t="inlineStr">
        <is>
          <t>No</t>
        </is>
      </c>
      <c r="BS155" s="25">
        <f>IF(BR155="Yes",-10,0)</f>
        <v/>
      </c>
      <c r="BT155" s="25" t="inlineStr">
        <is>
          <t>Less than 15%</t>
        </is>
      </c>
      <c r="BU155" s="25">
        <f>IF(BT155="More than 15%",-10,IF(BT155="Less than 15%",10,0))</f>
        <v/>
      </c>
      <c r="BV155" s="25" t="inlineStr">
        <is>
          <t>No</t>
        </is>
      </c>
      <c r="BW155" s="25">
        <f>IF(BV155="Yes, more than 10%",-10,IF(BV155="No",10,0))</f>
        <v/>
      </c>
    </row>
    <row r="156">
      <c r="A156" s="25">
        <f>IF(B156=0,"",RANK(B156,$B$2:$B$292,0))</f>
        <v/>
      </c>
      <c r="B156" s="26">
        <f>SUM(Q156,S156,U156,W156,Y156,AA156,AC156,AE156,AG156,AI156,AK156,AM156,AO156,AQ156,AS156,AU156,AW156,AY156,BA156,BC156,BE156,BG156,BI156,BK156,BM156,BO156,BQ156,BS156,BU156,BW156)</f>
        <v/>
      </c>
      <c r="C156" s="25" t="inlineStr">
        <is>
          <t>INDNIPPON</t>
        </is>
      </c>
      <c r="D156" s="25" t="inlineStr">
        <is>
          <t>India Nippon Electricals Limited</t>
        </is>
      </c>
      <c r="E156" s="25" t="inlineStr">
        <is>
          <t>auto</t>
        </is>
      </c>
      <c r="F156" s="25" t="inlineStr">
        <is>
          <t>auto ancillaries</t>
        </is>
      </c>
      <c r="G156" s="25" t="inlineStr">
        <is>
          <t>smallcap</t>
        </is>
      </c>
      <c r="H156" s="26" t="n">
        <v>2017.94</v>
      </c>
      <c r="I156" s="26" t="n">
        <v>895.7</v>
      </c>
      <c r="J156" s="26" t="n">
        <v>0.41</v>
      </c>
      <c r="K156" s="26" t="n">
        <v>43683</v>
      </c>
      <c r="L156" s="26" t="n">
        <v>59.86</v>
      </c>
      <c r="M156" s="26" t="n">
        <v>10.62</v>
      </c>
      <c r="N156" s="26" t="n">
        <v>713.77</v>
      </c>
      <c r="O156" s="25" t="inlineStr">
        <is>
          <t>Earnings / Momentum Support</t>
        </is>
      </c>
      <c r="P156" s="25" t="inlineStr">
        <is>
          <t>Growing Industry</t>
        </is>
      </c>
      <c r="Q156" s="25">
        <f>IF(P156="Growing Industry",10,IF(P156="Cyclical in an Upturn",5,0))</f>
        <v/>
      </c>
      <c r="R156" s="25" t="inlineStr">
        <is>
          <t>Too Many Players with High ROCE</t>
        </is>
      </c>
      <c r="S156" s="25">
        <f>IF(R156="Monopoly",10,IF(R156="Oligopoly",5,IF(R156="Duopoly that cooperate",10,IF(R156="Duopoly that compete",5,IF(R156="Too many players with High ROCE",5,0)))))</f>
        <v/>
      </c>
      <c r="T156" s="25" t="inlineStr">
        <is>
          <t>No</t>
        </is>
      </c>
      <c r="U156" s="25">
        <f>IF(T156="No",5,0)</f>
        <v/>
      </c>
      <c r="V156" s="25" t="inlineStr">
        <is>
          <t>Tailwind</t>
        </is>
      </c>
      <c r="W156" s="25">
        <f>IF(V156="Tailwind",10,0)</f>
        <v/>
      </c>
      <c r="X156" s="25" t="inlineStr">
        <is>
          <t>Structural (10 Years Consistency)</t>
        </is>
      </c>
      <c r="Y156" s="25">
        <f>IF(X156="Structural (10 Years Consistency)",10,IF(X156="Shallow Cyclical (2 to 3 years growth)",5,0))</f>
        <v/>
      </c>
      <c r="Z156" s="25" t="inlineStr">
        <is>
          <t>No</t>
        </is>
      </c>
      <c r="AA156" s="25">
        <f>IF(Z156="Yes due to Product Mix change or Operating Leverage",10,IF(Z156="Yes, these are peak margins",-5,IF(Z156="No",5,0)))</f>
        <v/>
      </c>
      <c r="AB156" s="25" t="inlineStr">
        <is>
          <t>Stable</t>
        </is>
      </c>
      <c r="AC156" s="25">
        <f>IF(AB156="Stable",10,0)</f>
        <v/>
      </c>
      <c r="AD156" s="25" t="inlineStr">
        <is>
          <t>Yes</t>
        </is>
      </c>
      <c r="AE156" s="25">
        <f>IF(AD156="Yes",10,0)</f>
        <v/>
      </c>
      <c r="AF156" s="25" t="inlineStr">
        <is>
          <t>B2B</t>
        </is>
      </c>
      <c r="AG156" s="25">
        <f>IF(AF156="B2C",10,IF(AF156="B2B",5,0))</f>
        <v/>
      </c>
      <c r="AH156" s="25" t="inlineStr">
        <is>
          <t>No</t>
        </is>
      </c>
      <c r="AI156" s="25">
        <f>IF(AH156="Yes",10,0)</f>
        <v/>
      </c>
      <c r="AJ156" s="25" t="inlineStr">
        <is>
          <t>Higher One Time, Lower Annuity</t>
        </is>
      </c>
      <c r="AK156" s="25">
        <f>IF(AJ156="Fully Annuity",10,IF(AJ156="Higher Annuity, Lower One Time",5,IF(AJ156="Higher One Time, Lower Annuity",3,0)))</f>
        <v/>
      </c>
      <c r="AL156" s="25" t="inlineStr">
        <is>
          <t>Good</t>
        </is>
      </c>
      <c r="AM156" s="25">
        <f>IF(AL156="Good",10,0)</f>
        <v/>
      </c>
      <c r="AN156" s="25" t="inlineStr">
        <is>
          <t>Yes for more than 2 years</t>
        </is>
      </c>
      <c r="AO156" s="25">
        <f>IF(AN156="Yes for more than 2 years",10,IF(AN156="Yes only for next 1 to 2 years",5,0))</f>
        <v/>
      </c>
      <c r="AP156" s="25" t="inlineStr">
        <is>
          <t>0 to 20</t>
        </is>
      </c>
      <c r="AQ156" s="25">
        <f>IF(AP156="Above 40",20,IF(AP156="20 to 40",10,IF(AP156="0 to 20",-5,0)))</f>
        <v/>
      </c>
      <c r="AR156" s="25" t="inlineStr">
        <is>
          <t>Between 50 to 75</t>
        </is>
      </c>
      <c r="AS156" s="25">
        <f>IF(AR156="Between 50 to 75",10,IF(AR156="Above 75",0,0))</f>
        <v/>
      </c>
      <c r="AT156" s="25" t="inlineStr">
        <is>
          <t>Stage 2</t>
        </is>
      </c>
      <c r="AU156" s="25">
        <f>IF(AT156="Stage 2",20,IF(AT156="Stage 1",0,IF(AT156="Stage 3",5,IF(AT156="Stage 4",-5,0))))</f>
        <v/>
      </c>
      <c r="AV156" s="25" t="inlineStr">
        <is>
          <t>Positive Trend</t>
        </is>
      </c>
      <c r="AW156" s="25">
        <f>IF(AV156="Positive Trend",20,IF(AV156="Negative Trend",-10,0))</f>
        <v/>
      </c>
      <c r="AX156" s="25" t="inlineStr">
        <is>
          <t>Uptrend</t>
        </is>
      </c>
      <c r="AY156" s="25">
        <f>IF(AX156="Uptrend",10,IF(AX156="Sideways",5,0))</f>
        <v/>
      </c>
      <c r="AZ156" s="25" t="inlineStr">
        <is>
          <t>Uptrend</t>
        </is>
      </c>
      <c r="BA156" s="25">
        <f>IF(AZ156="Uptrend",10,IF(AZ156="Sideways",5,0))</f>
        <v/>
      </c>
      <c r="BB156" s="25" t="inlineStr">
        <is>
          <t>Close to 52 week high or retracement</t>
        </is>
      </c>
      <c r="BC156" s="25">
        <f>IF(BB156="Overhead supply in last 2 years in last 2 years",-5,IF(BB156="Close to 52 week high or retracement",5,IF(BB156="Blue sky scenario",10,IF(BB156="Long term Downtrend",-10,0))))</f>
        <v/>
      </c>
      <c r="BD156" s="25" t="inlineStr">
        <is>
          <t>Yes</t>
        </is>
      </c>
      <c r="BE156" s="25">
        <f>IF(BD156="Yes",10,0)</f>
        <v/>
      </c>
      <c r="BF156" s="25" t="inlineStr">
        <is>
          <t>More than 20%</t>
        </is>
      </c>
      <c r="BG156" s="25">
        <f>IF(BF156="More than 20%",10,IF(BF156="Between 12 to 20%",5,IF(BF156="Less than 12%",0,0)))</f>
        <v/>
      </c>
      <c r="BH156" s="25" t="inlineStr">
        <is>
          <t>No</t>
        </is>
      </c>
      <c r="BI156" s="25">
        <f>IF(BH156="No",10,0)</f>
        <v/>
      </c>
      <c r="BJ156" s="25" t="inlineStr">
        <is>
          <t>No</t>
        </is>
      </c>
      <c r="BK156" s="25">
        <f>IF(BJ156="NO",5,0)</f>
        <v/>
      </c>
      <c r="BL156" s="25" t="inlineStr">
        <is>
          <t>Less than 1.5</t>
        </is>
      </c>
      <c r="BM156" s="25">
        <f>IF(BL156="Above 2",0,IF(BL156="Between 1.5 to 2",5,IF(BL156="Less than 1.5",10,0)))</f>
        <v/>
      </c>
      <c r="BN156" s="25" t="inlineStr">
        <is>
          <t>Above 70%</t>
        </is>
      </c>
      <c r="BO156" s="25">
        <f>IF(BN156="Above 70%",10,IF(BN156="Between 50% to 70%",5,IF(BN156="Less than 50%",0,IF(BN156="Negative",-10,IF(BN156="Less than 50% and Borrowings are increasing",-5,0)))))</f>
        <v/>
      </c>
      <c r="BP156" s="25" t="inlineStr">
        <is>
          <t>Less than 0.7</t>
        </is>
      </c>
      <c r="BQ156" s="25">
        <f>IF(BP156="More than 1.2",-10,IF(BP156="Between 0.7 to 1.2",0,IF(BP156="Less than 0.7",10,0)))</f>
        <v/>
      </c>
      <c r="BR156" s="25" t="inlineStr">
        <is>
          <t>No</t>
        </is>
      </c>
      <c r="BS156" s="25">
        <f>IF(BR156="Yes",-10,0)</f>
        <v/>
      </c>
      <c r="BT156" s="25" t="inlineStr">
        <is>
          <t>Less than 15%</t>
        </is>
      </c>
      <c r="BU156" s="25">
        <f>IF(BT156="More than 15%",-10,IF(BT156="Less than 15%",10,0))</f>
        <v/>
      </c>
      <c r="BV156" s="25" t="inlineStr">
        <is>
          <t>No</t>
        </is>
      </c>
      <c r="BW156" s="25">
        <f>IF(BV156="Yes, more than 10%",-10,IF(BV156="No",10,0))</f>
        <v/>
      </c>
    </row>
    <row r="157">
      <c r="A157" s="25">
        <f>IF(B157=0,"",RANK(B157,$B$2:$B$292,0))</f>
        <v/>
      </c>
      <c r="B157" s="26">
        <f>SUM(Q157,S157,U157,W157,Y157,AA157,AC157,AE157,AG157,AI157,AK157,AM157,AO157,AQ157,AS157,AU157,AW157,AY157,BA157,BC157,BE157,BG157,BI157,BK157,BM157,BO157,BQ157,BS157,BU157,BW157)</f>
        <v/>
      </c>
      <c r="C157" s="25" t="inlineStr">
        <is>
          <t>PSPPROJECT</t>
        </is>
      </c>
      <c r="D157" s="25" t="inlineStr">
        <is>
          <t>PSP Projects Ltd</t>
        </is>
      </c>
      <c r="E157" s="25" t="inlineStr">
        <is>
          <t>realty</t>
        </is>
      </c>
      <c r="F157" s="25" t="inlineStr">
        <is>
          <t>construction</t>
        </is>
      </c>
      <c r="G157" s="25" t="inlineStr">
        <is>
          <t>smallcap</t>
        </is>
      </c>
      <c r="H157" s="26" t="n">
        <v>3329.32</v>
      </c>
      <c r="I157" s="26" t="n">
        <v>842.65</v>
      </c>
      <c r="J157" s="26" t="n">
        <v>0.33</v>
      </c>
      <c r="K157" s="26" t="n">
        <v>70581</v>
      </c>
      <c r="L157" s="26" t="n">
        <v>57.64</v>
      </c>
      <c r="M157" s="26" t="n">
        <v>22.37</v>
      </c>
      <c r="N157" s="26" t="n">
        <v>634.77</v>
      </c>
      <c r="O157" s="25" t="inlineStr">
        <is>
          <t>Earnings / Momentum Support</t>
        </is>
      </c>
      <c r="P157" s="25" t="inlineStr">
        <is>
          <t>Growing Industry</t>
        </is>
      </c>
      <c r="Q157" s="25">
        <f>IF(P157="Growing Industry",10,IF(P157="Cyclical in an Upturn",5,0))</f>
        <v/>
      </c>
      <c r="R157" s="25" t="inlineStr">
        <is>
          <t>Too Many Players with High ROCE</t>
        </is>
      </c>
      <c r="S157" s="25">
        <f>IF(R157="Monopoly",10,IF(R157="Oligopoly",5,IF(R157="Duopoly that cooperate",10,IF(R157="Duopoly that compete",5,IF(R157="Too many players with High ROCE",5,0)))))</f>
        <v/>
      </c>
      <c r="T157" s="25" t="inlineStr">
        <is>
          <t>No</t>
        </is>
      </c>
      <c r="U157" s="25">
        <f>IF(T157="No",5,0)</f>
        <v/>
      </c>
      <c r="V157" s="25" t="inlineStr">
        <is>
          <t>Headwind</t>
        </is>
      </c>
      <c r="W157" s="25">
        <f>IF(V157="Tailwind",10,0)</f>
        <v/>
      </c>
      <c r="X157" s="25" t="inlineStr">
        <is>
          <t>Structural (10 Years Consistency)</t>
        </is>
      </c>
      <c r="Y157" s="25">
        <f>IF(X157="Structural (10 Years Consistency)",10,IF(X157="Shallow Cyclical (2 to 3 years growth)",5,0))</f>
        <v/>
      </c>
      <c r="Z157" s="25" t="inlineStr">
        <is>
          <t>No</t>
        </is>
      </c>
      <c r="AA157" s="25">
        <f>IF(Z157="Yes due to Product Mix change or Operating Leverage",10,IF(Z157="Yes, these are peak margins",-5,IF(Z157="No",5,0)))</f>
        <v/>
      </c>
      <c r="AB157" s="25" t="inlineStr">
        <is>
          <t>Stable</t>
        </is>
      </c>
      <c r="AC157" s="25">
        <f>IF(AB157="Stable",10,0)</f>
        <v/>
      </c>
      <c r="AD157" s="25" t="inlineStr">
        <is>
          <t>Yes</t>
        </is>
      </c>
      <c r="AE157" s="25">
        <f>IF(AD157="Yes",10,0)</f>
        <v/>
      </c>
      <c r="AF157" s="25" t="inlineStr">
        <is>
          <t>B2B</t>
        </is>
      </c>
      <c r="AG157" s="25">
        <f>IF(AF157="B2C",10,IF(AF157="B2B",5,0))</f>
        <v/>
      </c>
      <c r="AH157" s="25" t="inlineStr">
        <is>
          <t>No</t>
        </is>
      </c>
      <c r="AI157" s="25">
        <f>IF(AH157="Yes",10,0)</f>
        <v/>
      </c>
      <c r="AJ157" s="25" t="inlineStr">
        <is>
          <t>Higher One Time, Lower Annuity</t>
        </is>
      </c>
      <c r="AK157" s="25">
        <f>IF(AJ157="Fully Annuity",10,IF(AJ157="Higher Annuity, Lower One Time",5,IF(AJ157="Higher One Time, Lower Annuity",3,0)))</f>
        <v/>
      </c>
      <c r="AL157" s="25" t="inlineStr">
        <is>
          <t>Good</t>
        </is>
      </c>
      <c r="AM157" s="25">
        <f>IF(AL157="Good",10,0)</f>
        <v/>
      </c>
      <c r="AN157" s="25" t="inlineStr">
        <is>
          <t>Yes for more than 2 years</t>
        </is>
      </c>
      <c r="AO157" s="25">
        <f>IF(AN157="Yes for more than 2 years",10,IF(AN157="Yes only for next 1 to 2 years",5,0))</f>
        <v/>
      </c>
      <c r="AP157" s="25" t="inlineStr">
        <is>
          <t>20 to 40</t>
        </is>
      </c>
      <c r="AQ157" s="25">
        <f>IF(AP157="Above 40",20,IF(AP157="20 to 40",10,IF(AP157="0 to 20",-5,0)))</f>
        <v/>
      </c>
      <c r="AR157" s="25" t="inlineStr">
        <is>
          <t>Between 50 to 75</t>
        </is>
      </c>
      <c r="AS157" s="25">
        <f>IF(AR157="Between 50 to 75",10,IF(AR157="Above 75",0,0))</f>
        <v/>
      </c>
      <c r="AT157" s="25" t="inlineStr">
        <is>
          <t>Stage 2</t>
        </is>
      </c>
      <c r="AU157" s="25">
        <f>IF(AT157="Stage 2",20,IF(AT157="Stage 1",0,IF(AT157="Stage 3",5,IF(AT157="Stage 4",-5,0))))</f>
        <v/>
      </c>
      <c r="AV157" s="25" t="inlineStr">
        <is>
          <t>Positive Trend</t>
        </is>
      </c>
      <c r="AW157" s="25">
        <f>IF(AV157="Positive Trend",20,IF(AV157="Negative Trend",-10,0))</f>
        <v/>
      </c>
      <c r="AX157" s="25" t="inlineStr">
        <is>
          <t>Uptrend</t>
        </is>
      </c>
      <c r="AY157" s="25">
        <f>IF(AX157="Uptrend",10,IF(AX157="Sideways",5,0))</f>
        <v/>
      </c>
      <c r="AZ157" s="25" t="inlineStr">
        <is>
          <t>Uptrend</t>
        </is>
      </c>
      <c r="BA157" s="25">
        <f>IF(AZ157="Uptrend",10,IF(AZ157="Sideways",5,0))</f>
        <v/>
      </c>
      <c r="BB157" s="25" t="inlineStr">
        <is>
          <t>Close to 52 week high or retracement</t>
        </is>
      </c>
      <c r="BC157" s="25">
        <f>IF(BB157="Overhead supply in last 2 years in last 2 years",-5,IF(BB157="Close to 52 week high or retracement",5,IF(BB157="Blue sky scenario",10,IF(BB157="Long term Downtrend",-10,0))))</f>
        <v/>
      </c>
      <c r="BD157" s="25" t="inlineStr">
        <is>
          <t>Yes</t>
        </is>
      </c>
      <c r="BE157" s="25">
        <f>IF(BD157="Yes",10,0)</f>
        <v/>
      </c>
      <c r="BF157" s="25" t="inlineStr">
        <is>
          <t>More than 20%</t>
        </is>
      </c>
      <c r="BG157" s="25">
        <f>IF(BF157="More than 20%",10,IF(BF157="Between 12 to 20%",5,IF(BF157="Less than 12%",0,0)))</f>
        <v/>
      </c>
      <c r="BH157" s="25" t="inlineStr">
        <is>
          <t>No</t>
        </is>
      </c>
      <c r="BI157" s="25">
        <f>IF(BH157="No",10,0)</f>
        <v/>
      </c>
      <c r="BJ157" s="25" t="inlineStr">
        <is>
          <t>Yes</t>
        </is>
      </c>
      <c r="BK157" s="25">
        <f>IF(BJ157="NO",5,0)</f>
        <v/>
      </c>
      <c r="BL157" s="25" t="inlineStr">
        <is>
          <t>Less than 1.5</t>
        </is>
      </c>
      <c r="BM157" s="25">
        <f>IF(BL157="Above 2",0,IF(BL157="Between 1.5 to 2",5,IF(BL157="Less than 1.5",10,0)))</f>
        <v/>
      </c>
      <c r="BN157" s="25" t="inlineStr">
        <is>
          <t>Above 70%</t>
        </is>
      </c>
      <c r="BO157" s="25">
        <f>IF(BN157="Above 70%",10,IF(BN157="Between 50% to 70%",5,IF(BN157="Less than 50%",0,IF(BN157="Negative",-10,IF(BN157="Less than 50% and Borrowings are increasing",-5,0)))))</f>
        <v/>
      </c>
      <c r="BP157" s="25" t="inlineStr">
        <is>
          <t>Less than 0.7</t>
        </is>
      </c>
      <c r="BQ157" s="25">
        <f>IF(BP157="More than 1.2",-10,IF(BP157="Between 0.7 to 1.2",0,IF(BP157="Less than 0.7",10,0)))</f>
        <v/>
      </c>
      <c r="BR157" s="25" t="inlineStr">
        <is>
          <t>No</t>
        </is>
      </c>
      <c r="BS157" s="25">
        <f>IF(BR157="Yes",-10,0)</f>
        <v/>
      </c>
      <c r="BT157" s="25" t="inlineStr">
        <is>
          <t>Less than 15%</t>
        </is>
      </c>
      <c r="BU157" s="25">
        <f>IF(BT157="More than 15%",-10,IF(BT157="Less than 15%",10,0))</f>
        <v/>
      </c>
      <c r="BV157" s="25" t="inlineStr">
        <is>
          <t>No</t>
        </is>
      </c>
      <c r="BW157" s="25">
        <f>IF(BV157="Yes, more than 10%",-10,IF(BV157="No",10,0))</f>
        <v/>
      </c>
    </row>
    <row r="158">
      <c r="A158" s="25">
        <f>IF(B158=0,"",RANK(B158,$B$2:$B$292,0))</f>
        <v/>
      </c>
      <c r="B158" s="26">
        <f>SUM(Q158,S158,U158,W158,Y158,AA158,AC158,AE158,AG158,AI158,AK158,AM158,AO158,AQ158,AS158,AU158,AW158,AY158,BA158,BC158,BE158,BG158,BI158,BK158,BM158,BO158,BQ158,BS158,BU158,BW158)</f>
        <v/>
      </c>
      <c r="C158" s="25" t="inlineStr">
        <is>
          <t>ADANIGREEN</t>
        </is>
      </c>
      <c r="D158" s="25" t="inlineStr">
        <is>
          <t>Adani Green Energy Ltd</t>
        </is>
      </c>
      <c r="E158" s="25" t="inlineStr">
        <is>
          <t>power &amp; utilities</t>
        </is>
      </c>
      <c r="F158" s="25" t="inlineStr">
        <is>
          <t>power generation and supply</t>
        </is>
      </c>
      <c r="G158" s="25" t="inlineStr">
        <is>
          <t>largecap</t>
        </is>
      </c>
      <c r="H158" s="26" t="n">
        <v>238329.92</v>
      </c>
      <c r="I158" s="26" t="n">
        <v>1449.4</v>
      </c>
      <c r="J158" s="26" t="n">
        <v>0.17</v>
      </c>
      <c r="K158" s="26" t="n">
        <v>4897662</v>
      </c>
      <c r="L158" s="26" t="n">
        <v>72.45</v>
      </c>
      <c r="M158" s="26" t="n">
        <v>34.21</v>
      </c>
      <c r="N158" s="26" t="n">
        <v>1160.93</v>
      </c>
      <c r="O158" s="25" t="inlineStr">
        <is>
          <t>Near 52W High Breakout</t>
        </is>
      </c>
      <c r="P158" s="25" t="inlineStr">
        <is>
          <t>Growing Industry</t>
        </is>
      </c>
      <c r="Q158" s="25">
        <f>IF(P158="Growing Industry",10,IF(P158="Cyclical in an Upturn",5,0))</f>
        <v/>
      </c>
      <c r="R158" s="25" t="inlineStr">
        <is>
          <t>Too Many Players with High ROCE</t>
        </is>
      </c>
      <c r="S158" s="25">
        <f>IF(R158="Monopoly",10,IF(R158="Oligopoly",5,IF(R158="Duopoly that cooperate",10,IF(R158="Duopoly that compete",5,IF(R158="Too many players with High ROCE",5,0)))))</f>
        <v/>
      </c>
      <c r="T158" s="25" t="inlineStr">
        <is>
          <t>No</t>
        </is>
      </c>
      <c r="U158" s="25">
        <f>IF(T158="No",5,0)</f>
        <v/>
      </c>
      <c r="V158" s="25" t="inlineStr">
        <is>
          <t>Tailwind</t>
        </is>
      </c>
      <c r="W158" s="25">
        <f>IF(V158="Tailwind",10,0)</f>
        <v/>
      </c>
      <c r="X158" s="25" t="inlineStr">
        <is>
          <t>Structural (10 Years Consistency)</t>
        </is>
      </c>
      <c r="Y158" s="25">
        <f>IF(X158="Structural (10 Years Consistency)",10,IF(X158="Shallow Cyclical (2 to 3 years growth)",5,0))</f>
        <v/>
      </c>
      <c r="Z158" s="25" t="inlineStr">
        <is>
          <t>No</t>
        </is>
      </c>
      <c r="AA158" s="25">
        <f>IF(Z158="Yes due to Product Mix change or Operating Leverage",10,IF(Z158="Yes, these are peak margins",-5,IF(Z158="No",5,0)))</f>
        <v/>
      </c>
      <c r="AB158" s="25" t="inlineStr">
        <is>
          <t>Stable</t>
        </is>
      </c>
      <c r="AC158" s="25">
        <f>IF(AB158="Stable",10,0)</f>
        <v/>
      </c>
      <c r="AD158" s="25" t="inlineStr">
        <is>
          <t>Yes</t>
        </is>
      </c>
      <c r="AE158" s="25">
        <f>IF(AD158="Yes",10,0)</f>
        <v/>
      </c>
      <c r="AF158" s="25" t="inlineStr">
        <is>
          <t>B2B</t>
        </is>
      </c>
      <c r="AG158" s="25">
        <f>IF(AF158="B2C",10,IF(AF158="B2B",5,0))</f>
        <v/>
      </c>
      <c r="AH158" s="25" t="inlineStr">
        <is>
          <t>Yes</t>
        </is>
      </c>
      <c r="AI158" s="25">
        <f>IF(AH158="Yes",10,0)</f>
        <v/>
      </c>
      <c r="AJ158" s="25" t="inlineStr">
        <is>
          <t>Higher One Time, Lower Annuity</t>
        </is>
      </c>
      <c r="AK158" s="25">
        <f>IF(AJ158="Fully Annuity",10,IF(AJ158="Higher Annuity, Lower One Time",5,IF(AJ158="Higher One Time, Lower Annuity",3,0)))</f>
        <v/>
      </c>
      <c r="AL158" s="25" t="inlineStr">
        <is>
          <t>Good</t>
        </is>
      </c>
      <c r="AM158" s="25">
        <f>IF(AL158="Good",10,0)</f>
        <v/>
      </c>
      <c r="AN158" s="25" t="inlineStr">
        <is>
          <t>Yes for more than 2 years</t>
        </is>
      </c>
      <c r="AO158" s="25">
        <f>IF(AN158="Yes for more than 2 years",10,IF(AN158="Yes only for next 1 to 2 years",5,0))</f>
        <v/>
      </c>
      <c r="AP158" s="25" t="inlineStr">
        <is>
          <t>20 to 40</t>
        </is>
      </c>
      <c r="AQ158" s="25">
        <f>IF(AP158="Above 40",20,IF(AP158="20 to 40",10,IF(AP158="0 to 20",-5,0)))</f>
        <v/>
      </c>
      <c r="AR158" s="25" t="inlineStr">
        <is>
          <t>Between 50 to 75</t>
        </is>
      </c>
      <c r="AS158" s="25">
        <f>IF(AR158="Between 50 to 75",10,IF(AR158="Above 75",0,0))</f>
        <v/>
      </c>
      <c r="AT158" s="25" t="inlineStr">
        <is>
          <t>Stage 2</t>
        </is>
      </c>
      <c r="AU158" s="25">
        <f>IF(AT158="Stage 2",20,IF(AT158="Stage 1",0,IF(AT158="Stage 3",5,IF(AT158="Stage 4",-5,0))))</f>
        <v/>
      </c>
      <c r="AV158" s="25" t="inlineStr">
        <is>
          <t>Positive Trend</t>
        </is>
      </c>
      <c r="AW158" s="25">
        <f>IF(AV158="Positive Trend",20,IF(AV158="Negative Trend",-10,0))</f>
        <v/>
      </c>
      <c r="AX158" s="25" t="inlineStr">
        <is>
          <t>Uptrend</t>
        </is>
      </c>
      <c r="AY158" s="25">
        <f>IF(AX158="Uptrend",10,IF(AX158="Sideways",5,0))</f>
        <v/>
      </c>
      <c r="AZ158" s="25" t="inlineStr">
        <is>
          <t>Uptrend</t>
        </is>
      </c>
      <c r="BA158" s="25">
        <f>IF(AZ158="Uptrend",10,IF(AZ158="Sideways",5,0))</f>
        <v/>
      </c>
      <c r="BB158" s="25" t="inlineStr">
        <is>
          <t>Close to 52 week high or retracement</t>
        </is>
      </c>
      <c r="BC158" s="25">
        <f>IF(BB158="Overhead supply in last 2 years in last 2 years",-5,IF(BB158="Close to 52 week high or retracement",5,IF(BB158="Blue sky scenario",10,IF(BB158="Long term Downtrend",-10,0))))</f>
        <v/>
      </c>
      <c r="BD158" s="25" t="inlineStr">
        <is>
          <t>Yes</t>
        </is>
      </c>
      <c r="BE158" s="25">
        <f>IF(BD158="Yes",10,0)</f>
        <v/>
      </c>
      <c r="BF158" s="25" t="inlineStr">
        <is>
          <t>More than 20%</t>
        </is>
      </c>
      <c r="BG158" s="25">
        <f>IF(BF158="More than 20%",10,IF(BF158="Between 12 to 20%",5,IF(BF158="Less than 12%",0,0)))</f>
        <v/>
      </c>
      <c r="BH158" s="25" t="inlineStr">
        <is>
          <t>No</t>
        </is>
      </c>
      <c r="BI158" s="25">
        <f>IF(BH158="No",10,0)</f>
        <v/>
      </c>
      <c r="BJ158" s="25" t="inlineStr">
        <is>
          <t>Yes</t>
        </is>
      </c>
      <c r="BK158" s="25">
        <f>IF(BJ158="NO",5,0)</f>
        <v/>
      </c>
      <c r="BL158" s="25" t="inlineStr">
        <is>
          <t>Less than 1.5</t>
        </is>
      </c>
      <c r="BM158" s="25">
        <f>IF(BL158="Above 2",0,IF(BL158="Between 1.5 to 2",5,IF(BL158="Less than 1.5",10,0)))</f>
        <v/>
      </c>
      <c r="BN158" s="25" t="inlineStr">
        <is>
          <t>Above 70%</t>
        </is>
      </c>
      <c r="BO158" s="25">
        <f>IF(BN158="Above 70%",10,IF(BN158="Between 50% to 70%",5,IF(BN158="Less than 50%",0,IF(BN158="Negative",-10,IF(BN158="Less than 50% and Borrowings are increasing",-5,0)))))</f>
        <v/>
      </c>
      <c r="BP158" s="25" t="inlineStr">
        <is>
          <t>More than 1.2</t>
        </is>
      </c>
      <c r="BQ158" s="25">
        <f>IF(BP158="More than 1.2",-10,IF(BP158="Between 0.7 to 1.2",0,IF(BP158="Less than 0.7",10,0)))</f>
        <v/>
      </c>
      <c r="BR158" s="25" t="inlineStr">
        <is>
          <t>No</t>
        </is>
      </c>
      <c r="BS158" s="25">
        <f>IF(BR158="Yes",-10,0)</f>
        <v/>
      </c>
      <c r="BT158" s="25" t="inlineStr">
        <is>
          <t>Less than 15%</t>
        </is>
      </c>
      <c r="BU158" s="25">
        <f>IF(BT158="More than 15%",-10,IF(BT158="Less than 15%",10,0))</f>
        <v/>
      </c>
      <c r="BV158" s="25" t="inlineStr">
        <is>
          <t>No</t>
        </is>
      </c>
      <c r="BW158" s="25">
        <f>IF(BV158="Yes, more than 10%",-10,IF(BV158="No",10,0))</f>
        <v/>
      </c>
    </row>
    <row r="159">
      <c r="A159" s="25">
        <f>IF(B159=0,"",RANK(B159,$B$2:$B$292,0))</f>
        <v/>
      </c>
      <c r="B159" s="26">
        <f>SUM(Q159,S159,U159,W159,Y159,AA159,AC159,AE159,AG159,AI159,AK159,AM159,AO159,AQ159,AS159,AU159,AW159,AY159,BA159,BC159,BE159,BG159,BI159,BK159,BM159,BO159,BQ159,BS159,BU159,BW159)</f>
        <v/>
      </c>
      <c r="C159" s="25" t="inlineStr">
        <is>
          <t>WABAG</t>
        </is>
      </c>
      <c r="D159" s="25" t="inlineStr">
        <is>
          <t>Va Tech Wabag Limited</t>
        </is>
      </c>
      <c r="E159" s="25" t="inlineStr">
        <is>
          <t>realty</t>
        </is>
      </c>
      <c r="F159" s="25" t="inlineStr">
        <is>
          <t>engineering - turnkey services</t>
        </is>
      </c>
      <c r="G159" s="25" t="inlineStr">
        <is>
          <t>midcap</t>
        </is>
      </c>
      <c r="H159" s="26" t="n">
        <v>9695.370000000001</v>
      </c>
      <c r="I159" s="26" t="n">
        <v>1551.8</v>
      </c>
      <c r="J159" s="26" t="n">
        <v>-0.27</v>
      </c>
      <c r="K159" s="26" t="n">
        <v>249997</v>
      </c>
      <c r="L159" s="26" t="n">
        <v>63.58</v>
      </c>
      <c r="M159" s="26" t="n">
        <v>15.03</v>
      </c>
      <c r="N159" s="26" t="n">
        <v>1214.82</v>
      </c>
      <c r="O159" s="25" t="inlineStr">
        <is>
          <t>Near 52W High Breakout</t>
        </is>
      </c>
      <c r="P159" s="25" t="inlineStr">
        <is>
          <t>Growing Industry</t>
        </is>
      </c>
      <c r="Q159" s="25">
        <f>IF(P159="Growing Industry",10,IF(P159="Cyclical in an Upturn",5,0))</f>
        <v/>
      </c>
      <c r="R159" s="25" t="inlineStr">
        <is>
          <t>Too Many Players with High ROCE</t>
        </is>
      </c>
      <c r="S159" s="25">
        <f>IF(R159="Monopoly",10,IF(R159="Oligopoly",5,IF(R159="Duopoly that cooperate",10,IF(R159="Duopoly that compete",5,IF(R159="Too many players with High ROCE",5,0)))))</f>
        <v/>
      </c>
      <c r="T159" s="25" t="inlineStr">
        <is>
          <t>No</t>
        </is>
      </c>
      <c r="U159" s="25">
        <f>IF(T159="No",5,0)</f>
        <v/>
      </c>
      <c r="V159" s="25" t="inlineStr">
        <is>
          <t>Tailwind</t>
        </is>
      </c>
      <c r="W159" s="25">
        <f>IF(V159="Tailwind",10,0)</f>
        <v/>
      </c>
      <c r="X159" s="25" t="inlineStr">
        <is>
          <t>Structural (10 Years Consistency)</t>
        </is>
      </c>
      <c r="Y159" s="25">
        <f>IF(X159="Structural (10 Years Consistency)",10,IF(X159="Shallow Cyclical (2 to 3 years growth)",5,0))</f>
        <v/>
      </c>
      <c r="Z159" s="25" t="inlineStr">
        <is>
          <t>No</t>
        </is>
      </c>
      <c r="AA159" s="25">
        <f>IF(Z159="Yes due to Product Mix change or Operating Leverage",10,IF(Z159="Yes, these are peak margins",-5,IF(Z159="No",5,0)))</f>
        <v/>
      </c>
      <c r="AB159" s="25" t="inlineStr">
        <is>
          <t>Stable</t>
        </is>
      </c>
      <c r="AC159" s="25">
        <f>IF(AB159="Stable",10,0)</f>
        <v/>
      </c>
      <c r="AD159" s="25" t="inlineStr">
        <is>
          <t>Yes</t>
        </is>
      </c>
      <c r="AE159" s="25">
        <f>IF(AD159="Yes",10,0)</f>
        <v/>
      </c>
      <c r="AF159" s="25" t="inlineStr">
        <is>
          <t>B2B</t>
        </is>
      </c>
      <c r="AG159" s="25">
        <f>IF(AF159="B2C",10,IF(AF159="B2B",5,0))</f>
        <v/>
      </c>
      <c r="AH159" s="25" t="inlineStr">
        <is>
          <t>Yes</t>
        </is>
      </c>
      <c r="AI159" s="25">
        <f>IF(AH159="Yes",10,0)</f>
        <v/>
      </c>
      <c r="AJ159" s="25" t="inlineStr">
        <is>
          <t>Higher One Time, Lower Annuity</t>
        </is>
      </c>
      <c r="AK159" s="25">
        <f>IF(AJ159="Fully Annuity",10,IF(AJ159="Higher Annuity, Lower One Time",5,IF(AJ159="Higher One Time, Lower Annuity",3,0)))</f>
        <v/>
      </c>
      <c r="AL159" s="25" t="inlineStr">
        <is>
          <t>Good</t>
        </is>
      </c>
      <c r="AM159" s="25">
        <f>IF(AL159="Good",10,0)</f>
        <v/>
      </c>
      <c r="AN159" s="25" t="inlineStr">
        <is>
          <t>Yes for more than 2 years</t>
        </is>
      </c>
      <c r="AO159" s="25">
        <f>IF(AN159="Yes for more than 2 years",10,IF(AN159="Yes only for next 1 to 2 years",5,0))</f>
        <v/>
      </c>
      <c r="AP159" s="25" t="inlineStr">
        <is>
          <t>0 to 20</t>
        </is>
      </c>
      <c r="AQ159" s="25">
        <f>IF(AP159="Above 40",20,IF(AP159="20 to 40",10,IF(AP159="0 to 20",-5,0)))</f>
        <v/>
      </c>
      <c r="AR159" s="25" t="inlineStr">
        <is>
          <t>Between 50 to 75</t>
        </is>
      </c>
      <c r="AS159" s="25">
        <f>IF(AR159="Between 50 to 75",10,IF(AR159="Above 75",0,0))</f>
        <v/>
      </c>
      <c r="AT159" s="25" t="inlineStr">
        <is>
          <t>Stage 2</t>
        </is>
      </c>
      <c r="AU159" s="25">
        <f>IF(AT159="Stage 2",20,IF(AT159="Stage 1",0,IF(AT159="Stage 3",5,IF(AT159="Stage 4",-5,0))))</f>
        <v/>
      </c>
      <c r="AV159" s="25" t="inlineStr">
        <is>
          <t>Positive Trend</t>
        </is>
      </c>
      <c r="AW159" s="25">
        <f>IF(AV159="Positive Trend",20,IF(AV159="Negative Trend",-10,0))</f>
        <v/>
      </c>
      <c r="AX159" s="25" t="inlineStr">
        <is>
          <t>Uptrend</t>
        </is>
      </c>
      <c r="AY159" s="25">
        <f>IF(AX159="Uptrend",10,IF(AX159="Sideways",5,0))</f>
        <v/>
      </c>
      <c r="AZ159" s="25" t="inlineStr">
        <is>
          <t>Uptrend</t>
        </is>
      </c>
      <c r="BA159" s="25">
        <f>IF(AZ159="Uptrend",10,IF(AZ159="Sideways",5,0))</f>
        <v/>
      </c>
      <c r="BB159" s="25" t="inlineStr">
        <is>
          <t>Close to 52 week high or retracement</t>
        </is>
      </c>
      <c r="BC159" s="25">
        <f>IF(BB159="Overhead supply in last 2 years in last 2 years",-5,IF(BB159="Close to 52 week high or retracement",5,IF(BB159="Blue sky scenario",10,IF(BB159="Long term Downtrend",-10,0))))</f>
        <v/>
      </c>
      <c r="BD159" s="25" t="inlineStr">
        <is>
          <t>Yes</t>
        </is>
      </c>
      <c r="BE159" s="25">
        <f>IF(BD159="Yes",10,0)</f>
        <v/>
      </c>
      <c r="BF159" s="25" t="inlineStr">
        <is>
          <t>More than 20%</t>
        </is>
      </c>
      <c r="BG159" s="25">
        <f>IF(BF159="More than 20%",10,IF(BF159="Between 12 to 20%",5,IF(BF159="Less than 12%",0,0)))</f>
        <v/>
      </c>
      <c r="BH159" s="25" t="inlineStr">
        <is>
          <t>No</t>
        </is>
      </c>
      <c r="BI159" s="25">
        <f>IF(BH159="No",10,0)</f>
        <v/>
      </c>
      <c r="BJ159" s="25" t="inlineStr">
        <is>
          <t>No</t>
        </is>
      </c>
      <c r="BK159" s="25">
        <f>IF(BJ159="NO",5,0)</f>
        <v/>
      </c>
      <c r="BL159" s="25" t="inlineStr">
        <is>
          <t>Less than 1.5</t>
        </is>
      </c>
      <c r="BM159" s="25">
        <f>IF(BL159="Above 2",0,IF(BL159="Between 1.5 to 2",5,IF(BL159="Less than 1.5",10,0)))</f>
        <v/>
      </c>
      <c r="BN159" s="25" t="inlineStr">
        <is>
          <t>Less than 50%</t>
        </is>
      </c>
      <c r="BO159" s="25">
        <f>IF(BN159="Above 70%",10,IF(BN159="Between 50% to 70%",5,IF(BN159="Less than 50%",0,IF(BN159="Negative",-10,IF(BN159="Less than 50% and Borrowings are increasing",-5,0)))))</f>
        <v/>
      </c>
      <c r="BP159" s="25" t="inlineStr">
        <is>
          <t>Less than 0.7</t>
        </is>
      </c>
      <c r="BQ159" s="25">
        <f>IF(BP159="More than 1.2",-10,IF(BP159="Between 0.7 to 1.2",0,IF(BP159="Less than 0.7",10,0)))</f>
        <v/>
      </c>
      <c r="BR159" s="25" t="inlineStr">
        <is>
          <t>No</t>
        </is>
      </c>
      <c r="BS159" s="25">
        <f>IF(BR159="Yes",-10,0)</f>
        <v/>
      </c>
      <c r="BT159" s="25" t="inlineStr">
        <is>
          <t>Less than 15%</t>
        </is>
      </c>
      <c r="BU159" s="25">
        <f>IF(BT159="More than 15%",-10,IF(BT159="Less than 15%",10,0))</f>
        <v/>
      </c>
      <c r="BV159" s="25" t="inlineStr">
        <is>
          <t>No</t>
        </is>
      </c>
      <c r="BW159" s="25">
        <f>IF(BV159="Yes, more than 10%",-10,IF(BV159="No",10,0))</f>
        <v/>
      </c>
    </row>
    <row r="160">
      <c r="A160" s="25">
        <f>IF(B160=0,"",RANK(B160,$B$2:$B$292,0))</f>
        <v/>
      </c>
      <c r="B160" s="26">
        <f>SUM(Q160,S160,U160,W160,Y160,AA160,AC160,AE160,AG160,AI160,AK160,AM160,AO160,AQ160,AS160,AU160,AW160,AY160,BA160,BC160,BE160,BG160,BI160,BK160,BM160,BO160,BQ160,BS160,BU160,BW160)</f>
        <v/>
      </c>
      <c r="C160" s="25" t="inlineStr">
        <is>
          <t>AEGISLOG</t>
        </is>
      </c>
      <c r="D160" s="25" t="inlineStr">
        <is>
          <t>Aegis Logistics Ltd</t>
        </is>
      </c>
      <c r="E160" s="25" t="inlineStr">
        <is>
          <t>services</t>
        </is>
      </c>
      <c r="F160" s="25" t="inlineStr">
        <is>
          <t>trading</t>
        </is>
      </c>
      <c r="G160" s="25" t="inlineStr">
        <is>
          <t>largecap</t>
        </is>
      </c>
      <c r="H160" s="26" t="n">
        <v>27176.18</v>
      </c>
      <c r="I160" s="26" t="n">
        <v>767.15</v>
      </c>
      <c r="J160" s="26" t="n">
        <v>-0.92</v>
      </c>
      <c r="K160" s="26" t="n">
        <v>581365</v>
      </c>
      <c r="L160" s="26" t="n">
        <v>58.79</v>
      </c>
      <c r="M160" s="26" t="n">
        <v>16.52</v>
      </c>
      <c r="N160" s="26" t="n">
        <v>582.8099999999999</v>
      </c>
      <c r="O160" s="25" t="inlineStr">
        <is>
          <t>Earnings / Momentum Support</t>
        </is>
      </c>
      <c r="P160" s="25" t="inlineStr">
        <is>
          <t>Growing Industry</t>
        </is>
      </c>
      <c r="Q160" s="25">
        <f>IF(P160="Growing Industry",10,IF(P160="Cyclical in an Upturn",5,0))</f>
        <v/>
      </c>
      <c r="R160" s="25" t="inlineStr">
        <is>
          <t>Too Many Players with High ROCE</t>
        </is>
      </c>
      <c r="S160" s="25">
        <f>IF(R160="Monopoly",10,IF(R160="Oligopoly",5,IF(R160="Duopoly that cooperate",10,IF(R160="Duopoly that compete",5,IF(R160="Too many players with High ROCE",5,0)))))</f>
        <v/>
      </c>
      <c r="T160" s="25" t="inlineStr">
        <is>
          <t>No</t>
        </is>
      </c>
      <c r="U160" s="25">
        <f>IF(T160="No",5,0)</f>
        <v/>
      </c>
      <c r="V160" s="25" t="inlineStr">
        <is>
          <t>Tailwind</t>
        </is>
      </c>
      <c r="W160" s="25">
        <f>IF(V160="Tailwind",10,0)</f>
        <v/>
      </c>
      <c r="X160" s="25" t="inlineStr">
        <is>
          <t>Structural (10 Years Consistency)</t>
        </is>
      </c>
      <c r="Y160" s="25">
        <f>IF(X160="Structural (10 Years Consistency)",10,IF(X160="Shallow Cyclical (2 to 3 years growth)",5,0))</f>
        <v/>
      </c>
      <c r="Z160" s="25" t="inlineStr">
        <is>
          <t>No</t>
        </is>
      </c>
      <c r="AA160" s="25">
        <f>IF(Z160="Yes due to Product Mix change or Operating Leverage",10,IF(Z160="Yes, these are peak margins",-5,IF(Z160="No",5,0)))</f>
        <v/>
      </c>
      <c r="AB160" s="25" t="inlineStr">
        <is>
          <t>Stable</t>
        </is>
      </c>
      <c r="AC160" s="25">
        <f>IF(AB160="Stable",10,0)</f>
        <v/>
      </c>
      <c r="AD160" s="25" t="inlineStr">
        <is>
          <t>Yes</t>
        </is>
      </c>
      <c r="AE160" s="25">
        <f>IF(AD160="Yes",10,0)</f>
        <v/>
      </c>
      <c r="AF160" s="25" t="inlineStr">
        <is>
          <t>B2B</t>
        </is>
      </c>
      <c r="AG160" s="25">
        <f>IF(AF160="B2C",10,IF(AF160="B2B",5,0))</f>
        <v/>
      </c>
      <c r="AH160" s="25" t="inlineStr">
        <is>
          <t>No</t>
        </is>
      </c>
      <c r="AI160" s="25">
        <f>IF(AH160="Yes",10,0)</f>
        <v/>
      </c>
      <c r="AJ160" s="25" t="inlineStr">
        <is>
          <t>Higher One Time, Lower Annuity</t>
        </is>
      </c>
      <c r="AK160" s="25">
        <f>IF(AJ160="Fully Annuity",10,IF(AJ160="Higher Annuity, Lower One Time",5,IF(AJ160="Higher One Time, Lower Annuity",3,0)))</f>
        <v/>
      </c>
      <c r="AL160" s="25" t="inlineStr">
        <is>
          <t>Good</t>
        </is>
      </c>
      <c r="AM160" s="25">
        <f>IF(AL160="Good",10,0)</f>
        <v/>
      </c>
      <c r="AN160" s="25" t="inlineStr">
        <is>
          <t>Yes for more than 2 years</t>
        </is>
      </c>
      <c r="AO160" s="25">
        <f>IF(AN160="Yes for more than 2 years",10,IF(AN160="Yes only for next 1 to 2 years",5,0))</f>
        <v/>
      </c>
      <c r="AP160" s="25" t="inlineStr">
        <is>
          <t>0 to 20</t>
        </is>
      </c>
      <c r="AQ160" s="25">
        <f>IF(AP160="Above 40",20,IF(AP160="20 to 40",10,IF(AP160="0 to 20",-5,0)))</f>
        <v/>
      </c>
      <c r="AR160" s="25" t="inlineStr">
        <is>
          <t>Between 50 to 75</t>
        </is>
      </c>
      <c r="AS160" s="25">
        <f>IF(AR160="Between 50 to 75",10,IF(AR160="Above 75",0,0))</f>
        <v/>
      </c>
      <c r="AT160" s="25" t="inlineStr">
        <is>
          <t>Stage 2</t>
        </is>
      </c>
      <c r="AU160" s="25">
        <f>IF(AT160="Stage 2",20,IF(AT160="Stage 1",0,IF(AT160="Stage 3",5,IF(AT160="Stage 4",-5,0))))</f>
        <v/>
      </c>
      <c r="AV160" s="25" t="inlineStr">
        <is>
          <t>Positive Trend</t>
        </is>
      </c>
      <c r="AW160" s="25">
        <f>IF(AV160="Positive Trend",20,IF(AV160="Negative Trend",-10,0))</f>
        <v/>
      </c>
      <c r="AX160" s="25" t="inlineStr">
        <is>
          <t>Uptrend</t>
        </is>
      </c>
      <c r="AY160" s="25">
        <f>IF(AX160="Uptrend",10,IF(AX160="Sideways",5,0))</f>
        <v/>
      </c>
      <c r="AZ160" s="25" t="inlineStr">
        <is>
          <t>Uptrend</t>
        </is>
      </c>
      <c r="BA160" s="25">
        <f>IF(AZ160="Uptrend",10,IF(AZ160="Sideways",5,0))</f>
        <v/>
      </c>
      <c r="BB160" s="25" t="inlineStr">
        <is>
          <t>Close to 52 week high or retracement</t>
        </is>
      </c>
      <c r="BC160" s="25">
        <f>IF(BB160="Overhead supply in last 2 years in last 2 years",-5,IF(BB160="Close to 52 week high or retracement",5,IF(BB160="Blue sky scenario",10,IF(BB160="Long term Downtrend",-10,0))))</f>
        <v/>
      </c>
      <c r="BD160" s="25" t="inlineStr">
        <is>
          <t>Yes</t>
        </is>
      </c>
      <c r="BE160" s="25">
        <f>IF(BD160="Yes",10,0)</f>
        <v/>
      </c>
      <c r="BF160" s="25" t="inlineStr">
        <is>
          <t>More than 20%</t>
        </is>
      </c>
      <c r="BG160" s="25">
        <f>IF(BF160="More than 20%",10,IF(BF160="Between 12 to 20%",5,IF(BF160="Less than 12%",0,0)))</f>
        <v/>
      </c>
      <c r="BH160" s="25" t="inlineStr">
        <is>
          <t>No</t>
        </is>
      </c>
      <c r="BI160" s="25">
        <f>IF(BH160="No",10,0)</f>
        <v/>
      </c>
      <c r="BJ160" s="25" t="inlineStr">
        <is>
          <t>No</t>
        </is>
      </c>
      <c r="BK160" s="25">
        <f>IF(BJ160="NO",5,0)</f>
        <v/>
      </c>
      <c r="BL160" s="25" t="inlineStr">
        <is>
          <t>Less than 1.5</t>
        </is>
      </c>
      <c r="BM160" s="25">
        <f>IF(BL160="Above 2",0,IF(BL160="Between 1.5 to 2",5,IF(BL160="Less than 1.5",10,0)))</f>
        <v/>
      </c>
      <c r="BN160" s="25" t="inlineStr">
        <is>
          <t>Above 70%</t>
        </is>
      </c>
      <c r="BO160" s="25">
        <f>IF(BN160="Above 70%",10,IF(BN160="Between 50% to 70%",5,IF(BN160="Less than 50%",0,IF(BN160="Negative",-10,IF(BN160="Less than 50% and Borrowings are increasing",-5,0)))))</f>
        <v/>
      </c>
      <c r="BP160" s="25" t="inlineStr">
        <is>
          <t>Less than 0.7</t>
        </is>
      </c>
      <c r="BQ160" s="25">
        <f>IF(BP160="More than 1.2",-10,IF(BP160="Between 0.7 to 1.2",0,IF(BP160="Less than 0.7",10,0)))</f>
        <v/>
      </c>
      <c r="BR160" s="25" t="inlineStr">
        <is>
          <t>No</t>
        </is>
      </c>
      <c r="BS160" s="25">
        <f>IF(BR160="Yes",-10,0)</f>
        <v/>
      </c>
      <c r="BT160" s="25" t="inlineStr">
        <is>
          <t>Less than 15%</t>
        </is>
      </c>
      <c r="BU160" s="25">
        <f>IF(BT160="More than 15%",-10,IF(BT160="Less than 15%",10,0))</f>
        <v/>
      </c>
      <c r="BV160" s="25" t="inlineStr">
        <is>
          <t>No</t>
        </is>
      </c>
      <c r="BW160" s="25">
        <f>IF(BV160="Yes, more than 10%",-10,IF(BV160="No",10,0))</f>
        <v/>
      </c>
    </row>
    <row r="161">
      <c r="A161" s="25">
        <f>IF(B161=0,"",RANK(B161,$B$2:$B$292,0))</f>
        <v/>
      </c>
      <c r="B161" s="26">
        <f>SUM(Q161,S161,U161,W161,Y161,AA161,AC161,AE161,AG161,AI161,AK161,AM161,AO161,AQ161,AS161,AU161,AW161,AY161,BA161,BC161,BE161,BG161,BI161,BK161,BM161,BO161,BQ161,BS161,BU161,BW161)</f>
        <v/>
      </c>
      <c r="C161" s="25" t="inlineStr">
        <is>
          <t>GHCLTEXTIL</t>
        </is>
      </c>
      <c r="D161" s="25" t="inlineStr">
        <is>
          <t>GHCL Textiles Ltd</t>
        </is>
      </c>
      <c r="E161" s="25" t="inlineStr">
        <is>
          <t>textiles</t>
        </is>
      </c>
      <c r="F161" s="25" t="inlineStr">
        <is>
          <t>textiles - spinning - synthetic / blended</t>
        </is>
      </c>
      <c r="G161" s="25" t="inlineStr">
        <is>
          <t>smallcap</t>
        </is>
      </c>
      <c r="H161" s="26" t="n">
        <v>950.6</v>
      </c>
      <c r="I161" s="26" t="n">
        <v>97.17</v>
      </c>
      <c r="J161" s="26" t="n">
        <v>-2.29</v>
      </c>
      <c r="K161" s="26" t="n">
        <v>373108</v>
      </c>
      <c r="L161" s="26" t="n">
        <v>65.34</v>
      </c>
      <c r="M161" s="26" t="n">
        <v>16.5</v>
      </c>
      <c r="N161" s="26" t="n">
        <v>72</v>
      </c>
      <c r="O161" s="25" t="inlineStr">
        <is>
          <t>Near 52W High Breakout</t>
        </is>
      </c>
      <c r="P161" s="25" t="inlineStr">
        <is>
          <t>Growing Industry</t>
        </is>
      </c>
      <c r="Q161" s="25">
        <f>IF(P161="Growing Industry",10,IF(P161="Cyclical in an Upturn",5,0))</f>
        <v/>
      </c>
      <c r="R161" s="25" t="inlineStr">
        <is>
          <t>Too Many Players with High ROCE</t>
        </is>
      </c>
      <c r="S161" s="25">
        <f>IF(R161="Monopoly",10,IF(R161="Oligopoly",5,IF(R161="Duopoly that cooperate",10,IF(R161="Duopoly that compete",5,IF(R161="Too many players with High ROCE",5,0)))))</f>
        <v/>
      </c>
      <c r="T161" s="25" t="inlineStr">
        <is>
          <t>No</t>
        </is>
      </c>
      <c r="U161" s="25">
        <f>IF(T161="No",5,0)</f>
        <v/>
      </c>
      <c r="V161" s="25" t="inlineStr">
        <is>
          <t>Tailwind</t>
        </is>
      </c>
      <c r="W161" s="25">
        <f>IF(V161="Tailwind",10,0)</f>
        <v/>
      </c>
      <c r="X161" s="25" t="inlineStr">
        <is>
          <t>Structural (10 Years Consistency)</t>
        </is>
      </c>
      <c r="Y161" s="25">
        <f>IF(X161="Structural (10 Years Consistency)",10,IF(X161="Shallow Cyclical (2 to 3 years growth)",5,0))</f>
        <v/>
      </c>
      <c r="Z161" s="25" t="inlineStr">
        <is>
          <t>No</t>
        </is>
      </c>
      <c r="AA161" s="25">
        <f>IF(Z161="Yes due to Product Mix change or Operating Leverage",10,IF(Z161="Yes, these are peak margins",-5,IF(Z161="No",5,0)))</f>
        <v/>
      </c>
      <c r="AB161" s="25" t="inlineStr">
        <is>
          <t>Stable</t>
        </is>
      </c>
      <c r="AC161" s="25">
        <f>IF(AB161="Stable",10,0)</f>
        <v/>
      </c>
      <c r="AD161" s="25" t="inlineStr">
        <is>
          <t>Yes</t>
        </is>
      </c>
      <c r="AE161" s="25">
        <f>IF(AD161="Yes",10,0)</f>
        <v/>
      </c>
      <c r="AF161" s="25" t="inlineStr">
        <is>
          <t>B2B</t>
        </is>
      </c>
      <c r="AG161" s="25">
        <f>IF(AF161="B2C",10,IF(AF161="B2B",5,0))</f>
        <v/>
      </c>
      <c r="AH161" s="25" t="inlineStr">
        <is>
          <t>Yes</t>
        </is>
      </c>
      <c r="AI161" s="25">
        <f>IF(AH161="Yes",10,0)</f>
        <v/>
      </c>
      <c r="AJ161" s="25" t="inlineStr">
        <is>
          <t>Higher One Time, Lower Annuity</t>
        </is>
      </c>
      <c r="AK161" s="25">
        <f>IF(AJ161="Fully Annuity",10,IF(AJ161="Higher Annuity, Lower One Time",5,IF(AJ161="Higher One Time, Lower Annuity",3,0)))</f>
        <v/>
      </c>
      <c r="AL161" s="25" t="inlineStr">
        <is>
          <t>Good</t>
        </is>
      </c>
      <c r="AM161" s="25">
        <f>IF(AL161="Good",10,0)</f>
        <v/>
      </c>
      <c r="AN161" s="25" t="inlineStr">
        <is>
          <t>Yes for more than 2 years</t>
        </is>
      </c>
      <c r="AO161" s="25">
        <f>IF(AN161="Yes for more than 2 years",10,IF(AN161="Yes only for next 1 to 2 years",5,0))</f>
        <v/>
      </c>
      <c r="AP161" s="25" t="inlineStr">
        <is>
          <t>0 to 20</t>
        </is>
      </c>
      <c r="AQ161" s="25">
        <f>IF(AP161="Above 40",20,IF(AP161="20 to 40",10,IF(AP161="0 to 20",-5,0)))</f>
        <v/>
      </c>
      <c r="AR161" s="25" t="inlineStr">
        <is>
          <t>Between 50 to 75</t>
        </is>
      </c>
      <c r="AS161" s="25">
        <f>IF(AR161="Between 50 to 75",10,IF(AR161="Above 75",0,0))</f>
        <v/>
      </c>
      <c r="AT161" s="25" t="inlineStr">
        <is>
          <t>Stage 2</t>
        </is>
      </c>
      <c r="AU161" s="25">
        <f>IF(AT161="Stage 2",20,IF(AT161="Stage 1",0,IF(AT161="Stage 3",5,IF(AT161="Stage 4",-5,0))))</f>
        <v/>
      </c>
      <c r="AV161" s="25" t="inlineStr">
        <is>
          <t>Positive Trend</t>
        </is>
      </c>
      <c r="AW161" s="25">
        <f>IF(AV161="Positive Trend",20,IF(AV161="Negative Trend",-10,0))</f>
        <v/>
      </c>
      <c r="AX161" s="25" t="inlineStr">
        <is>
          <t>Uptrend</t>
        </is>
      </c>
      <c r="AY161" s="25">
        <f>IF(AX161="Uptrend",10,IF(AX161="Sideways",5,0))</f>
        <v/>
      </c>
      <c r="AZ161" s="25" t="inlineStr">
        <is>
          <t>Uptrend</t>
        </is>
      </c>
      <c r="BA161" s="25">
        <f>IF(AZ161="Uptrend",10,IF(AZ161="Sideways",5,0))</f>
        <v/>
      </c>
      <c r="BB161" s="25" t="inlineStr">
        <is>
          <t>Close to 52 week high or retracement</t>
        </is>
      </c>
      <c r="BC161" s="25">
        <f>IF(BB161="Overhead supply in last 2 years in last 2 years",-5,IF(BB161="Close to 52 week high or retracement",5,IF(BB161="Blue sky scenario",10,IF(BB161="Long term Downtrend",-10,0))))</f>
        <v/>
      </c>
      <c r="BD161" s="25" t="inlineStr">
        <is>
          <t>Yes</t>
        </is>
      </c>
      <c r="BE161" s="25">
        <f>IF(BD161="Yes",10,0)</f>
        <v/>
      </c>
      <c r="BF161" s="25" t="inlineStr">
        <is>
          <t>More than 20%</t>
        </is>
      </c>
      <c r="BG161" s="25">
        <f>IF(BF161="More than 20%",10,IF(BF161="Between 12 to 20%",5,IF(BF161="Less than 12%",0,0)))</f>
        <v/>
      </c>
      <c r="BH161" s="25" t="inlineStr">
        <is>
          <t>No</t>
        </is>
      </c>
      <c r="BI161" s="25">
        <f>IF(BH161="No",10,0)</f>
        <v/>
      </c>
      <c r="BJ161" s="25" t="inlineStr">
        <is>
          <t>No</t>
        </is>
      </c>
      <c r="BK161" s="25">
        <f>IF(BJ161="NO",5,0)</f>
        <v/>
      </c>
      <c r="BL161" s="25" t="inlineStr">
        <is>
          <t>Less than 1.5</t>
        </is>
      </c>
      <c r="BM161" s="25">
        <f>IF(BL161="Above 2",0,IF(BL161="Between 1.5 to 2",5,IF(BL161="Less than 1.5",10,0)))</f>
        <v/>
      </c>
      <c r="BN161" s="25" t="inlineStr">
        <is>
          <t>Less than 50%</t>
        </is>
      </c>
      <c r="BO161" s="25">
        <f>IF(BN161="Above 70%",10,IF(BN161="Between 50% to 70%",5,IF(BN161="Less than 50%",0,IF(BN161="Negative",-10,IF(BN161="Less than 50% and Borrowings are increasing",-5,0)))))</f>
        <v/>
      </c>
      <c r="BP161" s="25" t="inlineStr">
        <is>
          <t>Less than 0.7</t>
        </is>
      </c>
      <c r="BQ161" s="25">
        <f>IF(BP161="More than 1.2",-10,IF(BP161="Between 0.7 to 1.2",0,IF(BP161="Less than 0.7",10,0)))</f>
        <v/>
      </c>
      <c r="BR161" s="25" t="inlineStr">
        <is>
          <t>No</t>
        </is>
      </c>
      <c r="BS161" s="25">
        <f>IF(BR161="Yes",-10,0)</f>
        <v/>
      </c>
      <c r="BT161" s="25" t="inlineStr">
        <is>
          <t>Less than 15%</t>
        </is>
      </c>
      <c r="BU161" s="25">
        <f>IF(BT161="More than 15%",-10,IF(BT161="Less than 15%",10,0))</f>
        <v/>
      </c>
      <c r="BV161" s="25" t="inlineStr">
        <is>
          <t>No</t>
        </is>
      </c>
      <c r="BW161" s="25">
        <f>IF(BV161="Yes, more than 10%",-10,IF(BV161="No",10,0))</f>
        <v/>
      </c>
    </row>
    <row r="162">
      <c r="A162" s="25">
        <f>IF(B162=0,"",RANK(B162,$B$2:$B$292,0))</f>
        <v/>
      </c>
      <c r="B162" s="26">
        <f>SUM(Q162,S162,U162,W162,Y162,AA162,AC162,AE162,AG162,AI162,AK162,AM162,AO162,AQ162,AS162,AU162,AW162,AY162,BA162,BC162,BE162,BG162,BI162,BK162,BM162,BO162,BQ162,BS162,BU162,BW162)</f>
        <v/>
      </c>
      <c r="C162" s="25" t="inlineStr">
        <is>
          <t>SASKEN</t>
        </is>
      </c>
      <c r="D162" s="25" t="inlineStr">
        <is>
          <t>Sasken Communication Technologies Limited</t>
        </is>
      </c>
      <c r="E162" s="25" t="inlineStr">
        <is>
          <t>i.t</t>
        </is>
      </c>
      <c r="F162" s="25" t="inlineStr">
        <is>
          <t>computers - software - medium / small</t>
        </is>
      </c>
      <c r="G162" s="25" t="inlineStr">
        <is>
          <t>smallcap</t>
        </is>
      </c>
      <c r="H162" s="26" t="n">
        <v>3447.48</v>
      </c>
      <c r="I162" s="26" t="n">
        <v>2338.5</v>
      </c>
      <c r="J162" s="26" t="n">
        <v>3.01</v>
      </c>
      <c r="K162" s="26" t="n">
        <v>131551</v>
      </c>
      <c r="L162" s="26" t="n">
        <v>79.63</v>
      </c>
      <c r="M162" s="26" t="n">
        <v>27.93</v>
      </c>
      <c r="N162" s="26" t="n">
        <v>1786.18</v>
      </c>
      <c r="O162" s="25" t="inlineStr">
        <is>
          <t>Near 52W High Breakout</t>
        </is>
      </c>
      <c r="P162" s="25" t="inlineStr">
        <is>
          <t>Growing Industry</t>
        </is>
      </c>
      <c r="Q162" s="25">
        <f>IF(P162="Growing Industry",10,IF(P162="Cyclical in an Upturn",5,0))</f>
        <v/>
      </c>
      <c r="R162" s="25" t="inlineStr">
        <is>
          <t>Too Many Players with High ROCE</t>
        </is>
      </c>
      <c r="S162" s="25">
        <f>IF(R162="Monopoly",10,IF(R162="Oligopoly",5,IF(R162="Duopoly that cooperate",10,IF(R162="Duopoly that compete",5,IF(R162="Too many players with High ROCE",5,0)))))</f>
        <v/>
      </c>
      <c r="T162" s="25" t="inlineStr">
        <is>
          <t>No</t>
        </is>
      </c>
      <c r="U162" s="25">
        <f>IF(T162="No",5,0)</f>
        <v/>
      </c>
      <c r="V162" s="25" t="inlineStr">
        <is>
          <t>Tailwind</t>
        </is>
      </c>
      <c r="W162" s="25">
        <f>IF(V162="Tailwind",10,0)</f>
        <v/>
      </c>
      <c r="X162" s="25" t="inlineStr">
        <is>
          <t>Structural (10 Years Consistency)</t>
        </is>
      </c>
      <c r="Y162" s="25">
        <f>IF(X162="Structural (10 Years Consistency)",10,IF(X162="Shallow Cyclical (2 to 3 years growth)",5,0))</f>
        <v/>
      </c>
      <c r="Z162" s="25" t="inlineStr">
        <is>
          <t>No</t>
        </is>
      </c>
      <c r="AA162" s="25">
        <f>IF(Z162="Yes due to Product Mix change or Operating Leverage",10,IF(Z162="Yes, these are peak margins",-5,IF(Z162="No",5,0)))</f>
        <v/>
      </c>
      <c r="AB162" s="25" t="inlineStr">
        <is>
          <t>Stable</t>
        </is>
      </c>
      <c r="AC162" s="25">
        <f>IF(AB162="Stable",10,0)</f>
        <v/>
      </c>
      <c r="AD162" s="25" t="inlineStr">
        <is>
          <t>Yes</t>
        </is>
      </c>
      <c r="AE162" s="25">
        <f>IF(AD162="Yes",10,0)</f>
        <v/>
      </c>
      <c r="AF162" s="25" t="inlineStr">
        <is>
          <t>B2B</t>
        </is>
      </c>
      <c r="AG162" s="25">
        <f>IF(AF162="B2C",10,IF(AF162="B2B",5,0))</f>
        <v/>
      </c>
      <c r="AH162" s="25" t="inlineStr">
        <is>
          <t>Yes</t>
        </is>
      </c>
      <c r="AI162" s="25">
        <f>IF(AH162="Yes",10,0)</f>
        <v/>
      </c>
      <c r="AJ162" s="25" t="inlineStr">
        <is>
          <t>Higher Annuity, Lower One Time</t>
        </is>
      </c>
      <c r="AK162" s="25">
        <f>IF(AJ162="Fully Annuity",10,IF(AJ162="Higher Annuity, Lower One Time",5,IF(AJ162="Higher One Time, Lower Annuity",3,0)))</f>
        <v/>
      </c>
      <c r="AL162" s="25" t="inlineStr">
        <is>
          <t>Good</t>
        </is>
      </c>
      <c r="AM162" s="25">
        <f>IF(AL162="Good",10,0)</f>
        <v/>
      </c>
      <c r="AN162" s="25" t="inlineStr">
        <is>
          <t>Yes for more than 2 years</t>
        </is>
      </c>
      <c r="AO162" s="25">
        <f>IF(AN162="Yes for more than 2 years",10,IF(AN162="Yes only for next 1 to 2 years",5,0))</f>
        <v/>
      </c>
      <c r="AP162" s="25" t="inlineStr">
        <is>
          <t>20 to 40</t>
        </is>
      </c>
      <c r="AQ162" s="25">
        <f>IF(AP162="Above 40",20,IF(AP162="20 to 40",10,IF(AP162="0 to 20",-5,0)))</f>
        <v/>
      </c>
      <c r="AR162" s="25" t="inlineStr">
        <is>
          <t>Above 75</t>
        </is>
      </c>
      <c r="AS162" s="25">
        <f>IF(AR162="Between 50 to 75",10,IF(AR162="Above 75",0,0))</f>
        <v/>
      </c>
      <c r="AT162" s="25" t="inlineStr">
        <is>
          <t>Stage 2</t>
        </is>
      </c>
      <c r="AU162" s="25">
        <f>IF(AT162="Stage 2",20,IF(AT162="Stage 1",0,IF(AT162="Stage 3",5,IF(AT162="Stage 4",-5,0))))</f>
        <v/>
      </c>
      <c r="AV162" s="25" t="inlineStr">
        <is>
          <t>Positive Trend</t>
        </is>
      </c>
      <c r="AW162" s="25">
        <f>IF(AV162="Positive Trend",20,IF(AV162="Negative Trend",-10,0))</f>
        <v/>
      </c>
      <c r="AX162" s="25" t="inlineStr">
        <is>
          <t>Uptrend</t>
        </is>
      </c>
      <c r="AY162" s="25">
        <f>IF(AX162="Uptrend",10,IF(AX162="Sideways",5,0))</f>
        <v/>
      </c>
      <c r="AZ162" s="25" t="inlineStr">
        <is>
          <t>Uptrend</t>
        </is>
      </c>
      <c r="BA162" s="25">
        <f>IF(AZ162="Uptrend",10,IF(AZ162="Sideways",5,0))</f>
        <v/>
      </c>
      <c r="BB162" s="25" t="inlineStr">
        <is>
          <t>Blue sky scenario</t>
        </is>
      </c>
      <c r="BC162" s="25">
        <f>IF(BB162="Overhead supply in last 2 years in last 2 years",-5,IF(BB162="Close to 52 week high or retracement",5,IF(BB162="Blue sky scenario",10,IF(BB162="Long term Downtrend",-10,0))))</f>
        <v/>
      </c>
      <c r="BD162" s="25" t="inlineStr">
        <is>
          <t>Yes</t>
        </is>
      </c>
      <c r="BE162" s="25">
        <f>IF(BD162="Yes",10,0)</f>
        <v/>
      </c>
      <c r="BF162" s="25" t="inlineStr">
        <is>
          <t>More than 20%</t>
        </is>
      </c>
      <c r="BG162" s="25">
        <f>IF(BF162="More than 20%",10,IF(BF162="Between 12 to 20%",5,IF(BF162="Less than 12%",0,0)))</f>
        <v/>
      </c>
      <c r="BH162" s="25" t="inlineStr">
        <is>
          <t>No</t>
        </is>
      </c>
      <c r="BI162" s="25">
        <f>IF(BH162="No",10,0)</f>
        <v/>
      </c>
      <c r="BJ162" s="25" t="inlineStr">
        <is>
          <t>Yes</t>
        </is>
      </c>
      <c r="BK162" s="25">
        <f>IF(BJ162="NO",5,0)</f>
        <v/>
      </c>
      <c r="BL162" s="25" t="inlineStr">
        <is>
          <t>Less than 1.5</t>
        </is>
      </c>
      <c r="BM162" s="25">
        <f>IF(BL162="Above 2",0,IF(BL162="Between 1.5 to 2",5,IF(BL162="Less than 1.5",10,0)))</f>
        <v/>
      </c>
      <c r="BN162" s="25" t="inlineStr">
        <is>
          <t>Negative</t>
        </is>
      </c>
      <c r="BO162" s="25">
        <f>IF(BN162="Above 70%",10,IF(BN162="Between 50% to 70%",5,IF(BN162="Less than 50%",0,IF(BN162="Negative",-10,IF(BN162="Less than 50% and Borrowings are increasing",-5,0)))))</f>
        <v/>
      </c>
      <c r="BP162" s="25" t="inlineStr">
        <is>
          <t>Less than 0.7</t>
        </is>
      </c>
      <c r="BQ162" s="25">
        <f>IF(BP162="More than 1.2",-10,IF(BP162="Between 0.7 to 1.2",0,IF(BP162="Less than 0.7",10,0)))</f>
        <v/>
      </c>
      <c r="BR162" s="25" t="inlineStr">
        <is>
          <t>No</t>
        </is>
      </c>
      <c r="BS162" s="25">
        <f>IF(BR162="Yes",-10,0)</f>
        <v/>
      </c>
      <c r="BT162" s="25" t="inlineStr">
        <is>
          <t>Less than 15%</t>
        </is>
      </c>
      <c r="BU162" s="25">
        <f>IF(BT162="More than 15%",-10,IF(BT162="Less than 15%",10,0))</f>
        <v/>
      </c>
      <c r="BV162" s="25" t="inlineStr">
        <is>
          <t>No</t>
        </is>
      </c>
      <c r="BW162" s="25">
        <f>IF(BV162="Yes, more than 10%",-10,IF(BV162="No",10,0))</f>
        <v/>
      </c>
    </row>
    <row r="163">
      <c r="A163" s="25">
        <f>IF(B163=0,"",RANK(B163,$B$2:$B$292,0))</f>
        <v/>
      </c>
      <c r="B163" s="26">
        <f>SUM(Q163,S163,U163,W163,Y163,AA163,AC163,AE163,AG163,AI163,AK163,AM163,AO163,AQ163,AS163,AU163,AW163,AY163,BA163,BC163,BE163,BG163,BI163,BK163,BM163,BO163,BQ163,BS163,BU163,BW163)</f>
        <v/>
      </c>
      <c r="C163" s="25" t="inlineStr">
        <is>
          <t>ZIMLAB</t>
        </is>
      </c>
      <c r="D163" s="25" t="inlineStr">
        <is>
          <t>Zim Laboratories Ltd</t>
        </is>
      </c>
      <c r="E163" s="25" t="inlineStr">
        <is>
          <t>healthcare</t>
        </is>
      </c>
      <c r="F163" s="25" t="inlineStr">
        <is>
          <t>pharmaceuticals - indian - bulk drugs &amp; formln</t>
        </is>
      </c>
      <c r="G163" s="25" t="inlineStr">
        <is>
          <t>smallcap</t>
        </is>
      </c>
      <c r="H163" s="26" t="n">
        <v>546.08</v>
      </c>
      <c r="I163" s="26" t="n">
        <v>103.91</v>
      </c>
      <c r="J163" s="26" t="n">
        <v>1.8</v>
      </c>
      <c r="K163" s="26" t="n">
        <v>30595</v>
      </c>
      <c r="L163" s="26" t="n">
        <v>71.19</v>
      </c>
      <c r="M163" s="26" t="n">
        <v>38.29</v>
      </c>
      <c r="N163" s="26" t="n">
        <v>73.93000000000001</v>
      </c>
      <c r="O163" s="25" t="inlineStr">
        <is>
          <t>Earnings / Momentum Support</t>
        </is>
      </c>
      <c r="P163" s="25" t="inlineStr">
        <is>
          <t>Growing Industry</t>
        </is>
      </c>
      <c r="Q163" s="25">
        <f>IF(P163="Growing Industry",10,IF(P163="Cyclical in an Upturn",5,0))</f>
        <v/>
      </c>
      <c r="R163" s="25" t="inlineStr">
        <is>
          <t>Too Many Players with High ROCE</t>
        </is>
      </c>
      <c r="S163" s="25">
        <f>IF(R163="Monopoly",10,IF(R163="Oligopoly",5,IF(R163="Duopoly that cooperate",10,IF(R163="Duopoly that compete",5,IF(R163="Too many players with High ROCE",5,0)))))</f>
        <v/>
      </c>
      <c r="T163" s="25" t="inlineStr">
        <is>
          <t>Yes</t>
        </is>
      </c>
      <c r="U163" s="25">
        <f>IF(T163="No",5,0)</f>
        <v/>
      </c>
      <c r="V163" s="25" t="inlineStr">
        <is>
          <t>Tailwind</t>
        </is>
      </c>
      <c r="W163" s="25">
        <f>IF(V163="Tailwind",10,0)</f>
        <v/>
      </c>
      <c r="X163" s="25" t="inlineStr">
        <is>
          <t>Structural (10 Years Consistency)</t>
        </is>
      </c>
      <c r="Y163" s="25">
        <f>IF(X163="Structural (10 Years Consistency)",10,IF(X163="Shallow Cyclical (2 to 3 years growth)",5,0))</f>
        <v/>
      </c>
      <c r="Z163" s="25" t="inlineStr">
        <is>
          <t>No</t>
        </is>
      </c>
      <c r="AA163" s="25">
        <f>IF(Z163="Yes due to Product Mix change or Operating Leverage",10,IF(Z163="Yes, these are peak margins",-5,IF(Z163="No",5,0)))</f>
        <v/>
      </c>
      <c r="AB163" s="25" t="inlineStr">
        <is>
          <t>Stable</t>
        </is>
      </c>
      <c r="AC163" s="25">
        <f>IF(AB163="Stable",10,0)</f>
        <v/>
      </c>
      <c r="AD163" s="25" t="inlineStr">
        <is>
          <t>Yes</t>
        </is>
      </c>
      <c r="AE163" s="25">
        <f>IF(AD163="Yes",10,0)</f>
        <v/>
      </c>
      <c r="AF163" s="25" t="inlineStr">
        <is>
          <t>B2B</t>
        </is>
      </c>
      <c r="AG163" s="25">
        <f>IF(AF163="B2C",10,IF(AF163="B2B",5,0))</f>
        <v/>
      </c>
      <c r="AH163" s="25" t="inlineStr">
        <is>
          <t>No</t>
        </is>
      </c>
      <c r="AI163" s="25">
        <f>IF(AH163="Yes",10,0)</f>
        <v/>
      </c>
      <c r="AJ163" s="25" t="inlineStr">
        <is>
          <t>Higher Annuity, Lower One Time</t>
        </is>
      </c>
      <c r="AK163" s="25">
        <f>IF(AJ163="Fully Annuity",10,IF(AJ163="Higher Annuity, Lower One Time",5,IF(AJ163="Higher One Time, Lower Annuity",3,0)))</f>
        <v/>
      </c>
      <c r="AL163" s="25" t="inlineStr">
        <is>
          <t>Good</t>
        </is>
      </c>
      <c r="AM163" s="25">
        <f>IF(AL163="Good",10,0)</f>
        <v/>
      </c>
      <c r="AN163" s="25" t="inlineStr">
        <is>
          <t>Yes for more than 2 years</t>
        </is>
      </c>
      <c r="AO163" s="25">
        <f>IF(AN163="Yes for more than 2 years",10,IF(AN163="Yes only for next 1 to 2 years",5,0))</f>
        <v/>
      </c>
      <c r="AP163" s="25" t="inlineStr">
        <is>
          <t>20 to 40</t>
        </is>
      </c>
      <c r="AQ163" s="25">
        <f>IF(AP163="Above 40",20,IF(AP163="20 to 40",10,IF(AP163="0 to 20",-5,0)))</f>
        <v/>
      </c>
      <c r="AR163" s="25" t="inlineStr">
        <is>
          <t>Between 50 to 75</t>
        </is>
      </c>
      <c r="AS163" s="25">
        <f>IF(AR163="Between 50 to 75",10,IF(AR163="Above 75",0,0))</f>
        <v/>
      </c>
      <c r="AT163" s="25" t="inlineStr">
        <is>
          <t>Stage 2</t>
        </is>
      </c>
      <c r="AU163" s="25">
        <f>IF(AT163="Stage 2",20,IF(AT163="Stage 1",0,IF(AT163="Stage 3",5,IF(AT163="Stage 4",-5,0))))</f>
        <v/>
      </c>
      <c r="AV163" s="25" t="inlineStr">
        <is>
          <t>Positive Trend</t>
        </is>
      </c>
      <c r="AW163" s="25">
        <f>IF(AV163="Positive Trend",20,IF(AV163="Negative Trend",-10,0))</f>
        <v/>
      </c>
      <c r="AX163" s="25" t="inlineStr">
        <is>
          <t>Uptrend</t>
        </is>
      </c>
      <c r="AY163" s="25">
        <f>IF(AX163="Uptrend",10,IF(AX163="Sideways",5,0))</f>
        <v/>
      </c>
      <c r="AZ163" s="25" t="inlineStr">
        <is>
          <t>Uptrend</t>
        </is>
      </c>
      <c r="BA163" s="25">
        <f>IF(AZ163="Uptrend",10,IF(AZ163="Sideways",5,0))</f>
        <v/>
      </c>
      <c r="BB163" s="25" t="inlineStr">
        <is>
          <t>Close to 52 week high or retracement</t>
        </is>
      </c>
      <c r="BC163" s="25">
        <f>IF(BB163="Overhead supply in last 2 years in last 2 years",-5,IF(BB163="Close to 52 week high or retracement",5,IF(BB163="Blue sky scenario",10,IF(BB163="Long term Downtrend",-10,0))))</f>
        <v/>
      </c>
      <c r="BD163" s="25" t="inlineStr">
        <is>
          <t>Yes</t>
        </is>
      </c>
      <c r="BE163" s="25">
        <f>IF(BD163="Yes",10,0)</f>
        <v/>
      </c>
      <c r="BF163" s="25" t="inlineStr">
        <is>
          <t>Less than 12%</t>
        </is>
      </c>
      <c r="BG163" s="25">
        <f>IF(BF163="More than 20%",10,IF(BF163="Between 12 to 20%",5,IF(BF163="Less than 12%",0,0)))</f>
        <v/>
      </c>
      <c r="BH163" s="25" t="inlineStr">
        <is>
          <t>No</t>
        </is>
      </c>
      <c r="BI163" s="25">
        <f>IF(BH163="No",10,0)</f>
        <v/>
      </c>
      <c r="BJ163" s="25" t="inlineStr">
        <is>
          <t>Yes</t>
        </is>
      </c>
      <c r="BK163" s="25">
        <f>IF(BJ163="NO",5,0)</f>
        <v/>
      </c>
      <c r="BL163" s="25" t="inlineStr">
        <is>
          <t>Less than 1.5</t>
        </is>
      </c>
      <c r="BM163" s="25">
        <f>IF(BL163="Above 2",0,IF(BL163="Between 1.5 to 2",5,IF(BL163="Less than 1.5",10,0)))</f>
        <v/>
      </c>
      <c r="BN163" s="25" t="inlineStr">
        <is>
          <t>Above 70%</t>
        </is>
      </c>
      <c r="BO163" s="25">
        <f>IF(BN163="Above 70%",10,IF(BN163="Between 50% to 70%",5,IF(BN163="Less than 50%",0,IF(BN163="Negative",-10,IF(BN163="Less than 50% and Borrowings are increasing",-5,0)))))</f>
        <v/>
      </c>
      <c r="BP163" s="25" t="inlineStr">
        <is>
          <t>Less than 0.7</t>
        </is>
      </c>
      <c r="BQ163" s="25">
        <f>IF(BP163="More than 1.2",-10,IF(BP163="Between 0.7 to 1.2",0,IF(BP163="Less than 0.7",10,0)))</f>
        <v/>
      </c>
      <c r="BR163" s="25" t="inlineStr">
        <is>
          <t>No</t>
        </is>
      </c>
      <c r="BS163" s="25">
        <f>IF(BR163="Yes",-10,0)</f>
        <v/>
      </c>
      <c r="BT163" s="25" t="inlineStr">
        <is>
          <t>Less than 15%</t>
        </is>
      </c>
      <c r="BU163" s="25">
        <f>IF(BT163="More than 15%",-10,IF(BT163="Less than 15%",10,0))</f>
        <v/>
      </c>
      <c r="BV163" s="25" t="inlineStr">
        <is>
          <t>No</t>
        </is>
      </c>
      <c r="BW163" s="25">
        <f>IF(BV163="Yes, more than 10%",-10,IF(BV163="No",10,0))</f>
        <v/>
      </c>
    </row>
    <row r="164">
      <c r="A164" s="25">
        <f>IF(B164=0,"",RANK(B164,$B$2:$B$292,0))</f>
        <v/>
      </c>
      <c r="B164" s="26">
        <f>SUM(Q164,S164,U164,W164,Y164,AA164,AC164,AE164,AG164,AI164,AK164,AM164,AO164,AQ164,AS164,AU164,AW164,AY164,BA164,BC164,BE164,BG164,BI164,BK164,BM164,BO164,BQ164,BS164,BU164,BW164)</f>
        <v/>
      </c>
      <c r="C164" s="25" t="inlineStr">
        <is>
          <t>GOKULAGRO</t>
        </is>
      </c>
      <c r="D164" s="25" t="inlineStr">
        <is>
          <t>Gokul Agro Resources Limited</t>
        </is>
      </c>
      <c r="E164" s="25" t="inlineStr">
        <is>
          <t>fmcg</t>
        </is>
      </c>
      <c r="F164" s="25" t="inlineStr">
        <is>
          <t>solvent extraction</t>
        </is>
      </c>
      <c r="G164" s="25" t="inlineStr">
        <is>
          <t>midcap</t>
        </is>
      </c>
      <c r="H164" s="26" t="n">
        <v>6874.05</v>
      </c>
      <c r="I164" s="26" t="n">
        <v>233.86</v>
      </c>
      <c r="J164" s="26" t="n">
        <v>0.39</v>
      </c>
      <c r="K164" s="26" t="n">
        <v>248205</v>
      </c>
      <c r="L164" s="26" t="n">
        <v>66.45999999999999</v>
      </c>
      <c r="M164" s="26" t="n">
        <v>35.42</v>
      </c>
      <c r="N164" s="26" t="n">
        <v>180.11</v>
      </c>
      <c r="O164" s="25" t="inlineStr">
        <is>
          <t>Near 52W High Breakout</t>
        </is>
      </c>
      <c r="P164" s="25" t="inlineStr">
        <is>
          <t>Growing Industry</t>
        </is>
      </c>
      <c r="Q164" s="25">
        <f>IF(P164="Growing Industry",10,IF(P164="Cyclical in an Upturn",5,0))</f>
        <v/>
      </c>
      <c r="R164" s="25" t="inlineStr">
        <is>
          <t>Too Many Players with High ROCE</t>
        </is>
      </c>
      <c r="S164" s="25">
        <f>IF(R164="Monopoly",10,IF(R164="Oligopoly",5,IF(R164="Duopoly that cooperate",10,IF(R164="Duopoly that compete",5,IF(R164="Too many players with High ROCE",5,0)))))</f>
        <v/>
      </c>
      <c r="T164" s="25" t="inlineStr">
        <is>
          <t>No</t>
        </is>
      </c>
      <c r="U164" s="25">
        <f>IF(T164="No",5,0)</f>
        <v/>
      </c>
      <c r="V164" s="25" t="inlineStr">
        <is>
          <t>Tailwind</t>
        </is>
      </c>
      <c r="W164" s="25">
        <f>IF(V164="Tailwind",10,0)</f>
        <v/>
      </c>
      <c r="X164" s="25" t="inlineStr">
        <is>
          <t>Structural (10 Years Consistency)</t>
        </is>
      </c>
      <c r="Y164" s="25">
        <f>IF(X164="Structural (10 Years Consistency)",10,IF(X164="Shallow Cyclical (2 to 3 years growth)",5,0))</f>
        <v/>
      </c>
      <c r="Z164" s="25" t="inlineStr">
        <is>
          <t>No</t>
        </is>
      </c>
      <c r="AA164" s="25">
        <f>IF(Z164="Yes due to Product Mix change or Operating Leverage",10,IF(Z164="Yes, these are peak margins",-5,IF(Z164="No",5,0)))</f>
        <v/>
      </c>
      <c r="AB164" s="25" t="inlineStr">
        <is>
          <t>Stable</t>
        </is>
      </c>
      <c r="AC164" s="25">
        <f>IF(AB164="Stable",10,0)</f>
        <v/>
      </c>
      <c r="AD164" s="25" t="inlineStr">
        <is>
          <t>Yes</t>
        </is>
      </c>
      <c r="AE164" s="25">
        <f>IF(AD164="Yes",10,0)</f>
        <v/>
      </c>
      <c r="AF164" s="25" t="inlineStr">
        <is>
          <t>B2C</t>
        </is>
      </c>
      <c r="AG164" s="25">
        <f>IF(AF164="B2C",10,IF(AF164="B2B",5,0))</f>
        <v/>
      </c>
      <c r="AH164" s="25" t="inlineStr">
        <is>
          <t>Yes</t>
        </is>
      </c>
      <c r="AI164" s="25">
        <f>IF(AH164="Yes",10,0)</f>
        <v/>
      </c>
      <c r="AJ164" s="25" t="inlineStr">
        <is>
          <t>Higher Annuity, Lower One Time</t>
        </is>
      </c>
      <c r="AK164" s="25">
        <f>IF(AJ164="Fully Annuity",10,IF(AJ164="Higher Annuity, Lower One Time",5,IF(AJ164="Higher One Time, Lower Annuity",3,0)))</f>
        <v/>
      </c>
      <c r="AL164" s="25" t="inlineStr">
        <is>
          <t>Good</t>
        </is>
      </c>
      <c r="AM164" s="25">
        <f>IF(AL164="Good",10,0)</f>
        <v/>
      </c>
      <c r="AN164" s="25" t="inlineStr">
        <is>
          <t>Yes for more than 2 years</t>
        </is>
      </c>
      <c r="AO164" s="25">
        <f>IF(AN164="Yes for more than 2 years",10,IF(AN164="Yes only for next 1 to 2 years",5,0))</f>
        <v/>
      </c>
      <c r="AP164" s="25" t="inlineStr">
        <is>
          <t>20 to 40</t>
        </is>
      </c>
      <c r="AQ164" s="25">
        <f>IF(AP164="Above 40",20,IF(AP164="20 to 40",10,IF(AP164="0 to 20",-5,0)))</f>
        <v/>
      </c>
      <c r="AR164" s="25" t="inlineStr">
        <is>
          <t>Between 50 to 75</t>
        </is>
      </c>
      <c r="AS164" s="25">
        <f>IF(AR164="Between 50 to 75",10,IF(AR164="Above 75",0,0))</f>
        <v/>
      </c>
      <c r="AT164" s="25" t="inlineStr">
        <is>
          <t>Stage 2</t>
        </is>
      </c>
      <c r="AU164" s="25">
        <f>IF(AT164="Stage 2",20,IF(AT164="Stage 1",0,IF(AT164="Stage 3",5,IF(AT164="Stage 4",-5,0))))</f>
        <v/>
      </c>
      <c r="AV164" s="25" t="inlineStr">
        <is>
          <t>Negative Trend</t>
        </is>
      </c>
      <c r="AW164" s="25">
        <f>IF(AV164="Positive Trend",20,IF(AV164="Negative Trend",-10,0))</f>
        <v/>
      </c>
      <c r="AX164" s="25" t="inlineStr">
        <is>
          <t>Uptrend</t>
        </is>
      </c>
      <c r="AY164" s="25">
        <f>IF(AX164="Uptrend",10,IF(AX164="Sideways",5,0))</f>
        <v/>
      </c>
      <c r="AZ164" s="25" t="inlineStr">
        <is>
          <t>Uptrend</t>
        </is>
      </c>
      <c r="BA164" s="25">
        <f>IF(AZ164="Uptrend",10,IF(AZ164="Sideways",5,0))</f>
        <v/>
      </c>
      <c r="BB164" s="25" t="inlineStr">
        <is>
          <t>Blue sky scenario</t>
        </is>
      </c>
      <c r="BC164" s="25">
        <f>IF(BB164="Overhead supply in last 2 years in last 2 years",-5,IF(BB164="Close to 52 week high or retracement",5,IF(BB164="Blue sky scenario",10,IF(BB164="Long term Downtrend",-10,0))))</f>
        <v/>
      </c>
      <c r="BD164" s="25" t="inlineStr">
        <is>
          <t>Yes</t>
        </is>
      </c>
      <c r="BE164" s="25">
        <f>IF(BD164="Yes",10,0)</f>
        <v/>
      </c>
      <c r="BF164" s="25" t="inlineStr">
        <is>
          <t>More than 20%</t>
        </is>
      </c>
      <c r="BG164" s="25">
        <f>IF(BF164="More than 20%",10,IF(BF164="Between 12 to 20%",5,IF(BF164="Less than 12%",0,0)))</f>
        <v/>
      </c>
      <c r="BH164" s="25" t="inlineStr">
        <is>
          <t>No</t>
        </is>
      </c>
      <c r="BI164" s="25">
        <f>IF(BH164="No",10,0)</f>
        <v/>
      </c>
      <c r="BJ164" s="25" t="inlineStr">
        <is>
          <t>No</t>
        </is>
      </c>
      <c r="BK164" s="25">
        <f>IF(BJ164="NO",5,0)</f>
        <v/>
      </c>
      <c r="BL164" s="25" t="inlineStr">
        <is>
          <t>Less than 1.5</t>
        </is>
      </c>
      <c r="BM164" s="25">
        <f>IF(BL164="Above 2",0,IF(BL164="Between 1.5 to 2",5,IF(BL164="Less than 1.5",10,0)))</f>
        <v/>
      </c>
      <c r="BN164" s="25" t="inlineStr">
        <is>
          <t>Less than 50%</t>
        </is>
      </c>
      <c r="BO164" s="25">
        <f>IF(BN164="Above 70%",10,IF(BN164="Between 50% to 70%",5,IF(BN164="Less than 50%",0,IF(BN164="Negative",-10,IF(BN164="Less than 50% and Borrowings are increasing",-5,0)))))</f>
        <v/>
      </c>
      <c r="BP164" s="25" t="inlineStr">
        <is>
          <t>Less than 0.7</t>
        </is>
      </c>
      <c r="BQ164" s="25">
        <f>IF(BP164="More than 1.2",-10,IF(BP164="Between 0.7 to 1.2",0,IF(BP164="Less than 0.7",10,0)))</f>
        <v/>
      </c>
      <c r="BR164" s="25" t="inlineStr">
        <is>
          <t>No</t>
        </is>
      </c>
      <c r="BS164" s="25">
        <f>IF(BR164="Yes",-10,0)</f>
        <v/>
      </c>
      <c r="BT164" s="25" t="inlineStr">
        <is>
          <t>Less than 15%</t>
        </is>
      </c>
      <c r="BU164" s="25">
        <f>IF(BT164="More than 15%",-10,IF(BT164="Less than 15%",10,0))</f>
        <v/>
      </c>
      <c r="BV164" s="25" t="inlineStr">
        <is>
          <t>No</t>
        </is>
      </c>
      <c r="BW164" s="25">
        <f>IF(BV164="Yes, more than 10%",-10,IF(BV164="No",10,0))</f>
        <v/>
      </c>
    </row>
    <row r="165">
      <c r="A165" s="25">
        <f>IF(B165=0,"",RANK(B165,$B$2:$B$292,0))</f>
        <v/>
      </c>
      <c r="B165" s="26">
        <f>SUM(Q165,S165,U165,W165,Y165,AA165,AC165,AE165,AG165,AI165,AK165,AM165,AO165,AQ165,AS165,AU165,AW165,AY165,BA165,BC165,BE165,BG165,BI165,BK165,BM165,BO165,BQ165,BS165,BU165,BW165)</f>
        <v/>
      </c>
      <c r="C165" s="25" t="inlineStr">
        <is>
          <t>RAINBOW</t>
        </is>
      </c>
      <c r="D165" s="25" t="inlineStr">
        <is>
          <t>Rainbow Childrens Medicare Ltd</t>
        </is>
      </c>
      <c r="E165" s="25" t="inlineStr">
        <is>
          <t>healthcare</t>
        </is>
      </c>
      <c r="F165" s="25" t="inlineStr">
        <is>
          <t>healthcare</t>
        </is>
      </c>
      <c r="G165" s="25" t="inlineStr">
        <is>
          <t>midcap</t>
        </is>
      </c>
      <c r="H165" s="26" t="n">
        <v>13909.54</v>
      </c>
      <c r="I165" s="26" t="n">
        <v>1341.4</v>
      </c>
      <c r="J165" s="26" t="n">
        <v>-2.06</v>
      </c>
      <c r="K165" s="26" t="n">
        <v>137432</v>
      </c>
      <c r="L165" s="26" t="n">
        <v>57.47</v>
      </c>
      <c r="M165" s="26" t="n">
        <v>26.27</v>
      </c>
      <c r="N165" s="26" t="n">
        <v>1147.15</v>
      </c>
      <c r="O165" s="25" t="inlineStr">
        <is>
          <t>Earnings / Momentum Support</t>
        </is>
      </c>
      <c r="P165" s="25" t="inlineStr">
        <is>
          <t>Growing Industry</t>
        </is>
      </c>
      <c r="Q165" s="25">
        <f>IF(P165="Growing Industry",10,IF(P165="Cyclical in an Upturn",5,0))</f>
        <v/>
      </c>
      <c r="R165" s="25" t="inlineStr">
        <is>
          <t>Too Many Players with High ROCE</t>
        </is>
      </c>
      <c r="S165" s="25">
        <f>IF(R165="Monopoly",10,IF(R165="Oligopoly",5,IF(R165="Duopoly that cooperate",10,IF(R165="Duopoly that compete",5,IF(R165="Too many players with High ROCE",5,0)))))</f>
        <v/>
      </c>
      <c r="T165" s="25" t="inlineStr">
        <is>
          <t>Yes</t>
        </is>
      </c>
      <c r="U165" s="25">
        <f>IF(T165="No",5,0)</f>
        <v/>
      </c>
      <c r="V165" s="25" t="inlineStr">
        <is>
          <t>Headwind</t>
        </is>
      </c>
      <c r="W165" s="25">
        <f>IF(V165="Tailwind",10,0)</f>
        <v/>
      </c>
      <c r="X165" s="25" t="inlineStr">
        <is>
          <t>Structural (10 Years Consistency)</t>
        </is>
      </c>
      <c r="Y165" s="25">
        <f>IF(X165="Structural (10 Years Consistency)",10,IF(X165="Shallow Cyclical (2 to 3 years growth)",5,0))</f>
        <v/>
      </c>
      <c r="Z165" s="25" t="inlineStr">
        <is>
          <t>No</t>
        </is>
      </c>
      <c r="AA165" s="25">
        <f>IF(Z165="Yes due to Product Mix change or Operating Leverage",10,IF(Z165="Yes, these are peak margins",-5,IF(Z165="No",5,0)))</f>
        <v/>
      </c>
      <c r="AB165" s="25" t="inlineStr">
        <is>
          <t>Stable</t>
        </is>
      </c>
      <c r="AC165" s="25">
        <f>IF(AB165="Stable",10,0)</f>
        <v/>
      </c>
      <c r="AD165" s="25" t="inlineStr">
        <is>
          <t>Yes</t>
        </is>
      </c>
      <c r="AE165" s="25">
        <f>IF(AD165="Yes",10,0)</f>
        <v/>
      </c>
      <c r="AF165" s="25" t="inlineStr">
        <is>
          <t>B2B</t>
        </is>
      </c>
      <c r="AG165" s="25">
        <f>IF(AF165="B2C",10,IF(AF165="B2B",5,0))</f>
        <v/>
      </c>
      <c r="AH165" s="25" t="inlineStr">
        <is>
          <t>No</t>
        </is>
      </c>
      <c r="AI165" s="25">
        <f>IF(AH165="Yes",10,0)</f>
        <v/>
      </c>
      <c r="AJ165" s="25" t="inlineStr">
        <is>
          <t>Higher Annuity, Lower One Time</t>
        </is>
      </c>
      <c r="AK165" s="25">
        <f>IF(AJ165="Fully Annuity",10,IF(AJ165="Higher Annuity, Lower One Time",5,IF(AJ165="Higher One Time, Lower Annuity",3,0)))</f>
        <v/>
      </c>
      <c r="AL165" s="25" t="inlineStr">
        <is>
          <t>Good</t>
        </is>
      </c>
      <c r="AM165" s="25">
        <f>IF(AL165="Good",10,0)</f>
        <v/>
      </c>
      <c r="AN165" s="25" t="inlineStr">
        <is>
          <t>Yes for more than 2 years</t>
        </is>
      </c>
      <c r="AO165" s="25">
        <f>IF(AN165="Yes for more than 2 years",10,IF(AN165="Yes only for next 1 to 2 years",5,0))</f>
        <v/>
      </c>
      <c r="AP165" s="25" t="inlineStr">
        <is>
          <t>20 to 40</t>
        </is>
      </c>
      <c r="AQ165" s="25">
        <f>IF(AP165="Above 40",20,IF(AP165="20 to 40",10,IF(AP165="0 to 20",-5,0)))</f>
        <v/>
      </c>
      <c r="AR165" s="25" t="inlineStr">
        <is>
          <t>Between 50 to 75</t>
        </is>
      </c>
      <c r="AS165" s="25">
        <f>IF(AR165="Between 50 to 75",10,IF(AR165="Above 75",0,0))</f>
        <v/>
      </c>
      <c r="AT165" s="25" t="inlineStr">
        <is>
          <t>Stage 2</t>
        </is>
      </c>
      <c r="AU165" s="25">
        <f>IF(AT165="Stage 2",20,IF(AT165="Stage 1",0,IF(AT165="Stage 3",5,IF(AT165="Stage 4",-5,0))))</f>
        <v/>
      </c>
      <c r="AV165" s="25" t="inlineStr">
        <is>
          <t>Positive Trend</t>
        </is>
      </c>
      <c r="AW165" s="25">
        <f>IF(AV165="Positive Trend",20,IF(AV165="Negative Trend",-10,0))</f>
        <v/>
      </c>
      <c r="AX165" s="25" t="inlineStr">
        <is>
          <t>Uptrend</t>
        </is>
      </c>
      <c r="AY165" s="25">
        <f>IF(AX165="Uptrend",10,IF(AX165="Sideways",5,0))</f>
        <v/>
      </c>
      <c r="AZ165" s="25" t="inlineStr">
        <is>
          <t>Uptrend</t>
        </is>
      </c>
      <c r="BA165" s="25">
        <f>IF(AZ165="Uptrend",10,IF(AZ165="Sideways",5,0))</f>
        <v/>
      </c>
      <c r="BB165" s="25" t="inlineStr">
        <is>
          <t>Close to 52 week high or retracement</t>
        </is>
      </c>
      <c r="BC165" s="25">
        <f>IF(BB165="Overhead supply in last 2 years in last 2 years",-5,IF(BB165="Close to 52 week high or retracement",5,IF(BB165="Blue sky scenario",10,IF(BB165="Long term Downtrend",-10,0))))</f>
        <v/>
      </c>
      <c r="BD165" s="25" t="inlineStr">
        <is>
          <t>Yes</t>
        </is>
      </c>
      <c r="BE165" s="25">
        <f>IF(BD165="Yes",10,0)</f>
        <v/>
      </c>
      <c r="BF165" s="25" t="inlineStr">
        <is>
          <t>More than 20%</t>
        </is>
      </c>
      <c r="BG165" s="25">
        <f>IF(BF165="More than 20%",10,IF(BF165="Between 12 to 20%",5,IF(BF165="Less than 12%",0,0)))</f>
        <v/>
      </c>
      <c r="BH165" s="25" t="inlineStr">
        <is>
          <t>No</t>
        </is>
      </c>
      <c r="BI165" s="25">
        <f>IF(BH165="No",10,0)</f>
        <v/>
      </c>
      <c r="BJ165" s="25" t="inlineStr">
        <is>
          <t>Yes</t>
        </is>
      </c>
      <c r="BK165" s="25">
        <f>IF(BJ165="NO",5,0)</f>
        <v/>
      </c>
      <c r="BL165" s="25" t="inlineStr">
        <is>
          <t>Less than 1.5</t>
        </is>
      </c>
      <c r="BM165" s="25">
        <f>IF(BL165="Above 2",0,IF(BL165="Between 1.5 to 2",5,IF(BL165="Less than 1.5",10,0)))</f>
        <v/>
      </c>
      <c r="BN165" s="25" t="inlineStr">
        <is>
          <t>Above 70%</t>
        </is>
      </c>
      <c r="BO165" s="25">
        <f>IF(BN165="Above 70%",10,IF(BN165="Between 50% to 70%",5,IF(BN165="Less than 50%",0,IF(BN165="Negative",-10,IF(BN165="Less than 50% and Borrowings are increasing",-5,0)))))</f>
        <v/>
      </c>
      <c r="BP165" s="25" t="inlineStr">
        <is>
          <t>Less than 0.7</t>
        </is>
      </c>
      <c r="BQ165" s="25">
        <f>IF(BP165="More than 1.2",-10,IF(BP165="Between 0.7 to 1.2",0,IF(BP165="Less than 0.7",10,0)))</f>
        <v/>
      </c>
      <c r="BR165" s="25" t="inlineStr">
        <is>
          <t>No</t>
        </is>
      </c>
      <c r="BS165" s="25">
        <f>IF(BR165="Yes",-10,0)</f>
        <v/>
      </c>
      <c r="BT165" s="25" t="inlineStr">
        <is>
          <t>Less than 15%</t>
        </is>
      </c>
      <c r="BU165" s="25">
        <f>IF(BT165="More than 15%",-10,IF(BT165="Less than 15%",10,0))</f>
        <v/>
      </c>
      <c r="BV165" s="25" t="inlineStr">
        <is>
          <t>No</t>
        </is>
      </c>
      <c r="BW165" s="25">
        <f>IF(BV165="Yes, more than 10%",-10,IF(BV165="No",10,0))</f>
        <v/>
      </c>
    </row>
    <row r="166">
      <c r="A166" s="25">
        <f>IF(B166=0,"",RANK(B166,$B$2:$B$292,0))</f>
        <v/>
      </c>
      <c r="B166" s="26">
        <f>SUM(Q166,S166,U166,W166,Y166,AA166,AC166,AE166,AG166,AI166,AK166,AM166,AO166,AQ166,AS166,AU166,AW166,AY166,BA166,BC166,BE166,BG166,BI166,BK166,BM166,BO166,BQ166,BS166,BU166,BW166)</f>
        <v/>
      </c>
      <c r="C166" s="25" t="inlineStr">
        <is>
          <t>ANTELOPUS</t>
        </is>
      </c>
      <c r="D166" s="25" t="inlineStr">
        <is>
          <t>Antelopus Selan Energy Ltd</t>
        </is>
      </c>
      <c r="E166" s="25" t="inlineStr">
        <is>
          <t>energy</t>
        </is>
      </c>
      <c r="F166" s="25" t="inlineStr">
        <is>
          <t>oil drilling / allied services</t>
        </is>
      </c>
      <c r="G166" s="25" t="inlineStr">
        <is>
          <t>smallcap</t>
        </is>
      </c>
      <c r="H166" s="26" t="n">
        <v>2860.63</v>
      </c>
      <c r="I166" s="26" t="n">
        <v>854.2</v>
      </c>
      <c r="J166" s="26" t="n">
        <v>5</v>
      </c>
      <c r="K166" s="26" t="n">
        <v>96185</v>
      </c>
      <c r="L166" s="26" t="n">
        <v>69.77</v>
      </c>
      <c r="M166" s="26" t="n">
        <v>39.24</v>
      </c>
      <c r="N166" s="26" t="n">
        <v>598.8099999999999</v>
      </c>
      <c r="O166" s="25" t="inlineStr">
        <is>
          <t>Near 52W High Breakout</t>
        </is>
      </c>
      <c r="P166" s="25" t="inlineStr">
        <is>
          <t>Cyclical in an Upturn</t>
        </is>
      </c>
      <c r="Q166" s="25">
        <f>IF(P166="Growing Industry",10,IF(P166="Cyclical in an Upturn",5,0))</f>
        <v/>
      </c>
      <c r="R166" s="25" t="inlineStr">
        <is>
          <t>Oligopoly</t>
        </is>
      </c>
      <c r="S166" s="25">
        <f>IF(R166="Monopoly",10,IF(R166="Oligopoly",5,IF(R166="Duopoly that cooperate",10,IF(R166="Duopoly that compete",5,IF(R166="Too many players with High ROCE",5,0)))))</f>
        <v/>
      </c>
      <c r="T166" s="25" t="inlineStr">
        <is>
          <t>Yes</t>
        </is>
      </c>
      <c r="U166" s="25">
        <f>IF(T166="No",5,0)</f>
        <v/>
      </c>
      <c r="V166" s="25" t="inlineStr">
        <is>
          <t>Tailwind</t>
        </is>
      </c>
      <c r="W166" s="25">
        <f>IF(V166="Tailwind",10,0)</f>
        <v/>
      </c>
      <c r="X166" s="25" t="inlineStr">
        <is>
          <t>Cyclical</t>
        </is>
      </c>
      <c r="Y166" s="25">
        <f>IF(X166="Structural (10 Years Consistency)",10,IF(X166="Shallow Cyclical (2 to 3 years growth)",5,0))</f>
        <v/>
      </c>
      <c r="Z166" s="25" t="inlineStr">
        <is>
          <t>No</t>
        </is>
      </c>
      <c r="AA166" s="25">
        <f>IF(Z166="Yes due to Product Mix change or Operating Leverage",10,IF(Z166="Yes, these are peak margins",-5,IF(Z166="No",5,0)))</f>
        <v/>
      </c>
      <c r="AB166" s="25" t="inlineStr">
        <is>
          <t>Volatile</t>
        </is>
      </c>
      <c r="AC166" s="25">
        <f>IF(AB166="Stable",10,0)</f>
        <v/>
      </c>
      <c r="AD166" s="25" t="inlineStr">
        <is>
          <t>Yes</t>
        </is>
      </c>
      <c r="AE166" s="25">
        <f>IF(AD166="Yes",10,0)</f>
        <v/>
      </c>
      <c r="AF166" s="25" t="inlineStr">
        <is>
          <t>B2B</t>
        </is>
      </c>
      <c r="AG166" s="25">
        <f>IF(AF166="B2C",10,IF(AF166="B2B",5,0))</f>
        <v/>
      </c>
      <c r="AH166" s="25" t="inlineStr">
        <is>
          <t>Yes</t>
        </is>
      </c>
      <c r="AI166" s="25">
        <f>IF(AH166="Yes",10,0)</f>
        <v/>
      </c>
      <c r="AJ166" s="25" t="inlineStr">
        <is>
          <t>Higher One Time, Lower Annuity</t>
        </is>
      </c>
      <c r="AK166" s="25">
        <f>IF(AJ166="Fully Annuity",10,IF(AJ166="Higher Annuity, Lower One Time",5,IF(AJ166="Higher One Time, Lower Annuity",3,0)))</f>
        <v/>
      </c>
      <c r="AL166" s="25" t="inlineStr">
        <is>
          <t>Good</t>
        </is>
      </c>
      <c r="AM166" s="25">
        <f>IF(AL166="Good",10,0)</f>
        <v/>
      </c>
      <c r="AN166" s="25" t="inlineStr">
        <is>
          <t>Yes for more than 2 years</t>
        </is>
      </c>
      <c r="AO166" s="25">
        <f>IF(AN166="Yes for more than 2 years",10,IF(AN166="Yes only for next 1 to 2 years",5,0))</f>
        <v/>
      </c>
      <c r="AP166" s="25" t="inlineStr">
        <is>
          <t>20 to 40</t>
        </is>
      </c>
      <c r="AQ166" s="25">
        <f>IF(AP166="Above 40",20,IF(AP166="20 to 40",10,IF(AP166="0 to 20",-5,0)))</f>
        <v/>
      </c>
      <c r="AR166" s="25" t="inlineStr">
        <is>
          <t>Between 50 to 75</t>
        </is>
      </c>
      <c r="AS166" s="25">
        <f>IF(AR166="Between 50 to 75",10,IF(AR166="Above 75",0,0))</f>
        <v/>
      </c>
      <c r="AT166" s="25" t="inlineStr">
        <is>
          <t>Stage 2</t>
        </is>
      </c>
      <c r="AU166" s="25">
        <f>IF(AT166="Stage 2",20,IF(AT166="Stage 1",0,IF(AT166="Stage 3",5,IF(AT166="Stage 4",-5,0))))</f>
        <v/>
      </c>
      <c r="AV166" s="25" t="inlineStr">
        <is>
          <t>Positive Trend</t>
        </is>
      </c>
      <c r="AW166" s="25">
        <f>IF(AV166="Positive Trend",20,IF(AV166="Negative Trend",-10,0))</f>
        <v/>
      </c>
      <c r="AX166" s="25" t="inlineStr">
        <is>
          <t>Uptrend</t>
        </is>
      </c>
      <c r="AY166" s="25">
        <f>IF(AX166="Uptrend",10,IF(AX166="Sideways",5,0))</f>
        <v/>
      </c>
      <c r="AZ166" s="25" t="inlineStr">
        <is>
          <t>Uptrend</t>
        </is>
      </c>
      <c r="BA166" s="25">
        <f>IF(AZ166="Uptrend",10,IF(AZ166="Sideways",5,0))</f>
        <v/>
      </c>
      <c r="BB166" s="25" t="inlineStr">
        <is>
          <t>Close to 52 week high or retracement</t>
        </is>
      </c>
      <c r="BC166" s="25">
        <f>IF(BB166="Overhead supply in last 2 years in last 2 years",-5,IF(BB166="Close to 52 week high or retracement",5,IF(BB166="Blue sky scenario",10,IF(BB166="Long term Downtrend",-10,0))))</f>
        <v/>
      </c>
      <c r="BD166" s="25" t="inlineStr">
        <is>
          <t>Yes</t>
        </is>
      </c>
      <c r="BE166" s="25">
        <f>IF(BD166="Yes",10,0)</f>
        <v/>
      </c>
      <c r="BF166" s="25" t="inlineStr">
        <is>
          <t>More than 20%</t>
        </is>
      </c>
      <c r="BG166" s="25">
        <f>IF(BF166="More than 20%",10,IF(BF166="Between 12 to 20%",5,IF(BF166="Less than 12%",0,0)))</f>
        <v/>
      </c>
      <c r="BH166" s="25" t="inlineStr">
        <is>
          <t>No</t>
        </is>
      </c>
      <c r="BI166" s="25">
        <f>IF(BH166="No",10,0)</f>
        <v/>
      </c>
      <c r="BJ166" s="25" t="inlineStr">
        <is>
          <t>No</t>
        </is>
      </c>
      <c r="BK166" s="25">
        <f>IF(BJ166="NO",5,0)</f>
        <v/>
      </c>
      <c r="BL166" s="25" t="inlineStr">
        <is>
          <t>Less than 1.5</t>
        </is>
      </c>
      <c r="BM166" s="25">
        <f>IF(BL166="Above 2",0,IF(BL166="Between 1.5 to 2",5,IF(BL166="Less than 1.5",10,0)))</f>
        <v/>
      </c>
      <c r="BN166" s="25" t="inlineStr">
        <is>
          <t>Above 70%</t>
        </is>
      </c>
      <c r="BO166" s="25">
        <f>IF(BN166="Above 70%",10,IF(BN166="Between 50% to 70%",5,IF(BN166="Less than 50%",0,IF(BN166="Negative",-10,IF(BN166="Less than 50% and Borrowings are increasing",-5,0)))))</f>
        <v/>
      </c>
      <c r="BP166" s="25" t="inlineStr">
        <is>
          <t>Less than 0.7</t>
        </is>
      </c>
      <c r="BQ166" s="25">
        <f>IF(BP166="More than 1.2",-10,IF(BP166="Between 0.7 to 1.2",0,IF(BP166="Less than 0.7",10,0)))</f>
        <v/>
      </c>
      <c r="BR166" s="25" t="inlineStr">
        <is>
          <t>No</t>
        </is>
      </c>
      <c r="BS166" s="25">
        <f>IF(BR166="Yes",-10,0)</f>
        <v/>
      </c>
      <c r="BT166" s="25" t="inlineStr">
        <is>
          <t>Less than 15%</t>
        </is>
      </c>
      <c r="BU166" s="25">
        <f>IF(BT166="More than 15%",-10,IF(BT166="Less than 15%",10,0))</f>
        <v/>
      </c>
      <c r="BV166" s="25" t="inlineStr">
        <is>
          <t>No</t>
        </is>
      </c>
      <c r="BW166" s="25">
        <f>IF(BV166="Yes, more than 10%",-10,IF(BV166="No",10,0))</f>
        <v/>
      </c>
    </row>
    <row r="167">
      <c r="A167" s="25">
        <f>IF(B167=0,"",RANK(B167,$B$2:$B$292,0))</f>
        <v/>
      </c>
      <c r="B167" s="26">
        <f>SUM(Q167,S167,U167,W167,Y167,AA167,AC167,AE167,AG167,AI167,AK167,AM167,AO167,AQ167,AS167,AU167,AW167,AY167,BA167,BC167,BE167,BG167,BI167,BK167,BM167,BO167,BQ167,BS167,BU167,BW167)</f>
        <v/>
      </c>
      <c r="C167" s="25" t="inlineStr">
        <is>
          <t>BIRLACABLE</t>
        </is>
      </c>
      <c r="D167" s="25" t="inlineStr">
        <is>
          <t>Birla Cable Limited</t>
        </is>
      </c>
      <c r="E167" s="25" t="inlineStr">
        <is>
          <t>industrials</t>
        </is>
      </c>
      <c r="F167" s="25" t="inlineStr">
        <is>
          <t>cables - telephone</t>
        </is>
      </c>
      <c r="G167" s="25" t="inlineStr">
        <is>
          <t>smallcap</t>
        </is>
      </c>
      <c r="H167" s="26" t="n">
        <v>610.8</v>
      </c>
      <c r="I167" s="26" t="n">
        <v>213.78</v>
      </c>
      <c r="J167" s="26" t="n">
        <v>5</v>
      </c>
      <c r="K167" s="26" t="n">
        <v>407317</v>
      </c>
      <c r="L167" s="26" t="n">
        <v>71.81</v>
      </c>
      <c r="M167" s="26" t="n">
        <v>26.9</v>
      </c>
      <c r="N167" s="26" t="n">
        <v>160.47</v>
      </c>
      <c r="O167" s="25" t="inlineStr">
        <is>
          <t>Near 52W High Breakout</t>
        </is>
      </c>
      <c r="P167" s="25" t="inlineStr">
        <is>
          <t>Cyclical in an Upturn</t>
        </is>
      </c>
      <c r="Q167" s="25">
        <f>IF(P167="Growing Industry",10,IF(P167="Cyclical in an Upturn",5,0))</f>
        <v/>
      </c>
      <c r="R167" s="25" t="inlineStr">
        <is>
          <t>Too Many Players with High ROCE</t>
        </is>
      </c>
      <c r="S167" s="25">
        <f>IF(R167="Monopoly",10,IF(R167="Oligopoly",5,IF(R167="Duopoly that cooperate",10,IF(R167="Duopoly that compete",5,IF(R167="Too many players with High ROCE",5,0)))))</f>
        <v/>
      </c>
      <c r="T167" s="25" t="inlineStr">
        <is>
          <t>No</t>
        </is>
      </c>
      <c r="U167" s="25">
        <f>IF(T167="No",5,0)</f>
        <v/>
      </c>
      <c r="V167" s="25" t="inlineStr">
        <is>
          <t>Tailwind</t>
        </is>
      </c>
      <c r="W167" s="25">
        <f>IF(V167="Tailwind",10,0)</f>
        <v/>
      </c>
      <c r="X167" s="25" t="inlineStr">
        <is>
          <t>Structural (10 Years Consistency)</t>
        </is>
      </c>
      <c r="Y167" s="25">
        <f>IF(X167="Structural (10 Years Consistency)",10,IF(X167="Shallow Cyclical (2 to 3 years growth)",5,0))</f>
        <v/>
      </c>
      <c r="Z167" s="25" t="inlineStr">
        <is>
          <t>No</t>
        </is>
      </c>
      <c r="AA167" s="25">
        <f>IF(Z167="Yes due to Product Mix change or Operating Leverage",10,IF(Z167="Yes, these are peak margins",-5,IF(Z167="No",5,0)))</f>
        <v/>
      </c>
      <c r="AB167" s="25" t="inlineStr">
        <is>
          <t>Stable</t>
        </is>
      </c>
      <c r="AC167" s="25">
        <f>IF(AB167="Stable",10,0)</f>
        <v/>
      </c>
      <c r="AD167" s="25" t="inlineStr">
        <is>
          <t>Yes</t>
        </is>
      </c>
      <c r="AE167" s="25">
        <f>IF(AD167="Yes",10,0)</f>
        <v/>
      </c>
      <c r="AF167" s="25" t="inlineStr">
        <is>
          <t>B2B</t>
        </is>
      </c>
      <c r="AG167" s="25">
        <f>IF(AF167="B2C",10,IF(AF167="B2B",5,0))</f>
        <v/>
      </c>
      <c r="AH167" s="25" t="inlineStr">
        <is>
          <t>Yes</t>
        </is>
      </c>
      <c r="AI167" s="25">
        <f>IF(AH167="Yes",10,0)</f>
        <v/>
      </c>
      <c r="AJ167" s="25" t="inlineStr">
        <is>
          <t>Higher One Time, Lower Annuity</t>
        </is>
      </c>
      <c r="AK167" s="25">
        <f>IF(AJ167="Fully Annuity",10,IF(AJ167="Higher Annuity, Lower One Time",5,IF(AJ167="Higher One Time, Lower Annuity",3,0)))</f>
        <v/>
      </c>
      <c r="AL167" s="25" t="inlineStr">
        <is>
          <t>Good</t>
        </is>
      </c>
      <c r="AM167" s="25">
        <f>IF(AL167="Good",10,0)</f>
        <v/>
      </c>
      <c r="AN167" s="25" t="inlineStr">
        <is>
          <t>Yes for more than 2 years</t>
        </is>
      </c>
      <c r="AO167" s="25">
        <f>IF(AN167="Yes for more than 2 years",10,IF(AN167="Yes only for next 1 to 2 years",5,0))</f>
        <v/>
      </c>
      <c r="AP167" s="25" t="inlineStr">
        <is>
          <t>20 to 40</t>
        </is>
      </c>
      <c r="AQ167" s="25">
        <f>IF(AP167="Above 40",20,IF(AP167="20 to 40",10,IF(AP167="0 to 20",-5,0)))</f>
        <v/>
      </c>
      <c r="AR167" s="25" t="inlineStr">
        <is>
          <t>Between 50 to 75</t>
        </is>
      </c>
      <c r="AS167" s="25">
        <f>IF(AR167="Between 50 to 75",10,IF(AR167="Above 75",0,0))</f>
        <v/>
      </c>
      <c r="AT167" s="25" t="inlineStr">
        <is>
          <t>Stage 2</t>
        </is>
      </c>
      <c r="AU167" s="25">
        <f>IF(AT167="Stage 2",20,IF(AT167="Stage 1",0,IF(AT167="Stage 3",5,IF(AT167="Stage 4",-5,0))))</f>
        <v/>
      </c>
      <c r="AV167" s="25" t="inlineStr">
        <is>
          <t>Positive Trend</t>
        </is>
      </c>
      <c r="AW167" s="25">
        <f>IF(AV167="Positive Trend",20,IF(AV167="Negative Trend",-10,0))</f>
        <v/>
      </c>
      <c r="AX167" s="25" t="inlineStr">
        <is>
          <t>Uptrend</t>
        </is>
      </c>
      <c r="AY167" s="25">
        <f>IF(AX167="Uptrend",10,IF(AX167="Sideways",5,0))</f>
        <v/>
      </c>
      <c r="AZ167" s="25" t="inlineStr">
        <is>
          <t>Uptrend</t>
        </is>
      </c>
      <c r="BA167" s="25">
        <f>IF(AZ167="Uptrend",10,IF(AZ167="Sideways",5,0))</f>
        <v/>
      </c>
      <c r="BB167" s="25" t="inlineStr">
        <is>
          <t>Close to 52 week high or retracement</t>
        </is>
      </c>
      <c r="BC167" s="25">
        <f>IF(BB167="Overhead supply in last 2 years in last 2 years",-5,IF(BB167="Close to 52 week high or retracement",5,IF(BB167="Blue sky scenario",10,IF(BB167="Long term Downtrend",-10,0))))</f>
        <v/>
      </c>
      <c r="BD167" s="25" t="inlineStr">
        <is>
          <t>Yes</t>
        </is>
      </c>
      <c r="BE167" s="25">
        <f>IF(BD167="Yes",10,0)</f>
        <v/>
      </c>
      <c r="BF167" s="25" t="inlineStr">
        <is>
          <t>More than 20%</t>
        </is>
      </c>
      <c r="BG167" s="25">
        <f>IF(BF167="More than 20%",10,IF(BF167="Between 12 to 20%",5,IF(BF167="Less than 12%",0,0)))</f>
        <v/>
      </c>
      <c r="BH167" s="25" t="inlineStr">
        <is>
          <t>No</t>
        </is>
      </c>
      <c r="BI167" s="25">
        <f>IF(BH167="No",10,0)</f>
        <v/>
      </c>
      <c r="BJ167" s="25" t="inlineStr">
        <is>
          <t>Yes</t>
        </is>
      </c>
      <c r="BK167" s="25">
        <f>IF(BJ167="NO",5,0)</f>
        <v/>
      </c>
      <c r="BL167" s="25" t="inlineStr">
        <is>
          <t>Less than 1.5</t>
        </is>
      </c>
      <c r="BM167" s="25">
        <f>IF(BL167="Above 2",0,IF(BL167="Between 1.5 to 2",5,IF(BL167="Less than 1.5",10,0)))</f>
        <v/>
      </c>
      <c r="BN167" s="25" t="inlineStr">
        <is>
          <t>Negative</t>
        </is>
      </c>
      <c r="BO167" s="25">
        <f>IF(BN167="Above 70%",10,IF(BN167="Between 50% to 70%",5,IF(BN167="Less than 50%",0,IF(BN167="Negative",-10,IF(BN167="Less than 50% and Borrowings are increasing",-5,0)))))</f>
        <v/>
      </c>
      <c r="BP167" s="25" t="inlineStr">
        <is>
          <t>Less than 0.7</t>
        </is>
      </c>
      <c r="BQ167" s="25">
        <f>IF(BP167="More than 1.2",-10,IF(BP167="Between 0.7 to 1.2",0,IF(BP167="Less than 0.7",10,0)))</f>
        <v/>
      </c>
      <c r="BR167" s="25" t="inlineStr">
        <is>
          <t>No</t>
        </is>
      </c>
      <c r="BS167" s="25">
        <f>IF(BR167="Yes",-10,0)</f>
        <v/>
      </c>
      <c r="BT167" s="25" t="inlineStr">
        <is>
          <t>Less than 15%</t>
        </is>
      </c>
      <c r="BU167" s="25">
        <f>IF(BT167="More than 15%",-10,IF(BT167="Less than 15%",10,0))</f>
        <v/>
      </c>
      <c r="BV167" s="25" t="inlineStr">
        <is>
          <t>No</t>
        </is>
      </c>
      <c r="BW167" s="25">
        <f>IF(BV167="Yes, more than 10%",-10,IF(BV167="No",10,0))</f>
        <v/>
      </c>
    </row>
    <row r="168">
      <c r="A168" s="25">
        <f>IF(B168=0,"",RANK(B168,$B$2:$B$292,0))</f>
        <v/>
      </c>
      <c r="B168" s="26">
        <f>SUM(Q168,S168,U168,W168,Y168,AA168,AC168,AE168,AG168,AI168,AK168,AM168,AO168,AQ168,AS168,AU168,AW168,AY168,BA168,BC168,BE168,BG168,BI168,BK168,BM168,BO168,BQ168,BS168,BU168,BW168)</f>
        <v/>
      </c>
      <c r="C168" s="25" t="inlineStr">
        <is>
          <t>KDDL</t>
        </is>
      </c>
      <c r="D168" s="25" t="inlineStr">
        <is>
          <t>Kddl Limited</t>
        </is>
      </c>
      <c r="E168" s="25" t="inlineStr">
        <is>
          <t>consumer discretionary</t>
        </is>
      </c>
      <c r="F168" s="25" t="inlineStr">
        <is>
          <t>miscellaneous</t>
        </is>
      </c>
      <c r="G168" s="25" t="inlineStr">
        <is>
          <t>smallcap</t>
        </is>
      </c>
      <c r="H168" s="26" t="n">
        <v>3322.53</v>
      </c>
      <c r="I168" s="26" t="n">
        <v>2831.6</v>
      </c>
      <c r="J168" s="26" t="n">
        <v>4.82</v>
      </c>
      <c r="K168" s="26" t="n">
        <v>50316</v>
      </c>
      <c r="L168" s="26" t="n">
        <v>61.04</v>
      </c>
      <c r="M168" s="26" t="n">
        <v>12.93</v>
      </c>
      <c r="N168" s="26" t="n">
        <v>2035.01</v>
      </c>
      <c r="O168" s="25" t="inlineStr">
        <is>
          <t>Near 52W High Breakout</t>
        </is>
      </c>
      <c r="P168" s="25" t="inlineStr">
        <is>
          <t>Growing Industry</t>
        </is>
      </c>
      <c r="Q168" s="25">
        <f>IF(P168="Growing Industry",10,IF(P168="Cyclical in an Upturn",5,0))</f>
        <v/>
      </c>
      <c r="R168" s="25" t="inlineStr">
        <is>
          <t>Too Many Players with High ROCE</t>
        </is>
      </c>
      <c r="S168" s="25">
        <f>IF(R168="Monopoly",10,IF(R168="Oligopoly",5,IF(R168="Duopoly that cooperate",10,IF(R168="Duopoly that compete",5,IF(R168="Too many players with High ROCE",5,0)))))</f>
        <v/>
      </c>
      <c r="T168" s="25" t="inlineStr">
        <is>
          <t>No</t>
        </is>
      </c>
      <c r="U168" s="25">
        <f>IF(T168="No",5,0)</f>
        <v/>
      </c>
      <c r="V168" s="25" t="inlineStr">
        <is>
          <t>Tailwind</t>
        </is>
      </c>
      <c r="W168" s="25">
        <f>IF(V168="Tailwind",10,0)</f>
        <v/>
      </c>
      <c r="X168" s="25" t="inlineStr">
        <is>
          <t>Structural (10 Years Consistency)</t>
        </is>
      </c>
      <c r="Y168" s="25">
        <f>IF(X168="Structural (10 Years Consistency)",10,IF(X168="Shallow Cyclical (2 to 3 years growth)",5,0))</f>
        <v/>
      </c>
      <c r="Z168" s="25" t="inlineStr">
        <is>
          <t>No</t>
        </is>
      </c>
      <c r="AA168" s="25">
        <f>IF(Z168="Yes due to Product Mix change or Operating Leverage",10,IF(Z168="Yes, these are peak margins",-5,IF(Z168="No",5,0)))</f>
        <v/>
      </c>
      <c r="AB168" s="25" t="inlineStr">
        <is>
          <t>Stable</t>
        </is>
      </c>
      <c r="AC168" s="25">
        <f>IF(AB168="Stable",10,0)</f>
        <v/>
      </c>
      <c r="AD168" s="25" t="inlineStr">
        <is>
          <t>Yes</t>
        </is>
      </c>
      <c r="AE168" s="25">
        <f>IF(AD168="Yes",10,0)</f>
        <v/>
      </c>
      <c r="AF168" s="25" t="inlineStr">
        <is>
          <t>B2B</t>
        </is>
      </c>
      <c r="AG168" s="25">
        <f>IF(AF168="B2C",10,IF(AF168="B2B",5,0))</f>
        <v/>
      </c>
      <c r="AH168" s="25" t="inlineStr">
        <is>
          <t>Yes</t>
        </is>
      </c>
      <c r="AI168" s="25">
        <f>IF(AH168="Yes",10,0)</f>
        <v/>
      </c>
      <c r="AJ168" s="25" t="inlineStr">
        <is>
          <t>Higher One Time, Lower Annuity</t>
        </is>
      </c>
      <c r="AK168" s="25">
        <f>IF(AJ168="Fully Annuity",10,IF(AJ168="Higher Annuity, Lower One Time",5,IF(AJ168="Higher One Time, Lower Annuity",3,0)))</f>
        <v/>
      </c>
      <c r="AL168" s="25" t="inlineStr">
        <is>
          <t>Good</t>
        </is>
      </c>
      <c r="AM168" s="25">
        <f>IF(AL168="Good",10,0)</f>
        <v/>
      </c>
      <c r="AN168" s="25" t="inlineStr">
        <is>
          <t>Yes for more than 2 years</t>
        </is>
      </c>
      <c r="AO168" s="25">
        <f>IF(AN168="Yes for more than 2 years",10,IF(AN168="Yes only for next 1 to 2 years",5,0))</f>
        <v/>
      </c>
      <c r="AP168" s="25" t="inlineStr">
        <is>
          <t>0 to 20</t>
        </is>
      </c>
      <c r="AQ168" s="25">
        <f>IF(AP168="Above 40",20,IF(AP168="20 to 40",10,IF(AP168="0 to 20",-5,0)))</f>
        <v/>
      </c>
      <c r="AR168" s="25" t="inlineStr">
        <is>
          <t>Between 50 to 75</t>
        </is>
      </c>
      <c r="AS168" s="25">
        <f>IF(AR168="Between 50 to 75",10,IF(AR168="Above 75",0,0))</f>
        <v/>
      </c>
      <c r="AT168" s="25" t="inlineStr">
        <is>
          <t>Stage 2</t>
        </is>
      </c>
      <c r="AU168" s="25">
        <f>IF(AT168="Stage 2",20,IF(AT168="Stage 1",0,IF(AT168="Stage 3",5,IF(AT168="Stage 4",-5,0))))</f>
        <v/>
      </c>
      <c r="AV168" s="25" t="inlineStr">
        <is>
          <t>Positive Trend</t>
        </is>
      </c>
      <c r="AW168" s="25">
        <f>IF(AV168="Positive Trend",20,IF(AV168="Negative Trend",-10,0))</f>
        <v/>
      </c>
      <c r="AX168" s="25" t="inlineStr">
        <is>
          <t>Uptrend</t>
        </is>
      </c>
      <c r="AY168" s="25">
        <f>IF(AX168="Uptrend",10,IF(AX168="Sideways",5,0))</f>
        <v/>
      </c>
      <c r="AZ168" s="25" t="inlineStr">
        <is>
          <t>Uptrend</t>
        </is>
      </c>
      <c r="BA168" s="25">
        <f>IF(AZ168="Uptrend",10,IF(AZ168="Sideways",5,0))</f>
        <v/>
      </c>
      <c r="BB168" s="25" t="inlineStr">
        <is>
          <t>Close to 52 week high or retracement</t>
        </is>
      </c>
      <c r="BC168" s="25">
        <f>IF(BB168="Overhead supply in last 2 years in last 2 years",-5,IF(BB168="Close to 52 week high or retracement",5,IF(BB168="Blue sky scenario",10,IF(BB168="Long term Downtrend",-10,0))))</f>
        <v/>
      </c>
      <c r="BD168" s="25" t="inlineStr">
        <is>
          <t>Yes</t>
        </is>
      </c>
      <c r="BE168" s="25">
        <f>IF(BD168="Yes",10,0)</f>
        <v/>
      </c>
      <c r="BF168" s="25" t="inlineStr">
        <is>
          <t>More than 20%</t>
        </is>
      </c>
      <c r="BG168" s="25">
        <f>IF(BF168="More than 20%",10,IF(BF168="Between 12 to 20%",5,IF(BF168="Less than 12%",0,0)))</f>
        <v/>
      </c>
      <c r="BH168" s="25" t="inlineStr">
        <is>
          <t>No</t>
        </is>
      </c>
      <c r="BI168" s="25">
        <f>IF(BH168="No",10,0)</f>
        <v/>
      </c>
      <c r="BJ168" s="25" t="inlineStr">
        <is>
          <t>Yes</t>
        </is>
      </c>
      <c r="BK168" s="25">
        <f>IF(BJ168="NO",5,0)</f>
        <v/>
      </c>
      <c r="BL168" s="25" t="inlineStr">
        <is>
          <t>Less than 1.5</t>
        </is>
      </c>
      <c r="BM168" s="25">
        <f>IF(BL168="Above 2",0,IF(BL168="Between 1.5 to 2",5,IF(BL168="Less than 1.5",10,0)))</f>
        <v/>
      </c>
      <c r="BN168" s="25" t="inlineStr">
        <is>
          <t>Less than 50%</t>
        </is>
      </c>
      <c r="BO168" s="25">
        <f>IF(BN168="Above 70%",10,IF(BN168="Between 50% to 70%",5,IF(BN168="Less than 50%",0,IF(BN168="Negative",-10,IF(BN168="Less than 50% and Borrowings are increasing",-5,0)))))</f>
        <v/>
      </c>
      <c r="BP168" s="25" t="inlineStr">
        <is>
          <t>Less than 0.7</t>
        </is>
      </c>
      <c r="BQ168" s="25">
        <f>IF(BP168="More than 1.2",-10,IF(BP168="Between 0.7 to 1.2",0,IF(BP168="Less than 0.7",10,0)))</f>
        <v/>
      </c>
      <c r="BR168" s="25" t="inlineStr">
        <is>
          <t>No</t>
        </is>
      </c>
      <c r="BS168" s="25">
        <f>IF(BR168="Yes",-10,0)</f>
        <v/>
      </c>
      <c r="BT168" s="25" t="inlineStr">
        <is>
          <t>Less than 15%</t>
        </is>
      </c>
      <c r="BU168" s="25">
        <f>IF(BT168="More than 15%",-10,IF(BT168="Less than 15%",10,0))</f>
        <v/>
      </c>
      <c r="BV168" s="25" t="inlineStr">
        <is>
          <t>No</t>
        </is>
      </c>
      <c r="BW168" s="25">
        <f>IF(BV168="Yes, more than 10%",-10,IF(BV168="No",10,0))</f>
        <v/>
      </c>
    </row>
    <row r="169">
      <c r="A169" s="25">
        <f>IF(B169=0,"",RANK(B169,$B$2:$B$292,0))</f>
        <v/>
      </c>
      <c r="B169" s="26">
        <f>SUM(Q169,S169,U169,W169,Y169,AA169,AC169,AE169,AG169,AI169,AK169,AM169,AO169,AQ169,AS169,AU169,AW169,AY169,BA169,BC169,BE169,BG169,BI169,BK169,BM169,BO169,BQ169,BS169,BU169,BW169)</f>
        <v/>
      </c>
      <c r="C169" s="25" t="inlineStr">
        <is>
          <t>NSLNISP</t>
        </is>
      </c>
      <c r="D169" s="25" t="inlineStr">
        <is>
          <t>NMDC Steel Ltd</t>
        </is>
      </c>
      <c r="E169" s="25" t="inlineStr">
        <is>
          <t>metals &amp; mining</t>
        </is>
      </c>
      <c r="F169" s="25" t="inlineStr">
        <is>
          <t>steel - large</t>
        </is>
      </c>
      <c r="G169" s="25" t="inlineStr">
        <is>
          <t>midcap</t>
        </is>
      </c>
      <c r="H169" s="26" t="n">
        <v>14799.56</v>
      </c>
      <c r="I169" s="26" t="n">
        <v>52.55</v>
      </c>
      <c r="J169" s="26" t="n">
        <v>4.06</v>
      </c>
      <c r="K169" s="26" t="n">
        <v>57381090</v>
      </c>
      <c r="L169" s="26" t="n">
        <v>71.04000000000001</v>
      </c>
      <c r="M169" s="26" t="n">
        <v>24.11</v>
      </c>
      <c r="N169" s="26" t="n">
        <v>41.6</v>
      </c>
      <c r="O169" s="25" t="inlineStr">
        <is>
          <t>Volume Spike &amp; Near 52W High Breakout</t>
        </is>
      </c>
      <c r="P169" s="25" t="inlineStr">
        <is>
          <t>Cyclical in an Upturn</t>
        </is>
      </c>
      <c r="Q169" s="25">
        <f>IF(P169="Growing Industry",10,IF(P169="Cyclical in an Upturn",5,0))</f>
        <v/>
      </c>
      <c r="R169" s="25" t="inlineStr">
        <is>
          <t>Too Many Players with High ROCE</t>
        </is>
      </c>
      <c r="S169" s="25">
        <f>IF(R169="Monopoly",10,IF(R169="Oligopoly",5,IF(R169="Duopoly that cooperate",10,IF(R169="Duopoly that compete",5,IF(R169="Too many players with High ROCE",5,0)))))</f>
        <v/>
      </c>
      <c r="T169" s="25" t="inlineStr">
        <is>
          <t>No</t>
        </is>
      </c>
      <c r="U169" s="25">
        <f>IF(T169="No",5,0)</f>
        <v/>
      </c>
      <c r="V169" s="25" t="inlineStr">
        <is>
          <t>Tailwind</t>
        </is>
      </c>
      <c r="W169" s="25">
        <f>IF(V169="Tailwind",10,0)</f>
        <v/>
      </c>
      <c r="X169" s="25" t="inlineStr">
        <is>
          <t>Cyclical</t>
        </is>
      </c>
      <c r="Y169" s="25">
        <f>IF(X169="Structural (10 Years Consistency)",10,IF(X169="Shallow Cyclical (2 to 3 years growth)",5,0))</f>
        <v/>
      </c>
      <c r="Z169" s="25" t="inlineStr">
        <is>
          <t>No</t>
        </is>
      </c>
      <c r="AA169" s="25">
        <f>IF(Z169="Yes due to Product Mix change or Operating Leverage",10,IF(Z169="Yes, these are peak margins",-5,IF(Z169="No",5,0)))</f>
        <v/>
      </c>
      <c r="AB169" s="25" t="inlineStr">
        <is>
          <t>Volatile</t>
        </is>
      </c>
      <c r="AC169" s="25">
        <f>IF(AB169="Stable",10,0)</f>
        <v/>
      </c>
      <c r="AD169" s="25" t="inlineStr">
        <is>
          <t>Yes</t>
        </is>
      </c>
      <c r="AE169" s="25">
        <f>IF(AD169="Yes",10,0)</f>
        <v/>
      </c>
      <c r="AF169" s="25" t="inlineStr">
        <is>
          <t>B2B</t>
        </is>
      </c>
      <c r="AG169" s="25">
        <f>IF(AF169="B2C",10,IF(AF169="B2B",5,0))</f>
        <v/>
      </c>
      <c r="AH169" s="25" t="inlineStr">
        <is>
          <t>Yes</t>
        </is>
      </c>
      <c r="AI169" s="25">
        <f>IF(AH169="Yes",10,0)</f>
        <v/>
      </c>
      <c r="AJ169" s="25" t="inlineStr">
        <is>
          <t>Higher One Time, Lower Annuity</t>
        </is>
      </c>
      <c r="AK169" s="25">
        <f>IF(AJ169="Fully Annuity",10,IF(AJ169="Higher Annuity, Lower One Time",5,IF(AJ169="Higher One Time, Lower Annuity",3,0)))</f>
        <v/>
      </c>
      <c r="AL169" s="25" t="inlineStr">
        <is>
          <t>Good</t>
        </is>
      </c>
      <c r="AM169" s="25">
        <f>IF(AL169="Good",10,0)</f>
        <v/>
      </c>
      <c r="AN169" s="25" t="inlineStr">
        <is>
          <t>Yes for more than 2 years</t>
        </is>
      </c>
      <c r="AO169" s="25">
        <f>IF(AN169="Yes for more than 2 years",10,IF(AN169="Yes only for next 1 to 2 years",5,0))</f>
        <v/>
      </c>
      <c r="AP169" s="25" t="inlineStr">
        <is>
          <t>20 to 40</t>
        </is>
      </c>
      <c r="AQ169" s="25">
        <f>IF(AP169="Above 40",20,IF(AP169="20 to 40",10,IF(AP169="0 to 20",-5,0)))</f>
        <v/>
      </c>
      <c r="AR169" s="25" t="inlineStr">
        <is>
          <t>Between 50 to 75</t>
        </is>
      </c>
      <c r="AS169" s="25">
        <f>IF(AR169="Between 50 to 75",10,IF(AR169="Above 75",0,0))</f>
        <v/>
      </c>
      <c r="AT169" s="25" t="inlineStr">
        <is>
          <t>Stage 2</t>
        </is>
      </c>
      <c r="AU169" s="25">
        <f>IF(AT169="Stage 2",20,IF(AT169="Stage 1",0,IF(AT169="Stage 3",5,IF(AT169="Stage 4",-5,0))))</f>
        <v/>
      </c>
      <c r="AV169" s="25" t="inlineStr">
        <is>
          <t>Positive Trend</t>
        </is>
      </c>
      <c r="AW169" s="25">
        <f>IF(AV169="Positive Trend",20,IF(AV169="Negative Trend",-10,0))</f>
        <v/>
      </c>
      <c r="AX169" s="25" t="inlineStr">
        <is>
          <t>Uptrend</t>
        </is>
      </c>
      <c r="AY169" s="25">
        <f>IF(AX169="Uptrend",10,IF(AX169="Sideways",5,0))</f>
        <v/>
      </c>
      <c r="AZ169" s="25" t="inlineStr">
        <is>
          <t>Uptrend</t>
        </is>
      </c>
      <c r="BA169" s="25">
        <f>IF(AZ169="Uptrend",10,IF(AZ169="Sideways",5,0))</f>
        <v/>
      </c>
      <c r="BB169" s="25" t="inlineStr">
        <is>
          <t>Close to 52 week high or retracement</t>
        </is>
      </c>
      <c r="BC169" s="25">
        <f>IF(BB169="Overhead supply in last 2 years in last 2 years",-5,IF(BB169="Close to 52 week high or retracement",5,IF(BB169="Blue sky scenario",10,IF(BB169="Long term Downtrend",-10,0))))</f>
        <v/>
      </c>
      <c r="BD169" s="25" t="inlineStr">
        <is>
          <t>Yes</t>
        </is>
      </c>
      <c r="BE169" s="25">
        <f>IF(BD169="Yes",10,0)</f>
        <v/>
      </c>
      <c r="BF169" s="25" t="inlineStr">
        <is>
          <t>More than 20%</t>
        </is>
      </c>
      <c r="BG169" s="25">
        <f>IF(BF169="More than 20%",10,IF(BF169="Between 12 to 20%",5,IF(BF169="Less than 12%",0,0)))</f>
        <v/>
      </c>
      <c r="BH169" s="25" t="inlineStr">
        <is>
          <t>No</t>
        </is>
      </c>
      <c r="BI169" s="25">
        <f>IF(BH169="No",10,0)</f>
        <v/>
      </c>
      <c r="BJ169" s="25" t="inlineStr">
        <is>
          <t>Yes</t>
        </is>
      </c>
      <c r="BK169" s="25">
        <f>IF(BJ169="NO",5,0)</f>
        <v/>
      </c>
      <c r="BL169" s="25" t="inlineStr">
        <is>
          <t>Less than 1.5</t>
        </is>
      </c>
      <c r="BM169" s="25">
        <f>IF(BL169="Above 2",0,IF(BL169="Between 1.5 to 2",5,IF(BL169="Less than 1.5",10,0)))</f>
        <v/>
      </c>
      <c r="BN169" s="25" t="inlineStr">
        <is>
          <t>Above 70%</t>
        </is>
      </c>
      <c r="BO169" s="25">
        <f>IF(BN169="Above 70%",10,IF(BN169="Between 50% to 70%",5,IF(BN169="Less than 50%",0,IF(BN169="Negative",-10,IF(BN169="Less than 50% and Borrowings are increasing",-5,0)))))</f>
        <v/>
      </c>
      <c r="BP169" s="25" t="inlineStr">
        <is>
          <t>Less than 0.7</t>
        </is>
      </c>
      <c r="BQ169" s="25">
        <f>IF(BP169="More than 1.2",-10,IF(BP169="Between 0.7 to 1.2",0,IF(BP169="Less than 0.7",10,0)))</f>
        <v/>
      </c>
      <c r="BR169" s="25" t="inlineStr">
        <is>
          <t>No</t>
        </is>
      </c>
      <c r="BS169" s="25">
        <f>IF(BR169="Yes",-10,0)</f>
        <v/>
      </c>
      <c r="BT169" s="25" t="inlineStr">
        <is>
          <t>Less than 15%</t>
        </is>
      </c>
      <c r="BU169" s="25">
        <f>IF(BT169="More than 15%",-10,IF(BT169="Less than 15%",10,0))</f>
        <v/>
      </c>
      <c r="BV169" s="25" t="inlineStr">
        <is>
          <t>No</t>
        </is>
      </c>
      <c r="BW169" s="25">
        <f>IF(BV169="Yes, more than 10%",-10,IF(BV169="No",10,0))</f>
        <v/>
      </c>
    </row>
    <row r="170">
      <c r="A170" s="25">
        <f>IF(B170=0,"",RANK(B170,$B$2:$B$292,0))</f>
        <v/>
      </c>
      <c r="B170" s="26">
        <f>SUM(Q170,S170,U170,W170,Y170,AA170,AC170,AE170,AG170,AI170,AK170,AM170,AO170,AQ170,AS170,AU170,AW170,AY170,BA170,BC170,BE170,BG170,BI170,BK170,BM170,BO170,BQ170,BS170,BU170,BW170)</f>
        <v/>
      </c>
      <c r="C170" s="25" t="inlineStr">
        <is>
          <t>RAIN</t>
        </is>
      </c>
      <c r="D170" s="25" t="inlineStr">
        <is>
          <t>Rain Industries Limited</t>
        </is>
      </c>
      <c r="E170" s="25" t="inlineStr">
        <is>
          <t>miscellaneous</t>
        </is>
      </c>
      <c r="F170" s="25" t="inlineStr">
        <is>
          <t>miscellaneous</t>
        </is>
      </c>
      <c r="G170" s="25" t="inlineStr">
        <is>
          <t>midcap</t>
        </is>
      </c>
      <c r="H170" s="26" t="n">
        <v>6414.11</v>
      </c>
      <c r="I170" s="26" t="n">
        <v>197.9</v>
      </c>
      <c r="J170" s="26" t="n">
        <v>3.78</v>
      </c>
      <c r="K170" s="26" t="n">
        <v>10442480</v>
      </c>
      <c r="L170" s="26" t="n">
        <v>72.68000000000001</v>
      </c>
      <c r="M170" s="26" t="n">
        <v>18.71</v>
      </c>
      <c r="N170" s="26" t="n">
        <v>149.03</v>
      </c>
      <c r="O170" s="25" t="inlineStr">
        <is>
          <t>Near 52W High Breakout</t>
        </is>
      </c>
      <c r="P170" s="25" t="inlineStr">
        <is>
          <t>Growing Industry</t>
        </is>
      </c>
      <c r="Q170" s="25">
        <f>IF(P170="Growing Industry",10,IF(P170="Cyclical in an Upturn",5,0))</f>
        <v/>
      </c>
      <c r="R170" s="25" t="inlineStr">
        <is>
          <t>Too Many Players with High ROCE</t>
        </is>
      </c>
      <c r="S170" s="25">
        <f>IF(R170="Monopoly",10,IF(R170="Oligopoly",5,IF(R170="Duopoly that cooperate",10,IF(R170="Duopoly that compete",5,IF(R170="Too many players with High ROCE",5,0)))))</f>
        <v/>
      </c>
      <c r="T170" s="25" t="inlineStr">
        <is>
          <t>No</t>
        </is>
      </c>
      <c r="U170" s="25">
        <f>IF(T170="No",5,0)</f>
        <v/>
      </c>
      <c r="V170" s="25" t="inlineStr">
        <is>
          <t>Tailwind</t>
        </is>
      </c>
      <c r="W170" s="25">
        <f>IF(V170="Tailwind",10,0)</f>
        <v/>
      </c>
      <c r="X170" s="25" t="inlineStr">
        <is>
          <t>Structural (10 Years Consistency)</t>
        </is>
      </c>
      <c r="Y170" s="25">
        <f>IF(X170="Structural (10 Years Consistency)",10,IF(X170="Shallow Cyclical (2 to 3 years growth)",5,0))</f>
        <v/>
      </c>
      <c r="Z170" s="25" t="inlineStr">
        <is>
          <t>No</t>
        </is>
      </c>
      <c r="AA170" s="25">
        <f>IF(Z170="Yes due to Product Mix change or Operating Leverage",10,IF(Z170="Yes, these are peak margins",-5,IF(Z170="No",5,0)))</f>
        <v/>
      </c>
      <c r="AB170" s="25" t="inlineStr">
        <is>
          <t>Stable</t>
        </is>
      </c>
      <c r="AC170" s="25">
        <f>IF(AB170="Stable",10,0)</f>
        <v/>
      </c>
      <c r="AD170" s="25" t="inlineStr">
        <is>
          <t>Yes</t>
        </is>
      </c>
      <c r="AE170" s="25">
        <f>IF(AD170="Yes",10,0)</f>
        <v/>
      </c>
      <c r="AF170" s="25" t="inlineStr">
        <is>
          <t>B2B</t>
        </is>
      </c>
      <c r="AG170" s="25">
        <f>IF(AF170="B2C",10,IF(AF170="B2B",5,0))</f>
        <v/>
      </c>
      <c r="AH170" s="25" t="inlineStr">
        <is>
          <t>Yes</t>
        </is>
      </c>
      <c r="AI170" s="25">
        <f>IF(AH170="Yes",10,0)</f>
        <v/>
      </c>
      <c r="AJ170" s="25" t="inlineStr">
        <is>
          <t>Higher One Time, Lower Annuity</t>
        </is>
      </c>
      <c r="AK170" s="25">
        <f>IF(AJ170="Fully Annuity",10,IF(AJ170="Higher Annuity, Lower One Time",5,IF(AJ170="Higher One Time, Lower Annuity",3,0)))</f>
        <v/>
      </c>
      <c r="AL170" s="25" t="inlineStr">
        <is>
          <t>Good</t>
        </is>
      </c>
      <c r="AM170" s="25">
        <f>IF(AL170="Good",10,0)</f>
        <v/>
      </c>
      <c r="AN170" s="25" t="inlineStr">
        <is>
          <t>Yes for more than 2 years</t>
        </is>
      </c>
      <c r="AO170" s="25">
        <f>IF(AN170="Yes for more than 2 years",10,IF(AN170="Yes only for next 1 to 2 years",5,0))</f>
        <v/>
      </c>
      <c r="AP170" s="25" t="inlineStr">
        <is>
          <t>0 to 20</t>
        </is>
      </c>
      <c r="AQ170" s="25">
        <f>IF(AP170="Above 40",20,IF(AP170="20 to 40",10,IF(AP170="0 to 20",-5,0)))</f>
        <v/>
      </c>
      <c r="AR170" s="25" t="inlineStr">
        <is>
          <t>Between 50 to 75</t>
        </is>
      </c>
      <c r="AS170" s="25">
        <f>IF(AR170="Between 50 to 75",10,IF(AR170="Above 75",0,0))</f>
        <v/>
      </c>
      <c r="AT170" s="25" t="inlineStr">
        <is>
          <t>Stage 2</t>
        </is>
      </c>
      <c r="AU170" s="25">
        <f>IF(AT170="Stage 2",20,IF(AT170="Stage 1",0,IF(AT170="Stage 3",5,IF(AT170="Stage 4",-5,0))))</f>
        <v/>
      </c>
      <c r="AV170" s="25" t="inlineStr">
        <is>
          <t>Positive Trend</t>
        </is>
      </c>
      <c r="AW170" s="25">
        <f>IF(AV170="Positive Trend",20,IF(AV170="Negative Trend",-10,0))</f>
        <v/>
      </c>
      <c r="AX170" s="25" t="inlineStr">
        <is>
          <t>Uptrend</t>
        </is>
      </c>
      <c r="AY170" s="25">
        <f>IF(AX170="Uptrend",10,IF(AX170="Sideways",5,0))</f>
        <v/>
      </c>
      <c r="AZ170" s="25" t="inlineStr">
        <is>
          <t>Uptrend</t>
        </is>
      </c>
      <c r="BA170" s="25">
        <f>IF(AZ170="Uptrend",10,IF(AZ170="Sideways",5,0))</f>
        <v/>
      </c>
      <c r="BB170" s="25" t="inlineStr">
        <is>
          <t>Blue sky scenario</t>
        </is>
      </c>
      <c r="BC170" s="25">
        <f>IF(BB170="Overhead supply in last 2 years in last 2 years",-5,IF(BB170="Close to 52 week high or retracement",5,IF(BB170="Blue sky scenario",10,IF(BB170="Long term Downtrend",-10,0))))</f>
        <v/>
      </c>
      <c r="BD170" s="25" t="inlineStr">
        <is>
          <t>Yes</t>
        </is>
      </c>
      <c r="BE170" s="25">
        <f>IF(BD170="Yes",10,0)</f>
        <v/>
      </c>
      <c r="BF170" s="25" t="inlineStr">
        <is>
          <t>More than 20%</t>
        </is>
      </c>
      <c r="BG170" s="25">
        <f>IF(BF170="More than 20%",10,IF(BF170="Between 12 to 20%",5,IF(BF170="Less than 12%",0,0)))</f>
        <v/>
      </c>
      <c r="BH170" s="25" t="inlineStr">
        <is>
          <t>No</t>
        </is>
      </c>
      <c r="BI170" s="25">
        <f>IF(BH170="No",10,0)</f>
        <v/>
      </c>
      <c r="BJ170" s="25" t="inlineStr">
        <is>
          <t>No</t>
        </is>
      </c>
      <c r="BK170" s="25">
        <f>IF(BJ170="NO",5,0)</f>
        <v/>
      </c>
      <c r="BL170" s="25" t="inlineStr">
        <is>
          <t>Less than 1.5</t>
        </is>
      </c>
      <c r="BM170" s="25">
        <f>IF(BL170="Above 2",0,IF(BL170="Between 1.5 to 2",5,IF(BL170="Less than 1.5",10,0)))</f>
        <v/>
      </c>
      <c r="BN170" s="25" t="inlineStr">
        <is>
          <t>Above 70%</t>
        </is>
      </c>
      <c r="BO170" s="25">
        <f>IF(BN170="Above 70%",10,IF(BN170="Between 50% to 70%",5,IF(BN170="Less than 50%",0,IF(BN170="Negative",-10,IF(BN170="Less than 50% and Borrowings are increasing",-5,0)))))</f>
        <v/>
      </c>
      <c r="BP170" s="25" t="inlineStr">
        <is>
          <t>More than 1.2</t>
        </is>
      </c>
      <c r="BQ170" s="25">
        <f>IF(BP170="More than 1.2",-10,IF(BP170="Between 0.7 to 1.2",0,IF(BP170="Less than 0.7",10,0)))</f>
        <v/>
      </c>
      <c r="BR170" s="25" t="inlineStr">
        <is>
          <t>No</t>
        </is>
      </c>
      <c r="BS170" s="25">
        <f>IF(BR170="Yes",-10,0)</f>
        <v/>
      </c>
      <c r="BT170" s="25" t="inlineStr">
        <is>
          <t>Less than 15%</t>
        </is>
      </c>
      <c r="BU170" s="25">
        <f>IF(BT170="More than 15%",-10,IF(BT170="Less than 15%",10,0))</f>
        <v/>
      </c>
      <c r="BV170" s="25" t="inlineStr">
        <is>
          <t>No</t>
        </is>
      </c>
      <c r="BW170" s="25">
        <f>IF(BV170="Yes, more than 10%",-10,IF(BV170="No",10,0))</f>
        <v/>
      </c>
    </row>
    <row r="171">
      <c r="A171" s="25">
        <f>IF(B171=0,"",RANK(B171,$B$2:$B$292,0))</f>
        <v/>
      </c>
      <c r="B171" s="26">
        <f>SUM(Q171,S171,U171,W171,Y171,AA171,AC171,AE171,AG171,AI171,AK171,AM171,AO171,AQ171,AS171,AU171,AW171,AY171,BA171,BC171,BE171,BG171,BI171,BK171,BM171,BO171,BQ171,BS171,BU171,BW171)</f>
        <v/>
      </c>
      <c r="C171" s="25" t="inlineStr">
        <is>
          <t>SANDHAR</t>
        </is>
      </c>
      <c r="D171" s="25" t="inlineStr">
        <is>
          <t>Sandhar Technologies Limited</t>
        </is>
      </c>
      <c r="E171" s="25" t="inlineStr">
        <is>
          <t>auto</t>
        </is>
      </c>
      <c r="F171" s="25" t="inlineStr">
        <is>
          <t>auto ancillaries</t>
        </is>
      </c>
      <c r="G171" s="25" t="inlineStr">
        <is>
          <t>smallcap</t>
        </is>
      </c>
      <c r="H171" s="26" t="n">
        <v>4071.9</v>
      </c>
      <c r="I171" s="26" t="n">
        <v>697.15</v>
      </c>
      <c r="J171" s="26" t="n">
        <v>3.05</v>
      </c>
      <c r="K171" s="26" t="n">
        <v>1225449</v>
      </c>
      <c r="L171" s="26" t="n">
        <v>70.95999999999999</v>
      </c>
      <c r="M171" s="26" t="n">
        <v>15.54</v>
      </c>
      <c r="N171" s="26" t="n">
        <v>521.1900000000001</v>
      </c>
      <c r="O171" s="25" t="inlineStr">
        <is>
          <t>Near 52W High Breakout</t>
        </is>
      </c>
      <c r="P171" s="25" t="inlineStr">
        <is>
          <t>Growing Industry</t>
        </is>
      </c>
      <c r="Q171" s="25">
        <f>IF(P171="Growing Industry",10,IF(P171="Cyclical in an Upturn",5,0))</f>
        <v/>
      </c>
      <c r="R171" s="25" t="inlineStr">
        <is>
          <t>Too Many Players with High ROCE</t>
        </is>
      </c>
      <c r="S171" s="25">
        <f>IF(R171="Monopoly",10,IF(R171="Oligopoly",5,IF(R171="Duopoly that cooperate",10,IF(R171="Duopoly that compete",5,IF(R171="Too many players with High ROCE",5,0)))))</f>
        <v/>
      </c>
      <c r="T171" s="25" t="inlineStr">
        <is>
          <t>No</t>
        </is>
      </c>
      <c r="U171" s="25">
        <f>IF(T171="No",5,0)</f>
        <v/>
      </c>
      <c r="V171" s="25" t="inlineStr">
        <is>
          <t>Tailwind</t>
        </is>
      </c>
      <c r="W171" s="25">
        <f>IF(V171="Tailwind",10,0)</f>
        <v/>
      </c>
      <c r="X171" s="25" t="inlineStr">
        <is>
          <t>Structural (10 Years Consistency)</t>
        </is>
      </c>
      <c r="Y171" s="25">
        <f>IF(X171="Structural (10 Years Consistency)",10,IF(X171="Shallow Cyclical (2 to 3 years growth)",5,0))</f>
        <v/>
      </c>
      <c r="Z171" s="25" t="inlineStr">
        <is>
          <t>No</t>
        </is>
      </c>
      <c r="AA171" s="25">
        <f>IF(Z171="Yes due to Product Mix change or Operating Leverage",10,IF(Z171="Yes, these are peak margins",-5,IF(Z171="No",5,0)))</f>
        <v/>
      </c>
      <c r="AB171" s="25" t="inlineStr">
        <is>
          <t>Stable</t>
        </is>
      </c>
      <c r="AC171" s="25">
        <f>IF(AB171="Stable",10,0)</f>
        <v/>
      </c>
      <c r="AD171" s="25" t="inlineStr">
        <is>
          <t>Yes</t>
        </is>
      </c>
      <c r="AE171" s="25">
        <f>IF(AD171="Yes",10,0)</f>
        <v/>
      </c>
      <c r="AF171" s="25" t="inlineStr">
        <is>
          <t>B2B</t>
        </is>
      </c>
      <c r="AG171" s="25">
        <f>IF(AF171="B2C",10,IF(AF171="B2B",5,0))</f>
        <v/>
      </c>
      <c r="AH171" s="25" t="inlineStr">
        <is>
          <t>Yes</t>
        </is>
      </c>
      <c r="AI171" s="25">
        <f>IF(AH171="Yes",10,0)</f>
        <v/>
      </c>
      <c r="AJ171" s="25" t="inlineStr">
        <is>
          <t>Higher One Time, Lower Annuity</t>
        </is>
      </c>
      <c r="AK171" s="25">
        <f>IF(AJ171="Fully Annuity",10,IF(AJ171="Higher Annuity, Lower One Time",5,IF(AJ171="Higher One Time, Lower Annuity",3,0)))</f>
        <v/>
      </c>
      <c r="AL171" s="25" t="inlineStr">
        <is>
          <t>Good</t>
        </is>
      </c>
      <c r="AM171" s="25">
        <f>IF(AL171="Good",10,0)</f>
        <v/>
      </c>
      <c r="AN171" s="25" t="inlineStr">
        <is>
          <t>Yes for more than 2 years</t>
        </is>
      </c>
      <c r="AO171" s="25">
        <f>IF(AN171="Yes for more than 2 years",10,IF(AN171="Yes only for next 1 to 2 years",5,0))</f>
        <v/>
      </c>
      <c r="AP171" s="25" t="inlineStr">
        <is>
          <t>0 to 20</t>
        </is>
      </c>
      <c r="AQ171" s="25">
        <f>IF(AP171="Above 40",20,IF(AP171="20 to 40",10,IF(AP171="0 to 20",-5,0)))</f>
        <v/>
      </c>
      <c r="AR171" s="25" t="inlineStr">
        <is>
          <t>Between 50 to 75</t>
        </is>
      </c>
      <c r="AS171" s="25">
        <f>IF(AR171="Between 50 to 75",10,IF(AR171="Above 75",0,0))</f>
        <v/>
      </c>
      <c r="AT171" s="25" t="inlineStr">
        <is>
          <t>Stage 2</t>
        </is>
      </c>
      <c r="AU171" s="25">
        <f>IF(AT171="Stage 2",20,IF(AT171="Stage 1",0,IF(AT171="Stage 3",5,IF(AT171="Stage 4",-5,0))))</f>
        <v/>
      </c>
      <c r="AV171" s="25" t="inlineStr">
        <is>
          <t>Positive Trend</t>
        </is>
      </c>
      <c r="AW171" s="25">
        <f>IF(AV171="Positive Trend",20,IF(AV171="Negative Trend",-10,0))</f>
        <v/>
      </c>
      <c r="AX171" s="25" t="inlineStr">
        <is>
          <t>Uptrend</t>
        </is>
      </c>
      <c r="AY171" s="25">
        <f>IF(AX171="Uptrend",10,IF(AX171="Sideways",5,0))</f>
        <v/>
      </c>
      <c r="AZ171" s="25" t="inlineStr">
        <is>
          <t>Uptrend</t>
        </is>
      </c>
      <c r="BA171" s="25">
        <f>IF(AZ171="Uptrend",10,IF(AZ171="Sideways",5,0))</f>
        <v/>
      </c>
      <c r="BB171" s="25" t="inlineStr">
        <is>
          <t>Blue sky scenario</t>
        </is>
      </c>
      <c r="BC171" s="25">
        <f>IF(BB171="Overhead supply in last 2 years in last 2 years",-5,IF(BB171="Close to 52 week high or retracement",5,IF(BB171="Blue sky scenario",10,IF(BB171="Long term Downtrend",-10,0))))</f>
        <v/>
      </c>
      <c r="BD171" s="25" t="inlineStr">
        <is>
          <t>Yes</t>
        </is>
      </c>
      <c r="BE171" s="25">
        <f>IF(BD171="Yes",10,0)</f>
        <v/>
      </c>
      <c r="BF171" s="25" t="inlineStr">
        <is>
          <t>More than 20%</t>
        </is>
      </c>
      <c r="BG171" s="25">
        <f>IF(BF171="More than 20%",10,IF(BF171="Between 12 to 20%",5,IF(BF171="Less than 12%",0,0)))</f>
        <v/>
      </c>
      <c r="BH171" s="25" t="inlineStr">
        <is>
          <t>No</t>
        </is>
      </c>
      <c r="BI171" s="25">
        <f>IF(BH171="No",10,0)</f>
        <v/>
      </c>
      <c r="BJ171" s="25" t="inlineStr">
        <is>
          <t>No</t>
        </is>
      </c>
      <c r="BK171" s="25">
        <f>IF(BJ171="NO",5,0)</f>
        <v/>
      </c>
      <c r="BL171" s="25" t="inlineStr">
        <is>
          <t>Less than 1.5</t>
        </is>
      </c>
      <c r="BM171" s="25">
        <f>IF(BL171="Above 2",0,IF(BL171="Between 1.5 to 2",5,IF(BL171="Less than 1.5",10,0)))</f>
        <v/>
      </c>
      <c r="BN171" s="25" t="inlineStr">
        <is>
          <t>Less than 50%</t>
        </is>
      </c>
      <c r="BO171" s="25">
        <f>IF(BN171="Above 70%",10,IF(BN171="Between 50% to 70%",5,IF(BN171="Less than 50%",0,IF(BN171="Negative",-10,IF(BN171="Less than 50% and Borrowings are increasing",-5,0)))))</f>
        <v/>
      </c>
      <c r="BP171" s="25" t="inlineStr">
        <is>
          <t>Between 0.7 to 1.2</t>
        </is>
      </c>
      <c r="BQ171" s="25">
        <f>IF(BP171="More than 1.2",-10,IF(BP171="Between 0.7 to 1.2",0,IF(BP171="Less than 0.7",10,0)))</f>
        <v/>
      </c>
      <c r="BR171" s="25" t="inlineStr">
        <is>
          <t>No</t>
        </is>
      </c>
      <c r="BS171" s="25">
        <f>IF(BR171="Yes",-10,0)</f>
        <v/>
      </c>
      <c r="BT171" s="25" t="inlineStr">
        <is>
          <t>Less than 15%</t>
        </is>
      </c>
      <c r="BU171" s="25">
        <f>IF(BT171="More than 15%",-10,IF(BT171="Less than 15%",10,0))</f>
        <v/>
      </c>
      <c r="BV171" s="25" t="inlineStr">
        <is>
          <t>No</t>
        </is>
      </c>
      <c r="BW171" s="25">
        <f>IF(BV171="Yes, more than 10%",-10,IF(BV171="No",10,0))</f>
        <v/>
      </c>
    </row>
    <row r="172">
      <c r="A172" s="25">
        <f>IF(B172=0,"",RANK(B172,$B$2:$B$292,0))</f>
        <v/>
      </c>
      <c r="B172" s="26">
        <f>SUM(Q172,S172,U172,W172,Y172,AA172,AC172,AE172,AG172,AI172,AK172,AM172,AO172,AQ172,AS172,AU172,AW172,AY172,BA172,BC172,BE172,BG172,BI172,BK172,BM172,BO172,BQ172,BS172,BU172,BW172)</f>
        <v/>
      </c>
      <c r="C172" s="25" t="inlineStr">
        <is>
          <t>SANGHVIMOV</t>
        </is>
      </c>
      <c r="D172" s="25" t="inlineStr">
        <is>
          <t>Sanghvi Movers Limited</t>
        </is>
      </c>
      <c r="E172" s="25" t="inlineStr">
        <is>
          <t>miscellaneous</t>
        </is>
      </c>
      <c r="F172" s="25" t="inlineStr">
        <is>
          <t>miscellaneous</t>
        </is>
      </c>
      <c r="G172" s="25" t="inlineStr">
        <is>
          <t>smallcap</t>
        </is>
      </c>
      <c r="H172" s="26" t="n">
        <v>3015.88</v>
      </c>
      <c r="I172" s="26" t="n">
        <v>357.45</v>
      </c>
      <c r="J172" s="26" t="n">
        <v>2.61</v>
      </c>
      <c r="K172" s="26" t="n">
        <v>236855</v>
      </c>
      <c r="L172" s="26" t="n">
        <v>59.24</v>
      </c>
      <c r="M172" s="26" t="n">
        <v>18.61</v>
      </c>
      <c r="N172" s="26" t="n">
        <v>254.86</v>
      </c>
      <c r="O172" s="25" t="inlineStr">
        <is>
          <t>Earnings / Momentum Support</t>
        </is>
      </c>
      <c r="P172" s="25" t="inlineStr">
        <is>
          <t>Growing Industry</t>
        </is>
      </c>
      <c r="Q172" s="25">
        <f>IF(P172="Growing Industry",10,IF(P172="Cyclical in an Upturn",5,0))</f>
        <v/>
      </c>
      <c r="R172" s="25" t="inlineStr">
        <is>
          <t>Too Many Players with High ROCE</t>
        </is>
      </c>
      <c r="S172" s="25">
        <f>IF(R172="Monopoly",10,IF(R172="Oligopoly",5,IF(R172="Duopoly that cooperate",10,IF(R172="Duopoly that compete",5,IF(R172="Too many players with High ROCE",5,0)))))</f>
        <v/>
      </c>
      <c r="T172" s="25" t="inlineStr">
        <is>
          <t>No</t>
        </is>
      </c>
      <c r="U172" s="25">
        <f>IF(T172="No",5,0)</f>
        <v/>
      </c>
      <c r="V172" s="25" t="inlineStr">
        <is>
          <t>Tailwind</t>
        </is>
      </c>
      <c r="W172" s="25">
        <f>IF(V172="Tailwind",10,0)</f>
        <v/>
      </c>
      <c r="X172" s="25" t="inlineStr">
        <is>
          <t>Structural (10 Years Consistency)</t>
        </is>
      </c>
      <c r="Y172" s="25">
        <f>IF(X172="Structural (10 Years Consistency)",10,IF(X172="Shallow Cyclical (2 to 3 years growth)",5,0))</f>
        <v/>
      </c>
      <c r="Z172" s="25" t="inlineStr">
        <is>
          <t>No</t>
        </is>
      </c>
      <c r="AA172" s="25">
        <f>IF(Z172="Yes due to Product Mix change or Operating Leverage",10,IF(Z172="Yes, these are peak margins",-5,IF(Z172="No",5,0)))</f>
        <v/>
      </c>
      <c r="AB172" s="25" t="inlineStr">
        <is>
          <t>Stable</t>
        </is>
      </c>
      <c r="AC172" s="25">
        <f>IF(AB172="Stable",10,0)</f>
        <v/>
      </c>
      <c r="AD172" s="25" t="inlineStr">
        <is>
          <t>Yes</t>
        </is>
      </c>
      <c r="AE172" s="25">
        <f>IF(AD172="Yes",10,0)</f>
        <v/>
      </c>
      <c r="AF172" s="25" t="inlineStr">
        <is>
          <t>B2B</t>
        </is>
      </c>
      <c r="AG172" s="25">
        <f>IF(AF172="B2C",10,IF(AF172="B2B",5,0))</f>
        <v/>
      </c>
      <c r="AH172" s="25" t="inlineStr">
        <is>
          <t>No</t>
        </is>
      </c>
      <c r="AI172" s="25">
        <f>IF(AH172="Yes",10,0)</f>
        <v/>
      </c>
      <c r="AJ172" s="25" t="inlineStr">
        <is>
          <t>Higher One Time, Lower Annuity</t>
        </is>
      </c>
      <c r="AK172" s="25">
        <f>IF(AJ172="Fully Annuity",10,IF(AJ172="Higher Annuity, Lower One Time",5,IF(AJ172="Higher One Time, Lower Annuity",3,0)))</f>
        <v/>
      </c>
      <c r="AL172" s="25" t="inlineStr">
        <is>
          <t>Good</t>
        </is>
      </c>
      <c r="AM172" s="25">
        <f>IF(AL172="Good",10,0)</f>
        <v/>
      </c>
      <c r="AN172" s="25" t="inlineStr">
        <is>
          <t>Yes for more than 2 years</t>
        </is>
      </c>
      <c r="AO172" s="25">
        <f>IF(AN172="Yes for more than 2 years",10,IF(AN172="Yes only for next 1 to 2 years",5,0))</f>
        <v/>
      </c>
      <c r="AP172" s="25" t="inlineStr">
        <is>
          <t>0 to 20</t>
        </is>
      </c>
      <c r="AQ172" s="25">
        <f>IF(AP172="Above 40",20,IF(AP172="20 to 40",10,IF(AP172="0 to 20",-5,0)))</f>
        <v/>
      </c>
      <c r="AR172" s="25" t="inlineStr">
        <is>
          <t>Between 50 to 75</t>
        </is>
      </c>
      <c r="AS172" s="25">
        <f>IF(AR172="Between 50 to 75",10,IF(AR172="Above 75",0,0))</f>
        <v/>
      </c>
      <c r="AT172" s="25" t="inlineStr">
        <is>
          <t>Stage 2</t>
        </is>
      </c>
      <c r="AU172" s="25">
        <f>IF(AT172="Stage 2",20,IF(AT172="Stage 1",0,IF(AT172="Stage 3",5,IF(AT172="Stage 4",-5,0))))</f>
        <v/>
      </c>
      <c r="AV172" s="25" t="inlineStr">
        <is>
          <t>Positive Trend</t>
        </is>
      </c>
      <c r="AW172" s="25">
        <f>IF(AV172="Positive Trend",20,IF(AV172="Negative Trend",-10,0))</f>
        <v/>
      </c>
      <c r="AX172" s="25" t="inlineStr">
        <is>
          <t>Uptrend</t>
        </is>
      </c>
      <c r="AY172" s="25">
        <f>IF(AX172="Uptrend",10,IF(AX172="Sideways",5,0))</f>
        <v/>
      </c>
      <c r="AZ172" s="25" t="inlineStr">
        <is>
          <t>Uptrend</t>
        </is>
      </c>
      <c r="BA172" s="25">
        <f>IF(AZ172="Uptrend",10,IF(AZ172="Sideways",5,0))</f>
        <v/>
      </c>
      <c r="BB172" s="25" t="inlineStr">
        <is>
          <t>Close to 52 week high or retracement</t>
        </is>
      </c>
      <c r="BC172" s="25">
        <f>IF(BB172="Overhead supply in last 2 years in last 2 years",-5,IF(BB172="Close to 52 week high or retracement",5,IF(BB172="Blue sky scenario",10,IF(BB172="Long term Downtrend",-10,0))))</f>
        <v/>
      </c>
      <c r="BD172" s="25" t="inlineStr">
        <is>
          <t>Yes</t>
        </is>
      </c>
      <c r="BE172" s="25">
        <f>IF(BD172="Yes",10,0)</f>
        <v/>
      </c>
      <c r="BF172" s="25" t="inlineStr">
        <is>
          <t>More than 20%</t>
        </is>
      </c>
      <c r="BG172" s="25">
        <f>IF(BF172="More than 20%",10,IF(BF172="Between 12 to 20%",5,IF(BF172="Less than 12%",0,0)))</f>
        <v/>
      </c>
      <c r="BH172" s="25" t="inlineStr">
        <is>
          <t>No</t>
        </is>
      </c>
      <c r="BI172" s="25">
        <f>IF(BH172="No",10,0)</f>
        <v/>
      </c>
      <c r="BJ172" s="25" t="inlineStr">
        <is>
          <t>No</t>
        </is>
      </c>
      <c r="BK172" s="25">
        <f>IF(BJ172="NO",5,0)</f>
        <v/>
      </c>
      <c r="BL172" s="25" t="inlineStr">
        <is>
          <t>Less than 1.5</t>
        </is>
      </c>
      <c r="BM172" s="25">
        <f>IF(BL172="Above 2",0,IF(BL172="Between 1.5 to 2",5,IF(BL172="Less than 1.5",10,0)))</f>
        <v/>
      </c>
      <c r="BN172" s="25" t="inlineStr">
        <is>
          <t>Between 50% to 70%</t>
        </is>
      </c>
      <c r="BO172" s="25">
        <f>IF(BN172="Above 70%",10,IF(BN172="Between 50% to 70%",5,IF(BN172="Less than 50%",0,IF(BN172="Negative",-10,IF(BN172="Less than 50% and Borrowings are increasing",-5,0)))))</f>
        <v/>
      </c>
      <c r="BP172" s="25" t="inlineStr">
        <is>
          <t>Less than 0.7</t>
        </is>
      </c>
      <c r="BQ172" s="25">
        <f>IF(BP172="More than 1.2",-10,IF(BP172="Between 0.7 to 1.2",0,IF(BP172="Less than 0.7",10,0)))</f>
        <v/>
      </c>
      <c r="BR172" s="25" t="inlineStr">
        <is>
          <t>No</t>
        </is>
      </c>
      <c r="BS172" s="25">
        <f>IF(BR172="Yes",-10,0)</f>
        <v/>
      </c>
      <c r="BT172" s="25" t="inlineStr">
        <is>
          <t>Less than 15%</t>
        </is>
      </c>
      <c r="BU172" s="25">
        <f>IF(BT172="More than 15%",-10,IF(BT172="Less than 15%",10,0))</f>
        <v/>
      </c>
      <c r="BV172" s="25" t="inlineStr">
        <is>
          <t>No</t>
        </is>
      </c>
      <c r="BW172" s="25">
        <f>IF(BV172="Yes, more than 10%",-10,IF(BV172="No",10,0))</f>
        <v/>
      </c>
    </row>
    <row r="173">
      <c r="A173" s="25">
        <f>IF(B173=0,"",RANK(B173,$B$2:$B$292,0))</f>
        <v/>
      </c>
      <c r="B173" s="26">
        <f>SUM(Q173,S173,U173,W173,Y173,AA173,AC173,AE173,AG173,AI173,AK173,AM173,AO173,AQ173,AS173,AU173,AW173,AY173,BA173,BC173,BE173,BG173,BI173,BK173,BM173,BO173,BQ173,BS173,BU173,BW173)</f>
        <v/>
      </c>
      <c r="C173" s="25" t="inlineStr">
        <is>
          <t>DLINKINDIA</t>
        </is>
      </c>
      <c r="D173" s="25" t="inlineStr">
        <is>
          <t>D-link (india) Limited</t>
        </is>
      </c>
      <c r="E173" s="25" t="inlineStr">
        <is>
          <t>services</t>
        </is>
      </c>
      <c r="F173" s="25" t="inlineStr">
        <is>
          <t>trading</t>
        </is>
      </c>
      <c r="G173" s="25" t="inlineStr">
        <is>
          <t>smallcap</t>
        </is>
      </c>
      <c r="H173" s="26" t="n">
        <v>1646.54</v>
      </c>
      <c r="I173" s="26" t="n">
        <v>475.4</v>
      </c>
      <c r="J173" s="26" t="n">
        <v>2.51</v>
      </c>
      <c r="K173" s="26" t="n">
        <v>211103</v>
      </c>
      <c r="L173" s="26" t="n">
        <v>60.4</v>
      </c>
      <c r="M173" s="26" t="n">
        <v>23.17</v>
      </c>
      <c r="N173" s="26" t="n">
        <v>389.85</v>
      </c>
      <c r="O173" s="25" t="inlineStr">
        <is>
          <t>Earnings / Momentum Support</t>
        </is>
      </c>
      <c r="P173" s="25" t="inlineStr">
        <is>
          <t>Growing Industry</t>
        </is>
      </c>
      <c r="Q173" s="25">
        <f>IF(P173="Growing Industry",10,IF(P173="Cyclical in an Upturn",5,0))</f>
        <v/>
      </c>
      <c r="R173" s="25" t="inlineStr">
        <is>
          <t>Too Many Players with High ROCE</t>
        </is>
      </c>
      <c r="S173" s="25">
        <f>IF(R173="Monopoly",10,IF(R173="Oligopoly",5,IF(R173="Duopoly that cooperate",10,IF(R173="Duopoly that compete",5,IF(R173="Too many players with High ROCE",5,0)))))</f>
        <v/>
      </c>
      <c r="T173" s="25" t="inlineStr">
        <is>
          <t>No</t>
        </is>
      </c>
      <c r="U173" s="25">
        <f>IF(T173="No",5,0)</f>
        <v/>
      </c>
      <c r="V173" s="25" t="inlineStr">
        <is>
          <t>Tailwind</t>
        </is>
      </c>
      <c r="W173" s="25">
        <f>IF(V173="Tailwind",10,0)</f>
        <v/>
      </c>
      <c r="X173" s="25" t="inlineStr">
        <is>
          <t>Structural (10 Years Consistency)</t>
        </is>
      </c>
      <c r="Y173" s="25">
        <f>IF(X173="Structural (10 Years Consistency)",10,IF(X173="Shallow Cyclical (2 to 3 years growth)",5,0))</f>
        <v/>
      </c>
      <c r="Z173" s="25" t="inlineStr">
        <is>
          <t>No</t>
        </is>
      </c>
      <c r="AA173" s="25">
        <f>IF(Z173="Yes due to Product Mix change or Operating Leverage",10,IF(Z173="Yes, these are peak margins",-5,IF(Z173="No",5,0)))</f>
        <v/>
      </c>
      <c r="AB173" s="25" t="inlineStr">
        <is>
          <t>Stable</t>
        </is>
      </c>
      <c r="AC173" s="25">
        <f>IF(AB173="Stable",10,0)</f>
        <v/>
      </c>
      <c r="AD173" s="25" t="inlineStr">
        <is>
          <t>Yes</t>
        </is>
      </c>
      <c r="AE173" s="25">
        <f>IF(AD173="Yes",10,0)</f>
        <v/>
      </c>
      <c r="AF173" s="25" t="inlineStr">
        <is>
          <t>B2B</t>
        </is>
      </c>
      <c r="AG173" s="25">
        <f>IF(AF173="B2C",10,IF(AF173="B2B",5,0))</f>
        <v/>
      </c>
      <c r="AH173" s="25" t="inlineStr">
        <is>
          <t>No</t>
        </is>
      </c>
      <c r="AI173" s="25">
        <f>IF(AH173="Yes",10,0)</f>
        <v/>
      </c>
      <c r="AJ173" s="25" t="inlineStr">
        <is>
          <t>Higher One Time, Lower Annuity</t>
        </is>
      </c>
      <c r="AK173" s="25">
        <f>IF(AJ173="Fully Annuity",10,IF(AJ173="Higher Annuity, Lower One Time",5,IF(AJ173="Higher One Time, Lower Annuity",3,0)))</f>
        <v/>
      </c>
      <c r="AL173" s="25" t="inlineStr">
        <is>
          <t>Good</t>
        </is>
      </c>
      <c r="AM173" s="25">
        <f>IF(AL173="Good",10,0)</f>
        <v/>
      </c>
      <c r="AN173" s="25" t="inlineStr">
        <is>
          <t>Yes for more than 2 years</t>
        </is>
      </c>
      <c r="AO173" s="25">
        <f>IF(AN173="Yes for more than 2 years",10,IF(AN173="Yes only for next 1 to 2 years",5,0))</f>
        <v/>
      </c>
      <c r="AP173" s="25" t="inlineStr">
        <is>
          <t>20 to 40</t>
        </is>
      </c>
      <c r="AQ173" s="25">
        <f>IF(AP173="Above 40",20,IF(AP173="20 to 40",10,IF(AP173="0 to 20",-5,0)))</f>
        <v/>
      </c>
      <c r="AR173" s="25" t="inlineStr">
        <is>
          <t>Between 50 to 75</t>
        </is>
      </c>
      <c r="AS173" s="25">
        <f>IF(AR173="Between 50 to 75",10,IF(AR173="Above 75",0,0))</f>
        <v/>
      </c>
      <c r="AT173" s="25" t="inlineStr">
        <is>
          <t>Stage 2</t>
        </is>
      </c>
      <c r="AU173" s="25">
        <f>IF(AT173="Stage 2",20,IF(AT173="Stage 1",0,IF(AT173="Stage 3",5,IF(AT173="Stage 4",-5,0))))</f>
        <v/>
      </c>
      <c r="AV173" s="25" t="inlineStr">
        <is>
          <t>Positive Trend</t>
        </is>
      </c>
      <c r="AW173" s="25">
        <f>IF(AV173="Positive Trend",20,IF(AV173="Negative Trend",-10,0))</f>
        <v/>
      </c>
      <c r="AX173" s="25" t="inlineStr">
        <is>
          <t>Uptrend</t>
        </is>
      </c>
      <c r="AY173" s="25">
        <f>IF(AX173="Uptrend",10,IF(AX173="Sideways",5,0))</f>
        <v/>
      </c>
      <c r="AZ173" s="25" t="inlineStr">
        <is>
          <t>Uptrend</t>
        </is>
      </c>
      <c r="BA173" s="25">
        <f>IF(AZ173="Uptrend",10,IF(AZ173="Sideways",5,0))</f>
        <v/>
      </c>
      <c r="BB173" s="25" t="inlineStr">
        <is>
          <t>Close to 52 week high or retracement</t>
        </is>
      </c>
      <c r="BC173" s="25">
        <f>IF(BB173="Overhead supply in last 2 years in last 2 years",-5,IF(BB173="Close to 52 week high or retracement",5,IF(BB173="Blue sky scenario",10,IF(BB173="Long term Downtrend",-10,0))))</f>
        <v/>
      </c>
      <c r="BD173" s="25" t="inlineStr">
        <is>
          <t>Yes</t>
        </is>
      </c>
      <c r="BE173" s="25">
        <f>IF(BD173="Yes",10,0)</f>
        <v/>
      </c>
      <c r="BF173" s="25" t="inlineStr">
        <is>
          <t>Less than 12%</t>
        </is>
      </c>
      <c r="BG173" s="25">
        <f>IF(BF173="More than 20%",10,IF(BF173="Between 12 to 20%",5,IF(BF173="Less than 12%",0,0)))</f>
        <v/>
      </c>
      <c r="BH173" s="25" t="inlineStr">
        <is>
          <t>No</t>
        </is>
      </c>
      <c r="BI173" s="25">
        <f>IF(BH173="No",10,0)</f>
        <v/>
      </c>
      <c r="BJ173" s="25" t="inlineStr">
        <is>
          <t>No</t>
        </is>
      </c>
      <c r="BK173" s="25">
        <f>IF(BJ173="NO",5,0)</f>
        <v/>
      </c>
      <c r="BL173" s="25" t="inlineStr">
        <is>
          <t>Less than 1.5</t>
        </is>
      </c>
      <c r="BM173" s="25">
        <f>IF(BL173="Above 2",0,IF(BL173="Between 1.5 to 2",5,IF(BL173="Less than 1.5",10,0)))</f>
        <v/>
      </c>
      <c r="BN173" s="25" t="inlineStr">
        <is>
          <t>Less than 50%</t>
        </is>
      </c>
      <c r="BO173" s="25">
        <f>IF(BN173="Above 70%",10,IF(BN173="Between 50% to 70%",5,IF(BN173="Less than 50%",0,IF(BN173="Negative",-10,IF(BN173="Less than 50% and Borrowings are increasing",-5,0)))))</f>
        <v/>
      </c>
      <c r="BP173" s="25" t="inlineStr">
        <is>
          <t>Less than 0.7</t>
        </is>
      </c>
      <c r="BQ173" s="25">
        <f>IF(BP173="More than 1.2",-10,IF(BP173="Between 0.7 to 1.2",0,IF(BP173="Less than 0.7",10,0)))</f>
        <v/>
      </c>
      <c r="BR173" s="25" t="inlineStr">
        <is>
          <t>No</t>
        </is>
      </c>
      <c r="BS173" s="25">
        <f>IF(BR173="Yes",-10,0)</f>
        <v/>
      </c>
      <c r="BT173" s="25" t="inlineStr">
        <is>
          <t>Less than 15%</t>
        </is>
      </c>
      <c r="BU173" s="25">
        <f>IF(BT173="More than 15%",-10,IF(BT173="Less than 15%",10,0))</f>
        <v/>
      </c>
      <c r="BV173" s="25" t="inlineStr">
        <is>
          <t>No</t>
        </is>
      </c>
      <c r="BW173" s="25">
        <f>IF(BV173="Yes, more than 10%",-10,IF(BV173="No",10,0))</f>
        <v/>
      </c>
    </row>
    <row r="174">
      <c r="A174" s="25">
        <f>IF(B174=0,"",RANK(B174,$B$2:$B$292,0))</f>
        <v/>
      </c>
      <c r="B174" s="26">
        <f>SUM(Q174,S174,U174,W174,Y174,AA174,AC174,AE174,AG174,AI174,AK174,AM174,AO174,AQ174,AS174,AU174,AW174,AY174,BA174,BC174,BE174,BG174,BI174,BK174,BM174,BO174,BQ174,BS174,BU174,BW174)</f>
        <v/>
      </c>
      <c r="C174" s="25" t="inlineStr">
        <is>
          <t>ADANIENSOL</t>
        </is>
      </c>
      <c r="D174" s="25" t="inlineStr">
        <is>
          <t>Adani Energy Solutions Ltd</t>
        </is>
      </c>
      <c r="E174" s="25" t="inlineStr">
        <is>
          <t>power &amp; utilities</t>
        </is>
      </c>
      <c r="F174" s="25" t="inlineStr">
        <is>
          <t>power generation and supply</t>
        </is>
      </c>
      <c r="G174" s="25" t="inlineStr">
        <is>
          <t>largecap</t>
        </is>
      </c>
      <c r="H174" s="26" t="n">
        <v>179771.95</v>
      </c>
      <c r="I174" s="26" t="n">
        <v>1530.6</v>
      </c>
      <c r="J174" s="26" t="n">
        <v>2.28</v>
      </c>
      <c r="K174" s="26" t="n">
        <v>2826067</v>
      </c>
      <c r="L174" s="26" t="n">
        <v>73.69</v>
      </c>
      <c r="M174" s="26" t="n">
        <v>30.74</v>
      </c>
      <c r="N174" s="26" t="n">
        <v>1197.75</v>
      </c>
      <c r="O174" s="25" t="inlineStr">
        <is>
          <t>Near 52W High Breakout</t>
        </is>
      </c>
      <c r="P174" s="25" t="inlineStr">
        <is>
          <t>Growing Industry</t>
        </is>
      </c>
      <c r="Q174" s="25">
        <f>IF(P174="Growing Industry",10,IF(P174="Cyclical in an Upturn",5,0))</f>
        <v/>
      </c>
      <c r="R174" s="25" t="inlineStr">
        <is>
          <t>Too Many Players with High ROCE</t>
        </is>
      </c>
      <c r="S174" s="25">
        <f>IF(R174="Monopoly",10,IF(R174="Oligopoly",5,IF(R174="Duopoly that cooperate",10,IF(R174="Duopoly that compete",5,IF(R174="Too many players with High ROCE",5,0)))))</f>
        <v/>
      </c>
      <c r="T174" s="25" t="inlineStr">
        <is>
          <t>No</t>
        </is>
      </c>
      <c r="U174" s="25">
        <f>IF(T174="No",5,0)</f>
        <v/>
      </c>
      <c r="V174" s="25" t="inlineStr">
        <is>
          <t>Tailwind</t>
        </is>
      </c>
      <c r="W174" s="25">
        <f>IF(V174="Tailwind",10,0)</f>
        <v/>
      </c>
      <c r="X174" s="25" t="inlineStr">
        <is>
          <t>Structural (10 Years Consistency)</t>
        </is>
      </c>
      <c r="Y174" s="25">
        <f>IF(X174="Structural (10 Years Consistency)",10,IF(X174="Shallow Cyclical (2 to 3 years growth)",5,0))</f>
        <v/>
      </c>
      <c r="Z174" s="25" t="inlineStr">
        <is>
          <t>No</t>
        </is>
      </c>
      <c r="AA174" s="25">
        <f>IF(Z174="Yes due to Product Mix change or Operating Leverage",10,IF(Z174="Yes, these are peak margins",-5,IF(Z174="No",5,0)))</f>
        <v/>
      </c>
      <c r="AB174" s="25" t="inlineStr">
        <is>
          <t>Stable</t>
        </is>
      </c>
      <c r="AC174" s="25">
        <f>IF(AB174="Stable",10,0)</f>
        <v/>
      </c>
      <c r="AD174" s="25" t="inlineStr">
        <is>
          <t>Yes</t>
        </is>
      </c>
      <c r="AE174" s="25">
        <f>IF(AD174="Yes",10,0)</f>
        <v/>
      </c>
      <c r="AF174" s="25" t="inlineStr">
        <is>
          <t>B2B</t>
        </is>
      </c>
      <c r="AG174" s="25">
        <f>IF(AF174="B2C",10,IF(AF174="B2B",5,0))</f>
        <v/>
      </c>
      <c r="AH174" s="25" t="inlineStr">
        <is>
          <t>Yes</t>
        </is>
      </c>
      <c r="AI174" s="25">
        <f>IF(AH174="Yes",10,0)</f>
        <v/>
      </c>
      <c r="AJ174" s="25" t="inlineStr">
        <is>
          <t>Higher One Time, Lower Annuity</t>
        </is>
      </c>
      <c r="AK174" s="25">
        <f>IF(AJ174="Fully Annuity",10,IF(AJ174="Higher Annuity, Lower One Time",5,IF(AJ174="Higher One Time, Lower Annuity",3,0)))</f>
        <v/>
      </c>
      <c r="AL174" s="25" t="inlineStr">
        <is>
          <t>Good</t>
        </is>
      </c>
      <c r="AM174" s="25">
        <f>IF(AL174="Good",10,0)</f>
        <v/>
      </c>
      <c r="AN174" s="25" t="inlineStr">
        <is>
          <t>Yes for more than 2 years</t>
        </is>
      </c>
      <c r="AO174" s="25">
        <f>IF(AN174="Yes for more than 2 years",10,IF(AN174="Yes only for next 1 to 2 years",5,0))</f>
        <v/>
      </c>
      <c r="AP174" s="25" t="inlineStr">
        <is>
          <t>20 to 40</t>
        </is>
      </c>
      <c r="AQ174" s="25">
        <f>IF(AP174="Above 40",20,IF(AP174="20 to 40",10,IF(AP174="0 to 20",-5,0)))</f>
        <v/>
      </c>
      <c r="AR174" s="25" t="inlineStr">
        <is>
          <t>Between 50 to 75</t>
        </is>
      </c>
      <c r="AS174" s="25">
        <f>IF(AR174="Between 50 to 75",10,IF(AR174="Above 75",0,0))</f>
        <v/>
      </c>
      <c r="AT174" s="25" t="inlineStr">
        <is>
          <t>Stage 2</t>
        </is>
      </c>
      <c r="AU174" s="25">
        <f>IF(AT174="Stage 2",20,IF(AT174="Stage 1",0,IF(AT174="Stage 3",5,IF(AT174="Stage 4",-5,0))))</f>
        <v/>
      </c>
      <c r="AV174" s="25" t="inlineStr">
        <is>
          <t>Positive Trend</t>
        </is>
      </c>
      <c r="AW174" s="25">
        <f>IF(AV174="Positive Trend",20,IF(AV174="Negative Trend",-10,0))</f>
        <v/>
      </c>
      <c r="AX174" s="25" t="inlineStr">
        <is>
          <t>Uptrend</t>
        </is>
      </c>
      <c r="AY174" s="25">
        <f>IF(AX174="Uptrend",10,IF(AX174="Sideways",5,0))</f>
        <v/>
      </c>
      <c r="AZ174" s="25" t="inlineStr">
        <is>
          <t>Uptrend</t>
        </is>
      </c>
      <c r="BA174" s="25">
        <f>IF(AZ174="Uptrend",10,IF(AZ174="Sideways",5,0))</f>
        <v/>
      </c>
      <c r="BB174" s="25" t="inlineStr">
        <is>
          <t>Blue sky scenario</t>
        </is>
      </c>
      <c r="BC174" s="25">
        <f>IF(BB174="Overhead supply in last 2 years in last 2 years",-5,IF(BB174="Close to 52 week high or retracement",5,IF(BB174="Blue sky scenario",10,IF(BB174="Long term Downtrend",-10,0))))</f>
        <v/>
      </c>
      <c r="BD174" s="25" t="inlineStr">
        <is>
          <t>Yes</t>
        </is>
      </c>
      <c r="BE174" s="25">
        <f>IF(BD174="Yes",10,0)</f>
        <v/>
      </c>
      <c r="BF174" s="25" t="inlineStr">
        <is>
          <t>Less than 12%</t>
        </is>
      </c>
      <c r="BG174" s="25">
        <f>IF(BF174="More than 20%",10,IF(BF174="Between 12 to 20%",5,IF(BF174="Less than 12%",0,0)))</f>
        <v/>
      </c>
      <c r="BH174" s="25" t="inlineStr">
        <is>
          <t>No</t>
        </is>
      </c>
      <c r="BI174" s="25">
        <f>IF(BH174="No",10,0)</f>
        <v/>
      </c>
      <c r="BJ174" s="25" t="inlineStr">
        <is>
          <t>Yes</t>
        </is>
      </c>
      <c r="BK174" s="25">
        <f>IF(BJ174="NO",5,0)</f>
        <v/>
      </c>
      <c r="BL174" s="25" t="inlineStr">
        <is>
          <t>Less than 1.5</t>
        </is>
      </c>
      <c r="BM174" s="25">
        <f>IF(BL174="Above 2",0,IF(BL174="Between 1.5 to 2",5,IF(BL174="Less than 1.5",10,0)))</f>
        <v/>
      </c>
      <c r="BN174" s="25" t="inlineStr">
        <is>
          <t>Above 70%</t>
        </is>
      </c>
      <c r="BO174" s="25">
        <f>IF(BN174="Above 70%",10,IF(BN174="Between 50% to 70%",5,IF(BN174="Less than 50%",0,IF(BN174="Negative",-10,IF(BN174="Less than 50% and Borrowings are increasing",-5,0)))))</f>
        <v/>
      </c>
      <c r="BP174" s="25" t="inlineStr">
        <is>
          <t>More than 1.2</t>
        </is>
      </c>
      <c r="BQ174" s="25">
        <f>IF(BP174="More than 1.2",-10,IF(BP174="Between 0.7 to 1.2",0,IF(BP174="Less than 0.7",10,0)))</f>
        <v/>
      </c>
      <c r="BR174" s="25" t="inlineStr">
        <is>
          <t>No</t>
        </is>
      </c>
      <c r="BS174" s="25">
        <f>IF(BR174="Yes",-10,0)</f>
        <v/>
      </c>
      <c r="BT174" s="25" t="inlineStr">
        <is>
          <t>Less than 15%</t>
        </is>
      </c>
      <c r="BU174" s="25">
        <f>IF(BT174="More than 15%",-10,IF(BT174="Less than 15%",10,0))</f>
        <v/>
      </c>
      <c r="BV174" s="25" t="inlineStr">
        <is>
          <t>No</t>
        </is>
      </c>
      <c r="BW174" s="25">
        <f>IF(BV174="Yes, more than 10%",-10,IF(BV174="No",10,0))</f>
        <v/>
      </c>
    </row>
    <row r="175">
      <c r="A175" s="25">
        <f>IF(B175=0,"",RANK(B175,$B$2:$B$292,0))</f>
        <v/>
      </c>
      <c r="B175" s="26">
        <f>SUM(Q175,S175,U175,W175,Y175,AA175,AC175,AE175,AG175,AI175,AK175,AM175,AO175,AQ175,AS175,AU175,AW175,AY175,BA175,BC175,BE175,BG175,BI175,BK175,BM175,BO175,BQ175,BS175,BU175,BW175)</f>
        <v/>
      </c>
      <c r="C175" s="25" t="inlineStr">
        <is>
          <t>PREMIERENE</t>
        </is>
      </c>
      <c r="D175" s="25" t="inlineStr">
        <is>
          <t>Premier Energies Ltd</t>
        </is>
      </c>
      <c r="E175" s="25" t="inlineStr">
        <is>
          <t>services</t>
        </is>
      </c>
      <c r="F175" s="25" t="inlineStr">
        <is>
          <t>trading</t>
        </is>
      </c>
      <c r="G175" s="25" t="inlineStr">
        <is>
          <t>largecap</t>
        </is>
      </c>
      <c r="H175" s="26" t="n">
        <v>47686.72</v>
      </c>
      <c r="I175" s="26" t="n">
        <v>1074.4</v>
      </c>
      <c r="J175" s="26" t="n">
        <v>2.06</v>
      </c>
      <c r="K175" s="26" t="n">
        <v>1609616</v>
      </c>
      <c r="L175" s="26" t="n">
        <v>65.02</v>
      </c>
      <c r="M175" s="26" t="n">
        <v>18.5</v>
      </c>
      <c r="N175" s="26" t="n">
        <v>846.95</v>
      </c>
      <c r="O175" s="25" t="inlineStr">
        <is>
          <t>Near 52W High Breakout</t>
        </is>
      </c>
      <c r="P175" s="25" t="inlineStr">
        <is>
          <t>Growing Industry</t>
        </is>
      </c>
      <c r="Q175" s="25">
        <f>IF(P175="Growing Industry",10,IF(P175="Cyclical in an Upturn",5,0))</f>
        <v/>
      </c>
      <c r="R175" s="25" t="inlineStr">
        <is>
          <t>Too Many Players with High ROCE</t>
        </is>
      </c>
      <c r="S175" s="25">
        <f>IF(R175="Monopoly",10,IF(R175="Oligopoly",5,IF(R175="Duopoly that cooperate",10,IF(R175="Duopoly that compete",5,IF(R175="Too many players with High ROCE",5,0)))))</f>
        <v/>
      </c>
      <c r="T175" s="25" t="inlineStr">
        <is>
          <t>No</t>
        </is>
      </c>
      <c r="U175" s="25">
        <f>IF(T175="No",5,0)</f>
        <v/>
      </c>
      <c r="V175" s="25" t="inlineStr">
        <is>
          <t>Tailwind</t>
        </is>
      </c>
      <c r="W175" s="25">
        <f>IF(V175="Tailwind",10,0)</f>
        <v/>
      </c>
      <c r="X175" s="25" t="inlineStr">
        <is>
          <t>Structural (10 Years Consistency)</t>
        </is>
      </c>
      <c r="Y175" s="25">
        <f>IF(X175="Structural (10 Years Consistency)",10,IF(X175="Shallow Cyclical (2 to 3 years growth)",5,0))</f>
        <v/>
      </c>
      <c r="Z175" s="25" t="inlineStr">
        <is>
          <t>No</t>
        </is>
      </c>
      <c r="AA175" s="25">
        <f>IF(Z175="Yes due to Product Mix change or Operating Leverage",10,IF(Z175="Yes, these are peak margins",-5,IF(Z175="No",5,0)))</f>
        <v/>
      </c>
      <c r="AB175" s="25" t="inlineStr">
        <is>
          <t>Stable</t>
        </is>
      </c>
      <c r="AC175" s="25">
        <f>IF(AB175="Stable",10,0)</f>
        <v/>
      </c>
      <c r="AD175" s="25" t="inlineStr">
        <is>
          <t>Yes</t>
        </is>
      </c>
      <c r="AE175" s="25">
        <f>IF(AD175="Yes",10,0)</f>
        <v/>
      </c>
      <c r="AF175" s="25" t="inlineStr">
        <is>
          <t>B2B</t>
        </is>
      </c>
      <c r="AG175" s="25">
        <f>IF(AF175="B2C",10,IF(AF175="B2B",5,0))</f>
        <v/>
      </c>
      <c r="AH175" s="25" t="inlineStr">
        <is>
          <t>Yes</t>
        </is>
      </c>
      <c r="AI175" s="25">
        <f>IF(AH175="Yes",10,0)</f>
        <v/>
      </c>
      <c r="AJ175" s="25" t="inlineStr">
        <is>
          <t>Higher One Time, Lower Annuity</t>
        </is>
      </c>
      <c r="AK175" s="25">
        <f>IF(AJ175="Fully Annuity",10,IF(AJ175="Higher Annuity, Lower One Time",5,IF(AJ175="Higher One Time, Lower Annuity",3,0)))</f>
        <v/>
      </c>
      <c r="AL175" s="25" t="inlineStr">
        <is>
          <t>Good</t>
        </is>
      </c>
      <c r="AM175" s="25">
        <f>IF(AL175="Good",10,0)</f>
        <v/>
      </c>
      <c r="AN175" s="25" t="inlineStr">
        <is>
          <t>Yes for more than 2 years</t>
        </is>
      </c>
      <c r="AO175" s="25">
        <f>IF(AN175="Yes for more than 2 years",10,IF(AN175="Yes only for next 1 to 2 years",5,0))</f>
        <v/>
      </c>
      <c r="AP175" s="25" t="inlineStr">
        <is>
          <t>0 to 20</t>
        </is>
      </c>
      <c r="AQ175" s="25">
        <f>IF(AP175="Above 40",20,IF(AP175="20 to 40",10,IF(AP175="0 to 20",-5,0)))</f>
        <v/>
      </c>
      <c r="AR175" s="25" t="inlineStr">
        <is>
          <t>Between 50 to 75</t>
        </is>
      </c>
      <c r="AS175" s="25">
        <f>IF(AR175="Between 50 to 75",10,IF(AR175="Above 75",0,0))</f>
        <v/>
      </c>
      <c r="AT175" s="25" t="inlineStr">
        <is>
          <t>Stage 2</t>
        </is>
      </c>
      <c r="AU175" s="25">
        <f>IF(AT175="Stage 2",20,IF(AT175="Stage 1",0,IF(AT175="Stage 3",5,IF(AT175="Stage 4",-5,0))))</f>
        <v/>
      </c>
      <c r="AV175" s="25" t="inlineStr">
        <is>
          <t>Positive Trend</t>
        </is>
      </c>
      <c r="AW175" s="25">
        <f>IF(AV175="Positive Trend",20,IF(AV175="Negative Trend",-10,0))</f>
        <v/>
      </c>
      <c r="AX175" s="25" t="inlineStr">
        <is>
          <t>Uptrend</t>
        </is>
      </c>
      <c r="AY175" s="25">
        <f>IF(AX175="Uptrend",10,IF(AX175="Sideways",5,0))</f>
        <v/>
      </c>
      <c r="AZ175" s="25" t="inlineStr">
        <is>
          <t>Uptrend</t>
        </is>
      </c>
      <c r="BA175" s="25">
        <f>IF(AZ175="Uptrend",10,IF(AZ175="Sideways",5,0))</f>
        <v/>
      </c>
      <c r="BB175" s="25" t="inlineStr">
        <is>
          <t>Close to 52 week high or retracement</t>
        </is>
      </c>
      <c r="BC175" s="25">
        <f>IF(BB175="Overhead supply in last 2 years in last 2 years",-5,IF(BB175="Close to 52 week high or retracement",5,IF(BB175="Blue sky scenario",10,IF(BB175="Long term Downtrend",-10,0))))</f>
        <v/>
      </c>
      <c r="BD175" s="25" t="inlineStr">
        <is>
          <t>Yes</t>
        </is>
      </c>
      <c r="BE175" s="25">
        <f>IF(BD175="Yes",10,0)</f>
        <v/>
      </c>
      <c r="BF175" s="25" t="inlineStr">
        <is>
          <t>More than 20%</t>
        </is>
      </c>
      <c r="BG175" s="25">
        <f>IF(BF175="More than 20%",10,IF(BF175="Between 12 to 20%",5,IF(BF175="Less than 12%",0,0)))</f>
        <v/>
      </c>
      <c r="BH175" s="25" t="inlineStr">
        <is>
          <t>No</t>
        </is>
      </c>
      <c r="BI175" s="25">
        <f>IF(BH175="No",10,0)</f>
        <v/>
      </c>
      <c r="BJ175" s="25" t="inlineStr">
        <is>
          <t>No</t>
        </is>
      </c>
      <c r="BK175" s="25">
        <f>IF(BJ175="NO",5,0)</f>
        <v/>
      </c>
      <c r="BL175" s="25" t="inlineStr">
        <is>
          <t>Less than 1.5</t>
        </is>
      </c>
      <c r="BM175" s="25">
        <f>IF(BL175="Above 2",0,IF(BL175="Between 1.5 to 2",5,IF(BL175="Less than 1.5",10,0)))</f>
        <v/>
      </c>
      <c r="BN175" s="25" t="inlineStr">
        <is>
          <t>Between 50% to 70%</t>
        </is>
      </c>
      <c r="BO175" s="25">
        <f>IF(BN175="Above 70%",10,IF(BN175="Between 50% to 70%",5,IF(BN175="Less than 50%",0,IF(BN175="Negative",-10,IF(BN175="Less than 50% and Borrowings are increasing",-5,0)))))</f>
        <v/>
      </c>
      <c r="BP175" s="25" t="inlineStr">
        <is>
          <t>Between 0.7 to 1.2</t>
        </is>
      </c>
      <c r="BQ175" s="25">
        <f>IF(BP175="More than 1.2",-10,IF(BP175="Between 0.7 to 1.2",0,IF(BP175="Less than 0.7",10,0)))</f>
        <v/>
      </c>
      <c r="BR175" s="25" t="inlineStr">
        <is>
          <t>No</t>
        </is>
      </c>
      <c r="BS175" s="25">
        <f>IF(BR175="Yes",-10,0)</f>
        <v/>
      </c>
      <c r="BT175" s="25" t="inlineStr">
        <is>
          <t>Less than 15%</t>
        </is>
      </c>
      <c r="BU175" s="25">
        <f>IF(BT175="More than 15%",-10,IF(BT175="Less than 15%",10,0))</f>
        <v/>
      </c>
      <c r="BV175" s="25" t="inlineStr">
        <is>
          <t>No</t>
        </is>
      </c>
      <c r="BW175" s="25">
        <f>IF(BV175="Yes, more than 10%",-10,IF(BV175="No",10,0))</f>
        <v/>
      </c>
    </row>
    <row r="176">
      <c r="A176" s="25">
        <f>IF(B176=0,"",RANK(B176,$B$2:$B$292,0))</f>
        <v/>
      </c>
      <c r="B176" s="26">
        <f>SUM(Q176,S176,U176,W176,Y176,AA176,AC176,AE176,AG176,AI176,AK176,AM176,AO176,AQ176,AS176,AU176,AW176,AY176,BA176,BC176,BE176,BG176,BI176,BK176,BM176,BO176,BQ176,BS176,BU176,BW176)</f>
        <v/>
      </c>
      <c r="C176" s="25" t="inlineStr">
        <is>
          <t>ADANIENT</t>
        </is>
      </c>
      <c r="D176" s="25" t="inlineStr">
        <is>
          <t>Adani Enterprises Limited</t>
        </is>
      </c>
      <c r="E176" s="25" t="inlineStr">
        <is>
          <t>services</t>
        </is>
      </c>
      <c r="F176" s="25" t="inlineStr">
        <is>
          <t>trading</t>
        </is>
      </c>
      <c r="G176" s="25" t="inlineStr">
        <is>
          <t>largecap</t>
        </is>
      </c>
      <c r="H176" s="26" t="n">
        <v>376093.02</v>
      </c>
      <c r="I176" s="26" t="n">
        <v>2968.1</v>
      </c>
      <c r="J176" s="26" t="n">
        <v>2.02</v>
      </c>
      <c r="K176" s="26" t="n">
        <v>2066890</v>
      </c>
      <c r="L176" s="26" t="n">
        <v>73.68000000000001</v>
      </c>
      <c r="M176" s="26" t="n">
        <v>31.03</v>
      </c>
      <c r="N176" s="26" t="n">
        <v>2438.56</v>
      </c>
      <c r="O176" s="25" t="inlineStr">
        <is>
          <t>Near 52W High Breakout</t>
        </is>
      </c>
      <c r="P176" s="25" t="inlineStr">
        <is>
          <t>Growing Industry</t>
        </is>
      </c>
      <c r="Q176" s="25">
        <f>IF(P176="Growing Industry",10,IF(P176="Cyclical in an Upturn",5,0))</f>
        <v/>
      </c>
      <c r="R176" s="25" t="inlineStr">
        <is>
          <t>Too Many Players with High ROCE</t>
        </is>
      </c>
      <c r="S176" s="25">
        <f>IF(R176="Monopoly",10,IF(R176="Oligopoly",5,IF(R176="Duopoly that cooperate",10,IF(R176="Duopoly that compete",5,IF(R176="Too many players with High ROCE",5,0)))))</f>
        <v/>
      </c>
      <c r="T176" s="25" t="inlineStr">
        <is>
          <t>No</t>
        </is>
      </c>
      <c r="U176" s="25">
        <f>IF(T176="No",5,0)</f>
        <v/>
      </c>
      <c r="V176" s="25" t="inlineStr">
        <is>
          <t>Tailwind</t>
        </is>
      </c>
      <c r="W176" s="25">
        <f>IF(V176="Tailwind",10,0)</f>
        <v/>
      </c>
      <c r="X176" s="25" t="inlineStr">
        <is>
          <t>Structural (10 Years Consistency)</t>
        </is>
      </c>
      <c r="Y176" s="25">
        <f>IF(X176="Structural (10 Years Consistency)",10,IF(X176="Shallow Cyclical (2 to 3 years growth)",5,0))</f>
        <v/>
      </c>
      <c r="Z176" s="25" t="inlineStr">
        <is>
          <t>No</t>
        </is>
      </c>
      <c r="AA176" s="25">
        <f>IF(Z176="Yes due to Product Mix change or Operating Leverage",10,IF(Z176="Yes, these are peak margins",-5,IF(Z176="No",5,0)))</f>
        <v/>
      </c>
      <c r="AB176" s="25" t="inlineStr">
        <is>
          <t>Stable</t>
        </is>
      </c>
      <c r="AC176" s="25">
        <f>IF(AB176="Stable",10,0)</f>
        <v/>
      </c>
      <c r="AD176" s="25" t="inlineStr">
        <is>
          <t>Yes</t>
        </is>
      </c>
      <c r="AE176" s="25">
        <f>IF(AD176="Yes",10,0)</f>
        <v/>
      </c>
      <c r="AF176" s="25" t="inlineStr">
        <is>
          <t>B2B</t>
        </is>
      </c>
      <c r="AG176" s="25">
        <f>IF(AF176="B2C",10,IF(AF176="B2B",5,0))</f>
        <v/>
      </c>
      <c r="AH176" s="25" t="inlineStr">
        <is>
          <t>Yes</t>
        </is>
      </c>
      <c r="AI176" s="25">
        <f>IF(AH176="Yes",10,0)</f>
        <v/>
      </c>
      <c r="AJ176" s="25" t="inlineStr">
        <is>
          <t>Higher One Time, Lower Annuity</t>
        </is>
      </c>
      <c r="AK176" s="25">
        <f>IF(AJ176="Fully Annuity",10,IF(AJ176="Higher Annuity, Lower One Time",5,IF(AJ176="Higher One Time, Lower Annuity",3,0)))</f>
        <v/>
      </c>
      <c r="AL176" s="25" t="inlineStr">
        <is>
          <t>Good</t>
        </is>
      </c>
      <c r="AM176" s="25">
        <f>IF(AL176="Good",10,0)</f>
        <v/>
      </c>
      <c r="AN176" s="25" t="inlineStr">
        <is>
          <t>Yes for more than 2 years</t>
        </is>
      </c>
      <c r="AO176" s="25">
        <f>IF(AN176="Yes for more than 2 years",10,IF(AN176="Yes only for next 1 to 2 years",5,0))</f>
        <v/>
      </c>
      <c r="AP176" s="25" t="inlineStr">
        <is>
          <t>20 to 40</t>
        </is>
      </c>
      <c r="AQ176" s="25">
        <f>IF(AP176="Above 40",20,IF(AP176="20 to 40",10,IF(AP176="0 to 20",-5,0)))</f>
        <v/>
      </c>
      <c r="AR176" s="25" t="inlineStr">
        <is>
          <t>Between 50 to 75</t>
        </is>
      </c>
      <c r="AS176" s="25">
        <f>IF(AR176="Between 50 to 75",10,IF(AR176="Above 75",0,0))</f>
        <v/>
      </c>
      <c r="AT176" s="25" t="inlineStr">
        <is>
          <t>Stage 2</t>
        </is>
      </c>
      <c r="AU176" s="25">
        <f>IF(AT176="Stage 2",20,IF(AT176="Stage 1",0,IF(AT176="Stage 3",5,IF(AT176="Stage 4",-5,0))))</f>
        <v/>
      </c>
      <c r="AV176" s="25" t="inlineStr">
        <is>
          <t>Positive Trend</t>
        </is>
      </c>
      <c r="AW176" s="25">
        <f>IF(AV176="Positive Trend",20,IF(AV176="Negative Trend",-10,0))</f>
        <v/>
      </c>
      <c r="AX176" s="25" t="inlineStr">
        <is>
          <t>Uptrend</t>
        </is>
      </c>
      <c r="AY176" s="25">
        <f>IF(AX176="Uptrend",10,IF(AX176="Sideways",5,0))</f>
        <v/>
      </c>
      <c r="AZ176" s="25" t="inlineStr">
        <is>
          <t>Uptrend</t>
        </is>
      </c>
      <c r="BA176" s="25">
        <f>IF(AZ176="Uptrend",10,IF(AZ176="Sideways",5,0))</f>
        <v/>
      </c>
      <c r="BB176" s="25" t="inlineStr">
        <is>
          <t>Close to 52 week high or retracement</t>
        </is>
      </c>
      <c r="BC176" s="25">
        <f>IF(BB176="Overhead supply in last 2 years in last 2 years",-5,IF(BB176="Close to 52 week high or retracement",5,IF(BB176="Blue sky scenario",10,IF(BB176="Long term Downtrend",-10,0))))</f>
        <v/>
      </c>
      <c r="BD176" s="25" t="inlineStr">
        <is>
          <t>Yes</t>
        </is>
      </c>
      <c r="BE176" s="25">
        <f>IF(BD176="Yes",10,0)</f>
        <v/>
      </c>
      <c r="BF176" s="25" t="inlineStr">
        <is>
          <t>More than 20%</t>
        </is>
      </c>
      <c r="BG176" s="25">
        <f>IF(BF176="More than 20%",10,IF(BF176="Between 12 to 20%",5,IF(BF176="Less than 12%",0,0)))</f>
        <v/>
      </c>
      <c r="BH176" s="25" t="inlineStr">
        <is>
          <t>No</t>
        </is>
      </c>
      <c r="BI176" s="25">
        <f>IF(BH176="No",10,0)</f>
        <v/>
      </c>
      <c r="BJ176" s="25" t="inlineStr">
        <is>
          <t>Yes</t>
        </is>
      </c>
      <c r="BK176" s="25">
        <f>IF(BJ176="NO",5,0)</f>
        <v/>
      </c>
      <c r="BL176" s="25" t="inlineStr">
        <is>
          <t>Less than 1.5</t>
        </is>
      </c>
      <c r="BM176" s="25">
        <f>IF(BL176="Above 2",0,IF(BL176="Between 1.5 to 2",5,IF(BL176="Less than 1.5",10,0)))</f>
        <v/>
      </c>
      <c r="BN176" s="25" t="inlineStr">
        <is>
          <t>Less than 50% and Borrowings are increasing</t>
        </is>
      </c>
      <c r="BO176" s="25">
        <f>IF(BN176="Above 70%",10,IF(BN176="Between 50% to 70%",5,IF(BN176="Less than 50%",0,IF(BN176="Negative",-10,IF(BN176="Less than 50% and Borrowings are increasing",-5,0)))))</f>
        <v/>
      </c>
      <c r="BP176" s="25" t="inlineStr">
        <is>
          <t>Between 0.7 to 1.2</t>
        </is>
      </c>
      <c r="BQ176" s="25">
        <f>IF(BP176="More than 1.2",-10,IF(BP176="Between 0.7 to 1.2",0,IF(BP176="Less than 0.7",10,0)))</f>
        <v/>
      </c>
      <c r="BR176" s="25" t="inlineStr">
        <is>
          <t>No</t>
        </is>
      </c>
      <c r="BS176" s="25">
        <f>IF(BR176="Yes",-10,0)</f>
        <v/>
      </c>
      <c r="BT176" s="25" t="inlineStr">
        <is>
          <t>Less than 15%</t>
        </is>
      </c>
      <c r="BU176" s="25">
        <f>IF(BT176="More than 15%",-10,IF(BT176="Less than 15%",10,0))</f>
        <v/>
      </c>
      <c r="BV176" s="25" t="inlineStr">
        <is>
          <t>No</t>
        </is>
      </c>
      <c r="BW176" s="25">
        <f>IF(BV176="Yes, more than 10%",-10,IF(BV176="No",10,0))</f>
        <v/>
      </c>
    </row>
    <row r="177">
      <c r="A177" s="25">
        <f>IF(B177=0,"",RANK(B177,$B$2:$B$292,0))</f>
        <v/>
      </c>
      <c r="B177" s="26">
        <f>SUM(Q177,S177,U177,W177,Y177,AA177,AC177,AE177,AG177,AI177,AK177,AM177,AO177,AQ177,AS177,AU177,AW177,AY177,BA177,BC177,BE177,BG177,BI177,BK177,BM177,BO177,BQ177,BS177,BU177,BW177)</f>
        <v/>
      </c>
      <c r="C177" s="25" t="inlineStr">
        <is>
          <t>HIRECT</t>
        </is>
      </c>
      <c r="D177" s="25" t="inlineStr">
        <is>
          <t>Hind Rectifiers Limited</t>
        </is>
      </c>
      <c r="E177" s="25" t="inlineStr">
        <is>
          <t>consumer discretionary</t>
        </is>
      </c>
      <c r="F177" s="25" t="inlineStr">
        <is>
          <t>electronics - components</t>
        </is>
      </c>
      <c r="G177" s="25" t="inlineStr">
        <is>
          <t>smallcap</t>
        </is>
      </c>
      <c r="H177" s="26" t="n">
        <v>3747.79</v>
      </c>
      <c r="I177" s="26" t="n">
        <v>1109.5</v>
      </c>
      <c r="J177" s="26" t="n">
        <v>1.74</v>
      </c>
      <c r="K177" s="26" t="n">
        <v>120557</v>
      </c>
      <c r="L177" s="26" t="n">
        <v>75.45</v>
      </c>
      <c r="M177" s="26" t="n">
        <v>23.28</v>
      </c>
      <c r="N177" s="26" t="n">
        <v>785.8200000000001</v>
      </c>
      <c r="O177" s="25" t="inlineStr">
        <is>
          <t>Near 52W High Breakout</t>
        </is>
      </c>
      <c r="P177" s="25" t="inlineStr">
        <is>
          <t>Growing Industry</t>
        </is>
      </c>
      <c r="Q177" s="25">
        <f>IF(P177="Growing Industry",10,IF(P177="Cyclical in an Upturn",5,0))</f>
        <v/>
      </c>
      <c r="R177" s="25" t="inlineStr">
        <is>
          <t>Too Many Players with High ROCE</t>
        </is>
      </c>
      <c r="S177" s="25">
        <f>IF(R177="Monopoly",10,IF(R177="Oligopoly",5,IF(R177="Duopoly that cooperate",10,IF(R177="Duopoly that compete",5,IF(R177="Too many players with High ROCE",5,0)))))</f>
        <v/>
      </c>
      <c r="T177" s="25" t="inlineStr">
        <is>
          <t>No</t>
        </is>
      </c>
      <c r="U177" s="25">
        <f>IF(T177="No",5,0)</f>
        <v/>
      </c>
      <c r="V177" s="25" t="inlineStr">
        <is>
          <t>Tailwind</t>
        </is>
      </c>
      <c r="W177" s="25">
        <f>IF(V177="Tailwind",10,0)</f>
        <v/>
      </c>
      <c r="X177" s="25" t="inlineStr">
        <is>
          <t>Structural (10 Years Consistency)</t>
        </is>
      </c>
      <c r="Y177" s="25">
        <f>IF(X177="Structural (10 Years Consistency)",10,IF(X177="Shallow Cyclical (2 to 3 years growth)",5,0))</f>
        <v/>
      </c>
      <c r="Z177" s="25" t="inlineStr">
        <is>
          <t>No</t>
        </is>
      </c>
      <c r="AA177" s="25">
        <f>IF(Z177="Yes due to Product Mix change or Operating Leverage",10,IF(Z177="Yes, these are peak margins",-5,IF(Z177="No",5,0)))</f>
        <v/>
      </c>
      <c r="AB177" s="25" t="inlineStr">
        <is>
          <t>Stable</t>
        </is>
      </c>
      <c r="AC177" s="25">
        <f>IF(AB177="Stable",10,0)</f>
        <v/>
      </c>
      <c r="AD177" s="25" t="inlineStr">
        <is>
          <t>Yes</t>
        </is>
      </c>
      <c r="AE177" s="25">
        <f>IF(AD177="Yes",10,0)</f>
        <v/>
      </c>
      <c r="AF177" s="25" t="inlineStr">
        <is>
          <t>B2B</t>
        </is>
      </c>
      <c r="AG177" s="25">
        <f>IF(AF177="B2C",10,IF(AF177="B2B",5,0))</f>
        <v/>
      </c>
      <c r="AH177" s="25" t="inlineStr">
        <is>
          <t>Yes</t>
        </is>
      </c>
      <c r="AI177" s="25">
        <f>IF(AH177="Yes",10,0)</f>
        <v/>
      </c>
      <c r="AJ177" s="25" t="inlineStr">
        <is>
          <t>Higher One Time, Lower Annuity</t>
        </is>
      </c>
      <c r="AK177" s="25">
        <f>IF(AJ177="Fully Annuity",10,IF(AJ177="Higher Annuity, Lower One Time",5,IF(AJ177="Higher One Time, Lower Annuity",3,0)))</f>
        <v/>
      </c>
      <c r="AL177" s="25" t="inlineStr">
        <is>
          <t>Good</t>
        </is>
      </c>
      <c r="AM177" s="25">
        <f>IF(AL177="Good",10,0)</f>
        <v/>
      </c>
      <c r="AN177" s="25" t="inlineStr">
        <is>
          <t>Yes for more than 2 years</t>
        </is>
      </c>
      <c r="AO177" s="25">
        <f>IF(AN177="Yes for more than 2 years",10,IF(AN177="Yes only for next 1 to 2 years",5,0))</f>
        <v/>
      </c>
      <c r="AP177" s="25" t="inlineStr">
        <is>
          <t>20 to 40</t>
        </is>
      </c>
      <c r="AQ177" s="25">
        <f>IF(AP177="Above 40",20,IF(AP177="20 to 40",10,IF(AP177="0 to 20",-5,0)))</f>
        <v/>
      </c>
      <c r="AR177" s="25" t="inlineStr">
        <is>
          <t>Above 75</t>
        </is>
      </c>
      <c r="AS177" s="25">
        <f>IF(AR177="Between 50 to 75",10,IF(AR177="Above 75",0,0))</f>
        <v/>
      </c>
      <c r="AT177" s="25" t="inlineStr">
        <is>
          <t>Stage 2</t>
        </is>
      </c>
      <c r="AU177" s="25">
        <f>IF(AT177="Stage 2",20,IF(AT177="Stage 1",0,IF(AT177="Stage 3",5,IF(AT177="Stage 4",-5,0))))</f>
        <v/>
      </c>
      <c r="AV177" s="25" t="inlineStr">
        <is>
          <t>Positive Trend</t>
        </is>
      </c>
      <c r="AW177" s="25">
        <f>IF(AV177="Positive Trend",20,IF(AV177="Negative Trend",-10,0))</f>
        <v/>
      </c>
      <c r="AX177" s="25" t="inlineStr">
        <is>
          <t>Uptrend</t>
        </is>
      </c>
      <c r="AY177" s="25">
        <f>IF(AX177="Uptrend",10,IF(AX177="Sideways",5,0))</f>
        <v/>
      </c>
      <c r="AZ177" s="25" t="inlineStr">
        <is>
          <t>Uptrend</t>
        </is>
      </c>
      <c r="BA177" s="25">
        <f>IF(AZ177="Uptrend",10,IF(AZ177="Sideways",5,0))</f>
        <v/>
      </c>
      <c r="BB177" s="25" t="inlineStr">
        <is>
          <t>Blue sky scenario</t>
        </is>
      </c>
      <c r="BC177" s="25">
        <f>IF(BB177="Overhead supply in last 2 years in last 2 years",-5,IF(BB177="Close to 52 week high or retracement",5,IF(BB177="Blue sky scenario",10,IF(BB177="Long term Downtrend",-10,0))))</f>
        <v/>
      </c>
      <c r="BD177" s="25" t="inlineStr">
        <is>
          <t>Yes</t>
        </is>
      </c>
      <c r="BE177" s="25">
        <f>IF(BD177="Yes",10,0)</f>
        <v/>
      </c>
      <c r="BF177" s="25" t="inlineStr">
        <is>
          <t>Less than 12%</t>
        </is>
      </c>
      <c r="BG177" s="25">
        <f>IF(BF177="More than 20%",10,IF(BF177="Between 12 to 20%",5,IF(BF177="Less than 12%",0,0)))</f>
        <v/>
      </c>
      <c r="BH177" s="25" t="inlineStr">
        <is>
          <t>No</t>
        </is>
      </c>
      <c r="BI177" s="25">
        <f>IF(BH177="No",10,0)</f>
        <v/>
      </c>
      <c r="BJ177" s="25" t="inlineStr">
        <is>
          <t>Yes</t>
        </is>
      </c>
      <c r="BK177" s="25">
        <f>IF(BJ177="NO",5,0)</f>
        <v/>
      </c>
      <c r="BL177" s="25" t="inlineStr">
        <is>
          <t>Less than 1.5</t>
        </is>
      </c>
      <c r="BM177" s="25">
        <f>IF(BL177="Above 2",0,IF(BL177="Between 1.5 to 2",5,IF(BL177="Less than 1.5",10,0)))</f>
        <v/>
      </c>
      <c r="BN177" s="25" t="inlineStr">
        <is>
          <t>Above 70%</t>
        </is>
      </c>
      <c r="BO177" s="25">
        <f>IF(BN177="Above 70%",10,IF(BN177="Between 50% to 70%",5,IF(BN177="Less than 50%",0,IF(BN177="Negative",-10,IF(BN177="Less than 50% and Borrowings are increasing",-5,0)))))</f>
        <v/>
      </c>
      <c r="BP177" s="25" t="inlineStr">
        <is>
          <t>Between 0.7 to 1.2</t>
        </is>
      </c>
      <c r="BQ177" s="25">
        <f>IF(BP177="More than 1.2",-10,IF(BP177="Between 0.7 to 1.2",0,IF(BP177="Less than 0.7",10,0)))</f>
        <v/>
      </c>
      <c r="BR177" s="25" t="inlineStr">
        <is>
          <t>No</t>
        </is>
      </c>
      <c r="BS177" s="25">
        <f>IF(BR177="Yes",-10,0)</f>
        <v/>
      </c>
      <c r="BT177" s="25" t="inlineStr">
        <is>
          <t>Less than 15%</t>
        </is>
      </c>
      <c r="BU177" s="25">
        <f>IF(BT177="More than 15%",-10,IF(BT177="Less than 15%",10,0))</f>
        <v/>
      </c>
      <c r="BV177" s="25" t="inlineStr">
        <is>
          <t>No</t>
        </is>
      </c>
      <c r="BW177" s="25">
        <f>IF(BV177="Yes, more than 10%",-10,IF(BV177="No",10,0))</f>
        <v/>
      </c>
    </row>
    <row r="178">
      <c r="A178" s="25">
        <f>IF(B178=0,"",RANK(B178,$B$2:$B$292,0))</f>
        <v/>
      </c>
      <c r="B178" s="26">
        <f>SUM(Q178,S178,U178,W178,Y178,AA178,AC178,AE178,AG178,AI178,AK178,AM178,AO178,AQ178,AS178,AU178,AW178,AY178,BA178,BC178,BE178,BG178,BI178,BK178,BM178,BO178,BQ178,BS178,BU178,BW178)</f>
        <v/>
      </c>
      <c r="C178" s="25" t="inlineStr">
        <is>
          <t>UFBL</t>
        </is>
      </c>
      <c r="D178" s="25" t="inlineStr">
        <is>
          <t>United Foodbrands Ltd</t>
        </is>
      </c>
      <c r="E178" s="25" t="inlineStr">
        <is>
          <t>consumer discretionary</t>
        </is>
      </c>
      <c r="F178" s="25" t="inlineStr">
        <is>
          <t>hotels</t>
        </is>
      </c>
      <c r="G178" s="25" t="inlineStr">
        <is>
          <t>smallcap</t>
        </is>
      </c>
      <c r="H178" s="26" t="n">
        <v>1872.82</v>
      </c>
      <c r="I178" s="26" t="n">
        <v>487.2</v>
      </c>
      <c r="J178" s="26" t="n">
        <v>1.68</v>
      </c>
      <c r="K178" s="26" t="n">
        <v>90837</v>
      </c>
      <c r="L178" s="26" t="n">
        <v>75.15000000000001</v>
      </c>
      <c r="M178" s="26" t="n">
        <v>33.79</v>
      </c>
      <c r="N178" s="26" t="n">
        <v>350.19</v>
      </c>
      <c r="O178" s="25" t="inlineStr">
        <is>
          <t>Near 52W High Breakout</t>
        </is>
      </c>
      <c r="P178" s="25" t="inlineStr">
        <is>
          <t>Growing Industry</t>
        </is>
      </c>
      <c r="Q178" s="25">
        <f>IF(P178="Growing Industry",10,IF(P178="Cyclical in an Upturn",5,0))</f>
        <v/>
      </c>
      <c r="R178" s="25" t="inlineStr">
        <is>
          <t>Too Many Players with High ROCE</t>
        </is>
      </c>
      <c r="S178" s="25">
        <f>IF(R178="Monopoly",10,IF(R178="Oligopoly",5,IF(R178="Duopoly that cooperate",10,IF(R178="Duopoly that compete",5,IF(R178="Too many players with High ROCE",5,0)))))</f>
        <v/>
      </c>
      <c r="T178" s="25" t="inlineStr">
        <is>
          <t>No</t>
        </is>
      </c>
      <c r="U178" s="25">
        <f>IF(T178="No",5,0)</f>
        <v/>
      </c>
      <c r="V178" s="25" t="inlineStr">
        <is>
          <t>Tailwind</t>
        </is>
      </c>
      <c r="W178" s="25">
        <f>IF(V178="Tailwind",10,0)</f>
        <v/>
      </c>
      <c r="X178" s="25" t="inlineStr">
        <is>
          <t>Structural (10 Years Consistency)</t>
        </is>
      </c>
      <c r="Y178" s="25">
        <f>IF(X178="Structural (10 Years Consistency)",10,IF(X178="Shallow Cyclical (2 to 3 years growth)",5,0))</f>
        <v/>
      </c>
      <c r="Z178" s="25" t="inlineStr">
        <is>
          <t>No</t>
        </is>
      </c>
      <c r="AA178" s="25">
        <f>IF(Z178="Yes due to Product Mix change or Operating Leverage",10,IF(Z178="Yes, these are peak margins",-5,IF(Z178="No",5,0)))</f>
        <v/>
      </c>
      <c r="AB178" s="25" t="inlineStr">
        <is>
          <t>Stable</t>
        </is>
      </c>
      <c r="AC178" s="25">
        <f>IF(AB178="Stable",10,0)</f>
        <v/>
      </c>
      <c r="AD178" s="25" t="inlineStr">
        <is>
          <t>Yes</t>
        </is>
      </c>
      <c r="AE178" s="25">
        <f>IF(AD178="Yes",10,0)</f>
        <v/>
      </c>
      <c r="AF178" s="25" t="inlineStr">
        <is>
          <t>B2B</t>
        </is>
      </c>
      <c r="AG178" s="25">
        <f>IF(AF178="B2C",10,IF(AF178="B2B",5,0))</f>
        <v/>
      </c>
      <c r="AH178" s="25" t="inlineStr">
        <is>
          <t>Yes</t>
        </is>
      </c>
      <c r="AI178" s="25">
        <f>IF(AH178="Yes",10,0)</f>
        <v/>
      </c>
      <c r="AJ178" s="25" t="inlineStr">
        <is>
          <t>Higher One Time, Lower Annuity</t>
        </is>
      </c>
      <c r="AK178" s="25">
        <f>IF(AJ178="Fully Annuity",10,IF(AJ178="Higher Annuity, Lower One Time",5,IF(AJ178="Higher One Time, Lower Annuity",3,0)))</f>
        <v/>
      </c>
      <c r="AL178" s="25" t="inlineStr">
        <is>
          <t>Good</t>
        </is>
      </c>
      <c r="AM178" s="25">
        <f>IF(AL178="Good",10,0)</f>
        <v/>
      </c>
      <c r="AN178" s="25" t="inlineStr">
        <is>
          <t>Yes for more than 2 years</t>
        </is>
      </c>
      <c r="AO178" s="25">
        <f>IF(AN178="Yes for more than 2 years",10,IF(AN178="Yes only for next 1 to 2 years",5,0))</f>
        <v/>
      </c>
      <c r="AP178" s="25" t="inlineStr">
        <is>
          <t>20 to 40</t>
        </is>
      </c>
      <c r="AQ178" s="25">
        <f>IF(AP178="Above 40",20,IF(AP178="20 to 40",10,IF(AP178="0 to 20",-5,0)))</f>
        <v/>
      </c>
      <c r="AR178" s="25" t="inlineStr">
        <is>
          <t>Above 75</t>
        </is>
      </c>
      <c r="AS178" s="25">
        <f>IF(AR178="Between 50 to 75",10,IF(AR178="Above 75",0,0))</f>
        <v/>
      </c>
      <c r="AT178" s="25" t="inlineStr">
        <is>
          <t>Stage 2</t>
        </is>
      </c>
      <c r="AU178" s="25">
        <f>IF(AT178="Stage 2",20,IF(AT178="Stage 1",0,IF(AT178="Stage 3",5,IF(AT178="Stage 4",-5,0))))</f>
        <v/>
      </c>
      <c r="AV178" s="25" t="inlineStr">
        <is>
          <t>Positive Trend</t>
        </is>
      </c>
      <c r="AW178" s="25">
        <f>IF(AV178="Positive Trend",20,IF(AV178="Negative Trend",-10,0))</f>
        <v/>
      </c>
      <c r="AX178" s="25" t="inlineStr">
        <is>
          <t>Uptrend</t>
        </is>
      </c>
      <c r="AY178" s="25">
        <f>IF(AX178="Uptrend",10,IF(AX178="Sideways",5,0))</f>
        <v/>
      </c>
      <c r="AZ178" s="25" t="inlineStr">
        <is>
          <t>Uptrend</t>
        </is>
      </c>
      <c r="BA178" s="25">
        <f>IF(AZ178="Uptrend",10,IF(AZ178="Sideways",5,0))</f>
        <v/>
      </c>
      <c r="BB178" s="25" t="inlineStr">
        <is>
          <t>Close to 52 week high or retracement</t>
        </is>
      </c>
      <c r="BC178" s="25">
        <f>IF(BB178="Overhead supply in last 2 years in last 2 years",-5,IF(BB178="Close to 52 week high or retracement",5,IF(BB178="Blue sky scenario",10,IF(BB178="Long term Downtrend",-10,0))))</f>
        <v/>
      </c>
      <c r="BD178" s="25" t="inlineStr">
        <is>
          <t>Yes</t>
        </is>
      </c>
      <c r="BE178" s="25">
        <f>IF(BD178="Yes",10,0)</f>
        <v/>
      </c>
      <c r="BF178" s="25" t="inlineStr">
        <is>
          <t>More than 20%</t>
        </is>
      </c>
      <c r="BG178" s="25">
        <f>IF(BF178="More than 20%",10,IF(BF178="Between 12 to 20%",5,IF(BF178="Less than 12%",0,0)))</f>
        <v/>
      </c>
      <c r="BH178" s="25" t="inlineStr">
        <is>
          <t>No</t>
        </is>
      </c>
      <c r="BI178" s="25">
        <f>IF(BH178="No",10,0)</f>
        <v/>
      </c>
      <c r="BJ178" s="25" t="inlineStr">
        <is>
          <t>No</t>
        </is>
      </c>
      <c r="BK178" s="25">
        <f>IF(BJ178="NO",5,0)</f>
        <v/>
      </c>
      <c r="BL178" s="25" t="inlineStr">
        <is>
          <t>Less than 1.5</t>
        </is>
      </c>
      <c r="BM178" s="25">
        <f>IF(BL178="Above 2",0,IF(BL178="Between 1.5 to 2",5,IF(BL178="Less than 1.5",10,0)))</f>
        <v/>
      </c>
      <c r="BN178" s="25" t="inlineStr">
        <is>
          <t>Above 70%</t>
        </is>
      </c>
      <c r="BO178" s="25">
        <f>IF(BN178="Above 70%",10,IF(BN178="Between 50% to 70%",5,IF(BN178="Less than 50%",0,IF(BN178="Negative",-10,IF(BN178="Less than 50% and Borrowings are increasing",-5,0)))))</f>
        <v/>
      </c>
      <c r="BP178" s="25" t="inlineStr">
        <is>
          <t>More than 1.2</t>
        </is>
      </c>
      <c r="BQ178" s="25">
        <f>IF(BP178="More than 1.2",-10,IF(BP178="Between 0.7 to 1.2",0,IF(BP178="Less than 0.7",10,0)))</f>
        <v/>
      </c>
      <c r="BR178" s="25" t="inlineStr">
        <is>
          <t>No</t>
        </is>
      </c>
      <c r="BS178" s="25">
        <f>IF(BR178="Yes",-10,0)</f>
        <v/>
      </c>
      <c r="BT178" s="25" t="inlineStr">
        <is>
          <t>Less than 15%</t>
        </is>
      </c>
      <c r="BU178" s="25">
        <f>IF(BT178="More than 15%",-10,IF(BT178="Less than 15%",10,0))</f>
        <v/>
      </c>
      <c r="BV178" s="25" t="inlineStr">
        <is>
          <t>No</t>
        </is>
      </c>
      <c r="BW178" s="25">
        <f>IF(BV178="Yes, more than 10%",-10,IF(BV178="No",10,0))</f>
        <v/>
      </c>
    </row>
    <row r="179">
      <c r="A179" s="25">
        <f>IF(B179=0,"",RANK(B179,$B$2:$B$292,0))</f>
        <v/>
      </c>
      <c r="B179" s="26">
        <f>SUM(Q179,S179,U179,W179,Y179,AA179,AC179,AE179,AG179,AI179,AK179,AM179,AO179,AQ179,AS179,AU179,AW179,AY179,BA179,BC179,BE179,BG179,BI179,BK179,BM179,BO179,BQ179,BS179,BU179,BW179)</f>
        <v/>
      </c>
      <c r="C179" s="25" t="inlineStr">
        <is>
          <t>SPECTRUM</t>
        </is>
      </c>
      <c r="D179" s="25" t="inlineStr">
        <is>
          <t>Spectrum Electrical Industries Ltd</t>
        </is>
      </c>
      <c r="E179" s="25" t="inlineStr">
        <is>
          <t>industrials</t>
        </is>
      </c>
      <c r="F179" s="25" t="inlineStr">
        <is>
          <t>electric equipment</t>
        </is>
      </c>
      <c r="G179" s="25" t="inlineStr">
        <is>
          <t>smallcap</t>
        </is>
      </c>
      <c r="H179" s="26" t="n">
        <v>2278.82</v>
      </c>
      <c r="I179" s="26" t="n">
        <v>1473.7</v>
      </c>
      <c r="J179" s="26" t="n">
        <v>1.62</v>
      </c>
      <c r="K179" s="26" t="n">
        <v>12992</v>
      </c>
      <c r="L179" s="26" t="n">
        <v>56.61</v>
      </c>
      <c r="M179" s="26" t="n">
        <v>22.62</v>
      </c>
      <c r="N179" s="26" t="n">
        <v>995.71</v>
      </c>
      <c r="O179" s="25" t="inlineStr">
        <is>
          <t>Earnings / Momentum Support</t>
        </is>
      </c>
      <c r="P179" s="25" t="inlineStr">
        <is>
          <t>Cyclical in an Upturn</t>
        </is>
      </c>
      <c r="Q179" s="25">
        <f>IF(P179="Growing Industry",10,IF(P179="Cyclical in an Upturn",5,0))</f>
        <v/>
      </c>
      <c r="R179" s="25" t="inlineStr">
        <is>
          <t>Too Many Players with High ROCE</t>
        </is>
      </c>
      <c r="S179" s="25">
        <f>IF(R179="Monopoly",10,IF(R179="Oligopoly",5,IF(R179="Duopoly that cooperate",10,IF(R179="Duopoly that compete",5,IF(R179="Too many players with High ROCE",5,0)))))</f>
        <v/>
      </c>
      <c r="T179" s="25" t="inlineStr">
        <is>
          <t>No</t>
        </is>
      </c>
      <c r="U179" s="25">
        <f>IF(T179="No",5,0)</f>
        <v/>
      </c>
      <c r="V179" s="25" t="inlineStr">
        <is>
          <t>Tailwind</t>
        </is>
      </c>
      <c r="W179" s="25">
        <f>IF(V179="Tailwind",10,0)</f>
        <v/>
      </c>
      <c r="X179" s="25" t="inlineStr">
        <is>
          <t>Structural (10 Years Consistency)</t>
        </is>
      </c>
      <c r="Y179" s="25">
        <f>IF(X179="Structural (10 Years Consistency)",10,IF(X179="Shallow Cyclical (2 to 3 years growth)",5,0))</f>
        <v/>
      </c>
      <c r="Z179" s="25" t="inlineStr">
        <is>
          <t>No</t>
        </is>
      </c>
      <c r="AA179" s="25">
        <f>IF(Z179="Yes due to Product Mix change or Operating Leverage",10,IF(Z179="Yes, these are peak margins",-5,IF(Z179="No",5,0)))</f>
        <v/>
      </c>
      <c r="AB179" s="25" t="inlineStr">
        <is>
          <t>Stable</t>
        </is>
      </c>
      <c r="AC179" s="25">
        <f>IF(AB179="Stable",10,0)</f>
        <v/>
      </c>
      <c r="AD179" s="25" t="inlineStr">
        <is>
          <t>Yes</t>
        </is>
      </c>
      <c r="AE179" s="25">
        <f>IF(AD179="Yes",10,0)</f>
        <v/>
      </c>
      <c r="AF179" s="25" t="inlineStr">
        <is>
          <t>B2B</t>
        </is>
      </c>
      <c r="AG179" s="25">
        <f>IF(AF179="B2C",10,IF(AF179="B2B",5,0))</f>
        <v/>
      </c>
      <c r="AH179" s="25" t="inlineStr">
        <is>
          <t>No</t>
        </is>
      </c>
      <c r="AI179" s="25">
        <f>IF(AH179="Yes",10,0)</f>
        <v/>
      </c>
      <c r="AJ179" s="25" t="inlineStr">
        <is>
          <t>Higher One Time, Lower Annuity</t>
        </is>
      </c>
      <c r="AK179" s="25">
        <f>IF(AJ179="Fully Annuity",10,IF(AJ179="Higher Annuity, Lower One Time",5,IF(AJ179="Higher One Time, Lower Annuity",3,0)))</f>
        <v/>
      </c>
      <c r="AL179" s="25" t="inlineStr">
        <is>
          <t>Good</t>
        </is>
      </c>
      <c r="AM179" s="25">
        <f>IF(AL179="Good",10,0)</f>
        <v/>
      </c>
      <c r="AN179" s="25" t="inlineStr">
        <is>
          <t>Yes for more than 2 years</t>
        </is>
      </c>
      <c r="AO179" s="25">
        <f>IF(AN179="Yes for more than 2 years",10,IF(AN179="Yes only for next 1 to 2 years",5,0))</f>
        <v/>
      </c>
      <c r="AP179" s="25" t="inlineStr">
        <is>
          <t>20 to 40</t>
        </is>
      </c>
      <c r="AQ179" s="25">
        <f>IF(AP179="Above 40",20,IF(AP179="20 to 40",10,IF(AP179="0 to 20",-5,0)))</f>
        <v/>
      </c>
      <c r="AR179" s="25" t="inlineStr">
        <is>
          <t>Between 50 to 75</t>
        </is>
      </c>
      <c r="AS179" s="25">
        <f>IF(AR179="Between 50 to 75",10,IF(AR179="Above 75",0,0))</f>
        <v/>
      </c>
      <c r="AT179" s="25" t="inlineStr">
        <is>
          <t>Stage 2</t>
        </is>
      </c>
      <c r="AU179" s="25">
        <f>IF(AT179="Stage 2",20,IF(AT179="Stage 1",0,IF(AT179="Stage 3",5,IF(AT179="Stage 4",-5,0))))</f>
        <v/>
      </c>
      <c r="AV179" s="25" t="inlineStr">
        <is>
          <t>Positive Trend</t>
        </is>
      </c>
      <c r="AW179" s="25">
        <f>IF(AV179="Positive Trend",20,IF(AV179="Negative Trend",-10,0))</f>
        <v/>
      </c>
      <c r="AX179" s="25" t="inlineStr">
        <is>
          <t>Uptrend</t>
        </is>
      </c>
      <c r="AY179" s="25">
        <f>IF(AX179="Uptrend",10,IF(AX179="Sideways",5,0))</f>
        <v/>
      </c>
      <c r="AZ179" s="25" t="inlineStr">
        <is>
          <t>Uptrend</t>
        </is>
      </c>
      <c r="BA179" s="25">
        <f>IF(AZ179="Uptrend",10,IF(AZ179="Sideways",5,0))</f>
        <v/>
      </c>
      <c r="BB179" s="25" t="inlineStr">
        <is>
          <t>Close to 52 week high or retracement</t>
        </is>
      </c>
      <c r="BC179" s="25">
        <f>IF(BB179="Overhead supply in last 2 years in last 2 years",-5,IF(BB179="Close to 52 week high or retracement",5,IF(BB179="Blue sky scenario",10,IF(BB179="Long term Downtrend",-10,0))))</f>
        <v/>
      </c>
      <c r="BD179" s="25" t="inlineStr">
        <is>
          <t>Yes</t>
        </is>
      </c>
      <c r="BE179" s="25">
        <f>IF(BD179="Yes",10,0)</f>
        <v/>
      </c>
      <c r="BF179" s="25" t="inlineStr">
        <is>
          <t>More than 20%</t>
        </is>
      </c>
      <c r="BG179" s="25">
        <f>IF(BF179="More than 20%",10,IF(BF179="Between 12 to 20%",5,IF(BF179="Less than 12%",0,0)))</f>
        <v/>
      </c>
      <c r="BH179" s="25" t="inlineStr">
        <is>
          <t>No</t>
        </is>
      </c>
      <c r="BI179" s="25">
        <f>IF(BH179="No",10,0)</f>
        <v/>
      </c>
      <c r="BJ179" s="25" t="inlineStr">
        <is>
          <t>Yes</t>
        </is>
      </c>
      <c r="BK179" s="25">
        <f>IF(BJ179="NO",5,0)</f>
        <v/>
      </c>
      <c r="BL179" s="25" t="inlineStr">
        <is>
          <t>Less than 1.5</t>
        </is>
      </c>
      <c r="BM179" s="25">
        <f>IF(BL179="Above 2",0,IF(BL179="Between 1.5 to 2",5,IF(BL179="Less than 1.5",10,0)))</f>
        <v/>
      </c>
      <c r="BN179" s="25" t="inlineStr">
        <is>
          <t>Above 70%</t>
        </is>
      </c>
      <c r="BO179" s="25">
        <f>IF(BN179="Above 70%",10,IF(BN179="Between 50% to 70%",5,IF(BN179="Less than 50%",0,IF(BN179="Negative",-10,IF(BN179="Less than 50% and Borrowings are increasing",-5,0)))))</f>
        <v/>
      </c>
      <c r="BP179" s="25" t="inlineStr">
        <is>
          <t>Between 0.7 to 1.2</t>
        </is>
      </c>
      <c r="BQ179" s="25">
        <f>IF(BP179="More than 1.2",-10,IF(BP179="Between 0.7 to 1.2",0,IF(BP179="Less than 0.7",10,0)))</f>
        <v/>
      </c>
      <c r="BR179" s="25" t="inlineStr">
        <is>
          <t>No</t>
        </is>
      </c>
      <c r="BS179" s="25">
        <f>IF(BR179="Yes",-10,0)</f>
        <v/>
      </c>
      <c r="BT179" s="25" t="inlineStr">
        <is>
          <t>Less than 15%</t>
        </is>
      </c>
      <c r="BU179" s="25">
        <f>IF(BT179="More than 15%",-10,IF(BT179="Less than 15%",10,0))</f>
        <v/>
      </c>
      <c r="BV179" s="25" t="inlineStr">
        <is>
          <t>No</t>
        </is>
      </c>
      <c r="BW179" s="25">
        <f>IF(BV179="Yes, more than 10%",-10,IF(BV179="No",10,0))</f>
        <v/>
      </c>
    </row>
    <row r="180">
      <c r="A180" s="25">
        <f>IF(B180=0,"",RANK(B180,$B$2:$B$292,0))</f>
        <v/>
      </c>
      <c r="B180" s="26">
        <f>SUM(Q180,S180,U180,W180,Y180,AA180,AC180,AE180,AG180,AI180,AK180,AM180,AO180,AQ180,AS180,AU180,AW180,AY180,BA180,BC180,BE180,BG180,BI180,BK180,BM180,BO180,BQ180,BS180,BU180,BW180)</f>
        <v/>
      </c>
      <c r="C180" s="25" t="inlineStr">
        <is>
          <t>KAJARIACER</t>
        </is>
      </c>
      <c r="D180" s="25" t="inlineStr">
        <is>
          <t>Kajaria Ceramics Limited</t>
        </is>
      </c>
      <c r="E180" s="25" t="inlineStr">
        <is>
          <t>building materials</t>
        </is>
      </c>
      <c r="F180" s="25" t="inlineStr">
        <is>
          <t>ceramics - tiles / sanitaryware</t>
        </is>
      </c>
      <c r="G180" s="25" t="inlineStr">
        <is>
          <t>midcap</t>
        </is>
      </c>
      <c r="H180" s="26" t="n">
        <v>17547.03</v>
      </c>
      <c r="I180" s="26" t="n">
        <v>1116.4</v>
      </c>
      <c r="J180" s="26" t="n">
        <v>1.33</v>
      </c>
      <c r="K180" s="26" t="n">
        <v>175052</v>
      </c>
      <c r="L180" s="26" t="n">
        <v>55.83</v>
      </c>
      <c r="M180" s="26" t="n">
        <v>18.15</v>
      </c>
      <c r="N180" s="26" t="n">
        <v>986.08</v>
      </c>
      <c r="O180" s="25" t="inlineStr">
        <is>
          <t>Earnings / Momentum Support</t>
        </is>
      </c>
      <c r="P180" s="25" t="inlineStr">
        <is>
          <t>Growing Industry</t>
        </is>
      </c>
      <c r="Q180" s="25">
        <f>IF(P180="Growing Industry",10,IF(P180="Cyclical in an Upturn",5,0))</f>
        <v/>
      </c>
      <c r="R180" s="25" t="inlineStr">
        <is>
          <t>Too Many Players with High ROCE</t>
        </is>
      </c>
      <c r="S180" s="25">
        <f>IF(R180="Monopoly",10,IF(R180="Oligopoly",5,IF(R180="Duopoly that cooperate",10,IF(R180="Duopoly that compete",5,IF(R180="Too many players with High ROCE",5,0)))))</f>
        <v/>
      </c>
      <c r="T180" s="25" t="inlineStr">
        <is>
          <t>No</t>
        </is>
      </c>
      <c r="U180" s="25">
        <f>IF(T180="No",5,0)</f>
        <v/>
      </c>
      <c r="V180" s="25" t="inlineStr">
        <is>
          <t>Tailwind</t>
        </is>
      </c>
      <c r="W180" s="25">
        <f>IF(V180="Tailwind",10,0)</f>
        <v/>
      </c>
      <c r="X180" s="25" t="inlineStr">
        <is>
          <t>Structural (10 Years Consistency)</t>
        </is>
      </c>
      <c r="Y180" s="25">
        <f>IF(X180="Structural (10 Years Consistency)",10,IF(X180="Shallow Cyclical (2 to 3 years growth)",5,0))</f>
        <v/>
      </c>
      <c r="Z180" s="25" t="inlineStr">
        <is>
          <t>No</t>
        </is>
      </c>
      <c r="AA180" s="25">
        <f>IF(Z180="Yes due to Product Mix change or Operating Leverage",10,IF(Z180="Yes, these are peak margins",-5,IF(Z180="No",5,0)))</f>
        <v/>
      </c>
      <c r="AB180" s="25" t="inlineStr">
        <is>
          <t>Stable</t>
        </is>
      </c>
      <c r="AC180" s="25">
        <f>IF(AB180="Stable",10,0)</f>
        <v/>
      </c>
      <c r="AD180" s="25" t="inlineStr">
        <is>
          <t>Yes</t>
        </is>
      </c>
      <c r="AE180" s="25">
        <f>IF(AD180="Yes",10,0)</f>
        <v/>
      </c>
      <c r="AF180" s="25" t="inlineStr">
        <is>
          <t>B2B</t>
        </is>
      </c>
      <c r="AG180" s="25">
        <f>IF(AF180="B2C",10,IF(AF180="B2B",5,0))</f>
        <v/>
      </c>
      <c r="AH180" s="25" t="inlineStr">
        <is>
          <t>No</t>
        </is>
      </c>
      <c r="AI180" s="25">
        <f>IF(AH180="Yes",10,0)</f>
        <v/>
      </c>
      <c r="AJ180" s="25" t="inlineStr">
        <is>
          <t>Higher One Time, Lower Annuity</t>
        </is>
      </c>
      <c r="AK180" s="25">
        <f>IF(AJ180="Fully Annuity",10,IF(AJ180="Higher Annuity, Lower One Time",5,IF(AJ180="Higher One Time, Lower Annuity",3,0)))</f>
        <v/>
      </c>
      <c r="AL180" s="25" t="inlineStr">
        <is>
          <t>Good</t>
        </is>
      </c>
      <c r="AM180" s="25">
        <f>IF(AL180="Good",10,0)</f>
        <v/>
      </c>
      <c r="AN180" s="25" t="inlineStr">
        <is>
          <t>Yes for more than 2 years</t>
        </is>
      </c>
      <c r="AO180" s="25">
        <f>IF(AN180="Yes for more than 2 years",10,IF(AN180="Yes only for next 1 to 2 years",5,0))</f>
        <v/>
      </c>
      <c r="AP180" s="25" t="inlineStr">
        <is>
          <t>0 to 20</t>
        </is>
      </c>
      <c r="AQ180" s="25">
        <f>IF(AP180="Above 40",20,IF(AP180="20 to 40",10,IF(AP180="0 to 20",-5,0)))</f>
        <v/>
      </c>
      <c r="AR180" s="25" t="inlineStr">
        <is>
          <t>Between 50 to 75</t>
        </is>
      </c>
      <c r="AS180" s="25">
        <f>IF(AR180="Between 50 to 75",10,IF(AR180="Above 75",0,0))</f>
        <v/>
      </c>
      <c r="AT180" s="25" t="inlineStr">
        <is>
          <t>Stage 2</t>
        </is>
      </c>
      <c r="AU180" s="25">
        <f>IF(AT180="Stage 2",20,IF(AT180="Stage 1",0,IF(AT180="Stage 3",5,IF(AT180="Stage 4",-5,0))))</f>
        <v/>
      </c>
      <c r="AV180" s="25" t="inlineStr">
        <is>
          <t>Positive Trend</t>
        </is>
      </c>
      <c r="AW180" s="25">
        <f>IF(AV180="Positive Trend",20,IF(AV180="Negative Trend",-10,0))</f>
        <v/>
      </c>
      <c r="AX180" s="25" t="inlineStr">
        <is>
          <t>Uptrend</t>
        </is>
      </c>
      <c r="AY180" s="25">
        <f>IF(AX180="Uptrend",10,IF(AX180="Sideways",5,0))</f>
        <v/>
      </c>
      <c r="AZ180" s="25" t="inlineStr">
        <is>
          <t>Uptrend</t>
        </is>
      </c>
      <c r="BA180" s="25">
        <f>IF(AZ180="Uptrend",10,IF(AZ180="Sideways",5,0))</f>
        <v/>
      </c>
      <c r="BB180" s="25" t="inlineStr">
        <is>
          <t>Close to 52 week high or retracement</t>
        </is>
      </c>
      <c r="BC180" s="25">
        <f>IF(BB180="Overhead supply in last 2 years in last 2 years",-5,IF(BB180="Close to 52 week high or retracement",5,IF(BB180="Blue sky scenario",10,IF(BB180="Long term Downtrend",-10,0))))</f>
        <v/>
      </c>
      <c r="BD180" s="25" t="inlineStr">
        <is>
          <t>Yes</t>
        </is>
      </c>
      <c r="BE180" s="25">
        <f>IF(BD180="Yes",10,0)</f>
        <v/>
      </c>
      <c r="BF180" s="25" t="inlineStr">
        <is>
          <t>More than 20%</t>
        </is>
      </c>
      <c r="BG180" s="25">
        <f>IF(BF180="More than 20%",10,IF(BF180="Between 12 to 20%",5,IF(BF180="Less than 12%",0,0)))</f>
        <v/>
      </c>
      <c r="BH180" s="25" t="inlineStr">
        <is>
          <t>No</t>
        </is>
      </c>
      <c r="BI180" s="25">
        <f>IF(BH180="No",10,0)</f>
        <v/>
      </c>
      <c r="BJ180" s="25" t="inlineStr">
        <is>
          <t>Yes</t>
        </is>
      </c>
      <c r="BK180" s="25">
        <f>IF(BJ180="NO",5,0)</f>
        <v/>
      </c>
      <c r="BL180" s="25" t="inlineStr">
        <is>
          <t>Less than 1.5</t>
        </is>
      </c>
      <c r="BM180" s="25">
        <f>IF(BL180="Above 2",0,IF(BL180="Between 1.5 to 2",5,IF(BL180="Less than 1.5",10,0)))</f>
        <v/>
      </c>
      <c r="BN180" s="25" t="inlineStr">
        <is>
          <t>Above 70%</t>
        </is>
      </c>
      <c r="BO180" s="25">
        <f>IF(BN180="Above 70%",10,IF(BN180="Between 50% to 70%",5,IF(BN180="Less than 50%",0,IF(BN180="Negative",-10,IF(BN180="Less than 50% and Borrowings are increasing",-5,0)))))</f>
        <v/>
      </c>
      <c r="BP180" s="25" t="inlineStr">
        <is>
          <t>Less than 0.7</t>
        </is>
      </c>
      <c r="BQ180" s="25">
        <f>IF(BP180="More than 1.2",-10,IF(BP180="Between 0.7 to 1.2",0,IF(BP180="Less than 0.7",10,0)))</f>
        <v/>
      </c>
      <c r="BR180" s="25" t="inlineStr">
        <is>
          <t>No</t>
        </is>
      </c>
      <c r="BS180" s="25">
        <f>IF(BR180="Yes",-10,0)</f>
        <v/>
      </c>
      <c r="BT180" s="25" t="inlineStr">
        <is>
          <t>Less than 15%</t>
        </is>
      </c>
      <c r="BU180" s="25">
        <f>IF(BT180="More than 15%",-10,IF(BT180="Less than 15%",10,0))</f>
        <v/>
      </c>
      <c r="BV180" s="25" t="inlineStr">
        <is>
          <t>No</t>
        </is>
      </c>
      <c r="BW180" s="25">
        <f>IF(BV180="Yes, more than 10%",-10,IF(BV180="No",10,0))</f>
        <v/>
      </c>
    </row>
    <row r="181">
      <c r="A181" s="25">
        <f>IF(B181=0,"",RANK(B181,$B$2:$B$292,0))</f>
        <v/>
      </c>
      <c r="B181" s="26">
        <f>SUM(Q181,S181,U181,W181,Y181,AA181,AC181,AE181,AG181,AI181,AK181,AM181,AO181,AQ181,AS181,AU181,AW181,AY181,BA181,BC181,BE181,BG181,BI181,BK181,BM181,BO181,BQ181,BS181,BU181,BW181)</f>
        <v/>
      </c>
      <c r="C181" s="25" t="inlineStr">
        <is>
          <t>JSWSTEEL</t>
        </is>
      </c>
      <c r="D181" s="25" t="inlineStr">
        <is>
          <t>Jsw Steel Limited</t>
        </is>
      </c>
      <c r="E181" s="25" t="inlineStr">
        <is>
          <t>metals &amp; mining</t>
        </is>
      </c>
      <c r="F181" s="25" t="inlineStr">
        <is>
          <t>steel - large</t>
        </is>
      </c>
      <c r="G181" s="25" t="inlineStr">
        <is>
          <t>largecap</t>
        </is>
      </c>
      <c r="H181" s="26" t="n">
        <v>317762.29</v>
      </c>
      <c r="I181" s="26" t="n">
        <v>1310.8</v>
      </c>
      <c r="J181" s="26" t="n">
        <v>0.88</v>
      </c>
      <c r="K181" s="26" t="n">
        <v>1602109</v>
      </c>
      <c r="L181" s="26" t="n">
        <v>64.95</v>
      </c>
      <c r="M181" s="26" t="n">
        <v>24.39</v>
      </c>
      <c r="N181" s="26" t="n">
        <v>1133.9</v>
      </c>
      <c r="O181" s="25" t="inlineStr">
        <is>
          <t>Near 52W High Breakout</t>
        </is>
      </c>
      <c r="P181" s="25" t="inlineStr">
        <is>
          <t>Cyclical in an Upturn</t>
        </is>
      </c>
      <c r="Q181" s="25">
        <f>IF(P181="Growing Industry",10,IF(P181="Cyclical in an Upturn",5,0))</f>
        <v/>
      </c>
      <c r="R181" s="25" t="inlineStr">
        <is>
          <t>Too Many Players with High ROCE</t>
        </is>
      </c>
      <c r="S181" s="25">
        <f>IF(R181="Monopoly",10,IF(R181="Oligopoly",5,IF(R181="Duopoly that cooperate",10,IF(R181="Duopoly that compete",5,IF(R181="Too many players with High ROCE",5,0)))))</f>
        <v/>
      </c>
      <c r="T181" s="25" t="inlineStr">
        <is>
          <t>No</t>
        </is>
      </c>
      <c r="U181" s="25">
        <f>IF(T181="No",5,0)</f>
        <v/>
      </c>
      <c r="V181" s="25" t="inlineStr">
        <is>
          <t>Tailwind</t>
        </is>
      </c>
      <c r="W181" s="25">
        <f>IF(V181="Tailwind",10,0)</f>
        <v/>
      </c>
      <c r="X181" s="25" t="inlineStr">
        <is>
          <t>Cyclical</t>
        </is>
      </c>
      <c r="Y181" s="25">
        <f>IF(X181="Structural (10 Years Consistency)",10,IF(X181="Shallow Cyclical (2 to 3 years growth)",5,0))</f>
        <v/>
      </c>
      <c r="Z181" s="25" t="inlineStr">
        <is>
          <t>No</t>
        </is>
      </c>
      <c r="AA181" s="25">
        <f>IF(Z181="Yes due to Product Mix change or Operating Leverage",10,IF(Z181="Yes, these are peak margins",-5,IF(Z181="No",5,0)))</f>
        <v/>
      </c>
      <c r="AB181" s="25" t="inlineStr">
        <is>
          <t>Volatile</t>
        </is>
      </c>
      <c r="AC181" s="25">
        <f>IF(AB181="Stable",10,0)</f>
        <v/>
      </c>
      <c r="AD181" s="25" t="inlineStr">
        <is>
          <t>Yes</t>
        </is>
      </c>
      <c r="AE181" s="25">
        <f>IF(AD181="Yes",10,0)</f>
        <v/>
      </c>
      <c r="AF181" s="25" t="inlineStr">
        <is>
          <t>B2B</t>
        </is>
      </c>
      <c r="AG181" s="25">
        <f>IF(AF181="B2C",10,IF(AF181="B2B",5,0))</f>
        <v/>
      </c>
      <c r="AH181" s="25" t="inlineStr">
        <is>
          <t>Yes</t>
        </is>
      </c>
      <c r="AI181" s="25">
        <f>IF(AH181="Yes",10,0)</f>
        <v/>
      </c>
      <c r="AJ181" s="25" t="inlineStr">
        <is>
          <t>Higher One Time, Lower Annuity</t>
        </is>
      </c>
      <c r="AK181" s="25">
        <f>IF(AJ181="Fully Annuity",10,IF(AJ181="Higher Annuity, Lower One Time",5,IF(AJ181="Higher One Time, Lower Annuity",3,0)))</f>
        <v/>
      </c>
      <c r="AL181" s="25" t="inlineStr">
        <is>
          <t>Good</t>
        </is>
      </c>
      <c r="AM181" s="25">
        <f>IF(AL181="Good",10,0)</f>
        <v/>
      </c>
      <c r="AN181" s="25" t="inlineStr">
        <is>
          <t>Yes for more than 2 years</t>
        </is>
      </c>
      <c r="AO181" s="25">
        <f>IF(AN181="Yes for more than 2 years",10,IF(AN181="Yes only for next 1 to 2 years",5,0))</f>
        <v/>
      </c>
      <c r="AP181" s="25" t="inlineStr">
        <is>
          <t>20 to 40</t>
        </is>
      </c>
      <c r="AQ181" s="25">
        <f>IF(AP181="Above 40",20,IF(AP181="20 to 40",10,IF(AP181="0 to 20",-5,0)))</f>
        <v/>
      </c>
      <c r="AR181" s="25" t="inlineStr">
        <is>
          <t>Between 50 to 75</t>
        </is>
      </c>
      <c r="AS181" s="25">
        <f>IF(AR181="Between 50 to 75",10,IF(AR181="Above 75",0,0))</f>
        <v/>
      </c>
      <c r="AT181" s="25" t="inlineStr">
        <is>
          <t>Stage 2</t>
        </is>
      </c>
      <c r="AU181" s="25">
        <f>IF(AT181="Stage 2",20,IF(AT181="Stage 1",0,IF(AT181="Stage 3",5,IF(AT181="Stage 4",-5,0))))</f>
        <v/>
      </c>
      <c r="AV181" s="25" t="inlineStr">
        <is>
          <t>Positive Trend</t>
        </is>
      </c>
      <c r="AW181" s="25">
        <f>IF(AV181="Positive Trend",20,IF(AV181="Negative Trend",-10,0))</f>
        <v/>
      </c>
      <c r="AX181" s="25" t="inlineStr">
        <is>
          <t>Uptrend</t>
        </is>
      </c>
      <c r="AY181" s="25">
        <f>IF(AX181="Uptrend",10,IF(AX181="Sideways",5,0))</f>
        <v/>
      </c>
      <c r="AZ181" s="25" t="inlineStr">
        <is>
          <t>Uptrend</t>
        </is>
      </c>
      <c r="BA181" s="25">
        <f>IF(AZ181="Uptrend",10,IF(AZ181="Sideways",5,0))</f>
        <v/>
      </c>
      <c r="BB181" s="25" t="inlineStr">
        <is>
          <t>Blue sky scenario</t>
        </is>
      </c>
      <c r="BC181" s="25">
        <f>IF(BB181="Overhead supply in last 2 years in last 2 years",-5,IF(BB181="Close to 52 week high or retracement",5,IF(BB181="Blue sky scenario",10,IF(BB181="Long term Downtrend",-10,0))))</f>
        <v/>
      </c>
      <c r="BD181" s="25" t="inlineStr">
        <is>
          <t>Yes</t>
        </is>
      </c>
      <c r="BE181" s="25">
        <f>IF(BD181="Yes",10,0)</f>
        <v/>
      </c>
      <c r="BF181" s="25" t="inlineStr">
        <is>
          <t>More than 20%</t>
        </is>
      </c>
      <c r="BG181" s="25">
        <f>IF(BF181="More than 20%",10,IF(BF181="Between 12 to 20%",5,IF(BF181="Less than 12%",0,0)))</f>
        <v/>
      </c>
      <c r="BH181" s="25" t="inlineStr">
        <is>
          <t>No</t>
        </is>
      </c>
      <c r="BI181" s="25">
        <f>IF(BH181="No",10,0)</f>
        <v/>
      </c>
      <c r="BJ181" s="25" t="inlineStr">
        <is>
          <t>No</t>
        </is>
      </c>
      <c r="BK181" s="25">
        <f>IF(BJ181="NO",5,0)</f>
        <v/>
      </c>
      <c r="BL181" s="25" t="inlineStr">
        <is>
          <t>Less than 1.5</t>
        </is>
      </c>
      <c r="BM181" s="25">
        <f>IF(BL181="Above 2",0,IF(BL181="Between 1.5 to 2",5,IF(BL181="Less than 1.5",10,0)))</f>
        <v/>
      </c>
      <c r="BN181" s="25" t="inlineStr">
        <is>
          <t>Above 70%</t>
        </is>
      </c>
      <c r="BO181" s="25">
        <f>IF(BN181="Above 70%",10,IF(BN181="Between 50% to 70%",5,IF(BN181="Less than 50%",0,IF(BN181="Negative",-10,IF(BN181="Less than 50% and Borrowings are increasing",-5,0)))))</f>
        <v/>
      </c>
      <c r="BP181" s="25" t="inlineStr">
        <is>
          <t>Between 0.7 to 1.2</t>
        </is>
      </c>
      <c r="BQ181" s="25">
        <f>IF(BP181="More than 1.2",-10,IF(BP181="Between 0.7 to 1.2",0,IF(BP181="Less than 0.7",10,0)))</f>
        <v/>
      </c>
      <c r="BR181" s="25" t="inlineStr">
        <is>
          <t>No</t>
        </is>
      </c>
      <c r="BS181" s="25">
        <f>IF(BR181="Yes",-10,0)</f>
        <v/>
      </c>
      <c r="BT181" s="25" t="inlineStr">
        <is>
          <t>Less than 15%</t>
        </is>
      </c>
      <c r="BU181" s="25">
        <f>IF(BT181="More than 15%",-10,IF(BT181="Less than 15%",10,0))</f>
        <v/>
      </c>
      <c r="BV181" s="25" t="inlineStr">
        <is>
          <t>No</t>
        </is>
      </c>
      <c r="BW181" s="25">
        <f>IF(BV181="Yes, more than 10%",-10,IF(BV181="No",10,0))</f>
        <v/>
      </c>
    </row>
    <row r="182">
      <c r="A182" s="25">
        <f>IF(B182=0,"",RANK(B182,$B$2:$B$292,0))</f>
        <v/>
      </c>
      <c r="B182" s="26">
        <f>SUM(Q182,S182,U182,W182,Y182,AA182,AC182,AE182,AG182,AI182,AK182,AM182,AO182,AQ182,AS182,AU182,AW182,AY182,BA182,BC182,BE182,BG182,BI182,BK182,BM182,BO182,BQ182,BS182,BU182,BW182)</f>
        <v/>
      </c>
      <c r="C182" s="25" t="inlineStr">
        <is>
          <t>KINGFA</t>
        </is>
      </c>
      <c r="D182" s="25" t="inlineStr">
        <is>
          <t>Kingfa Science &amp; Technology (india) Limited</t>
        </is>
      </c>
      <c r="E182" s="25" t="inlineStr">
        <is>
          <t>plastic products</t>
        </is>
      </c>
      <c r="F182" s="25" t="inlineStr">
        <is>
          <t>plastics products</t>
        </is>
      </c>
      <c r="G182" s="25" t="inlineStr">
        <is>
          <t>midcap</t>
        </is>
      </c>
      <c r="H182" s="26" t="n">
        <v>7176.81</v>
      </c>
      <c r="I182" s="26" t="n">
        <v>5340</v>
      </c>
      <c r="J182" s="26" t="n">
        <v>0.83</v>
      </c>
      <c r="K182" s="26" t="n">
        <v>3306</v>
      </c>
      <c r="L182" s="26" t="n">
        <v>63.82</v>
      </c>
      <c r="M182" s="26" t="n">
        <v>22.02</v>
      </c>
      <c r="N182" s="26" t="n">
        <v>4205</v>
      </c>
      <c r="O182" s="25" t="inlineStr">
        <is>
          <t>Near 52W High Breakout</t>
        </is>
      </c>
      <c r="P182" s="25" t="inlineStr">
        <is>
          <t>Growing Industry</t>
        </is>
      </c>
      <c r="Q182" s="25">
        <f>IF(P182="Growing Industry",10,IF(P182="Cyclical in an Upturn",5,0))</f>
        <v/>
      </c>
      <c r="R182" s="25" t="inlineStr">
        <is>
          <t>Too Many Players with High ROCE</t>
        </is>
      </c>
      <c r="S182" s="25">
        <f>IF(R182="Monopoly",10,IF(R182="Oligopoly",5,IF(R182="Duopoly that cooperate",10,IF(R182="Duopoly that compete",5,IF(R182="Too many players with High ROCE",5,0)))))</f>
        <v/>
      </c>
      <c r="T182" s="25" t="inlineStr">
        <is>
          <t>No</t>
        </is>
      </c>
      <c r="U182" s="25">
        <f>IF(T182="No",5,0)</f>
        <v/>
      </c>
      <c r="V182" s="25" t="inlineStr">
        <is>
          <t>Tailwind</t>
        </is>
      </c>
      <c r="W182" s="25">
        <f>IF(V182="Tailwind",10,0)</f>
        <v/>
      </c>
      <c r="X182" s="25" t="inlineStr">
        <is>
          <t>Structural (10 Years Consistency)</t>
        </is>
      </c>
      <c r="Y182" s="25">
        <f>IF(X182="Structural (10 Years Consistency)",10,IF(X182="Shallow Cyclical (2 to 3 years growth)",5,0))</f>
        <v/>
      </c>
      <c r="Z182" s="25" t="inlineStr">
        <is>
          <t>No</t>
        </is>
      </c>
      <c r="AA182" s="25">
        <f>IF(Z182="Yes due to Product Mix change or Operating Leverage",10,IF(Z182="Yes, these are peak margins",-5,IF(Z182="No",5,0)))</f>
        <v/>
      </c>
      <c r="AB182" s="25" t="inlineStr">
        <is>
          <t>Stable</t>
        </is>
      </c>
      <c r="AC182" s="25">
        <f>IF(AB182="Stable",10,0)</f>
        <v/>
      </c>
      <c r="AD182" s="25" t="inlineStr">
        <is>
          <t>Yes</t>
        </is>
      </c>
      <c r="AE182" s="25">
        <f>IF(AD182="Yes",10,0)</f>
        <v/>
      </c>
      <c r="AF182" s="25" t="inlineStr">
        <is>
          <t>B2B</t>
        </is>
      </c>
      <c r="AG182" s="25">
        <f>IF(AF182="B2C",10,IF(AF182="B2B",5,0))</f>
        <v/>
      </c>
      <c r="AH182" s="25" t="inlineStr">
        <is>
          <t>Yes</t>
        </is>
      </c>
      <c r="AI182" s="25">
        <f>IF(AH182="Yes",10,0)</f>
        <v/>
      </c>
      <c r="AJ182" s="25" t="inlineStr">
        <is>
          <t>Higher One Time, Lower Annuity</t>
        </is>
      </c>
      <c r="AK182" s="25">
        <f>IF(AJ182="Fully Annuity",10,IF(AJ182="Higher Annuity, Lower One Time",5,IF(AJ182="Higher One Time, Lower Annuity",3,0)))</f>
        <v/>
      </c>
      <c r="AL182" s="25" t="inlineStr">
        <is>
          <t>Good</t>
        </is>
      </c>
      <c r="AM182" s="25">
        <f>IF(AL182="Good",10,0)</f>
        <v/>
      </c>
      <c r="AN182" s="25" t="inlineStr">
        <is>
          <t>Yes for more than 2 years</t>
        </is>
      </c>
      <c r="AO182" s="25">
        <f>IF(AN182="Yes for more than 2 years",10,IF(AN182="Yes only for next 1 to 2 years",5,0))</f>
        <v/>
      </c>
      <c r="AP182" s="25" t="inlineStr">
        <is>
          <t>20 to 40</t>
        </is>
      </c>
      <c r="AQ182" s="25">
        <f>IF(AP182="Above 40",20,IF(AP182="20 to 40",10,IF(AP182="0 to 20",-5,0)))</f>
        <v/>
      </c>
      <c r="AR182" s="25" t="inlineStr">
        <is>
          <t>Between 50 to 75</t>
        </is>
      </c>
      <c r="AS182" s="25">
        <f>IF(AR182="Between 50 to 75",10,IF(AR182="Above 75",0,0))</f>
        <v/>
      </c>
      <c r="AT182" s="25" t="inlineStr">
        <is>
          <t>Stage 2</t>
        </is>
      </c>
      <c r="AU182" s="25">
        <f>IF(AT182="Stage 2",20,IF(AT182="Stage 1",0,IF(AT182="Stage 3",5,IF(AT182="Stage 4",-5,0))))</f>
        <v/>
      </c>
      <c r="AV182" s="25" t="inlineStr">
        <is>
          <t>Negative Trend</t>
        </is>
      </c>
      <c r="AW182" s="25">
        <f>IF(AV182="Positive Trend",20,IF(AV182="Negative Trend",-10,0))</f>
        <v/>
      </c>
      <c r="AX182" s="25" t="inlineStr">
        <is>
          <t>Uptrend</t>
        </is>
      </c>
      <c r="AY182" s="25">
        <f>IF(AX182="Uptrend",10,IF(AX182="Sideways",5,0))</f>
        <v/>
      </c>
      <c r="AZ182" s="25" t="inlineStr">
        <is>
          <t>Uptrend</t>
        </is>
      </c>
      <c r="BA182" s="25">
        <f>IF(AZ182="Uptrend",10,IF(AZ182="Sideways",5,0))</f>
        <v/>
      </c>
      <c r="BB182" s="25" t="inlineStr">
        <is>
          <t>Blue sky scenario</t>
        </is>
      </c>
      <c r="BC182" s="25">
        <f>IF(BB182="Overhead supply in last 2 years in last 2 years",-5,IF(BB182="Close to 52 week high or retracement",5,IF(BB182="Blue sky scenario",10,IF(BB182="Long term Downtrend",-10,0))))</f>
        <v/>
      </c>
      <c r="BD182" s="25" t="inlineStr">
        <is>
          <t>Yes</t>
        </is>
      </c>
      <c r="BE182" s="25">
        <f>IF(BD182="Yes",10,0)</f>
        <v/>
      </c>
      <c r="BF182" s="25" t="inlineStr">
        <is>
          <t>Between 12 to 20%</t>
        </is>
      </c>
      <c r="BG182" s="25">
        <f>IF(BF182="More than 20%",10,IF(BF182="Between 12 to 20%",5,IF(BF182="Less than 12%",0,0)))</f>
        <v/>
      </c>
      <c r="BH182" s="25" t="inlineStr">
        <is>
          <t>No</t>
        </is>
      </c>
      <c r="BI182" s="25">
        <f>IF(BH182="No",10,0)</f>
        <v/>
      </c>
      <c r="BJ182" s="25" t="inlineStr">
        <is>
          <t>No</t>
        </is>
      </c>
      <c r="BK182" s="25">
        <f>IF(BJ182="NO",5,0)</f>
        <v/>
      </c>
      <c r="BL182" s="25" t="inlineStr">
        <is>
          <t>Less than 1.5</t>
        </is>
      </c>
      <c r="BM182" s="25">
        <f>IF(BL182="Above 2",0,IF(BL182="Between 1.5 to 2",5,IF(BL182="Less than 1.5",10,0)))</f>
        <v/>
      </c>
      <c r="BN182" s="25" t="inlineStr">
        <is>
          <t>Above 70%</t>
        </is>
      </c>
      <c r="BO182" s="25">
        <f>IF(BN182="Above 70%",10,IF(BN182="Between 50% to 70%",5,IF(BN182="Less than 50%",0,IF(BN182="Negative",-10,IF(BN182="Less than 50% and Borrowings are increasing",-5,0)))))</f>
        <v/>
      </c>
      <c r="BP182" s="25" t="inlineStr">
        <is>
          <t>Less than 0.7</t>
        </is>
      </c>
      <c r="BQ182" s="25">
        <f>IF(BP182="More than 1.2",-10,IF(BP182="Between 0.7 to 1.2",0,IF(BP182="Less than 0.7",10,0)))</f>
        <v/>
      </c>
      <c r="BR182" s="25" t="inlineStr">
        <is>
          <t>No</t>
        </is>
      </c>
      <c r="BS182" s="25">
        <f>IF(BR182="Yes",-10,0)</f>
        <v/>
      </c>
      <c r="BT182" s="25" t="inlineStr">
        <is>
          <t>Less than 15%</t>
        </is>
      </c>
      <c r="BU182" s="25">
        <f>IF(BT182="More than 15%",-10,IF(BT182="Less than 15%",10,0))</f>
        <v/>
      </c>
      <c r="BV182" s="25" t="inlineStr">
        <is>
          <t>No</t>
        </is>
      </c>
      <c r="BW182" s="25">
        <f>IF(BV182="Yes, more than 10%",-10,IF(BV182="No",10,0))</f>
        <v/>
      </c>
    </row>
    <row r="183">
      <c r="A183" s="25">
        <f>IF(B183=0,"",RANK(B183,$B$2:$B$292,0))</f>
        <v/>
      </c>
      <c r="B183" s="26">
        <f>SUM(Q183,S183,U183,W183,Y183,AA183,AC183,AE183,AG183,AI183,AK183,AM183,AO183,AQ183,AS183,AU183,AW183,AY183,BA183,BC183,BE183,BG183,BI183,BK183,BM183,BO183,BQ183,BS183,BU183,BW183)</f>
        <v/>
      </c>
      <c r="C183" s="25" t="inlineStr">
        <is>
          <t>ASTRAMICRO</t>
        </is>
      </c>
      <c r="D183" s="25" t="inlineStr">
        <is>
          <t>Astra Microwave Products Limited</t>
        </is>
      </c>
      <c r="E183" s="25" t="inlineStr">
        <is>
          <t>aerospace &amp; defence</t>
        </is>
      </c>
      <c r="F183" s="25" t="inlineStr">
        <is>
          <t>telecommunications - equipment</t>
        </is>
      </c>
      <c r="G183" s="25" t="inlineStr">
        <is>
          <t>midcap</t>
        </is>
      </c>
      <c r="H183" s="26" t="n">
        <v>12496.66</v>
      </c>
      <c r="I183" s="26" t="n">
        <v>1323.8</v>
      </c>
      <c r="J183" s="26" t="n">
        <v>0.58</v>
      </c>
      <c r="K183" s="26" t="n">
        <v>762930</v>
      </c>
      <c r="L183" s="26" t="n">
        <v>67.48999999999999</v>
      </c>
      <c r="M183" s="26" t="n">
        <v>26.7</v>
      </c>
      <c r="N183" s="26" t="n">
        <v>1095.29</v>
      </c>
      <c r="O183" s="25" t="inlineStr">
        <is>
          <t>Earnings / Momentum Support</t>
        </is>
      </c>
      <c r="P183" s="25" t="inlineStr">
        <is>
          <t>Growing Industry</t>
        </is>
      </c>
      <c r="Q183" s="25">
        <f>IF(P183="Growing Industry",10,IF(P183="Cyclical in an Upturn",5,0))</f>
        <v/>
      </c>
      <c r="R183" s="25" t="inlineStr">
        <is>
          <t>Oligopoly</t>
        </is>
      </c>
      <c r="S183" s="25">
        <f>IF(R183="Monopoly",10,IF(R183="Oligopoly",5,IF(R183="Duopoly that cooperate",10,IF(R183="Duopoly that compete",5,IF(R183="Too many players with High ROCE",5,0)))))</f>
        <v/>
      </c>
      <c r="T183" s="25" t="inlineStr">
        <is>
          <t>Yes</t>
        </is>
      </c>
      <c r="U183" s="25">
        <f>IF(T183="No",5,0)</f>
        <v/>
      </c>
      <c r="V183" s="25" t="inlineStr">
        <is>
          <t>Tailwind</t>
        </is>
      </c>
      <c r="W183" s="25">
        <f>IF(V183="Tailwind",10,0)</f>
        <v/>
      </c>
      <c r="X183" s="25" t="inlineStr">
        <is>
          <t>Structural (10 Years Consistency)</t>
        </is>
      </c>
      <c r="Y183" s="25">
        <f>IF(X183="Structural (10 Years Consistency)",10,IF(X183="Shallow Cyclical (2 to 3 years growth)",5,0))</f>
        <v/>
      </c>
      <c r="Z183" s="25" t="inlineStr">
        <is>
          <t>No</t>
        </is>
      </c>
      <c r="AA183" s="25">
        <f>IF(Z183="Yes due to Product Mix change or Operating Leverage",10,IF(Z183="Yes, these are peak margins",-5,IF(Z183="No",5,0)))</f>
        <v/>
      </c>
      <c r="AB183" s="25" t="inlineStr">
        <is>
          <t>Stable</t>
        </is>
      </c>
      <c r="AC183" s="25">
        <f>IF(AB183="Stable",10,0)</f>
        <v/>
      </c>
      <c r="AD183" s="25" t="inlineStr">
        <is>
          <t>Yes</t>
        </is>
      </c>
      <c r="AE183" s="25">
        <f>IF(AD183="Yes",10,0)</f>
        <v/>
      </c>
      <c r="AF183" s="25" t="inlineStr">
        <is>
          <t>B2B</t>
        </is>
      </c>
      <c r="AG183" s="25">
        <f>IF(AF183="B2C",10,IF(AF183="B2B",5,0))</f>
        <v/>
      </c>
      <c r="AH183" s="25" t="inlineStr">
        <is>
          <t>No</t>
        </is>
      </c>
      <c r="AI183" s="25">
        <f>IF(AH183="Yes",10,0)</f>
        <v/>
      </c>
      <c r="AJ183" s="25" t="inlineStr">
        <is>
          <t>Higher One Time, Lower Annuity</t>
        </is>
      </c>
      <c r="AK183" s="25">
        <f>IF(AJ183="Fully Annuity",10,IF(AJ183="Higher Annuity, Lower One Time",5,IF(AJ183="Higher One Time, Lower Annuity",3,0)))</f>
        <v/>
      </c>
      <c r="AL183" s="25" t="inlineStr">
        <is>
          <t>Good</t>
        </is>
      </c>
      <c r="AM183" s="25">
        <f>IF(AL183="Good",10,0)</f>
        <v/>
      </c>
      <c r="AN183" s="25" t="inlineStr">
        <is>
          <t>Yes for more than 2 years</t>
        </is>
      </c>
      <c r="AO183" s="25">
        <f>IF(AN183="Yes for more than 2 years",10,IF(AN183="Yes only for next 1 to 2 years",5,0))</f>
        <v/>
      </c>
      <c r="AP183" s="25" t="inlineStr">
        <is>
          <t>20 to 40</t>
        </is>
      </c>
      <c r="AQ183" s="25">
        <f>IF(AP183="Above 40",20,IF(AP183="20 to 40",10,IF(AP183="0 to 20",-5,0)))</f>
        <v/>
      </c>
      <c r="AR183" s="25" t="inlineStr">
        <is>
          <t>Between 50 to 75</t>
        </is>
      </c>
      <c r="AS183" s="25">
        <f>IF(AR183="Between 50 to 75",10,IF(AR183="Above 75",0,0))</f>
        <v/>
      </c>
      <c r="AT183" s="25" t="inlineStr">
        <is>
          <t>Stage 2</t>
        </is>
      </c>
      <c r="AU183" s="25">
        <f>IF(AT183="Stage 2",20,IF(AT183="Stage 1",0,IF(AT183="Stage 3",5,IF(AT183="Stage 4",-5,0))))</f>
        <v/>
      </c>
      <c r="AV183" s="25" t="inlineStr">
        <is>
          <t>Positive Trend</t>
        </is>
      </c>
      <c r="AW183" s="25">
        <f>IF(AV183="Positive Trend",20,IF(AV183="Negative Trend",-10,0))</f>
        <v/>
      </c>
      <c r="AX183" s="25" t="inlineStr">
        <is>
          <t>Uptrend</t>
        </is>
      </c>
      <c r="AY183" s="25">
        <f>IF(AX183="Uptrend",10,IF(AX183="Sideways",5,0))</f>
        <v/>
      </c>
      <c r="AZ183" s="25" t="inlineStr">
        <is>
          <t>Uptrend</t>
        </is>
      </c>
      <c r="BA183" s="25">
        <f>IF(AZ183="Uptrend",10,IF(AZ183="Sideways",5,0))</f>
        <v/>
      </c>
      <c r="BB183" s="25" t="inlineStr">
        <is>
          <t>Close to 52 week high or retracement</t>
        </is>
      </c>
      <c r="BC183" s="25">
        <f>IF(BB183="Overhead supply in last 2 years in last 2 years",-5,IF(BB183="Close to 52 week high or retracement",5,IF(BB183="Blue sky scenario",10,IF(BB183="Long term Downtrend",-10,0))))</f>
        <v/>
      </c>
      <c r="BD183" s="25" t="inlineStr">
        <is>
          <t>Yes</t>
        </is>
      </c>
      <c r="BE183" s="25">
        <f>IF(BD183="Yes",10,0)</f>
        <v/>
      </c>
      <c r="BF183" s="25" t="inlineStr">
        <is>
          <t>Less than 12%</t>
        </is>
      </c>
      <c r="BG183" s="25">
        <f>IF(BF183="More than 20%",10,IF(BF183="Between 12 to 20%",5,IF(BF183="Less than 12%",0,0)))</f>
        <v/>
      </c>
      <c r="BH183" s="25" t="inlineStr">
        <is>
          <t>No</t>
        </is>
      </c>
      <c r="BI183" s="25">
        <f>IF(BH183="No",10,0)</f>
        <v/>
      </c>
      <c r="BJ183" s="25" t="inlineStr">
        <is>
          <t>Yes</t>
        </is>
      </c>
      <c r="BK183" s="25">
        <f>IF(BJ183="NO",5,0)</f>
        <v/>
      </c>
      <c r="BL183" s="25" t="inlineStr">
        <is>
          <t>Less than 1.5</t>
        </is>
      </c>
      <c r="BM183" s="25">
        <f>IF(BL183="Above 2",0,IF(BL183="Between 1.5 to 2",5,IF(BL183="Less than 1.5",10,0)))</f>
        <v/>
      </c>
      <c r="BN183" s="25" t="inlineStr">
        <is>
          <t>Above 70%</t>
        </is>
      </c>
      <c r="BO183" s="25">
        <f>IF(BN183="Above 70%",10,IF(BN183="Between 50% to 70%",5,IF(BN183="Less than 50%",0,IF(BN183="Negative",-10,IF(BN183="Less than 50% and Borrowings are increasing",-5,0)))))</f>
        <v/>
      </c>
      <c r="BP183" s="25" t="inlineStr">
        <is>
          <t>Less than 0.7</t>
        </is>
      </c>
      <c r="BQ183" s="25">
        <f>IF(BP183="More than 1.2",-10,IF(BP183="Between 0.7 to 1.2",0,IF(BP183="Less than 0.7",10,0)))</f>
        <v/>
      </c>
      <c r="BR183" s="25" t="inlineStr">
        <is>
          <t>No</t>
        </is>
      </c>
      <c r="BS183" s="25">
        <f>IF(BR183="Yes",-10,0)</f>
        <v/>
      </c>
      <c r="BT183" s="25" t="inlineStr">
        <is>
          <t>Less than 15%</t>
        </is>
      </c>
      <c r="BU183" s="25">
        <f>IF(BT183="More than 15%",-10,IF(BT183="Less than 15%",10,0))</f>
        <v/>
      </c>
      <c r="BV183" s="25" t="inlineStr">
        <is>
          <t>No</t>
        </is>
      </c>
      <c r="BW183" s="25">
        <f>IF(BV183="Yes, more than 10%",-10,IF(BV183="No",10,0))</f>
        <v/>
      </c>
    </row>
    <row r="184">
      <c r="A184" s="25">
        <f>IF(B184=0,"",RANK(B184,$B$2:$B$292,0))</f>
        <v/>
      </c>
      <c r="B184" s="26">
        <f>SUM(Q184,S184,U184,W184,Y184,AA184,AC184,AE184,AG184,AI184,AK184,AM184,AO184,AQ184,AS184,AU184,AW184,AY184,BA184,BC184,BE184,BG184,BI184,BK184,BM184,BO184,BQ184,BS184,BU184,BW184)</f>
        <v/>
      </c>
      <c r="C184" s="25" t="inlineStr">
        <is>
          <t>MAHASTEEL</t>
        </is>
      </c>
      <c r="D184" s="25" t="inlineStr">
        <is>
          <t>Mahamaya Steel Industries Limited</t>
        </is>
      </c>
      <c r="E184" s="25" t="inlineStr">
        <is>
          <t>metals &amp; mining</t>
        </is>
      </c>
      <c r="F184" s="25" t="inlineStr">
        <is>
          <t>steel - medium / small</t>
        </is>
      </c>
      <c r="G184" s="25" t="inlineStr">
        <is>
          <t>smallcap</t>
        </is>
      </c>
      <c r="H184" s="26" t="n">
        <v>1563.9</v>
      </c>
      <c r="I184" s="26" t="n">
        <v>953.9</v>
      </c>
      <c r="J184" s="26" t="n">
        <v>0.24</v>
      </c>
      <c r="K184" s="26" t="n">
        <v>1862</v>
      </c>
      <c r="L184" s="26" t="n">
        <v>62.8</v>
      </c>
      <c r="M184" s="26" t="n">
        <v>40.56</v>
      </c>
      <c r="N184" s="26" t="n">
        <v>740.5599999999999</v>
      </c>
      <c r="O184" s="25" t="inlineStr">
        <is>
          <t>Earnings / Momentum Support</t>
        </is>
      </c>
      <c r="P184" s="25" t="inlineStr">
        <is>
          <t>Cyclical in an Upturn</t>
        </is>
      </c>
      <c r="Q184" s="25">
        <f>IF(P184="Growing Industry",10,IF(P184="Cyclical in an Upturn",5,0))</f>
        <v/>
      </c>
      <c r="R184" s="25" t="inlineStr">
        <is>
          <t>Too Many Players with High ROCE</t>
        </is>
      </c>
      <c r="S184" s="25">
        <f>IF(R184="Monopoly",10,IF(R184="Oligopoly",5,IF(R184="Duopoly that cooperate",10,IF(R184="Duopoly that compete",5,IF(R184="Too many players with High ROCE",5,0)))))</f>
        <v/>
      </c>
      <c r="T184" s="25" t="inlineStr">
        <is>
          <t>No</t>
        </is>
      </c>
      <c r="U184" s="25">
        <f>IF(T184="No",5,0)</f>
        <v/>
      </c>
      <c r="V184" s="25" t="inlineStr">
        <is>
          <t>Tailwind</t>
        </is>
      </c>
      <c r="W184" s="25">
        <f>IF(V184="Tailwind",10,0)</f>
        <v/>
      </c>
      <c r="X184" s="25" t="inlineStr">
        <is>
          <t>Cyclical</t>
        </is>
      </c>
      <c r="Y184" s="25">
        <f>IF(X184="Structural (10 Years Consistency)",10,IF(X184="Shallow Cyclical (2 to 3 years growth)",5,0))</f>
        <v/>
      </c>
      <c r="Z184" s="25" t="inlineStr">
        <is>
          <t>No</t>
        </is>
      </c>
      <c r="AA184" s="25">
        <f>IF(Z184="Yes due to Product Mix change or Operating Leverage",10,IF(Z184="Yes, these are peak margins",-5,IF(Z184="No",5,0)))</f>
        <v/>
      </c>
      <c r="AB184" s="25" t="inlineStr">
        <is>
          <t>Volatile</t>
        </is>
      </c>
      <c r="AC184" s="25">
        <f>IF(AB184="Stable",10,0)</f>
        <v/>
      </c>
      <c r="AD184" s="25" t="inlineStr">
        <is>
          <t>Yes</t>
        </is>
      </c>
      <c r="AE184" s="25">
        <f>IF(AD184="Yes",10,0)</f>
        <v/>
      </c>
      <c r="AF184" s="25" t="inlineStr">
        <is>
          <t>B2B</t>
        </is>
      </c>
      <c r="AG184" s="25">
        <f>IF(AF184="B2C",10,IF(AF184="B2B",5,0))</f>
        <v/>
      </c>
      <c r="AH184" s="25" t="inlineStr">
        <is>
          <t>No</t>
        </is>
      </c>
      <c r="AI184" s="25">
        <f>IF(AH184="Yes",10,0)</f>
        <v/>
      </c>
      <c r="AJ184" s="25" t="inlineStr">
        <is>
          <t>Higher One Time, Lower Annuity</t>
        </is>
      </c>
      <c r="AK184" s="25">
        <f>IF(AJ184="Fully Annuity",10,IF(AJ184="Higher Annuity, Lower One Time",5,IF(AJ184="Higher One Time, Lower Annuity",3,0)))</f>
        <v/>
      </c>
      <c r="AL184" s="25" t="inlineStr">
        <is>
          <t>Good</t>
        </is>
      </c>
      <c r="AM184" s="25">
        <f>IF(AL184="Good",10,0)</f>
        <v/>
      </c>
      <c r="AN184" s="25" t="inlineStr">
        <is>
          <t>Yes for more than 2 years</t>
        </is>
      </c>
      <c r="AO184" s="25">
        <f>IF(AN184="Yes for more than 2 years",10,IF(AN184="Yes only for next 1 to 2 years",5,0))</f>
        <v/>
      </c>
      <c r="AP184" s="25" t="inlineStr">
        <is>
          <t>Above 40</t>
        </is>
      </c>
      <c r="AQ184" s="25">
        <f>IF(AP184="Above 40",20,IF(AP184="20 to 40",10,IF(AP184="0 to 20",-5,0)))</f>
        <v/>
      </c>
      <c r="AR184" s="25" t="inlineStr">
        <is>
          <t>Between 50 to 75</t>
        </is>
      </c>
      <c r="AS184" s="25">
        <f>IF(AR184="Between 50 to 75",10,IF(AR184="Above 75",0,0))</f>
        <v/>
      </c>
      <c r="AT184" s="25" t="inlineStr">
        <is>
          <t>Stage 2</t>
        </is>
      </c>
      <c r="AU184" s="25">
        <f>IF(AT184="Stage 2",20,IF(AT184="Stage 1",0,IF(AT184="Stage 3",5,IF(AT184="Stage 4",-5,0))))</f>
        <v/>
      </c>
      <c r="AV184" s="25" t="inlineStr">
        <is>
          <t>Positive Trend</t>
        </is>
      </c>
      <c r="AW184" s="25">
        <f>IF(AV184="Positive Trend",20,IF(AV184="Negative Trend",-10,0))</f>
        <v/>
      </c>
      <c r="AX184" s="25" t="inlineStr">
        <is>
          <t>Uptrend</t>
        </is>
      </c>
      <c r="AY184" s="25">
        <f>IF(AX184="Uptrend",10,IF(AX184="Sideways",5,0))</f>
        <v/>
      </c>
      <c r="AZ184" s="25" t="inlineStr">
        <is>
          <t>Uptrend</t>
        </is>
      </c>
      <c r="BA184" s="25">
        <f>IF(AZ184="Uptrend",10,IF(AZ184="Sideways",5,0))</f>
        <v/>
      </c>
      <c r="BB184" s="25" t="inlineStr">
        <is>
          <t>Close to 52 week high or retracement</t>
        </is>
      </c>
      <c r="BC184" s="25">
        <f>IF(BB184="Overhead supply in last 2 years in last 2 years",-5,IF(BB184="Close to 52 week high or retracement",5,IF(BB184="Blue sky scenario",10,IF(BB184="Long term Downtrend",-10,0))))</f>
        <v/>
      </c>
      <c r="BD184" s="25" t="inlineStr">
        <is>
          <t>Yes</t>
        </is>
      </c>
      <c r="BE184" s="25">
        <f>IF(BD184="Yes",10,0)</f>
        <v/>
      </c>
      <c r="BF184" s="25" t="inlineStr">
        <is>
          <t>More than 20%</t>
        </is>
      </c>
      <c r="BG184" s="25">
        <f>IF(BF184="More than 20%",10,IF(BF184="Between 12 to 20%",5,IF(BF184="Less than 12%",0,0)))</f>
        <v/>
      </c>
      <c r="BH184" s="25" t="inlineStr">
        <is>
          <t>No</t>
        </is>
      </c>
      <c r="BI184" s="25">
        <f>IF(BH184="No",10,0)</f>
        <v/>
      </c>
      <c r="BJ184" s="25" t="inlineStr">
        <is>
          <t>Yes</t>
        </is>
      </c>
      <c r="BK184" s="25">
        <f>IF(BJ184="NO",5,0)</f>
        <v/>
      </c>
      <c r="BL184" s="25" t="inlineStr">
        <is>
          <t>Less than 1.5</t>
        </is>
      </c>
      <c r="BM184" s="25">
        <f>IF(BL184="Above 2",0,IF(BL184="Between 1.5 to 2",5,IF(BL184="Less than 1.5",10,0)))</f>
        <v/>
      </c>
      <c r="BN184" s="25" t="inlineStr">
        <is>
          <t>Above 70%</t>
        </is>
      </c>
      <c r="BO184" s="25">
        <f>IF(BN184="Above 70%",10,IF(BN184="Between 50% to 70%",5,IF(BN184="Less than 50%",0,IF(BN184="Negative",-10,IF(BN184="Less than 50% and Borrowings are increasing",-5,0)))))</f>
        <v/>
      </c>
      <c r="BP184" s="25" t="inlineStr">
        <is>
          <t>Less than 0.7</t>
        </is>
      </c>
      <c r="BQ184" s="25">
        <f>IF(BP184="More than 1.2",-10,IF(BP184="Between 0.7 to 1.2",0,IF(BP184="Less than 0.7",10,0)))</f>
        <v/>
      </c>
      <c r="BR184" s="25" t="inlineStr">
        <is>
          <t>No</t>
        </is>
      </c>
      <c r="BS184" s="25">
        <f>IF(BR184="Yes",-10,0)</f>
        <v/>
      </c>
      <c r="BT184" s="25" t="inlineStr">
        <is>
          <t>Less than 15%</t>
        </is>
      </c>
      <c r="BU184" s="25">
        <f>IF(BT184="More than 15%",-10,IF(BT184="Less than 15%",10,0))</f>
        <v/>
      </c>
      <c r="BV184" s="25" t="inlineStr">
        <is>
          <t>No</t>
        </is>
      </c>
      <c r="BW184" s="25">
        <f>IF(BV184="Yes, more than 10%",-10,IF(BV184="No",10,0))</f>
        <v/>
      </c>
    </row>
    <row r="185">
      <c r="A185" s="25">
        <f>IF(B185=0,"",RANK(B185,$B$2:$B$292,0))</f>
        <v/>
      </c>
      <c r="B185" s="26">
        <f>SUM(Q185,S185,U185,W185,Y185,AA185,AC185,AE185,AG185,AI185,AK185,AM185,AO185,AQ185,AS185,AU185,AW185,AY185,BA185,BC185,BE185,BG185,BI185,BK185,BM185,BO185,BQ185,BS185,BU185,BW185)</f>
        <v/>
      </c>
      <c r="C185" s="25" t="inlineStr">
        <is>
          <t>THERMAX</t>
        </is>
      </c>
      <c r="D185" s="25" t="inlineStr">
        <is>
          <t>Thermax Limited</t>
        </is>
      </c>
      <c r="E185" s="25" t="inlineStr">
        <is>
          <t>industrials</t>
        </is>
      </c>
      <c r="F185" s="25" t="inlineStr">
        <is>
          <t>electric equipment</t>
        </is>
      </c>
      <c r="G185" s="25" t="inlineStr">
        <is>
          <t>largecap</t>
        </is>
      </c>
      <c r="H185" s="26" t="n">
        <v>59492.36</v>
      </c>
      <c r="I185" s="26" t="n">
        <v>4969.7</v>
      </c>
      <c r="J185" s="26" t="n">
        <v>-0.46</v>
      </c>
      <c r="K185" s="26" t="n">
        <v>334807</v>
      </c>
      <c r="L185" s="26" t="n">
        <v>78.62</v>
      </c>
      <c r="M185" s="26" t="n">
        <v>34.22</v>
      </c>
      <c r="N185" s="26" t="n">
        <v>4010.06</v>
      </c>
      <c r="O185" s="25" t="inlineStr">
        <is>
          <t>Near 52W High Breakout</t>
        </is>
      </c>
      <c r="P185" s="25" t="inlineStr">
        <is>
          <t>Cyclical in an Upturn</t>
        </is>
      </c>
      <c r="Q185" s="25">
        <f>IF(P185="Growing Industry",10,IF(P185="Cyclical in an Upturn",5,0))</f>
        <v/>
      </c>
      <c r="R185" s="25" t="inlineStr">
        <is>
          <t>Too Many Players with High ROCE</t>
        </is>
      </c>
      <c r="S185" s="25">
        <f>IF(R185="Monopoly",10,IF(R185="Oligopoly",5,IF(R185="Duopoly that cooperate",10,IF(R185="Duopoly that compete",5,IF(R185="Too many players with High ROCE",5,0)))))</f>
        <v/>
      </c>
      <c r="T185" s="25" t="inlineStr">
        <is>
          <t>No</t>
        </is>
      </c>
      <c r="U185" s="25">
        <f>IF(T185="No",5,0)</f>
        <v/>
      </c>
      <c r="V185" s="25" t="inlineStr">
        <is>
          <t>Tailwind</t>
        </is>
      </c>
      <c r="W185" s="25">
        <f>IF(V185="Tailwind",10,0)</f>
        <v/>
      </c>
      <c r="X185" s="25" t="inlineStr">
        <is>
          <t>Structural (10 Years Consistency)</t>
        </is>
      </c>
      <c r="Y185" s="25">
        <f>IF(X185="Structural (10 Years Consistency)",10,IF(X185="Shallow Cyclical (2 to 3 years growth)",5,0))</f>
        <v/>
      </c>
      <c r="Z185" s="25" t="inlineStr">
        <is>
          <t>No</t>
        </is>
      </c>
      <c r="AA185" s="25">
        <f>IF(Z185="Yes due to Product Mix change or Operating Leverage",10,IF(Z185="Yes, these are peak margins",-5,IF(Z185="No",5,0)))</f>
        <v/>
      </c>
      <c r="AB185" s="25" t="inlineStr">
        <is>
          <t>Stable</t>
        </is>
      </c>
      <c r="AC185" s="25">
        <f>IF(AB185="Stable",10,0)</f>
        <v/>
      </c>
      <c r="AD185" s="25" t="inlineStr">
        <is>
          <t>Yes</t>
        </is>
      </c>
      <c r="AE185" s="25">
        <f>IF(AD185="Yes",10,0)</f>
        <v/>
      </c>
      <c r="AF185" s="25" t="inlineStr">
        <is>
          <t>B2B</t>
        </is>
      </c>
      <c r="AG185" s="25">
        <f>IF(AF185="B2C",10,IF(AF185="B2B",5,0))</f>
        <v/>
      </c>
      <c r="AH185" s="25" t="inlineStr">
        <is>
          <t>Yes</t>
        </is>
      </c>
      <c r="AI185" s="25">
        <f>IF(AH185="Yes",10,0)</f>
        <v/>
      </c>
      <c r="AJ185" s="25" t="inlineStr">
        <is>
          <t>Higher One Time, Lower Annuity</t>
        </is>
      </c>
      <c r="AK185" s="25">
        <f>IF(AJ185="Fully Annuity",10,IF(AJ185="Higher Annuity, Lower One Time",5,IF(AJ185="Higher One Time, Lower Annuity",3,0)))</f>
        <v/>
      </c>
      <c r="AL185" s="25" t="inlineStr">
        <is>
          <t>Good</t>
        </is>
      </c>
      <c r="AM185" s="25">
        <f>IF(AL185="Good",10,0)</f>
        <v/>
      </c>
      <c r="AN185" s="25" t="inlineStr">
        <is>
          <t>Yes for more than 2 years</t>
        </is>
      </c>
      <c r="AO185" s="25">
        <f>IF(AN185="Yes for more than 2 years",10,IF(AN185="Yes only for next 1 to 2 years",5,0))</f>
        <v/>
      </c>
      <c r="AP185" s="25" t="inlineStr">
        <is>
          <t>20 to 40</t>
        </is>
      </c>
      <c r="AQ185" s="25">
        <f>IF(AP185="Above 40",20,IF(AP185="20 to 40",10,IF(AP185="0 to 20",-5,0)))</f>
        <v/>
      </c>
      <c r="AR185" s="25" t="inlineStr">
        <is>
          <t>Above 75</t>
        </is>
      </c>
      <c r="AS185" s="25">
        <f>IF(AR185="Between 50 to 75",10,IF(AR185="Above 75",0,0))</f>
        <v/>
      </c>
      <c r="AT185" s="25" t="inlineStr">
        <is>
          <t>Stage 2</t>
        </is>
      </c>
      <c r="AU185" s="25">
        <f>IF(AT185="Stage 2",20,IF(AT185="Stage 1",0,IF(AT185="Stage 3",5,IF(AT185="Stage 4",-5,0))))</f>
        <v/>
      </c>
      <c r="AV185" s="25" t="inlineStr">
        <is>
          <t>Positive Trend</t>
        </is>
      </c>
      <c r="AW185" s="25">
        <f>IF(AV185="Positive Trend",20,IF(AV185="Negative Trend",-10,0))</f>
        <v/>
      </c>
      <c r="AX185" s="25" t="inlineStr">
        <is>
          <t>Uptrend</t>
        </is>
      </c>
      <c r="AY185" s="25">
        <f>IF(AX185="Uptrend",10,IF(AX185="Sideways",5,0))</f>
        <v/>
      </c>
      <c r="AZ185" s="25" t="inlineStr">
        <is>
          <t>Uptrend</t>
        </is>
      </c>
      <c r="BA185" s="25">
        <f>IF(AZ185="Uptrend",10,IF(AZ185="Sideways",5,0))</f>
        <v/>
      </c>
      <c r="BB185" s="25" t="inlineStr">
        <is>
          <t>Close to 52 week high or retracement</t>
        </is>
      </c>
      <c r="BC185" s="25">
        <f>IF(BB185="Overhead supply in last 2 years in last 2 years",-5,IF(BB185="Close to 52 week high or retracement",5,IF(BB185="Blue sky scenario",10,IF(BB185="Long term Downtrend",-10,0))))</f>
        <v/>
      </c>
      <c r="BD185" s="25" t="inlineStr">
        <is>
          <t>Yes</t>
        </is>
      </c>
      <c r="BE185" s="25">
        <f>IF(BD185="Yes",10,0)</f>
        <v/>
      </c>
      <c r="BF185" s="25" t="inlineStr">
        <is>
          <t>Between 12 to 20%</t>
        </is>
      </c>
      <c r="BG185" s="25">
        <f>IF(BF185="More than 20%",10,IF(BF185="Between 12 to 20%",5,IF(BF185="Less than 12%",0,0)))</f>
        <v/>
      </c>
      <c r="BH185" s="25" t="inlineStr">
        <is>
          <t>No</t>
        </is>
      </c>
      <c r="BI185" s="25">
        <f>IF(BH185="No",10,0)</f>
        <v/>
      </c>
      <c r="BJ185" s="25" t="inlineStr">
        <is>
          <t>Yes</t>
        </is>
      </c>
      <c r="BK185" s="25">
        <f>IF(BJ185="NO",5,0)</f>
        <v/>
      </c>
      <c r="BL185" s="25" t="inlineStr">
        <is>
          <t>Less than 1.5</t>
        </is>
      </c>
      <c r="BM185" s="25">
        <f>IF(BL185="Above 2",0,IF(BL185="Between 1.5 to 2",5,IF(BL185="Less than 1.5",10,0)))</f>
        <v/>
      </c>
      <c r="BN185" s="25" t="inlineStr">
        <is>
          <t>Between 50% to 70%</t>
        </is>
      </c>
      <c r="BO185" s="25">
        <f>IF(BN185="Above 70%",10,IF(BN185="Between 50% to 70%",5,IF(BN185="Less than 50%",0,IF(BN185="Negative",-10,IF(BN185="Less than 50% and Borrowings are increasing",-5,0)))))</f>
        <v/>
      </c>
      <c r="BP185" s="25" t="inlineStr">
        <is>
          <t>Less than 0.7</t>
        </is>
      </c>
      <c r="BQ185" s="25">
        <f>IF(BP185="More than 1.2",-10,IF(BP185="Between 0.7 to 1.2",0,IF(BP185="Less than 0.7",10,0)))</f>
        <v/>
      </c>
      <c r="BR185" s="25" t="inlineStr">
        <is>
          <t>No</t>
        </is>
      </c>
      <c r="BS185" s="25">
        <f>IF(BR185="Yes",-10,0)</f>
        <v/>
      </c>
      <c r="BT185" s="25" t="inlineStr">
        <is>
          <t>Less than 15%</t>
        </is>
      </c>
      <c r="BU185" s="25">
        <f>IF(BT185="More than 15%",-10,IF(BT185="Less than 15%",10,0))</f>
        <v/>
      </c>
      <c r="BV185" s="25" t="inlineStr">
        <is>
          <t>No</t>
        </is>
      </c>
      <c r="BW185" s="25">
        <f>IF(BV185="Yes, more than 10%",-10,IF(BV185="No",10,0))</f>
        <v/>
      </c>
    </row>
    <row r="186">
      <c r="A186" s="25">
        <f>IF(B186=0,"",RANK(B186,$B$2:$B$292,0))</f>
        <v/>
      </c>
      <c r="B186" s="26">
        <f>SUM(Q186,S186,U186,W186,Y186,AA186,AC186,AE186,AG186,AI186,AK186,AM186,AO186,AQ186,AS186,AU186,AW186,AY186,BA186,BC186,BE186,BG186,BI186,BK186,BM186,BO186,BQ186,BS186,BU186,BW186)</f>
        <v/>
      </c>
      <c r="C186" s="25" t="inlineStr">
        <is>
          <t>WELSPUNLIV</t>
        </is>
      </c>
      <c r="D186" s="25" t="inlineStr">
        <is>
          <t>Welspun Living Ltd</t>
        </is>
      </c>
      <c r="E186" s="25" t="inlineStr">
        <is>
          <t>textiles</t>
        </is>
      </c>
      <c r="F186" s="25" t="inlineStr">
        <is>
          <t>textiles - products</t>
        </is>
      </c>
      <c r="G186" s="25" t="inlineStr">
        <is>
          <t>midcap</t>
        </is>
      </c>
      <c r="H186" s="26" t="n">
        <v>13920.18</v>
      </c>
      <c r="I186" s="26" t="n">
        <v>143.65</v>
      </c>
      <c r="J186" s="26" t="n">
        <v>-1.02</v>
      </c>
      <c r="K186" s="26" t="n">
        <v>1201692</v>
      </c>
      <c r="L186" s="26" t="n">
        <v>61.49</v>
      </c>
      <c r="M186" s="26" t="n">
        <v>16.23</v>
      </c>
      <c r="N186" s="26" t="n">
        <v>111.43</v>
      </c>
      <c r="O186" s="25" t="inlineStr">
        <is>
          <t>Near 52W High Breakout</t>
        </is>
      </c>
      <c r="P186" s="25" t="inlineStr">
        <is>
          <t>Growing Industry</t>
        </is>
      </c>
      <c r="Q186" s="25">
        <f>IF(P186="Growing Industry",10,IF(P186="Cyclical in an Upturn",5,0))</f>
        <v/>
      </c>
      <c r="R186" s="25" t="inlineStr">
        <is>
          <t>Too Many Players with High ROCE</t>
        </is>
      </c>
      <c r="S186" s="25">
        <f>IF(R186="Monopoly",10,IF(R186="Oligopoly",5,IF(R186="Duopoly that cooperate",10,IF(R186="Duopoly that compete",5,IF(R186="Too many players with High ROCE",5,0)))))</f>
        <v/>
      </c>
      <c r="T186" s="25" t="inlineStr">
        <is>
          <t>No</t>
        </is>
      </c>
      <c r="U186" s="25">
        <f>IF(T186="No",5,0)</f>
        <v/>
      </c>
      <c r="V186" s="25" t="inlineStr">
        <is>
          <t>Tailwind</t>
        </is>
      </c>
      <c r="W186" s="25">
        <f>IF(V186="Tailwind",10,0)</f>
        <v/>
      </c>
      <c r="X186" s="25" t="inlineStr">
        <is>
          <t>Structural (10 Years Consistency)</t>
        </is>
      </c>
      <c r="Y186" s="25">
        <f>IF(X186="Structural (10 Years Consistency)",10,IF(X186="Shallow Cyclical (2 to 3 years growth)",5,0))</f>
        <v/>
      </c>
      <c r="Z186" s="25" t="inlineStr">
        <is>
          <t>No</t>
        </is>
      </c>
      <c r="AA186" s="25">
        <f>IF(Z186="Yes due to Product Mix change or Operating Leverage",10,IF(Z186="Yes, these are peak margins",-5,IF(Z186="No",5,0)))</f>
        <v/>
      </c>
      <c r="AB186" s="25" t="inlineStr">
        <is>
          <t>Stable</t>
        </is>
      </c>
      <c r="AC186" s="25">
        <f>IF(AB186="Stable",10,0)</f>
        <v/>
      </c>
      <c r="AD186" s="25" t="inlineStr">
        <is>
          <t>Yes</t>
        </is>
      </c>
      <c r="AE186" s="25">
        <f>IF(AD186="Yes",10,0)</f>
        <v/>
      </c>
      <c r="AF186" s="25" t="inlineStr">
        <is>
          <t>B2B</t>
        </is>
      </c>
      <c r="AG186" s="25">
        <f>IF(AF186="B2C",10,IF(AF186="B2B",5,0))</f>
        <v/>
      </c>
      <c r="AH186" s="25" t="inlineStr">
        <is>
          <t>Yes</t>
        </is>
      </c>
      <c r="AI186" s="25">
        <f>IF(AH186="Yes",10,0)</f>
        <v/>
      </c>
      <c r="AJ186" s="25" t="inlineStr">
        <is>
          <t>Higher One Time, Lower Annuity</t>
        </is>
      </c>
      <c r="AK186" s="25">
        <f>IF(AJ186="Fully Annuity",10,IF(AJ186="Higher Annuity, Lower One Time",5,IF(AJ186="Higher One Time, Lower Annuity",3,0)))</f>
        <v/>
      </c>
      <c r="AL186" s="25" t="inlineStr">
        <is>
          <t>Good</t>
        </is>
      </c>
      <c r="AM186" s="25">
        <f>IF(AL186="Good",10,0)</f>
        <v/>
      </c>
      <c r="AN186" s="25" t="inlineStr">
        <is>
          <t>Yes for more than 2 years</t>
        </is>
      </c>
      <c r="AO186" s="25">
        <f>IF(AN186="Yes for more than 2 years",10,IF(AN186="Yes only for next 1 to 2 years",5,0))</f>
        <v/>
      </c>
      <c r="AP186" s="25" t="inlineStr">
        <is>
          <t>0 to 20</t>
        </is>
      </c>
      <c r="AQ186" s="25">
        <f>IF(AP186="Above 40",20,IF(AP186="20 to 40",10,IF(AP186="0 to 20",-5,0)))</f>
        <v/>
      </c>
      <c r="AR186" s="25" t="inlineStr">
        <is>
          <t>Between 50 to 75</t>
        </is>
      </c>
      <c r="AS186" s="25">
        <f>IF(AR186="Between 50 to 75",10,IF(AR186="Above 75",0,0))</f>
        <v/>
      </c>
      <c r="AT186" s="25" t="inlineStr">
        <is>
          <t>Stage 2</t>
        </is>
      </c>
      <c r="AU186" s="25">
        <f>IF(AT186="Stage 2",20,IF(AT186="Stage 1",0,IF(AT186="Stage 3",5,IF(AT186="Stage 4",-5,0))))</f>
        <v/>
      </c>
      <c r="AV186" s="25" t="inlineStr">
        <is>
          <t>Positive Trend</t>
        </is>
      </c>
      <c r="AW186" s="25">
        <f>IF(AV186="Positive Trend",20,IF(AV186="Negative Trend",-10,0))</f>
        <v/>
      </c>
      <c r="AX186" s="25" t="inlineStr">
        <is>
          <t>Uptrend</t>
        </is>
      </c>
      <c r="AY186" s="25">
        <f>IF(AX186="Uptrend",10,IF(AX186="Sideways",5,0))</f>
        <v/>
      </c>
      <c r="AZ186" s="25" t="inlineStr">
        <is>
          <t>Uptrend</t>
        </is>
      </c>
      <c r="BA186" s="25">
        <f>IF(AZ186="Uptrend",10,IF(AZ186="Sideways",5,0))</f>
        <v/>
      </c>
      <c r="BB186" s="25" t="inlineStr">
        <is>
          <t>Close to 52 week high or retracement</t>
        </is>
      </c>
      <c r="BC186" s="25">
        <f>IF(BB186="Overhead supply in last 2 years in last 2 years",-5,IF(BB186="Close to 52 week high or retracement",5,IF(BB186="Blue sky scenario",10,IF(BB186="Long term Downtrend",-10,0))))</f>
        <v/>
      </c>
      <c r="BD186" s="25" t="inlineStr">
        <is>
          <t>Yes</t>
        </is>
      </c>
      <c r="BE186" s="25">
        <f>IF(BD186="Yes",10,0)</f>
        <v/>
      </c>
      <c r="BF186" s="25" t="inlineStr">
        <is>
          <t>Less than 12%</t>
        </is>
      </c>
      <c r="BG186" s="25">
        <f>IF(BF186="More than 20%",10,IF(BF186="Between 12 to 20%",5,IF(BF186="Less than 12%",0,0)))</f>
        <v/>
      </c>
      <c r="BH186" s="25" t="inlineStr">
        <is>
          <t>No</t>
        </is>
      </c>
      <c r="BI186" s="25">
        <f>IF(BH186="No",10,0)</f>
        <v/>
      </c>
      <c r="BJ186" s="25" t="inlineStr">
        <is>
          <t>Yes</t>
        </is>
      </c>
      <c r="BK186" s="25">
        <f>IF(BJ186="NO",5,0)</f>
        <v/>
      </c>
      <c r="BL186" s="25" t="inlineStr">
        <is>
          <t>Less than 1.5</t>
        </is>
      </c>
      <c r="BM186" s="25">
        <f>IF(BL186="Above 2",0,IF(BL186="Between 1.5 to 2",5,IF(BL186="Less than 1.5",10,0)))</f>
        <v/>
      </c>
      <c r="BN186" s="25" t="inlineStr">
        <is>
          <t>Above 70%</t>
        </is>
      </c>
      <c r="BO186" s="25">
        <f>IF(BN186="Above 70%",10,IF(BN186="Between 50% to 70%",5,IF(BN186="Less than 50%",0,IF(BN186="Negative",-10,IF(BN186="Less than 50% and Borrowings are increasing",-5,0)))))</f>
        <v/>
      </c>
      <c r="BP186" s="25" t="inlineStr">
        <is>
          <t>Less than 0.7</t>
        </is>
      </c>
      <c r="BQ186" s="25">
        <f>IF(BP186="More than 1.2",-10,IF(BP186="Between 0.7 to 1.2",0,IF(BP186="Less than 0.7",10,0)))</f>
        <v/>
      </c>
      <c r="BR186" s="25" t="inlineStr">
        <is>
          <t>No</t>
        </is>
      </c>
      <c r="BS186" s="25">
        <f>IF(BR186="Yes",-10,0)</f>
        <v/>
      </c>
      <c r="BT186" s="25" t="inlineStr">
        <is>
          <t>Less than 15%</t>
        </is>
      </c>
      <c r="BU186" s="25">
        <f>IF(BT186="More than 15%",-10,IF(BT186="Less than 15%",10,0))</f>
        <v/>
      </c>
      <c r="BV186" s="25" t="inlineStr">
        <is>
          <t>No</t>
        </is>
      </c>
      <c r="BW186" s="25">
        <f>IF(BV186="Yes, more than 10%",-10,IF(BV186="No",10,0))</f>
        <v/>
      </c>
    </row>
    <row r="187">
      <c r="A187" s="25">
        <f>IF(B187=0,"",RANK(B187,$B$2:$B$292,0))</f>
        <v/>
      </c>
      <c r="B187" s="26">
        <f>SUM(Q187,S187,U187,W187,Y187,AA187,AC187,AE187,AG187,AI187,AK187,AM187,AO187,AQ187,AS187,AU187,AW187,AY187,BA187,BC187,BE187,BG187,BI187,BK187,BM187,BO187,BQ187,BS187,BU187,BW187)</f>
        <v/>
      </c>
      <c r="C187" s="25" t="inlineStr">
        <is>
          <t>V2RETAIL</t>
        </is>
      </c>
      <c r="D187" s="25" t="inlineStr">
        <is>
          <t>V2 Retail Limited</t>
        </is>
      </c>
      <c r="E187" s="25" t="inlineStr">
        <is>
          <t>consumer discretionary</t>
        </is>
      </c>
      <c r="F187" s="25" t="inlineStr">
        <is>
          <t>textiles - products</t>
        </is>
      </c>
      <c r="G187" s="25" t="inlineStr">
        <is>
          <t>midcap</t>
        </is>
      </c>
      <c r="H187" s="26" t="n">
        <v>8908.459999999999</v>
      </c>
      <c r="I187" s="26" t="n">
        <v>240.32</v>
      </c>
      <c r="J187" s="26" t="n">
        <v>-1.63</v>
      </c>
      <c r="K187" s="26" t="n">
        <v>1392661</v>
      </c>
      <c r="L187" s="26" t="n">
        <v>64.2</v>
      </c>
      <c r="M187" s="26" t="n">
        <v>25.8</v>
      </c>
      <c r="N187" s="26" t="n">
        <v>177.78</v>
      </c>
      <c r="O187" s="25" t="inlineStr">
        <is>
          <t>Near 52W High Breakout</t>
        </is>
      </c>
      <c r="P187" s="25" t="inlineStr">
        <is>
          <t>Growing Industry</t>
        </is>
      </c>
      <c r="Q187" s="25">
        <f>IF(P187="Growing Industry",10,IF(P187="Cyclical in an Upturn",5,0))</f>
        <v/>
      </c>
      <c r="R187" s="25" t="inlineStr">
        <is>
          <t>Too Many Players with High ROCE</t>
        </is>
      </c>
      <c r="S187" s="25">
        <f>IF(R187="Monopoly",10,IF(R187="Oligopoly",5,IF(R187="Duopoly that cooperate",10,IF(R187="Duopoly that compete",5,IF(R187="Too many players with High ROCE",5,0)))))</f>
        <v/>
      </c>
      <c r="T187" s="25" t="inlineStr">
        <is>
          <t>No</t>
        </is>
      </c>
      <c r="U187" s="25">
        <f>IF(T187="No",5,0)</f>
        <v/>
      </c>
      <c r="V187" s="25" t="inlineStr">
        <is>
          <t>Tailwind</t>
        </is>
      </c>
      <c r="W187" s="25">
        <f>IF(V187="Tailwind",10,0)</f>
        <v/>
      </c>
      <c r="X187" s="25" t="inlineStr">
        <is>
          <t>Structural (10 Years Consistency)</t>
        </is>
      </c>
      <c r="Y187" s="25">
        <f>IF(X187="Structural (10 Years Consistency)",10,IF(X187="Shallow Cyclical (2 to 3 years growth)",5,0))</f>
        <v/>
      </c>
      <c r="Z187" s="25" t="inlineStr">
        <is>
          <t>No</t>
        </is>
      </c>
      <c r="AA187" s="25">
        <f>IF(Z187="Yes due to Product Mix change or Operating Leverage",10,IF(Z187="Yes, these are peak margins",-5,IF(Z187="No",5,0)))</f>
        <v/>
      </c>
      <c r="AB187" s="25" t="inlineStr">
        <is>
          <t>Stable</t>
        </is>
      </c>
      <c r="AC187" s="25">
        <f>IF(AB187="Stable",10,0)</f>
        <v/>
      </c>
      <c r="AD187" s="25" t="inlineStr">
        <is>
          <t>Yes</t>
        </is>
      </c>
      <c r="AE187" s="25">
        <f>IF(AD187="Yes",10,0)</f>
        <v/>
      </c>
      <c r="AF187" s="25" t="inlineStr">
        <is>
          <t>B2B</t>
        </is>
      </c>
      <c r="AG187" s="25">
        <f>IF(AF187="B2C",10,IF(AF187="B2B",5,0))</f>
        <v/>
      </c>
      <c r="AH187" s="25" t="inlineStr">
        <is>
          <t>Yes</t>
        </is>
      </c>
      <c r="AI187" s="25">
        <f>IF(AH187="Yes",10,0)</f>
        <v/>
      </c>
      <c r="AJ187" s="25" t="inlineStr">
        <is>
          <t>Higher One Time, Lower Annuity</t>
        </is>
      </c>
      <c r="AK187" s="25">
        <f>IF(AJ187="Fully Annuity",10,IF(AJ187="Higher Annuity, Lower One Time",5,IF(AJ187="Higher One Time, Lower Annuity",3,0)))</f>
        <v/>
      </c>
      <c r="AL187" s="25" t="inlineStr">
        <is>
          <t>Good</t>
        </is>
      </c>
      <c r="AM187" s="25">
        <f>IF(AL187="Good",10,0)</f>
        <v/>
      </c>
      <c r="AN187" s="25" t="inlineStr">
        <is>
          <t>Yes for more than 2 years</t>
        </is>
      </c>
      <c r="AO187" s="25">
        <f>IF(AN187="Yes for more than 2 years",10,IF(AN187="Yes only for next 1 to 2 years",5,0))</f>
        <v/>
      </c>
      <c r="AP187" s="25" t="inlineStr">
        <is>
          <t>20 to 40</t>
        </is>
      </c>
      <c r="AQ187" s="25">
        <f>IF(AP187="Above 40",20,IF(AP187="20 to 40",10,IF(AP187="0 to 20",-5,0)))</f>
        <v/>
      </c>
      <c r="AR187" s="25" t="inlineStr">
        <is>
          <t>Between 50 to 75</t>
        </is>
      </c>
      <c r="AS187" s="25">
        <f>IF(AR187="Between 50 to 75",10,IF(AR187="Above 75",0,0))</f>
        <v/>
      </c>
      <c r="AT187" s="25" t="inlineStr">
        <is>
          <t>Stage 2</t>
        </is>
      </c>
      <c r="AU187" s="25">
        <f>IF(AT187="Stage 2",20,IF(AT187="Stage 1",0,IF(AT187="Stage 3",5,IF(AT187="Stage 4",-5,0))))</f>
        <v/>
      </c>
      <c r="AV187" s="25" t="inlineStr">
        <is>
          <t>Positive Trend</t>
        </is>
      </c>
      <c r="AW187" s="25">
        <f>IF(AV187="Positive Trend",20,IF(AV187="Negative Trend",-10,0))</f>
        <v/>
      </c>
      <c r="AX187" s="25" t="inlineStr">
        <is>
          <t>Uptrend</t>
        </is>
      </c>
      <c r="AY187" s="25">
        <f>IF(AX187="Uptrend",10,IF(AX187="Sideways",5,0))</f>
        <v/>
      </c>
      <c r="AZ187" s="25" t="inlineStr">
        <is>
          <t>Uptrend</t>
        </is>
      </c>
      <c r="BA187" s="25">
        <f>IF(AZ187="Uptrend",10,IF(AZ187="Sideways",5,0))</f>
        <v/>
      </c>
      <c r="BB187" s="25" t="inlineStr">
        <is>
          <t>Blue sky scenario</t>
        </is>
      </c>
      <c r="BC187" s="25">
        <f>IF(BB187="Overhead supply in last 2 years in last 2 years",-5,IF(BB187="Close to 52 week high or retracement",5,IF(BB187="Blue sky scenario",10,IF(BB187="Long term Downtrend",-10,0))))</f>
        <v/>
      </c>
      <c r="BD187" s="25" t="inlineStr">
        <is>
          <t>Yes</t>
        </is>
      </c>
      <c r="BE187" s="25">
        <f>IF(BD187="Yes",10,0)</f>
        <v/>
      </c>
      <c r="BF187" s="25" t="inlineStr">
        <is>
          <t>More than 20%</t>
        </is>
      </c>
      <c r="BG187" s="25">
        <f>IF(BF187="More than 20%",10,IF(BF187="Between 12 to 20%",5,IF(BF187="Less than 12%",0,0)))</f>
        <v/>
      </c>
      <c r="BH187" s="25" t="inlineStr">
        <is>
          <t>No</t>
        </is>
      </c>
      <c r="BI187" s="25">
        <f>IF(BH187="No",10,0)</f>
        <v/>
      </c>
      <c r="BJ187" s="25" t="inlineStr">
        <is>
          <t>Yes</t>
        </is>
      </c>
      <c r="BK187" s="25">
        <f>IF(BJ187="NO",5,0)</f>
        <v/>
      </c>
      <c r="BL187" s="25" t="inlineStr">
        <is>
          <t>Less than 1.5</t>
        </is>
      </c>
      <c r="BM187" s="25">
        <f>IF(BL187="Above 2",0,IF(BL187="Between 1.5 to 2",5,IF(BL187="Less than 1.5",10,0)))</f>
        <v/>
      </c>
      <c r="BN187" s="25" t="inlineStr">
        <is>
          <t>Negative</t>
        </is>
      </c>
      <c r="BO187" s="25">
        <f>IF(BN187="Above 70%",10,IF(BN187="Between 50% to 70%",5,IF(BN187="Less than 50%",0,IF(BN187="Negative",-10,IF(BN187="Less than 50% and Borrowings are increasing",-5,0)))))</f>
        <v/>
      </c>
      <c r="BP187" s="25" t="inlineStr">
        <is>
          <t>Between 0.7 to 1.2</t>
        </is>
      </c>
      <c r="BQ187" s="25">
        <f>IF(BP187="More than 1.2",-10,IF(BP187="Between 0.7 to 1.2",0,IF(BP187="Less than 0.7",10,0)))</f>
        <v/>
      </c>
      <c r="BR187" s="25" t="inlineStr">
        <is>
          <t>No</t>
        </is>
      </c>
      <c r="BS187" s="25">
        <f>IF(BR187="Yes",-10,0)</f>
        <v/>
      </c>
      <c r="BT187" s="25" t="inlineStr">
        <is>
          <t>Less than 15%</t>
        </is>
      </c>
      <c r="BU187" s="25">
        <f>IF(BT187="More than 15%",-10,IF(BT187="Less than 15%",10,0))</f>
        <v/>
      </c>
      <c r="BV187" s="25" t="inlineStr">
        <is>
          <t>No</t>
        </is>
      </c>
      <c r="BW187" s="25">
        <f>IF(BV187="Yes, more than 10%",-10,IF(BV187="No",10,0))</f>
        <v/>
      </c>
    </row>
    <row r="188">
      <c r="A188" s="25">
        <f>IF(B188=0,"",RANK(B188,$B$2:$B$292,0))</f>
        <v/>
      </c>
      <c r="B188" s="26">
        <f>SUM(Q188,S188,U188,W188,Y188,AA188,AC188,AE188,AG188,AI188,AK188,AM188,AO188,AQ188,AS188,AU188,AW188,AY188,BA188,BC188,BE188,BG188,BI188,BK188,BM188,BO188,BQ188,BS188,BU188,BW188)</f>
        <v/>
      </c>
      <c r="C188" s="25" t="inlineStr">
        <is>
          <t>ENDURANCE</t>
        </is>
      </c>
      <c r="D188" s="25" t="inlineStr">
        <is>
          <t>Endurance Technologies Limited</t>
        </is>
      </c>
      <c r="E188" s="25" t="inlineStr">
        <is>
          <t>auto</t>
        </is>
      </c>
      <c r="F188" s="25" t="inlineStr">
        <is>
          <t>auto ancillaries</t>
        </is>
      </c>
      <c r="G188" s="25" t="inlineStr">
        <is>
          <t>largecap</t>
        </is>
      </c>
      <c r="H188" s="26" t="n">
        <v>38431.9</v>
      </c>
      <c r="I188" s="26" t="n">
        <v>2687.4</v>
      </c>
      <c r="J188" s="26" t="n">
        <v>-1.64</v>
      </c>
      <c r="K188" s="26" t="n">
        <v>64807</v>
      </c>
      <c r="L188" s="26" t="n">
        <v>58.31</v>
      </c>
      <c r="M188" s="26" t="n">
        <v>14.92</v>
      </c>
      <c r="N188" s="26" t="n">
        <v>2168.53</v>
      </c>
      <c r="O188" s="25" t="inlineStr">
        <is>
          <t>Earnings / Momentum Support</t>
        </is>
      </c>
      <c r="P188" s="25" t="inlineStr">
        <is>
          <t>Growing Industry</t>
        </is>
      </c>
      <c r="Q188" s="25">
        <f>IF(P188="Growing Industry",10,IF(P188="Cyclical in an Upturn",5,0))</f>
        <v/>
      </c>
      <c r="R188" s="25" t="inlineStr">
        <is>
          <t>Too Many Players with High ROCE</t>
        </is>
      </c>
      <c r="S188" s="25">
        <f>IF(R188="Monopoly",10,IF(R188="Oligopoly",5,IF(R188="Duopoly that cooperate",10,IF(R188="Duopoly that compete",5,IF(R188="Too many players with High ROCE",5,0)))))</f>
        <v/>
      </c>
      <c r="T188" s="25" t="inlineStr">
        <is>
          <t>No</t>
        </is>
      </c>
      <c r="U188" s="25">
        <f>IF(T188="No",5,0)</f>
        <v/>
      </c>
      <c r="V188" s="25" t="inlineStr">
        <is>
          <t>Tailwind</t>
        </is>
      </c>
      <c r="W188" s="25">
        <f>IF(V188="Tailwind",10,0)</f>
        <v/>
      </c>
      <c r="X188" s="25" t="inlineStr">
        <is>
          <t>Structural (10 Years Consistency)</t>
        </is>
      </c>
      <c r="Y188" s="25">
        <f>IF(X188="Structural (10 Years Consistency)",10,IF(X188="Shallow Cyclical (2 to 3 years growth)",5,0))</f>
        <v/>
      </c>
      <c r="Z188" s="25" t="inlineStr">
        <is>
          <t>No</t>
        </is>
      </c>
      <c r="AA188" s="25">
        <f>IF(Z188="Yes due to Product Mix change or Operating Leverage",10,IF(Z188="Yes, these are peak margins",-5,IF(Z188="No",5,0)))</f>
        <v/>
      </c>
      <c r="AB188" s="25" t="inlineStr">
        <is>
          <t>Stable</t>
        </is>
      </c>
      <c r="AC188" s="25">
        <f>IF(AB188="Stable",10,0)</f>
        <v/>
      </c>
      <c r="AD188" s="25" t="inlineStr">
        <is>
          <t>Yes</t>
        </is>
      </c>
      <c r="AE188" s="25">
        <f>IF(AD188="Yes",10,0)</f>
        <v/>
      </c>
      <c r="AF188" s="25" t="inlineStr">
        <is>
          <t>B2B</t>
        </is>
      </c>
      <c r="AG188" s="25">
        <f>IF(AF188="B2C",10,IF(AF188="B2B",5,0))</f>
        <v/>
      </c>
      <c r="AH188" s="25" t="inlineStr">
        <is>
          <t>No</t>
        </is>
      </c>
      <c r="AI188" s="25">
        <f>IF(AH188="Yes",10,0)</f>
        <v/>
      </c>
      <c r="AJ188" s="25" t="inlineStr">
        <is>
          <t>Higher One Time, Lower Annuity</t>
        </is>
      </c>
      <c r="AK188" s="25">
        <f>IF(AJ188="Fully Annuity",10,IF(AJ188="Higher Annuity, Lower One Time",5,IF(AJ188="Higher One Time, Lower Annuity",3,0)))</f>
        <v/>
      </c>
      <c r="AL188" s="25" t="inlineStr">
        <is>
          <t>Good</t>
        </is>
      </c>
      <c r="AM188" s="25">
        <f>IF(AL188="Good",10,0)</f>
        <v/>
      </c>
      <c r="AN188" s="25" t="inlineStr">
        <is>
          <t>Yes for more than 2 years</t>
        </is>
      </c>
      <c r="AO188" s="25">
        <f>IF(AN188="Yes for more than 2 years",10,IF(AN188="Yes only for next 1 to 2 years",5,0))</f>
        <v/>
      </c>
      <c r="AP188" s="25" t="inlineStr">
        <is>
          <t>0 to 20</t>
        </is>
      </c>
      <c r="AQ188" s="25">
        <f>IF(AP188="Above 40",20,IF(AP188="20 to 40",10,IF(AP188="0 to 20",-5,0)))</f>
        <v/>
      </c>
      <c r="AR188" s="25" t="inlineStr">
        <is>
          <t>Between 50 to 75</t>
        </is>
      </c>
      <c r="AS188" s="25">
        <f>IF(AR188="Between 50 to 75",10,IF(AR188="Above 75",0,0))</f>
        <v/>
      </c>
      <c r="AT188" s="25" t="inlineStr">
        <is>
          <t>Stage 2</t>
        </is>
      </c>
      <c r="AU188" s="25">
        <f>IF(AT188="Stage 2",20,IF(AT188="Stage 1",0,IF(AT188="Stage 3",5,IF(AT188="Stage 4",-5,0))))</f>
        <v/>
      </c>
      <c r="AV188" s="25" t="inlineStr">
        <is>
          <t>Positive Trend</t>
        </is>
      </c>
      <c r="AW188" s="25">
        <f>IF(AV188="Positive Trend",20,IF(AV188="Negative Trend",-10,0))</f>
        <v/>
      </c>
      <c r="AX188" s="25" t="inlineStr">
        <is>
          <t>Uptrend</t>
        </is>
      </c>
      <c r="AY188" s="25">
        <f>IF(AX188="Uptrend",10,IF(AX188="Sideways",5,0))</f>
        <v/>
      </c>
      <c r="AZ188" s="25" t="inlineStr">
        <is>
          <t>Uptrend</t>
        </is>
      </c>
      <c r="BA188" s="25">
        <f>IF(AZ188="Uptrend",10,IF(AZ188="Sideways",5,0))</f>
        <v/>
      </c>
      <c r="BB188" s="25" t="inlineStr">
        <is>
          <t>Close to 52 week high or retracement</t>
        </is>
      </c>
      <c r="BC188" s="25">
        <f>IF(BB188="Overhead supply in last 2 years in last 2 years",-5,IF(BB188="Close to 52 week high or retracement",5,IF(BB188="Blue sky scenario",10,IF(BB188="Long term Downtrend",-10,0))))</f>
        <v/>
      </c>
      <c r="BD188" s="25" t="inlineStr">
        <is>
          <t>Yes</t>
        </is>
      </c>
      <c r="BE188" s="25">
        <f>IF(BD188="Yes",10,0)</f>
        <v/>
      </c>
      <c r="BF188" s="25" t="inlineStr">
        <is>
          <t>Between 12 to 20%</t>
        </is>
      </c>
      <c r="BG188" s="25">
        <f>IF(BF188="More than 20%",10,IF(BF188="Between 12 to 20%",5,IF(BF188="Less than 12%",0,0)))</f>
        <v/>
      </c>
      <c r="BH188" s="25" t="inlineStr">
        <is>
          <t>No</t>
        </is>
      </c>
      <c r="BI188" s="25">
        <f>IF(BH188="No",10,0)</f>
        <v/>
      </c>
      <c r="BJ188" s="25" t="inlineStr">
        <is>
          <t>No</t>
        </is>
      </c>
      <c r="BK188" s="25">
        <f>IF(BJ188="NO",5,0)</f>
        <v/>
      </c>
      <c r="BL188" s="25" t="inlineStr">
        <is>
          <t>Less than 1.5</t>
        </is>
      </c>
      <c r="BM188" s="25">
        <f>IF(BL188="Above 2",0,IF(BL188="Between 1.5 to 2",5,IF(BL188="Less than 1.5",10,0)))</f>
        <v/>
      </c>
      <c r="BN188" s="25" t="inlineStr">
        <is>
          <t>Above 70%</t>
        </is>
      </c>
      <c r="BO188" s="25">
        <f>IF(BN188="Above 70%",10,IF(BN188="Between 50% to 70%",5,IF(BN188="Less than 50%",0,IF(BN188="Negative",-10,IF(BN188="Less than 50% and Borrowings are increasing",-5,0)))))</f>
        <v/>
      </c>
      <c r="BP188" s="25" t="inlineStr">
        <is>
          <t>Less than 0.7</t>
        </is>
      </c>
      <c r="BQ188" s="25">
        <f>IF(BP188="More than 1.2",-10,IF(BP188="Between 0.7 to 1.2",0,IF(BP188="Less than 0.7",10,0)))</f>
        <v/>
      </c>
      <c r="BR188" s="25" t="inlineStr">
        <is>
          <t>No</t>
        </is>
      </c>
      <c r="BS188" s="25">
        <f>IF(BR188="Yes",-10,0)</f>
        <v/>
      </c>
      <c r="BT188" s="25" t="inlineStr">
        <is>
          <t>Less than 15%</t>
        </is>
      </c>
      <c r="BU188" s="25">
        <f>IF(BT188="More than 15%",-10,IF(BT188="Less than 15%",10,0))</f>
        <v/>
      </c>
      <c r="BV188" s="25" t="inlineStr">
        <is>
          <t>No</t>
        </is>
      </c>
      <c r="BW188" s="25">
        <f>IF(BV188="Yes, more than 10%",-10,IF(BV188="No",10,0))</f>
        <v/>
      </c>
    </row>
    <row r="189">
      <c r="A189" s="25">
        <f>IF(B189=0,"",RANK(B189,$B$2:$B$292,0))</f>
        <v/>
      </c>
      <c r="B189" s="26">
        <f>SUM(Q189,S189,U189,W189,Y189,AA189,AC189,AE189,AG189,AI189,AK189,AM189,AO189,AQ189,AS189,AU189,AW189,AY189,BA189,BC189,BE189,BG189,BI189,BK189,BM189,BO189,BQ189,BS189,BU189,BW189)</f>
        <v/>
      </c>
      <c r="C189" s="25" t="inlineStr">
        <is>
          <t>VINDHYATEL</t>
        </is>
      </c>
      <c r="D189" s="25" t="inlineStr">
        <is>
          <t>Vindhya Telelinks Limited</t>
        </is>
      </c>
      <c r="E189" s="25" t="inlineStr">
        <is>
          <t>realty</t>
        </is>
      </c>
      <c r="F189" s="25" t="inlineStr">
        <is>
          <t>construction</t>
        </is>
      </c>
      <c r="G189" s="25" t="inlineStr">
        <is>
          <t>smallcap</t>
        </is>
      </c>
      <c r="H189" s="26" t="n">
        <v>2588.11</v>
      </c>
      <c r="I189" s="26" t="n">
        <v>2117.9</v>
      </c>
      <c r="J189" s="26" t="n">
        <v>-3.02</v>
      </c>
      <c r="K189" s="26" t="n">
        <v>153726</v>
      </c>
      <c r="L189" s="26" t="n">
        <v>69.02</v>
      </c>
      <c r="M189" s="26" t="n">
        <v>32.21</v>
      </c>
      <c r="N189" s="26" t="n">
        <v>1566.6</v>
      </c>
      <c r="O189" s="25" t="inlineStr">
        <is>
          <t>Near 52W High Breakout</t>
        </is>
      </c>
      <c r="P189" s="25" t="inlineStr">
        <is>
          <t>Growing Industry</t>
        </is>
      </c>
      <c r="Q189" s="25">
        <f>IF(P189="Growing Industry",10,IF(P189="Cyclical in an Upturn",5,0))</f>
        <v/>
      </c>
      <c r="R189" s="25" t="inlineStr">
        <is>
          <t>Too Many Players with High ROCE</t>
        </is>
      </c>
      <c r="S189" s="25">
        <f>IF(R189="Monopoly",10,IF(R189="Oligopoly",5,IF(R189="Duopoly that cooperate",10,IF(R189="Duopoly that compete",5,IF(R189="Too many players with High ROCE",5,0)))))</f>
        <v/>
      </c>
      <c r="T189" s="25" t="inlineStr">
        <is>
          <t>No</t>
        </is>
      </c>
      <c r="U189" s="25">
        <f>IF(T189="No",5,0)</f>
        <v/>
      </c>
      <c r="V189" s="25" t="inlineStr">
        <is>
          <t>Tailwind</t>
        </is>
      </c>
      <c r="W189" s="25">
        <f>IF(V189="Tailwind",10,0)</f>
        <v/>
      </c>
      <c r="X189" s="25" t="inlineStr">
        <is>
          <t>Structural (10 Years Consistency)</t>
        </is>
      </c>
      <c r="Y189" s="25">
        <f>IF(X189="Structural (10 Years Consistency)",10,IF(X189="Shallow Cyclical (2 to 3 years growth)",5,0))</f>
        <v/>
      </c>
      <c r="Z189" s="25" t="inlineStr">
        <is>
          <t>No</t>
        </is>
      </c>
      <c r="AA189" s="25">
        <f>IF(Z189="Yes due to Product Mix change or Operating Leverage",10,IF(Z189="Yes, these are peak margins",-5,IF(Z189="No",5,0)))</f>
        <v/>
      </c>
      <c r="AB189" s="25" t="inlineStr">
        <is>
          <t>Stable</t>
        </is>
      </c>
      <c r="AC189" s="25">
        <f>IF(AB189="Stable",10,0)</f>
        <v/>
      </c>
      <c r="AD189" s="25" t="inlineStr">
        <is>
          <t>Yes</t>
        </is>
      </c>
      <c r="AE189" s="25">
        <f>IF(AD189="Yes",10,0)</f>
        <v/>
      </c>
      <c r="AF189" s="25" t="inlineStr">
        <is>
          <t>B2B</t>
        </is>
      </c>
      <c r="AG189" s="25">
        <f>IF(AF189="B2C",10,IF(AF189="B2B",5,0))</f>
        <v/>
      </c>
      <c r="AH189" s="25" t="inlineStr">
        <is>
          <t>Yes</t>
        </is>
      </c>
      <c r="AI189" s="25">
        <f>IF(AH189="Yes",10,0)</f>
        <v/>
      </c>
      <c r="AJ189" s="25" t="inlineStr">
        <is>
          <t>Higher One Time, Lower Annuity</t>
        </is>
      </c>
      <c r="AK189" s="25">
        <f>IF(AJ189="Fully Annuity",10,IF(AJ189="Higher Annuity, Lower One Time",5,IF(AJ189="Higher One Time, Lower Annuity",3,0)))</f>
        <v/>
      </c>
      <c r="AL189" s="25" t="inlineStr">
        <is>
          <t>Good</t>
        </is>
      </c>
      <c r="AM189" s="25">
        <f>IF(AL189="Good",10,0)</f>
        <v/>
      </c>
      <c r="AN189" s="25" t="inlineStr">
        <is>
          <t>Yes for more than 2 years</t>
        </is>
      </c>
      <c r="AO189" s="25">
        <f>IF(AN189="Yes for more than 2 years",10,IF(AN189="Yes only for next 1 to 2 years",5,0))</f>
        <v/>
      </c>
      <c r="AP189" s="25" t="inlineStr">
        <is>
          <t>20 to 40</t>
        </is>
      </c>
      <c r="AQ189" s="25">
        <f>IF(AP189="Above 40",20,IF(AP189="20 to 40",10,IF(AP189="0 to 20",-5,0)))</f>
        <v/>
      </c>
      <c r="AR189" s="25" t="inlineStr">
        <is>
          <t>Between 50 to 75</t>
        </is>
      </c>
      <c r="AS189" s="25">
        <f>IF(AR189="Between 50 to 75",10,IF(AR189="Above 75",0,0))</f>
        <v/>
      </c>
      <c r="AT189" s="25" t="inlineStr">
        <is>
          <t>Stage 2</t>
        </is>
      </c>
      <c r="AU189" s="25">
        <f>IF(AT189="Stage 2",20,IF(AT189="Stage 1",0,IF(AT189="Stage 3",5,IF(AT189="Stage 4",-5,0))))</f>
        <v/>
      </c>
      <c r="AV189" s="25" t="inlineStr">
        <is>
          <t>Positive Trend</t>
        </is>
      </c>
      <c r="AW189" s="25">
        <f>IF(AV189="Positive Trend",20,IF(AV189="Negative Trend",-10,0))</f>
        <v/>
      </c>
      <c r="AX189" s="25" t="inlineStr">
        <is>
          <t>Uptrend</t>
        </is>
      </c>
      <c r="AY189" s="25">
        <f>IF(AX189="Uptrend",10,IF(AX189="Sideways",5,0))</f>
        <v/>
      </c>
      <c r="AZ189" s="25" t="inlineStr">
        <is>
          <t>Uptrend</t>
        </is>
      </c>
      <c r="BA189" s="25">
        <f>IF(AZ189="Uptrend",10,IF(AZ189="Sideways",5,0))</f>
        <v/>
      </c>
      <c r="BB189" s="25" t="inlineStr">
        <is>
          <t>Close to 52 week high or retracement</t>
        </is>
      </c>
      <c r="BC189" s="25">
        <f>IF(BB189="Overhead supply in last 2 years in last 2 years",-5,IF(BB189="Close to 52 week high or retracement",5,IF(BB189="Blue sky scenario",10,IF(BB189="Long term Downtrend",-10,0))))</f>
        <v/>
      </c>
      <c r="BD189" s="25" t="inlineStr">
        <is>
          <t>Yes</t>
        </is>
      </c>
      <c r="BE189" s="25">
        <f>IF(BD189="Yes",10,0)</f>
        <v/>
      </c>
      <c r="BF189" s="25" t="inlineStr">
        <is>
          <t>Less than 12%</t>
        </is>
      </c>
      <c r="BG189" s="25">
        <f>IF(BF189="More than 20%",10,IF(BF189="Between 12 to 20%",5,IF(BF189="Less than 12%",0,0)))</f>
        <v/>
      </c>
      <c r="BH189" s="25" t="inlineStr">
        <is>
          <t>No</t>
        </is>
      </c>
      <c r="BI189" s="25">
        <f>IF(BH189="No",10,0)</f>
        <v/>
      </c>
      <c r="BJ189" s="25" t="inlineStr">
        <is>
          <t>No</t>
        </is>
      </c>
      <c r="BK189" s="25">
        <f>IF(BJ189="NO",5,0)</f>
        <v/>
      </c>
      <c r="BL189" s="25" t="inlineStr">
        <is>
          <t>Less than 1.5</t>
        </is>
      </c>
      <c r="BM189" s="25">
        <f>IF(BL189="Above 2",0,IF(BL189="Between 1.5 to 2",5,IF(BL189="Less than 1.5",10,0)))</f>
        <v/>
      </c>
      <c r="BN189" s="25" t="inlineStr">
        <is>
          <t>Negative</t>
        </is>
      </c>
      <c r="BO189" s="25">
        <f>IF(BN189="Above 70%",10,IF(BN189="Between 50% to 70%",5,IF(BN189="Less than 50%",0,IF(BN189="Negative",-10,IF(BN189="Less than 50% and Borrowings are increasing",-5,0)))))</f>
        <v/>
      </c>
      <c r="BP189" s="25" t="inlineStr">
        <is>
          <t>Less than 0.7</t>
        </is>
      </c>
      <c r="BQ189" s="25">
        <f>IF(BP189="More than 1.2",-10,IF(BP189="Between 0.7 to 1.2",0,IF(BP189="Less than 0.7",10,0)))</f>
        <v/>
      </c>
      <c r="BR189" s="25" t="inlineStr">
        <is>
          <t>No</t>
        </is>
      </c>
      <c r="BS189" s="25">
        <f>IF(BR189="Yes",-10,0)</f>
        <v/>
      </c>
      <c r="BT189" s="25" t="inlineStr">
        <is>
          <t>Less than 15%</t>
        </is>
      </c>
      <c r="BU189" s="25">
        <f>IF(BT189="More than 15%",-10,IF(BT189="Less than 15%",10,0))</f>
        <v/>
      </c>
      <c r="BV189" s="25" t="inlineStr">
        <is>
          <t>No</t>
        </is>
      </c>
      <c r="BW189" s="25">
        <f>IF(BV189="Yes, more than 10%",-10,IF(BV189="No",10,0))</f>
        <v/>
      </c>
    </row>
    <row r="190">
      <c r="A190" s="25">
        <f>IF(B190=0,"",RANK(B190,$B$2:$B$292,0))</f>
        <v/>
      </c>
      <c r="B190" s="26">
        <f>SUM(Q190,S190,U190,W190,Y190,AA190,AC190,AE190,AG190,AI190,AK190,AM190,AO190,AQ190,AS190,AU190,AW190,AY190,BA190,BC190,BE190,BG190,BI190,BK190,BM190,BO190,BQ190,BS190,BU190,BW190)</f>
        <v/>
      </c>
      <c r="C190" s="25" t="inlineStr">
        <is>
          <t>APOLLO</t>
        </is>
      </c>
      <c r="D190" s="25" t="inlineStr">
        <is>
          <t>Apollo Micro Systems Ltd</t>
        </is>
      </c>
      <c r="E190" s="25" t="inlineStr">
        <is>
          <t>aerospace &amp; defence</t>
        </is>
      </c>
      <c r="F190" s="25" t="inlineStr">
        <is>
          <t>electronics - components</t>
        </is>
      </c>
      <c r="G190" s="25" t="inlineStr">
        <is>
          <t>midcap</t>
        </is>
      </c>
      <c r="H190" s="26" t="n">
        <v>14439.97</v>
      </c>
      <c r="I190" s="26" t="n">
        <v>437</v>
      </c>
      <c r="J190" s="26" t="n">
        <v>8.130000000000001</v>
      </c>
      <c r="K190" s="26" t="n">
        <v>42775590</v>
      </c>
      <c r="L190" s="26" t="n">
        <v>76.04000000000001</v>
      </c>
      <c r="M190" s="26" t="n">
        <v>30.34</v>
      </c>
      <c r="N190" s="26" t="n">
        <v>318.2</v>
      </c>
      <c r="O190" s="25" t="inlineStr">
        <is>
          <t>Near 52W High Breakout</t>
        </is>
      </c>
      <c r="P190" s="25" t="inlineStr">
        <is>
          <t>Cyclical in an Upturn</t>
        </is>
      </c>
      <c r="Q190" s="25">
        <f>IF(P190="Growing Industry",10,IF(P190="Cyclical in an Upturn",5,0))</f>
        <v/>
      </c>
      <c r="R190" s="25" t="inlineStr">
        <is>
          <t>Oligopoly</t>
        </is>
      </c>
      <c r="S190" s="25">
        <f>IF(R190="Monopoly",10,IF(R190="Oligopoly",5,IF(R190="Duopoly that cooperate",10,IF(R190="Duopoly that compete",5,IF(R190="Too many players with High ROCE",5,0)))))</f>
        <v/>
      </c>
      <c r="T190" s="25" t="inlineStr">
        <is>
          <t>No</t>
        </is>
      </c>
      <c r="U190" s="25">
        <f>IF(T190="No",5,0)</f>
        <v/>
      </c>
      <c r="V190" s="25" t="inlineStr">
        <is>
          <t>Tailwind</t>
        </is>
      </c>
      <c r="W190" s="25">
        <f>IF(V190="Tailwind",10,0)</f>
        <v/>
      </c>
      <c r="X190" s="25" t="inlineStr">
        <is>
          <t>Cyclical</t>
        </is>
      </c>
      <c r="Y190" s="25">
        <f>IF(X190="Structural (10 Years Consistency)",10,IF(X190="Shallow Cyclical (2 to 3 years growth)",5,0))</f>
        <v/>
      </c>
      <c r="Z190" s="25" t="inlineStr">
        <is>
          <t>No</t>
        </is>
      </c>
      <c r="AA190" s="25">
        <f>IF(Z190="Yes due to Product Mix change or Operating Leverage",10,IF(Z190="Yes, these are peak margins",-5,IF(Z190="No",5,0)))</f>
        <v/>
      </c>
      <c r="AB190" s="25" t="inlineStr">
        <is>
          <t>Stable</t>
        </is>
      </c>
      <c r="AC190" s="25">
        <f>IF(AB190="Stable",10,0)</f>
        <v/>
      </c>
      <c r="AD190" s="25" t="inlineStr">
        <is>
          <t>Yes</t>
        </is>
      </c>
      <c r="AE190" s="25">
        <f>IF(AD190="Yes",10,0)</f>
        <v/>
      </c>
      <c r="AF190" s="25" t="inlineStr">
        <is>
          <t>B2C</t>
        </is>
      </c>
      <c r="AG190" s="25">
        <f>IF(AF190="B2C",10,IF(AF190="B2B",5,0))</f>
        <v/>
      </c>
      <c r="AH190" s="25" t="inlineStr">
        <is>
          <t>Yes</t>
        </is>
      </c>
      <c r="AI190" s="25">
        <f>IF(AH190="Yes",10,0)</f>
        <v/>
      </c>
      <c r="AJ190" s="25" t="inlineStr">
        <is>
          <t>Fully One Time</t>
        </is>
      </c>
      <c r="AK190" s="25">
        <f>IF(AJ190="Fully Annuity",10,IF(AJ190="Higher Annuity, Lower One Time",5,IF(AJ190="Higher One Time, Lower Annuity",3,0)))</f>
        <v/>
      </c>
      <c r="AL190" s="25" t="inlineStr">
        <is>
          <t>Good</t>
        </is>
      </c>
      <c r="AM190" s="25">
        <f>IF(AL190="Good",10,0)</f>
        <v/>
      </c>
      <c r="AN190" s="25" t="inlineStr">
        <is>
          <t>Yes for more than 2 years</t>
        </is>
      </c>
      <c r="AO190" s="25">
        <f>IF(AN190="Yes for more than 2 years",10,IF(AN190="Yes only for next 1 to 2 years",5,0))</f>
        <v/>
      </c>
      <c r="AP190" s="25" t="inlineStr">
        <is>
          <t>Above 40</t>
        </is>
      </c>
      <c r="AQ190" s="25">
        <f>IF(AP190="Above 40",20,IF(AP190="20 to 40",10,IF(AP190="0 to 20",-5,0)))</f>
        <v/>
      </c>
      <c r="AR190" s="25" t="inlineStr">
        <is>
          <t>Above 75</t>
        </is>
      </c>
      <c r="AS190" s="25">
        <f>IF(AR190="Between 50 to 75",10,IF(AR190="Above 75",0,0))</f>
        <v/>
      </c>
      <c r="AT190" s="25" t="inlineStr">
        <is>
          <t>Stage 2</t>
        </is>
      </c>
      <c r="AU190" s="25">
        <f>IF(AT190="Stage 2",20,IF(AT190="Stage 1",0,IF(AT190="Stage 3",5,IF(AT190="Stage 4",-5,0))))</f>
        <v/>
      </c>
      <c r="AV190" s="25" t="inlineStr">
        <is>
          <t>Positive Trend</t>
        </is>
      </c>
      <c r="AW190" s="25">
        <f>IF(AV190="Positive Trend",20,IF(AV190="Negative Trend",-10,0))</f>
        <v/>
      </c>
      <c r="AX190" s="25" t="inlineStr">
        <is>
          <t>Uptrend</t>
        </is>
      </c>
      <c r="AY190" s="25">
        <f>IF(AX190="Uptrend",10,IF(AX190="Sideways",5,0))</f>
        <v/>
      </c>
      <c r="AZ190" s="25" t="inlineStr">
        <is>
          <t>Uptrend</t>
        </is>
      </c>
      <c r="BA190" s="25">
        <f>IF(AZ190="Uptrend",10,IF(AZ190="Sideways",5,0))</f>
        <v/>
      </c>
      <c r="BB190" s="25" t="inlineStr">
        <is>
          <t>Close to 52 week high or retracement</t>
        </is>
      </c>
      <c r="BC190" s="25">
        <f>IF(BB190="Overhead supply in last 2 years in last 2 years",-5,IF(BB190="Close to 52 week high or retracement",5,IF(BB190="Blue sky scenario",10,IF(BB190="Long term Downtrend",-10,0))))</f>
        <v/>
      </c>
      <c r="BD190" s="25" t="inlineStr">
        <is>
          <t>Yes</t>
        </is>
      </c>
      <c r="BE190" s="25">
        <f>IF(BD190="Yes",10,0)</f>
        <v/>
      </c>
      <c r="BF190" s="25" t="inlineStr">
        <is>
          <t>More than 20%</t>
        </is>
      </c>
      <c r="BG190" s="25">
        <f>IF(BF190="More than 20%",10,IF(BF190="Between 12 to 20%",5,IF(BF190="Less than 12%",0,0)))</f>
        <v/>
      </c>
      <c r="BH190" s="25" t="inlineStr">
        <is>
          <t>Yes</t>
        </is>
      </c>
      <c r="BI190" s="25">
        <f>IF(BH190="No",10,0)</f>
        <v/>
      </c>
      <c r="BJ190" s="25" t="inlineStr">
        <is>
          <t>Yes</t>
        </is>
      </c>
      <c r="BK190" s="25">
        <f>IF(BJ190="NO",5,0)</f>
        <v/>
      </c>
      <c r="BL190" s="25" t="inlineStr">
        <is>
          <t>Between 1.5 to 2</t>
        </is>
      </c>
      <c r="BM190" s="25">
        <f>IF(BL190="Above 2",0,IF(BL190="Between 1.5 to 2",5,IF(BL190="Less than 1.5",10,0)))</f>
        <v/>
      </c>
      <c r="BN190" s="25" t="inlineStr">
        <is>
          <t>Above 70%</t>
        </is>
      </c>
      <c r="BO190" s="25">
        <f>IF(BN190="Above 70%",10,IF(BN190="Between 50% to 70%",5,IF(BN190="Less than 50%",0,IF(BN190="Negative",-10,IF(BN190="Less than 50% and Borrowings are increasing",-5,0)))))</f>
        <v/>
      </c>
      <c r="BP190" s="25" t="inlineStr">
        <is>
          <t>Less than 0.7</t>
        </is>
      </c>
      <c r="BQ190" s="25">
        <f>IF(BP190="More than 1.2",-10,IF(BP190="Between 0.7 to 1.2",0,IF(BP190="Less than 0.7",10,0)))</f>
        <v/>
      </c>
      <c r="BR190" s="25" t="inlineStr">
        <is>
          <t>No</t>
        </is>
      </c>
      <c r="BS190" s="25">
        <f>IF(BR190="Yes",-10,0)</f>
        <v/>
      </c>
      <c r="BT190" s="25" t="inlineStr">
        <is>
          <t>Less than 15%</t>
        </is>
      </c>
      <c r="BU190" s="25">
        <f>IF(BT190="More than 15%",-10,IF(BT190="Less than 15%",10,0))</f>
        <v/>
      </c>
      <c r="BV190" s="25" t="inlineStr">
        <is>
          <t>No</t>
        </is>
      </c>
      <c r="BW190" s="25">
        <f>IF(BV190="Yes, more than 10%",-10,IF(BV190="No",10,0))</f>
        <v/>
      </c>
    </row>
    <row r="191">
      <c r="A191" s="25">
        <f>IF(B191=0,"",RANK(B191,$B$2:$B$292,0))</f>
        <v/>
      </c>
      <c r="B191" s="26">
        <f>SUM(Q191,S191,U191,W191,Y191,AA191,AC191,AE191,AG191,AI191,AK191,AM191,AO191,AQ191,AS191,AU191,AW191,AY191,BA191,BC191,BE191,BG191,BI191,BK191,BM191,BO191,BQ191,BS191,BU191,BW191)</f>
        <v/>
      </c>
      <c r="C191" s="25" t="inlineStr">
        <is>
          <t>VADILALIND</t>
        </is>
      </c>
      <c r="D191" s="25" t="inlineStr">
        <is>
          <t>Vadilal Industries Limited</t>
        </is>
      </c>
      <c r="E191" s="25" t="inlineStr">
        <is>
          <t>fmcg</t>
        </is>
      </c>
      <c r="F191" s="25" t="inlineStr">
        <is>
          <t>food - processing - indian</t>
        </is>
      </c>
      <c r="G191" s="25" t="inlineStr">
        <is>
          <t>smallcap</t>
        </is>
      </c>
      <c r="H191" s="26" t="n">
        <v>3780.37</v>
      </c>
      <c r="I191" s="26" t="n">
        <v>5384.9</v>
      </c>
      <c r="J191" s="26" t="n">
        <v>2.39</v>
      </c>
      <c r="K191" s="26" t="n">
        <v>78202</v>
      </c>
      <c r="L191" s="26" t="n">
        <v>60.04</v>
      </c>
      <c r="M191" s="26" t="n">
        <v>10.22</v>
      </c>
      <c r="N191" s="26" t="n">
        <v>4111.92</v>
      </c>
      <c r="O191" s="25" t="inlineStr">
        <is>
          <t>Volume Spike &amp; Near 52W High Breakout</t>
        </is>
      </c>
      <c r="P191" s="25" t="inlineStr">
        <is>
          <t>Growing Industry</t>
        </is>
      </c>
      <c r="Q191" s="25">
        <f>IF(P191="Growing Industry",10,IF(P191="Cyclical in an Upturn",5,0))</f>
        <v/>
      </c>
      <c r="R191" s="25" t="inlineStr">
        <is>
          <t>Too Many Players with High ROCE</t>
        </is>
      </c>
      <c r="S191" s="25">
        <f>IF(R191="Monopoly",10,IF(R191="Oligopoly",5,IF(R191="Duopoly that cooperate",10,IF(R191="Duopoly that compete",5,IF(R191="Too many players with High ROCE",5,0)))))</f>
        <v/>
      </c>
      <c r="T191" s="25" t="inlineStr">
        <is>
          <t>No</t>
        </is>
      </c>
      <c r="U191" s="25">
        <f>IF(T191="No",5,0)</f>
        <v/>
      </c>
      <c r="V191" s="25" t="inlineStr">
        <is>
          <t>Tailwind</t>
        </is>
      </c>
      <c r="W191" s="25">
        <f>IF(V191="Tailwind",10,0)</f>
        <v/>
      </c>
      <c r="X191" s="25" t="inlineStr">
        <is>
          <t>Structural (10 Years Consistency)</t>
        </is>
      </c>
      <c r="Y191" s="25">
        <f>IF(X191="Structural (10 Years Consistency)",10,IF(X191="Shallow Cyclical (2 to 3 years growth)",5,0))</f>
        <v/>
      </c>
      <c r="Z191" s="25" t="inlineStr">
        <is>
          <t>No</t>
        </is>
      </c>
      <c r="AA191" s="25">
        <f>IF(Z191="Yes due to Product Mix change or Operating Leverage",10,IF(Z191="Yes, these are peak margins",-5,IF(Z191="No",5,0)))</f>
        <v/>
      </c>
      <c r="AB191" s="25" t="inlineStr">
        <is>
          <t>Stable</t>
        </is>
      </c>
      <c r="AC191" s="25">
        <f>IF(AB191="Stable",10,0)</f>
        <v/>
      </c>
      <c r="AD191" s="25" t="inlineStr">
        <is>
          <t>Yes</t>
        </is>
      </c>
      <c r="AE191" s="25">
        <f>IF(AD191="Yes",10,0)</f>
        <v/>
      </c>
      <c r="AF191" s="25" t="inlineStr">
        <is>
          <t>B2C</t>
        </is>
      </c>
      <c r="AG191" s="25">
        <f>IF(AF191="B2C",10,IF(AF191="B2B",5,0))</f>
        <v/>
      </c>
      <c r="AH191" s="25" t="inlineStr">
        <is>
          <t>Yes</t>
        </is>
      </c>
      <c r="AI191" s="25">
        <f>IF(AH191="Yes",10,0)</f>
        <v/>
      </c>
      <c r="AJ191" s="25" t="inlineStr">
        <is>
          <t>Higher Annuity, Lower One Time</t>
        </is>
      </c>
      <c r="AK191" s="25">
        <f>IF(AJ191="Fully Annuity",10,IF(AJ191="Higher Annuity, Lower One Time",5,IF(AJ191="Higher One Time, Lower Annuity",3,0)))</f>
        <v/>
      </c>
      <c r="AL191" s="25" t="inlineStr">
        <is>
          <t>Good</t>
        </is>
      </c>
      <c r="AM191" s="25">
        <f>IF(AL191="Good",10,0)</f>
        <v/>
      </c>
      <c r="AN191" s="25" t="inlineStr">
        <is>
          <t>Yes for more than 2 years</t>
        </is>
      </c>
      <c r="AO191" s="25">
        <f>IF(AN191="Yes for more than 2 years",10,IF(AN191="Yes only for next 1 to 2 years",5,0))</f>
        <v/>
      </c>
      <c r="AP191" s="25" t="inlineStr">
        <is>
          <t>0 to 20</t>
        </is>
      </c>
      <c r="AQ191" s="25">
        <f>IF(AP191="Above 40",20,IF(AP191="20 to 40",10,IF(AP191="0 to 20",-5,0)))</f>
        <v/>
      </c>
      <c r="AR191" s="25" t="inlineStr">
        <is>
          <t>Between 50 to 75</t>
        </is>
      </c>
      <c r="AS191" s="25">
        <f>IF(AR191="Between 50 to 75",10,IF(AR191="Above 75",0,0))</f>
        <v/>
      </c>
      <c r="AT191" s="25" t="inlineStr">
        <is>
          <t>Stage 1</t>
        </is>
      </c>
      <c r="AU191" s="25">
        <f>IF(AT191="Stage 2",20,IF(AT191="Stage 1",0,IF(AT191="Stage 3",5,IF(AT191="Stage 4",-5,0))))</f>
        <v/>
      </c>
      <c r="AV191" s="25" t="inlineStr">
        <is>
          <t>Positive Trend</t>
        </is>
      </c>
      <c r="AW191" s="25">
        <f>IF(AV191="Positive Trend",20,IF(AV191="Negative Trend",-10,0))</f>
        <v/>
      </c>
      <c r="AX191" s="25" t="inlineStr">
        <is>
          <t>Uptrend</t>
        </is>
      </c>
      <c r="AY191" s="25">
        <f>IF(AX191="Uptrend",10,IF(AX191="Sideways",5,0))</f>
        <v/>
      </c>
      <c r="AZ191" s="25" t="inlineStr">
        <is>
          <t>Uptrend</t>
        </is>
      </c>
      <c r="BA191" s="25">
        <f>IF(AZ191="Uptrend",10,IF(AZ191="Sideways",5,0))</f>
        <v/>
      </c>
      <c r="BB191" s="25" t="inlineStr">
        <is>
          <t>Close to 52 week high or retracement</t>
        </is>
      </c>
      <c r="BC191" s="25">
        <f>IF(BB191="Overhead supply in last 2 years in last 2 years",-5,IF(BB191="Close to 52 week high or retracement",5,IF(BB191="Blue sky scenario",10,IF(BB191="Long term Downtrend",-10,0))))</f>
        <v/>
      </c>
      <c r="BD191" s="25" t="inlineStr">
        <is>
          <t>Yes</t>
        </is>
      </c>
      <c r="BE191" s="25">
        <f>IF(BD191="Yes",10,0)</f>
        <v/>
      </c>
      <c r="BF191" s="25" t="inlineStr">
        <is>
          <t>More than 20%</t>
        </is>
      </c>
      <c r="BG191" s="25">
        <f>IF(BF191="More than 20%",10,IF(BF191="Between 12 to 20%",5,IF(BF191="Less than 12%",0,0)))</f>
        <v/>
      </c>
      <c r="BH191" s="25" t="inlineStr">
        <is>
          <t>No</t>
        </is>
      </c>
      <c r="BI191" s="25">
        <f>IF(BH191="No",10,0)</f>
        <v/>
      </c>
      <c r="BJ191" s="25" t="inlineStr">
        <is>
          <t>No</t>
        </is>
      </c>
      <c r="BK191" s="25">
        <f>IF(BJ191="NO",5,0)</f>
        <v/>
      </c>
      <c r="BL191" s="25" t="inlineStr">
        <is>
          <t>Less than 1.5</t>
        </is>
      </c>
      <c r="BM191" s="25">
        <f>IF(BL191="Above 2",0,IF(BL191="Between 1.5 to 2",5,IF(BL191="Less than 1.5",10,0)))</f>
        <v/>
      </c>
      <c r="BN191" s="25" t="inlineStr">
        <is>
          <t>Between 50% to 70%</t>
        </is>
      </c>
      <c r="BO191" s="25">
        <f>IF(BN191="Above 70%",10,IF(BN191="Between 50% to 70%",5,IF(BN191="Less than 50%",0,IF(BN191="Negative",-10,IF(BN191="Less than 50% and Borrowings are increasing",-5,0)))))</f>
        <v/>
      </c>
      <c r="BP191" s="25" t="inlineStr">
        <is>
          <t>Less than 0.7</t>
        </is>
      </c>
      <c r="BQ191" s="25">
        <f>IF(BP191="More than 1.2",-10,IF(BP191="Between 0.7 to 1.2",0,IF(BP191="Less than 0.7",10,0)))</f>
        <v/>
      </c>
      <c r="BR191" s="25" t="inlineStr">
        <is>
          <t>No</t>
        </is>
      </c>
      <c r="BS191" s="25">
        <f>IF(BR191="Yes",-10,0)</f>
        <v/>
      </c>
      <c r="BT191" s="25" t="inlineStr">
        <is>
          <t>Less than 15%</t>
        </is>
      </c>
      <c r="BU191" s="25">
        <f>IF(BT191="More than 15%",-10,IF(BT191="Less than 15%",10,0))</f>
        <v/>
      </c>
      <c r="BV191" s="25" t="inlineStr">
        <is>
          <t>No</t>
        </is>
      </c>
      <c r="BW191" s="25">
        <f>IF(BV191="Yes, more than 10%",-10,IF(BV191="No",10,0))</f>
        <v/>
      </c>
    </row>
    <row r="192">
      <c r="A192" s="25">
        <f>IF(B192=0,"",RANK(B192,$B$2:$B$292,0))</f>
        <v/>
      </c>
      <c r="B192" s="26">
        <f>SUM(Q192,S192,U192,W192,Y192,AA192,AC192,AE192,AG192,AI192,AK192,AM192,AO192,AQ192,AS192,AU192,AW192,AY192,BA192,BC192,BE192,BG192,BI192,BK192,BM192,BO192,BQ192,BS192,BU192,BW192)</f>
        <v/>
      </c>
      <c r="C192" s="25" t="inlineStr">
        <is>
          <t>ADFFOODS</t>
        </is>
      </c>
      <c r="D192" s="25" t="inlineStr">
        <is>
          <t>Adf Foods Limited</t>
        </is>
      </c>
      <c r="E192" s="25" t="inlineStr">
        <is>
          <t>fmcg</t>
        </is>
      </c>
      <c r="F192" s="25" t="inlineStr">
        <is>
          <t>food - processing - indian</t>
        </is>
      </c>
      <c r="G192" s="25" t="inlineStr">
        <is>
          <t>smallcap</t>
        </is>
      </c>
      <c r="H192" s="26" t="n">
        <v>2931.16</v>
      </c>
      <c r="I192" s="26" t="n">
        <v>273.15</v>
      </c>
      <c r="J192" s="26" t="n">
        <v>2.38</v>
      </c>
      <c r="K192" s="26" t="n">
        <v>141228</v>
      </c>
      <c r="L192" s="26" t="n">
        <v>62.31</v>
      </c>
      <c r="M192" s="26" t="n">
        <v>26.56</v>
      </c>
      <c r="N192" s="26" t="n">
        <v>205.63</v>
      </c>
      <c r="O192" s="25" t="inlineStr">
        <is>
          <t>Near 52W High Breakout</t>
        </is>
      </c>
      <c r="P192" s="25" t="inlineStr">
        <is>
          <t>Growing Industry</t>
        </is>
      </c>
      <c r="Q192" s="25">
        <f>IF(P192="Growing Industry",10,IF(P192="Cyclical in an Upturn",5,0))</f>
        <v/>
      </c>
      <c r="R192" s="25" t="inlineStr">
        <is>
          <t>Too Many Players with High ROCE</t>
        </is>
      </c>
      <c r="S192" s="25">
        <f>IF(R192="Monopoly",10,IF(R192="Oligopoly",5,IF(R192="Duopoly that cooperate",10,IF(R192="Duopoly that compete",5,IF(R192="Too many players with High ROCE",5,0)))))</f>
        <v/>
      </c>
      <c r="T192" s="25" t="inlineStr">
        <is>
          <t>No</t>
        </is>
      </c>
      <c r="U192" s="25">
        <f>IF(T192="No",5,0)</f>
        <v/>
      </c>
      <c r="V192" s="25" t="inlineStr">
        <is>
          <t>Tailwind</t>
        </is>
      </c>
      <c r="W192" s="25">
        <f>IF(V192="Tailwind",10,0)</f>
        <v/>
      </c>
      <c r="X192" s="25" t="inlineStr">
        <is>
          <t>Structural (10 Years Consistency)</t>
        </is>
      </c>
      <c r="Y192" s="25">
        <f>IF(X192="Structural (10 Years Consistency)",10,IF(X192="Shallow Cyclical (2 to 3 years growth)",5,0))</f>
        <v/>
      </c>
      <c r="Z192" s="25" t="inlineStr">
        <is>
          <t>No</t>
        </is>
      </c>
      <c r="AA192" s="25">
        <f>IF(Z192="Yes due to Product Mix change or Operating Leverage",10,IF(Z192="Yes, these are peak margins",-5,IF(Z192="No",5,0)))</f>
        <v/>
      </c>
      <c r="AB192" s="25" t="inlineStr">
        <is>
          <t>Stable</t>
        </is>
      </c>
      <c r="AC192" s="25">
        <f>IF(AB192="Stable",10,0)</f>
        <v/>
      </c>
      <c r="AD192" s="25" t="inlineStr">
        <is>
          <t>Yes</t>
        </is>
      </c>
      <c r="AE192" s="25">
        <f>IF(AD192="Yes",10,0)</f>
        <v/>
      </c>
      <c r="AF192" s="25" t="inlineStr">
        <is>
          <t>B2C</t>
        </is>
      </c>
      <c r="AG192" s="25">
        <f>IF(AF192="B2C",10,IF(AF192="B2B",5,0))</f>
        <v/>
      </c>
      <c r="AH192" s="25" t="inlineStr">
        <is>
          <t>Yes</t>
        </is>
      </c>
      <c r="AI192" s="25">
        <f>IF(AH192="Yes",10,0)</f>
        <v/>
      </c>
      <c r="AJ192" s="25" t="inlineStr">
        <is>
          <t>Higher Annuity, Lower One Time</t>
        </is>
      </c>
      <c r="AK192" s="25">
        <f>IF(AJ192="Fully Annuity",10,IF(AJ192="Higher Annuity, Lower One Time",5,IF(AJ192="Higher One Time, Lower Annuity",3,0)))</f>
        <v/>
      </c>
      <c r="AL192" s="25" t="inlineStr">
        <is>
          <t>Good</t>
        </is>
      </c>
      <c r="AM192" s="25">
        <f>IF(AL192="Good",10,0)</f>
        <v/>
      </c>
      <c r="AN192" s="25" t="inlineStr">
        <is>
          <t>Yes for more than 2 years</t>
        </is>
      </c>
      <c r="AO192" s="25">
        <f>IF(AN192="Yes for more than 2 years",10,IF(AN192="Yes only for next 1 to 2 years",5,0))</f>
        <v/>
      </c>
      <c r="AP192" s="25" t="inlineStr">
        <is>
          <t>20 to 40</t>
        </is>
      </c>
      <c r="AQ192" s="25">
        <f>IF(AP192="Above 40",20,IF(AP192="20 to 40",10,IF(AP192="0 to 20",-5,0)))</f>
        <v/>
      </c>
      <c r="AR192" s="25" t="inlineStr">
        <is>
          <t>Between 50 to 75</t>
        </is>
      </c>
      <c r="AS192" s="25">
        <f>IF(AR192="Between 50 to 75",10,IF(AR192="Above 75",0,0))</f>
        <v/>
      </c>
      <c r="AT192" s="25" t="inlineStr">
        <is>
          <t>Stage 2</t>
        </is>
      </c>
      <c r="AU192" s="25">
        <f>IF(AT192="Stage 2",20,IF(AT192="Stage 1",0,IF(AT192="Stage 3",5,IF(AT192="Stage 4",-5,0))))</f>
        <v/>
      </c>
      <c r="AV192" s="25" t="inlineStr">
        <is>
          <t>Negative Trend</t>
        </is>
      </c>
      <c r="AW192" s="25">
        <f>IF(AV192="Positive Trend",20,IF(AV192="Negative Trend",-10,0))</f>
        <v/>
      </c>
      <c r="AX192" s="25" t="inlineStr">
        <is>
          <t>Uptrend</t>
        </is>
      </c>
      <c r="AY192" s="25">
        <f>IF(AX192="Uptrend",10,IF(AX192="Sideways",5,0))</f>
        <v/>
      </c>
      <c r="AZ192" s="25" t="inlineStr">
        <is>
          <t>Uptrend</t>
        </is>
      </c>
      <c r="BA192" s="25">
        <f>IF(AZ192="Uptrend",10,IF(AZ192="Sideways",5,0))</f>
        <v/>
      </c>
      <c r="BB192" s="25" t="inlineStr">
        <is>
          <t>Close to 52 week high or retracement</t>
        </is>
      </c>
      <c r="BC192" s="25">
        <f>IF(BB192="Overhead supply in last 2 years in last 2 years",-5,IF(BB192="Close to 52 week high or retracement",5,IF(BB192="Blue sky scenario",10,IF(BB192="Long term Downtrend",-10,0))))</f>
        <v/>
      </c>
      <c r="BD192" s="25" t="inlineStr">
        <is>
          <t>Yes</t>
        </is>
      </c>
      <c r="BE192" s="25">
        <f>IF(BD192="Yes",10,0)</f>
        <v/>
      </c>
      <c r="BF192" s="25" t="inlineStr">
        <is>
          <t>More than 20%</t>
        </is>
      </c>
      <c r="BG192" s="25">
        <f>IF(BF192="More than 20%",10,IF(BF192="Between 12 to 20%",5,IF(BF192="Less than 12%",0,0)))</f>
        <v/>
      </c>
      <c r="BH192" s="25" t="inlineStr">
        <is>
          <t>No</t>
        </is>
      </c>
      <c r="BI192" s="25">
        <f>IF(BH192="No",10,0)</f>
        <v/>
      </c>
      <c r="BJ192" s="25" t="inlineStr">
        <is>
          <t>No</t>
        </is>
      </c>
      <c r="BK192" s="25">
        <f>IF(BJ192="NO",5,0)</f>
        <v/>
      </c>
      <c r="BL192" s="25" t="inlineStr">
        <is>
          <t>Less than 1.5</t>
        </is>
      </c>
      <c r="BM192" s="25">
        <f>IF(BL192="Above 2",0,IF(BL192="Between 1.5 to 2",5,IF(BL192="Less than 1.5",10,0)))</f>
        <v/>
      </c>
      <c r="BN192" s="25" t="inlineStr">
        <is>
          <t>Less than 50%</t>
        </is>
      </c>
      <c r="BO192" s="25">
        <f>IF(BN192="Above 70%",10,IF(BN192="Between 50% to 70%",5,IF(BN192="Less than 50%",0,IF(BN192="Negative",-10,IF(BN192="Less than 50% and Borrowings are increasing",-5,0)))))</f>
        <v/>
      </c>
      <c r="BP192" s="25" t="inlineStr">
        <is>
          <t>Less than 0.7</t>
        </is>
      </c>
      <c r="BQ192" s="25">
        <f>IF(BP192="More than 1.2",-10,IF(BP192="Between 0.7 to 1.2",0,IF(BP192="Less than 0.7",10,0)))</f>
        <v/>
      </c>
      <c r="BR192" s="25" t="inlineStr">
        <is>
          <t>No</t>
        </is>
      </c>
      <c r="BS192" s="25">
        <f>IF(BR192="Yes",-10,0)</f>
        <v/>
      </c>
      <c r="BT192" s="25" t="inlineStr">
        <is>
          <t>Less than 15%</t>
        </is>
      </c>
      <c r="BU192" s="25">
        <f>IF(BT192="More than 15%",-10,IF(BT192="Less than 15%",10,0))</f>
        <v/>
      </c>
      <c r="BV192" s="25" t="inlineStr">
        <is>
          <t>No</t>
        </is>
      </c>
      <c r="BW192" s="25">
        <f>IF(BV192="Yes, more than 10%",-10,IF(BV192="No",10,0))</f>
        <v/>
      </c>
    </row>
    <row r="193">
      <c r="A193" s="25">
        <f>IF(B193=0,"",RANK(B193,$B$2:$B$292,0))</f>
        <v/>
      </c>
      <c r="B193" s="26">
        <f>SUM(Q193,S193,U193,W193,Y193,AA193,AC193,AE193,AG193,AI193,AK193,AM193,AO193,AQ193,AS193,AU193,AW193,AY193,BA193,BC193,BE193,BG193,BI193,BK193,BM193,BO193,BQ193,BS193,BU193,BW193)</f>
        <v/>
      </c>
      <c r="C193" s="25" t="inlineStr">
        <is>
          <t>METROPOLIS</t>
        </is>
      </c>
      <c r="D193" s="25" t="inlineStr">
        <is>
          <t>Metropolis Healthcare Ltd</t>
        </is>
      </c>
      <c r="E193" s="25" t="inlineStr">
        <is>
          <t>healthcare</t>
        </is>
      </c>
      <c r="F193" s="25" t="inlineStr">
        <is>
          <t>healthcare</t>
        </is>
      </c>
      <c r="G193" s="25" t="inlineStr">
        <is>
          <t>midcap</t>
        </is>
      </c>
      <c r="H193" s="26" t="n">
        <v>11213.32</v>
      </c>
      <c r="I193" s="26" t="n">
        <v>541.5</v>
      </c>
      <c r="J193" s="26" t="n">
        <v>0.12</v>
      </c>
      <c r="K193" s="26" t="n">
        <v>189608</v>
      </c>
      <c r="L193" s="26" t="n">
        <v>61.25</v>
      </c>
      <c r="M193" s="26" t="n">
        <v>22.28</v>
      </c>
      <c r="N193" s="26" t="n">
        <v>431.81</v>
      </c>
      <c r="O193" s="25" t="inlineStr">
        <is>
          <t>Near 52W High Breakout</t>
        </is>
      </c>
      <c r="P193" s="25" t="inlineStr">
        <is>
          <t>Growing Industry</t>
        </is>
      </c>
      <c r="Q193" s="25">
        <f>IF(P193="Growing Industry",10,IF(P193="Cyclical in an Upturn",5,0))</f>
        <v/>
      </c>
      <c r="R193" s="25" t="inlineStr">
        <is>
          <t>Too Many Players with High ROCE</t>
        </is>
      </c>
      <c r="S193" s="25">
        <f>IF(R193="Monopoly",10,IF(R193="Oligopoly",5,IF(R193="Duopoly that cooperate",10,IF(R193="Duopoly that compete",5,IF(R193="Too many players with High ROCE",5,0)))))</f>
        <v/>
      </c>
      <c r="T193" s="25" t="inlineStr">
        <is>
          <t>Yes</t>
        </is>
      </c>
      <c r="U193" s="25">
        <f>IF(T193="No",5,0)</f>
        <v/>
      </c>
      <c r="V193" s="25" t="inlineStr">
        <is>
          <t>Tailwind</t>
        </is>
      </c>
      <c r="W193" s="25">
        <f>IF(V193="Tailwind",10,0)</f>
        <v/>
      </c>
      <c r="X193" s="25" t="inlineStr">
        <is>
          <t>Structural (10 Years Consistency)</t>
        </is>
      </c>
      <c r="Y193" s="25">
        <f>IF(X193="Structural (10 Years Consistency)",10,IF(X193="Shallow Cyclical (2 to 3 years growth)",5,0))</f>
        <v/>
      </c>
      <c r="Z193" s="25" t="inlineStr">
        <is>
          <t>No</t>
        </is>
      </c>
      <c r="AA193" s="25">
        <f>IF(Z193="Yes due to Product Mix change or Operating Leverage",10,IF(Z193="Yes, these are peak margins",-5,IF(Z193="No",5,0)))</f>
        <v/>
      </c>
      <c r="AB193" s="25" t="inlineStr">
        <is>
          <t>Stable</t>
        </is>
      </c>
      <c r="AC193" s="25">
        <f>IF(AB193="Stable",10,0)</f>
        <v/>
      </c>
      <c r="AD193" s="25" t="inlineStr">
        <is>
          <t>Yes</t>
        </is>
      </c>
      <c r="AE193" s="25">
        <f>IF(AD193="Yes",10,0)</f>
        <v/>
      </c>
      <c r="AF193" s="25" t="inlineStr">
        <is>
          <t>B2B</t>
        </is>
      </c>
      <c r="AG193" s="25">
        <f>IF(AF193="B2C",10,IF(AF193="B2B",5,0))</f>
        <v/>
      </c>
      <c r="AH193" s="25" t="inlineStr">
        <is>
          <t>Yes</t>
        </is>
      </c>
      <c r="AI193" s="25">
        <f>IF(AH193="Yes",10,0)</f>
        <v/>
      </c>
      <c r="AJ193" s="25" t="inlineStr">
        <is>
          <t>Higher Annuity, Lower One Time</t>
        </is>
      </c>
      <c r="AK193" s="25">
        <f>IF(AJ193="Fully Annuity",10,IF(AJ193="Higher Annuity, Lower One Time",5,IF(AJ193="Higher One Time, Lower Annuity",3,0)))</f>
        <v/>
      </c>
      <c r="AL193" s="25" t="inlineStr">
        <is>
          <t>Good</t>
        </is>
      </c>
      <c r="AM193" s="25">
        <f>IF(AL193="Good",10,0)</f>
        <v/>
      </c>
      <c r="AN193" s="25" t="inlineStr">
        <is>
          <t>Yes for more than 2 years</t>
        </is>
      </c>
      <c r="AO193" s="25">
        <f>IF(AN193="Yes for more than 2 years",10,IF(AN193="Yes only for next 1 to 2 years",5,0))</f>
        <v/>
      </c>
      <c r="AP193" s="25" t="inlineStr">
        <is>
          <t>20 to 40</t>
        </is>
      </c>
      <c r="AQ193" s="25">
        <f>IF(AP193="Above 40",20,IF(AP193="20 to 40",10,IF(AP193="0 to 20",-5,0)))</f>
        <v/>
      </c>
      <c r="AR193" s="25" t="inlineStr">
        <is>
          <t>Between 50 to 75</t>
        </is>
      </c>
      <c r="AS193" s="25">
        <f>IF(AR193="Between 50 to 75",10,IF(AR193="Above 75",0,0))</f>
        <v/>
      </c>
      <c r="AT193" s="25" t="inlineStr">
        <is>
          <t>Stage 2</t>
        </is>
      </c>
      <c r="AU193" s="25">
        <f>IF(AT193="Stage 2",20,IF(AT193="Stage 1",0,IF(AT193="Stage 3",5,IF(AT193="Stage 4",-5,0))))</f>
        <v/>
      </c>
      <c r="AV193" s="25" t="inlineStr">
        <is>
          <t>Negative Trend</t>
        </is>
      </c>
      <c r="AW193" s="25">
        <f>IF(AV193="Positive Trend",20,IF(AV193="Negative Trend",-10,0))</f>
        <v/>
      </c>
      <c r="AX193" s="25" t="inlineStr">
        <is>
          <t>Uptrend</t>
        </is>
      </c>
      <c r="AY193" s="25">
        <f>IF(AX193="Uptrend",10,IF(AX193="Sideways",5,0))</f>
        <v/>
      </c>
      <c r="AZ193" s="25" t="inlineStr">
        <is>
          <t>Uptrend</t>
        </is>
      </c>
      <c r="BA193" s="25">
        <f>IF(AZ193="Uptrend",10,IF(AZ193="Sideways",5,0))</f>
        <v/>
      </c>
      <c r="BB193" s="25" t="inlineStr">
        <is>
          <t>Blue sky scenario</t>
        </is>
      </c>
      <c r="BC193" s="25">
        <f>IF(BB193="Overhead supply in last 2 years in last 2 years",-5,IF(BB193="Close to 52 week high or retracement",5,IF(BB193="Blue sky scenario",10,IF(BB193="Long term Downtrend",-10,0))))</f>
        <v/>
      </c>
      <c r="BD193" s="25" t="inlineStr">
        <is>
          <t>Yes</t>
        </is>
      </c>
      <c r="BE193" s="25">
        <f>IF(BD193="Yes",10,0)</f>
        <v/>
      </c>
      <c r="BF193" s="25" t="inlineStr">
        <is>
          <t>More than 20%</t>
        </is>
      </c>
      <c r="BG193" s="25">
        <f>IF(BF193="More than 20%",10,IF(BF193="Between 12 to 20%",5,IF(BF193="Less than 12%",0,0)))</f>
        <v/>
      </c>
      <c r="BH193" s="25" t="inlineStr">
        <is>
          <t>No</t>
        </is>
      </c>
      <c r="BI193" s="25">
        <f>IF(BH193="No",10,0)</f>
        <v/>
      </c>
      <c r="BJ193" s="25" t="inlineStr">
        <is>
          <t>Yes</t>
        </is>
      </c>
      <c r="BK193" s="25">
        <f>IF(BJ193="NO",5,0)</f>
        <v/>
      </c>
      <c r="BL193" s="25" t="inlineStr">
        <is>
          <t>Less than 1.5</t>
        </is>
      </c>
      <c r="BM193" s="25">
        <f>IF(BL193="Above 2",0,IF(BL193="Between 1.5 to 2",5,IF(BL193="Less than 1.5",10,0)))</f>
        <v/>
      </c>
      <c r="BN193" s="25" t="inlineStr">
        <is>
          <t>Above 70%</t>
        </is>
      </c>
      <c r="BO193" s="25">
        <f>IF(BN193="Above 70%",10,IF(BN193="Between 50% to 70%",5,IF(BN193="Less than 50%",0,IF(BN193="Negative",-10,IF(BN193="Less than 50% and Borrowings are increasing",-5,0)))))</f>
        <v/>
      </c>
      <c r="BP193" s="25" t="inlineStr">
        <is>
          <t>Less than 0.7</t>
        </is>
      </c>
      <c r="BQ193" s="25">
        <f>IF(BP193="More than 1.2",-10,IF(BP193="Between 0.7 to 1.2",0,IF(BP193="Less than 0.7",10,0)))</f>
        <v/>
      </c>
      <c r="BR193" s="25" t="inlineStr">
        <is>
          <t>No</t>
        </is>
      </c>
      <c r="BS193" s="25">
        <f>IF(BR193="Yes",-10,0)</f>
        <v/>
      </c>
      <c r="BT193" s="25" t="inlineStr">
        <is>
          <t>Less than 15%</t>
        </is>
      </c>
      <c r="BU193" s="25">
        <f>IF(BT193="More than 15%",-10,IF(BT193="Less than 15%",10,0))</f>
        <v/>
      </c>
      <c r="BV193" s="25" t="inlineStr">
        <is>
          <t>No</t>
        </is>
      </c>
      <c r="BW193" s="25">
        <f>IF(BV193="Yes, more than 10%",-10,IF(BV193="No",10,0))</f>
        <v/>
      </c>
    </row>
    <row r="194">
      <c r="A194" s="25">
        <f>IF(B194=0,"",RANK(B194,$B$2:$B$292,0))</f>
        <v/>
      </c>
      <c r="B194" s="26">
        <f>SUM(Q194,S194,U194,W194,Y194,AA194,AC194,AE194,AG194,AI194,AK194,AM194,AO194,AQ194,AS194,AU194,AW194,AY194,BA194,BC194,BE194,BG194,BI194,BK194,BM194,BO194,BQ194,BS194,BU194,BW194)</f>
        <v/>
      </c>
      <c r="C194" s="25" t="inlineStr">
        <is>
          <t>INDSWFTLAB</t>
        </is>
      </c>
      <c r="D194" s="25" t="inlineStr">
        <is>
          <t>Ind-swift Laboratories Limited</t>
        </is>
      </c>
      <c r="E194" s="25" t="inlineStr">
        <is>
          <t>healthcare</t>
        </is>
      </c>
      <c r="F194" s="25" t="inlineStr">
        <is>
          <t>pharmaceuticals - indian - bulk drugs &amp; formln</t>
        </is>
      </c>
      <c r="G194" s="25" t="inlineStr">
        <is>
          <t>smallcap</t>
        </is>
      </c>
      <c r="H194" s="26" t="n">
        <v>1425.77</v>
      </c>
      <c r="I194" s="26" t="n">
        <v>162.1</v>
      </c>
      <c r="J194" s="26" t="n">
        <v>-1.27</v>
      </c>
      <c r="K194" s="26" t="n">
        <v>1573479</v>
      </c>
      <c r="L194" s="26" t="n">
        <v>72.53</v>
      </c>
      <c r="M194" s="26" t="n">
        <v>32.77</v>
      </c>
      <c r="N194" s="26" t="n">
        <v>116.24</v>
      </c>
      <c r="O194" s="25" t="inlineStr">
        <is>
          <t>Near 52W High Breakout</t>
        </is>
      </c>
      <c r="P194" s="25" t="inlineStr">
        <is>
          <t>Growing Industry</t>
        </is>
      </c>
      <c r="Q194" s="25">
        <f>IF(P194="Growing Industry",10,IF(P194="Cyclical in an Upturn",5,0))</f>
        <v/>
      </c>
      <c r="R194" s="25" t="inlineStr">
        <is>
          <t>Too Many Players with High ROCE</t>
        </is>
      </c>
      <c r="S194" s="25">
        <f>IF(R194="Monopoly",10,IF(R194="Oligopoly",5,IF(R194="Duopoly that cooperate",10,IF(R194="Duopoly that compete",5,IF(R194="Too many players with High ROCE",5,0)))))</f>
        <v/>
      </c>
      <c r="T194" s="25" t="inlineStr">
        <is>
          <t>Yes</t>
        </is>
      </c>
      <c r="U194" s="25">
        <f>IF(T194="No",5,0)</f>
        <v/>
      </c>
      <c r="V194" s="25" t="inlineStr">
        <is>
          <t>Tailwind</t>
        </is>
      </c>
      <c r="W194" s="25">
        <f>IF(V194="Tailwind",10,0)</f>
        <v/>
      </c>
      <c r="X194" s="25" t="inlineStr">
        <is>
          <t>Structural (10 Years Consistency)</t>
        </is>
      </c>
      <c r="Y194" s="25">
        <f>IF(X194="Structural (10 Years Consistency)",10,IF(X194="Shallow Cyclical (2 to 3 years growth)",5,0))</f>
        <v/>
      </c>
      <c r="Z194" s="25" t="inlineStr">
        <is>
          <t>No</t>
        </is>
      </c>
      <c r="AA194" s="25">
        <f>IF(Z194="Yes due to Product Mix change or Operating Leverage",10,IF(Z194="Yes, these are peak margins",-5,IF(Z194="No",5,0)))</f>
        <v/>
      </c>
      <c r="AB194" s="25" t="inlineStr">
        <is>
          <t>Stable</t>
        </is>
      </c>
      <c r="AC194" s="25">
        <f>IF(AB194="Stable",10,0)</f>
        <v/>
      </c>
      <c r="AD194" s="25" t="inlineStr">
        <is>
          <t>Yes</t>
        </is>
      </c>
      <c r="AE194" s="25">
        <f>IF(AD194="Yes",10,0)</f>
        <v/>
      </c>
      <c r="AF194" s="25" t="inlineStr">
        <is>
          <t>B2B</t>
        </is>
      </c>
      <c r="AG194" s="25">
        <f>IF(AF194="B2C",10,IF(AF194="B2B",5,0))</f>
        <v/>
      </c>
      <c r="AH194" s="25" t="inlineStr">
        <is>
          <t>Yes</t>
        </is>
      </c>
      <c r="AI194" s="25">
        <f>IF(AH194="Yes",10,0)</f>
        <v/>
      </c>
      <c r="AJ194" s="25" t="inlineStr">
        <is>
          <t>Higher Annuity, Lower One Time</t>
        </is>
      </c>
      <c r="AK194" s="25">
        <f>IF(AJ194="Fully Annuity",10,IF(AJ194="Higher Annuity, Lower One Time",5,IF(AJ194="Higher One Time, Lower Annuity",3,0)))</f>
        <v/>
      </c>
      <c r="AL194" s="25" t="inlineStr">
        <is>
          <t>Good</t>
        </is>
      </c>
      <c r="AM194" s="25">
        <f>IF(AL194="Good",10,0)</f>
        <v/>
      </c>
      <c r="AN194" s="25" t="inlineStr">
        <is>
          <t>Yes for more than 2 years</t>
        </is>
      </c>
      <c r="AO194" s="25">
        <f>IF(AN194="Yes for more than 2 years",10,IF(AN194="Yes only for next 1 to 2 years",5,0))</f>
        <v/>
      </c>
      <c r="AP194" s="25" t="inlineStr">
        <is>
          <t>20 to 40</t>
        </is>
      </c>
      <c r="AQ194" s="25">
        <f>IF(AP194="Above 40",20,IF(AP194="20 to 40",10,IF(AP194="0 to 20",-5,0)))</f>
        <v/>
      </c>
      <c r="AR194" s="25" t="inlineStr">
        <is>
          <t>Between 50 to 75</t>
        </is>
      </c>
      <c r="AS194" s="25">
        <f>IF(AR194="Between 50 to 75",10,IF(AR194="Above 75",0,0))</f>
        <v/>
      </c>
      <c r="AT194" s="25" t="inlineStr">
        <is>
          <t>Stage 2</t>
        </is>
      </c>
      <c r="AU194" s="25">
        <f>IF(AT194="Stage 2",20,IF(AT194="Stage 1",0,IF(AT194="Stage 3",5,IF(AT194="Stage 4",-5,0))))</f>
        <v/>
      </c>
      <c r="AV194" s="25" t="inlineStr">
        <is>
          <t>Positive Trend</t>
        </is>
      </c>
      <c r="AW194" s="25">
        <f>IF(AV194="Positive Trend",20,IF(AV194="Negative Trend",-10,0))</f>
        <v/>
      </c>
      <c r="AX194" s="25" t="inlineStr">
        <is>
          <t>Uptrend</t>
        </is>
      </c>
      <c r="AY194" s="25">
        <f>IF(AX194="Uptrend",10,IF(AX194="Sideways",5,0))</f>
        <v/>
      </c>
      <c r="AZ194" s="25" t="inlineStr">
        <is>
          <t>Uptrend</t>
        </is>
      </c>
      <c r="BA194" s="25">
        <f>IF(AZ194="Uptrend",10,IF(AZ194="Sideways",5,0))</f>
        <v/>
      </c>
      <c r="BB194" s="25" t="inlineStr">
        <is>
          <t>Close to 52 week high or retracement</t>
        </is>
      </c>
      <c r="BC194" s="25">
        <f>IF(BB194="Overhead supply in last 2 years in last 2 years",-5,IF(BB194="Close to 52 week high or retracement",5,IF(BB194="Blue sky scenario",10,IF(BB194="Long term Downtrend",-10,0))))</f>
        <v/>
      </c>
      <c r="BD194" s="25" t="inlineStr">
        <is>
          <t>Yes</t>
        </is>
      </c>
      <c r="BE194" s="25">
        <f>IF(BD194="Yes",10,0)</f>
        <v/>
      </c>
      <c r="BF194" s="25" t="inlineStr">
        <is>
          <t>Less than 12%</t>
        </is>
      </c>
      <c r="BG194" s="25">
        <f>IF(BF194="More than 20%",10,IF(BF194="Between 12 to 20%",5,IF(BF194="Less than 12%",0,0)))</f>
        <v/>
      </c>
      <c r="BH194" s="25" t="inlineStr">
        <is>
          <t>No</t>
        </is>
      </c>
      <c r="BI194" s="25">
        <f>IF(BH194="No",10,0)</f>
        <v/>
      </c>
      <c r="BJ194" s="25" t="inlineStr">
        <is>
          <t>No</t>
        </is>
      </c>
      <c r="BK194" s="25">
        <f>IF(BJ194="NO",5,0)</f>
        <v/>
      </c>
      <c r="BL194" s="25" t="inlineStr">
        <is>
          <t>Less than 1.5</t>
        </is>
      </c>
      <c r="BM194" s="25">
        <f>IF(BL194="Above 2",0,IF(BL194="Between 1.5 to 2",5,IF(BL194="Less than 1.5",10,0)))</f>
        <v/>
      </c>
      <c r="BN194" s="25" t="inlineStr">
        <is>
          <t>Negative</t>
        </is>
      </c>
      <c r="BO194" s="25">
        <f>IF(BN194="Above 70%",10,IF(BN194="Between 50% to 70%",5,IF(BN194="Less than 50%",0,IF(BN194="Negative",-10,IF(BN194="Less than 50% and Borrowings are increasing",-5,0)))))</f>
        <v/>
      </c>
      <c r="BP194" s="25" t="inlineStr">
        <is>
          <t>Less than 0.7</t>
        </is>
      </c>
      <c r="BQ194" s="25">
        <f>IF(BP194="More than 1.2",-10,IF(BP194="Between 0.7 to 1.2",0,IF(BP194="Less than 0.7",10,0)))</f>
        <v/>
      </c>
      <c r="BR194" s="25" t="inlineStr">
        <is>
          <t>No</t>
        </is>
      </c>
      <c r="BS194" s="25">
        <f>IF(BR194="Yes",-10,0)</f>
        <v/>
      </c>
      <c r="BT194" s="25" t="inlineStr">
        <is>
          <t>Less than 15%</t>
        </is>
      </c>
      <c r="BU194" s="25">
        <f>IF(BT194="More than 15%",-10,IF(BT194="Less than 15%",10,0))</f>
        <v/>
      </c>
      <c r="BV194" s="25" t="inlineStr">
        <is>
          <t>No</t>
        </is>
      </c>
      <c r="BW194" s="25">
        <f>IF(BV194="Yes, more than 10%",-10,IF(BV194="No",10,0))</f>
        <v/>
      </c>
    </row>
    <row r="195">
      <c r="A195" s="25">
        <f>IF(B195=0,"",RANK(B195,$B$2:$B$292,0))</f>
        <v/>
      </c>
      <c r="B195" s="26">
        <f>SUM(Q195,S195,U195,W195,Y195,AA195,AC195,AE195,AG195,AI195,AK195,AM195,AO195,AQ195,AS195,AU195,AW195,AY195,BA195,BC195,BE195,BG195,BI195,BK195,BM195,BO195,BQ195,BS195,BU195,BW195)</f>
        <v/>
      </c>
      <c r="C195" s="25" t="inlineStr">
        <is>
          <t>BIOCON</t>
        </is>
      </c>
      <c r="D195" s="25" t="inlineStr">
        <is>
          <t>Biocon Limited</t>
        </is>
      </c>
      <c r="E195" s="25" t="inlineStr">
        <is>
          <t>healthcare</t>
        </is>
      </c>
      <c r="F195" s="25" t="inlineStr">
        <is>
          <t>pharmaceuticals - indian - bulk drugs &amp; formln</t>
        </is>
      </c>
      <c r="G195" s="25" t="inlineStr">
        <is>
          <t>largecap</t>
        </is>
      </c>
      <c r="H195" s="26" t="n">
        <v>68993.94</v>
      </c>
      <c r="I195" s="26" t="n">
        <v>416.8</v>
      </c>
      <c r="J195" s="26" t="n">
        <v>-2.08</v>
      </c>
      <c r="K195" s="26" t="n">
        <v>3030795</v>
      </c>
      <c r="L195" s="26" t="n">
        <v>61.46</v>
      </c>
      <c r="M195" s="26" t="n">
        <v>19.3</v>
      </c>
      <c r="N195" s="26" t="n">
        <v>359.17</v>
      </c>
      <c r="O195" s="25" t="inlineStr">
        <is>
          <t>Near 52W High Breakout</t>
        </is>
      </c>
      <c r="P195" s="25" t="inlineStr">
        <is>
          <t>Growing Industry</t>
        </is>
      </c>
      <c r="Q195" s="25">
        <f>IF(P195="Growing Industry",10,IF(P195="Cyclical in an Upturn",5,0))</f>
        <v/>
      </c>
      <c r="R195" s="25" t="inlineStr">
        <is>
          <t>Too Many Players with High ROCE</t>
        </is>
      </c>
      <c r="S195" s="25">
        <f>IF(R195="Monopoly",10,IF(R195="Oligopoly",5,IF(R195="Duopoly that cooperate",10,IF(R195="Duopoly that compete",5,IF(R195="Too many players with High ROCE",5,0)))))</f>
        <v/>
      </c>
      <c r="T195" s="25" t="inlineStr">
        <is>
          <t>Yes</t>
        </is>
      </c>
      <c r="U195" s="25">
        <f>IF(T195="No",5,0)</f>
        <v/>
      </c>
      <c r="V195" s="25" t="inlineStr">
        <is>
          <t>Tailwind</t>
        </is>
      </c>
      <c r="W195" s="25">
        <f>IF(V195="Tailwind",10,0)</f>
        <v/>
      </c>
      <c r="X195" s="25" t="inlineStr">
        <is>
          <t>Structural (10 Years Consistency)</t>
        </is>
      </c>
      <c r="Y195" s="25">
        <f>IF(X195="Structural (10 Years Consistency)",10,IF(X195="Shallow Cyclical (2 to 3 years growth)",5,0))</f>
        <v/>
      </c>
      <c r="Z195" s="25" t="inlineStr">
        <is>
          <t>No</t>
        </is>
      </c>
      <c r="AA195" s="25">
        <f>IF(Z195="Yes due to Product Mix change or Operating Leverage",10,IF(Z195="Yes, these are peak margins",-5,IF(Z195="No",5,0)))</f>
        <v/>
      </c>
      <c r="AB195" s="25" t="inlineStr">
        <is>
          <t>Stable</t>
        </is>
      </c>
      <c r="AC195" s="25">
        <f>IF(AB195="Stable",10,0)</f>
        <v/>
      </c>
      <c r="AD195" s="25" t="inlineStr">
        <is>
          <t>Yes</t>
        </is>
      </c>
      <c r="AE195" s="25">
        <f>IF(AD195="Yes",10,0)</f>
        <v/>
      </c>
      <c r="AF195" s="25" t="inlineStr">
        <is>
          <t>B2B</t>
        </is>
      </c>
      <c r="AG195" s="25">
        <f>IF(AF195="B2C",10,IF(AF195="B2B",5,0))</f>
        <v/>
      </c>
      <c r="AH195" s="25" t="inlineStr">
        <is>
          <t>Yes</t>
        </is>
      </c>
      <c r="AI195" s="25">
        <f>IF(AH195="Yes",10,0)</f>
        <v/>
      </c>
      <c r="AJ195" s="25" t="inlineStr">
        <is>
          <t>Higher Annuity, Lower One Time</t>
        </is>
      </c>
      <c r="AK195" s="25">
        <f>IF(AJ195="Fully Annuity",10,IF(AJ195="Higher Annuity, Lower One Time",5,IF(AJ195="Higher One Time, Lower Annuity",3,0)))</f>
        <v/>
      </c>
      <c r="AL195" s="25" t="inlineStr">
        <is>
          <t>Good</t>
        </is>
      </c>
      <c r="AM195" s="25">
        <f>IF(AL195="Good",10,0)</f>
        <v/>
      </c>
      <c r="AN195" s="25" t="inlineStr">
        <is>
          <t>Yes for more than 2 years</t>
        </is>
      </c>
      <c r="AO195" s="25">
        <f>IF(AN195="Yes for more than 2 years",10,IF(AN195="Yes only for next 1 to 2 years",5,0))</f>
        <v/>
      </c>
      <c r="AP195" s="25" t="inlineStr">
        <is>
          <t>0 to 20</t>
        </is>
      </c>
      <c r="AQ195" s="25">
        <f>IF(AP195="Above 40",20,IF(AP195="20 to 40",10,IF(AP195="0 to 20",-5,0)))</f>
        <v/>
      </c>
      <c r="AR195" s="25" t="inlineStr">
        <is>
          <t>Between 50 to 75</t>
        </is>
      </c>
      <c r="AS195" s="25">
        <f>IF(AR195="Between 50 to 75",10,IF(AR195="Above 75",0,0))</f>
        <v/>
      </c>
      <c r="AT195" s="25" t="inlineStr">
        <is>
          <t>Stage 2</t>
        </is>
      </c>
      <c r="AU195" s="25">
        <f>IF(AT195="Stage 2",20,IF(AT195="Stage 1",0,IF(AT195="Stage 3",5,IF(AT195="Stage 4",-5,0))))</f>
        <v/>
      </c>
      <c r="AV195" s="25" t="inlineStr">
        <is>
          <t>Positive Trend</t>
        </is>
      </c>
      <c r="AW195" s="25">
        <f>IF(AV195="Positive Trend",20,IF(AV195="Negative Trend",-10,0))</f>
        <v/>
      </c>
      <c r="AX195" s="25" t="inlineStr">
        <is>
          <t>Uptrend</t>
        </is>
      </c>
      <c r="AY195" s="25">
        <f>IF(AX195="Uptrend",10,IF(AX195="Sideways",5,0))</f>
        <v/>
      </c>
      <c r="AZ195" s="25" t="inlineStr">
        <is>
          <t>Uptrend</t>
        </is>
      </c>
      <c r="BA195" s="25">
        <f>IF(AZ195="Uptrend",10,IF(AZ195="Sideways",5,0))</f>
        <v/>
      </c>
      <c r="BB195" s="25" t="inlineStr">
        <is>
          <t>Blue sky scenario</t>
        </is>
      </c>
      <c r="BC195" s="25">
        <f>IF(BB195="Overhead supply in last 2 years in last 2 years",-5,IF(BB195="Close to 52 week high or retracement",5,IF(BB195="Blue sky scenario",10,IF(BB195="Long term Downtrend",-10,0))))</f>
        <v/>
      </c>
      <c r="BD195" s="25" t="inlineStr">
        <is>
          <t>Yes</t>
        </is>
      </c>
      <c r="BE195" s="25">
        <f>IF(BD195="Yes",10,0)</f>
        <v/>
      </c>
      <c r="BF195" s="25" t="inlineStr">
        <is>
          <t>Less than 12%</t>
        </is>
      </c>
      <c r="BG195" s="25">
        <f>IF(BF195="More than 20%",10,IF(BF195="Between 12 to 20%",5,IF(BF195="Less than 12%",0,0)))</f>
        <v/>
      </c>
      <c r="BH195" s="25" t="inlineStr">
        <is>
          <t>No</t>
        </is>
      </c>
      <c r="BI195" s="25">
        <f>IF(BH195="No",10,0)</f>
        <v/>
      </c>
      <c r="BJ195" s="25" t="inlineStr">
        <is>
          <t>Yes</t>
        </is>
      </c>
      <c r="BK195" s="25">
        <f>IF(BJ195="NO",5,0)</f>
        <v/>
      </c>
      <c r="BL195" s="25" t="inlineStr">
        <is>
          <t>Less than 1.5</t>
        </is>
      </c>
      <c r="BM195" s="25">
        <f>IF(BL195="Above 2",0,IF(BL195="Between 1.5 to 2",5,IF(BL195="Less than 1.5",10,0)))</f>
        <v/>
      </c>
      <c r="BN195" s="25" t="inlineStr">
        <is>
          <t>Between 50% to 70%</t>
        </is>
      </c>
      <c r="BO195" s="25">
        <f>IF(BN195="Above 70%",10,IF(BN195="Between 50% to 70%",5,IF(BN195="Less than 50%",0,IF(BN195="Negative",-10,IF(BN195="Less than 50% and Borrowings are increasing",-5,0)))))</f>
        <v/>
      </c>
      <c r="BP195" s="25" t="inlineStr">
        <is>
          <t>Less than 0.7</t>
        </is>
      </c>
      <c r="BQ195" s="25">
        <f>IF(BP195="More than 1.2",-10,IF(BP195="Between 0.7 to 1.2",0,IF(BP195="Less than 0.7",10,0)))</f>
        <v/>
      </c>
      <c r="BR195" s="25" t="inlineStr">
        <is>
          <t>No</t>
        </is>
      </c>
      <c r="BS195" s="25">
        <f>IF(BR195="Yes",-10,0)</f>
        <v/>
      </c>
      <c r="BT195" s="25" t="inlineStr">
        <is>
          <t>Less than 15%</t>
        </is>
      </c>
      <c r="BU195" s="25">
        <f>IF(BT195="More than 15%",-10,IF(BT195="Less than 15%",10,0))</f>
        <v/>
      </c>
      <c r="BV195" s="25" t="inlineStr">
        <is>
          <t>No</t>
        </is>
      </c>
      <c r="BW195" s="25">
        <f>IF(BV195="Yes, more than 10%",-10,IF(BV195="No",10,0))</f>
        <v/>
      </c>
    </row>
    <row r="196">
      <c r="A196" s="25">
        <f>IF(B196=0,"",RANK(B196,$B$2:$B$292,0))</f>
        <v/>
      </c>
      <c r="B196" s="26">
        <f>SUM(Q196,S196,U196,W196,Y196,AA196,AC196,AE196,AG196,AI196,AK196,AM196,AO196,AQ196,AS196,AU196,AW196,AY196,BA196,BC196,BE196,BG196,BI196,BK196,BM196,BO196,BQ196,BS196,BU196,BW196)</f>
        <v/>
      </c>
      <c r="C196" s="25" t="inlineStr">
        <is>
          <t>NOVARTIND</t>
        </is>
      </c>
      <c r="D196" s="25" t="inlineStr">
        <is>
          <t>Novartis India Ltd</t>
        </is>
      </c>
      <c r="E196" s="25" t="inlineStr">
        <is>
          <t>healthcare</t>
        </is>
      </c>
      <c r="F196" s="25" t="inlineStr">
        <is>
          <t>pharmaceuticals - multinational</t>
        </is>
      </c>
      <c r="G196" s="25" t="inlineStr">
        <is>
          <t>smallcap</t>
        </is>
      </c>
      <c r="H196" s="26" t="n">
        <v>3726.09</v>
      </c>
      <c r="I196" s="26" t="n">
        <v>1465.5</v>
      </c>
      <c r="J196" s="26" t="n">
        <v>-2.89</v>
      </c>
      <c r="K196" s="26" t="n">
        <v>14088</v>
      </c>
      <c r="L196" s="26" t="n">
        <v>75.3</v>
      </c>
      <c r="M196" s="26" t="n">
        <v>61.87</v>
      </c>
      <c r="N196" s="26" t="n">
        <v>1245.07</v>
      </c>
      <c r="O196" s="25" t="inlineStr">
        <is>
          <t>Earnings / Momentum Support</t>
        </is>
      </c>
      <c r="P196" s="25" t="inlineStr">
        <is>
          <t>Growing Industry</t>
        </is>
      </c>
      <c r="Q196" s="25">
        <f>IF(P196="Growing Industry",10,IF(P196="Cyclical in an Upturn",5,0))</f>
        <v/>
      </c>
      <c r="R196" s="25" t="inlineStr">
        <is>
          <t>Too Many Players with High ROCE</t>
        </is>
      </c>
      <c r="S196" s="25">
        <f>IF(R196="Monopoly",10,IF(R196="Oligopoly",5,IF(R196="Duopoly that cooperate",10,IF(R196="Duopoly that compete",5,IF(R196="Too many players with High ROCE",5,0)))))</f>
        <v/>
      </c>
      <c r="T196" s="25" t="inlineStr">
        <is>
          <t>Yes</t>
        </is>
      </c>
      <c r="U196" s="25">
        <f>IF(T196="No",5,0)</f>
        <v/>
      </c>
      <c r="V196" s="25" t="inlineStr">
        <is>
          <t>Tailwind</t>
        </is>
      </c>
      <c r="W196" s="25">
        <f>IF(V196="Tailwind",10,0)</f>
        <v/>
      </c>
      <c r="X196" s="25" t="inlineStr">
        <is>
          <t>Structural (10 Years Consistency)</t>
        </is>
      </c>
      <c r="Y196" s="25">
        <f>IF(X196="Structural (10 Years Consistency)",10,IF(X196="Shallow Cyclical (2 to 3 years growth)",5,0))</f>
        <v/>
      </c>
      <c r="Z196" s="25" t="inlineStr">
        <is>
          <t>No</t>
        </is>
      </c>
      <c r="AA196" s="25">
        <f>IF(Z196="Yes due to Product Mix change or Operating Leverage",10,IF(Z196="Yes, these are peak margins",-5,IF(Z196="No",5,0)))</f>
        <v/>
      </c>
      <c r="AB196" s="25" t="inlineStr">
        <is>
          <t>Stable</t>
        </is>
      </c>
      <c r="AC196" s="25">
        <f>IF(AB196="Stable",10,0)</f>
        <v/>
      </c>
      <c r="AD196" s="25" t="inlineStr">
        <is>
          <t>Yes</t>
        </is>
      </c>
      <c r="AE196" s="25">
        <f>IF(AD196="Yes",10,0)</f>
        <v/>
      </c>
      <c r="AF196" s="25" t="inlineStr">
        <is>
          <t>B2B</t>
        </is>
      </c>
      <c r="AG196" s="25">
        <f>IF(AF196="B2C",10,IF(AF196="B2B",5,0))</f>
        <v/>
      </c>
      <c r="AH196" s="25" t="inlineStr">
        <is>
          <t>No</t>
        </is>
      </c>
      <c r="AI196" s="25">
        <f>IF(AH196="Yes",10,0)</f>
        <v/>
      </c>
      <c r="AJ196" s="25" t="inlineStr">
        <is>
          <t>Higher Annuity, Lower One Time</t>
        </is>
      </c>
      <c r="AK196" s="25">
        <f>IF(AJ196="Fully Annuity",10,IF(AJ196="Higher Annuity, Lower One Time",5,IF(AJ196="Higher One Time, Lower Annuity",3,0)))</f>
        <v/>
      </c>
      <c r="AL196" s="25" t="inlineStr">
        <is>
          <t>Good</t>
        </is>
      </c>
      <c r="AM196" s="25">
        <f>IF(AL196="Good",10,0)</f>
        <v/>
      </c>
      <c r="AN196" s="25" t="inlineStr">
        <is>
          <t>Yes for more than 2 years</t>
        </is>
      </c>
      <c r="AO196" s="25">
        <f>IF(AN196="Yes for more than 2 years",10,IF(AN196="Yes only for next 1 to 2 years",5,0))</f>
        <v/>
      </c>
      <c r="AP196" s="25" t="inlineStr">
        <is>
          <t>Above 40</t>
        </is>
      </c>
      <c r="AQ196" s="25">
        <f>IF(AP196="Above 40",20,IF(AP196="20 to 40",10,IF(AP196="0 to 20",-5,0)))</f>
        <v/>
      </c>
      <c r="AR196" s="25" t="inlineStr">
        <is>
          <t>Above 75</t>
        </is>
      </c>
      <c r="AS196" s="25">
        <f>IF(AR196="Between 50 to 75",10,IF(AR196="Above 75",0,0))</f>
        <v/>
      </c>
      <c r="AT196" s="25" t="inlineStr">
        <is>
          <t>Stage 2</t>
        </is>
      </c>
      <c r="AU196" s="25">
        <f>IF(AT196="Stage 2",20,IF(AT196="Stage 1",0,IF(AT196="Stage 3",5,IF(AT196="Stage 4",-5,0))))</f>
        <v/>
      </c>
      <c r="AV196" s="25" t="inlineStr">
        <is>
          <t>Positive Trend</t>
        </is>
      </c>
      <c r="AW196" s="25">
        <f>IF(AV196="Positive Trend",20,IF(AV196="Negative Trend",-10,0))</f>
        <v/>
      </c>
      <c r="AX196" s="25" t="inlineStr">
        <is>
          <t>Uptrend</t>
        </is>
      </c>
      <c r="AY196" s="25">
        <f>IF(AX196="Uptrend",10,IF(AX196="Sideways",5,0))</f>
        <v/>
      </c>
      <c r="AZ196" s="25" t="inlineStr">
        <is>
          <t>Uptrend</t>
        </is>
      </c>
      <c r="BA196" s="25">
        <f>IF(AZ196="Uptrend",10,IF(AZ196="Sideways",5,0))</f>
        <v/>
      </c>
      <c r="BB196" s="25" t="inlineStr">
        <is>
          <t>Close to 52 week high or retracement</t>
        </is>
      </c>
      <c r="BC196" s="25">
        <f>IF(BB196="Overhead supply in last 2 years in last 2 years",-5,IF(BB196="Close to 52 week high or retracement",5,IF(BB196="Blue sky scenario",10,IF(BB196="Long term Downtrend",-10,0))))</f>
        <v/>
      </c>
      <c r="BD196" s="25" t="inlineStr">
        <is>
          <t>Yes</t>
        </is>
      </c>
      <c r="BE196" s="25">
        <f>IF(BD196="Yes",10,0)</f>
        <v/>
      </c>
      <c r="BF196" s="25" t="inlineStr">
        <is>
          <t>Less than 12%</t>
        </is>
      </c>
      <c r="BG196" s="25">
        <f>IF(BF196="More than 20%",10,IF(BF196="Between 12 to 20%",5,IF(BF196="Less than 12%",0,0)))</f>
        <v/>
      </c>
      <c r="BH196" s="25" t="inlineStr">
        <is>
          <t>No</t>
        </is>
      </c>
      <c r="BI196" s="25">
        <f>IF(BH196="No",10,0)</f>
        <v/>
      </c>
      <c r="BJ196" s="25" t="inlineStr">
        <is>
          <t>No</t>
        </is>
      </c>
      <c r="BK196" s="25">
        <f>IF(BJ196="NO",5,0)</f>
        <v/>
      </c>
      <c r="BL196" s="25" t="inlineStr">
        <is>
          <t>Less than 1.5</t>
        </is>
      </c>
      <c r="BM196" s="25">
        <f>IF(BL196="Above 2",0,IF(BL196="Between 1.5 to 2",5,IF(BL196="Less than 1.5",10,0)))</f>
        <v/>
      </c>
      <c r="BN196" s="25" t="inlineStr">
        <is>
          <t>Less than 50%</t>
        </is>
      </c>
      <c r="BO196" s="25">
        <f>IF(BN196="Above 70%",10,IF(BN196="Between 50% to 70%",5,IF(BN196="Less than 50%",0,IF(BN196="Negative",-10,IF(BN196="Less than 50% and Borrowings are increasing",-5,0)))))</f>
        <v/>
      </c>
      <c r="BP196" s="25" t="inlineStr">
        <is>
          <t>Less than 0.7</t>
        </is>
      </c>
      <c r="BQ196" s="25">
        <f>IF(BP196="More than 1.2",-10,IF(BP196="Between 0.7 to 1.2",0,IF(BP196="Less than 0.7",10,0)))</f>
        <v/>
      </c>
      <c r="BR196" s="25" t="inlineStr">
        <is>
          <t>No</t>
        </is>
      </c>
      <c r="BS196" s="25">
        <f>IF(BR196="Yes",-10,0)</f>
        <v/>
      </c>
      <c r="BT196" s="25" t="inlineStr">
        <is>
          <t>Less than 15%</t>
        </is>
      </c>
      <c r="BU196" s="25">
        <f>IF(BT196="More than 15%",-10,IF(BT196="Less than 15%",10,0))</f>
        <v/>
      </c>
      <c r="BV196" s="25" t="inlineStr">
        <is>
          <t>No</t>
        </is>
      </c>
      <c r="BW196" s="25">
        <f>IF(BV196="Yes, more than 10%",-10,IF(BV196="No",10,0))</f>
        <v/>
      </c>
    </row>
    <row r="197">
      <c r="A197" s="25">
        <f>IF(B197=0,"",RANK(B197,$B$2:$B$292,0))</f>
        <v/>
      </c>
      <c r="B197" s="26">
        <f>SUM(Q197,S197,U197,W197,Y197,AA197,AC197,AE197,AG197,AI197,AK197,AM197,AO197,AQ197,AS197,AU197,AW197,AY197,BA197,BC197,BE197,BG197,BI197,BK197,BM197,BO197,BQ197,BS197,BU197,BW197)</f>
        <v/>
      </c>
      <c r="C197" s="25" t="inlineStr">
        <is>
          <t>ELECTHERM</t>
        </is>
      </c>
      <c r="D197" s="25" t="inlineStr">
        <is>
          <t>Electrotherm (india) Limited</t>
        </is>
      </c>
      <c r="E197" s="25" t="inlineStr">
        <is>
          <t>metals &amp; mining</t>
        </is>
      </c>
      <c r="F197" s="25" t="inlineStr">
        <is>
          <t>steel - medium / small</t>
        </is>
      </c>
      <c r="G197" s="25" t="inlineStr">
        <is>
          <t>smallcap</t>
        </is>
      </c>
      <c r="H197" s="26" t="n">
        <v>1199.48</v>
      </c>
      <c r="I197" s="26" t="n">
        <v>1028.3</v>
      </c>
      <c r="J197" s="26" t="n">
        <v>9.24</v>
      </c>
      <c r="K197" s="26" t="n">
        <v>713137</v>
      </c>
      <c r="L197" s="26" t="n">
        <v>63.97</v>
      </c>
      <c r="M197" s="26" t="n">
        <v>24.09</v>
      </c>
      <c r="N197" s="26" t="n">
        <v>662.0700000000001</v>
      </c>
      <c r="O197" s="25" t="inlineStr">
        <is>
          <t>Volume Spike / Accumulation</t>
        </is>
      </c>
      <c r="P197" s="25" t="inlineStr">
        <is>
          <t>Cyclical in an Upturn</t>
        </is>
      </c>
      <c r="Q197" s="25">
        <f>IF(P197="Growing Industry",10,IF(P197="Cyclical in an Upturn",5,0))</f>
        <v/>
      </c>
      <c r="R197" s="25" t="inlineStr">
        <is>
          <t>Too Many Players with High ROCE</t>
        </is>
      </c>
      <c r="S197" s="25">
        <f>IF(R197="Monopoly",10,IF(R197="Oligopoly",5,IF(R197="Duopoly that cooperate",10,IF(R197="Duopoly that compete",5,IF(R197="Too many players with High ROCE",5,0)))))</f>
        <v/>
      </c>
      <c r="T197" s="25" t="inlineStr">
        <is>
          <t>No</t>
        </is>
      </c>
      <c r="U197" s="25">
        <f>IF(T197="No",5,0)</f>
        <v/>
      </c>
      <c r="V197" s="25" t="inlineStr">
        <is>
          <t>Tailwind</t>
        </is>
      </c>
      <c r="W197" s="25">
        <f>IF(V197="Tailwind",10,0)</f>
        <v/>
      </c>
      <c r="X197" s="25" t="inlineStr">
        <is>
          <t>Cyclical</t>
        </is>
      </c>
      <c r="Y197" s="25">
        <f>IF(X197="Structural (10 Years Consistency)",10,IF(X197="Shallow Cyclical (2 to 3 years growth)",5,0))</f>
        <v/>
      </c>
      <c r="Z197" s="25" t="inlineStr">
        <is>
          <t>No</t>
        </is>
      </c>
      <c r="AA197" s="25">
        <f>IF(Z197="Yes due to Product Mix change or Operating Leverage",10,IF(Z197="Yes, these are peak margins",-5,IF(Z197="No",5,0)))</f>
        <v/>
      </c>
      <c r="AB197" s="25" t="inlineStr">
        <is>
          <t>Volatile</t>
        </is>
      </c>
      <c r="AC197" s="25">
        <f>IF(AB197="Stable",10,0)</f>
        <v/>
      </c>
      <c r="AD197" s="25" t="inlineStr">
        <is>
          <t>Yes</t>
        </is>
      </c>
      <c r="AE197" s="25">
        <f>IF(AD197="Yes",10,0)</f>
        <v/>
      </c>
      <c r="AF197" s="25" t="inlineStr">
        <is>
          <t>B2B</t>
        </is>
      </c>
      <c r="AG197" s="25">
        <f>IF(AF197="B2C",10,IF(AF197="B2B",5,0))</f>
        <v/>
      </c>
      <c r="AH197" s="25" t="inlineStr">
        <is>
          <t>Yes</t>
        </is>
      </c>
      <c r="AI197" s="25">
        <f>IF(AH197="Yes",10,0)</f>
        <v/>
      </c>
      <c r="AJ197" s="25" t="inlineStr">
        <is>
          <t>Higher One Time, Lower Annuity</t>
        </is>
      </c>
      <c r="AK197" s="25">
        <f>IF(AJ197="Fully Annuity",10,IF(AJ197="Higher Annuity, Lower One Time",5,IF(AJ197="Higher One Time, Lower Annuity",3,0)))</f>
        <v/>
      </c>
      <c r="AL197" s="25" t="inlineStr">
        <is>
          <t>Good</t>
        </is>
      </c>
      <c r="AM197" s="25">
        <f>IF(AL197="Good",10,0)</f>
        <v/>
      </c>
      <c r="AN197" s="25" t="inlineStr">
        <is>
          <t>Yes for more than 2 years</t>
        </is>
      </c>
      <c r="AO197" s="25">
        <f>IF(AN197="Yes for more than 2 years",10,IF(AN197="Yes only for next 1 to 2 years",5,0))</f>
        <v/>
      </c>
      <c r="AP197" s="25" t="inlineStr">
        <is>
          <t>20 to 40</t>
        </is>
      </c>
      <c r="AQ197" s="25">
        <f>IF(AP197="Above 40",20,IF(AP197="20 to 40",10,IF(AP197="0 to 20",-5,0)))</f>
        <v/>
      </c>
      <c r="AR197" s="25" t="inlineStr">
        <is>
          <t>Between 50 to 75</t>
        </is>
      </c>
      <c r="AS197" s="25">
        <f>IF(AR197="Between 50 to 75",10,IF(AR197="Above 75",0,0))</f>
        <v/>
      </c>
      <c r="AT197" s="25" t="inlineStr">
        <is>
          <t>Stage 2</t>
        </is>
      </c>
      <c r="AU197" s="25">
        <f>IF(AT197="Stage 2",20,IF(AT197="Stage 1",0,IF(AT197="Stage 3",5,IF(AT197="Stage 4",-5,0))))</f>
        <v/>
      </c>
      <c r="AV197" s="25" t="inlineStr">
        <is>
          <t>Positive Trend</t>
        </is>
      </c>
      <c r="AW197" s="25">
        <f>IF(AV197="Positive Trend",20,IF(AV197="Negative Trend",-10,0))</f>
        <v/>
      </c>
      <c r="AX197" s="25" t="inlineStr">
        <is>
          <t>Uptrend</t>
        </is>
      </c>
      <c r="AY197" s="25">
        <f>IF(AX197="Uptrend",10,IF(AX197="Sideways",5,0))</f>
        <v/>
      </c>
      <c r="AZ197" s="25" t="inlineStr">
        <is>
          <t>Uptrend</t>
        </is>
      </c>
      <c r="BA197" s="25">
        <f>IF(AZ197="Uptrend",10,IF(AZ197="Sideways",5,0))</f>
        <v/>
      </c>
      <c r="BB197" s="25" t="inlineStr">
        <is>
          <t>Close to 52 week high or retracement</t>
        </is>
      </c>
      <c r="BC197" s="25">
        <f>IF(BB197="Overhead supply in last 2 years in last 2 years",-5,IF(BB197="Close to 52 week high or retracement",5,IF(BB197="Blue sky scenario",10,IF(BB197="Long term Downtrend",-10,0))))</f>
        <v/>
      </c>
      <c r="BD197" s="25" t="inlineStr">
        <is>
          <t>Yes</t>
        </is>
      </c>
      <c r="BE197" s="25">
        <f>IF(BD197="Yes",10,0)</f>
        <v/>
      </c>
      <c r="BF197" s="25" t="inlineStr">
        <is>
          <t>Less than 12%</t>
        </is>
      </c>
      <c r="BG197" s="25">
        <f>IF(BF197="More than 20%",10,IF(BF197="Between 12 to 20%",5,IF(BF197="Less than 12%",0,0)))</f>
        <v/>
      </c>
      <c r="BH197" s="25" t="inlineStr">
        <is>
          <t>No</t>
        </is>
      </c>
      <c r="BI197" s="25">
        <f>IF(BH197="No",10,0)</f>
        <v/>
      </c>
      <c r="BJ197" s="25" t="inlineStr">
        <is>
          <t>No</t>
        </is>
      </c>
      <c r="BK197" s="25">
        <f>IF(BJ197="NO",5,0)</f>
        <v/>
      </c>
      <c r="BL197" s="25" t="inlineStr">
        <is>
          <t>Less than 1.5</t>
        </is>
      </c>
      <c r="BM197" s="25">
        <f>IF(BL197="Above 2",0,IF(BL197="Between 1.5 to 2",5,IF(BL197="Less than 1.5",10,0)))</f>
        <v/>
      </c>
      <c r="BN197" s="25" t="inlineStr">
        <is>
          <t>Above 70%</t>
        </is>
      </c>
      <c r="BO197" s="25">
        <f>IF(BN197="Above 70%",10,IF(BN197="Between 50% to 70%",5,IF(BN197="Less than 50%",0,IF(BN197="Negative",-10,IF(BN197="Less than 50% and Borrowings are increasing",-5,0)))))</f>
        <v/>
      </c>
      <c r="BP197" s="25" t="inlineStr">
        <is>
          <t>Less than 0.7</t>
        </is>
      </c>
      <c r="BQ197" s="25">
        <f>IF(BP197="More than 1.2",-10,IF(BP197="Between 0.7 to 1.2",0,IF(BP197="Less than 0.7",10,0)))</f>
        <v/>
      </c>
      <c r="BR197" s="25" t="inlineStr">
        <is>
          <t>No</t>
        </is>
      </c>
      <c r="BS197" s="25">
        <f>IF(BR197="Yes",-10,0)</f>
        <v/>
      </c>
      <c r="BT197" s="25" t="inlineStr">
        <is>
          <t>Less than 15%</t>
        </is>
      </c>
      <c r="BU197" s="25">
        <f>IF(BT197="More than 15%",-10,IF(BT197="Less than 15%",10,0))</f>
        <v/>
      </c>
      <c r="BV197" s="25" t="inlineStr">
        <is>
          <t>No</t>
        </is>
      </c>
      <c r="BW197" s="25">
        <f>IF(BV197="Yes, more than 10%",-10,IF(BV197="No",10,0))</f>
        <v/>
      </c>
    </row>
    <row r="198">
      <c r="A198" s="25">
        <f>IF(B198=0,"",RANK(B198,$B$2:$B$292,0))</f>
        <v/>
      </c>
      <c r="B198" s="26">
        <f>SUM(Q198,S198,U198,W198,Y198,AA198,AC198,AE198,AG198,AI198,AK198,AM198,AO198,AQ198,AS198,AU198,AW198,AY198,BA198,BC198,BE198,BG198,BI198,BK198,BM198,BO198,BQ198,BS198,BU198,BW198)</f>
        <v/>
      </c>
      <c r="C198" s="25" t="inlineStr">
        <is>
          <t>SHYAMMETL</t>
        </is>
      </c>
      <c r="D198" s="25" t="inlineStr">
        <is>
          <t>Shyam Metalics &amp; Energy Ltd</t>
        </is>
      </c>
      <c r="E198" s="25" t="inlineStr">
        <is>
          <t>metals &amp; mining</t>
        </is>
      </c>
      <c r="F198" s="25" t="inlineStr">
        <is>
          <t>steel - large</t>
        </is>
      </c>
      <c r="G198" s="25" t="inlineStr">
        <is>
          <t>largecap</t>
        </is>
      </c>
      <c r="H198" s="26" t="n">
        <v>26835.74</v>
      </c>
      <c r="I198" s="26" t="n">
        <v>984.65</v>
      </c>
      <c r="J198" s="26" t="n">
        <v>2.42</v>
      </c>
      <c r="K198" s="26" t="n">
        <v>771612</v>
      </c>
      <c r="L198" s="26" t="n">
        <v>64.48999999999999</v>
      </c>
      <c r="M198" s="26" t="n">
        <v>13.8</v>
      </c>
      <c r="N198" s="26" t="n">
        <v>795.86</v>
      </c>
      <c r="O198" s="25" t="inlineStr">
        <is>
          <t>Near 52W High Breakout</t>
        </is>
      </c>
      <c r="P198" s="25" t="inlineStr">
        <is>
          <t>Cyclical in an Upturn</t>
        </is>
      </c>
      <c r="Q198" s="25">
        <f>IF(P198="Growing Industry",10,IF(P198="Cyclical in an Upturn",5,0))</f>
        <v/>
      </c>
      <c r="R198" s="25" t="inlineStr">
        <is>
          <t>Too Many Players with High ROCE</t>
        </is>
      </c>
      <c r="S198" s="25">
        <f>IF(R198="Monopoly",10,IF(R198="Oligopoly",5,IF(R198="Duopoly that cooperate",10,IF(R198="Duopoly that compete",5,IF(R198="Too many players with High ROCE",5,0)))))</f>
        <v/>
      </c>
      <c r="T198" s="25" t="inlineStr">
        <is>
          <t>No</t>
        </is>
      </c>
      <c r="U198" s="25">
        <f>IF(T198="No",5,0)</f>
        <v/>
      </c>
      <c r="V198" s="25" t="inlineStr">
        <is>
          <t>Tailwind</t>
        </is>
      </c>
      <c r="W198" s="25">
        <f>IF(V198="Tailwind",10,0)</f>
        <v/>
      </c>
      <c r="X198" s="25" t="inlineStr">
        <is>
          <t>Cyclical</t>
        </is>
      </c>
      <c r="Y198" s="25">
        <f>IF(X198="Structural (10 Years Consistency)",10,IF(X198="Shallow Cyclical (2 to 3 years growth)",5,0))</f>
        <v/>
      </c>
      <c r="Z198" s="25" t="inlineStr">
        <is>
          <t>No</t>
        </is>
      </c>
      <c r="AA198" s="25">
        <f>IF(Z198="Yes due to Product Mix change or Operating Leverage",10,IF(Z198="Yes, these are peak margins",-5,IF(Z198="No",5,0)))</f>
        <v/>
      </c>
      <c r="AB198" s="25" t="inlineStr">
        <is>
          <t>Volatile</t>
        </is>
      </c>
      <c r="AC198" s="25">
        <f>IF(AB198="Stable",10,0)</f>
        <v/>
      </c>
      <c r="AD198" s="25" t="inlineStr">
        <is>
          <t>Yes</t>
        </is>
      </c>
      <c r="AE198" s="25">
        <f>IF(AD198="Yes",10,0)</f>
        <v/>
      </c>
      <c r="AF198" s="25" t="inlineStr">
        <is>
          <t>B2B</t>
        </is>
      </c>
      <c r="AG198" s="25">
        <f>IF(AF198="B2C",10,IF(AF198="B2B",5,0))</f>
        <v/>
      </c>
      <c r="AH198" s="25" t="inlineStr">
        <is>
          <t>Yes</t>
        </is>
      </c>
      <c r="AI198" s="25">
        <f>IF(AH198="Yes",10,0)</f>
        <v/>
      </c>
      <c r="AJ198" s="25" t="inlineStr">
        <is>
          <t>Higher One Time, Lower Annuity</t>
        </is>
      </c>
      <c r="AK198" s="25">
        <f>IF(AJ198="Fully Annuity",10,IF(AJ198="Higher Annuity, Lower One Time",5,IF(AJ198="Higher One Time, Lower Annuity",3,0)))</f>
        <v/>
      </c>
      <c r="AL198" s="25" t="inlineStr">
        <is>
          <t>Good</t>
        </is>
      </c>
      <c r="AM198" s="25">
        <f>IF(AL198="Good",10,0)</f>
        <v/>
      </c>
      <c r="AN198" s="25" t="inlineStr">
        <is>
          <t>Yes for more than 2 years</t>
        </is>
      </c>
      <c r="AO198" s="25">
        <f>IF(AN198="Yes for more than 2 years",10,IF(AN198="Yes only for next 1 to 2 years",5,0))</f>
        <v/>
      </c>
      <c r="AP198" s="25" t="inlineStr">
        <is>
          <t>0 to 20</t>
        </is>
      </c>
      <c r="AQ198" s="25">
        <f>IF(AP198="Above 40",20,IF(AP198="20 to 40",10,IF(AP198="0 to 20",-5,0)))</f>
        <v/>
      </c>
      <c r="AR198" s="25" t="inlineStr">
        <is>
          <t>Between 50 to 75</t>
        </is>
      </c>
      <c r="AS198" s="25">
        <f>IF(AR198="Between 50 to 75",10,IF(AR198="Above 75",0,0))</f>
        <v/>
      </c>
      <c r="AT198" s="25" t="inlineStr">
        <is>
          <t>Stage 2</t>
        </is>
      </c>
      <c r="AU198" s="25">
        <f>IF(AT198="Stage 2",20,IF(AT198="Stage 1",0,IF(AT198="Stage 3",5,IF(AT198="Stage 4",-5,0))))</f>
        <v/>
      </c>
      <c r="AV198" s="25" t="inlineStr">
        <is>
          <t>Positive Trend</t>
        </is>
      </c>
      <c r="AW198" s="25">
        <f>IF(AV198="Positive Trend",20,IF(AV198="Negative Trend",-10,0))</f>
        <v/>
      </c>
      <c r="AX198" s="25" t="inlineStr">
        <is>
          <t>Uptrend</t>
        </is>
      </c>
      <c r="AY198" s="25">
        <f>IF(AX198="Uptrend",10,IF(AX198="Sideways",5,0))</f>
        <v/>
      </c>
      <c r="AZ198" s="25" t="inlineStr">
        <is>
          <t>Uptrend</t>
        </is>
      </c>
      <c r="BA198" s="25">
        <f>IF(AZ198="Uptrend",10,IF(AZ198="Sideways",5,0))</f>
        <v/>
      </c>
      <c r="BB198" s="25" t="inlineStr">
        <is>
          <t>Blue sky scenario</t>
        </is>
      </c>
      <c r="BC198" s="25">
        <f>IF(BB198="Overhead supply in last 2 years in last 2 years",-5,IF(BB198="Close to 52 week high or retracement",5,IF(BB198="Blue sky scenario",10,IF(BB198="Long term Downtrend",-10,0))))</f>
        <v/>
      </c>
      <c r="BD198" s="25" t="inlineStr">
        <is>
          <t>Yes</t>
        </is>
      </c>
      <c r="BE198" s="25">
        <f>IF(BD198="Yes",10,0)</f>
        <v/>
      </c>
      <c r="BF198" s="25" t="inlineStr">
        <is>
          <t>More than 20%</t>
        </is>
      </c>
      <c r="BG198" s="25">
        <f>IF(BF198="More than 20%",10,IF(BF198="Between 12 to 20%",5,IF(BF198="Less than 12%",0,0)))</f>
        <v/>
      </c>
      <c r="BH198" s="25" t="inlineStr">
        <is>
          <t>No</t>
        </is>
      </c>
      <c r="BI198" s="25">
        <f>IF(BH198="No",10,0)</f>
        <v/>
      </c>
      <c r="BJ198" s="25" t="inlineStr">
        <is>
          <t>No</t>
        </is>
      </c>
      <c r="BK198" s="25">
        <f>IF(BJ198="NO",5,0)</f>
        <v/>
      </c>
      <c r="BL198" s="25" t="inlineStr">
        <is>
          <t>Less than 1.5</t>
        </is>
      </c>
      <c r="BM198" s="25">
        <f>IF(BL198="Above 2",0,IF(BL198="Between 1.5 to 2",5,IF(BL198="Less than 1.5",10,0)))</f>
        <v/>
      </c>
      <c r="BN198" s="25" t="inlineStr">
        <is>
          <t>Above 70%</t>
        </is>
      </c>
      <c r="BO198" s="25">
        <f>IF(BN198="Above 70%",10,IF(BN198="Between 50% to 70%",5,IF(BN198="Less than 50%",0,IF(BN198="Negative",-10,IF(BN198="Less than 50% and Borrowings are increasing",-5,0)))))</f>
        <v/>
      </c>
      <c r="BP198" s="25" t="inlineStr">
        <is>
          <t>Less than 0.7</t>
        </is>
      </c>
      <c r="BQ198" s="25">
        <f>IF(BP198="More than 1.2",-10,IF(BP198="Between 0.7 to 1.2",0,IF(BP198="Less than 0.7",10,0)))</f>
        <v/>
      </c>
      <c r="BR198" s="25" t="inlineStr">
        <is>
          <t>No</t>
        </is>
      </c>
      <c r="BS198" s="25">
        <f>IF(BR198="Yes",-10,0)</f>
        <v/>
      </c>
      <c r="BT198" s="25" t="inlineStr">
        <is>
          <t>Less than 15%</t>
        </is>
      </c>
      <c r="BU198" s="25">
        <f>IF(BT198="More than 15%",-10,IF(BT198="Less than 15%",10,0))</f>
        <v/>
      </c>
      <c r="BV198" s="25" t="inlineStr">
        <is>
          <t>No</t>
        </is>
      </c>
      <c r="BW198" s="25">
        <f>IF(BV198="Yes, more than 10%",-10,IF(BV198="No",10,0))</f>
        <v/>
      </c>
    </row>
    <row r="199">
      <c r="A199" s="25">
        <f>IF(B199=0,"",RANK(B199,$B$2:$B$292,0))</f>
        <v/>
      </c>
      <c r="B199" s="26">
        <f>SUM(Q199,S199,U199,W199,Y199,AA199,AC199,AE199,AG199,AI199,AK199,AM199,AO199,AQ199,AS199,AU199,AW199,AY199,BA199,BC199,BE199,BG199,BI199,BK199,BM199,BO199,BQ199,BS199,BU199,BW199)</f>
        <v/>
      </c>
      <c r="C199" s="25" t="inlineStr">
        <is>
          <t>ATGL</t>
        </is>
      </c>
      <c r="D199" s="25" t="inlineStr">
        <is>
          <t>Adani Total Gas Ltd</t>
        </is>
      </c>
      <c r="E199" s="25" t="inlineStr">
        <is>
          <t>energy</t>
        </is>
      </c>
      <c r="F199" s="25" t="inlineStr">
        <is>
          <t>miscellaneous</t>
        </is>
      </c>
      <c r="G199" s="25" t="inlineStr">
        <is>
          <t>largecap</t>
        </is>
      </c>
      <c r="H199" s="26" t="n">
        <v>80704.06</v>
      </c>
      <c r="I199" s="26" t="n">
        <v>738.15</v>
      </c>
      <c r="J199" s="26" t="n">
        <v>0.59</v>
      </c>
      <c r="K199" s="26" t="n">
        <v>15735942</v>
      </c>
      <c r="L199" s="26" t="n">
        <v>66.76000000000001</v>
      </c>
      <c r="M199" s="26" t="n">
        <v>44.84</v>
      </c>
      <c r="N199" s="26" t="n">
        <v>570.85</v>
      </c>
      <c r="O199" s="25" t="inlineStr">
        <is>
          <t>Near 52W High Breakout</t>
        </is>
      </c>
      <c r="P199" s="25" t="inlineStr">
        <is>
          <t>Cyclical in an Upturn</t>
        </is>
      </c>
      <c r="Q199" s="25">
        <f>IF(P199="Growing Industry",10,IF(P199="Cyclical in an Upturn",5,0))</f>
        <v/>
      </c>
      <c r="R199" s="25" t="inlineStr">
        <is>
          <t>Oligopoly</t>
        </is>
      </c>
      <c r="S199" s="25">
        <f>IF(R199="Monopoly",10,IF(R199="Oligopoly",5,IF(R199="Duopoly that cooperate",10,IF(R199="Duopoly that compete",5,IF(R199="Too many players with High ROCE",5,0)))))</f>
        <v/>
      </c>
      <c r="T199" s="25" t="inlineStr">
        <is>
          <t>Yes</t>
        </is>
      </c>
      <c r="U199" s="25">
        <f>IF(T199="No",5,0)</f>
        <v/>
      </c>
      <c r="V199" s="25" t="inlineStr">
        <is>
          <t>Tailwind</t>
        </is>
      </c>
      <c r="W199" s="25">
        <f>IF(V199="Tailwind",10,0)</f>
        <v/>
      </c>
      <c r="X199" s="25" t="inlineStr">
        <is>
          <t>Cyclical</t>
        </is>
      </c>
      <c r="Y199" s="25">
        <f>IF(X199="Structural (10 Years Consistency)",10,IF(X199="Shallow Cyclical (2 to 3 years growth)",5,0))</f>
        <v/>
      </c>
      <c r="Z199" s="25" t="inlineStr">
        <is>
          <t>No</t>
        </is>
      </c>
      <c r="AA199" s="25">
        <f>IF(Z199="Yes due to Product Mix change or Operating Leverage",10,IF(Z199="Yes, these are peak margins",-5,IF(Z199="No",5,0)))</f>
        <v/>
      </c>
      <c r="AB199" s="25" t="inlineStr">
        <is>
          <t>Volatile</t>
        </is>
      </c>
      <c r="AC199" s="25">
        <f>IF(AB199="Stable",10,0)</f>
        <v/>
      </c>
      <c r="AD199" s="25" t="inlineStr">
        <is>
          <t>Yes</t>
        </is>
      </c>
      <c r="AE199" s="25">
        <f>IF(AD199="Yes",10,0)</f>
        <v/>
      </c>
      <c r="AF199" s="25" t="inlineStr">
        <is>
          <t>B2B</t>
        </is>
      </c>
      <c r="AG199" s="25">
        <f>IF(AF199="B2C",10,IF(AF199="B2B",5,0))</f>
        <v/>
      </c>
      <c r="AH199" s="25" t="inlineStr">
        <is>
          <t>Yes</t>
        </is>
      </c>
      <c r="AI199" s="25">
        <f>IF(AH199="Yes",10,0)</f>
        <v/>
      </c>
      <c r="AJ199" s="25" t="inlineStr">
        <is>
          <t>Higher One Time, Lower Annuity</t>
        </is>
      </c>
      <c r="AK199" s="25">
        <f>IF(AJ199="Fully Annuity",10,IF(AJ199="Higher Annuity, Lower One Time",5,IF(AJ199="Higher One Time, Lower Annuity",3,0)))</f>
        <v/>
      </c>
      <c r="AL199" s="25" t="inlineStr">
        <is>
          <t>Good</t>
        </is>
      </c>
      <c r="AM199" s="25">
        <f>IF(AL199="Good",10,0)</f>
        <v/>
      </c>
      <c r="AN199" s="25" t="inlineStr">
        <is>
          <t>Yes for more than 2 years</t>
        </is>
      </c>
      <c r="AO199" s="25">
        <f>IF(AN199="Yes for more than 2 years",10,IF(AN199="Yes only for next 1 to 2 years",5,0))</f>
        <v/>
      </c>
      <c r="AP199" s="25" t="inlineStr">
        <is>
          <t>Above 40</t>
        </is>
      </c>
      <c r="AQ199" s="25">
        <f>IF(AP199="Above 40",20,IF(AP199="20 to 40",10,IF(AP199="0 to 20",-5,0)))</f>
        <v/>
      </c>
      <c r="AR199" s="25" t="inlineStr">
        <is>
          <t>Between 50 to 75</t>
        </is>
      </c>
      <c r="AS199" s="25">
        <f>IF(AR199="Between 50 to 75",10,IF(AR199="Above 75",0,0))</f>
        <v/>
      </c>
      <c r="AT199" s="25" t="inlineStr">
        <is>
          <t>Stage 2</t>
        </is>
      </c>
      <c r="AU199" s="25">
        <f>IF(AT199="Stage 2",20,IF(AT199="Stage 1",0,IF(AT199="Stage 3",5,IF(AT199="Stage 4",-5,0))))</f>
        <v/>
      </c>
      <c r="AV199" s="25" t="inlineStr">
        <is>
          <t>Positive Trend</t>
        </is>
      </c>
      <c r="AW199" s="25">
        <f>IF(AV199="Positive Trend",20,IF(AV199="Negative Trend",-10,0))</f>
        <v/>
      </c>
      <c r="AX199" s="25" t="inlineStr">
        <is>
          <t>Uptrend</t>
        </is>
      </c>
      <c r="AY199" s="25">
        <f>IF(AX199="Uptrend",10,IF(AX199="Sideways",5,0))</f>
        <v/>
      </c>
      <c r="AZ199" s="25" t="inlineStr">
        <is>
          <t>Uptrend</t>
        </is>
      </c>
      <c r="BA199" s="25">
        <f>IF(AZ199="Uptrend",10,IF(AZ199="Sideways",5,0))</f>
        <v/>
      </c>
      <c r="BB199" s="25" t="inlineStr">
        <is>
          <t>Close to 52 week high or retracement</t>
        </is>
      </c>
      <c r="BC199" s="25">
        <f>IF(BB199="Overhead supply in last 2 years in last 2 years",-5,IF(BB199="Close to 52 week high or retracement",5,IF(BB199="Blue sky scenario",10,IF(BB199="Long term Downtrend",-10,0))))</f>
        <v/>
      </c>
      <c r="BD199" s="25" t="inlineStr">
        <is>
          <t>Yes</t>
        </is>
      </c>
      <c r="BE199" s="25">
        <f>IF(BD199="Yes",10,0)</f>
        <v/>
      </c>
      <c r="BF199" s="25" t="inlineStr">
        <is>
          <t>Less than 12%</t>
        </is>
      </c>
      <c r="BG199" s="25">
        <f>IF(BF199="More than 20%",10,IF(BF199="Between 12 to 20%",5,IF(BF199="Less than 12%",0,0)))</f>
        <v/>
      </c>
      <c r="BH199" s="25" t="inlineStr">
        <is>
          <t>No</t>
        </is>
      </c>
      <c r="BI199" s="25">
        <f>IF(BH199="No",10,0)</f>
        <v/>
      </c>
      <c r="BJ199" s="25" t="inlineStr">
        <is>
          <t>Yes</t>
        </is>
      </c>
      <c r="BK199" s="25">
        <f>IF(BJ199="NO",5,0)</f>
        <v/>
      </c>
      <c r="BL199" s="25" t="inlineStr">
        <is>
          <t>Less than 1.5</t>
        </is>
      </c>
      <c r="BM199" s="25">
        <f>IF(BL199="Above 2",0,IF(BL199="Between 1.5 to 2",5,IF(BL199="Less than 1.5",10,0)))</f>
        <v/>
      </c>
      <c r="BN199" s="25" t="inlineStr">
        <is>
          <t>Above 70%</t>
        </is>
      </c>
      <c r="BO199" s="25">
        <f>IF(BN199="Above 70%",10,IF(BN199="Between 50% to 70%",5,IF(BN199="Less than 50%",0,IF(BN199="Negative",-10,IF(BN199="Less than 50% and Borrowings are increasing",-5,0)))))</f>
        <v/>
      </c>
      <c r="BP199" s="25" t="inlineStr">
        <is>
          <t>Less than 0.7</t>
        </is>
      </c>
      <c r="BQ199" s="25">
        <f>IF(BP199="More than 1.2",-10,IF(BP199="Between 0.7 to 1.2",0,IF(BP199="Less than 0.7",10,0)))</f>
        <v/>
      </c>
      <c r="BR199" s="25" t="inlineStr">
        <is>
          <t>No</t>
        </is>
      </c>
      <c r="BS199" s="25">
        <f>IF(BR199="Yes",-10,0)</f>
        <v/>
      </c>
      <c r="BT199" s="25" t="inlineStr">
        <is>
          <t>Less than 15%</t>
        </is>
      </c>
      <c r="BU199" s="25">
        <f>IF(BT199="More than 15%",-10,IF(BT199="Less than 15%",10,0))</f>
        <v/>
      </c>
      <c r="BV199" s="25" t="inlineStr">
        <is>
          <t>No</t>
        </is>
      </c>
      <c r="BW199" s="25">
        <f>IF(BV199="Yes, more than 10%",-10,IF(BV199="No",10,0))</f>
        <v/>
      </c>
    </row>
    <row r="200">
      <c r="A200" s="25">
        <f>IF(B200=0,"",RANK(B200,$B$2:$B$292,0))</f>
        <v/>
      </c>
      <c r="B200" s="26">
        <f>SUM(Q200,S200,U200,W200,Y200,AA200,AC200,AE200,AG200,AI200,AK200,AM200,AO200,AQ200,AS200,AU200,AW200,AY200,BA200,BC200,BE200,BG200,BI200,BK200,BM200,BO200,BQ200,BS200,BU200,BW200)</f>
        <v/>
      </c>
      <c r="C200" s="25" t="inlineStr">
        <is>
          <t>AJAXENGG</t>
        </is>
      </c>
      <c r="D200" s="25" t="inlineStr">
        <is>
          <t>Ajax Engineering Ltd</t>
        </is>
      </c>
      <c r="E200" s="25" t="inlineStr">
        <is>
          <t>industrials</t>
        </is>
      </c>
      <c r="F200" s="25" t="inlineStr">
        <is>
          <t>engineering</t>
        </is>
      </c>
      <c r="G200" s="25" t="inlineStr">
        <is>
          <t>midcap</t>
        </is>
      </c>
      <c r="H200" s="26" t="n">
        <v>6731.12</v>
      </c>
      <c r="I200" s="26" t="n">
        <v>590.4</v>
      </c>
      <c r="J200" s="26" t="n">
        <v>0.35</v>
      </c>
      <c r="K200" s="26" t="n">
        <v>34541</v>
      </c>
      <c r="L200" s="26" t="n">
        <v>58.55</v>
      </c>
      <c r="M200" s="26" t="n">
        <v>24.2</v>
      </c>
      <c r="N200" s="26" t="n">
        <v>454.1</v>
      </c>
      <c r="O200" s="25" t="inlineStr">
        <is>
          <t>Earnings / Momentum Support</t>
        </is>
      </c>
      <c r="P200" s="25" t="inlineStr">
        <is>
          <t>Cyclical in an Upturn</t>
        </is>
      </c>
      <c r="Q200" s="25">
        <f>IF(P200="Growing Industry",10,IF(P200="Cyclical in an Upturn",5,0))</f>
        <v/>
      </c>
      <c r="R200" s="25" t="inlineStr">
        <is>
          <t>Too Many Players with High ROCE</t>
        </is>
      </c>
      <c r="S200" s="25">
        <f>IF(R200="Monopoly",10,IF(R200="Oligopoly",5,IF(R200="Duopoly that cooperate",10,IF(R200="Duopoly that compete",5,IF(R200="Too many players with High ROCE",5,0)))))</f>
        <v/>
      </c>
      <c r="T200" s="25" t="inlineStr">
        <is>
          <t>No</t>
        </is>
      </c>
      <c r="U200" s="25">
        <f>IF(T200="No",5,0)</f>
        <v/>
      </c>
      <c r="V200" s="25" t="inlineStr">
        <is>
          <t>Headwind</t>
        </is>
      </c>
      <c r="W200" s="25">
        <f>IF(V200="Tailwind",10,0)</f>
        <v/>
      </c>
      <c r="X200" s="25" t="inlineStr">
        <is>
          <t>Structural (10 Years Consistency)</t>
        </is>
      </c>
      <c r="Y200" s="25">
        <f>IF(X200="Structural (10 Years Consistency)",10,IF(X200="Shallow Cyclical (2 to 3 years growth)",5,0))</f>
        <v/>
      </c>
      <c r="Z200" s="25" t="inlineStr">
        <is>
          <t>No</t>
        </is>
      </c>
      <c r="AA200" s="25">
        <f>IF(Z200="Yes due to Product Mix change or Operating Leverage",10,IF(Z200="Yes, these are peak margins",-5,IF(Z200="No",5,0)))</f>
        <v/>
      </c>
      <c r="AB200" s="25" t="inlineStr">
        <is>
          <t>Stable</t>
        </is>
      </c>
      <c r="AC200" s="25">
        <f>IF(AB200="Stable",10,0)</f>
        <v/>
      </c>
      <c r="AD200" s="25" t="inlineStr">
        <is>
          <t>Yes</t>
        </is>
      </c>
      <c r="AE200" s="25">
        <f>IF(AD200="Yes",10,0)</f>
        <v/>
      </c>
      <c r="AF200" s="25" t="inlineStr">
        <is>
          <t>B2B</t>
        </is>
      </c>
      <c r="AG200" s="25">
        <f>IF(AF200="B2C",10,IF(AF200="B2B",5,0))</f>
        <v/>
      </c>
      <c r="AH200" s="25" t="inlineStr">
        <is>
          <t>No</t>
        </is>
      </c>
      <c r="AI200" s="25">
        <f>IF(AH200="Yes",10,0)</f>
        <v/>
      </c>
      <c r="AJ200" s="25" t="inlineStr">
        <is>
          <t>Higher One Time, Lower Annuity</t>
        </is>
      </c>
      <c r="AK200" s="25">
        <f>IF(AJ200="Fully Annuity",10,IF(AJ200="Higher Annuity, Lower One Time",5,IF(AJ200="Higher One Time, Lower Annuity",3,0)))</f>
        <v/>
      </c>
      <c r="AL200" s="25" t="inlineStr">
        <is>
          <t>Good</t>
        </is>
      </c>
      <c r="AM200" s="25">
        <f>IF(AL200="Good",10,0)</f>
        <v/>
      </c>
      <c r="AN200" s="25" t="inlineStr">
        <is>
          <t>Yes for more than 2 years</t>
        </is>
      </c>
      <c r="AO200" s="25">
        <f>IF(AN200="Yes for more than 2 years",10,IF(AN200="Yes only for next 1 to 2 years",5,0))</f>
        <v/>
      </c>
      <c r="AP200" s="25" t="inlineStr">
        <is>
          <t>20 to 40</t>
        </is>
      </c>
      <c r="AQ200" s="25">
        <f>IF(AP200="Above 40",20,IF(AP200="20 to 40",10,IF(AP200="0 to 20",-5,0)))</f>
        <v/>
      </c>
      <c r="AR200" s="25" t="inlineStr">
        <is>
          <t>Between 50 to 75</t>
        </is>
      </c>
      <c r="AS200" s="25">
        <f>IF(AR200="Between 50 to 75",10,IF(AR200="Above 75",0,0))</f>
        <v/>
      </c>
      <c r="AT200" s="25" t="inlineStr">
        <is>
          <t>Stage 2</t>
        </is>
      </c>
      <c r="AU200" s="25">
        <f>IF(AT200="Stage 2",20,IF(AT200="Stage 1",0,IF(AT200="Stage 3",5,IF(AT200="Stage 4",-5,0))))</f>
        <v/>
      </c>
      <c r="AV200" s="25" t="inlineStr">
        <is>
          <t>Positive Trend</t>
        </is>
      </c>
      <c r="AW200" s="25">
        <f>IF(AV200="Positive Trend",20,IF(AV200="Negative Trend",-10,0))</f>
        <v/>
      </c>
      <c r="AX200" s="25" t="inlineStr">
        <is>
          <t>Uptrend</t>
        </is>
      </c>
      <c r="AY200" s="25">
        <f>IF(AX200="Uptrend",10,IF(AX200="Sideways",5,0))</f>
        <v/>
      </c>
      <c r="AZ200" s="25" t="inlineStr">
        <is>
          <t>Uptrend</t>
        </is>
      </c>
      <c r="BA200" s="25">
        <f>IF(AZ200="Uptrend",10,IF(AZ200="Sideways",5,0))</f>
        <v/>
      </c>
      <c r="BB200" s="25" t="inlineStr">
        <is>
          <t>Close to 52 week high or retracement</t>
        </is>
      </c>
      <c r="BC200" s="25">
        <f>IF(BB200="Overhead supply in last 2 years in last 2 years",-5,IF(BB200="Close to 52 week high or retracement",5,IF(BB200="Blue sky scenario",10,IF(BB200="Long term Downtrend",-10,0))))</f>
        <v/>
      </c>
      <c r="BD200" s="25" t="inlineStr">
        <is>
          <t>Yes</t>
        </is>
      </c>
      <c r="BE200" s="25">
        <f>IF(BD200="Yes",10,0)</f>
        <v/>
      </c>
      <c r="BF200" s="25" t="inlineStr">
        <is>
          <t>Less than 12%</t>
        </is>
      </c>
      <c r="BG200" s="25">
        <f>IF(BF200="More than 20%",10,IF(BF200="Between 12 to 20%",5,IF(BF200="Less than 12%",0,0)))</f>
        <v/>
      </c>
      <c r="BH200" s="25" t="inlineStr">
        <is>
          <t>No</t>
        </is>
      </c>
      <c r="BI200" s="25">
        <f>IF(BH200="No",10,0)</f>
        <v/>
      </c>
      <c r="BJ200" s="25" t="inlineStr">
        <is>
          <t>No</t>
        </is>
      </c>
      <c r="BK200" s="25">
        <f>IF(BJ200="NO",5,0)</f>
        <v/>
      </c>
      <c r="BL200" s="25" t="inlineStr">
        <is>
          <t>Less than 1.5</t>
        </is>
      </c>
      <c r="BM200" s="25">
        <f>IF(BL200="Above 2",0,IF(BL200="Between 1.5 to 2",5,IF(BL200="Less than 1.5",10,0)))</f>
        <v/>
      </c>
      <c r="BN200" s="25" t="inlineStr">
        <is>
          <t>Above 70%</t>
        </is>
      </c>
      <c r="BO200" s="25">
        <f>IF(BN200="Above 70%",10,IF(BN200="Between 50% to 70%",5,IF(BN200="Less than 50%",0,IF(BN200="Negative",-10,IF(BN200="Less than 50% and Borrowings are increasing",-5,0)))))</f>
        <v/>
      </c>
      <c r="BP200" s="25" t="inlineStr">
        <is>
          <t>Less than 0.7</t>
        </is>
      </c>
      <c r="BQ200" s="25">
        <f>IF(BP200="More than 1.2",-10,IF(BP200="Between 0.7 to 1.2",0,IF(BP200="Less than 0.7",10,0)))</f>
        <v/>
      </c>
      <c r="BR200" s="25" t="inlineStr">
        <is>
          <t>No</t>
        </is>
      </c>
      <c r="BS200" s="25">
        <f>IF(BR200="Yes",-10,0)</f>
        <v/>
      </c>
      <c r="BT200" s="25" t="inlineStr">
        <is>
          <t>Less than 15%</t>
        </is>
      </c>
      <c r="BU200" s="25">
        <f>IF(BT200="More than 15%",-10,IF(BT200="Less than 15%",10,0))</f>
        <v/>
      </c>
      <c r="BV200" s="25" t="inlineStr">
        <is>
          <t>No</t>
        </is>
      </c>
      <c r="BW200" s="25">
        <f>IF(BV200="Yes, more than 10%",-10,IF(BV200="No",10,0))</f>
        <v/>
      </c>
    </row>
    <row r="201">
      <c r="A201" s="25">
        <f>IF(B201=0,"",RANK(B201,$B$2:$B$292,0))</f>
        <v/>
      </c>
      <c r="B201" s="26">
        <f>SUM(Q201,S201,U201,W201,Y201,AA201,AC201,AE201,AG201,AI201,AK201,AM201,AO201,AQ201,AS201,AU201,AW201,AY201,BA201,BC201,BE201,BG201,BI201,BK201,BM201,BO201,BQ201,BS201,BU201,BW201)</f>
        <v/>
      </c>
      <c r="C201" s="25" t="inlineStr">
        <is>
          <t>SBC</t>
        </is>
      </c>
      <c r="D201" s="25" t="inlineStr">
        <is>
          <t>SBC Exports Ltd</t>
        </is>
      </c>
      <c r="E201" s="25" t="inlineStr">
        <is>
          <t>textiles</t>
        </is>
      </c>
      <c r="F201" s="25" t="inlineStr">
        <is>
          <t>textiles - products</t>
        </is>
      </c>
      <c r="G201" s="25" t="inlineStr">
        <is>
          <t>smallcap</t>
        </is>
      </c>
      <c r="H201" s="26" t="n">
        <v>1754.76</v>
      </c>
      <c r="I201" s="26" t="n">
        <v>36.81</v>
      </c>
      <c r="J201" s="26" t="n">
        <v>-0.11</v>
      </c>
      <c r="K201" s="26" t="n">
        <v>18525390</v>
      </c>
      <c r="L201" s="26" t="n">
        <v>69.22</v>
      </c>
      <c r="M201" s="26" t="n">
        <v>22.68</v>
      </c>
      <c r="N201" s="26" t="n">
        <v>32.66</v>
      </c>
      <c r="O201" s="25" t="inlineStr">
        <is>
          <t>Earnings / Momentum Support</t>
        </is>
      </c>
      <c r="P201" s="25" t="inlineStr">
        <is>
          <t>Growing Industry</t>
        </is>
      </c>
      <c r="Q201" s="25">
        <f>IF(P201="Growing Industry",10,IF(P201="Cyclical in an Upturn",5,0))</f>
        <v/>
      </c>
      <c r="R201" s="25" t="inlineStr">
        <is>
          <t>Too Many Players with High ROCE</t>
        </is>
      </c>
      <c r="S201" s="25">
        <f>IF(R201="Monopoly",10,IF(R201="Oligopoly",5,IF(R201="Duopoly that cooperate",10,IF(R201="Duopoly that compete",5,IF(R201="Too many players with High ROCE",5,0)))))</f>
        <v/>
      </c>
      <c r="T201" s="25" t="inlineStr">
        <is>
          <t>No</t>
        </is>
      </c>
      <c r="U201" s="25">
        <f>IF(T201="No",5,0)</f>
        <v/>
      </c>
      <c r="V201" s="25" t="inlineStr">
        <is>
          <t>Tailwind</t>
        </is>
      </c>
      <c r="W201" s="25">
        <f>IF(V201="Tailwind",10,0)</f>
        <v/>
      </c>
      <c r="X201" s="25" t="inlineStr">
        <is>
          <t>Structural (10 Years Consistency)</t>
        </is>
      </c>
      <c r="Y201" s="25">
        <f>IF(X201="Structural (10 Years Consistency)",10,IF(X201="Shallow Cyclical (2 to 3 years growth)",5,0))</f>
        <v/>
      </c>
      <c r="Z201" s="25" t="inlineStr">
        <is>
          <t>No</t>
        </is>
      </c>
      <c r="AA201" s="25">
        <f>IF(Z201="Yes due to Product Mix change or Operating Leverage",10,IF(Z201="Yes, these are peak margins",-5,IF(Z201="No",5,0)))</f>
        <v/>
      </c>
      <c r="AB201" s="25" t="inlineStr">
        <is>
          <t>Stable</t>
        </is>
      </c>
      <c r="AC201" s="25">
        <f>IF(AB201="Stable",10,0)</f>
        <v/>
      </c>
      <c r="AD201" s="25" t="inlineStr">
        <is>
          <t>Yes</t>
        </is>
      </c>
      <c r="AE201" s="25">
        <f>IF(AD201="Yes",10,0)</f>
        <v/>
      </c>
      <c r="AF201" s="25" t="inlineStr">
        <is>
          <t>B2B</t>
        </is>
      </c>
      <c r="AG201" s="25">
        <f>IF(AF201="B2C",10,IF(AF201="B2B",5,0))</f>
        <v/>
      </c>
      <c r="AH201" s="25" t="inlineStr">
        <is>
          <t>No</t>
        </is>
      </c>
      <c r="AI201" s="25">
        <f>IF(AH201="Yes",10,0)</f>
        <v/>
      </c>
      <c r="AJ201" s="25" t="inlineStr">
        <is>
          <t>Higher One Time, Lower Annuity</t>
        </is>
      </c>
      <c r="AK201" s="25">
        <f>IF(AJ201="Fully Annuity",10,IF(AJ201="Higher Annuity, Lower One Time",5,IF(AJ201="Higher One Time, Lower Annuity",3,0)))</f>
        <v/>
      </c>
      <c r="AL201" s="25" t="inlineStr">
        <is>
          <t>Good</t>
        </is>
      </c>
      <c r="AM201" s="25">
        <f>IF(AL201="Good",10,0)</f>
        <v/>
      </c>
      <c r="AN201" s="25" t="inlineStr">
        <is>
          <t>Yes for more than 2 years</t>
        </is>
      </c>
      <c r="AO201" s="25">
        <f>IF(AN201="Yes for more than 2 years",10,IF(AN201="Yes only for next 1 to 2 years",5,0))</f>
        <v/>
      </c>
      <c r="AP201" s="25" t="inlineStr">
        <is>
          <t>20 to 40</t>
        </is>
      </c>
      <c r="AQ201" s="25">
        <f>IF(AP201="Above 40",20,IF(AP201="20 to 40",10,IF(AP201="0 to 20",-5,0)))</f>
        <v/>
      </c>
      <c r="AR201" s="25" t="inlineStr">
        <is>
          <t>Between 50 to 75</t>
        </is>
      </c>
      <c r="AS201" s="25">
        <f>IF(AR201="Between 50 to 75",10,IF(AR201="Above 75",0,0))</f>
        <v/>
      </c>
      <c r="AT201" s="25" t="inlineStr">
        <is>
          <t>Stage 2</t>
        </is>
      </c>
      <c r="AU201" s="25">
        <f>IF(AT201="Stage 2",20,IF(AT201="Stage 1",0,IF(AT201="Stage 3",5,IF(AT201="Stage 4",-5,0))))</f>
        <v/>
      </c>
      <c r="AV201" s="25" t="inlineStr">
        <is>
          <t>Positive Trend</t>
        </is>
      </c>
      <c r="AW201" s="25">
        <f>IF(AV201="Positive Trend",20,IF(AV201="Negative Trend",-10,0))</f>
        <v/>
      </c>
      <c r="AX201" s="25" t="inlineStr">
        <is>
          <t>Uptrend</t>
        </is>
      </c>
      <c r="AY201" s="25">
        <f>IF(AX201="Uptrend",10,IF(AX201="Sideways",5,0))</f>
        <v/>
      </c>
      <c r="AZ201" s="25" t="inlineStr">
        <is>
          <t>Uptrend</t>
        </is>
      </c>
      <c r="BA201" s="25">
        <f>IF(AZ201="Uptrend",10,IF(AZ201="Sideways",5,0))</f>
        <v/>
      </c>
      <c r="BB201" s="25" t="inlineStr">
        <is>
          <t>Close to 52 week high or retracement</t>
        </is>
      </c>
      <c r="BC201" s="25">
        <f>IF(BB201="Overhead supply in last 2 years in last 2 years",-5,IF(BB201="Close to 52 week high or retracement",5,IF(BB201="Blue sky scenario",10,IF(BB201="Long term Downtrend",-10,0))))</f>
        <v/>
      </c>
      <c r="BD201" s="25" t="inlineStr">
        <is>
          <t>Yes</t>
        </is>
      </c>
      <c r="BE201" s="25">
        <f>IF(BD201="Yes",10,0)</f>
        <v/>
      </c>
      <c r="BF201" s="25" t="inlineStr">
        <is>
          <t>More than 20%</t>
        </is>
      </c>
      <c r="BG201" s="25">
        <f>IF(BF201="More than 20%",10,IF(BF201="Between 12 to 20%",5,IF(BF201="Less than 12%",0,0)))</f>
        <v/>
      </c>
      <c r="BH201" s="25" t="inlineStr">
        <is>
          <t>No</t>
        </is>
      </c>
      <c r="BI201" s="25">
        <f>IF(BH201="No",10,0)</f>
        <v/>
      </c>
      <c r="BJ201" s="25" t="inlineStr">
        <is>
          <t>Yes</t>
        </is>
      </c>
      <c r="BK201" s="25">
        <f>IF(BJ201="NO",5,0)</f>
        <v/>
      </c>
      <c r="BL201" s="25" t="inlineStr">
        <is>
          <t>Less than 1.5</t>
        </is>
      </c>
      <c r="BM201" s="25">
        <f>IF(BL201="Above 2",0,IF(BL201="Between 1.5 to 2",5,IF(BL201="Less than 1.5",10,0)))</f>
        <v/>
      </c>
      <c r="BN201" s="25" t="inlineStr">
        <is>
          <t>Above 70%</t>
        </is>
      </c>
      <c r="BO201" s="25">
        <f>IF(BN201="Above 70%",10,IF(BN201="Between 50% to 70%",5,IF(BN201="Less than 50%",0,IF(BN201="Negative",-10,IF(BN201="Less than 50% and Borrowings are increasing",-5,0)))))</f>
        <v/>
      </c>
      <c r="BP201" s="25" t="inlineStr">
        <is>
          <t>More than 1.2</t>
        </is>
      </c>
      <c r="BQ201" s="25">
        <f>IF(BP201="More than 1.2",-10,IF(BP201="Between 0.7 to 1.2",0,IF(BP201="Less than 0.7",10,0)))</f>
        <v/>
      </c>
      <c r="BR201" s="25" t="inlineStr">
        <is>
          <t>No</t>
        </is>
      </c>
      <c r="BS201" s="25">
        <f>IF(BR201="Yes",-10,0)</f>
        <v/>
      </c>
      <c r="BT201" s="25" t="inlineStr">
        <is>
          <t>Less than 15%</t>
        </is>
      </c>
      <c r="BU201" s="25">
        <f>IF(BT201="More than 15%",-10,IF(BT201="Less than 15%",10,0))</f>
        <v/>
      </c>
      <c r="BV201" s="25" t="inlineStr">
        <is>
          <t>No</t>
        </is>
      </c>
      <c r="BW201" s="25">
        <f>IF(BV201="Yes, more than 10%",-10,IF(BV201="No",10,0))</f>
        <v/>
      </c>
    </row>
    <row r="202">
      <c r="A202" s="25">
        <f>IF(B202=0,"",RANK(B202,$B$2:$B$292,0))</f>
        <v/>
      </c>
      <c r="B202" s="26">
        <f>SUM(Q202,S202,U202,W202,Y202,AA202,AC202,AE202,AG202,AI202,AK202,AM202,AO202,AQ202,AS202,AU202,AW202,AY202,BA202,BC202,BE202,BG202,BI202,BK202,BM202,BO202,BQ202,BS202,BU202,BW202)</f>
        <v/>
      </c>
      <c r="C202" s="25" t="inlineStr">
        <is>
          <t>SUPRAJIT</t>
        </is>
      </c>
      <c r="D202" s="25" t="inlineStr">
        <is>
          <t>Suprajit Engineering Limited</t>
        </is>
      </c>
      <c r="E202" s="25" t="inlineStr">
        <is>
          <t>auto</t>
        </is>
      </c>
      <c r="F202" s="25" t="inlineStr">
        <is>
          <t>auto ancillaries</t>
        </is>
      </c>
      <c r="G202" s="25" t="inlineStr">
        <is>
          <t>midcap</t>
        </is>
      </c>
      <c r="H202" s="26" t="n">
        <v>6351.02</v>
      </c>
      <c r="I202" s="26" t="n">
        <v>459.25</v>
      </c>
      <c r="J202" s="26" t="n">
        <v>-0.8100000000000001</v>
      </c>
      <c r="K202" s="26" t="n">
        <v>179753</v>
      </c>
      <c r="L202" s="26" t="n">
        <v>55.68</v>
      </c>
      <c r="M202" s="26" t="n">
        <v>16.7</v>
      </c>
      <c r="N202" s="26" t="n">
        <v>357.06</v>
      </c>
      <c r="O202" s="25" t="inlineStr">
        <is>
          <t>Earnings / Momentum Support</t>
        </is>
      </c>
      <c r="P202" s="25" t="inlineStr">
        <is>
          <t>Growing Industry</t>
        </is>
      </c>
      <c r="Q202" s="25">
        <f>IF(P202="Growing Industry",10,IF(P202="Cyclical in an Upturn",5,0))</f>
        <v/>
      </c>
      <c r="R202" s="25" t="inlineStr">
        <is>
          <t>Too Many Players with High ROCE</t>
        </is>
      </c>
      <c r="S202" s="25">
        <f>IF(R202="Monopoly",10,IF(R202="Oligopoly",5,IF(R202="Duopoly that cooperate",10,IF(R202="Duopoly that compete",5,IF(R202="Too many players with High ROCE",5,0)))))</f>
        <v/>
      </c>
      <c r="T202" s="25" t="inlineStr">
        <is>
          <t>No</t>
        </is>
      </c>
      <c r="U202" s="25">
        <f>IF(T202="No",5,0)</f>
        <v/>
      </c>
      <c r="V202" s="25" t="inlineStr">
        <is>
          <t>Tailwind</t>
        </is>
      </c>
      <c r="W202" s="25">
        <f>IF(V202="Tailwind",10,0)</f>
        <v/>
      </c>
      <c r="X202" s="25" t="inlineStr">
        <is>
          <t>Structural (10 Years Consistency)</t>
        </is>
      </c>
      <c r="Y202" s="25">
        <f>IF(X202="Structural (10 Years Consistency)",10,IF(X202="Shallow Cyclical (2 to 3 years growth)",5,0))</f>
        <v/>
      </c>
      <c r="Z202" s="25" t="inlineStr">
        <is>
          <t>No</t>
        </is>
      </c>
      <c r="AA202" s="25">
        <f>IF(Z202="Yes due to Product Mix change or Operating Leverage",10,IF(Z202="Yes, these are peak margins",-5,IF(Z202="No",5,0)))</f>
        <v/>
      </c>
      <c r="AB202" s="25" t="inlineStr">
        <is>
          <t>Stable</t>
        </is>
      </c>
      <c r="AC202" s="25">
        <f>IF(AB202="Stable",10,0)</f>
        <v/>
      </c>
      <c r="AD202" s="25" t="inlineStr">
        <is>
          <t>Yes</t>
        </is>
      </c>
      <c r="AE202" s="25">
        <f>IF(AD202="Yes",10,0)</f>
        <v/>
      </c>
      <c r="AF202" s="25" t="inlineStr">
        <is>
          <t>B2B</t>
        </is>
      </c>
      <c r="AG202" s="25">
        <f>IF(AF202="B2C",10,IF(AF202="B2B",5,0))</f>
        <v/>
      </c>
      <c r="AH202" s="25" t="inlineStr">
        <is>
          <t>No</t>
        </is>
      </c>
      <c r="AI202" s="25">
        <f>IF(AH202="Yes",10,0)</f>
        <v/>
      </c>
      <c r="AJ202" s="25" t="inlineStr">
        <is>
          <t>Higher One Time, Lower Annuity</t>
        </is>
      </c>
      <c r="AK202" s="25">
        <f>IF(AJ202="Fully Annuity",10,IF(AJ202="Higher Annuity, Lower One Time",5,IF(AJ202="Higher One Time, Lower Annuity",3,0)))</f>
        <v/>
      </c>
      <c r="AL202" s="25" t="inlineStr">
        <is>
          <t>Good</t>
        </is>
      </c>
      <c r="AM202" s="25">
        <f>IF(AL202="Good",10,0)</f>
        <v/>
      </c>
      <c r="AN202" s="25" t="inlineStr">
        <is>
          <t>Yes for more than 2 years</t>
        </is>
      </c>
      <c r="AO202" s="25">
        <f>IF(AN202="Yes for more than 2 years",10,IF(AN202="Yes only for next 1 to 2 years",5,0))</f>
        <v/>
      </c>
      <c r="AP202" s="25" t="inlineStr">
        <is>
          <t>0 to 20</t>
        </is>
      </c>
      <c r="AQ202" s="25">
        <f>IF(AP202="Above 40",20,IF(AP202="20 to 40",10,IF(AP202="0 to 20",-5,0)))</f>
        <v/>
      </c>
      <c r="AR202" s="25" t="inlineStr">
        <is>
          <t>Between 50 to 75</t>
        </is>
      </c>
      <c r="AS202" s="25">
        <f>IF(AR202="Between 50 to 75",10,IF(AR202="Above 75",0,0))</f>
        <v/>
      </c>
      <c r="AT202" s="25" t="inlineStr">
        <is>
          <t>Stage 2</t>
        </is>
      </c>
      <c r="AU202" s="25">
        <f>IF(AT202="Stage 2",20,IF(AT202="Stage 1",0,IF(AT202="Stage 3",5,IF(AT202="Stage 4",-5,0))))</f>
        <v/>
      </c>
      <c r="AV202" s="25" t="inlineStr">
        <is>
          <t>Positive Trend</t>
        </is>
      </c>
      <c r="AW202" s="25">
        <f>IF(AV202="Positive Trend",20,IF(AV202="Negative Trend",-10,0))</f>
        <v/>
      </c>
      <c r="AX202" s="25" t="inlineStr">
        <is>
          <t>Uptrend</t>
        </is>
      </c>
      <c r="AY202" s="25">
        <f>IF(AX202="Uptrend",10,IF(AX202="Sideways",5,0))</f>
        <v/>
      </c>
      <c r="AZ202" s="25" t="inlineStr">
        <is>
          <t>Uptrend</t>
        </is>
      </c>
      <c r="BA202" s="25">
        <f>IF(AZ202="Uptrend",10,IF(AZ202="Sideways",5,0))</f>
        <v/>
      </c>
      <c r="BB202" s="25" t="inlineStr">
        <is>
          <t>Close to 52 week high or retracement</t>
        </is>
      </c>
      <c r="BC202" s="25">
        <f>IF(BB202="Overhead supply in last 2 years in last 2 years",-5,IF(BB202="Close to 52 week high or retracement",5,IF(BB202="Blue sky scenario",10,IF(BB202="Long term Downtrend",-10,0))))</f>
        <v/>
      </c>
      <c r="BD202" s="25" t="inlineStr">
        <is>
          <t>Yes</t>
        </is>
      </c>
      <c r="BE202" s="25">
        <f>IF(BD202="Yes",10,0)</f>
        <v/>
      </c>
      <c r="BF202" s="25" t="inlineStr">
        <is>
          <t>More than 20%</t>
        </is>
      </c>
      <c r="BG202" s="25">
        <f>IF(BF202="More than 20%",10,IF(BF202="Between 12 to 20%",5,IF(BF202="Less than 12%",0,0)))</f>
        <v/>
      </c>
      <c r="BH202" s="25" t="inlineStr">
        <is>
          <t>No</t>
        </is>
      </c>
      <c r="BI202" s="25">
        <f>IF(BH202="No",10,0)</f>
        <v/>
      </c>
      <c r="BJ202" s="25" t="inlineStr">
        <is>
          <t>No</t>
        </is>
      </c>
      <c r="BK202" s="25">
        <f>IF(BJ202="NO",5,0)</f>
        <v/>
      </c>
      <c r="BL202" s="25" t="inlineStr">
        <is>
          <t>Less than 1.5</t>
        </is>
      </c>
      <c r="BM202" s="25">
        <f>IF(BL202="Above 2",0,IF(BL202="Between 1.5 to 2",5,IF(BL202="Less than 1.5",10,0)))</f>
        <v/>
      </c>
      <c r="BN202" s="25" t="inlineStr">
        <is>
          <t>Less than 50%</t>
        </is>
      </c>
      <c r="BO202" s="25">
        <f>IF(BN202="Above 70%",10,IF(BN202="Between 50% to 70%",5,IF(BN202="Less than 50%",0,IF(BN202="Negative",-10,IF(BN202="Less than 50% and Borrowings are increasing",-5,0)))))</f>
        <v/>
      </c>
      <c r="BP202" s="25" t="inlineStr">
        <is>
          <t>Less than 0.7</t>
        </is>
      </c>
      <c r="BQ202" s="25">
        <f>IF(BP202="More than 1.2",-10,IF(BP202="Between 0.7 to 1.2",0,IF(BP202="Less than 0.7",10,0)))</f>
        <v/>
      </c>
      <c r="BR202" s="25" t="inlineStr">
        <is>
          <t>No</t>
        </is>
      </c>
      <c r="BS202" s="25">
        <f>IF(BR202="Yes",-10,0)</f>
        <v/>
      </c>
      <c r="BT202" s="25" t="inlineStr">
        <is>
          <t>Less than 15%</t>
        </is>
      </c>
      <c r="BU202" s="25">
        <f>IF(BT202="More than 15%",-10,IF(BT202="Less than 15%",10,0))</f>
        <v/>
      </c>
      <c r="BV202" s="25" t="inlineStr">
        <is>
          <t>No</t>
        </is>
      </c>
      <c r="BW202" s="25">
        <f>IF(BV202="Yes, more than 10%",-10,IF(BV202="No",10,0))</f>
        <v/>
      </c>
    </row>
    <row r="203">
      <c r="A203" s="25">
        <f>IF(B203=0,"",RANK(B203,$B$2:$B$292,0))</f>
        <v/>
      </c>
      <c r="B203" s="26">
        <f>SUM(Q203,S203,U203,W203,Y203,AA203,AC203,AE203,AG203,AI203,AK203,AM203,AO203,AQ203,AS203,AU203,AW203,AY203,BA203,BC203,BE203,BG203,BI203,BK203,BM203,BO203,BQ203,BS203,BU203,BW203)</f>
        <v/>
      </c>
      <c r="C203" s="25" t="inlineStr">
        <is>
          <t>YASHO</t>
        </is>
      </c>
      <c r="D203" s="25" t="inlineStr">
        <is>
          <t>Yasho Industries Ltd</t>
        </is>
      </c>
      <c r="E203" s="25" t="inlineStr">
        <is>
          <t>chemicals</t>
        </is>
      </c>
      <c r="F203" s="25" t="inlineStr">
        <is>
          <t>chemicals</t>
        </is>
      </c>
      <c r="G203" s="25" t="inlineStr">
        <is>
          <t>smallcap</t>
        </is>
      </c>
      <c r="H203" s="26" t="n">
        <v>2640.74</v>
      </c>
      <c r="I203" s="26" t="n">
        <v>2168</v>
      </c>
      <c r="J203" s="26" t="n">
        <v>-1.01</v>
      </c>
      <c r="K203" s="26" t="n">
        <v>22316</v>
      </c>
      <c r="L203" s="26" t="n">
        <v>73.77</v>
      </c>
      <c r="M203" s="26" t="n">
        <v>17.62</v>
      </c>
      <c r="N203" s="26" t="n">
        <v>1616.99</v>
      </c>
      <c r="O203" s="25" t="inlineStr">
        <is>
          <t>Near 52W High Breakout</t>
        </is>
      </c>
      <c r="P203" s="25" t="inlineStr">
        <is>
          <t>Growing Industry</t>
        </is>
      </c>
      <c r="Q203" s="25">
        <f>IF(P203="Growing Industry",10,IF(P203="Cyclical in an Upturn",5,0))</f>
        <v/>
      </c>
      <c r="R203" s="25" t="inlineStr">
        <is>
          <t>Too Many Players with High ROCE</t>
        </is>
      </c>
      <c r="S203" s="25">
        <f>IF(R203="Monopoly",10,IF(R203="Oligopoly",5,IF(R203="Duopoly that cooperate",10,IF(R203="Duopoly that compete",5,IF(R203="Too many players with High ROCE",5,0)))))</f>
        <v/>
      </c>
      <c r="T203" s="25" t="inlineStr">
        <is>
          <t>No</t>
        </is>
      </c>
      <c r="U203" s="25">
        <f>IF(T203="No",5,0)</f>
        <v/>
      </c>
      <c r="V203" s="25" t="inlineStr">
        <is>
          <t>Tailwind</t>
        </is>
      </c>
      <c r="W203" s="25">
        <f>IF(V203="Tailwind",10,0)</f>
        <v/>
      </c>
      <c r="X203" s="25" t="inlineStr">
        <is>
          <t>Structural (10 Years Consistency)</t>
        </is>
      </c>
      <c r="Y203" s="25">
        <f>IF(X203="Structural (10 Years Consistency)",10,IF(X203="Shallow Cyclical (2 to 3 years growth)",5,0))</f>
        <v/>
      </c>
      <c r="Z203" s="25" t="inlineStr">
        <is>
          <t>No</t>
        </is>
      </c>
      <c r="AA203" s="25">
        <f>IF(Z203="Yes due to Product Mix change or Operating Leverage",10,IF(Z203="Yes, these are peak margins",-5,IF(Z203="No",5,0)))</f>
        <v/>
      </c>
      <c r="AB203" s="25" t="inlineStr">
        <is>
          <t>Stable</t>
        </is>
      </c>
      <c r="AC203" s="25">
        <f>IF(AB203="Stable",10,0)</f>
        <v/>
      </c>
      <c r="AD203" s="25" t="inlineStr">
        <is>
          <t>Yes</t>
        </is>
      </c>
      <c r="AE203" s="25">
        <f>IF(AD203="Yes",10,0)</f>
        <v/>
      </c>
      <c r="AF203" s="25" t="inlineStr">
        <is>
          <t>B2B</t>
        </is>
      </c>
      <c r="AG203" s="25">
        <f>IF(AF203="B2C",10,IF(AF203="B2B",5,0))</f>
        <v/>
      </c>
      <c r="AH203" s="25" t="inlineStr">
        <is>
          <t>Yes</t>
        </is>
      </c>
      <c r="AI203" s="25">
        <f>IF(AH203="Yes",10,0)</f>
        <v/>
      </c>
      <c r="AJ203" s="25" t="inlineStr">
        <is>
          <t>Higher One Time, Lower Annuity</t>
        </is>
      </c>
      <c r="AK203" s="25">
        <f>IF(AJ203="Fully Annuity",10,IF(AJ203="Higher Annuity, Lower One Time",5,IF(AJ203="Higher One Time, Lower Annuity",3,0)))</f>
        <v/>
      </c>
      <c r="AL203" s="25" t="inlineStr">
        <is>
          <t>Good</t>
        </is>
      </c>
      <c r="AM203" s="25">
        <f>IF(AL203="Good",10,0)</f>
        <v/>
      </c>
      <c r="AN203" s="25" t="inlineStr">
        <is>
          <t>Yes for more than 2 years</t>
        </is>
      </c>
      <c r="AO203" s="25">
        <f>IF(AN203="Yes for more than 2 years",10,IF(AN203="Yes only for next 1 to 2 years",5,0))</f>
        <v/>
      </c>
      <c r="AP203" s="25" t="inlineStr">
        <is>
          <t>0 to 20</t>
        </is>
      </c>
      <c r="AQ203" s="25">
        <f>IF(AP203="Above 40",20,IF(AP203="20 to 40",10,IF(AP203="0 to 20",-5,0)))</f>
        <v/>
      </c>
      <c r="AR203" s="25" t="inlineStr">
        <is>
          <t>Between 50 to 75</t>
        </is>
      </c>
      <c r="AS203" s="25">
        <f>IF(AR203="Between 50 to 75",10,IF(AR203="Above 75",0,0))</f>
        <v/>
      </c>
      <c r="AT203" s="25" t="inlineStr">
        <is>
          <t>Stage 2</t>
        </is>
      </c>
      <c r="AU203" s="25">
        <f>IF(AT203="Stage 2",20,IF(AT203="Stage 1",0,IF(AT203="Stage 3",5,IF(AT203="Stage 4",-5,0))))</f>
        <v/>
      </c>
      <c r="AV203" s="25" t="inlineStr">
        <is>
          <t>Positive Trend</t>
        </is>
      </c>
      <c r="AW203" s="25">
        <f>IF(AV203="Positive Trend",20,IF(AV203="Negative Trend",-10,0))</f>
        <v/>
      </c>
      <c r="AX203" s="25" t="inlineStr">
        <is>
          <t>Uptrend</t>
        </is>
      </c>
      <c r="AY203" s="25">
        <f>IF(AX203="Uptrend",10,IF(AX203="Sideways",5,0))</f>
        <v/>
      </c>
      <c r="AZ203" s="25" t="inlineStr">
        <is>
          <t>Uptrend</t>
        </is>
      </c>
      <c r="BA203" s="25">
        <f>IF(AZ203="Uptrend",10,IF(AZ203="Sideways",5,0))</f>
        <v/>
      </c>
      <c r="BB203" s="25" t="inlineStr">
        <is>
          <t>Blue sky scenario</t>
        </is>
      </c>
      <c r="BC203" s="25">
        <f>IF(BB203="Overhead supply in last 2 years in last 2 years",-5,IF(BB203="Close to 52 week high or retracement",5,IF(BB203="Blue sky scenario",10,IF(BB203="Long term Downtrend",-10,0))))</f>
        <v/>
      </c>
      <c r="BD203" s="25" t="inlineStr">
        <is>
          <t>Yes</t>
        </is>
      </c>
      <c r="BE203" s="25">
        <f>IF(BD203="Yes",10,0)</f>
        <v/>
      </c>
      <c r="BF203" s="25" t="inlineStr">
        <is>
          <t>More than 20%</t>
        </is>
      </c>
      <c r="BG203" s="25">
        <f>IF(BF203="More than 20%",10,IF(BF203="Between 12 to 20%",5,IF(BF203="Less than 12%",0,0)))</f>
        <v/>
      </c>
      <c r="BH203" s="25" t="inlineStr">
        <is>
          <t>No</t>
        </is>
      </c>
      <c r="BI203" s="25">
        <f>IF(BH203="No",10,0)</f>
        <v/>
      </c>
      <c r="BJ203" s="25" t="inlineStr">
        <is>
          <t>Yes</t>
        </is>
      </c>
      <c r="BK203" s="25">
        <f>IF(BJ203="NO",5,0)</f>
        <v/>
      </c>
      <c r="BL203" s="25" t="inlineStr">
        <is>
          <t>Less than 1.5</t>
        </is>
      </c>
      <c r="BM203" s="25">
        <f>IF(BL203="Above 2",0,IF(BL203="Between 1.5 to 2",5,IF(BL203="Less than 1.5",10,0)))</f>
        <v/>
      </c>
      <c r="BN203" s="25" t="inlineStr">
        <is>
          <t>Above 70%</t>
        </is>
      </c>
      <c r="BO203" s="25">
        <f>IF(BN203="Above 70%",10,IF(BN203="Between 50% to 70%",5,IF(BN203="Less than 50%",0,IF(BN203="Negative",-10,IF(BN203="Less than 50% and Borrowings are increasing",-5,0)))))</f>
        <v/>
      </c>
      <c r="BP203" s="25" t="inlineStr">
        <is>
          <t>More than 1.2</t>
        </is>
      </c>
      <c r="BQ203" s="25">
        <f>IF(BP203="More than 1.2",-10,IF(BP203="Between 0.7 to 1.2",0,IF(BP203="Less than 0.7",10,0)))</f>
        <v/>
      </c>
      <c r="BR203" s="25" t="inlineStr">
        <is>
          <t>No</t>
        </is>
      </c>
      <c r="BS203" s="25">
        <f>IF(BR203="Yes",-10,0)</f>
        <v/>
      </c>
      <c r="BT203" s="25" t="inlineStr">
        <is>
          <t>Less than 15%</t>
        </is>
      </c>
      <c r="BU203" s="25">
        <f>IF(BT203="More than 15%",-10,IF(BT203="Less than 15%",10,0))</f>
        <v/>
      </c>
      <c r="BV203" s="25" t="inlineStr">
        <is>
          <t>No</t>
        </is>
      </c>
      <c r="BW203" s="25">
        <f>IF(BV203="Yes, more than 10%",-10,IF(BV203="No",10,0))</f>
        <v/>
      </c>
    </row>
    <row r="204">
      <c r="A204" s="25">
        <f>IF(B204=0,"",RANK(B204,$B$2:$B$292,0))</f>
        <v/>
      </c>
      <c r="B204" s="26">
        <f>SUM(Q204,S204,U204,W204,Y204,AA204,AC204,AE204,AG204,AI204,AK204,AM204,AO204,AQ204,AS204,AU204,AW204,AY204,BA204,BC204,BE204,BG204,BI204,BK204,BM204,BO204,BQ204,BS204,BU204,BW204)</f>
        <v/>
      </c>
      <c r="C204" s="25" t="inlineStr">
        <is>
          <t>HAPPYFORGE</t>
        </is>
      </c>
      <c r="D204" s="25" t="inlineStr">
        <is>
          <t>Happy Forgings Ltd</t>
        </is>
      </c>
      <c r="E204" s="25" t="inlineStr">
        <is>
          <t>industrials</t>
        </is>
      </c>
      <c r="F204" s="25" t="inlineStr">
        <is>
          <t>castings &amp; forgings</t>
        </is>
      </c>
      <c r="G204" s="25" t="inlineStr">
        <is>
          <t>midcap</t>
        </is>
      </c>
      <c r="H204" s="26" t="n">
        <v>13473.25</v>
      </c>
      <c r="I204" s="26" t="n">
        <v>1409</v>
      </c>
      <c r="J204" s="26" t="n">
        <v>-1.33</v>
      </c>
      <c r="K204" s="26" t="n">
        <v>177989</v>
      </c>
      <c r="L204" s="26" t="n">
        <v>64.83</v>
      </c>
      <c r="M204" s="26" t="n">
        <v>32.38</v>
      </c>
      <c r="N204" s="26" t="n">
        <v>1129.81</v>
      </c>
      <c r="O204" s="25" t="inlineStr">
        <is>
          <t>Near 52W High Breakout</t>
        </is>
      </c>
      <c r="P204" s="25" t="inlineStr">
        <is>
          <t>Cyclical in an Upturn</t>
        </is>
      </c>
      <c r="Q204" s="25">
        <f>IF(P204="Growing Industry",10,IF(P204="Cyclical in an Upturn",5,0))</f>
        <v/>
      </c>
      <c r="R204" s="25" t="inlineStr">
        <is>
          <t>Too Many Players with High ROCE</t>
        </is>
      </c>
      <c r="S204" s="25">
        <f>IF(R204="Monopoly",10,IF(R204="Oligopoly",5,IF(R204="Duopoly that cooperate",10,IF(R204="Duopoly that compete",5,IF(R204="Too many players with High ROCE",5,0)))))</f>
        <v/>
      </c>
      <c r="T204" s="25" t="inlineStr">
        <is>
          <t>No</t>
        </is>
      </c>
      <c r="U204" s="25">
        <f>IF(T204="No",5,0)</f>
        <v/>
      </c>
      <c r="V204" s="25" t="inlineStr">
        <is>
          <t>Tailwind</t>
        </is>
      </c>
      <c r="W204" s="25">
        <f>IF(V204="Tailwind",10,0)</f>
        <v/>
      </c>
      <c r="X204" s="25" t="inlineStr">
        <is>
          <t>Structural (10 Years Consistency)</t>
        </is>
      </c>
      <c r="Y204" s="25">
        <f>IF(X204="Structural (10 Years Consistency)",10,IF(X204="Shallow Cyclical (2 to 3 years growth)",5,0))</f>
        <v/>
      </c>
      <c r="Z204" s="25" t="inlineStr">
        <is>
          <t>No</t>
        </is>
      </c>
      <c r="AA204" s="25">
        <f>IF(Z204="Yes due to Product Mix change or Operating Leverage",10,IF(Z204="Yes, these are peak margins",-5,IF(Z204="No",5,0)))</f>
        <v/>
      </c>
      <c r="AB204" s="25" t="inlineStr">
        <is>
          <t>Stable</t>
        </is>
      </c>
      <c r="AC204" s="25">
        <f>IF(AB204="Stable",10,0)</f>
        <v/>
      </c>
      <c r="AD204" s="25" t="inlineStr">
        <is>
          <t>Yes</t>
        </is>
      </c>
      <c r="AE204" s="25">
        <f>IF(AD204="Yes",10,0)</f>
        <v/>
      </c>
      <c r="AF204" s="25" t="inlineStr">
        <is>
          <t>B2B</t>
        </is>
      </c>
      <c r="AG204" s="25">
        <f>IF(AF204="B2C",10,IF(AF204="B2B",5,0))</f>
        <v/>
      </c>
      <c r="AH204" s="25" t="inlineStr">
        <is>
          <t>Yes</t>
        </is>
      </c>
      <c r="AI204" s="25">
        <f>IF(AH204="Yes",10,0)</f>
        <v/>
      </c>
      <c r="AJ204" s="25" t="inlineStr">
        <is>
          <t>Higher One Time, Lower Annuity</t>
        </is>
      </c>
      <c r="AK204" s="25">
        <f>IF(AJ204="Fully Annuity",10,IF(AJ204="Higher Annuity, Lower One Time",5,IF(AJ204="Higher One Time, Lower Annuity",3,0)))</f>
        <v/>
      </c>
      <c r="AL204" s="25" t="inlineStr">
        <is>
          <t>Good</t>
        </is>
      </c>
      <c r="AM204" s="25">
        <f>IF(AL204="Good",10,0)</f>
        <v/>
      </c>
      <c r="AN204" s="25" t="inlineStr">
        <is>
          <t>Yes for more than 2 years</t>
        </is>
      </c>
      <c r="AO204" s="25">
        <f>IF(AN204="Yes for more than 2 years",10,IF(AN204="Yes only for next 1 to 2 years",5,0))</f>
        <v/>
      </c>
      <c r="AP204" s="25" t="inlineStr">
        <is>
          <t>20 to 40</t>
        </is>
      </c>
      <c r="AQ204" s="25">
        <f>IF(AP204="Above 40",20,IF(AP204="20 to 40",10,IF(AP204="0 to 20",-5,0)))</f>
        <v/>
      </c>
      <c r="AR204" s="25" t="inlineStr">
        <is>
          <t>Between 50 to 75</t>
        </is>
      </c>
      <c r="AS204" s="25">
        <f>IF(AR204="Between 50 to 75",10,IF(AR204="Above 75",0,0))</f>
        <v/>
      </c>
      <c r="AT204" s="25" t="inlineStr">
        <is>
          <t>Stage 2</t>
        </is>
      </c>
      <c r="AU204" s="25">
        <f>IF(AT204="Stage 2",20,IF(AT204="Stage 1",0,IF(AT204="Stage 3",5,IF(AT204="Stage 4",-5,0))))</f>
        <v/>
      </c>
      <c r="AV204" s="25" t="inlineStr">
        <is>
          <t>Negative Trend</t>
        </is>
      </c>
      <c r="AW204" s="25">
        <f>IF(AV204="Positive Trend",20,IF(AV204="Negative Trend",-10,0))</f>
        <v/>
      </c>
      <c r="AX204" s="25" t="inlineStr">
        <is>
          <t>Uptrend</t>
        </is>
      </c>
      <c r="AY204" s="25">
        <f>IF(AX204="Uptrend",10,IF(AX204="Sideways",5,0))</f>
        <v/>
      </c>
      <c r="AZ204" s="25" t="inlineStr">
        <is>
          <t>Uptrend</t>
        </is>
      </c>
      <c r="BA204" s="25">
        <f>IF(AZ204="Uptrend",10,IF(AZ204="Sideways",5,0))</f>
        <v/>
      </c>
      <c r="BB204" s="25" t="inlineStr">
        <is>
          <t>Blue sky scenario</t>
        </is>
      </c>
      <c r="BC204" s="25">
        <f>IF(BB204="Overhead supply in last 2 years in last 2 years",-5,IF(BB204="Close to 52 week high or retracement",5,IF(BB204="Blue sky scenario",10,IF(BB204="Long term Downtrend",-10,0))))</f>
        <v/>
      </c>
      <c r="BD204" s="25" t="inlineStr">
        <is>
          <t>Yes</t>
        </is>
      </c>
      <c r="BE204" s="25">
        <f>IF(BD204="Yes",10,0)</f>
        <v/>
      </c>
      <c r="BF204" s="25" t="inlineStr">
        <is>
          <t>More than 20%</t>
        </is>
      </c>
      <c r="BG204" s="25">
        <f>IF(BF204="More than 20%",10,IF(BF204="Between 12 to 20%",5,IF(BF204="Less than 12%",0,0)))</f>
        <v/>
      </c>
      <c r="BH204" s="25" t="inlineStr">
        <is>
          <t>No</t>
        </is>
      </c>
      <c r="BI204" s="25">
        <f>IF(BH204="No",10,0)</f>
        <v/>
      </c>
      <c r="BJ204" s="25" t="inlineStr">
        <is>
          <t>Yes</t>
        </is>
      </c>
      <c r="BK204" s="25">
        <f>IF(BJ204="NO",5,0)</f>
        <v/>
      </c>
      <c r="BL204" s="25" t="inlineStr">
        <is>
          <t>Less than 1.5</t>
        </is>
      </c>
      <c r="BM204" s="25">
        <f>IF(BL204="Above 2",0,IF(BL204="Between 1.5 to 2",5,IF(BL204="Less than 1.5",10,0)))</f>
        <v/>
      </c>
      <c r="BN204" s="25" t="inlineStr">
        <is>
          <t>Above 70%</t>
        </is>
      </c>
      <c r="BO204" s="25">
        <f>IF(BN204="Above 70%",10,IF(BN204="Between 50% to 70%",5,IF(BN204="Less than 50%",0,IF(BN204="Negative",-10,IF(BN204="Less than 50% and Borrowings are increasing",-5,0)))))</f>
        <v/>
      </c>
      <c r="BP204" s="25" t="inlineStr">
        <is>
          <t>Less than 0.7</t>
        </is>
      </c>
      <c r="BQ204" s="25">
        <f>IF(BP204="More than 1.2",-10,IF(BP204="Between 0.7 to 1.2",0,IF(BP204="Less than 0.7",10,0)))</f>
        <v/>
      </c>
      <c r="BR204" s="25" t="inlineStr">
        <is>
          <t>No</t>
        </is>
      </c>
      <c r="BS204" s="25">
        <f>IF(BR204="Yes",-10,0)</f>
        <v/>
      </c>
      <c r="BT204" s="25" t="inlineStr">
        <is>
          <t>Less than 15%</t>
        </is>
      </c>
      <c r="BU204" s="25">
        <f>IF(BT204="More than 15%",-10,IF(BT204="Less than 15%",10,0))</f>
        <v/>
      </c>
      <c r="BV204" s="25" t="inlineStr">
        <is>
          <t>No</t>
        </is>
      </c>
      <c r="BW204" s="25">
        <f>IF(BV204="Yes, more than 10%",-10,IF(BV204="No",10,0))</f>
        <v/>
      </c>
    </row>
    <row r="205">
      <c r="A205" s="25">
        <f>IF(B205=0,"",RANK(B205,$B$2:$B$292,0))</f>
        <v/>
      </c>
      <c r="B205" s="26">
        <f>SUM(Q205,S205,U205,W205,Y205,AA205,AC205,AE205,AG205,AI205,AK205,AM205,AO205,AQ205,AS205,AU205,AW205,AY205,BA205,BC205,BE205,BG205,BI205,BK205,BM205,BO205,BQ205,BS205,BU205,BW205)</f>
        <v/>
      </c>
      <c r="C205" s="25" t="inlineStr">
        <is>
          <t>RSWM</t>
        </is>
      </c>
      <c r="D205" s="25" t="inlineStr">
        <is>
          <t>Rswm Limited</t>
        </is>
      </c>
      <c r="E205" s="25" t="inlineStr">
        <is>
          <t>textiles</t>
        </is>
      </c>
      <c r="F205" s="25" t="inlineStr">
        <is>
          <t>textiles - cotton/blended</t>
        </is>
      </c>
      <c r="G205" s="25" t="inlineStr">
        <is>
          <t>smallcap</t>
        </is>
      </c>
      <c r="H205" s="26" t="n">
        <v>824.66</v>
      </c>
      <c r="I205" s="26" t="n">
        <v>171.46</v>
      </c>
      <c r="J205" s="26" t="n">
        <v>-2.07</v>
      </c>
      <c r="K205" s="26" t="n">
        <v>111974</v>
      </c>
      <c r="L205" s="26" t="n">
        <v>58.24</v>
      </c>
      <c r="M205" s="26" t="n">
        <v>18.63</v>
      </c>
      <c r="N205" s="26" t="n">
        <v>133.38</v>
      </c>
      <c r="O205" s="25" t="inlineStr">
        <is>
          <t>Near 52W High Breakout</t>
        </is>
      </c>
      <c r="P205" s="25" t="inlineStr">
        <is>
          <t>Growing Industry</t>
        </is>
      </c>
      <c r="Q205" s="25">
        <f>IF(P205="Growing Industry",10,IF(P205="Cyclical in an Upturn",5,0))</f>
        <v/>
      </c>
      <c r="R205" s="25" t="inlineStr">
        <is>
          <t>Too Many Players with High ROCE</t>
        </is>
      </c>
      <c r="S205" s="25">
        <f>IF(R205="Monopoly",10,IF(R205="Oligopoly",5,IF(R205="Duopoly that cooperate",10,IF(R205="Duopoly that compete",5,IF(R205="Too many players with High ROCE",5,0)))))</f>
        <v/>
      </c>
      <c r="T205" s="25" t="inlineStr">
        <is>
          <t>No</t>
        </is>
      </c>
      <c r="U205" s="25">
        <f>IF(T205="No",5,0)</f>
        <v/>
      </c>
      <c r="V205" s="25" t="inlineStr">
        <is>
          <t>Tailwind</t>
        </is>
      </c>
      <c r="W205" s="25">
        <f>IF(V205="Tailwind",10,0)</f>
        <v/>
      </c>
      <c r="X205" s="25" t="inlineStr">
        <is>
          <t>Structural (10 Years Consistency)</t>
        </is>
      </c>
      <c r="Y205" s="25">
        <f>IF(X205="Structural (10 Years Consistency)",10,IF(X205="Shallow Cyclical (2 to 3 years growth)",5,0))</f>
        <v/>
      </c>
      <c r="Z205" s="25" t="inlineStr">
        <is>
          <t>No</t>
        </is>
      </c>
      <c r="AA205" s="25">
        <f>IF(Z205="Yes due to Product Mix change or Operating Leverage",10,IF(Z205="Yes, these are peak margins",-5,IF(Z205="No",5,0)))</f>
        <v/>
      </c>
      <c r="AB205" s="25" t="inlineStr">
        <is>
          <t>Stable</t>
        </is>
      </c>
      <c r="AC205" s="25">
        <f>IF(AB205="Stable",10,0)</f>
        <v/>
      </c>
      <c r="AD205" s="25" t="inlineStr">
        <is>
          <t>Yes</t>
        </is>
      </c>
      <c r="AE205" s="25">
        <f>IF(AD205="Yes",10,0)</f>
        <v/>
      </c>
      <c r="AF205" s="25" t="inlineStr">
        <is>
          <t>B2B</t>
        </is>
      </c>
      <c r="AG205" s="25">
        <f>IF(AF205="B2C",10,IF(AF205="B2B",5,0))</f>
        <v/>
      </c>
      <c r="AH205" s="25" t="inlineStr">
        <is>
          <t>Yes</t>
        </is>
      </c>
      <c r="AI205" s="25">
        <f>IF(AH205="Yes",10,0)</f>
        <v/>
      </c>
      <c r="AJ205" s="25" t="inlineStr">
        <is>
          <t>Higher One Time, Lower Annuity</t>
        </is>
      </c>
      <c r="AK205" s="25">
        <f>IF(AJ205="Fully Annuity",10,IF(AJ205="Higher Annuity, Lower One Time",5,IF(AJ205="Higher One Time, Lower Annuity",3,0)))</f>
        <v/>
      </c>
      <c r="AL205" s="25" t="inlineStr">
        <is>
          <t>Good</t>
        </is>
      </c>
      <c r="AM205" s="25">
        <f>IF(AL205="Good",10,0)</f>
        <v/>
      </c>
      <c r="AN205" s="25" t="inlineStr">
        <is>
          <t>Yes for more than 2 years</t>
        </is>
      </c>
      <c r="AO205" s="25">
        <f>IF(AN205="Yes for more than 2 years",10,IF(AN205="Yes only for next 1 to 2 years",5,0))</f>
        <v/>
      </c>
      <c r="AP205" s="25" t="inlineStr">
        <is>
          <t>0 to 20</t>
        </is>
      </c>
      <c r="AQ205" s="25">
        <f>IF(AP205="Above 40",20,IF(AP205="20 to 40",10,IF(AP205="0 to 20",-5,0)))</f>
        <v/>
      </c>
      <c r="AR205" s="25" t="inlineStr">
        <is>
          <t>Between 50 to 75</t>
        </is>
      </c>
      <c r="AS205" s="25">
        <f>IF(AR205="Between 50 to 75",10,IF(AR205="Above 75",0,0))</f>
        <v/>
      </c>
      <c r="AT205" s="25" t="inlineStr">
        <is>
          <t>Stage 2</t>
        </is>
      </c>
      <c r="AU205" s="25">
        <f>IF(AT205="Stage 2",20,IF(AT205="Stage 1",0,IF(AT205="Stage 3",5,IF(AT205="Stage 4",-5,0))))</f>
        <v/>
      </c>
      <c r="AV205" s="25" t="inlineStr">
        <is>
          <t>Positive Trend</t>
        </is>
      </c>
      <c r="AW205" s="25">
        <f>IF(AV205="Positive Trend",20,IF(AV205="Negative Trend",-10,0))</f>
        <v/>
      </c>
      <c r="AX205" s="25" t="inlineStr">
        <is>
          <t>Uptrend</t>
        </is>
      </c>
      <c r="AY205" s="25">
        <f>IF(AX205="Uptrend",10,IF(AX205="Sideways",5,0))</f>
        <v/>
      </c>
      <c r="AZ205" s="25" t="inlineStr">
        <is>
          <t>Uptrend</t>
        </is>
      </c>
      <c r="BA205" s="25">
        <f>IF(AZ205="Uptrend",10,IF(AZ205="Sideways",5,0))</f>
        <v/>
      </c>
      <c r="BB205" s="25" t="inlineStr">
        <is>
          <t>Close to 52 week high or retracement</t>
        </is>
      </c>
      <c r="BC205" s="25">
        <f>IF(BB205="Overhead supply in last 2 years in last 2 years",-5,IF(BB205="Close to 52 week high or retracement",5,IF(BB205="Blue sky scenario",10,IF(BB205="Long term Downtrend",-10,0))))</f>
        <v/>
      </c>
      <c r="BD205" s="25" t="inlineStr">
        <is>
          <t>Yes</t>
        </is>
      </c>
      <c r="BE205" s="25">
        <f>IF(BD205="Yes",10,0)</f>
        <v/>
      </c>
      <c r="BF205" s="25" t="inlineStr">
        <is>
          <t>More than 20%</t>
        </is>
      </c>
      <c r="BG205" s="25">
        <f>IF(BF205="More than 20%",10,IF(BF205="Between 12 to 20%",5,IF(BF205="Less than 12%",0,0)))</f>
        <v/>
      </c>
      <c r="BH205" s="25" t="inlineStr">
        <is>
          <t>No</t>
        </is>
      </c>
      <c r="BI205" s="25">
        <f>IF(BH205="No",10,0)</f>
        <v/>
      </c>
      <c r="BJ205" s="25" t="inlineStr">
        <is>
          <t>No</t>
        </is>
      </c>
      <c r="BK205" s="25">
        <f>IF(BJ205="NO",5,0)</f>
        <v/>
      </c>
      <c r="BL205" s="25" t="inlineStr">
        <is>
          <t>Less than 1.5</t>
        </is>
      </c>
      <c r="BM205" s="25">
        <f>IF(BL205="Above 2",0,IF(BL205="Between 1.5 to 2",5,IF(BL205="Less than 1.5",10,0)))</f>
        <v/>
      </c>
      <c r="BN205" s="25" t="inlineStr">
        <is>
          <t>Above 70%</t>
        </is>
      </c>
      <c r="BO205" s="25">
        <f>IF(BN205="Above 70%",10,IF(BN205="Between 50% to 70%",5,IF(BN205="Less than 50%",0,IF(BN205="Negative",-10,IF(BN205="Less than 50% and Borrowings are increasing",-5,0)))))</f>
        <v/>
      </c>
      <c r="BP205" s="25" t="inlineStr">
        <is>
          <t>More than 1.2</t>
        </is>
      </c>
      <c r="BQ205" s="25">
        <f>IF(BP205="More than 1.2",-10,IF(BP205="Between 0.7 to 1.2",0,IF(BP205="Less than 0.7",10,0)))</f>
        <v/>
      </c>
      <c r="BR205" s="25" t="inlineStr">
        <is>
          <t>No</t>
        </is>
      </c>
      <c r="BS205" s="25">
        <f>IF(BR205="Yes",-10,0)</f>
        <v/>
      </c>
      <c r="BT205" s="25" t="inlineStr">
        <is>
          <t>Less than 15%</t>
        </is>
      </c>
      <c r="BU205" s="25">
        <f>IF(BT205="More than 15%",-10,IF(BT205="Less than 15%",10,0))</f>
        <v/>
      </c>
      <c r="BV205" s="25" t="inlineStr">
        <is>
          <t>No</t>
        </is>
      </c>
      <c r="BW205" s="25">
        <f>IF(BV205="Yes, more than 10%",-10,IF(BV205="No",10,0))</f>
        <v/>
      </c>
    </row>
    <row r="206">
      <c r="A206" s="25">
        <f>IF(B206=0,"",RANK(B206,$B$2:$B$292,0))</f>
        <v/>
      </c>
      <c r="B206" s="26">
        <f>SUM(Q206,S206,U206,W206,Y206,AA206,AC206,AE206,AG206,AI206,AK206,AM206,AO206,AQ206,AS206,AU206,AW206,AY206,BA206,BC206,BE206,BG206,BI206,BK206,BM206,BO206,BQ206,BS206,BU206,BW206)</f>
        <v/>
      </c>
      <c r="C206" s="25" t="inlineStr">
        <is>
          <t>SIGMAADV</t>
        </is>
      </c>
      <c r="D206" s="25" t="inlineStr">
        <is>
          <t>Sigma Advanced System Ltd</t>
        </is>
      </c>
      <c r="E206" s="25" t="inlineStr">
        <is>
          <t>aerospace &amp; defence</t>
        </is>
      </c>
      <c r="F206" s="25" t="inlineStr">
        <is>
          <t>electronics - components</t>
        </is>
      </c>
      <c r="G206" s="25" t="inlineStr">
        <is>
          <t>midcap</t>
        </is>
      </c>
      <c r="H206" s="26" t="n">
        <v>7514.86</v>
      </c>
      <c r="I206" s="26" t="n">
        <v>416.1</v>
      </c>
      <c r="J206" s="26" t="n">
        <v>-2.42</v>
      </c>
      <c r="K206" s="26" t="n">
        <v>575360</v>
      </c>
      <c r="L206" s="26" t="n">
        <v>81.01000000000001</v>
      </c>
      <c r="M206" s="26" t="n">
        <v>33.95</v>
      </c>
      <c r="N206" s="26" t="n">
        <v>322.27</v>
      </c>
      <c r="O206" s="25" t="inlineStr">
        <is>
          <t>Near 52W High Breakout</t>
        </is>
      </c>
      <c r="P206" s="25" t="inlineStr">
        <is>
          <t>Growing Industry</t>
        </is>
      </c>
      <c r="Q206" s="25">
        <f>IF(P206="Growing Industry",10,IF(P206="Cyclical in an Upturn",5,0))</f>
        <v/>
      </c>
      <c r="R206" s="25" t="inlineStr">
        <is>
          <t>Too Many Players with High ROCE</t>
        </is>
      </c>
      <c r="S206" s="25">
        <f>IF(R206="Monopoly",10,IF(R206="Oligopoly",5,IF(R206="Duopoly that cooperate",10,IF(R206="Duopoly that compete",5,IF(R206="Too many players with High ROCE",5,0)))))</f>
        <v/>
      </c>
      <c r="T206" s="25" t="inlineStr">
        <is>
          <t>No</t>
        </is>
      </c>
      <c r="U206" s="25">
        <f>IF(T206="No",5,0)</f>
        <v/>
      </c>
      <c r="V206" s="25" t="inlineStr">
        <is>
          <t>Tailwind</t>
        </is>
      </c>
      <c r="W206" s="25">
        <f>IF(V206="Tailwind",10,0)</f>
        <v/>
      </c>
      <c r="X206" s="25" t="inlineStr">
        <is>
          <t>Structural (10 Years Consistency)</t>
        </is>
      </c>
      <c r="Y206" s="25">
        <f>IF(X206="Structural (10 Years Consistency)",10,IF(X206="Shallow Cyclical (2 to 3 years growth)",5,0))</f>
        <v/>
      </c>
      <c r="Z206" s="25" t="inlineStr">
        <is>
          <t>No</t>
        </is>
      </c>
      <c r="AA206" s="25">
        <f>IF(Z206="Yes due to Product Mix change or Operating Leverage",10,IF(Z206="Yes, these are peak margins",-5,IF(Z206="No",5,0)))</f>
        <v/>
      </c>
      <c r="AB206" s="25" t="inlineStr">
        <is>
          <t>Stable</t>
        </is>
      </c>
      <c r="AC206" s="25">
        <f>IF(AB206="Stable",10,0)</f>
        <v/>
      </c>
      <c r="AD206" s="25" t="inlineStr">
        <is>
          <t>Yes</t>
        </is>
      </c>
      <c r="AE206" s="25">
        <f>IF(AD206="Yes",10,0)</f>
        <v/>
      </c>
      <c r="AF206" s="25" t="inlineStr">
        <is>
          <t>B2B</t>
        </is>
      </c>
      <c r="AG206" s="25">
        <f>IF(AF206="B2C",10,IF(AF206="B2B",5,0))</f>
        <v/>
      </c>
      <c r="AH206" s="25" t="inlineStr">
        <is>
          <t>Yes</t>
        </is>
      </c>
      <c r="AI206" s="25">
        <f>IF(AH206="Yes",10,0)</f>
        <v/>
      </c>
      <c r="AJ206" s="25" t="inlineStr">
        <is>
          <t>Higher One Time, Lower Annuity</t>
        </is>
      </c>
      <c r="AK206" s="25">
        <f>IF(AJ206="Fully Annuity",10,IF(AJ206="Higher Annuity, Lower One Time",5,IF(AJ206="Higher One Time, Lower Annuity",3,0)))</f>
        <v/>
      </c>
      <c r="AL206" s="25" t="inlineStr">
        <is>
          <t>Good</t>
        </is>
      </c>
      <c r="AM206" s="25">
        <f>IF(AL206="Good",10,0)</f>
        <v/>
      </c>
      <c r="AN206" s="25" t="inlineStr">
        <is>
          <t>Yes for more than 2 years</t>
        </is>
      </c>
      <c r="AO206" s="25">
        <f>IF(AN206="Yes for more than 2 years",10,IF(AN206="Yes only for next 1 to 2 years",5,0))</f>
        <v/>
      </c>
      <c r="AP206" s="25" t="inlineStr">
        <is>
          <t>20 to 40</t>
        </is>
      </c>
      <c r="AQ206" s="25">
        <f>IF(AP206="Above 40",20,IF(AP206="20 to 40",10,IF(AP206="0 to 20",-5,0)))</f>
        <v/>
      </c>
      <c r="AR206" s="25" t="inlineStr">
        <is>
          <t>Above 75</t>
        </is>
      </c>
      <c r="AS206" s="25">
        <f>IF(AR206="Between 50 to 75",10,IF(AR206="Above 75",0,0))</f>
        <v/>
      </c>
      <c r="AT206" s="25" t="inlineStr">
        <is>
          <t>Stage 2</t>
        </is>
      </c>
      <c r="AU206" s="25">
        <f>IF(AT206="Stage 2",20,IF(AT206="Stage 1",0,IF(AT206="Stage 3",5,IF(AT206="Stage 4",-5,0))))</f>
        <v/>
      </c>
      <c r="AV206" s="25" t="inlineStr">
        <is>
          <t>Positive Trend</t>
        </is>
      </c>
      <c r="AW206" s="25">
        <f>IF(AV206="Positive Trend",20,IF(AV206="Negative Trend",-10,0))</f>
        <v/>
      </c>
      <c r="AX206" s="25" t="inlineStr">
        <is>
          <t>Uptrend</t>
        </is>
      </c>
      <c r="AY206" s="25">
        <f>IF(AX206="Uptrend",10,IF(AX206="Sideways",5,0))</f>
        <v/>
      </c>
      <c r="AZ206" s="25" t="inlineStr">
        <is>
          <t>Uptrend</t>
        </is>
      </c>
      <c r="BA206" s="25">
        <f>IF(AZ206="Uptrend",10,IF(AZ206="Sideways",5,0))</f>
        <v/>
      </c>
      <c r="BB206" s="25" t="inlineStr">
        <is>
          <t>Blue sky scenario</t>
        </is>
      </c>
      <c r="BC206" s="25">
        <f>IF(BB206="Overhead supply in last 2 years in last 2 years",-5,IF(BB206="Close to 52 week high or retracement",5,IF(BB206="Blue sky scenario",10,IF(BB206="Long term Downtrend",-10,0))))</f>
        <v/>
      </c>
      <c r="BD206" s="25" t="inlineStr">
        <is>
          <t>Yes</t>
        </is>
      </c>
      <c r="BE206" s="25">
        <f>IF(BD206="Yes",10,0)</f>
        <v/>
      </c>
      <c r="BF206" s="25" t="inlineStr">
        <is>
          <t>More than 20%</t>
        </is>
      </c>
      <c r="BG206" s="25">
        <f>IF(BF206="More than 20%",10,IF(BF206="Between 12 to 20%",5,IF(BF206="Less than 12%",0,0)))</f>
        <v/>
      </c>
      <c r="BH206" s="25" t="inlineStr">
        <is>
          <t>No</t>
        </is>
      </c>
      <c r="BI206" s="25">
        <f>IF(BH206="No",10,0)</f>
        <v/>
      </c>
      <c r="BJ206" s="25" t="inlineStr">
        <is>
          <t>No</t>
        </is>
      </c>
      <c r="BK206" s="25">
        <f>IF(BJ206="NO",5,0)</f>
        <v/>
      </c>
      <c r="BL206" s="25" t="inlineStr">
        <is>
          <t>Less than 1.5</t>
        </is>
      </c>
      <c r="BM206" s="25">
        <f>IF(BL206="Above 2",0,IF(BL206="Between 1.5 to 2",5,IF(BL206="Less than 1.5",10,0)))</f>
        <v/>
      </c>
      <c r="BN206" s="25" t="inlineStr">
        <is>
          <t>Negative</t>
        </is>
      </c>
      <c r="BO206" s="25">
        <f>IF(BN206="Above 70%",10,IF(BN206="Between 50% to 70%",5,IF(BN206="Less than 50%",0,IF(BN206="Negative",-10,IF(BN206="Less than 50% and Borrowings are increasing",-5,0)))))</f>
        <v/>
      </c>
      <c r="BP206" s="25" t="inlineStr">
        <is>
          <t>Between 0.7 to 1.2</t>
        </is>
      </c>
      <c r="BQ206" s="25">
        <f>IF(BP206="More than 1.2",-10,IF(BP206="Between 0.7 to 1.2",0,IF(BP206="Less than 0.7",10,0)))</f>
        <v/>
      </c>
      <c r="BR206" s="25" t="inlineStr">
        <is>
          <t>No</t>
        </is>
      </c>
      <c r="BS206" s="25">
        <f>IF(BR206="Yes",-10,0)</f>
        <v/>
      </c>
      <c r="BT206" s="25" t="inlineStr">
        <is>
          <t>Less than 15%</t>
        </is>
      </c>
      <c r="BU206" s="25">
        <f>IF(BT206="More than 15%",-10,IF(BT206="Less than 15%",10,0))</f>
        <v/>
      </c>
      <c r="BV206" s="25" t="inlineStr">
        <is>
          <t>No</t>
        </is>
      </c>
      <c r="BW206" s="25">
        <f>IF(BV206="Yes, more than 10%",-10,IF(BV206="No",10,0))</f>
        <v/>
      </c>
    </row>
    <row r="207">
      <c r="A207" s="25">
        <f>IF(B207=0,"",RANK(B207,$B$2:$B$292,0))</f>
        <v/>
      </c>
      <c r="B207" s="26">
        <f>SUM(Q207,S207,U207,W207,Y207,AA207,AC207,AE207,AG207,AI207,AK207,AM207,AO207,AQ207,AS207,AU207,AW207,AY207,BA207,BC207,BE207,BG207,BI207,BK207,BM207,BO207,BQ207,BS207,BU207,BW207)</f>
        <v/>
      </c>
      <c r="C207" s="25" t="inlineStr">
        <is>
          <t>BALRAMCHIN</t>
        </is>
      </c>
      <c r="D207" s="25" t="inlineStr">
        <is>
          <t>Balrampur Chini Mills Limited</t>
        </is>
      </c>
      <c r="E207" s="25" t="inlineStr">
        <is>
          <t>fmcg</t>
        </is>
      </c>
      <c r="F207" s="25" t="inlineStr">
        <is>
          <t>sugar</t>
        </is>
      </c>
      <c r="G207" s="25" t="inlineStr">
        <is>
          <t>midcap</t>
        </is>
      </c>
      <c r="H207" s="26" t="n">
        <v>10761.94</v>
      </c>
      <c r="I207" s="26" t="n">
        <v>537.4</v>
      </c>
      <c r="J207" s="26" t="n">
        <v>0.84</v>
      </c>
      <c r="K207" s="26" t="n">
        <v>448955</v>
      </c>
      <c r="L207" s="26" t="n">
        <v>62.74</v>
      </c>
      <c r="M207" s="26" t="n">
        <v>17.37</v>
      </c>
      <c r="N207" s="26" t="n">
        <v>434.2</v>
      </c>
      <c r="O207" s="25" t="inlineStr">
        <is>
          <t>Earnings / Momentum Support</t>
        </is>
      </c>
      <c r="P207" s="25" t="inlineStr">
        <is>
          <t>Growing Industry</t>
        </is>
      </c>
      <c r="Q207" s="25">
        <f>IF(P207="Growing Industry",10,IF(P207="Cyclical in an Upturn",5,0))</f>
        <v/>
      </c>
      <c r="R207" s="25" t="inlineStr">
        <is>
          <t>Too Many Players with High ROCE</t>
        </is>
      </c>
      <c r="S207" s="25">
        <f>IF(R207="Monopoly",10,IF(R207="Oligopoly",5,IF(R207="Duopoly that cooperate",10,IF(R207="Duopoly that compete",5,IF(R207="Too many players with High ROCE",5,0)))))</f>
        <v/>
      </c>
      <c r="T207" s="25" t="inlineStr">
        <is>
          <t>No</t>
        </is>
      </c>
      <c r="U207" s="25">
        <f>IF(T207="No",5,0)</f>
        <v/>
      </c>
      <c r="V207" s="25" t="inlineStr">
        <is>
          <t>Tailwind</t>
        </is>
      </c>
      <c r="W207" s="25">
        <f>IF(V207="Tailwind",10,0)</f>
        <v/>
      </c>
      <c r="X207" s="25" t="inlineStr">
        <is>
          <t>Structural (10 Years Consistency)</t>
        </is>
      </c>
      <c r="Y207" s="25">
        <f>IF(X207="Structural (10 Years Consistency)",10,IF(X207="Shallow Cyclical (2 to 3 years growth)",5,0))</f>
        <v/>
      </c>
      <c r="Z207" s="25" t="inlineStr">
        <is>
          <t>No</t>
        </is>
      </c>
      <c r="AA207" s="25">
        <f>IF(Z207="Yes due to Product Mix change or Operating Leverage",10,IF(Z207="Yes, these are peak margins",-5,IF(Z207="No",5,0)))</f>
        <v/>
      </c>
      <c r="AB207" s="25" t="inlineStr">
        <is>
          <t>Stable</t>
        </is>
      </c>
      <c r="AC207" s="25">
        <f>IF(AB207="Stable",10,0)</f>
        <v/>
      </c>
      <c r="AD207" s="25" t="inlineStr">
        <is>
          <t>Yes</t>
        </is>
      </c>
      <c r="AE207" s="25">
        <f>IF(AD207="Yes",10,0)</f>
        <v/>
      </c>
      <c r="AF207" s="25" t="inlineStr">
        <is>
          <t>B2C</t>
        </is>
      </c>
      <c r="AG207" s="25">
        <f>IF(AF207="B2C",10,IF(AF207="B2B",5,0))</f>
        <v/>
      </c>
      <c r="AH207" s="25" t="inlineStr">
        <is>
          <t>No</t>
        </is>
      </c>
      <c r="AI207" s="25">
        <f>IF(AH207="Yes",10,0)</f>
        <v/>
      </c>
      <c r="AJ207" s="25" t="inlineStr">
        <is>
          <t>Higher Annuity, Lower One Time</t>
        </is>
      </c>
      <c r="AK207" s="25">
        <f>IF(AJ207="Fully Annuity",10,IF(AJ207="Higher Annuity, Lower One Time",5,IF(AJ207="Higher One Time, Lower Annuity",3,0)))</f>
        <v/>
      </c>
      <c r="AL207" s="25" t="inlineStr">
        <is>
          <t>Good</t>
        </is>
      </c>
      <c r="AM207" s="25">
        <f>IF(AL207="Good",10,0)</f>
        <v/>
      </c>
      <c r="AN207" s="25" t="inlineStr">
        <is>
          <t>Yes for more than 2 years</t>
        </is>
      </c>
      <c r="AO207" s="25">
        <f>IF(AN207="Yes for more than 2 years",10,IF(AN207="Yes only for next 1 to 2 years",5,0))</f>
        <v/>
      </c>
      <c r="AP207" s="25" t="inlineStr">
        <is>
          <t>0 to 20</t>
        </is>
      </c>
      <c r="AQ207" s="25">
        <f>IF(AP207="Above 40",20,IF(AP207="20 to 40",10,IF(AP207="0 to 20",-5,0)))</f>
        <v/>
      </c>
      <c r="AR207" s="25" t="inlineStr">
        <is>
          <t>Between 50 to 75</t>
        </is>
      </c>
      <c r="AS207" s="25">
        <f>IF(AR207="Between 50 to 75",10,IF(AR207="Above 75",0,0))</f>
        <v/>
      </c>
      <c r="AT207" s="25" t="inlineStr">
        <is>
          <t>Stage 2</t>
        </is>
      </c>
      <c r="AU207" s="25">
        <f>IF(AT207="Stage 2",20,IF(AT207="Stage 1",0,IF(AT207="Stage 3",5,IF(AT207="Stage 4",-5,0))))</f>
        <v/>
      </c>
      <c r="AV207" s="25" t="inlineStr">
        <is>
          <t>Positive Trend</t>
        </is>
      </c>
      <c r="AW207" s="25">
        <f>IF(AV207="Positive Trend",20,IF(AV207="Negative Trend",-10,0))</f>
        <v/>
      </c>
      <c r="AX207" s="25" t="inlineStr">
        <is>
          <t>Uptrend</t>
        </is>
      </c>
      <c r="AY207" s="25">
        <f>IF(AX207="Uptrend",10,IF(AX207="Sideways",5,0))</f>
        <v/>
      </c>
      <c r="AZ207" s="25" t="inlineStr">
        <is>
          <t>Uptrend</t>
        </is>
      </c>
      <c r="BA207" s="25">
        <f>IF(AZ207="Uptrend",10,IF(AZ207="Sideways",5,0))</f>
        <v/>
      </c>
      <c r="BB207" s="25" t="inlineStr">
        <is>
          <t>Close to 52 week high or retracement</t>
        </is>
      </c>
      <c r="BC207" s="25">
        <f>IF(BB207="Overhead supply in last 2 years in last 2 years",-5,IF(BB207="Close to 52 week high or retracement",5,IF(BB207="Blue sky scenario",10,IF(BB207="Long term Downtrend",-10,0))))</f>
        <v/>
      </c>
      <c r="BD207" s="25" t="inlineStr">
        <is>
          <t>Yes</t>
        </is>
      </c>
      <c r="BE207" s="25">
        <f>IF(BD207="Yes",10,0)</f>
        <v/>
      </c>
      <c r="BF207" s="25" t="inlineStr">
        <is>
          <t>Less than 12%</t>
        </is>
      </c>
      <c r="BG207" s="25">
        <f>IF(BF207="More than 20%",10,IF(BF207="Between 12 to 20%",5,IF(BF207="Less than 12%",0,0)))</f>
        <v/>
      </c>
      <c r="BH207" s="25" t="inlineStr">
        <is>
          <t>No</t>
        </is>
      </c>
      <c r="BI207" s="25">
        <f>IF(BH207="No",10,0)</f>
        <v/>
      </c>
      <c r="BJ207" s="25" t="inlineStr">
        <is>
          <t>No</t>
        </is>
      </c>
      <c r="BK207" s="25">
        <f>IF(BJ207="NO",5,0)</f>
        <v/>
      </c>
      <c r="BL207" s="25" t="inlineStr">
        <is>
          <t>Less than 1.5</t>
        </is>
      </c>
      <c r="BM207" s="25">
        <f>IF(BL207="Above 2",0,IF(BL207="Between 1.5 to 2",5,IF(BL207="Less than 1.5",10,0)))</f>
        <v/>
      </c>
      <c r="BN207" s="25" t="inlineStr">
        <is>
          <t>Above 70%</t>
        </is>
      </c>
      <c r="BO207" s="25">
        <f>IF(BN207="Above 70%",10,IF(BN207="Between 50% to 70%",5,IF(BN207="Less than 50%",0,IF(BN207="Negative",-10,IF(BN207="Less than 50% and Borrowings are increasing",-5,0)))))</f>
        <v/>
      </c>
      <c r="BP207" s="25" t="inlineStr">
        <is>
          <t>Between 0.7 to 1.2</t>
        </is>
      </c>
      <c r="BQ207" s="25">
        <f>IF(BP207="More than 1.2",-10,IF(BP207="Between 0.7 to 1.2",0,IF(BP207="Less than 0.7",10,0)))</f>
        <v/>
      </c>
      <c r="BR207" s="25" t="inlineStr">
        <is>
          <t>No</t>
        </is>
      </c>
      <c r="BS207" s="25">
        <f>IF(BR207="Yes",-10,0)</f>
        <v/>
      </c>
      <c r="BT207" s="25" t="inlineStr">
        <is>
          <t>Less than 15%</t>
        </is>
      </c>
      <c r="BU207" s="25">
        <f>IF(BT207="More than 15%",-10,IF(BT207="Less than 15%",10,0))</f>
        <v/>
      </c>
      <c r="BV207" s="25" t="inlineStr">
        <is>
          <t>No</t>
        </is>
      </c>
      <c r="BW207" s="25">
        <f>IF(BV207="Yes, more than 10%",-10,IF(BV207="No",10,0))</f>
        <v/>
      </c>
    </row>
    <row r="208">
      <c r="A208" s="25">
        <f>IF(B208=0,"",RANK(B208,$B$2:$B$292,0))</f>
        <v/>
      </c>
      <c r="B208" s="26">
        <f>SUM(Q208,S208,U208,W208,Y208,AA208,AC208,AE208,AG208,AI208,AK208,AM208,AO208,AQ208,AS208,AU208,AW208,AY208,BA208,BC208,BE208,BG208,BI208,BK208,BM208,BO208,BQ208,BS208,BU208,BW208)</f>
        <v/>
      </c>
      <c r="C208" s="25" t="inlineStr">
        <is>
          <t>GUFICBIO</t>
        </is>
      </c>
      <c r="D208" s="25" t="inlineStr">
        <is>
          <t>Gufic Biosciences Limited</t>
        </is>
      </c>
      <c r="E208" s="25" t="inlineStr">
        <is>
          <t>healthcare</t>
        </is>
      </c>
      <c r="F208" s="25" t="inlineStr">
        <is>
          <t>pharmaceuticals - indian - bulk drugs &amp; formln</t>
        </is>
      </c>
      <c r="G208" s="25" t="inlineStr">
        <is>
          <t>smallcap</t>
        </is>
      </c>
      <c r="H208" s="26" t="n">
        <v>3476.79</v>
      </c>
      <c r="I208" s="26" t="n">
        <v>349.15</v>
      </c>
      <c r="J208" s="26" t="n">
        <v>0.71</v>
      </c>
      <c r="K208" s="26" t="n">
        <v>172285</v>
      </c>
      <c r="L208" s="26" t="n">
        <v>61.23</v>
      </c>
      <c r="M208" s="26" t="n">
        <v>21.65</v>
      </c>
      <c r="N208" s="26" t="n">
        <v>272.79</v>
      </c>
      <c r="O208" s="25" t="inlineStr">
        <is>
          <t>Volume Spike / Accumulation</t>
        </is>
      </c>
      <c r="P208" s="25" t="inlineStr">
        <is>
          <t>Growing Industry</t>
        </is>
      </c>
      <c r="Q208" s="25">
        <f>IF(P208="Growing Industry",10,IF(P208="Cyclical in an Upturn",5,0))</f>
        <v/>
      </c>
      <c r="R208" s="25" t="inlineStr">
        <is>
          <t>Too Many Players with High ROCE</t>
        </is>
      </c>
      <c r="S208" s="25">
        <f>IF(R208="Monopoly",10,IF(R208="Oligopoly",5,IF(R208="Duopoly that cooperate",10,IF(R208="Duopoly that compete",5,IF(R208="Too many players with High ROCE",5,0)))))</f>
        <v/>
      </c>
      <c r="T208" s="25" t="inlineStr">
        <is>
          <t>Yes</t>
        </is>
      </c>
      <c r="U208" s="25">
        <f>IF(T208="No",5,0)</f>
        <v/>
      </c>
      <c r="V208" s="25" t="inlineStr">
        <is>
          <t>Tailwind</t>
        </is>
      </c>
      <c r="W208" s="25">
        <f>IF(V208="Tailwind",10,0)</f>
        <v/>
      </c>
      <c r="X208" s="25" t="inlineStr">
        <is>
          <t>Structural (10 Years Consistency)</t>
        </is>
      </c>
      <c r="Y208" s="25">
        <f>IF(X208="Structural (10 Years Consistency)",10,IF(X208="Shallow Cyclical (2 to 3 years growth)",5,0))</f>
        <v/>
      </c>
      <c r="Z208" s="25" t="inlineStr">
        <is>
          <t>No</t>
        </is>
      </c>
      <c r="AA208" s="25">
        <f>IF(Z208="Yes due to Product Mix change or Operating Leverage",10,IF(Z208="Yes, these are peak margins",-5,IF(Z208="No",5,0)))</f>
        <v/>
      </c>
      <c r="AB208" s="25" t="inlineStr">
        <is>
          <t>Stable</t>
        </is>
      </c>
      <c r="AC208" s="25">
        <f>IF(AB208="Stable",10,0)</f>
        <v/>
      </c>
      <c r="AD208" s="25" t="inlineStr">
        <is>
          <t>Yes</t>
        </is>
      </c>
      <c r="AE208" s="25">
        <f>IF(AD208="Yes",10,0)</f>
        <v/>
      </c>
      <c r="AF208" s="25" t="inlineStr">
        <is>
          <t>B2B</t>
        </is>
      </c>
      <c r="AG208" s="25">
        <f>IF(AF208="B2C",10,IF(AF208="B2B",5,0))</f>
        <v/>
      </c>
      <c r="AH208" s="25" t="inlineStr">
        <is>
          <t>Yes</t>
        </is>
      </c>
      <c r="AI208" s="25">
        <f>IF(AH208="Yes",10,0)</f>
        <v/>
      </c>
      <c r="AJ208" s="25" t="inlineStr">
        <is>
          <t>Higher Annuity, Lower One Time</t>
        </is>
      </c>
      <c r="AK208" s="25">
        <f>IF(AJ208="Fully Annuity",10,IF(AJ208="Higher Annuity, Lower One Time",5,IF(AJ208="Higher One Time, Lower Annuity",3,0)))</f>
        <v/>
      </c>
      <c r="AL208" s="25" t="inlineStr">
        <is>
          <t>Good</t>
        </is>
      </c>
      <c r="AM208" s="25">
        <f>IF(AL208="Good",10,0)</f>
        <v/>
      </c>
      <c r="AN208" s="25" t="inlineStr">
        <is>
          <t>Yes for more than 2 years</t>
        </is>
      </c>
      <c r="AO208" s="25">
        <f>IF(AN208="Yes for more than 2 years",10,IF(AN208="Yes only for next 1 to 2 years",5,0))</f>
        <v/>
      </c>
      <c r="AP208" s="25" t="inlineStr">
        <is>
          <t>20 to 40</t>
        </is>
      </c>
      <c r="AQ208" s="25">
        <f>IF(AP208="Above 40",20,IF(AP208="20 to 40",10,IF(AP208="0 to 20",-5,0)))</f>
        <v/>
      </c>
      <c r="AR208" s="25" t="inlineStr">
        <is>
          <t>Between 50 to 75</t>
        </is>
      </c>
      <c r="AS208" s="25">
        <f>IF(AR208="Between 50 to 75",10,IF(AR208="Above 75",0,0))</f>
        <v/>
      </c>
      <c r="AT208" s="25" t="inlineStr">
        <is>
          <t>Stage 1</t>
        </is>
      </c>
      <c r="AU208" s="25">
        <f>IF(AT208="Stage 2",20,IF(AT208="Stage 1",0,IF(AT208="Stage 3",5,IF(AT208="Stage 4",-5,0))))</f>
        <v/>
      </c>
      <c r="AV208" s="25" t="inlineStr">
        <is>
          <t>Positive Trend</t>
        </is>
      </c>
      <c r="AW208" s="25">
        <f>IF(AV208="Positive Trend",20,IF(AV208="Negative Trend",-10,0))</f>
        <v/>
      </c>
      <c r="AX208" s="25" t="inlineStr">
        <is>
          <t>Uptrend</t>
        </is>
      </c>
      <c r="AY208" s="25">
        <f>IF(AX208="Uptrend",10,IF(AX208="Sideways",5,0))</f>
        <v/>
      </c>
      <c r="AZ208" s="25" t="inlineStr">
        <is>
          <t>Uptrend</t>
        </is>
      </c>
      <c r="BA208" s="25">
        <f>IF(AZ208="Uptrend",10,IF(AZ208="Sideways",5,0))</f>
        <v/>
      </c>
      <c r="BB208" s="25" t="inlineStr">
        <is>
          <t>Close to 52 week high or retracement</t>
        </is>
      </c>
      <c r="BC208" s="25">
        <f>IF(BB208="Overhead supply in last 2 years in last 2 years",-5,IF(BB208="Close to 52 week high or retracement",5,IF(BB208="Blue sky scenario",10,IF(BB208="Long term Downtrend",-10,0))))</f>
        <v/>
      </c>
      <c r="BD208" s="25" t="inlineStr">
        <is>
          <t>Yes</t>
        </is>
      </c>
      <c r="BE208" s="25">
        <f>IF(BD208="Yes",10,0)</f>
        <v/>
      </c>
      <c r="BF208" s="25" t="inlineStr">
        <is>
          <t>Less than 12%</t>
        </is>
      </c>
      <c r="BG208" s="25">
        <f>IF(BF208="More than 20%",10,IF(BF208="Between 12 to 20%",5,IF(BF208="Less than 12%",0,0)))</f>
        <v/>
      </c>
      <c r="BH208" s="25" t="inlineStr">
        <is>
          <t>No</t>
        </is>
      </c>
      <c r="BI208" s="25">
        <f>IF(BH208="No",10,0)</f>
        <v/>
      </c>
      <c r="BJ208" s="25" t="inlineStr">
        <is>
          <t>Yes</t>
        </is>
      </c>
      <c r="BK208" s="25">
        <f>IF(BJ208="NO",5,0)</f>
        <v/>
      </c>
      <c r="BL208" s="25" t="inlineStr">
        <is>
          <t>Less than 1.5</t>
        </is>
      </c>
      <c r="BM208" s="25">
        <f>IF(BL208="Above 2",0,IF(BL208="Between 1.5 to 2",5,IF(BL208="Less than 1.5",10,0)))</f>
        <v/>
      </c>
      <c r="BN208" s="25" t="inlineStr">
        <is>
          <t>Above 70%</t>
        </is>
      </c>
      <c r="BO208" s="25">
        <f>IF(BN208="Above 70%",10,IF(BN208="Between 50% to 70%",5,IF(BN208="Less than 50%",0,IF(BN208="Negative",-10,IF(BN208="Less than 50% and Borrowings are increasing",-5,0)))))</f>
        <v/>
      </c>
      <c r="BP208" s="25" t="inlineStr">
        <is>
          <t>Less than 0.7</t>
        </is>
      </c>
      <c r="BQ208" s="25">
        <f>IF(BP208="More than 1.2",-10,IF(BP208="Between 0.7 to 1.2",0,IF(BP208="Less than 0.7",10,0)))</f>
        <v/>
      </c>
      <c r="BR208" s="25" t="inlineStr">
        <is>
          <t>No</t>
        </is>
      </c>
      <c r="BS208" s="25">
        <f>IF(BR208="Yes",-10,0)</f>
        <v/>
      </c>
      <c r="BT208" s="25" t="inlineStr">
        <is>
          <t>Less than 15%</t>
        </is>
      </c>
      <c r="BU208" s="25">
        <f>IF(BT208="More than 15%",-10,IF(BT208="Less than 15%",10,0))</f>
        <v/>
      </c>
      <c r="BV208" s="25" t="inlineStr">
        <is>
          <t>No</t>
        </is>
      </c>
      <c r="BW208" s="25">
        <f>IF(BV208="Yes, more than 10%",-10,IF(BV208="No",10,0))</f>
        <v/>
      </c>
    </row>
    <row r="209">
      <c r="A209" s="25">
        <f>IF(B209=0,"",RANK(B209,$B$2:$B$292,0))</f>
        <v/>
      </c>
      <c r="B209" s="26">
        <f>SUM(Q209,S209,U209,W209,Y209,AA209,AC209,AE209,AG209,AI209,AK209,AM209,AO209,AQ209,AS209,AU209,AW209,AY209,BA209,BC209,BE209,BG209,BI209,BK209,BM209,BO209,BQ209,BS209,BU209,BW209)</f>
        <v/>
      </c>
      <c r="C209" s="25" t="inlineStr">
        <is>
          <t>ZYDUSLIFE</t>
        </is>
      </c>
      <c r="D209" s="25" t="inlineStr">
        <is>
          <t>Zydus Lifesciences Ltd</t>
        </is>
      </c>
      <c r="E209" s="25" t="inlineStr">
        <is>
          <t>healthcare</t>
        </is>
      </c>
      <c r="F209" s="25" t="inlineStr">
        <is>
          <t>pharmaceuticals - indian - bulk drugs &amp; formln</t>
        </is>
      </c>
      <c r="G209" s="25" t="inlineStr">
        <is>
          <t>largecap</t>
        </is>
      </c>
      <c r="H209" s="26" t="n">
        <v>109800.25</v>
      </c>
      <c r="I209" s="26" t="n">
        <v>1078.3</v>
      </c>
      <c r="J209" s="26" t="n">
        <v>-1.18</v>
      </c>
      <c r="K209" s="26" t="n">
        <v>1928305</v>
      </c>
      <c r="L209" s="26" t="n">
        <v>69.86</v>
      </c>
      <c r="M209" s="26" t="n">
        <v>17.24</v>
      </c>
      <c r="N209" s="26" t="n">
        <v>913.0700000000001</v>
      </c>
      <c r="O209" s="25" t="inlineStr">
        <is>
          <t>Near 52W High Breakout</t>
        </is>
      </c>
      <c r="P209" s="25" t="inlineStr">
        <is>
          <t>Growing Industry</t>
        </is>
      </c>
      <c r="Q209" s="25">
        <f>IF(P209="Growing Industry",10,IF(P209="Cyclical in an Upturn",5,0))</f>
        <v/>
      </c>
      <c r="R209" s="25" t="inlineStr">
        <is>
          <t>Too Many Players with High ROCE</t>
        </is>
      </c>
      <c r="S209" s="25">
        <f>IF(R209="Monopoly",10,IF(R209="Oligopoly",5,IF(R209="Duopoly that cooperate",10,IF(R209="Duopoly that compete",5,IF(R209="Too many players with High ROCE",5,0)))))</f>
        <v/>
      </c>
      <c r="T209" s="25" t="inlineStr">
        <is>
          <t>Yes</t>
        </is>
      </c>
      <c r="U209" s="25">
        <f>IF(T209="No",5,0)</f>
        <v/>
      </c>
      <c r="V209" s="25" t="inlineStr">
        <is>
          <t>Tailwind</t>
        </is>
      </c>
      <c r="W209" s="25">
        <f>IF(V209="Tailwind",10,0)</f>
        <v/>
      </c>
      <c r="X209" s="25" t="inlineStr">
        <is>
          <t>Structural (10 Years Consistency)</t>
        </is>
      </c>
      <c r="Y209" s="25">
        <f>IF(X209="Structural (10 Years Consistency)",10,IF(X209="Shallow Cyclical (2 to 3 years growth)",5,0))</f>
        <v/>
      </c>
      <c r="Z209" s="25" t="inlineStr">
        <is>
          <t>No</t>
        </is>
      </c>
      <c r="AA209" s="25">
        <f>IF(Z209="Yes due to Product Mix change or Operating Leverage",10,IF(Z209="Yes, these are peak margins",-5,IF(Z209="No",5,0)))</f>
        <v/>
      </c>
      <c r="AB209" s="25" t="inlineStr">
        <is>
          <t>Stable</t>
        </is>
      </c>
      <c r="AC209" s="25">
        <f>IF(AB209="Stable",10,0)</f>
        <v/>
      </c>
      <c r="AD209" s="25" t="inlineStr">
        <is>
          <t>Yes</t>
        </is>
      </c>
      <c r="AE209" s="25">
        <f>IF(AD209="Yes",10,0)</f>
        <v/>
      </c>
      <c r="AF209" s="25" t="inlineStr">
        <is>
          <t>B2B</t>
        </is>
      </c>
      <c r="AG209" s="25">
        <f>IF(AF209="B2C",10,IF(AF209="B2B",5,0))</f>
        <v/>
      </c>
      <c r="AH209" s="25" t="inlineStr">
        <is>
          <t>Yes</t>
        </is>
      </c>
      <c r="AI209" s="25">
        <f>IF(AH209="Yes",10,0)</f>
        <v/>
      </c>
      <c r="AJ209" s="25" t="inlineStr">
        <is>
          <t>Higher Annuity, Lower One Time</t>
        </is>
      </c>
      <c r="AK209" s="25">
        <f>IF(AJ209="Fully Annuity",10,IF(AJ209="Higher Annuity, Lower One Time",5,IF(AJ209="Higher One Time, Lower Annuity",3,0)))</f>
        <v/>
      </c>
      <c r="AL209" s="25" t="inlineStr">
        <is>
          <t>Good</t>
        </is>
      </c>
      <c r="AM209" s="25">
        <f>IF(AL209="Good",10,0)</f>
        <v/>
      </c>
      <c r="AN209" s="25" t="inlineStr">
        <is>
          <t>Yes for more than 2 years</t>
        </is>
      </c>
      <c r="AO209" s="25">
        <f>IF(AN209="Yes for more than 2 years",10,IF(AN209="Yes only for next 1 to 2 years",5,0))</f>
        <v/>
      </c>
      <c r="AP209" s="25" t="inlineStr">
        <is>
          <t>0 to 20</t>
        </is>
      </c>
      <c r="AQ209" s="25">
        <f>IF(AP209="Above 40",20,IF(AP209="20 to 40",10,IF(AP209="0 to 20",-5,0)))</f>
        <v/>
      </c>
      <c r="AR209" s="25" t="inlineStr">
        <is>
          <t>Between 50 to 75</t>
        </is>
      </c>
      <c r="AS209" s="25">
        <f>IF(AR209="Between 50 to 75",10,IF(AR209="Above 75",0,0))</f>
        <v/>
      </c>
      <c r="AT209" s="25" t="inlineStr">
        <is>
          <t>Stage 2</t>
        </is>
      </c>
      <c r="AU209" s="25">
        <f>IF(AT209="Stage 2",20,IF(AT209="Stage 1",0,IF(AT209="Stage 3",5,IF(AT209="Stage 4",-5,0))))</f>
        <v/>
      </c>
      <c r="AV209" s="25" t="inlineStr">
        <is>
          <t>Positive Trend</t>
        </is>
      </c>
      <c r="AW209" s="25">
        <f>IF(AV209="Positive Trend",20,IF(AV209="Negative Trend",-10,0))</f>
        <v/>
      </c>
      <c r="AX209" s="25" t="inlineStr">
        <is>
          <t>Uptrend</t>
        </is>
      </c>
      <c r="AY209" s="25">
        <f>IF(AX209="Uptrend",10,IF(AX209="Sideways",5,0))</f>
        <v/>
      </c>
      <c r="AZ209" s="25" t="inlineStr">
        <is>
          <t>Uptrend</t>
        </is>
      </c>
      <c r="BA209" s="25">
        <f>IF(AZ209="Uptrend",10,IF(AZ209="Sideways",5,0))</f>
        <v/>
      </c>
      <c r="BB209" s="25" t="inlineStr">
        <is>
          <t>Close to 52 week high or retracement</t>
        </is>
      </c>
      <c r="BC209" s="25">
        <f>IF(BB209="Overhead supply in last 2 years in last 2 years",-5,IF(BB209="Close to 52 week high or retracement",5,IF(BB209="Blue sky scenario",10,IF(BB209="Long term Downtrend",-10,0))))</f>
        <v/>
      </c>
      <c r="BD209" s="25" t="inlineStr">
        <is>
          <t>Yes</t>
        </is>
      </c>
      <c r="BE209" s="25">
        <f>IF(BD209="Yes",10,0)</f>
        <v/>
      </c>
      <c r="BF209" s="25" t="inlineStr">
        <is>
          <t>Less than 12%</t>
        </is>
      </c>
      <c r="BG209" s="25">
        <f>IF(BF209="More than 20%",10,IF(BF209="Between 12 to 20%",5,IF(BF209="Less than 12%",0,0)))</f>
        <v/>
      </c>
      <c r="BH209" s="25" t="inlineStr">
        <is>
          <t>No</t>
        </is>
      </c>
      <c r="BI209" s="25">
        <f>IF(BH209="No",10,0)</f>
        <v/>
      </c>
      <c r="BJ209" s="25" t="inlineStr">
        <is>
          <t>No</t>
        </is>
      </c>
      <c r="BK209" s="25">
        <f>IF(BJ209="NO",5,0)</f>
        <v/>
      </c>
      <c r="BL209" s="25" t="inlineStr">
        <is>
          <t>Less than 1.5</t>
        </is>
      </c>
      <c r="BM209" s="25">
        <f>IF(BL209="Above 2",0,IF(BL209="Between 1.5 to 2",5,IF(BL209="Less than 1.5",10,0)))</f>
        <v/>
      </c>
      <c r="BN209" s="25" t="inlineStr">
        <is>
          <t>Less than 50%</t>
        </is>
      </c>
      <c r="BO209" s="25">
        <f>IF(BN209="Above 70%",10,IF(BN209="Between 50% to 70%",5,IF(BN209="Less than 50%",0,IF(BN209="Negative",-10,IF(BN209="Less than 50% and Borrowings are increasing",-5,0)))))</f>
        <v/>
      </c>
      <c r="BP209" s="25" t="inlineStr">
        <is>
          <t>Less than 0.7</t>
        </is>
      </c>
      <c r="BQ209" s="25">
        <f>IF(BP209="More than 1.2",-10,IF(BP209="Between 0.7 to 1.2",0,IF(BP209="Less than 0.7",10,0)))</f>
        <v/>
      </c>
      <c r="BR209" s="25" t="inlineStr">
        <is>
          <t>No</t>
        </is>
      </c>
      <c r="BS209" s="25">
        <f>IF(BR209="Yes",-10,0)</f>
        <v/>
      </c>
      <c r="BT209" s="25" t="inlineStr">
        <is>
          <t>Less than 15%</t>
        </is>
      </c>
      <c r="BU209" s="25">
        <f>IF(BT209="More than 15%",-10,IF(BT209="Less than 15%",10,0))</f>
        <v/>
      </c>
      <c r="BV209" s="25" t="inlineStr">
        <is>
          <t>No</t>
        </is>
      </c>
      <c r="BW209" s="25">
        <f>IF(BV209="Yes, more than 10%",-10,IF(BV209="No",10,0))</f>
        <v/>
      </c>
    </row>
    <row r="210">
      <c r="A210" s="25">
        <f>IF(B210=0,"",RANK(B210,$B$2:$B$292,0))</f>
        <v/>
      </c>
      <c r="B210" s="26">
        <f>SUM(Q210,S210,U210,W210,Y210,AA210,AC210,AE210,AG210,AI210,AK210,AM210,AO210,AQ210,AS210,AU210,AW210,AY210,BA210,BC210,BE210,BG210,BI210,BK210,BM210,BO210,BQ210,BS210,BU210,BW210)</f>
        <v/>
      </c>
      <c r="C210" s="25" t="inlineStr">
        <is>
          <t>BBOX</t>
        </is>
      </c>
      <c r="D210" s="25" t="inlineStr">
        <is>
          <t>Black Box Ltd</t>
        </is>
      </c>
      <c r="E210" s="25" t="inlineStr">
        <is>
          <t>i.t</t>
        </is>
      </c>
      <c r="F210" s="25" t="inlineStr">
        <is>
          <t>computers - software - medium / small</t>
        </is>
      </c>
      <c r="G210" s="25" t="inlineStr">
        <is>
          <t>midcap</t>
        </is>
      </c>
      <c r="H210" s="26" t="n">
        <v>18576.65</v>
      </c>
      <c r="I210" s="26" t="n">
        <v>1031.8</v>
      </c>
      <c r="J210" s="26" t="n">
        <v>-1.41</v>
      </c>
      <c r="K210" s="26" t="n">
        <v>770759</v>
      </c>
      <c r="L210" s="26" t="n">
        <v>84.29000000000001</v>
      </c>
      <c r="M210" s="26" t="n">
        <v>31.28</v>
      </c>
      <c r="N210" s="26" t="n">
        <v>817.49</v>
      </c>
      <c r="O210" s="25" t="inlineStr">
        <is>
          <t>Near 52W High Breakout</t>
        </is>
      </c>
      <c r="P210" s="25" t="inlineStr">
        <is>
          <t>Growing Industry</t>
        </is>
      </c>
      <c r="Q210" s="25">
        <f>IF(P210="Growing Industry",10,IF(P210="Cyclical in an Upturn",5,0))</f>
        <v/>
      </c>
      <c r="R210" s="25" t="inlineStr">
        <is>
          <t>Too Many Players with High ROCE</t>
        </is>
      </c>
      <c r="S210" s="25">
        <f>IF(R210="Monopoly",10,IF(R210="Oligopoly",5,IF(R210="Duopoly that cooperate",10,IF(R210="Duopoly that compete",5,IF(R210="Too many players with High ROCE",5,0)))))</f>
        <v/>
      </c>
      <c r="T210" s="25" t="inlineStr">
        <is>
          <t>No</t>
        </is>
      </c>
      <c r="U210" s="25">
        <f>IF(T210="No",5,0)</f>
        <v/>
      </c>
      <c r="V210" s="25" t="inlineStr">
        <is>
          <t>Tailwind</t>
        </is>
      </c>
      <c r="W210" s="25">
        <f>IF(V210="Tailwind",10,0)</f>
        <v/>
      </c>
      <c r="X210" s="25" t="inlineStr">
        <is>
          <t>Structural (10 Years Consistency)</t>
        </is>
      </c>
      <c r="Y210" s="25">
        <f>IF(X210="Structural (10 Years Consistency)",10,IF(X210="Shallow Cyclical (2 to 3 years growth)",5,0))</f>
        <v/>
      </c>
      <c r="Z210" s="25" t="inlineStr">
        <is>
          <t>No</t>
        </is>
      </c>
      <c r="AA210" s="25">
        <f>IF(Z210="Yes due to Product Mix change or Operating Leverage",10,IF(Z210="Yes, these are peak margins",-5,IF(Z210="No",5,0)))</f>
        <v/>
      </c>
      <c r="AB210" s="25" t="inlineStr">
        <is>
          <t>Stable</t>
        </is>
      </c>
      <c r="AC210" s="25">
        <f>IF(AB210="Stable",10,0)</f>
        <v/>
      </c>
      <c r="AD210" s="25" t="inlineStr">
        <is>
          <t>Yes</t>
        </is>
      </c>
      <c r="AE210" s="25">
        <f>IF(AD210="Yes",10,0)</f>
        <v/>
      </c>
      <c r="AF210" s="25" t="inlineStr">
        <is>
          <t>B2B</t>
        </is>
      </c>
      <c r="AG210" s="25">
        <f>IF(AF210="B2C",10,IF(AF210="B2B",5,0))</f>
        <v/>
      </c>
      <c r="AH210" s="25" t="inlineStr">
        <is>
          <t>Yes</t>
        </is>
      </c>
      <c r="AI210" s="25">
        <f>IF(AH210="Yes",10,0)</f>
        <v/>
      </c>
      <c r="AJ210" s="25" t="inlineStr">
        <is>
          <t>Higher Annuity, Lower One Time</t>
        </is>
      </c>
      <c r="AK210" s="25">
        <f>IF(AJ210="Fully Annuity",10,IF(AJ210="Higher Annuity, Lower One Time",5,IF(AJ210="Higher One Time, Lower Annuity",3,0)))</f>
        <v/>
      </c>
      <c r="AL210" s="25" t="inlineStr">
        <is>
          <t>Good</t>
        </is>
      </c>
      <c r="AM210" s="25">
        <f>IF(AL210="Good",10,0)</f>
        <v/>
      </c>
      <c r="AN210" s="25" t="inlineStr">
        <is>
          <t>Yes for more than 2 years</t>
        </is>
      </c>
      <c r="AO210" s="25">
        <f>IF(AN210="Yes for more than 2 years",10,IF(AN210="Yes only for next 1 to 2 years",5,0))</f>
        <v/>
      </c>
      <c r="AP210" s="25" t="inlineStr">
        <is>
          <t>20 to 40</t>
        </is>
      </c>
      <c r="AQ210" s="25">
        <f>IF(AP210="Above 40",20,IF(AP210="20 to 40",10,IF(AP210="0 to 20",-5,0)))</f>
        <v/>
      </c>
      <c r="AR210" s="25" t="inlineStr">
        <is>
          <t>Above 75</t>
        </is>
      </c>
      <c r="AS210" s="25">
        <f>IF(AR210="Between 50 to 75",10,IF(AR210="Above 75",0,0))</f>
        <v/>
      </c>
      <c r="AT210" s="25" t="inlineStr">
        <is>
          <t>Stage 2</t>
        </is>
      </c>
      <c r="AU210" s="25">
        <f>IF(AT210="Stage 2",20,IF(AT210="Stage 1",0,IF(AT210="Stage 3",5,IF(AT210="Stage 4",-5,0))))</f>
        <v/>
      </c>
      <c r="AV210" s="25" t="inlineStr">
        <is>
          <t>Positive Trend</t>
        </is>
      </c>
      <c r="AW210" s="25">
        <f>IF(AV210="Positive Trend",20,IF(AV210="Negative Trend",-10,0))</f>
        <v/>
      </c>
      <c r="AX210" s="25" t="inlineStr">
        <is>
          <t>Uptrend</t>
        </is>
      </c>
      <c r="AY210" s="25">
        <f>IF(AX210="Uptrend",10,IF(AX210="Sideways",5,0))</f>
        <v/>
      </c>
      <c r="AZ210" s="25" t="inlineStr">
        <is>
          <t>Uptrend</t>
        </is>
      </c>
      <c r="BA210" s="25">
        <f>IF(AZ210="Uptrend",10,IF(AZ210="Sideways",5,0))</f>
        <v/>
      </c>
      <c r="BB210" s="25" t="inlineStr">
        <is>
          <t>Blue sky scenario</t>
        </is>
      </c>
      <c r="BC210" s="25">
        <f>IF(BB210="Overhead supply in last 2 years in last 2 years",-5,IF(BB210="Close to 52 week high or retracement",5,IF(BB210="Blue sky scenario",10,IF(BB210="Long term Downtrend",-10,0))))</f>
        <v/>
      </c>
      <c r="BD210" s="25" t="inlineStr">
        <is>
          <t>Yes</t>
        </is>
      </c>
      <c r="BE210" s="25">
        <f>IF(BD210="Yes",10,0)</f>
        <v/>
      </c>
      <c r="BF210" s="25" t="inlineStr">
        <is>
          <t>Less than 12%</t>
        </is>
      </c>
      <c r="BG210" s="25">
        <f>IF(BF210="More than 20%",10,IF(BF210="Between 12 to 20%",5,IF(BF210="Less than 12%",0,0)))</f>
        <v/>
      </c>
      <c r="BH210" s="25" t="inlineStr">
        <is>
          <t>No</t>
        </is>
      </c>
      <c r="BI210" s="25">
        <f>IF(BH210="No",10,0)</f>
        <v/>
      </c>
      <c r="BJ210" s="25" t="inlineStr">
        <is>
          <t>Yes</t>
        </is>
      </c>
      <c r="BK210" s="25">
        <f>IF(BJ210="NO",5,0)</f>
        <v/>
      </c>
      <c r="BL210" s="25" t="inlineStr">
        <is>
          <t>Less than 1.5</t>
        </is>
      </c>
      <c r="BM210" s="25">
        <f>IF(BL210="Above 2",0,IF(BL210="Between 1.5 to 2",5,IF(BL210="Less than 1.5",10,0)))</f>
        <v/>
      </c>
      <c r="BN210" s="25" t="inlineStr">
        <is>
          <t>Less than 50%</t>
        </is>
      </c>
      <c r="BO210" s="25">
        <f>IF(BN210="Above 70%",10,IF(BN210="Between 50% to 70%",5,IF(BN210="Less than 50%",0,IF(BN210="Negative",-10,IF(BN210="Less than 50% and Borrowings are increasing",-5,0)))))</f>
        <v/>
      </c>
      <c r="BP210" s="25" t="inlineStr">
        <is>
          <t>Between 0.7 to 1.2</t>
        </is>
      </c>
      <c r="BQ210" s="25">
        <f>IF(BP210="More than 1.2",-10,IF(BP210="Between 0.7 to 1.2",0,IF(BP210="Less than 0.7",10,0)))</f>
        <v/>
      </c>
      <c r="BR210" s="25" t="inlineStr">
        <is>
          <t>No</t>
        </is>
      </c>
      <c r="BS210" s="25">
        <f>IF(BR210="Yes",-10,0)</f>
        <v/>
      </c>
      <c r="BT210" s="25" t="inlineStr">
        <is>
          <t>Less than 15%</t>
        </is>
      </c>
      <c r="BU210" s="25">
        <f>IF(BT210="More than 15%",-10,IF(BT210="Less than 15%",10,0))</f>
        <v/>
      </c>
      <c r="BV210" s="25" t="inlineStr">
        <is>
          <t>No</t>
        </is>
      </c>
      <c r="BW210" s="25">
        <f>IF(BV210="Yes, more than 10%",-10,IF(BV210="No",10,0))</f>
        <v/>
      </c>
    </row>
    <row r="211">
      <c r="A211" s="25">
        <f>IF(B211=0,"",RANK(B211,$B$2:$B$292,0))</f>
        <v/>
      </c>
      <c r="B211" s="26">
        <f>SUM(Q211,S211,U211,W211,Y211,AA211,AC211,AE211,AG211,AI211,AK211,AM211,AO211,AQ211,AS211,AU211,AW211,AY211,BA211,BC211,BE211,BG211,BI211,BK211,BM211,BO211,BQ211,BS211,BU211,BW211)</f>
        <v/>
      </c>
      <c r="C211" s="25" t="inlineStr">
        <is>
          <t>SALSTEEL</t>
        </is>
      </c>
      <c r="D211" s="25" t="inlineStr">
        <is>
          <t>SAL Steel</t>
        </is>
      </c>
      <c r="E211" s="25" t="inlineStr">
        <is>
          <t>metals &amp; mining</t>
        </is>
      </c>
      <c r="F211" s="25" t="inlineStr">
        <is>
          <t>steel - sponge iron</t>
        </is>
      </c>
      <c r="G211" s="25" t="inlineStr">
        <is>
          <t>smallcap</t>
        </is>
      </c>
      <c r="H211" s="26" t="n">
        <v>856.58</v>
      </c>
      <c r="I211" s="26" t="n">
        <v>61.67</v>
      </c>
      <c r="J211" s="26" t="n">
        <v>4.23</v>
      </c>
      <c r="K211" s="26" t="n">
        <v>159153</v>
      </c>
      <c r="L211" s="26" t="n">
        <v>68.26000000000001</v>
      </c>
      <c r="M211" s="26" t="n">
        <v>27.85</v>
      </c>
      <c r="N211" s="26" t="n">
        <v>44.48</v>
      </c>
      <c r="O211" s="25" t="inlineStr">
        <is>
          <t>Near 52W High Breakout</t>
        </is>
      </c>
      <c r="P211" s="25" t="inlineStr">
        <is>
          <t>Cyclical in an Upturn</t>
        </is>
      </c>
      <c r="Q211" s="25">
        <f>IF(P211="Growing Industry",10,IF(P211="Cyclical in an Upturn",5,0))</f>
        <v/>
      </c>
      <c r="R211" s="25" t="inlineStr">
        <is>
          <t>Too Many Players with High ROCE</t>
        </is>
      </c>
      <c r="S211" s="25">
        <f>IF(R211="Monopoly",10,IF(R211="Oligopoly",5,IF(R211="Duopoly that cooperate",10,IF(R211="Duopoly that compete",5,IF(R211="Too many players with High ROCE",5,0)))))</f>
        <v/>
      </c>
      <c r="T211" s="25" t="inlineStr">
        <is>
          <t>No</t>
        </is>
      </c>
      <c r="U211" s="25">
        <f>IF(T211="No",5,0)</f>
        <v/>
      </c>
      <c r="V211" s="25" t="inlineStr">
        <is>
          <t>Tailwind</t>
        </is>
      </c>
      <c r="W211" s="25">
        <f>IF(V211="Tailwind",10,0)</f>
        <v/>
      </c>
      <c r="X211" s="25" t="inlineStr">
        <is>
          <t>Cyclical</t>
        </is>
      </c>
      <c r="Y211" s="25">
        <f>IF(X211="Structural (10 Years Consistency)",10,IF(X211="Shallow Cyclical (2 to 3 years growth)",5,0))</f>
        <v/>
      </c>
      <c r="Z211" s="25" t="inlineStr">
        <is>
          <t>No</t>
        </is>
      </c>
      <c r="AA211" s="25">
        <f>IF(Z211="Yes due to Product Mix change or Operating Leverage",10,IF(Z211="Yes, these are peak margins",-5,IF(Z211="No",5,0)))</f>
        <v/>
      </c>
      <c r="AB211" s="25" t="inlineStr">
        <is>
          <t>Volatile</t>
        </is>
      </c>
      <c r="AC211" s="25">
        <f>IF(AB211="Stable",10,0)</f>
        <v/>
      </c>
      <c r="AD211" s="25" t="inlineStr">
        <is>
          <t>Yes</t>
        </is>
      </c>
      <c r="AE211" s="25">
        <f>IF(AD211="Yes",10,0)</f>
        <v/>
      </c>
      <c r="AF211" s="25" t="inlineStr">
        <is>
          <t>B2B</t>
        </is>
      </c>
      <c r="AG211" s="25">
        <f>IF(AF211="B2C",10,IF(AF211="B2B",5,0))</f>
        <v/>
      </c>
      <c r="AH211" s="25" t="inlineStr">
        <is>
          <t>Yes</t>
        </is>
      </c>
      <c r="AI211" s="25">
        <f>IF(AH211="Yes",10,0)</f>
        <v/>
      </c>
      <c r="AJ211" s="25" t="inlineStr">
        <is>
          <t>Higher One Time, Lower Annuity</t>
        </is>
      </c>
      <c r="AK211" s="25">
        <f>IF(AJ211="Fully Annuity",10,IF(AJ211="Higher Annuity, Lower One Time",5,IF(AJ211="Higher One Time, Lower Annuity",3,0)))</f>
        <v/>
      </c>
      <c r="AL211" s="25" t="inlineStr">
        <is>
          <t>Good</t>
        </is>
      </c>
      <c r="AM211" s="25">
        <f>IF(AL211="Good",10,0)</f>
        <v/>
      </c>
      <c r="AN211" s="25" t="inlineStr">
        <is>
          <t>Yes for more than 2 years</t>
        </is>
      </c>
      <c r="AO211" s="25">
        <f>IF(AN211="Yes for more than 2 years",10,IF(AN211="Yes only for next 1 to 2 years",5,0))</f>
        <v/>
      </c>
      <c r="AP211" s="25" t="inlineStr">
        <is>
          <t>20 to 40</t>
        </is>
      </c>
      <c r="AQ211" s="25">
        <f>IF(AP211="Above 40",20,IF(AP211="20 to 40",10,IF(AP211="0 to 20",-5,0)))</f>
        <v/>
      </c>
      <c r="AR211" s="25" t="inlineStr">
        <is>
          <t>Between 50 to 75</t>
        </is>
      </c>
      <c r="AS211" s="25">
        <f>IF(AR211="Between 50 to 75",10,IF(AR211="Above 75",0,0))</f>
        <v/>
      </c>
      <c r="AT211" s="25" t="inlineStr">
        <is>
          <t>Stage 2</t>
        </is>
      </c>
      <c r="AU211" s="25">
        <f>IF(AT211="Stage 2",20,IF(AT211="Stage 1",0,IF(AT211="Stage 3",5,IF(AT211="Stage 4",-5,0))))</f>
        <v/>
      </c>
      <c r="AV211" s="25" t="inlineStr">
        <is>
          <t>Positive Trend</t>
        </is>
      </c>
      <c r="AW211" s="25">
        <f>IF(AV211="Positive Trend",20,IF(AV211="Negative Trend",-10,0))</f>
        <v/>
      </c>
      <c r="AX211" s="25" t="inlineStr">
        <is>
          <t>Uptrend</t>
        </is>
      </c>
      <c r="AY211" s="25">
        <f>IF(AX211="Uptrend",10,IF(AX211="Sideways",5,0))</f>
        <v/>
      </c>
      <c r="AZ211" s="25" t="inlineStr">
        <is>
          <t>Uptrend</t>
        </is>
      </c>
      <c r="BA211" s="25">
        <f>IF(AZ211="Uptrend",10,IF(AZ211="Sideways",5,0))</f>
        <v/>
      </c>
      <c r="BB211" s="25" t="inlineStr">
        <is>
          <t>Blue sky scenario</t>
        </is>
      </c>
      <c r="BC211" s="25">
        <f>IF(BB211="Overhead supply in last 2 years in last 2 years",-5,IF(BB211="Close to 52 week high or retracement",5,IF(BB211="Blue sky scenario",10,IF(BB211="Long term Downtrend",-10,0))))</f>
        <v/>
      </c>
      <c r="BD211" s="25" t="inlineStr">
        <is>
          <t>Yes</t>
        </is>
      </c>
      <c r="BE211" s="25">
        <f>IF(BD211="Yes",10,0)</f>
        <v/>
      </c>
      <c r="BF211" s="25" t="inlineStr">
        <is>
          <t>More than 20%</t>
        </is>
      </c>
      <c r="BG211" s="25">
        <f>IF(BF211="More than 20%",10,IF(BF211="Between 12 to 20%",5,IF(BF211="Less than 12%",0,0)))</f>
        <v/>
      </c>
      <c r="BH211" s="25" t="inlineStr">
        <is>
          <t>No</t>
        </is>
      </c>
      <c r="BI211" s="25">
        <f>IF(BH211="No",10,0)</f>
        <v/>
      </c>
      <c r="BJ211" s="25" t="inlineStr">
        <is>
          <t>No</t>
        </is>
      </c>
      <c r="BK211" s="25">
        <f>IF(BJ211="NO",5,0)</f>
        <v/>
      </c>
      <c r="BL211" s="25" t="inlineStr">
        <is>
          <t>Less than 1.5</t>
        </is>
      </c>
      <c r="BM211" s="25">
        <f>IF(BL211="Above 2",0,IF(BL211="Between 1.5 to 2",5,IF(BL211="Less than 1.5",10,0)))</f>
        <v/>
      </c>
      <c r="BN211" s="25" t="inlineStr">
        <is>
          <t>Above 70%</t>
        </is>
      </c>
      <c r="BO211" s="25">
        <f>IF(BN211="Above 70%",10,IF(BN211="Between 50% to 70%",5,IF(BN211="Less than 50%",0,IF(BN211="Negative",-10,IF(BN211="Less than 50% and Borrowings are increasing",-5,0)))))</f>
        <v/>
      </c>
      <c r="BP211" s="25" t="inlineStr">
        <is>
          <t>More than 1.2</t>
        </is>
      </c>
      <c r="BQ211" s="25">
        <f>IF(BP211="More than 1.2",-10,IF(BP211="Between 0.7 to 1.2",0,IF(BP211="Less than 0.7",10,0)))</f>
        <v/>
      </c>
      <c r="BR211" s="25" t="inlineStr">
        <is>
          <t>No</t>
        </is>
      </c>
      <c r="BS211" s="25">
        <f>IF(BR211="Yes",-10,0)</f>
        <v/>
      </c>
      <c r="BT211" s="25" t="inlineStr">
        <is>
          <t>Less than 15%</t>
        </is>
      </c>
      <c r="BU211" s="25">
        <f>IF(BT211="More than 15%",-10,IF(BT211="Less than 15%",10,0))</f>
        <v/>
      </c>
      <c r="BV211" s="25" t="inlineStr">
        <is>
          <t>No</t>
        </is>
      </c>
      <c r="BW211" s="25">
        <f>IF(BV211="Yes, more than 10%",-10,IF(BV211="No",10,0))</f>
        <v/>
      </c>
    </row>
    <row r="212">
      <c r="A212" s="25">
        <f>IF(B212=0,"",RANK(B212,$B$2:$B$292,0))</f>
        <v/>
      </c>
      <c r="B212" s="26">
        <f>SUM(Q212,S212,U212,W212,Y212,AA212,AC212,AE212,AG212,AI212,AK212,AM212,AO212,AQ212,AS212,AU212,AW212,AY212,BA212,BC212,BE212,BG212,BI212,BK212,BM212,BO212,BQ212,BS212,BU212,BW212)</f>
        <v/>
      </c>
      <c r="C212" s="25" t="inlineStr">
        <is>
          <t>HINDOILEXP</t>
        </is>
      </c>
      <c r="D212" s="25" t="inlineStr">
        <is>
          <t>Hindustan Oil Exploration Company Limited</t>
        </is>
      </c>
      <c r="E212" s="25" t="inlineStr">
        <is>
          <t>energy</t>
        </is>
      </c>
      <c r="F212" s="25" t="inlineStr">
        <is>
          <t>oil drilling / allied services</t>
        </is>
      </c>
      <c r="G212" s="25" t="inlineStr">
        <is>
          <t>smallcap</t>
        </is>
      </c>
      <c r="H212" s="26" t="n">
        <v>2182.15</v>
      </c>
      <c r="I212" s="26" t="n">
        <v>171.79</v>
      </c>
      <c r="J212" s="26" t="n">
        <v>4.11</v>
      </c>
      <c r="K212" s="26" t="n">
        <v>1012446</v>
      </c>
      <c r="L212" s="26" t="n">
        <v>58.39</v>
      </c>
      <c r="M212" s="26" t="n">
        <v>23.41</v>
      </c>
      <c r="N212" s="26" t="n">
        <v>127.18</v>
      </c>
      <c r="O212" s="25" t="inlineStr">
        <is>
          <t>Near 52W High Breakout</t>
        </is>
      </c>
      <c r="P212" s="25" t="inlineStr">
        <is>
          <t>Cyclical in an Upturn</t>
        </is>
      </c>
      <c r="Q212" s="25">
        <f>IF(P212="Growing Industry",10,IF(P212="Cyclical in an Upturn",5,0))</f>
        <v/>
      </c>
      <c r="R212" s="25" t="inlineStr">
        <is>
          <t>Oligopoly</t>
        </is>
      </c>
      <c r="S212" s="25">
        <f>IF(R212="Monopoly",10,IF(R212="Oligopoly",5,IF(R212="Duopoly that cooperate",10,IF(R212="Duopoly that compete",5,IF(R212="Too many players with High ROCE",5,0)))))</f>
        <v/>
      </c>
      <c r="T212" s="25" t="inlineStr">
        <is>
          <t>Yes</t>
        </is>
      </c>
      <c r="U212" s="25">
        <f>IF(T212="No",5,0)</f>
        <v/>
      </c>
      <c r="V212" s="25" t="inlineStr">
        <is>
          <t>Tailwind</t>
        </is>
      </c>
      <c r="W212" s="25">
        <f>IF(V212="Tailwind",10,0)</f>
        <v/>
      </c>
      <c r="X212" s="25" t="inlineStr">
        <is>
          <t>Cyclical</t>
        </is>
      </c>
      <c r="Y212" s="25">
        <f>IF(X212="Structural (10 Years Consistency)",10,IF(X212="Shallow Cyclical (2 to 3 years growth)",5,0))</f>
        <v/>
      </c>
      <c r="Z212" s="25" t="inlineStr">
        <is>
          <t>No</t>
        </is>
      </c>
      <c r="AA212" s="25">
        <f>IF(Z212="Yes due to Product Mix change or Operating Leverage",10,IF(Z212="Yes, these are peak margins",-5,IF(Z212="No",5,0)))</f>
        <v/>
      </c>
      <c r="AB212" s="25" t="inlineStr">
        <is>
          <t>Volatile</t>
        </is>
      </c>
      <c r="AC212" s="25">
        <f>IF(AB212="Stable",10,0)</f>
        <v/>
      </c>
      <c r="AD212" s="25" t="inlineStr">
        <is>
          <t>Yes</t>
        </is>
      </c>
      <c r="AE212" s="25">
        <f>IF(AD212="Yes",10,0)</f>
        <v/>
      </c>
      <c r="AF212" s="25" t="inlineStr">
        <is>
          <t>B2B</t>
        </is>
      </c>
      <c r="AG212" s="25">
        <f>IF(AF212="B2C",10,IF(AF212="B2B",5,0))</f>
        <v/>
      </c>
      <c r="AH212" s="25" t="inlineStr">
        <is>
          <t>Yes</t>
        </is>
      </c>
      <c r="AI212" s="25">
        <f>IF(AH212="Yes",10,0)</f>
        <v/>
      </c>
      <c r="AJ212" s="25" t="inlineStr">
        <is>
          <t>Higher One Time, Lower Annuity</t>
        </is>
      </c>
      <c r="AK212" s="25">
        <f>IF(AJ212="Fully Annuity",10,IF(AJ212="Higher Annuity, Lower One Time",5,IF(AJ212="Higher One Time, Lower Annuity",3,0)))</f>
        <v/>
      </c>
      <c r="AL212" s="25" t="inlineStr">
        <is>
          <t>Good</t>
        </is>
      </c>
      <c r="AM212" s="25">
        <f>IF(AL212="Good",10,0)</f>
        <v/>
      </c>
      <c r="AN212" s="25" t="inlineStr">
        <is>
          <t>Yes for more than 2 years</t>
        </is>
      </c>
      <c r="AO212" s="25">
        <f>IF(AN212="Yes for more than 2 years",10,IF(AN212="Yes only for next 1 to 2 years",5,0))</f>
        <v/>
      </c>
      <c r="AP212" s="25" t="inlineStr">
        <is>
          <t>20 to 40</t>
        </is>
      </c>
      <c r="AQ212" s="25">
        <f>IF(AP212="Above 40",20,IF(AP212="20 to 40",10,IF(AP212="0 to 20",-5,0)))</f>
        <v/>
      </c>
      <c r="AR212" s="25" t="inlineStr">
        <is>
          <t>Between 50 to 75</t>
        </is>
      </c>
      <c r="AS212" s="25">
        <f>IF(AR212="Between 50 to 75",10,IF(AR212="Above 75",0,0))</f>
        <v/>
      </c>
      <c r="AT212" s="25" t="inlineStr">
        <is>
          <t>Stage 2</t>
        </is>
      </c>
      <c r="AU212" s="25">
        <f>IF(AT212="Stage 2",20,IF(AT212="Stage 1",0,IF(AT212="Stage 3",5,IF(AT212="Stage 4",-5,0))))</f>
        <v/>
      </c>
      <c r="AV212" s="25" t="inlineStr">
        <is>
          <t>Positive Trend</t>
        </is>
      </c>
      <c r="AW212" s="25">
        <f>IF(AV212="Positive Trend",20,IF(AV212="Negative Trend",-10,0))</f>
        <v/>
      </c>
      <c r="AX212" s="25" t="inlineStr">
        <is>
          <t>Uptrend</t>
        </is>
      </c>
      <c r="AY212" s="25">
        <f>IF(AX212="Uptrend",10,IF(AX212="Sideways",5,0))</f>
        <v/>
      </c>
      <c r="AZ212" s="25" t="inlineStr">
        <is>
          <t>Uptrend</t>
        </is>
      </c>
      <c r="BA212" s="25">
        <f>IF(AZ212="Uptrend",10,IF(AZ212="Sideways",5,0))</f>
        <v/>
      </c>
      <c r="BB212" s="25" t="inlineStr">
        <is>
          <t>Close to 52 week high or retracement</t>
        </is>
      </c>
      <c r="BC212" s="25">
        <f>IF(BB212="Overhead supply in last 2 years in last 2 years",-5,IF(BB212="Close to 52 week high or retracement",5,IF(BB212="Blue sky scenario",10,IF(BB212="Long term Downtrend",-10,0))))</f>
        <v/>
      </c>
      <c r="BD212" s="25" t="inlineStr">
        <is>
          <t>Yes</t>
        </is>
      </c>
      <c r="BE212" s="25">
        <f>IF(BD212="Yes",10,0)</f>
        <v/>
      </c>
      <c r="BF212" s="25" t="inlineStr">
        <is>
          <t>Less than 12%</t>
        </is>
      </c>
      <c r="BG212" s="25">
        <f>IF(BF212="More than 20%",10,IF(BF212="Between 12 to 20%",5,IF(BF212="Less than 12%",0,0)))</f>
        <v/>
      </c>
      <c r="BH212" s="25" t="inlineStr">
        <is>
          <t>No</t>
        </is>
      </c>
      <c r="BI212" s="25">
        <f>IF(BH212="No",10,0)</f>
        <v/>
      </c>
      <c r="BJ212" s="25" t="inlineStr">
        <is>
          <t>No</t>
        </is>
      </c>
      <c r="BK212" s="25">
        <f>IF(BJ212="NO",5,0)</f>
        <v/>
      </c>
      <c r="BL212" s="25" t="inlineStr">
        <is>
          <t>Less than 1.5</t>
        </is>
      </c>
      <c r="BM212" s="25">
        <f>IF(BL212="Above 2",0,IF(BL212="Between 1.5 to 2",5,IF(BL212="Less than 1.5",10,0)))</f>
        <v/>
      </c>
      <c r="BN212" s="25" t="inlineStr">
        <is>
          <t>Above 70%</t>
        </is>
      </c>
      <c r="BO212" s="25">
        <f>IF(BN212="Above 70%",10,IF(BN212="Between 50% to 70%",5,IF(BN212="Less than 50%",0,IF(BN212="Negative",-10,IF(BN212="Less than 50% and Borrowings are increasing",-5,0)))))</f>
        <v/>
      </c>
      <c r="BP212" s="25" t="inlineStr">
        <is>
          <t>Less than 0.7</t>
        </is>
      </c>
      <c r="BQ212" s="25">
        <f>IF(BP212="More than 1.2",-10,IF(BP212="Between 0.7 to 1.2",0,IF(BP212="Less than 0.7",10,0)))</f>
        <v/>
      </c>
      <c r="BR212" s="25" t="inlineStr">
        <is>
          <t>No</t>
        </is>
      </c>
      <c r="BS212" s="25">
        <f>IF(BR212="Yes",-10,0)</f>
        <v/>
      </c>
      <c r="BT212" s="25" t="inlineStr">
        <is>
          <t>Less than 15%</t>
        </is>
      </c>
      <c r="BU212" s="25">
        <f>IF(BT212="More than 15%",-10,IF(BT212="Less than 15%",10,0))</f>
        <v/>
      </c>
      <c r="BV212" s="25" t="inlineStr">
        <is>
          <t>No</t>
        </is>
      </c>
      <c r="BW212" s="25">
        <f>IF(BV212="Yes, more than 10%",-10,IF(BV212="No",10,0))</f>
        <v/>
      </c>
    </row>
    <row r="213">
      <c r="A213" s="25">
        <f>IF(B213=0,"",RANK(B213,$B$2:$B$292,0))</f>
        <v/>
      </c>
      <c r="B213" s="26">
        <f>SUM(Q213,S213,U213,W213,Y213,AA213,AC213,AE213,AG213,AI213,AK213,AM213,AO213,AQ213,AS213,AU213,AW213,AY213,BA213,BC213,BE213,BG213,BI213,BK213,BM213,BO213,BQ213,BS213,BU213,BW213)</f>
        <v/>
      </c>
      <c r="C213" s="25" t="inlineStr">
        <is>
          <t>GOLDIAM</t>
        </is>
      </c>
      <c r="D213" s="25" t="inlineStr">
        <is>
          <t>Goldiam International Limited</t>
        </is>
      </c>
      <c r="E213" s="25" t="inlineStr">
        <is>
          <t>consumer discretionary</t>
        </is>
      </c>
      <c r="F213" s="25" t="inlineStr">
        <is>
          <t>diamond cutting / jewellery</t>
        </is>
      </c>
      <c r="G213" s="25" t="inlineStr">
        <is>
          <t>smallcap</t>
        </is>
      </c>
      <c r="H213" s="26" t="n">
        <v>4626.81</v>
      </c>
      <c r="I213" s="26" t="n">
        <v>424.45</v>
      </c>
      <c r="J213" s="26" t="n">
        <v>3.59</v>
      </c>
      <c r="K213" s="26" t="n">
        <v>1955838</v>
      </c>
      <c r="L213" s="26" t="n">
        <v>58.96</v>
      </c>
      <c r="M213" s="26" t="n">
        <v>21.91</v>
      </c>
      <c r="N213" s="26" t="n">
        <v>308.21</v>
      </c>
      <c r="O213" s="25" t="inlineStr">
        <is>
          <t>Near 52W High Breakout</t>
        </is>
      </c>
      <c r="P213" s="25" t="inlineStr">
        <is>
          <t>Growing Industry</t>
        </is>
      </c>
      <c r="Q213" s="25">
        <f>IF(P213="Growing Industry",10,IF(P213="Cyclical in an Upturn",5,0))</f>
        <v/>
      </c>
      <c r="R213" s="25" t="inlineStr">
        <is>
          <t>Too Many Players with High ROCE</t>
        </is>
      </c>
      <c r="S213" s="25">
        <f>IF(R213="Monopoly",10,IF(R213="Oligopoly",5,IF(R213="Duopoly that cooperate",10,IF(R213="Duopoly that compete",5,IF(R213="Too many players with High ROCE",5,0)))))</f>
        <v/>
      </c>
      <c r="T213" s="25" t="inlineStr">
        <is>
          <t>No</t>
        </is>
      </c>
      <c r="U213" s="25">
        <f>IF(T213="No",5,0)</f>
        <v/>
      </c>
      <c r="V213" s="25" t="inlineStr">
        <is>
          <t>Tailwind</t>
        </is>
      </c>
      <c r="W213" s="25">
        <f>IF(V213="Tailwind",10,0)</f>
        <v/>
      </c>
      <c r="X213" s="25" t="inlineStr">
        <is>
          <t>Structural (10 Years Consistency)</t>
        </is>
      </c>
      <c r="Y213" s="25">
        <f>IF(X213="Structural (10 Years Consistency)",10,IF(X213="Shallow Cyclical (2 to 3 years growth)",5,0))</f>
        <v/>
      </c>
      <c r="Z213" s="25" t="inlineStr">
        <is>
          <t>No</t>
        </is>
      </c>
      <c r="AA213" s="25">
        <f>IF(Z213="Yes due to Product Mix change or Operating Leverage",10,IF(Z213="Yes, these are peak margins",-5,IF(Z213="No",5,0)))</f>
        <v/>
      </c>
      <c r="AB213" s="25" t="inlineStr">
        <is>
          <t>Stable</t>
        </is>
      </c>
      <c r="AC213" s="25">
        <f>IF(AB213="Stable",10,0)</f>
        <v/>
      </c>
      <c r="AD213" s="25" t="inlineStr">
        <is>
          <t>Yes</t>
        </is>
      </c>
      <c r="AE213" s="25">
        <f>IF(AD213="Yes",10,0)</f>
        <v/>
      </c>
      <c r="AF213" s="25" t="inlineStr">
        <is>
          <t>B2B</t>
        </is>
      </c>
      <c r="AG213" s="25">
        <f>IF(AF213="B2C",10,IF(AF213="B2B",5,0))</f>
        <v/>
      </c>
      <c r="AH213" s="25" t="inlineStr">
        <is>
          <t>Yes</t>
        </is>
      </c>
      <c r="AI213" s="25">
        <f>IF(AH213="Yes",10,0)</f>
        <v/>
      </c>
      <c r="AJ213" s="25" t="inlineStr">
        <is>
          <t>Higher One Time, Lower Annuity</t>
        </is>
      </c>
      <c r="AK213" s="25">
        <f>IF(AJ213="Fully Annuity",10,IF(AJ213="Higher Annuity, Lower One Time",5,IF(AJ213="Higher One Time, Lower Annuity",3,0)))</f>
        <v/>
      </c>
      <c r="AL213" s="25" t="inlineStr">
        <is>
          <t>Good</t>
        </is>
      </c>
      <c r="AM213" s="25">
        <f>IF(AL213="Good",10,0)</f>
        <v/>
      </c>
      <c r="AN213" s="25" t="inlineStr">
        <is>
          <t>Yes for more than 2 years</t>
        </is>
      </c>
      <c r="AO213" s="25">
        <f>IF(AN213="Yes for more than 2 years",10,IF(AN213="Yes only for next 1 to 2 years",5,0))</f>
        <v/>
      </c>
      <c r="AP213" s="25" t="inlineStr">
        <is>
          <t>20 to 40</t>
        </is>
      </c>
      <c r="AQ213" s="25">
        <f>IF(AP213="Above 40",20,IF(AP213="20 to 40",10,IF(AP213="0 to 20",-5,0)))</f>
        <v/>
      </c>
      <c r="AR213" s="25" t="inlineStr">
        <is>
          <t>Between 50 to 75</t>
        </is>
      </c>
      <c r="AS213" s="25">
        <f>IF(AR213="Between 50 to 75",10,IF(AR213="Above 75",0,0))</f>
        <v/>
      </c>
      <c r="AT213" s="25" t="inlineStr">
        <is>
          <t>Stage 2</t>
        </is>
      </c>
      <c r="AU213" s="25">
        <f>IF(AT213="Stage 2",20,IF(AT213="Stage 1",0,IF(AT213="Stage 3",5,IF(AT213="Stage 4",-5,0))))</f>
        <v/>
      </c>
      <c r="AV213" s="25" t="inlineStr">
        <is>
          <t>Negative Trend</t>
        </is>
      </c>
      <c r="AW213" s="25">
        <f>IF(AV213="Positive Trend",20,IF(AV213="Negative Trend",-10,0))</f>
        <v/>
      </c>
      <c r="AX213" s="25" t="inlineStr">
        <is>
          <t>Uptrend</t>
        </is>
      </c>
      <c r="AY213" s="25">
        <f>IF(AX213="Uptrend",10,IF(AX213="Sideways",5,0))</f>
        <v/>
      </c>
      <c r="AZ213" s="25" t="inlineStr">
        <is>
          <t>Uptrend</t>
        </is>
      </c>
      <c r="BA213" s="25">
        <f>IF(AZ213="Uptrend",10,IF(AZ213="Sideways",5,0))</f>
        <v/>
      </c>
      <c r="BB213" s="25" t="inlineStr">
        <is>
          <t>Close to 52 week high or retracement</t>
        </is>
      </c>
      <c r="BC213" s="25">
        <f>IF(BB213="Overhead supply in last 2 years in last 2 years",-5,IF(BB213="Close to 52 week high or retracement",5,IF(BB213="Blue sky scenario",10,IF(BB213="Long term Downtrend",-10,0))))</f>
        <v/>
      </c>
      <c r="BD213" s="25" t="inlineStr">
        <is>
          <t>Yes</t>
        </is>
      </c>
      <c r="BE213" s="25">
        <f>IF(BD213="Yes",10,0)</f>
        <v/>
      </c>
      <c r="BF213" s="25" t="inlineStr">
        <is>
          <t>More than 20%</t>
        </is>
      </c>
      <c r="BG213" s="25">
        <f>IF(BF213="More than 20%",10,IF(BF213="Between 12 to 20%",5,IF(BF213="Less than 12%",0,0)))</f>
        <v/>
      </c>
      <c r="BH213" s="25" t="inlineStr">
        <is>
          <t>No</t>
        </is>
      </c>
      <c r="BI213" s="25">
        <f>IF(BH213="No",10,0)</f>
        <v/>
      </c>
      <c r="BJ213" s="25" t="inlineStr">
        <is>
          <t>No</t>
        </is>
      </c>
      <c r="BK213" s="25">
        <f>IF(BJ213="NO",5,0)</f>
        <v/>
      </c>
      <c r="BL213" s="25" t="inlineStr">
        <is>
          <t>Less than 1.5</t>
        </is>
      </c>
      <c r="BM213" s="25">
        <f>IF(BL213="Above 2",0,IF(BL213="Between 1.5 to 2",5,IF(BL213="Less than 1.5",10,0)))</f>
        <v/>
      </c>
      <c r="BN213" s="25" t="inlineStr">
        <is>
          <t>Less than 50%</t>
        </is>
      </c>
      <c r="BO213" s="25">
        <f>IF(BN213="Above 70%",10,IF(BN213="Between 50% to 70%",5,IF(BN213="Less than 50%",0,IF(BN213="Negative",-10,IF(BN213="Less than 50% and Borrowings are increasing",-5,0)))))</f>
        <v/>
      </c>
      <c r="BP213" s="25" t="inlineStr">
        <is>
          <t>Less than 0.7</t>
        </is>
      </c>
      <c r="BQ213" s="25">
        <f>IF(BP213="More than 1.2",-10,IF(BP213="Between 0.7 to 1.2",0,IF(BP213="Less than 0.7",10,0)))</f>
        <v/>
      </c>
      <c r="BR213" s="25" t="inlineStr">
        <is>
          <t>No</t>
        </is>
      </c>
      <c r="BS213" s="25">
        <f>IF(BR213="Yes",-10,0)</f>
        <v/>
      </c>
      <c r="BT213" s="25" t="inlineStr">
        <is>
          <t>Less than 15%</t>
        </is>
      </c>
      <c r="BU213" s="25">
        <f>IF(BT213="More than 15%",-10,IF(BT213="Less than 15%",10,0))</f>
        <v/>
      </c>
      <c r="BV213" s="25" t="inlineStr">
        <is>
          <t>No</t>
        </is>
      </c>
      <c r="BW213" s="25">
        <f>IF(BV213="Yes, more than 10%",-10,IF(BV213="No",10,0))</f>
        <v/>
      </c>
    </row>
    <row r="214">
      <c r="A214" s="25">
        <f>IF(B214=0,"",RANK(B214,$B$2:$B$292,0))</f>
        <v/>
      </c>
      <c r="B214" s="26">
        <f>SUM(Q214,S214,U214,W214,Y214,AA214,AC214,AE214,AG214,AI214,AK214,AM214,AO214,AQ214,AS214,AU214,AW214,AY214,BA214,BC214,BE214,BG214,BI214,BK214,BM214,BO214,BQ214,BS214,BU214,BW214)</f>
        <v/>
      </c>
      <c r="C214" s="25" t="inlineStr">
        <is>
          <t>PREMEXPLN</t>
        </is>
      </c>
      <c r="D214" s="25" t="inlineStr">
        <is>
          <t>Premier Explosives Limited</t>
        </is>
      </c>
      <c r="E214" s="25" t="inlineStr">
        <is>
          <t>aerospace &amp; defence</t>
        </is>
      </c>
      <c r="F214" s="25" t="inlineStr">
        <is>
          <t>chemicals</t>
        </is>
      </c>
      <c r="G214" s="25" t="inlineStr">
        <is>
          <t>smallcap</t>
        </is>
      </c>
      <c r="H214" s="26" t="n">
        <v>3460.07</v>
      </c>
      <c r="I214" s="26" t="n">
        <v>651.85</v>
      </c>
      <c r="J214" s="26" t="n">
        <v>1.28</v>
      </c>
      <c r="K214" s="26" t="n">
        <v>525642</v>
      </c>
      <c r="L214" s="26" t="n">
        <v>62.89</v>
      </c>
      <c r="M214" s="26" t="n">
        <v>16.34</v>
      </c>
      <c r="N214" s="26" t="n">
        <v>486.85</v>
      </c>
      <c r="O214" s="25" t="inlineStr">
        <is>
          <t>Earnings / Momentum Support</t>
        </is>
      </c>
      <c r="P214" s="25" t="inlineStr">
        <is>
          <t>Growing Industry</t>
        </is>
      </c>
      <c r="Q214" s="25">
        <f>IF(P214="Growing Industry",10,IF(P214="Cyclical in an Upturn",5,0))</f>
        <v/>
      </c>
      <c r="R214" s="25" t="inlineStr">
        <is>
          <t>Too Many Players with High ROCE</t>
        </is>
      </c>
      <c r="S214" s="25">
        <f>IF(R214="Monopoly",10,IF(R214="Oligopoly",5,IF(R214="Duopoly that cooperate",10,IF(R214="Duopoly that compete",5,IF(R214="Too many players with High ROCE",5,0)))))</f>
        <v/>
      </c>
      <c r="T214" s="25" t="inlineStr">
        <is>
          <t>No</t>
        </is>
      </c>
      <c r="U214" s="25">
        <f>IF(T214="No",5,0)</f>
        <v/>
      </c>
      <c r="V214" s="25" t="inlineStr">
        <is>
          <t>Tailwind</t>
        </is>
      </c>
      <c r="W214" s="25">
        <f>IF(V214="Tailwind",10,0)</f>
        <v/>
      </c>
      <c r="X214" s="25" t="inlineStr">
        <is>
          <t>Structural (10 Years Consistency)</t>
        </is>
      </c>
      <c r="Y214" s="25">
        <f>IF(X214="Structural (10 Years Consistency)",10,IF(X214="Shallow Cyclical (2 to 3 years growth)",5,0))</f>
        <v/>
      </c>
      <c r="Z214" s="25" t="inlineStr">
        <is>
          <t>No</t>
        </is>
      </c>
      <c r="AA214" s="25">
        <f>IF(Z214="Yes due to Product Mix change or Operating Leverage",10,IF(Z214="Yes, these are peak margins",-5,IF(Z214="No",5,0)))</f>
        <v/>
      </c>
      <c r="AB214" s="25" t="inlineStr">
        <is>
          <t>Stable</t>
        </is>
      </c>
      <c r="AC214" s="25">
        <f>IF(AB214="Stable",10,0)</f>
        <v/>
      </c>
      <c r="AD214" s="25" t="inlineStr">
        <is>
          <t>Yes</t>
        </is>
      </c>
      <c r="AE214" s="25">
        <f>IF(AD214="Yes",10,0)</f>
        <v/>
      </c>
      <c r="AF214" s="25" t="inlineStr">
        <is>
          <t>B2B</t>
        </is>
      </c>
      <c r="AG214" s="25">
        <f>IF(AF214="B2C",10,IF(AF214="B2B",5,0))</f>
        <v/>
      </c>
      <c r="AH214" s="25" t="inlineStr">
        <is>
          <t>No</t>
        </is>
      </c>
      <c r="AI214" s="25">
        <f>IF(AH214="Yes",10,0)</f>
        <v/>
      </c>
      <c r="AJ214" s="25" t="inlineStr">
        <is>
          <t>Higher One Time, Lower Annuity</t>
        </is>
      </c>
      <c r="AK214" s="25">
        <f>IF(AJ214="Fully Annuity",10,IF(AJ214="Higher Annuity, Lower One Time",5,IF(AJ214="Higher One Time, Lower Annuity",3,0)))</f>
        <v/>
      </c>
      <c r="AL214" s="25" t="inlineStr">
        <is>
          <t>Good</t>
        </is>
      </c>
      <c r="AM214" s="25">
        <f>IF(AL214="Good",10,0)</f>
        <v/>
      </c>
      <c r="AN214" s="25" t="inlineStr">
        <is>
          <t>Yes for more than 2 years</t>
        </is>
      </c>
      <c r="AO214" s="25">
        <f>IF(AN214="Yes for more than 2 years",10,IF(AN214="Yes only for next 1 to 2 years",5,0))</f>
        <v/>
      </c>
      <c r="AP214" s="25" t="inlineStr">
        <is>
          <t>0 to 20</t>
        </is>
      </c>
      <c r="AQ214" s="25">
        <f>IF(AP214="Above 40",20,IF(AP214="20 to 40",10,IF(AP214="0 to 20",-5,0)))</f>
        <v/>
      </c>
      <c r="AR214" s="25" t="inlineStr">
        <is>
          <t>Between 50 to 75</t>
        </is>
      </c>
      <c r="AS214" s="25">
        <f>IF(AR214="Between 50 to 75",10,IF(AR214="Above 75",0,0))</f>
        <v/>
      </c>
      <c r="AT214" s="25" t="inlineStr">
        <is>
          <t>Stage 2</t>
        </is>
      </c>
      <c r="AU214" s="25">
        <f>IF(AT214="Stage 2",20,IF(AT214="Stage 1",0,IF(AT214="Stage 3",5,IF(AT214="Stage 4",-5,0))))</f>
        <v/>
      </c>
      <c r="AV214" s="25" t="inlineStr">
        <is>
          <t>Positive Trend</t>
        </is>
      </c>
      <c r="AW214" s="25">
        <f>IF(AV214="Positive Trend",20,IF(AV214="Negative Trend",-10,0))</f>
        <v/>
      </c>
      <c r="AX214" s="25" t="inlineStr">
        <is>
          <t>Uptrend</t>
        </is>
      </c>
      <c r="AY214" s="25">
        <f>IF(AX214="Uptrend",10,IF(AX214="Sideways",5,0))</f>
        <v/>
      </c>
      <c r="AZ214" s="25" t="inlineStr">
        <is>
          <t>Uptrend</t>
        </is>
      </c>
      <c r="BA214" s="25">
        <f>IF(AZ214="Uptrend",10,IF(AZ214="Sideways",5,0))</f>
        <v/>
      </c>
      <c r="BB214" s="25" t="inlineStr">
        <is>
          <t>Close to 52 week high or retracement</t>
        </is>
      </c>
      <c r="BC214" s="25">
        <f>IF(BB214="Overhead supply in last 2 years in last 2 years",-5,IF(BB214="Close to 52 week high or retracement",5,IF(BB214="Blue sky scenario",10,IF(BB214="Long term Downtrend",-10,0))))</f>
        <v/>
      </c>
      <c r="BD214" s="25" t="inlineStr">
        <is>
          <t>Yes</t>
        </is>
      </c>
      <c r="BE214" s="25">
        <f>IF(BD214="Yes",10,0)</f>
        <v/>
      </c>
      <c r="BF214" s="25" t="inlineStr">
        <is>
          <t>Less than 12%</t>
        </is>
      </c>
      <c r="BG214" s="25">
        <f>IF(BF214="More than 20%",10,IF(BF214="Between 12 to 20%",5,IF(BF214="Less than 12%",0,0)))</f>
        <v/>
      </c>
      <c r="BH214" s="25" t="inlineStr">
        <is>
          <t>No</t>
        </is>
      </c>
      <c r="BI214" s="25">
        <f>IF(BH214="No",10,0)</f>
        <v/>
      </c>
      <c r="BJ214" s="25" t="inlineStr">
        <is>
          <t>Yes</t>
        </is>
      </c>
      <c r="BK214" s="25">
        <f>IF(BJ214="NO",5,0)</f>
        <v/>
      </c>
      <c r="BL214" s="25" t="inlineStr">
        <is>
          <t>Less than 1.5</t>
        </is>
      </c>
      <c r="BM214" s="25">
        <f>IF(BL214="Above 2",0,IF(BL214="Between 1.5 to 2",5,IF(BL214="Less than 1.5",10,0)))</f>
        <v/>
      </c>
      <c r="BN214" s="25" t="inlineStr">
        <is>
          <t>Above 70%</t>
        </is>
      </c>
      <c r="BO214" s="25">
        <f>IF(BN214="Above 70%",10,IF(BN214="Between 50% to 70%",5,IF(BN214="Less than 50%",0,IF(BN214="Negative",-10,IF(BN214="Less than 50% and Borrowings are increasing",-5,0)))))</f>
        <v/>
      </c>
      <c r="BP214" s="25" t="inlineStr">
        <is>
          <t>Less than 0.7</t>
        </is>
      </c>
      <c r="BQ214" s="25">
        <f>IF(BP214="More than 1.2",-10,IF(BP214="Between 0.7 to 1.2",0,IF(BP214="Less than 0.7",10,0)))</f>
        <v/>
      </c>
      <c r="BR214" s="25" t="inlineStr">
        <is>
          <t>No</t>
        </is>
      </c>
      <c r="BS214" s="25">
        <f>IF(BR214="Yes",-10,0)</f>
        <v/>
      </c>
      <c r="BT214" s="25" t="inlineStr">
        <is>
          <t>Less than 15%</t>
        </is>
      </c>
      <c r="BU214" s="25">
        <f>IF(BT214="More than 15%",-10,IF(BT214="Less than 15%",10,0))</f>
        <v/>
      </c>
      <c r="BV214" s="25" t="inlineStr">
        <is>
          <t>No</t>
        </is>
      </c>
      <c r="BW214" s="25">
        <f>IF(BV214="Yes, more than 10%",-10,IF(BV214="No",10,0))</f>
        <v/>
      </c>
    </row>
    <row r="215">
      <c r="A215" s="25">
        <f>IF(B215=0,"",RANK(B215,$B$2:$B$292,0))</f>
        <v/>
      </c>
      <c r="B215" s="26">
        <f>SUM(Q215,S215,U215,W215,Y215,AA215,AC215,AE215,AG215,AI215,AK215,AM215,AO215,AQ215,AS215,AU215,AW215,AY215,BA215,BC215,BE215,BG215,BI215,BK215,BM215,BO215,BQ215,BS215,BU215,BW215)</f>
        <v/>
      </c>
      <c r="C215" s="25" t="inlineStr">
        <is>
          <t>LLOYDSENGG</t>
        </is>
      </c>
      <c r="D215" s="25" t="inlineStr">
        <is>
          <t>Lloyds Engineering Works Ltd</t>
        </is>
      </c>
      <c r="E215" s="25" t="inlineStr">
        <is>
          <t>industrials</t>
        </is>
      </c>
      <c r="F215" s="25" t="inlineStr">
        <is>
          <t>engineering</t>
        </is>
      </c>
      <c r="G215" s="25" t="inlineStr">
        <is>
          <t>midcap</t>
        </is>
      </c>
      <c r="H215" s="26" t="n">
        <v>10551.51</v>
      </c>
      <c r="I215" s="26" t="n">
        <v>72.13</v>
      </c>
      <c r="J215" s="26" t="n">
        <v>1.18</v>
      </c>
      <c r="K215" s="26" t="n">
        <v>6134581</v>
      </c>
      <c r="L215" s="26" t="n">
        <v>67.84999999999999</v>
      </c>
      <c r="M215" s="26" t="n">
        <v>28.17</v>
      </c>
      <c r="N215" s="26" t="n">
        <v>54.95</v>
      </c>
      <c r="O215" s="25" t="inlineStr">
        <is>
          <t>Earnings / Momentum Support</t>
        </is>
      </c>
      <c r="P215" s="25" t="inlineStr">
        <is>
          <t>Cyclical in an Upturn</t>
        </is>
      </c>
      <c r="Q215" s="25">
        <f>IF(P215="Growing Industry",10,IF(P215="Cyclical in an Upturn",5,0))</f>
        <v/>
      </c>
      <c r="R215" s="25" t="inlineStr">
        <is>
          <t>Too Many Players with High ROCE</t>
        </is>
      </c>
      <c r="S215" s="25">
        <f>IF(R215="Monopoly",10,IF(R215="Oligopoly",5,IF(R215="Duopoly that cooperate",10,IF(R215="Duopoly that compete",5,IF(R215="Too many players with High ROCE",5,0)))))</f>
        <v/>
      </c>
      <c r="T215" s="25" t="inlineStr">
        <is>
          <t>No</t>
        </is>
      </c>
      <c r="U215" s="25">
        <f>IF(T215="No",5,0)</f>
        <v/>
      </c>
      <c r="V215" s="25" t="inlineStr">
        <is>
          <t>Tailwind</t>
        </is>
      </c>
      <c r="W215" s="25">
        <f>IF(V215="Tailwind",10,0)</f>
        <v/>
      </c>
      <c r="X215" s="25" t="inlineStr">
        <is>
          <t>Structural (10 Years Consistency)</t>
        </is>
      </c>
      <c r="Y215" s="25">
        <f>IF(X215="Structural (10 Years Consistency)",10,IF(X215="Shallow Cyclical (2 to 3 years growth)",5,0))</f>
        <v/>
      </c>
      <c r="Z215" s="25" t="inlineStr">
        <is>
          <t>No</t>
        </is>
      </c>
      <c r="AA215" s="25">
        <f>IF(Z215="Yes due to Product Mix change or Operating Leverage",10,IF(Z215="Yes, these are peak margins",-5,IF(Z215="No",5,0)))</f>
        <v/>
      </c>
      <c r="AB215" s="25" t="inlineStr">
        <is>
          <t>Stable</t>
        </is>
      </c>
      <c r="AC215" s="25">
        <f>IF(AB215="Stable",10,0)</f>
        <v/>
      </c>
      <c r="AD215" s="25" t="inlineStr">
        <is>
          <t>Yes</t>
        </is>
      </c>
      <c r="AE215" s="25">
        <f>IF(AD215="Yes",10,0)</f>
        <v/>
      </c>
      <c r="AF215" s="25" t="inlineStr">
        <is>
          <t>B2B</t>
        </is>
      </c>
      <c r="AG215" s="25">
        <f>IF(AF215="B2C",10,IF(AF215="B2B",5,0))</f>
        <v/>
      </c>
      <c r="AH215" s="25" t="inlineStr">
        <is>
          <t>No</t>
        </is>
      </c>
      <c r="AI215" s="25">
        <f>IF(AH215="Yes",10,0)</f>
        <v/>
      </c>
      <c r="AJ215" s="25" t="inlineStr">
        <is>
          <t>Higher One Time, Lower Annuity</t>
        </is>
      </c>
      <c r="AK215" s="25">
        <f>IF(AJ215="Fully Annuity",10,IF(AJ215="Higher Annuity, Lower One Time",5,IF(AJ215="Higher One Time, Lower Annuity",3,0)))</f>
        <v/>
      </c>
      <c r="AL215" s="25" t="inlineStr">
        <is>
          <t>Good</t>
        </is>
      </c>
      <c r="AM215" s="25">
        <f>IF(AL215="Good",10,0)</f>
        <v/>
      </c>
      <c r="AN215" s="25" t="inlineStr">
        <is>
          <t>Yes for more than 2 years</t>
        </is>
      </c>
      <c r="AO215" s="25">
        <f>IF(AN215="Yes for more than 2 years",10,IF(AN215="Yes only for next 1 to 2 years",5,0))</f>
        <v/>
      </c>
      <c r="AP215" s="25" t="inlineStr">
        <is>
          <t>20 to 40</t>
        </is>
      </c>
      <c r="AQ215" s="25">
        <f>IF(AP215="Above 40",20,IF(AP215="20 to 40",10,IF(AP215="0 to 20",-5,0)))</f>
        <v/>
      </c>
      <c r="AR215" s="25" t="inlineStr">
        <is>
          <t>Between 50 to 75</t>
        </is>
      </c>
      <c r="AS215" s="25">
        <f>IF(AR215="Between 50 to 75",10,IF(AR215="Above 75",0,0))</f>
        <v/>
      </c>
      <c r="AT215" s="25" t="inlineStr">
        <is>
          <t>Stage 2</t>
        </is>
      </c>
      <c r="AU215" s="25">
        <f>IF(AT215="Stage 2",20,IF(AT215="Stage 1",0,IF(AT215="Stage 3",5,IF(AT215="Stage 4",-5,0))))</f>
        <v/>
      </c>
      <c r="AV215" s="25" t="inlineStr">
        <is>
          <t>Positive Trend</t>
        </is>
      </c>
      <c r="AW215" s="25">
        <f>IF(AV215="Positive Trend",20,IF(AV215="Negative Trend",-10,0))</f>
        <v/>
      </c>
      <c r="AX215" s="25" t="inlineStr">
        <is>
          <t>Uptrend</t>
        </is>
      </c>
      <c r="AY215" s="25">
        <f>IF(AX215="Uptrend",10,IF(AX215="Sideways",5,0))</f>
        <v/>
      </c>
      <c r="AZ215" s="25" t="inlineStr">
        <is>
          <t>Uptrend</t>
        </is>
      </c>
      <c r="BA215" s="25">
        <f>IF(AZ215="Uptrend",10,IF(AZ215="Sideways",5,0))</f>
        <v/>
      </c>
      <c r="BB215" s="25" t="inlineStr">
        <is>
          <t>Close to 52 week high or retracement</t>
        </is>
      </c>
      <c r="BC215" s="25">
        <f>IF(BB215="Overhead supply in last 2 years in last 2 years",-5,IF(BB215="Close to 52 week high or retracement",5,IF(BB215="Blue sky scenario",10,IF(BB215="Long term Downtrend",-10,0))))</f>
        <v/>
      </c>
      <c r="BD215" s="25" t="inlineStr">
        <is>
          <t>Yes</t>
        </is>
      </c>
      <c r="BE215" s="25">
        <f>IF(BD215="Yes",10,0)</f>
        <v/>
      </c>
      <c r="BF215" s="25" t="inlineStr">
        <is>
          <t>More than 20%</t>
        </is>
      </c>
      <c r="BG215" s="25">
        <f>IF(BF215="More than 20%",10,IF(BF215="Between 12 to 20%",5,IF(BF215="Less than 12%",0,0)))</f>
        <v/>
      </c>
      <c r="BH215" s="25" t="inlineStr">
        <is>
          <t>No</t>
        </is>
      </c>
      <c r="BI215" s="25">
        <f>IF(BH215="No",10,0)</f>
        <v/>
      </c>
      <c r="BJ215" s="25" t="inlineStr">
        <is>
          <t>Yes</t>
        </is>
      </c>
      <c r="BK215" s="25">
        <f>IF(BJ215="NO",5,0)</f>
        <v/>
      </c>
      <c r="BL215" s="25" t="inlineStr">
        <is>
          <t>Less than 1.5</t>
        </is>
      </c>
      <c r="BM215" s="25">
        <f>IF(BL215="Above 2",0,IF(BL215="Between 1.5 to 2",5,IF(BL215="Less than 1.5",10,0)))</f>
        <v/>
      </c>
      <c r="BN215" s="25" t="inlineStr">
        <is>
          <t>Negative</t>
        </is>
      </c>
      <c r="BO215" s="25">
        <f>IF(BN215="Above 70%",10,IF(BN215="Between 50% to 70%",5,IF(BN215="Less than 50%",0,IF(BN215="Negative",-10,IF(BN215="Less than 50% and Borrowings are increasing",-5,0)))))</f>
        <v/>
      </c>
      <c r="BP215" s="25" t="inlineStr">
        <is>
          <t>Less than 0.7</t>
        </is>
      </c>
      <c r="BQ215" s="25">
        <f>IF(BP215="More than 1.2",-10,IF(BP215="Between 0.7 to 1.2",0,IF(BP215="Less than 0.7",10,0)))</f>
        <v/>
      </c>
      <c r="BR215" s="25" t="inlineStr">
        <is>
          <t>No</t>
        </is>
      </c>
      <c r="BS215" s="25">
        <f>IF(BR215="Yes",-10,0)</f>
        <v/>
      </c>
      <c r="BT215" s="25" t="inlineStr">
        <is>
          <t>Less than 15%</t>
        </is>
      </c>
      <c r="BU215" s="25">
        <f>IF(BT215="More than 15%",-10,IF(BT215="Less than 15%",10,0))</f>
        <v/>
      </c>
      <c r="BV215" s="25" t="inlineStr">
        <is>
          <t>No</t>
        </is>
      </c>
      <c r="BW215" s="25">
        <f>IF(BV215="Yes, more than 10%",-10,IF(BV215="No",10,0))</f>
        <v/>
      </c>
    </row>
    <row r="216">
      <c r="A216" s="25">
        <f>IF(B216=0,"",RANK(B216,$B$2:$B$292,0))</f>
        <v/>
      </c>
      <c r="B216" s="26">
        <f>SUM(Q216,S216,U216,W216,Y216,AA216,AC216,AE216,AG216,AI216,AK216,AM216,AO216,AQ216,AS216,AU216,AW216,AY216,BA216,BC216,BE216,BG216,BI216,BK216,BM216,BO216,BQ216,BS216,BU216,BW216)</f>
        <v/>
      </c>
      <c r="C216" s="25" t="inlineStr">
        <is>
          <t>ASIANPAINT</t>
        </is>
      </c>
      <c r="D216" s="25" t="inlineStr">
        <is>
          <t>Asian Paints Limited</t>
        </is>
      </c>
      <c r="E216" s="25" t="inlineStr">
        <is>
          <t>building materials</t>
        </is>
      </c>
      <c r="F216" s="25" t="inlineStr">
        <is>
          <t>paints / varnishes</t>
        </is>
      </c>
      <c r="G216" s="25" t="inlineStr">
        <is>
          <t>largecap</t>
        </is>
      </c>
      <c r="H216" s="26" t="n">
        <v>252499.23</v>
      </c>
      <c r="I216" s="26" t="n">
        <v>2660.7</v>
      </c>
      <c r="J216" s="26" t="n">
        <v>1.08</v>
      </c>
      <c r="K216" s="26" t="n">
        <v>1026319</v>
      </c>
      <c r="L216" s="26" t="n">
        <v>59.34</v>
      </c>
      <c r="M216" s="26" t="n">
        <v>19.92</v>
      </c>
      <c r="N216" s="26" t="n">
        <v>2241.23</v>
      </c>
      <c r="O216" s="25" t="inlineStr">
        <is>
          <t>Earnings / Momentum Support</t>
        </is>
      </c>
      <c r="P216" s="25" t="inlineStr">
        <is>
          <t>Growing Industry</t>
        </is>
      </c>
      <c r="Q216" s="25">
        <f>IF(P216="Growing Industry",10,IF(P216="Cyclical in an Upturn",5,0))</f>
        <v/>
      </c>
      <c r="R216" s="25" t="inlineStr">
        <is>
          <t>Too Many Players with High ROCE</t>
        </is>
      </c>
      <c r="S216" s="25">
        <f>IF(R216="Monopoly",10,IF(R216="Oligopoly",5,IF(R216="Duopoly that cooperate",10,IF(R216="Duopoly that compete",5,IF(R216="Too many players with High ROCE",5,0)))))</f>
        <v/>
      </c>
      <c r="T216" s="25" t="inlineStr">
        <is>
          <t>No</t>
        </is>
      </c>
      <c r="U216" s="25">
        <f>IF(T216="No",5,0)</f>
        <v/>
      </c>
      <c r="V216" s="25" t="inlineStr">
        <is>
          <t>Headwind</t>
        </is>
      </c>
      <c r="W216" s="25">
        <f>IF(V216="Tailwind",10,0)</f>
        <v/>
      </c>
      <c r="X216" s="25" t="inlineStr">
        <is>
          <t>Structural (10 Years Consistency)</t>
        </is>
      </c>
      <c r="Y216" s="25">
        <f>IF(X216="Structural (10 Years Consistency)",10,IF(X216="Shallow Cyclical (2 to 3 years growth)",5,0))</f>
        <v/>
      </c>
      <c r="Z216" s="25" t="inlineStr">
        <is>
          <t>No</t>
        </is>
      </c>
      <c r="AA216" s="25">
        <f>IF(Z216="Yes due to Product Mix change or Operating Leverage",10,IF(Z216="Yes, these are peak margins",-5,IF(Z216="No",5,0)))</f>
        <v/>
      </c>
      <c r="AB216" s="25" t="inlineStr">
        <is>
          <t>Stable</t>
        </is>
      </c>
      <c r="AC216" s="25">
        <f>IF(AB216="Stable",10,0)</f>
        <v/>
      </c>
      <c r="AD216" s="25" t="inlineStr">
        <is>
          <t>Yes</t>
        </is>
      </c>
      <c r="AE216" s="25">
        <f>IF(AD216="Yes",10,0)</f>
        <v/>
      </c>
      <c r="AF216" s="25" t="inlineStr">
        <is>
          <t>B2B</t>
        </is>
      </c>
      <c r="AG216" s="25">
        <f>IF(AF216="B2C",10,IF(AF216="B2B",5,0))</f>
        <v/>
      </c>
      <c r="AH216" s="25" t="inlineStr">
        <is>
          <t>No</t>
        </is>
      </c>
      <c r="AI216" s="25">
        <f>IF(AH216="Yes",10,0)</f>
        <v/>
      </c>
      <c r="AJ216" s="25" t="inlineStr">
        <is>
          <t>Higher One Time, Lower Annuity</t>
        </is>
      </c>
      <c r="AK216" s="25">
        <f>IF(AJ216="Fully Annuity",10,IF(AJ216="Higher Annuity, Lower One Time",5,IF(AJ216="Higher One Time, Lower Annuity",3,0)))</f>
        <v/>
      </c>
      <c r="AL216" s="25" t="inlineStr">
        <is>
          <t>Good</t>
        </is>
      </c>
      <c r="AM216" s="25">
        <f>IF(AL216="Good",10,0)</f>
        <v/>
      </c>
      <c r="AN216" s="25" t="inlineStr">
        <is>
          <t>Yes for more than 2 years</t>
        </is>
      </c>
      <c r="AO216" s="25">
        <f>IF(AN216="Yes for more than 2 years",10,IF(AN216="Yes only for next 1 to 2 years",5,0))</f>
        <v/>
      </c>
      <c r="AP216" s="25" t="inlineStr">
        <is>
          <t>0 to 20</t>
        </is>
      </c>
      <c r="AQ216" s="25">
        <f>IF(AP216="Above 40",20,IF(AP216="20 to 40",10,IF(AP216="0 to 20",-5,0)))</f>
        <v/>
      </c>
      <c r="AR216" s="25" t="inlineStr">
        <is>
          <t>Between 50 to 75</t>
        </is>
      </c>
      <c r="AS216" s="25">
        <f>IF(AR216="Between 50 to 75",10,IF(AR216="Above 75",0,0))</f>
        <v/>
      </c>
      <c r="AT216" s="25" t="inlineStr">
        <is>
          <t>Stage 2</t>
        </is>
      </c>
      <c r="AU216" s="25">
        <f>IF(AT216="Stage 2",20,IF(AT216="Stage 1",0,IF(AT216="Stage 3",5,IF(AT216="Stage 4",-5,0))))</f>
        <v/>
      </c>
      <c r="AV216" s="25" t="inlineStr">
        <is>
          <t>Positive Trend</t>
        </is>
      </c>
      <c r="AW216" s="25">
        <f>IF(AV216="Positive Trend",20,IF(AV216="Negative Trend",-10,0))</f>
        <v/>
      </c>
      <c r="AX216" s="25" t="inlineStr">
        <is>
          <t>Uptrend</t>
        </is>
      </c>
      <c r="AY216" s="25">
        <f>IF(AX216="Uptrend",10,IF(AX216="Sideways",5,0))</f>
        <v/>
      </c>
      <c r="AZ216" s="25" t="inlineStr">
        <is>
          <t>Uptrend</t>
        </is>
      </c>
      <c r="BA216" s="25">
        <f>IF(AZ216="Uptrend",10,IF(AZ216="Sideways",5,0))</f>
        <v/>
      </c>
      <c r="BB216" s="25" t="inlineStr">
        <is>
          <t>Close to 52 week high or retracement</t>
        </is>
      </c>
      <c r="BC216" s="25">
        <f>IF(BB216="Overhead supply in last 2 years in last 2 years",-5,IF(BB216="Close to 52 week high or retracement",5,IF(BB216="Blue sky scenario",10,IF(BB216="Long term Downtrend",-10,0))))</f>
        <v/>
      </c>
      <c r="BD216" s="25" t="inlineStr">
        <is>
          <t>Yes</t>
        </is>
      </c>
      <c r="BE216" s="25">
        <f>IF(BD216="Yes",10,0)</f>
        <v/>
      </c>
      <c r="BF216" s="25" t="inlineStr">
        <is>
          <t>More than 20%</t>
        </is>
      </c>
      <c r="BG216" s="25">
        <f>IF(BF216="More than 20%",10,IF(BF216="Between 12 to 20%",5,IF(BF216="Less than 12%",0,0)))</f>
        <v/>
      </c>
      <c r="BH216" s="25" t="inlineStr">
        <is>
          <t>No</t>
        </is>
      </c>
      <c r="BI216" s="25">
        <f>IF(BH216="No",10,0)</f>
        <v/>
      </c>
      <c r="BJ216" s="25" t="inlineStr">
        <is>
          <t>Yes</t>
        </is>
      </c>
      <c r="BK216" s="25">
        <f>IF(BJ216="NO",5,0)</f>
        <v/>
      </c>
      <c r="BL216" s="25" t="inlineStr">
        <is>
          <t>Less than 1.5</t>
        </is>
      </c>
      <c r="BM216" s="25">
        <f>IF(BL216="Above 2",0,IF(BL216="Between 1.5 to 2",5,IF(BL216="Less than 1.5",10,0)))</f>
        <v/>
      </c>
      <c r="BN216" s="25" t="inlineStr">
        <is>
          <t>Above 70%</t>
        </is>
      </c>
      <c r="BO216" s="25">
        <f>IF(BN216="Above 70%",10,IF(BN216="Between 50% to 70%",5,IF(BN216="Less than 50%",0,IF(BN216="Negative",-10,IF(BN216="Less than 50% and Borrowings are increasing",-5,0)))))</f>
        <v/>
      </c>
      <c r="BP216" s="25" t="inlineStr">
        <is>
          <t>Less than 0.7</t>
        </is>
      </c>
      <c r="BQ216" s="25">
        <f>IF(BP216="More than 1.2",-10,IF(BP216="Between 0.7 to 1.2",0,IF(BP216="Less than 0.7",10,0)))</f>
        <v/>
      </c>
      <c r="BR216" s="25" t="inlineStr">
        <is>
          <t>No</t>
        </is>
      </c>
      <c r="BS216" s="25">
        <f>IF(BR216="Yes",-10,0)</f>
        <v/>
      </c>
      <c r="BT216" s="25" t="inlineStr">
        <is>
          <t>Less than 15%</t>
        </is>
      </c>
      <c r="BU216" s="25">
        <f>IF(BT216="More than 15%",-10,IF(BT216="Less than 15%",10,0))</f>
        <v/>
      </c>
      <c r="BV216" s="25" t="inlineStr">
        <is>
          <t>No</t>
        </is>
      </c>
      <c r="BW216" s="25">
        <f>IF(BV216="Yes, more than 10%",-10,IF(BV216="No",10,0))</f>
        <v/>
      </c>
    </row>
    <row r="217">
      <c r="A217" s="25">
        <f>IF(B217=0,"",RANK(B217,$B$2:$B$292,0))</f>
        <v/>
      </c>
      <c r="B217" s="26">
        <f>SUM(Q217,S217,U217,W217,Y217,AA217,AC217,AE217,AG217,AI217,AK217,AM217,AO217,AQ217,AS217,AU217,AW217,AY217,BA217,BC217,BE217,BG217,BI217,BK217,BM217,BO217,BQ217,BS217,BU217,BW217)</f>
        <v/>
      </c>
      <c r="C217" s="25" t="inlineStr">
        <is>
          <t>RML</t>
        </is>
      </c>
      <c r="D217" s="25" t="inlineStr">
        <is>
          <t>Rane (madras) Limited</t>
        </is>
      </c>
      <c r="E217" s="25" t="inlineStr">
        <is>
          <t>auto</t>
        </is>
      </c>
      <c r="F217" s="25" t="inlineStr">
        <is>
          <t>auto ancillaries</t>
        </is>
      </c>
      <c r="G217" s="25" t="inlineStr">
        <is>
          <t>smallcap</t>
        </is>
      </c>
      <c r="H217" s="26" t="n">
        <v>2520.23</v>
      </c>
      <c r="I217" s="26" t="n">
        <v>918.35</v>
      </c>
      <c r="J217" s="26" t="n">
        <v>0.71</v>
      </c>
      <c r="K217" s="26" t="n">
        <v>11459</v>
      </c>
      <c r="L217" s="26" t="n">
        <v>61.32</v>
      </c>
      <c r="M217" s="26" t="n">
        <v>18.82</v>
      </c>
      <c r="N217" s="26" t="n">
        <v>719.83</v>
      </c>
      <c r="O217" s="25" t="inlineStr">
        <is>
          <t>Near 52W High Breakout</t>
        </is>
      </c>
      <c r="P217" s="25" t="inlineStr">
        <is>
          <t>Growing Industry</t>
        </is>
      </c>
      <c r="Q217" s="25">
        <f>IF(P217="Growing Industry",10,IF(P217="Cyclical in an Upturn",5,0))</f>
        <v/>
      </c>
      <c r="R217" s="25" t="inlineStr">
        <is>
          <t>Too Many Players with High ROCE</t>
        </is>
      </c>
      <c r="S217" s="25">
        <f>IF(R217="Monopoly",10,IF(R217="Oligopoly",5,IF(R217="Duopoly that cooperate",10,IF(R217="Duopoly that compete",5,IF(R217="Too many players with High ROCE",5,0)))))</f>
        <v/>
      </c>
      <c r="T217" s="25" t="inlineStr">
        <is>
          <t>No</t>
        </is>
      </c>
      <c r="U217" s="25">
        <f>IF(T217="No",5,0)</f>
        <v/>
      </c>
      <c r="V217" s="25" t="inlineStr">
        <is>
          <t>Tailwind</t>
        </is>
      </c>
      <c r="W217" s="25">
        <f>IF(V217="Tailwind",10,0)</f>
        <v/>
      </c>
      <c r="X217" s="25" t="inlineStr">
        <is>
          <t>Structural (10 Years Consistency)</t>
        </is>
      </c>
      <c r="Y217" s="25">
        <f>IF(X217="Structural (10 Years Consistency)",10,IF(X217="Shallow Cyclical (2 to 3 years growth)",5,0))</f>
        <v/>
      </c>
      <c r="Z217" s="25" t="inlineStr">
        <is>
          <t>No</t>
        </is>
      </c>
      <c r="AA217" s="25">
        <f>IF(Z217="Yes due to Product Mix change or Operating Leverage",10,IF(Z217="Yes, these are peak margins",-5,IF(Z217="No",5,0)))</f>
        <v/>
      </c>
      <c r="AB217" s="25" t="inlineStr">
        <is>
          <t>Stable</t>
        </is>
      </c>
      <c r="AC217" s="25">
        <f>IF(AB217="Stable",10,0)</f>
        <v/>
      </c>
      <c r="AD217" s="25" t="inlineStr">
        <is>
          <t>Yes</t>
        </is>
      </c>
      <c r="AE217" s="25">
        <f>IF(AD217="Yes",10,0)</f>
        <v/>
      </c>
      <c r="AF217" s="25" t="inlineStr">
        <is>
          <t>B2B</t>
        </is>
      </c>
      <c r="AG217" s="25">
        <f>IF(AF217="B2C",10,IF(AF217="B2B",5,0))</f>
        <v/>
      </c>
      <c r="AH217" s="25" t="inlineStr">
        <is>
          <t>Yes</t>
        </is>
      </c>
      <c r="AI217" s="25">
        <f>IF(AH217="Yes",10,0)</f>
        <v/>
      </c>
      <c r="AJ217" s="25" t="inlineStr">
        <is>
          <t>Higher One Time, Lower Annuity</t>
        </is>
      </c>
      <c r="AK217" s="25">
        <f>IF(AJ217="Fully Annuity",10,IF(AJ217="Higher Annuity, Lower One Time",5,IF(AJ217="Higher One Time, Lower Annuity",3,0)))</f>
        <v/>
      </c>
      <c r="AL217" s="25" t="inlineStr">
        <is>
          <t>Good</t>
        </is>
      </c>
      <c r="AM217" s="25">
        <f>IF(AL217="Good",10,0)</f>
        <v/>
      </c>
      <c r="AN217" s="25" t="inlineStr">
        <is>
          <t>Yes for more than 2 years</t>
        </is>
      </c>
      <c r="AO217" s="25">
        <f>IF(AN217="Yes for more than 2 years",10,IF(AN217="Yes only for next 1 to 2 years",5,0))</f>
        <v/>
      </c>
      <c r="AP217" s="25" t="inlineStr">
        <is>
          <t>0 to 20</t>
        </is>
      </c>
      <c r="AQ217" s="25">
        <f>IF(AP217="Above 40",20,IF(AP217="20 to 40",10,IF(AP217="0 to 20",-5,0)))</f>
        <v/>
      </c>
      <c r="AR217" s="25" t="inlineStr">
        <is>
          <t>Between 50 to 75</t>
        </is>
      </c>
      <c r="AS217" s="25">
        <f>IF(AR217="Between 50 to 75",10,IF(AR217="Above 75",0,0))</f>
        <v/>
      </c>
      <c r="AT217" s="25" t="inlineStr">
        <is>
          <t>Stage 2</t>
        </is>
      </c>
      <c r="AU217" s="25">
        <f>IF(AT217="Stage 2",20,IF(AT217="Stage 1",0,IF(AT217="Stage 3",5,IF(AT217="Stage 4",-5,0))))</f>
        <v/>
      </c>
      <c r="AV217" s="25" t="inlineStr">
        <is>
          <t>Positive Trend</t>
        </is>
      </c>
      <c r="AW217" s="25">
        <f>IF(AV217="Positive Trend",20,IF(AV217="Negative Trend",-10,0))</f>
        <v/>
      </c>
      <c r="AX217" s="25" t="inlineStr">
        <is>
          <t>Uptrend</t>
        </is>
      </c>
      <c r="AY217" s="25">
        <f>IF(AX217="Uptrend",10,IF(AX217="Sideways",5,0))</f>
        <v/>
      </c>
      <c r="AZ217" s="25" t="inlineStr">
        <is>
          <t>Uptrend</t>
        </is>
      </c>
      <c r="BA217" s="25">
        <f>IF(AZ217="Uptrend",10,IF(AZ217="Sideways",5,0))</f>
        <v/>
      </c>
      <c r="BB217" s="25" t="inlineStr">
        <is>
          <t>Close to 52 week high or retracement</t>
        </is>
      </c>
      <c r="BC217" s="25">
        <f>IF(BB217="Overhead supply in last 2 years in last 2 years",-5,IF(BB217="Close to 52 week high or retracement",5,IF(BB217="Blue sky scenario",10,IF(BB217="Long term Downtrend",-10,0))))</f>
        <v/>
      </c>
      <c r="BD217" s="25" t="inlineStr">
        <is>
          <t>Yes</t>
        </is>
      </c>
      <c r="BE217" s="25">
        <f>IF(BD217="Yes",10,0)</f>
        <v/>
      </c>
      <c r="BF217" s="25" t="inlineStr">
        <is>
          <t>Less than 12%</t>
        </is>
      </c>
      <c r="BG217" s="25">
        <f>IF(BF217="More than 20%",10,IF(BF217="Between 12 to 20%",5,IF(BF217="Less than 12%",0,0)))</f>
        <v/>
      </c>
      <c r="BH217" s="25" t="inlineStr">
        <is>
          <t>No</t>
        </is>
      </c>
      <c r="BI217" s="25">
        <f>IF(BH217="No",10,0)</f>
        <v/>
      </c>
      <c r="BJ217" s="25" t="inlineStr">
        <is>
          <t>No</t>
        </is>
      </c>
      <c r="BK217" s="25">
        <f>IF(BJ217="NO",5,0)</f>
        <v/>
      </c>
      <c r="BL217" s="25" t="inlineStr">
        <is>
          <t>Less than 1.5</t>
        </is>
      </c>
      <c r="BM217" s="25">
        <f>IF(BL217="Above 2",0,IF(BL217="Between 1.5 to 2",5,IF(BL217="Less than 1.5",10,0)))</f>
        <v/>
      </c>
      <c r="BN217" s="25" t="inlineStr">
        <is>
          <t>Between 50% to 70%</t>
        </is>
      </c>
      <c r="BO217" s="25">
        <f>IF(BN217="Above 70%",10,IF(BN217="Between 50% to 70%",5,IF(BN217="Less than 50%",0,IF(BN217="Negative",-10,IF(BN217="Less than 50% and Borrowings are increasing",-5,0)))))</f>
        <v/>
      </c>
      <c r="BP217" s="25" t="inlineStr">
        <is>
          <t>Between 0.7 to 1.2</t>
        </is>
      </c>
      <c r="BQ217" s="25">
        <f>IF(BP217="More than 1.2",-10,IF(BP217="Between 0.7 to 1.2",0,IF(BP217="Less than 0.7",10,0)))</f>
        <v/>
      </c>
      <c r="BR217" s="25" t="inlineStr">
        <is>
          <t>No</t>
        </is>
      </c>
      <c r="BS217" s="25">
        <f>IF(BR217="Yes",-10,0)</f>
        <v/>
      </c>
      <c r="BT217" s="25" t="inlineStr">
        <is>
          <t>Less than 15%</t>
        </is>
      </c>
      <c r="BU217" s="25">
        <f>IF(BT217="More than 15%",-10,IF(BT217="Less than 15%",10,0))</f>
        <v/>
      </c>
      <c r="BV217" s="25" t="inlineStr">
        <is>
          <t>No</t>
        </is>
      </c>
      <c r="BW217" s="25">
        <f>IF(BV217="Yes, more than 10%",-10,IF(BV217="No",10,0))</f>
        <v/>
      </c>
    </row>
    <row r="218">
      <c r="A218" s="25">
        <f>IF(B218=0,"",RANK(B218,$B$2:$B$292,0))</f>
        <v/>
      </c>
      <c r="B218" s="26">
        <f>SUM(Q218,S218,U218,W218,Y218,AA218,AC218,AE218,AG218,AI218,AK218,AM218,AO218,AQ218,AS218,AU218,AW218,AY218,BA218,BC218,BE218,BG218,BI218,BK218,BM218,BO218,BQ218,BS218,BU218,BW218)</f>
        <v/>
      </c>
      <c r="C218" s="25" t="inlineStr">
        <is>
          <t>GALAPREC</t>
        </is>
      </c>
      <c r="D218" s="25" t="inlineStr">
        <is>
          <t>Gala Precision Engineering Ltd</t>
        </is>
      </c>
      <c r="E218" s="25" t="inlineStr">
        <is>
          <t>industrials</t>
        </is>
      </c>
      <c r="F218" s="25" t="inlineStr">
        <is>
          <t>fasteners</t>
        </is>
      </c>
      <c r="G218" s="25" t="inlineStr">
        <is>
          <t>smallcap</t>
        </is>
      </c>
      <c r="H218" s="26" t="n">
        <v>1145.93</v>
      </c>
      <c r="I218" s="26" t="n">
        <v>904.9</v>
      </c>
      <c r="J218" s="26" t="n">
        <v>0.68</v>
      </c>
      <c r="K218" s="26" t="n">
        <v>21800</v>
      </c>
      <c r="L218" s="26" t="n">
        <v>63.05</v>
      </c>
      <c r="M218" s="26" t="n">
        <v>18.52</v>
      </c>
      <c r="N218" s="26" t="n">
        <v>703.46</v>
      </c>
      <c r="O218" s="25" t="inlineStr">
        <is>
          <t>Near 52W High Breakout</t>
        </is>
      </c>
      <c r="P218" s="25" t="inlineStr">
        <is>
          <t>Cyclical in an Upturn</t>
        </is>
      </c>
      <c r="Q218" s="25">
        <f>IF(P218="Growing Industry",10,IF(P218="Cyclical in an Upturn",5,0))</f>
        <v/>
      </c>
      <c r="R218" s="25" t="inlineStr">
        <is>
          <t>Too Many Players with High ROCE</t>
        </is>
      </c>
      <c r="S218" s="25">
        <f>IF(R218="Monopoly",10,IF(R218="Oligopoly",5,IF(R218="Duopoly that cooperate",10,IF(R218="Duopoly that compete",5,IF(R218="Too many players with High ROCE",5,0)))))</f>
        <v/>
      </c>
      <c r="T218" s="25" t="inlineStr">
        <is>
          <t>No</t>
        </is>
      </c>
      <c r="U218" s="25">
        <f>IF(T218="No",5,0)</f>
        <v/>
      </c>
      <c r="V218" s="25" t="inlineStr">
        <is>
          <t>Tailwind</t>
        </is>
      </c>
      <c r="W218" s="25">
        <f>IF(V218="Tailwind",10,0)</f>
        <v/>
      </c>
      <c r="X218" s="25" t="inlineStr">
        <is>
          <t>Structural (10 Years Consistency)</t>
        </is>
      </c>
      <c r="Y218" s="25">
        <f>IF(X218="Structural (10 Years Consistency)",10,IF(X218="Shallow Cyclical (2 to 3 years growth)",5,0))</f>
        <v/>
      </c>
      <c r="Z218" s="25" t="inlineStr">
        <is>
          <t>No</t>
        </is>
      </c>
      <c r="AA218" s="25">
        <f>IF(Z218="Yes due to Product Mix change or Operating Leverage",10,IF(Z218="Yes, these are peak margins",-5,IF(Z218="No",5,0)))</f>
        <v/>
      </c>
      <c r="AB218" s="25" t="inlineStr">
        <is>
          <t>Stable</t>
        </is>
      </c>
      <c r="AC218" s="25">
        <f>IF(AB218="Stable",10,0)</f>
        <v/>
      </c>
      <c r="AD218" s="25" t="inlineStr">
        <is>
          <t>Yes</t>
        </is>
      </c>
      <c r="AE218" s="25">
        <f>IF(AD218="Yes",10,0)</f>
        <v/>
      </c>
      <c r="AF218" s="25" t="inlineStr">
        <is>
          <t>B2B</t>
        </is>
      </c>
      <c r="AG218" s="25">
        <f>IF(AF218="B2C",10,IF(AF218="B2B",5,0))</f>
        <v/>
      </c>
      <c r="AH218" s="25" t="inlineStr">
        <is>
          <t>Yes</t>
        </is>
      </c>
      <c r="AI218" s="25">
        <f>IF(AH218="Yes",10,0)</f>
        <v/>
      </c>
      <c r="AJ218" s="25" t="inlineStr">
        <is>
          <t>Higher One Time, Lower Annuity</t>
        </is>
      </c>
      <c r="AK218" s="25">
        <f>IF(AJ218="Fully Annuity",10,IF(AJ218="Higher Annuity, Lower One Time",5,IF(AJ218="Higher One Time, Lower Annuity",3,0)))</f>
        <v/>
      </c>
      <c r="AL218" s="25" t="inlineStr">
        <is>
          <t>Good</t>
        </is>
      </c>
      <c r="AM218" s="25">
        <f>IF(AL218="Good",10,0)</f>
        <v/>
      </c>
      <c r="AN218" s="25" t="inlineStr">
        <is>
          <t>Yes for more than 2 years</t>
        </is>
      </c>
      <c r="AO218" s="25">
        <f>IF(AN218="Yes for more than 2 years",10,IF(AN218="Yes only for next 1 to 2 years",5,0))</f>
        <v/>
      </c>
      <c r="AP218" s="25" t="inlineStr">
        <is>
          <t>0 to 20</t>
        </is>
      </c>
      <c r="AQ218" s="25">
        <f>IF(AP218="Above 40",20,IF(AP218="20 to 40",10,IF(AP218="0 to 20",-5,0)))</f>
        <v/>
      </c>
      <c r="AR218" s="25" t="inlineStr">
        <is>
          <t>Between 50 to 75</t>
        </is>
      </c>
      <c r="AS218" s="25">
        <f>IF(AR218="Between 50 to 75",10,IF(AR218="Above 75",0,0))</f>
        <v/>
      </c>
      <c r="AT218" s="25" t="inlineStr">
        <is>
          <t>Stage 2</t>
        </is>
      </c>
      <c r="AU218" s="25">
        <f>IF(AT218="Stage 2",20,IF(AT218="Stage 1",0,IF(AT218="Stage 3",5,IF(AT218="Stage 4",-5,0))))</f>
        <v/>
      </c>
      <c r="AV218" s="25" t="inlineStr">
        <is>
          <t>Positive Trend</t>
        </is>
      </c>
      <c r="AW218" s="25">
        <f>IF(AV218="Positive Trend",20,IF(AV218="Negative Trend",-10,0))</f>
        <v/>
      </c>
      <c r="AX218" s="25" t="inlineStr">
        <is>
          <t>Uptrend</t>
        </is>
      </c>
      <c r="AY218" s="25">
        <f>IF(AX218="Uptrend",10,IF(AX218="Sideways",5,0))</f>
        <v/>
      </c>
      <c r="AZ218" s="25" t="inlineStr">
        <is>
          <t>Uptrend</t>
        </is>
      </c>
      <c r="BA218" s="25">
        <f>IF(AZ218="Uptrend",10,IF(AZ218="Sideways",5,0))</f>
        <v/>
      </c>
      <c r="BB218" s="25" t="inlineStr">
        <is>
          <t>Close to 52 week high or retracement</t>
        </is>
      </c>
      <c r="BC218" s="25">
        <f>IF(BB218="Overhead supply in last 2 years in last 2 years",-5,IF(BB218="Close to 52 week high or retracement",5,IF(BB218="Blue sky scenario",10,IF(BB218="Long term Downtrend",-10,0))))</f>
        <v/>
      </c>
      <c r="BD218" s="25" t="inlineStr">
        <is>
          <t>Yes</t>
        </is>
      </c>
      <c r="BE218" s="25">
        <f>IF(BD218="Yes",10,0)</f>
        <v/>
      </c>
      <c r="BF218" s="25" t="inlineStr">
        <is>
          <t>Less than 12%</t>
        </is>
      </c>
      <c r="BG218" s="25">
        <f>IF(BF218="More than 20%",10,IF(BF218="Between 12 to 20%",5,IF(BF218="Less than 12%",0,0)))</f>
        <v/>
      </c>
      <c r="BH218" s="25" t="inlineStr">
        <is>
          <t>No</t>
        </is>
      </c>
      <c r="BI218" s="25">
        <f>IF(BH218="No",10,0)</f>
        <v/>
      </c>
      <c r="BJ218" s="25" t="inlineStr">
        <is>
          <t>No</t>
        </is>
      </c>
      <c r="BK218" s="25">
        <f>IF(BJ218="NO",5,0)</f>
        <v/>
      </c>
      <c r="BL218" s="25" t="inlineStr">
        <is>
          <t>Less than 1.5</t>
        </is>
      </c>
      <c r="BM218" s="25">
        <f>IF(BL218="Above 2",0,IF(BL218="Between 1.5 to 2",5,IF(BL218="Less than 1.5",10,0)))</f>
        <v/>
      </c>
      <c r="BN218" s="25" t="inlineStr">
        <is>
          <t>Less than 50%</t>
        </is>
      </c>
      <c r="BO218" s="25">
        <f>IF(BN218="Above 70%",10,IF(BN218="Between 50% to 70%",5,IF(BN218="Less than 50%",0,IF(BN218="Negative",-10,IF(BN218="Less than 50% and Borrowings are increasing",-5,0)))))</f>
        <v/>
      </c>
      <c r="BP218" s="25" t="inlineStr">
        <is>
          <t>Less than 0.7</t>
        </is>
      </c>
      <c r="BQ218" s="25">
        <f>IF(BP218="More than 1.2",-10,IF(BP218="Between 0.7 to 1.2",0,IF(BP218="Less than 0.7",10,0)))</f>
        <v/>
      </c>
      <c r="BR218" s="25" t="inlineStr">
        <is>
          <t>No</t>
        </is>
      </c>
      <c r="BS218" s="25">
        <f>IF(BR218="Yes",-10,0)</f>
        <v/>
      </c>
      <c r="BT218" s="25" t="inlineStr">
        <is>
          <t>Less than 15%</t>
        </is>
      </c>
      <c r="BU218" s="25">
        <f>IF(BT218="More than 15%",-10,IF(BT218="Less than 15%",10,0))</f>
        <v/>
      </c>
      <c r="BV218" s="25" t="inlineStr">
        <is>
          <t>No</t>
        </is>
      </c>
      <c r="BW218" s="25">
        <f>IF(BV218="Yes, more than 10%",-10,IF(BV218="No",10,0))</f>
        <v/>
      </c>
    </row>
    <row r="219">
      <c r="A219" s="25">
        <f>IF(B219=0,"",RANK(B219,$B$2:$B$292,0))</f>
        <v/>
      </c>
      <c r="B219" s="26">
        <f>SUM(Q219,S219,U219,W219,Y219,AA219,AC219,AE219,AG219,AI219,AK219,AM219,AO219,AQ219,AS219,AU219,AW219,AY219,BA219,BC219,BE219,BG219,BI219,BK219,BM219,BO219,BQ219,BS219,BU219,BW219)</f>
        <v/>
      </c>
      <c r="C219" s="25" t="inlineStr">
        <is>
          <t>GEECEE</t>
        </is>
      </c>
      <c r="D219" s="25" t="inlineStr">
        <is>
          <t>Geecee Ventures Limited</t>
        </is>
      </c>
      <c r="E219" s="25" t="inlineStr">
        <is>
          <t>realty</t>
        </is>
      </c>
      <c r="F219" s="25" t="inlineStr">
        <is>
          <t>construction</t>
        </is>
      </c>
      <c r="G219" s="25" t="inlineStr">
        <is>
          <t>smallcap</t>
        </is>
      </c>
      <c r="H219" s="26" t="n">
        <v>676.8099999999999</v>
      </c>
      <c r="I219" s="26" t="n">
        <v>324.45</v>
      </c>
      <c r="J219" s="26" t="n">
        <v>0.25</v>
      </c>
      <c r="K219" s="26" t="n">
        <v>3115</v>
      </c>
      <c r="L219" s="26" t="n">
        <v>54.9</v>
      </c>
      <c r="M219" s="26" t="n">
        <v>26.27</v>
      </c>
      <c r="N219" s="26" t="n">
        <v>246.23</v>
      </c>
      <c r="O219" s="25" t="inlineStr">
        <is>
          <t>Earnings / Momentum Support</t>
        </is>
      </c>
      <c r="P219" s="25" t="inlineStr">
        <is>
          <t>Growing Industry</t>
        </is>
      </c>
      <c r="Q219" s="25">
        <f>IF(P219="Growing Industry",10,IF(P219="Cyclical in an Upturn",5,0))</f>
        <v/>
      </c>
      <c r="R219" s="25" t="inlineStr">
        <is>
          <t>Too Many Players with High ROCE</t>
        </is>
      </c>
      <c r="S219" s="25">
        <f>IF(R219="Monopoly",10,IF(R219="Oligopoly",5,IF(R219="Duopoly that cooperate",10,IF(R219="Duopoly that compete",5,IF(R219="Too many players with High ROCE",5,0)))))</f>
        <v/>
      </c>
      <c r="T219" s="25" t="inlineStr">
        <is>
          <t>No</t>
        </is>
      </c>
      <c r="U219" s="25">
        <f>IF(T219="No",5,0)</f>
        <v/>
      </c>
      <c r="V219" s="25" t="inlineStr">
        <is>
          <t>Headwind</t>
        </is>
      </c>
      <c r="W219" s="25">
        <f>IF(V219="Tailwind",10,0)</f>
        <v/>
      </c>
      <c r="X219" s="25" t="inlineStr">
        <is>
          <t>Structural (10 Years Consistency)</t>
        </is>
      </c>
      <c r="Y219" s="25">
        <f>IF(X219="Structural (10 Years Consistency)",10,IF(X219="Shallow Cyclical (2 to 3 years growth)",5,0))</f>
        <v/>
      </c>
      <c r="Z219" s="25" t="inlineStr">
        <is>
          <t>No</t>
        </is>
      </c>
      <c r="AA219" s="25">
        <f>IF(Z219="Yes due to Product Mix change or Operating Leverage",10,IF(Z219="Yes, these are peak margins",-5,IF(Z219="No",5,0)))</f>
        <v/>
      </c>
      <c r="AB219" s="25" t="inlineStr">
        <is>
          <t>Stable</t>
        </is>
      </c>
      <c r="AC219" s="25">
        <f>IF(AB219="Stable",10,0)</f>
        <v/>
      </c>
      <c r="AD219" s="25" t="inlineStr">
        <is>
          <t>Yes</t>
        </is>
      </c>
      <c r="AE219" s="25">
        <f>IF(AD219="Yes",10,0)</f>
        <v/>
      </c>
      <c r="AF219" s="25" t="inlineStr">
        <is>
          <t>B2B</t>
        </is>
      </c>
      <c r="AG219" s="25">
        <f>IF(AF219="B2C",10,IF(AF219="B2B",5,0))</f>
        <v/>
      </c>
      <c r="AH219" s="25" t="inlineStr">
        <is>
          <t>No</t>
        </is>
      </c>
      <c r="AI219" s="25">
        <f>IF(AH219="Yes",10,0)</f>
        <v/>
      </c>
      <c r="AJ219" s="25" t="inlineStr">
        <is>
          <t>Higher One Time, Lower Annuity</t>
        </is>
      </c>
      <c r="AK219" s="25">
        <f>IF(AJ219="Fully Annuity",10,IF(AJ219="Higher Annuity, Lower One Time",5,IF(AJ219="Higher One Time, Lower Annuity",3,0)))</f>
        <v/>
      </c>
      <c r="AL219" s="25" t="inlineStr">
        <is>
          <t>Good</t>
        </is>
      </c>
      <c r="AM219" s="25">
        <f>IF(AL219="Good",10,0)</f>
        <v/>
      </c>
      <c r="AN219" s="25" t="inlineStr">
        <is>
          <t>Yes for more than 2 years</t>
        </is>
      </c>
      <c r="AO219" s="25">
        <f>IF(AN219="Yes for more than 2 years",10,IF(AN219="Yes only for next 1 to 2 years",5,0))</f>
        <v/>
      </c>
      <c r="AP219" s="25" t="inlineStr">
        <is>
          <t>20 to 40</t>
        </is>
      </c>
      <c r="AQ219" s="25">
        <f>IF(AP219="Above 40",20,IF(AP219="20 to 40",10,IF(AP219="0 to 20",-5,0)))</f>
        <v/>
      </c>
      <c r="AR219" s="25" t="inlineStr">
        <is>
          <t>Between 50 to 75</t>
        </is>
      </c>
      <c r="AS219" s="25">
        <f>IF(AR219="Between 50 to 75",10,IF(AR219="Above 75",0,0))</f>
        <v/>
      </c>
      <c r="AT219" s="25" t="inlineStr">
        <is>
          <t>Stage 2</t>
        </is>
      </c>
      <c r="AU219" s="25">
        <f>IF(AT219="Stage 2",20,IF(AT219="Stage 1",0,IF(AT219="Stage 3",5,IF(AT219="Stage 4",-5,0))))</f>
        <v/>
      </c>
      <c r="AV219" s="25" t="inlineStr">
        <is>
          <t>Positive Trend</t>
        </is>
      </c>
      <c r="AW219" s="25">
        <f>IF(AV219="Positive Trend",20,IF(AV219="Negative Trend",-10,0))</f>
        <v/>
      </c>
      <c r="AX219" s="25" t="inlineStr">
        <is>
          <t>Uptrend</t>
        </is>
      </c>
      <c r="AY219" s="25">
        <f>IF(AX219="Uptrend",10,IF(AX219="Sideways",5,0))</f>
        <v/>
      </c>
      <c r="AZ219" s="25" t="inlineStr">
        <is>
          <t>Uptrend</t>
        </is>
      </c>
      <c r="BA219" s="25">
        <f>IF(AZ219="Uptrend",10,IF(AZ219="Sideways",5,0))</f>
        <v/>
      </c>
      <c r="BB219" s="25" t="inlineStr">
        <is>
          <t>Close to 52 week high or retracement</t>
        </is>
      </c>
      <c r="BC219" s="25">
        <f>IF(BB219="Overhead supply in last 2 years in last 2 years",-5,IF(BB219="Close to 52 week high or retracement",5,IF(BB219="Blue sky scenario",10,IF(BB219="Long term Downtrend",-10,0))))</f>
        <v/>
      </c>
      <c r="BD219" s="25" t="inlineStr">
        <is>
          <t>Yes</t>
        </is>
      </c>
      <c r="BE219" s="25">
        <f>IF(BD219="Yes",10,0)</f>
        <v/>
      </c>
      <c r="BF219" s="25" t="inlineStr">
        <is>
          <t>More than 20%</t>
        </is>
      </c>
      <c r="BG219" s="25">
        <f>IF(BF219="More than 20%",10,IF(BF219="Between 12 to 20%",5,IF(BF219="Less than 12%",0,0)))</f>
        <v/>
      </c>
      <c r="BH219" s="25" t="inlineStr">
        <is>
          <t>No</t>
        </is>
      </c>
      <c r="BI219" s="25">
        <f>IF(BH219="No",10,0)</f>
        <v/>
      </c>
      <c r="BJ219" s="25" t="inlineStr">
        <is>
          <t>No</t>
        </is>
      </c>
      <c r="BK219" s="25">
        <f>IF(BJ219="NO",5,0)</f>
        <v/>
      </c>
      <c r="BL219" s="25" t="inlineStr">
        <is>
          <t>Less than 1.5</t>
        </is>
      </c>
      <c r="BM219" s="25">
        <f>IF(BL219="Above 2",0,IF(BL219="Between 1.5 to 2",5,IF(BL219="Less than 1.5",10,0)))</f>
        <v/>
      </c>
      <c r="BN219" s="25" t="inlineStr">
        <is>
          <t>Negative</t>
        </is>
      </c>
      <c r="BO219" s="25">
        <f>IF(BN219="Above 70%",10,IF(BN219="Between 50% to 70%",5,IF(BN219="Less than 50%",0,IF(BN219="Negative",-10,IF(BN219="Less than 50% and Borrowings are increasing",-5,0)))))</f>
        <v/>
      </c>
      <c r="BP219" s="25" t="inlineStr">
        <is>
          <t>Less than 0.7</t>
        </is>
      </c>
      <c r="BQ219" s="25">
        <f>IF(BP219="More than 1.2",-10,IF(BP219="Between 0.7 to 1.2",0,IF(BP219="Less than 0.7",10,0)))</f>
        <v/>
      </c>
      <c r="BR219" s="25" t="inlineStr">
        <is>
          <t>No</t>
        </is>
      </c>
      <c r="BS219" s="25">
        <f>IF(BR219="Yes",-10,0)</f>
        <v/>
      </c>
      <c r="BT219" s="25" t="inlineStr">
        <is>
          <t>Less than 15%</t>
        </is>
      </c>
      <c r="BU219" s="25">
        <f>IF(BT219="More than 15%",-10,IF(BT219="Less than 15%",10,0))</f>
        <v/>
      </c>
      <c r="BV219" s="25" t="inlineStr">
        <is>
          <t>No</t>
        </is>
      </c>
      <c r="BW219" s="25">
        <f>IF(BV219="Yes, more than 10%",-10,IF(BV219="No",10,0))</f>
        <v/>
      </c>
    </row>
    <row r="220">
      <c r="A220" s="25">
        <f>IF(B220=0,"",RANK(B220,$B$2:$B$292,0))</f>
        <v/>
      </c>
      <c r="B220" s="26">
        <f>SUM(Q220,S220,U220,W220,Y220,AA220,AC220,AE220,AG220,AI220,AK220,AM220,AO220,AQ220,AS220,AU220,AW220,AY220,BA220,BC220,BE220,BG220,BI220,BK220,BM220,BO220,BQ220,BS220,BU220,BW220)</f>
        <v/>
      </c>
      <c r="C220" s="25" t="inlineStr">
        <is>
          <t>GRASIM</t>
        </is>
      </c>
      <c r="D220" s="25" t="inlineStr">
        <is>
          <t>Grasim Industries Limited</t>
        </is>
      </c>
      <c r="E220" s="25" t="inlineStr">
        <is>
          <t>textiles</t>
        </is>
      </c>
      <c r="F220" s="25" t="inlineStr">
        <is>
          <t>textiles - manmade</t>
        </is>
      </c>
      <c r="G220" s="25" t="inlineStr">
        <is>
          <t>largecap</t>
        </is>
      </c>
      <c r="H220" s="26" t="n">
        <v>211156.93</v>
      </c>
      <c r="I220" s="26" t="n">
        <v>3097.6</v>
      </c>
      <c r="J220" s="26" t="n">
        <v>-0.16</v>
      </c>
      <c r="K220" s="26" t="n">
        <v>461140</v>
      </c>
      <c r="L220" s="26" t="n">
        <v>64.45999999999999</v>
      </c>
      <c r="M220" s="26" t="n">
        <v>21.56</v>
      </c>
      <c r="N220" s="26" t="n">
        <v>2732.4</v>
      </c>
      <c r="O220" s="25" t="inlineStr">
        <is>
          <t>Near 52W High Breakout</t>
        </is>
      </c>
      <c r="P220" s="25" t="inlineStr">
        <is>
          <t>Growing Industry</t>
        </is>
      </c>
      <c r="Q220" s="25">
        <f>IF(P220="Growing Industry",10,IF(P220="Cyclical in an Upturn",5,0))</f>
        <v/>
      </c>
      <c r="R220" s="25" t="inlineStr">
        <is>
          <t>Too Many Players with High ROCE</t>
        </is>
      </c>
      <c r="S220" s="25">
        <f>IF(R220="Monopoly",10,IF(R220="Oligopoly",5,IF(R220="Duopoly that cooperate",10,IF(R220="Duopoly that compete",5,IF(R220="Too many players with High ROCE",5,0)))))</f>
        <v/>
      </c>
      <c r="T220" s="25" t="inlineStr">
        <is>
          <t>No</t>
        </is>
      </c>
      <c r="U220" s="25">
        <f>IF(T220="No",5,0)</f>
        <v/>
      </c>
      <c r="V220" s="25" t="inlineStr">
        <is>
          <t>Tailwind</t>
        </is>
      </c>
      <c r="W220" s="25">
        <f>IF(V220="Tailwind",10,0)</f>
        <v/>
      </c>
      <c r="X220" s="25" t="inlineStr">
        <is>
          <t>Structural (10 Years Consistency)</t>
        </is>
      </c>
      <c r="Y220" s="25">
        <f>IF(X220="Structural (10 Years Consistency)",10,IF(X220="Shallow Cyclical (2 to 3 years growth)",5,0))</f>
        <v/>
      </c>
      <c r="Z220" s="25" t="inlineStr">
        <is>
          <t>No</t>
        </is>
      </c>
      <c r="AA220" s="25">
        <f>IF(Z220="Yes due to Product Mix change or Operating Leverage",10,IF(Z220="Yes, these are peak margins",-5,IF(Z220="No",5,0)))</f>
        <v/>
      </c>
      <c r="AB220" s="25" t="inlineStr">
        <is>
          <t>Stable</t>
        </is>
      </c>
      <c r="AC220" s="25">
        <f>IF(AB220="Stable",10,0)</f>
        <v/>
      </c>
      <c r="AD220" s="25" t="inlineStr">
        <is>
          <t>Yes</t>
        </is>
      </c>
      <c r="AE220" s="25">
        <f>IF(AD220="Yes",10,0)</f>
        <v/>
      </c>
      <c r="AF220" s="25" t="inlineStr">
        <is>
          <t>B2B</t>
        </is>
      </c>
      <c r="AG220" s="25">
        <f>IF(AF220="B2C",10,IF(AF220="B2B",5,0))</f>
        <v/>
      </c>
      <c r="AH220" s="25" t="inlineStr">
        <is>
          <t>Yes</t>
        </is>
      </c>
      <c r="AI220" s="25">
        <f>IF(AH220="Yes",10,0)</f>
        <v/>
      </c>
      <c r="AJ220" s="25" t="inlineStr">
        <is>
          <t>Higher One Time, Lower Annuity</t>
        </is>
      </c>
      <c r="AK220" s="25">
        <f>IF(AJ220="Fully Annuity",10,IF(AJ220="Higher Annuity, Lower One Time",5,IF(AJ220="Higher One Time, Lower Annuity",3,0)))</f>
        <v/>
      </c>
      <c r="AL220" s="25" t="inlineStr">
        <is>
          <t>Good</t>
        </is>
      </c>
      <c r="AM220" s="25">
        <f>IF(AL220="Good",10,0)</f>
        <v/>
      </c>
      <c r="AN220" s="25" t="inlineStr">
        <is>
          <t>Yes for more than 2 years</t>
        </is>
      </c>
      <c r="AO220" s="25">
        <f>IF(AN220="Yes for more than 2 years",10,IF(AN220="Yes only for next 1 to 2 years",5,0))</f>
        <v/>
      </c>
      <c r="AP220" s="25" t="inlineStr">
        <is>
          <t>20 to 40</t>
        </is>
      </c>
      <c r="AQ220" s="25">
        <f>IF(AP220="Above 40",20,IF(AP220="20 to 40",10,IF(AP220="0 to 20",-5,0)))</f>
        <v/>
      </c>
      <c r="AR220" s="25" t="inlineStr">
        <is>
          <t>Between 50 to 75</t>
        </is>
      </c>
      <c r="AS220" s="25">
        <f>IF(AR220="Between 50 to 75",10,IF(AR220="Above 75",0,0))</f>
        <v/>
      </c>
      <c r="AT220" s="25" t="inlineStr">
        <is>
          <t>Stage 2</t>
        </is>
      </c>
      <c r="AU220" s="25">
        <f>IF(AT220="Stage 2",20,IF(AT220="Stage 1",0,IF(AT220="Stage 3",5,IF(AT220="Stage 4",-5,0))))</f>
        <v/>
      </c>
      <c r="AV220" s="25" t="inlineStr">
        <is>
          <t>Positive Trend</t>
        </is>
      </c>
      <c r="AW220" s="25">
        <f>IF(AV220="Positive Trend",20,IF(AV220="Negative Trend",-10,0))</f>
        <v/>
      </c>
      <c r="AX220" s="25" t="inlineStr">
        <is>
          <t>Uptrend</t>
        </is>
      </c>
      <c r="AY220" s="25">
        <f>IF(AX220="Uptrend",10,IF(AX220="Sideways",5,0))</f>
        <v/>
      </c>
      <c r="AZ220" s="25" t="inlineStr">
        <is>
          <t>Uptrend</t>
        </is>
      </c>
      <c r="BA220" s="25">
        <f>IF(AZ220="Uptrend",10,IF(AZ220="Sideways",5,0))</f>
        <v/>
      </c>
      <c r="BB220" s="25" t="inlineStr">
        <is>
          <t>Blue sky scenario</t>
        </is>
      </c>
      <c r="BC220" s="25">
        <f>IF(BB220="Overhead supply in last 2 years in last 2 years",-5,IF(BB220="Close to 52 week high or retracement",5,IF(BB220="Blue sky scenario",10,IF(BB220="Long term Downtrend",-10,0))))</f>
        <v/>
      </c>
      <c r="BD220" s="25" t="inlineStr">
        <is>
          <t>Yes</t>
        </is>
      </c>
      <c r="BE220" s="25">
        <f>IF(BD220="Yes",10,0)</f>
        <v/>
      </c>
      <c r="BF220" s="25" t="inlineStr">
        <is>
          <t>More than 20%</t>
        </is>
      </c>
      <c r="BG220" s="25">
        <f>IF(BF220="More than 20%",10,IF(BF220="Between 12 to 20%",5,IF(BF220="Less than 12%",0,0)))</f>
        <v/>
      </c>
      <c r="BH220" s="25" t="inlineStr">
        <is>
          <t>No</t>
        </is>
      </c>
      <c r="BI220" s="25">
        <f>IF(BH220="No",10,0)</f>
        <v/>
      </c>
      <c r="BJ220" s="25" t="inlineStr">
        <is>
          <t>Yes</t>
        </is>
      </c>
      <c r="BK220" s="25">
        <f>IF(BJ220="NO",5,0)</f>
        <v/>
      </c>
      <c r="BL220" s="25" t="inlineStr">
        <is>
          <t>Less than 1.5</t>
        </is>
      </c>
      <c r="BM220" s="25">
        <f>IF(BL220="Above 2",0,IF(BL220="Between 1.5 to 2",5,IF(BL220="Less than 1.5",10,0)))</f>
        <v/>
      </c>
      <c r="BN220" s="25" t="inlineStr">
        <is>
          <t>Negative</t>
        </is>
      </c>
      <c r="BO220" s="25">
        <f>IF(BN220="Above 70%",10,IF(BN220="Between 50% to 70%",5,IF(BN220="Less than 50%",0,IF(BN220="Negative",-10,IF(BN220="Less than 50% and Borrowings are increasing",-5,0)))))</f>
        <v/>
      </c>
      <c r="BP220" s="25" t="inlineStr">
        <is>
          <t>More than 1.2</t>
        </is>
      </c>
      <c r="BQ220" s="25">
        <f>IF(BP220="More than 1.2",-10,IF(BP220="Between 0.7 to 1.2",0,IF(BP220="Less than 0.7",10,0)))</f>
        <v/>
      </c>
      <c r="BR220" s="25" t="inlineStr">
        <is>
          <t>No</t>
        </is>
      </c>
      <c r="BS220" s="25">
        <f>IF(BR220="Yes",-10,0)</f>
        <v/>
      </c>
      <c r="BT220" s="25" t="inlineStr">
        <is>
          <t>Less than 15%</t>
        </is>
      </c>
      <c r="BU220" s="25">
        <f>IF(BT220="More than 15%",-10,IF(BT220="Less than 15%",10,0))</f>
        <v/>
      </c>
      <c r="BV220" s="25" t="inlineStr">
        <is>
          <t>No</t>
        </is>
      </c>
      <c r="BW220" s="25">
        <f>IF(BV220="Yes, more than 10%",-10,IF(BV220="No",10,0))</f>
        <v/>
      </c>
    </row>
    <row r="221">
      <c r="A221" s="25">
        <f>IF(B221=0,"",RANK(B221,$B$2:$B$292,0))</f>
        <v/>
      </c>
      <c r="B221" s="26">
        <f>SUM(Q221,S221,U221,W221,Y221,AA221,AC221,AE221,AG221,AI221,AK221,AM221,AO221,AQ221,AS221,AU221,AW221,AY221,BA221,BC221,BE221,BG221,BI221,BK221,BM221,BO221,BQ221,BS221,BU221,BW221)</f>
        <v/>
      </c>
      <c r="C221" s="25" t="inlineStr">
        <is>
          <t>VARROC</t>
        </is>
      </c>
      <c r="D221" s="25" t="inlineStr">
        <is>
          <t>Varroc Engineering Ltd</t>
        </is>
      </c>
      <c r="E221" s="25" t="inlineStr">
        <is>
          <t>auto</t>
        </is>
      </c>
      <c r="F221" s="25" t="inlineStr">
        <is>
          <t>auto ancillaries</t>
        </is>
      </c>
      <c r="G221" s="25" t="inlineStr">
        <is>
          <t>midcap</t>
        </is>
      </c>
      <c r="H221" s="26" t="n">
        <v>8795.15</v>
      </c>
      <c r="I221" s="26" t="n">
        <v>574.3</v>
      </c>
      <c r="J221" s="26" t="n">
        <v>-0.23</v>
      </c>
      <c r="K221" s="26" t="n">
        <v>79462</v>
      </c>
      <c r="L221" s="26" t="n">
        <v>55.76</v>
      </c>
      <c r="M221" s="26" t="n">
        <v>13.14</v>
      </c>
      <c r="N221" s="26" t="n">
        <v>455.85</v>
      </c>
      <c r="O221" s="25" t="inlineStr">
        <is>
          <t>Earnings / Momentum Support</t>
        </is>
      </c>
      <c r="P221" s="25" t="inlineStr">
        <is>
          <t>Growing Industry</t>
        </is>
      </c>
      <c r="Q221" s="25">
        <f>IF(P221="Growing Industry",10,IF(P221="Cyclical in an Upturn",5,0))</f>
        <v/>
      </c>
      <c r="R221" s="25" t="inlineStr">
        <is>
          <t>Too Many Players with High ROCE</t>
        </is>
      </c>
      <c r="S221" s="25">
        <f>IF(R221="Monopoly",10,IF(R221="Oligopoly",5,IF(R221="Duopoly that cooperate",10,IF(R221="Duopoly that compete",5,IF(R221="Too many players with High ROCE",5,0)))))</f>
        <v/>
      </c>
      <c r="T221" s="25" t="inlineStr">
        <is>
          <t>No</t>
        </is>
      </c>
      <c r="U221" s="25">
        <f>IF(T221="No",5,0)</f>
        <v/>
      </c>
      <c r="V221" s="25" t="inlineStr">
        <is>
          <t>Headwind</t>
        </is>
      </c>
      <c r="W221" s="25">
        <f>IF(V221="Tailwind",10,0)</f>
        <v/>
      </c>
      <c r="X221" s="25" t="inlineStr">
        <is>
          <t>Structural (10 Years Consistency)</t>
        </is>
      </c>
      <c r="Y221" s="25">
        <f>IF(X221="Structural (10 Years Consistency)",10,IF(X221="Shallow Cyclical (2 to 3 years growth)",5,0))</f>
        <v/>
      </c>
      <c r="Z221" s="25" t="inlineStr">
        <is>
          <t>No</t>
        </is>
      </c>
      <c r="AA221" s="25">
        <f>IF(Z221="Yes due to Product Mix change or Operating Leverage",10,IF(Z221="Yes, these are peak margins",-5,IF(Z221="No",5,0)))</f>
        <v/>
      </c>
      <c r="AB221" s="25" t="inlineStr">
        <is>
          <t>Stable</t>
        </is>
      </c>
      <c r="AC221" s="25">
        <f>IF(AB221="Stable",10,0)</f>
        <v/>
      </c>
      <c r="AD221" s="25" t="inlineStr">
        <is>
          <t>Yes</t>
        </is>
      </c>
      <c r="AE221" s="25">
        <f>IF(AD221="Yes",10,0)</f>
        <v/>
      </c>
      <c r="AF221" s="25" t="inlineStr">
        <is>
          <t>B2B</t>
        </is>
      </c>
      <c r="AG221" s="25">
        <f>IF(AF221="B2C",10,IF(AF221="B2B",5,0))</f>
        <v/>
      </c>
      <c r="AH221" s="25" t="inlineStr">
        <is>
          <t>No</t>
        </is>
      </c>
      <c r="AI221" s="25">
        <f>IF(AH221="Yes",10,0)</f>
        <v/>
      </c>
      <c r="AJ221" s="25" t="inlineStr">
        <is>
          <t>Higher One Time, Lower Annuity</t>
        </is>
      </c>
      <c r="AK221" s="25">
        <f>IF(AJ221="Fully Annuity",10,IF(AJ221="Higher Annuity, Lower One Time",5,IF(AJ221="Higher One Time, Lower Annuity",3,0)))</f>
        <v/>
      </c>
      <c r="AL221" s="25" t="inlineStr">
        <is>
          <t>Good</t>
        </is>
      </c>
      <c r="AM221" s="25">
        <f>IF(AL221="Good",10,0)</f>
        <v/>
      </c>
      <c r="AN221" s="25" t="inlineStr">
        <is>
          <t>Yes for more than 2 years</t>
        </is>
      </c>
      <c r="AO221" s="25">
        <f>IF(AN221="Yes for more than 2 years",10,IF(AN221="Yes only for next 1 to 2 years",5,0))</f>
        <v/>
      </c>
      <c r="AP221" s="25" t="inlineStr">
        <is>
          <t>0 to 20</t>
        </is>
      </c>
      <c r="AQ221" s="25">
        <f>IF(AP221="Above 40",20,IF(AP221="20 to 40",10,IF(AP221="0 to 20",-5,0)))</f>
        <v/>
      </c>
      <c r="AR221" s="25" t="inlineStr">
        <is>
          <t>Between 50 to 75</t>
        </is>
      </c>
      <c r="AS221" s="25">
        <f>IF(AR221="Between 50 to 75",10,IF(AR221="Above 75",0,0))</f>
        <v/>
      </c>
      <c r="AT221" s="25" t="inlineStr">
        <is>
          <t>Stage 2</t>
        </is>
      </c>
      <c r="AU221" s="25">
        <f>IF(AT221="Stage 2",20,IF(AT221="Stage 1",0,IF(AT221="Stage 3",5,IF(AT221="Stage 4",-5,0))))</f>
        <v/>
      </c>
      <c r="AV221" s="25" t="inlineStr">
        <is>
          <t>Positive Trend</t>
        </is>
      </c>
      <c r="AW221" s="25">
        <f>IF(AV221="Positive Trend",20,IF(AV221="Negative Trend",-10,0))</f>
        <v/>
      </c>
      <c r="AX221" s="25" t="inlineStr">
        <is>
          <t>Uptrend</t>
        </is>
      </c>
      <c r="AY221" s="25">
        <f>IF(AX221="Uptrend",10,IF(AX221="Sideways",5,0))</f>
        <v/>
      </c>
      <c r="AZ221" s="25" t="inlineStr">
        <is>
          <t>Uptrend</t>
        </is>
      </c>
      <c r="BA221" s="25">
        <f>IF(AZ221="Uptrend",10,IF(AZ221="Sideways",5,0))</f>
        <v/>
      </c>
      <c r="BB221" s="25" t="inlineStr">
        <is>
          <t>Close to 52 week high or retracement</t>
        </is>
      </c>
      <c r="BC221" s="25">
        <f>IF(BB221="Overhead supply in last 2 years in last 2 years",-5,IF(BB221="Close to 52 week high or retracement",5,IF(BB221="Blue sky scenario",10,IF(BB221="Long term Downtrend",-10,0))))</f>
        <v/>
      </c>
      <c r="BD221" s="25" t="inlineStr">
        <is>
          <t>Yes</t>
        </is>
      </c>
      <c r="BE221" s="25">
        <f>IF(BD221="Yes",10,0)</f>
        <v/>
      </c>
      <c r="BF221" s="25" t="inlineStr">
        <is>
          <t>More than 20%</t>
        </is>
      </c>
      <c r="BG221" s="25">
        <f>IF(BF221="More than 20%",10,IF(BF221="Between 12 to 20%",5,IF(BF221="Less than 12%",0,0)))</f>
        <v/>
      </c>
      <c r="BH221" s="25" t="inlineStr">
        <is>
          <t>No</t>
        </is>
      </c>
      <c r="BI221" s="25">
        <f>IF(BH221="No",10,0)</f>
        <v/>
      </c>
      <c r="BJ221" s="25" t="inlineStr">
        <is>
          <t>No</t>
        </is>
      </c>
      <c r="BK221" s="25">
        <f>IF(BJ221="NO",5,0)</f>
        <v/>
      </c>
      <c r="BL221" s="25" t="inlineStr">
        <is>
          <t>Less than 1.5</t>
        </is>
      </c>
      <c r="BM221" s="25">
        <f>IF(BL221="Above 2",0,IF(BL221="Between 1.5 to 2",5,IF(BL221="Less than 1.5",10,0)))</f>
        <v/>
      </c>
      <c r="BN221" s="25" t="inlineStr">
        <is>
          <t>Between 50% to 70%</t>
        </is>
      </c>
      <c r="BO221" s="25">
        <f>IF(BN221="Above 70%",10,IF(BN221="Between 50% to 70%",5,IF(BN221="Less than 50%",0,IF(BN221="Negative",-10,IF(BN221="Less than 50% and Borrowings are increasing",-5,0)))))</f>
        <v/>
      </c>
      <c r="BP221" s="25" t="inlineStr">
        <is>
          <t>Less than 0.7</t>
        </is>
      </c>
      <c r="BQ221" s="25">
        <f>IF(BP221="More than 1.2",-10,IF(BP221="Between 0.7 to 1.2",0,IF(BP221="Less than 0.7",10,0)))</f>
        <v/>
      </c>
      <c r="BR221" s="25" t="inlineStr">
        <is>
          <t>No</t>
        </is>
      </c>
      <c r="BS221" s="25">
        <f>IF(BR221="Yes",-10,0)</f>
        <v/>
      </c>
      <c r="BT221" s="25" t="inlineStr">
        <is>
          <t>Less than 15%</t>
        </is>
      </c>
      <c r="BU221" s="25">
        <f>IF(BT221="More than 15%",-10,IF(BT221="Less than 15%",10,0))</f>
        <v/>
      </c>
      <c r="BV221" s="25" t="inlineStr">
        <is>
          <t>No</t>
        </is>
      </c>
      <c r="BW221" s="25">
        <f>IF(BV221="Yes, more than 10%",-10,IF(BV221="No",10,0))</f>
        <v/>
      </c>
    </row>
    <row r="222">
      <c r="A222" s="25">
        <f>IF(B222=0,"",RANK(B222,$B$2:$B$292,0))</f>
        <v/>
      </c>
      <c r="B222" s="26">
        <f>SUM(Q222,S222,U222,W222,Y222,AA222,AC222,AE222,AG222,AI222,AK222,AM222,AO222,AQ222,AS222,AU222,AW222,AY222,BA222,BC222,BE222,BG222,BI222,BK222,BM222,BO222,BQ222,BS222,BU222,BW222)</f>
        <v/>
      </c>
      <c r="C222" s="25" t="inlineStr">
        <is>
          <t>REDTAPE</t>
        </is>
      </c>
      <c r="D222" s="25" t="inlineStr">
        <is>
          <t>Redtape Ltd</t>
        </is>
      </c>
      <c r="E222" s="25" t="inlineStr">
        <is>
          <t>consumer discretionary</t>
        </is>
      </c>
      <c r="F222" s="25" t="inlineStr">
        <is>
          <t>trading</t>
        </is>
      </c>
      <c r="G222" s="25" t="inlineStr">
        <is>
          <t>midcap</t>
        </is>
      </c>
      <c r="H222" s="26" t="n">
        <v>7679.05</v>
      </c>
      <c r="I222" s="26" t="n">
        <v>137.99</v>
      </c>
      <c r="J222" s="26" t="n">
        <v>-0.66</v>
      </c>
      <c r="K222" s="26" t="n">
        <v>1101878</v>
      </c>
      <c r="L222" s="26" t="n">
        <v>55.74</v>
      </c>
      <c r="M222" s="26" t="n">
        <v>18.86</v>
      </c>
      <c r="N222" s="26" t="n">
        <v>101.22</v>
      </c>
      <c r="O222" s="25" t="inlineStr">
        <is>
          <t>Earnings / Momentum Support</t>
        </is>
      </c>
      <c r="P222" s="25" t="inlineStr">
        <is>
          <t>Growing Industry</t>
        </is>
      </c>
      <c r="Q222" s="25">
        <f>IF(P222="Growing Industry",10,IF(P222="Cyclical in an Upturn",5,0))</f>
        <v/>
      </c>
      <c r="R222" s="25" t="inlineStr">
        <is>
          <t>Too Many Players with High ROCE</t>
        </is>
      </c>
      <c r="S222" s="25">
        <f>IF(R222="Monopoly",10,IF(R222="Oligopoly",5,IF(R222="Duopoly that cooperate",10,IF(R222="Duopoly that compete",5,IF(R222="Too many players with High ROCE",5,0)))))</f>
        <v/>
      </c>
      <c r="T222" s="25" t="inlineStr">
        <is>
          <t>No</t>
        </is>
      </c>
      <c r="U222" s="25">
        <f>IF(T222="No",5,0)</f>
        <v/>
      </c>
      <c r="V222" s="25" t="inlineStr">
        <is>
          <t>Tailwind</t>
        </is>
      </c>
      <c r="W222" s="25">
        <f>IF(V222="Tailwind",10,0)</f>
        <v/>
      </c>
      <c r="X222" s="25" t="inlineStr">
        <is>
          <t>Structural (10 Years Consistency)</t>
        </is>
      </c>
      <c r="Y222" s="25">
        <f>IF(X222="Structural (10 Years Consistency)",10,IF(X222="Shallow Cyclical (2 to 3 years growth)",5,0))</f>
        <v/>
      </c>
      <c r="Z222" s="25" t="inlineStr">
        <is>
          <t>No</t>
        </is>
      </c>
      <c r="AA222" s="25">
        <f>IF(Z222="Yes due to Product Mix change or Operating Leverage",10,IF(Z222="Yes, these are peak margins",-5,IF(Z222="No",5,0)))</f>
        <v/>
      </c>
      <c r="AB222" s="25" t="inlineStr">
        <is>
          <t>Stable</t>
        </is>
      </c>
      <c r="AC222" s="25">
        <f>IF(AB222="Stable",10,0)</f>
        <v/>
      </c>
      <c r="AD222" s="25" t="inlineStr">
        <is>
          <t>Yes</t>
        </is>
      </c>
      <c r="AE222" s="25">
        <f>IF(AD222="Yes",10,0)</f>
        <v/>
      </c>
      <c r="AF222" s="25" t="inlineStr">
        <is>
          <t>B2B</t>
        </is>
      </c>
      <c r="AG222" s="25">
        <f>IF(AF222="B2C",10,IF(AF222="B2B",5,0))</f>
        <v/>
      </c>
      <c r="AH222" s="25" t="inlineStr">
        <is>
          <t>No</t>
        </is>
      </c>
      <c r="AI222" s="25">
        <f>IF(AH222="Yes",10,0)</f>
        <v/>
      </c>
      <c r="AJ222" s="25" t="inlineStr">
        <is>
          <t>Higher One Time, Lower Annuity</t>
        </is>
      </c>
      <c r="AK222" s="25">
        <f>IF(AJ222="Fully Annuity",10,IF(AJ222="Higher Annuity, Lower One Time",5,IF(AJ222="Higher One Time, Lower Annuity",3,0)))</f>
        <v/>
      </c>
      <c r="AL222" s="25" t="inlineStr">
        <is>
          <t>Good</t>
        </is>
      </c>
      <c r="AM222" s="25">
        <f>IF(AL222="Good",10,0)</f>
        <v/>
      </c>
      <c r="AN222" s="25" t="inlineStr">
        <is>
          <t>Yes for more than 2 years</t>
        </is>
      </c>
      <c r="AO222" s="25">
        <f>IF(AN222="Yes for more than 2 years",10,IF(AN222="Yes only for next 1 to 2 years",5,0))</f>
        <v/>
      </c>
      <c r="AP222" s="25" t="inlineStr">
        <is>
          <t>0 to 20</t>
        </is>
      </c>
      <c r="AQ222" s="25">
        <f>IF(AP222="Above 40",20,IF(AP222="20 to 40",10,IF(AP222="0 to 20",-5,0)))</f>
        <v/>
      </c>
      <c r="AR222" s="25" t="inlineStr">
        <is>
          <t>Between 50 to 75</t>
        </is>
      </c>
      <c r="AS222" s="25">
        <f>IF(AR222="Between 50 to 75",10,IF(AR222="Above 75",0,0))</f>
        <v/>
      </c>
      <c r="AT222" s="25" t="inlineStr">
        <is>
          <t>Stage 2</t>
        </is>
      </c>
      <c r="AU222" s="25">
        <f>IF(AT222="Stage 2",20,IF(AT222="Stage 1",0,IF(AT222="Stage 3",5,IF(AT222="Stage 4",-5,0))))</f>
        <v/>
      </c>
      <c r="AV222" s="25" t="inlineStr">
        <is>
          <t>Positive Trend</t>
        </is>
      </c>
      <c r="AW222" s="25">
        <f>IF(AV222="Positive Trend",20,IF(AV222="Negative Trend",-10,0))</f>
        <v/>
      </c>
      <c r="AX222" s="25" t="inlineStr">
        <is>
          <t>Uptrend</t>
        </is>
      </c>
      <c r="AY222" s="25">
        <f>IF(AX222="Uptrend",10,IF(AX222="Sideways",5,0))</f>
        <v/>
      </c>
      <c r="AZ222" s="25" t="inlineStr">
        <is>
          <t>Uptrend</t>
        </is>
      </c>
      <c r="BA222" s="25">
        <f>IF(AZ222="Uptrend",10,IF(AZ222="Sideways",5,0))</f>
        <v/>
      </c>
      <c r="BB222" s="25" t="inlineStr">
        <is>
          <t>Close to 52 week high or retracement</t>
        </is>
      </c>
      <c r="BC222" s="25">
        <f>IF(BB222="Overhead supply in last 2 years in last 2 years",-5,IF(BB222="Close to 52 week high or retracement",5,IF(BB222="Blue sky scenario",10,IF(BB222="Long term Downtrend",-10,0))))</f>
        <v/>
      </c>
      <c r="BD222" s="25" t="inlineStr">
        <is>
          <t>Yes</t>
        </is>
      </c>
      <c r="BE222" s="25">
        <f>IF(BD222="Yes",10,0)</f>
        <v/>
      </c>
      <c r="BF222" s="25" t="inlineStr">
        <is>
          <t>More than 20%</t>
        </is>
      </c>
      <c r="BG222" s="25">
        <f>IF(BF222="More than 20%",10,IF(BF222="Between 12 to 20%",5,IF(BF222="Less than 12%",0,0)))</f>
        <v/>
      </c>
      <c r="BH222" s="25" t="inlineStr">
        <is>
          <t>No</t>
        </is>
      </c>
      <c r="BI222" s="25">
        <f>IF(BH222="No",10,0)</f>
        <v/>
      </c>
      <c r="BJ222" s="25" t="inlineStr">
        <is>
          <t>No</t>
        </is>
      </c>
      <c r="BK222" s="25">
        <f>IF(BJ222="NO",5,0)</f>
        <v/>
      </c>
      <c r="BL222" s="25" t="inlineStr">
        <is>
          <t>Less than 1.5</t>
        </is>
      </c>
      <c r="BM222" s="25">
        <f>IF(BL222="Above 2",0,IF(BL222="Between 1.5 to 2",5,IF(BL222="Less than 1.5",10,0)))</f>
        <v/>
      </c>
      <c r="BN222" s="25" t="inlineStr">
        <is>
          <t>Between 50% to 70%</t>
        </is>
      </c>
      <c r="BO222" s="25">
        <f>IF(BN222="Above 70%",10,IF(BN222="Between 50% to 70%",5,IF(BN222="Less than 50%",0,IF(BN222="Negative",-10,IF(BN222="Less than 50% and Borrowings are increasing",-5,0)))))</f>
        <v/>
      </c>
      <c r="BP222" s="25" t="inlineStr">
        <is>
          <t>Between 0.7 to 1.2</t>
        </is>
      </c>
      <c r="BQ222" s="25">
        <f>IF(BP222="More than 1.2",-10,IF(BP222="Between 0.7 to 1.2",0,IF(BP222="Less than 0.7",10,0)))</f>
        <v/>
      </c>
      <c r="BR222" s="25" t="inlineStr">
        <is>
          <t>No</t>
        </is>
      </c>
      <c r="BS222" s="25">
        <f>IF(BR222="Yes",-10,0)</f>
        <v/>
      </c>
      <c r="BT222" s="25" t="inlineStr">
        <is>
          <t>Less than 15%</t>
        </is>
      </c>
      <c r="BU222" s="25">
        <f>IF(BT222="More than 15%",-10,IF(BT222="Less than 15%",10,0))</f>
        <v/>
      </c>
      <c r="BV222" s="25" t="inlineStr">
        <is>
          <t>No</t>
        </is>
      </c>
      <c r="BW222" s="25">
        <f>IF(BV222="Yes, more than 10%",-10,IF(BV222="No",10,0))</f>
        <v/>
      </c>
    </row>
    <row r="223">
      <c r="A223" s="25">
        <f>IF(B223=0,"",RANK(B223,$B$2:$B$292,0))</f>
        <v/>
      </c>
      <c r="B223" s="26">
        <f>SUM(Q223,S223,U223,W223,Y223,AA223,AC223,AE223,AG223,AI223,AK223,AM223,AO223,AQ223,AS223,AU223,AW223,AY223,BA223,BC223,BE223,BG223,BI223,BK223,BM223,BO223,BQ223,BS223,BU223,BW223)</f>
        <v/>
      </c>
      <c r="C223" s="25" t="inlineStr">
        <is>
          <t>TRITURBINE</t>
        </is>
      </c>
      <c r="D223" s="25" t="inlineStr">
        <is>
          <t>Triveni Turbine Limited</t>
        </is>
      </c>
      <c r="E223" s="25" t="inlineStr">
        <is>
          <t>industrials</t>
        </is>
      </c>
      <c r="F223" s="25" t="inlineStr">
        <is>
          <t>electric equipment</t>
        </is>
      </c>
      <c r="G223" s="25" t="inlineStr">
        <is>
          <t>largecap</t>
        </is>
      </c>
      <c r="H223" s="26" t="n">
        <v>22077.81</v>
      </c>
      <c r="I223" s="26" t="n">
        <v>689.25</v>
      </c>
      <c r="J223" s="26" t="n">
        <v>-0.76</v>
      </c>
      <c r="K223" s="26" t="n">
        <v>959302</v>
      </c>
      <c r="L223" s="26" t="n">
        <v>69.37</v>
      </c>
      <c r="M223" s="26" t="n">
        <v>31.16</v>
      </c>
      <c r="N223" s="26" t="n">
        <v>569.79</v>
      </c>
      <c r="O223" s="25" t="inlineStr">
        <is>
          <t>Earnings / Momentum Support</t>
        </is>
      </c>
      <c r="P223" s="25" t="inlineStr">
        <is>
          <t>Cyclical in an Upturn</t>
        </is>
      </c>
      <c r="Q223" s="25">
        <f>IF(P223="Growing Industry",10,IF(P223="Cyclical in an Upturn",5,0))</f>
        <v/>
      </c>
      <c r="R223" s="25" t="inlineStr">
        <is>
          <t>Too Many Players with High ROCE</t>
        </is>
      </c>
      <c r="S223" s="25">
        <f>IF(R223="Monopoly",10,IF(R223="Oligopoly",5,IF(R223="Duopoly that cooperate",10,IF(R223="Duopoly that compete",5,IF(R223="Too many players with High ROCE",5,0)))))</f>
        <v/>
      </c>
      <c r="T223" s="25" t="inlineStr">
        <is>
          <t>No</t>
        </is>
      </c>
      <c r="U223" s="25">
        <f>IF(T223="No",5,0)</f>
        <v/>
      </c>
      <c r="V223" s="25" t="inlineStr">
        <is>
          <t>Tailwind</t>
        </is>
      </c>
      <c r="W223" s="25">
        <f>IF(V223="Tailwind",10,0)</f>
        <v/>
      </c>
      <c r="X223" s="25" t="inlineStr">
        <is>
          <t>Structural (10 Years Consistency)</t>
        </is>
      </c>
      <c r="Y223" s="25">
        <f>IF(X223="Structural (10 Years Consistency)",10,IF(X223="Shallow Cyclical (2 to 3 years growth)",5,0))</f>
        <v/>
      </c>
      <c r="Z223" s="25" t="inlineStr">
        <is>
          <t>No</t>
        </is>
      </c>
      <c r="AA223" s="25">
        <f>IF(Z223="Yes due to Product Mix change or Operating Leverage",10,IF(Z223="Yes, these are peak margins",-5,IF(Z223="No",5,0)))</f>
        <v/>
      </c>
      <c r="AB223" s="25" t="inlineStr">
        <is>
          <t>Stable</t>
        </is>
      </c>
      <c r="AC223" s="25">
        <f>IF(AB223="Stable",10,0)</f>
        <v/>
      </c>
      <c r="AD223" s="25" t="inlineStr">
        <is>
          <t>Yes</t>
        </is>
      </c>
      <c r="AE223" s="25">
        <f>IF(AD223="Yes",10,0)</f>
        <v/>
      </c>
      <c r="AF223" s="25" t="inlineStr">
        <is>
          <t>B2B</t>
        </is>
      </c>
      <c r="AG223" s="25">
        <f>IF(AF223="B2C",10,IF(AF223="B2B",5,0))</f>
        <v/>
      </c>
      <c r="AH223" s="25" t="inlineStr">
        <is>
          <t>No</t>
        </is>
      </c>
      <c r="AI223" s="25">
        <f>IF(AH223="Yes",10,0)</f>
        <v/>
      </c>
      <c r="AJ223" s="25" t="inlineStr">
        <is>
          <t>Higher One Time, Lower Annuity</t>
        </is>
      </c>
      <c r="AK223" s="25">
        <f>IF(AJ223="Fully Annuity",10,IF(AJ223="Higher Annuity, Lower One Time",5,IF(AJ223="Higher One Time, Lower Annuity",3,0)))</f>
        <v/>
      </c>
      <c r="AL223" s="25" t="inlineStr">
        <is>
          <t>Good</t>
        </is>
      </c>
      <c r="AM223" s="25">
        <f>IF(AL223="Good",10,0)</f>
        <v/>
      </c>
      <c r="AN223" s="25" t="inlineStr">
        <is>
          <t>Yes for more than 2 years</t>
        </is>
      </c>
      <c r="AO223" s="25">
        <f>IF(AN223="Yes for more than 2 years",10,IF(AN223="Yes only for next 1 to 2 years",5,0))</f>
        <v/>
      </c>
      <c r="AP223" s="25" t="inlineStr">
        <is>
          <t>20 to 40</t>
        </is>
      </c>
      <c r="AQ223" s="25">
        <f>IF(AP223="Above 40",20,IF(AP223="20 to 40",10,IF(AP223="0 to 20",-5,0)))</f>
        <v/>
      </c>
      <c r="AR223" s="25" t="inlineStr">
        <is>
          <t>Between 50 to 75</t>
        </is>
      </c>
      <c r="AS223" s="25">
        <f>IF(AR223="Between 50 to 75",10,IF(AR223="Above 75",0,0))</f>
        <v/>
      </c>
      <c r="AT223" s="25" t="inlineStr">
        <is>
          <t>Stage 2</t>
        </is>
      </c>
      <c r="AU223" s="25">
        <f>IF(AT223="Stage 2",20,IF(AT223="Stage 1",0,IF(AT223="Stage 3",5,IF(AT223="Stage 4",-5,0))))</f>
        <v/>
      </c>
      <c r="AV223" s="25" t="inlineStr">
        <is>
          <t>Positive Trend</t>
        </is>
      </c>
      <c r="AW223" s="25">
        <f>IF(AV223="Positive Trend",20,IF(AV223="Negative Trend",-10,0))</f>
        <v/>
      </c>
      <c r="AX223" s="25" t="inlineStr">
        <is>
          <t>Uptrend</t>
        </is>
      </c>
      <c r="AY223" s="25">
        <f>IF(AX223="Uptrend",10,IF(AX223="Sideways",5,0))</f>
        <v/>
      </c>
      <c r="AZ223" s="25" t="inlineStr">
        <is>
          <t>Uptrend</t>
        </is>
      </c>
      <c r="BA223" s="25">
        <f>IF(AZ223="Uptrend",10,IF(AZ223="Sideways",5,0))</f>
        <v/>
      </c>
      <c r="BB223" s="25" t="inlineStr">
        <is>
          <t>Close to 52 week high or retracement</t>
        </is>
      </c>
      <c r="BC223" s="25">
        <f>IF(BB223="Overhead supply in last 2 years in last 2 years",-5,IF(BB223="Close to 52 week high or retracement",5,IF(BB223="Blue sky scenario",10,IF(BB223="Long term Downtrend",-10,0))))</f>
        <v/>
      </c>
      <c r="BD223" s="25" t="inlineStr">
        <is>
          <t>Yes</t>
        </is>
      </c>
      <c r="BE223" s="25">
        <f>IF(BD223="Yes",10,0)</f>
        <v/>
      </c>
      <c r="BF223" s="25" t="inlineStr">
        <is>
          <t>Less than 12%</t>
        </is>
      </c>
      <c r="BG223" s="25">
        <f>IF(BF223="More than 20%",10,IF(BF223="Between 12 to 20%",5,IF(BF223="Less than 12%",0,0)))</f>
        <v/>
      </c>
      <c r="BH223" s="25" t="inlineStr">
        <is>
          <t>No</t>
        </is>
      </c>
      <c r="BI223" s="25">
        <f>IF(BH223="No",10,0)</f>
        <v/>
      </c>
      <c r="BJ223" s="25" t="inlineStr">
        <is>
          <t>Yes</t>
        </is>
      </c>
      <c r="BK223" s="25">
        <f>IF(BJ223="NO",5,0)</f>
        <v/>
      </c>
      <c r="BL223" s="25" t="inlineStr">
        <is>
          <t>Less than 1.5</t>
        </is>
      </c>
      <c r="BM223" s="25">
        <f>IF(BL223="Above 2",0,IF(BL223="Between 1.5 to 2",5,IF(BL223="Less than 1.5",10,0)))</f>
        <v/>
      </c>
      <c r="BN223" s="25" t="inlineStr">
        <is>
          <t>Less than 50%</t>
        </is>
      </c>
      <c r="BO223" s="25">
        <f>IF(BN223="Above 70%",10,IF(BN223="Between 50% to 70%",5,IF(BN223="Less than 50%",0,IF(BN223="Negative",-10,IF(BN223="Less than 50% and Borrowings are increasing",-5,0)))))</f>
        <v/>
      </c>
      <c r="BP223" s="25" t="inlineStr">
        <is>
          <t>Less than 0.7</t>
        </is>
      </c>
      <c r="BQ223" s="25">
        <f>IF(BP223="More than 1.2",-10,IF(BP223="Between 0.7 to 1.2",0,IF(BP223="Less than 0.7",10,0)))</f>
        <v/>
      </c>
      <c r="BR223" s="25" t="inlineStr">
        <is>
          <t>No</t>
        </is>
      </c>
      <c r="BS223" s="25">
        <f>IF(BR223="Yes",-10,0)</f>
        <v/>
      </c>
      <c r="BT223" s="25" t="inlineStr">
        <is>
          <t>Less than 15%</t>
        </is>
      </c>
      <c r="BU223" s="25">
        <f>IF(BT223="More than 15%",-10,IF(BT223="Less than 15%",10,0))</f>
        <v/>
      </c>
      <c r="BV223" s="25" t="inlineStr">
        <is>
          <t>No</t>
        </is>
      </c>
      <c r="BW223" s="25">
        <f>IF(BV223="Yes, more than 10%",-10,IF(BV223="No",10,0))</f>
        <v/>
      </c>
    </row>
    <row r="224">
      <c r="A224" s="25">
        <f>IF(B224=0,"",RANK(B224,$B$2:$B$292,0))</f>
        <v/>
      </c>
      <c r="B224" s="26">
        <f>SUM(Q224,S224,U224,W224,Y224,AA224,AC224,AE224,AG224,AI224,AK224,AM224,AO224,AQ224,AS224,AU224,AW224,AY224,BA224,BC224,BE224,BG224,BI224,BK224,BM224,BO224,BQ224,BS224,BU224,BW224)</f>
        <v/>
      </c>
      <c r="C224" s="25" t="inlineStr">
        <is>
          <t>TATACOMM</t>
        </is>
      </c>
      <c r="D224" s="25" t="inlineStr">
        <is>
          <t>Tata Communications Limited</t>
        </is>
      </c>
      <c r="E224" s="25" t="inlineStr">
        <is>
          <t>telecom-service</t>
        </is>
      </c>
      <c r="F224" s="25" t="inlineStr">
        <is>
          <t>telecommunications - service provider</t>
        </is>
      </c>
      <c r="G224" s="25" t="inlineStr">
        <is>
          <t>largecap</t>
        </is>
      </c>
      <c r="H224" s="26" t="n">
        <v>55364.1</v>
      </c>
      <c r="I224" s="26" t="n">
        <v>1906.2</v>
      </c>
      <c r="J224" s="26" t="n">
        <v>-1.87</v>
      </c>
      <c r="K224" s="26" t="n">
        <v>496274</v>
      </c>
      <c r="L224" s="26" t="n">
        <v>64.38</v>
      </c>
      <c r="M224" s="26" t="n">
        <v>27.67</v>
      </c>
      <c r="N224" s="26" t="n">
        <v>1553.42</v>
      </c>
      <c r="O224" s="25" t="inlineStr">
        <is>
          <t>Near 52W High Breakout</t>
        </is>
      </c>
      <c r="P224" s="25" t="inlineStr">
        <is>
          <t>Growing Industry</t>
        </is>
      </c>
      <c r="Q224" s="25">
        <f>IF(P224="Growing Industry",10,IF(P224="Cyclical in an Upturn",5,0))</f>
        <v/>
      </c>
      <c r="R224" s="25" t="inlineStr">
        <is>
          <t>Oligopoly</t>
        </is>
      </c>
      <c r="S224" s="25">
        <f>IF(R224="Monopoly",10,IF(R224="Oligopoly",5,IF(R224="Duopoly that cooperate",10,IF(R224="Duopoly that compete",5,IF(R224="Too many players with High ROCE",5,0)))))</f>
        <v/>
      </c>
      <c r="T224" s="25" t="inlineStr">
        <is>
          <t>Yes</t>
        </is>
      </c>
      <c r="U224" s="25">
        <f>IF(T224="No",5,0)</f>
        <v/>
      </c>
      <c r="V224" s="25" t="inlineStr">
        <is>
          <t>Tailwind</t>
        </is>
      </c>
      <c r="W224" s="25">
        <f>IF(V224="Tailwind",10,0)</f>
        <v/>
      </c>
      <c r="X224" s="25" t="inlineStr">
        <is>
          <t>Structural (10 Years Consistency)</t>
        </is>
      </c>
      <c r="Y224" s="25">
        <f>IF(X224="Structural (10 Years Consistency)",10,IF(X224="Shallow Cyclical (2 to 3 years growth)",5,0))</f>
        <v/>
      </c>
      <c r="Z224" s="25" t="inlineStr">
        <is>
          <t>No</t>
        </is>
      </c>
      <c r="AA224" s="25">
        <f>IF(Z224="Yes due to Product Mix change or Operating Leverage",10,IF(Z224="Yes, these are peak margins",-5,IF(Z224="No",5,0)))</f>
        <v/>
      </c>
      <c r="AB224" s="25" t="inlineStr">
        <is>
          <t>Stable</t>
        </is>
      </c>
      <c r="AC224" s="25">
        <f>IF(AB224="Stable",10,0)</f>
        <v/>
      </c>
      <c r="AD224" s="25" t="inlineStr">
        <is>
          <t>Yes</t>
        </is>
      </c>
      <c r="AE224" s="25">
        <f>IF(AD224="Yes",10,0)</f>
        <v/>
      </c>
      <c r="AF224" s="25" t="inlineStr">
        <is>
          <t>B2B</t>
        </is>
      </c>
      <c r="AG224" s="25">
        <f>IF(AF224="B2C",10,IF(AF224="B2B",5,0))</f>
        <v/>
      </c>
      <c r="AH224" s="25" t="inlineStr">
        <is>
          <t>Yes</t>
        </is>
      </c>
      <c r="AI224" s="25">
        <f>IF(AH224="Yes",10,0)</f>
        <v/>
      </c>
      <c r="AJ224" s="25" t="inlineStr">
        <is>
          <t>Higher One Time, Lower Annuity</t>
        </is>
      </c>
      <c r="AK224" s="25">
        <f>IF(AJ224="Fully Annuity",10,IF(AJ224="Higher Annuity, Lower One Time",5,IF(AJ224="Higher One Time, Lower Annuity",3,0)))</f>
        <v/>
      </c>
      <c r="AL224" s="25" t="inlineStr">
        <is>
          <t>Good</t>
        </is>
      </c>
      <c r="AM224" s="25">
        <f>IF(AL224="Good",10,0)</f>
        <v/>
      </c>
      <c r="AN224" s="25" t="inlineStr">
        <is>
          <t>Yes for more than 2 years</t>
        </is>
      </c>
      <c r="AO224" s="25">
        <f>IF(AN224="Yes for more than 2 years",10,IF(AN224="Yes only for next 1 to 2 years",5,0))</f>
        <v/>
      </c>
      <c r="AP224" s="25" t="inlineStr">
        <is>
          <t>20 to 40</t>
        </is>
      </c>
      <c r="AQ224" s="25">
        <f>IF(AP224="Above 40",20,IF(AP224="20 to 40",10,IF(AP224="0 to 20",-5,0)))</f>
        <v/>
      </c>
      <c r="AR224" s="25" t="inlineStr">
        <is>
          <t>Between 50 to 75</t>
        </is>
      </c>
      <c r="AS224" s="25">
        <f>IF(AR224="Between 50 to 75",10,IF(AR224="Above 75",0,0))</f>
        <v/>
      </c>
      <c r="AT224" s="25" t="inlineStr">
        <is>
          <t>Stage 2</t>
        </is>
      </c>
      <c r="AU224" s="25">
        <f>IF(AT224="Stage 2",20,IF(AT224="Stage 1",0,IF(AT224="Stage 3",5,IF(AT224="Stage 4",-5,0))))</f>
        <v/>
      </c>
      <c r="AV224" s="25" t="inlineStr">
        <is>
          <t>Positive Trend</t>
        </is>
      </c>
      <c r="AW224" s="25">
        <f>IF(AV224="Positive Trend",20,IF(AV224="Negative Trend",-10,0))</f>
        <v/>
      </c>
      <c r="AX224" s="25" t="inlineStr">
        <is>
          <t>Uptrend</t>
        </is>
      </c>
      <c r="AY224" s="25">
        <f>IF(AX224="Uptrend",10,IF(AX224="Sideways",5,0))</f>
        <v/>
      </c>
      <c r="AZ224" s="25" t="inlineStr">
        <is>
          <t>Uptrend</t>
        </is>
      </c>
      <c r="BA224" s="25">
        <f>IF(AZ224="Uptrend",10,IF(AZ224="Sideways",5,0))</f>
        <v/>
      </c>
      <c r="BB224" s="25" t="inlineStr">
        <is>
          <t>Close to 52 week high or retracement</t>
        </is>
      </c>
      <c r="BC224" s="25">
        <f>IF(BB224="Overhead supply in last 2 years in last 2 years",-5,IF(BB224="Close to 52 week high or retracement",5,IF(BB224="Blue sky scenario",10,IF(BB224="Long term Downtrend",-10,0))))</f>
        <v/>
      </c>
      <c r="BD224" s="25" t="inlineStr">
        <is>
          <t>Yes</t>
        </is>
      </c>
      <c r="BE224" s="25">
        <f>IF(BD224="Yes",10,0)</f>
        <v/>
      </c>
      <c r="BF224" s="25" t="inlineStr">
        <is>
          <t>Less than 12%</t>
        </is>
      </c>
      <c r="BG224" s="25">
        <f>IF(BF224="More than 20%",10,IF(BF224="Between 12 to 20%",5,IF(BF224="Less than 12%",0,0)))</f>
        <v/>
      </c>
      <c r="BH224" s="25" t="inlineStr">
        <is>
          <t>No</t>
        </is>
      </c>
      <c r="BI224" s="25">
        <f>IF(BH224="No",10,0)</f>
        <v/>
      </c>
      <c r="BJ224" s="25" t="inlineStr">
        <is>
          <t>Yes</t>
        </is>
      </c>
      <c r="BK224" s="25">
        <f>IF(BJ224="NO",5,0)</f>
        <v/>
      </c>
      <c r="BL224" s="25" t="inlineStr">
        <is>
          <t>Less than 1.5</t>
        </is>
      </c>
      <c r="BM224" s="25">
        <f>IF(BL224="Above 2",0,IF(BL224="Between 1.5 to 2",5,IF(BL224="Less than 1.5",10,0)))</f>
        <v/>
      </c>
      <c r="BN224" s="25" t="inlineStr">
        <is>
          <t>Above 70%</t>
        </is>
      </c>
      <c r="BO224" s="25">
        <f>IF(BN224="Above 70%",10,IF(BN224="Between 50% to 70%",5,IF(BN224="Less than 50%",0,IF(BN224="Negative",-10,IF(BN224="Less than 50% and Borrowings are increasing",-5,0)))))</f>
        <v/>
      </c>
      <c r="BP224" s="25" t="inlineStr">
        <is>
          <t>More than 1.2</t>
        </is>
      </c>
      <c r="BQ224" s="25">
        <f>IF(BP224="More than 1.2",-10,IF(BP224="Between 0.7 to 1.2",0,IF(BP224="Less than 0.7",10,0)))</f>
        <v/>
      </c>
      <c r="BR224" s="25" t="inlineStr">
        <is>
          <t>No</t>
        </is>
      </c>
      <c r="BS224" s="25">
        <f>IF(BR224="Yes",-10,0)</f>
        <v/>
      </c>
      <c r="BT224" s="25" t="inlineStr">
        <is>
          <t>Less than 15%</t>
        </is>
      </c>
      <c r="BU224" s="25">
        <f>IF(BT224="More than 15%",-10,IF(BT224="Less than 15%",10,0))</f>
        <v/>
      </c>
      <c r="BV224" s="25" t="inlineStr">
        <is>
          <t>No</t>
        </is>
      </c>
      <c r="BW224" s="25">
        <f>IF(BV224="Yes, more than 10%",-10,IF(BV224="No",10,0))</f>
        <v/>
      </c>
    </row>
    <row r="225">
      <c r="A225" s="25">
        <f>IF(B225=0,"",RANK(B225,$B$2:$B$292,0))</f>
        <v/>
      </c>
      <c r="B225" s="26">
        <f>SUM(Q225,S225,U225,W225,Y225,AA225,AC225,AE225,AG225,AI225,AK225,AM225,AO225,AQ225,AS225,AU225,AW225,AY225,BA225,BC225,BE225,BG225,BI225,BK225,BM225,BO225,BQ225,BS225,BU225,BW225)</f>
        <v/>
      </c>
      <c r="C225" s="25" t="inlineStr">
        <is>
          <t>SWANDEF</t>
        </is>
      </c>
      <c r="D225" s="25" t="inlineStr">
        <is>
          <t>Swan Defence and Heavy Industries Ltd</t>
        </is>
      </c>
      <c r="E225" s="25" t="inlineStr">
        <is>
          <t>transportation</t>
        </is>
      </c>
      <c r="F225" s="25" t="inlineStr">
        <is>
          <t>miscellaneous</t>
        </is>
      </c>
      <c r="G225" s="25" t="inlineStr">
        <is>
          <t>midcap</t>
        </is>
      </c>
      <c r="H225" s="26" t="n">
        <v>11249.22</v>
      </c>
      <c r="I225" s="26" t="n">
        <v>2038.3</v>
      </c>
      <c r="J225" s="26" t="n">
        <v>-4.54</v>
      </c>
      <c r="K225" s="26" t="n">
        <v>26355</v>
      </c>
      <c r="L225" s="26" t="n">
        <v>63.31</v>
      </c>
      <c r="M225" s="26" t="n">
        <v>46.16</v>
      </c>
      <c r="N225" s="26" t="n">
        <v>1879.67</v>
      </c>
      <c r="O225" s="25" t="inlineStr">
        <is>
          <t>Earnings / Momentum Support</t>
        </is>
      </c>
      <c r="P225" s="25" t="inlineStr">
        <is>
          <t>Growing Industry</t>
        </is>
      </c>
      <c r="Q225" s="25">
        <f>IF(P225="Growing Industry",10,IF(P225="Cyclical in an Upturn",5,0))</f>
        <v/>
      </c>
      <c r="R225" s="25" t="inlineStr">
        <is>
          <t>Too Many Players with High ROCE</t>
        </is>
      </c>
      <c r="S225" s="25">
        <f>IF(R225="Monopoly",10,IF(R225="Oligopoly",5,IF(R225="Duopoly that cooperate",10,IF(R225="Duopoly that compete",5,IF(R225="Too many players with High ROCE",5,0)))))</f>
        <v/>
      </c>
      <c r="T225" s="25" t="inlineStr">
        <is>
          <t>No</t>
        </is>
      </c>
      <c r="U225" s="25">
        <f>IF(T225="No",5,0)</f>
        <v/>
      </c>
      <c r="V225" s="25" t="inlineStr">
        <is>
          <t>Tailwind</t>
        </is>
      </c>
      <c r="W225" s="25">
        <f>IF(V225="Tailwind",10,0)</f>
        <v/>
      </c>
      <c r="X225" s="25" t="inlineStr">
        <is>
          <t>Structural (10 Years Consistency)</t>
        </is>
      </c>
      <c r="Y225" s="25">
        <f>IF(X225="Structural (10 Years Consistency)",10,IF(X225="Shallow Cyclical (2 to 3 years growth)",5,0))</f>
        <v/>
      </c>
      <c r="Z225" s="25" t="inlineStr">
        <is>
          <t>No</t>
        </is>
      </c>
      <c r="AA225" s="25">
        <f>IF(Z225="Yes due to Product Mix change or Operating Leverage",10,IF(Z225="Yes, these are peak margins",-5,IF(Z225="No",5,0)))</f>
        <v/>
      </c>
      <c r="AB225" s="25" t="inlineStr">
        <is>
          <t>Stable</t>
        </is>
      </c>
      <c r="AC225" s="25">
        <f>IF(AB225="Stable",10,0)</f>
        <v/>
      </c>
      <c r="AD225" s="25" t="inlineStr">
        <is>
          <t>Yes</t>
        </is>
      </c>
      <c r="AE225" s="25">
        <f>IF(AD225="Yes",10,0)</f>
        <v/>
      </c>
      <c r="AF225" s="25" t="inlineStr">
        <is>
          <t>B2B</t>
        </is>
      </c>
      <c r="AG225" s="25">
        <f>IF(AF225="B2C",10,IF(AF225="B2B",5,0))</f>
        <v/>
      </c>
      <c r="AH225" s="25" t="inlineStr">
        <is>
          <t>No</t>
        </is>
      </c>
      <c r="AI225" s="25">
        <f>IF(AH225="Yes",10,0)</f>
        <v/>
      </c>
      <c r="AJ225" s="25" t="inlineStr">
        <is>
          <t>Higher One Time, Lower Annuity</t>
        </is>
      </c>
      <c r="AK225" s="25">
        <f>IF(AJ225="Fully Annuity",10,IF(AJ225="Higher Annuity, Lower One Time",5,IF(AJ225="Higher One Time, Lower Annuity",3,0)))</f>
        <v/>
      </c>
      <c r="AL225" s="25" t="inlineStr">
        <is>
          <t>Good</t>
        </is>
      </c>
      <c r="AM225" s="25">
        <f>IF(AL225="Good",10,0)</f>
        <v/>
      </c>
      <c r="AN225" s="25" t="inlineStr">
        <is>
          <t>Yes for more than 2 years</t>
        </is>
      </c>
      <c r="AO225" s="25">
        <f>IF(AN225="Yes for more than 2 years",10,IF(AN225="Yes only for next 1 to 2 years",5,0))</f>
        <v/>
      </c>
      <c r="AP225" s="25" t="inlineStr">
        <is>
          <t>Above 40</t>
        </is>
      </c>
      <c r="AQ225" s="25">
        <f>IF(AP225="Above 40",20,IF(AP225="20 to 40",10,IF(AP225="0 to 20",-5,0)))</f>
        <v/>
      </c>
      <c r="AR225" s="25" t="inlineStr">
        <is>
          <t>Between 50 to 75</t>
        </is>
      </c>
      <c r="AS225" s="25">
        <f>IF(AR225="Between 50 to 75",10,IF(AR225="Above 75",0,0))</f>
        <v/>
      </c>
      <c r="AT225" s="25" t="inlineStr">
        <is>
          <t>Stage 2</t>
        </is>
      </c>
      <c r="AU225" s="25">
        <f>IF(AT225="Stage 2",20,IF(AT225="Stage 1",0,IF(AT225="Stage 3",5,IF(AT225="Stage 4",-5,0))))</f>
        <v/>
      </c>
      <c r="AV225" s="25" t="inlineStr">
        <is>
          <t>Positive Trend</t>
        </is>
      </c>
      <c r="AW225" s="25">
        <f>IF(AV225="Positive Trend",20,IF(AV225="Negative Trend",-10,0))</f>
        <v/>
      </c>
      <c r="AX225" s="25" t="inlineStr">
        <is>
          <t>Uptrend</t>
        </is>
      </c>
      <c r="AY225" s="25">
        <f>IF(AX225="Uptrend",10,IF(AX225="Sideways",5,0))</f>
        <v/>
      </c>
      <c r="AZ225" s="25" t="inlineStr">
        <is>
          <t>Uptrend</t>
        </is>
      </c>
      <c r="BA225" s="25">
        <f>IF(AZ225="Uptrend",10,IF(AZ225="Sideways",5,0))</f>
        <v/>
      </c>
      <c r="BB225" s="25" t="inlineStr">
        <is>
          <t>Close to 52 week high or retracement</t>
        </is>
      </c>
      <c r="BC225" s="25">
        <f>IF(BB225="Overhead supply in last 2 years in last 2 years",-5,IF(BB225="Close to 52 week high or retracement",5,IF(BB225="Blue sky scenario",10,IF(BB225="Long term Downtrend",-10,0))))</f>
        <v/>
      </c>
      <c r="BD225" s="25" t="inlineStr">
        <is>
          <t>Yes</t>
        </is>
      </c>
      <c r="BE225" s="25">
        <f>IF(BD225="Yes",10,0)</f>
        <v/>
      </c>
      <c r="BF225" s="25" t="inlineStr">
        <is>
          <t>More than 20%</t>
        </is>
      </c>
      <c r="BG225" s="25">
        <f>IF(BF225="More than 20%",10,IF(BF225="Between 12 to 20%",5,IF(BF225="Less than 12%",0,0)))</f>
        <v/>
      </c>
      <c r="BH225" s="25" t="inlineStr">
        <is>
          <t>No</t>
        </is>
      </c>
      <c r="BI225" s="25">
        <f>IF(BH225="No",10,0)</f>
        <v/>
      </c>
      <c r="BJ225" s="25" t="inlineStr">
        <is>
          <t>No</t>
        </is>
      </c>
      <c r="BK225" s="25">
        <f>IF(BJ225="NO",5,0)</f>
        <v/>
      </c>
      <c r="BL225" s="25" t="inlineStr">
        <is>
          <t>Less than 1.5</t>
        </is>
      </c>
      <c r="BM225" s="25">
        <f>IF(BL225="Above 2",0,IF(BL225="Between 1.5 to 2",5,IF(BL225="Less than 1.5",10,0)))</f>
        <v/>
      </c>
      <c r="BN225" s="25" t="inlineStr">
        <is>
          <t>Negative</t>
        </is>
      </c>
      <c r="BO225" s="25">
        <f>IF(BN225="Above 70%",10,IF(BN225="Between 50% to 70%",5,IF(BN225="Less than 50%",0,IF(BN225="Negative",-10,IF(BN225="Less than 50% and Borrowings are increasing",-5,0)))))</f>
        <v/>
      </c>
      <c r="BP225" s="25" t="inlineStr">
        <is>
          <t>More than 1.2</t>
        </is>
      </c>
      <c r="BQ225" s="25">
        <f>IF(BP225="More than 1.2",-10,IF(BP225="Between 0.7 to 1.2",0,IF(BP225="Less than 0.7",10,0)))</f>
        <v/>
      </c>
      <c r="BR225" s="25" t="inlineStr">
        <is>
          <t>No</t>
        </is>
      </c>
      <c r="BS225" s="25">
        <f>IF(BR225="Yes",-10,0)</f>
        <v/>
      </c>
      <c r="BT225" s="25" t="inlineStr">
        <is>
          <t>Less than 15%</t>
        </is>
      </c>
      <c r="BU225" s="25">
        <f>IF(BT225="More than 15%",-10,IF(BT225="Less than 15%",10,0))</f>
        <v/>
      </c>
      <c r="BV225" s="25" t="inlineStr">
        <is>
          <t>No</t>
        </is>
      </c>
      <c r="BW225" s="25">
        <f>IF(BV225="Yes, more than 10%",-10,IF(BV225="No",10,0))</f>
        <v/>
      </c>
    </row>
    <row r="226">
      <c r="A226" s="25">
        <f>IF(B226=0,"",RANK(B226,$B$2:$B$292,0))</f>
        <v/>
      </c>
      <c r="B226" s="26">
        <f>SUM(Q226,S226,U226,W226,Y226,AA226,AC226,AE226,AG226,AI226,AK226,AM226,AO226,AQ226,AS226,AU226,AW226,AY226,BA226,BC226,BE226,BG226,BI226,BK226,BM226,BO226,BQ226,BS226,BU226,BW226)</f>
        <v/>
      </c>
      <c r="C226" s="25" t="inlineStr">
        <is>
          <t>APCOTEXIND</t>
        </is>
      </c>
      <c r="D226" s="25" t="inlineStr">
        <is>
          <t>Apcotex Industries Limited</t>
        </is>
      </c>
      <c r="E226" s="25" t="inlineStr">
        <is>
          <t>chemicals</t>
        </is>
      </c>
      <c r="F226" s="25" t="inlineStr">
        <is>
          <t>miscellaneous</t>
        </is>
      </c>
      <c r="G226" s="25" t="inlineStr">
        <is>
          <t>smallcap</t>
        </is>
      </c>
      <c r="H226" s="26" t="n">
        <v>2554.4</v>
      </c>
      <c r="I226" s="26" t="n">
        <v>494.1</v>
      </c>
      <c r="J226" s="26" t="n">
        <v>0.28</v>
      </c>
      <c r="K226" s="26" t="n">
        <v>36108</v>
      </c>
      <c r="L226" s="26" t="n">
        <v>68</v>
      </c>
      <c r="M226" s="26" t="n">
        <v>29.31</v>
      </c>
      <c r="N226" s="26" t="n">
        <v>405.67</v>
      </c>
      <c r="O226" s="25" t="inlineStr">
        <is>
          <t>Earnings / Momentum Support</t>
        </is>
      </c>
      <c r="P226" s="25" t="inlineStr">
        <is>
          <t>Growing Industry</t>
        </is>
      </c>
      <c r="Q226" s="25">
        <f>IF(P226="Growing Industry",10,IF(P226="Cyclical in an Upturn",5,0))</f>
        <v/>
      </c>
      <c r="R226" s="25" t="inlineStr">
        <is>
          <t>Oligopoly</t>
        </is>
      </c>
      <c r="S226" s="25">
        <f>IF(R226="Monopoly",10,IF(R226="Oligopoly",5,IF(R226="Duopoly that cooperate",10,IF(R226="Duopoly that compete",5,IF(R226="Too many players with High ROCE",5,0)))))</f>
        <v/>
      </c>
      <c r="T226" s="25" t="inlineStr">
        <is>
          <t>No</t>
        </is>
      </c>
      <c r="U226" s="25">
        <f>IF(T226="No",5,0)</f>
        <v/>
      </c>
      <c r="V226" s="25" t="inlineStr">
        <is>
          <t>Tailwind</t>
        </is>
      </c>
      <c r="W226" s="25">
        <f>IF(V226="Tailwind",10,0)</f>
        <v/>
      </c>
      <c r="X226" s="25" t="inlineStr">
        <is>
          <t>Cyclical</t>
        </is>
      </c>
      <c r="Y226" s="25">
        <f>IF(X226="Structural (10 Years Consistency)",10,IF(X226="Shallow Cyclical (2 to 3 years growth)",5,0))</f>
        <v/>
      </c>
      <c r="Z226" s="25" t="inlineStr">
        <is>
          <t>No</t>
        </is>
      </c>
      <c r="AA226" s="25">
        <f>IF(Z226="Yes due to Product Mix change or Operating Leverage",10,IF(Z226="Yes, these are peak margins",-5,IF(Z226="No",5,0)))</f>
        <v/>
      </c>
      <c r="AB226" s="25" t="inlineStr">
        <is>
          <t>Stable</t>
        </is>
      </c>
      <c r="AC226" s="25">
        <f>IF(AB226="Stable",10,0)</f>
        <v/>
      </c>
      <c r="AD226" s="25" t="inlineStr">
        <is>
          <t>Yes</t>
        </is>
      </c>
      <c r="AE226" s="25">
        <f>IF(AD226="Yes",10,0)</f>
        <v/>
      </c>
      <c r="AF226" s="25" t="inlineStr">
        <is>
          <t>B2B</t>
        </is>
      </c>
      <c r="AG226" s="25">
        <f>IF(AF226="B2C",10,IF(AF226="B2B",5,0))</f>
        <v/>
      </c>
      <c r="AH226" s="25" t="inlineStr">
        <is>
          <t>Yes</t>
        </is>
      </c>
      <c r="AI226" s="25">
        <f>IF(AH226="Yes",10,0)</f>
        <v/>
      </c>
      <c r="AJ226" s="25" t="inlineStr">
        <is>
          <t>Fully One Time</t>
        </is>
      </c>
      <c r="AK226" s="25">
        <f>IF(AJ226="Fully Annuity",10,IF(AJ226="Higher Annuity, Lower One Time",5,IF(AJ226="Higher One Time, Lower Annuity",3,0)))</f>
        <v/>
      </c>
      <c r="AL226" s="25" t="inlineStr">
        <is>
          <t>Good</t>
        </is>
      </c>
      <c r="AM226" s="25">
        <f>IF(AL226="Good",10,0)</f>
        <v/>
      </c>
      <c r="AN226" s="25" t="inlineStr">
        <is>
          <t>Yes for more than 2 years</t>
        </is>
      </c>
      <c r="AO226" s="25">
        <f>IF(AN226="Yes for more than 2 years",10,IF(AN226="Yes only for next 1 to 2 years",5,0))</f>
        <v/>
      </c>
      <c r="AP226" s="25" t="inlineStr">
        <is>
          <t>Above 40</t>
        </is>
      </c>
      <c r="AQ226" s="25">
        <f>IF(AP226="Above 40",20,IF(AP226="20 to 40",10,IF(AP226="0 to 20",-5,0)))</f>
        <v/>
      </c>
      <c r="AR226" s="25" t="inlineStr">
        <is>
          <t>Between 50 to 75</t>
        </is>
      </c>
      <c r="AS226" s="25">
        <f>IF(AR226="Between 50 to 75",10,IF(AR226="Above 75",0,0))</f>
        <v/>
      </c>
      <c r="AT226" s="25" t="inlineStr">
        <is>
          <t>Stage 1</t>
        </is>
      </c>
      <c r="AU226" s="25">
        <f>IF(AT226="Stage 2",20,IF(AT226="Stage 1",0,IF(AT226="Stage 3",5,IF(AT226="Stage 4",-5,0))))</f>
        <v/>
      </c>
      <c r="AV226" s="25" t="inlineStr">
        <is>
          <t>Positive Trend</t>
        </is>
      </c>
      <c r="AW226" s="25">
        <f>IF(AV226="Positive Trend",20,IF(AV226="Negative Trend",-10,0))</f>
        <v/>
      </c>
      <c r="AX226" s="25" t="inlineStr">
        <is>
          <t>Sideways</t>
        </is>
      </c>
      <c r="AY226" s="25">
        <f>IF(AX226="Uptrend",10,IF(AX226="Sideways",5,0))</f>
        <v/>
      </c>
      <c r="AZ226" s="25" t="inlineStr">
        <is>
          <t>Uptrend</t>
        </is>
      </c>
      <c r="BA226" s="25">
        <f>IF(AZ226="Uptrend",10,IF(AZ226="Sideways",5,0))</f>
        <v/>
      </c>
      <c r="BB226" s="25" t="inlineStr">
        <is>
          <t>Overhead supply in last 2 years in last 2 years</t>
        </is>
      </c>
      <c r="BC226" s="25">
        <f>IF(BB226="Overhead supply in last 2 years in last 2 years",-5,IF(BB226="Close to 52 week high or retracement",5,IF(BB226="Blue sky scenario",10,IF(BB226="Long term Downtrend",-10,0))))</f>
        <v/>
      </c>
      <c r="BD226" s="25" t="inlineStr">
        <is>
          <t>Yes</t>
        </is>
      </c>
      <c r="BE226" s="25">
        <f>IF(BD226="Yes",10,0)</f>
        <v/>
      </c>
      <c r="BF226" s="25" t="inlineStr">
        <is>
          <t>More than 20%</t>
        </is>
      </c>
      <c r="BG226" s="25">
        <f>IF(BF226="More than 20%",10,IF(BF226="Between 12 to 20%",5,IF(BF226="Less than 12%",0,0)))</f>
        <v/>
      </c>
      <c r="BH226" s="25" t="inlineStr">
        <is>
          <t>No</t>
        </is>
      </c>
      <c r="BI226" s="25">
        <f>IF(BH226="No",10,0)</f>
        <v/>
      </c>
      <c r="BJ226" s="25" t="inlineStr">
        <is>
          <t>No</t>
        </is>
      </c>
      <c r="BK226" s="25">
        <f>IF(BJ226="NO",5,0)</f>
        <v/>
      </c>
      <c r="BL226" s="25" t="inlineStr">
        <is>
          <t>Less than 1.5</t>
        </is>
      </c>
      <c r="BM226" s="25">
        <f>IF(BL226="Above 2",0,IF(BL226="Between 1.5 to 2",5,IF(BL226="Less than 1.5",10,0)))</f>
        <v/>
      </c>
      <c r="BN226" s="25" t="inlineStr">
        <is>
          <t>Between 50% to 70%</t>
        </is>
      </c>
      <c r="BO226" s="25">
        <f>IF(BN226="Above 70%",10,IF(BN226="Between 50% to 70%",5,IF(BN226="Less than 50%",0,IF(BN226="Negative",-10,IF(BN226="Less than 50% and Borrowings are increasing",-5,0)))))</f>
        <v/>
      </c>
      <c r="BP226" s="25" t="inlineStr">
        <is>
          <t>Less than 0.7</t>
        </is>
      </c>
      <c r="BQ226" s="25">
        <f>IF(BP226="More than 1.2",-10,IF(BP226="Between 0.7 to 1.2",0,IF(BP226="Less than 0.7",10,0)))</f>
        <v/>
      </c>
      <c r="BR226" s="25" t="inlineStr">
        <is>
          <t>No</t>
        </is>
      </c>
      <c r="BS226" s="25">
        <f>IF(BR226="Yes",-10,0)</f>
        <v/>
      </c>
      <c r="BT226" s="25" t="inlineStr">
        <is>
          <t>Less than 15%</t>
        </is>
      </c>
      <c r="BU226" s="25">
        <f>IF(BT226="More than 15%",-10,IF(BT226="Less than 15%",10,0))</f>
        <v/>
      </c>
      <c r="BV226" s="25" t="inlineStr">
        <is>
          <t>No</t>
        </is>
      </c>
      <c r="BW226" s="25">
        <f>IF(BV226="Yes, more than 10%",-10,IF(BV226="No",10,0))</f>
        <v/>
      </c>
    </row>
    <row r="227">
      <c r="A227" s="25">
        <f>IF(B227=0,"",RANK(B227,$B$2:$B$292,0))</f>
        <v/>
      </c>
      <c r="B227" s="26">
        <f>SUM(Q227,S227,U227,W227,Y227,AA227,AC227,AE227,AG227,AI227,AK227,AM227,AO227,AQ227,AS227,AU227,AW227,AY227,BA227,BC227,BE227,BG227,BI227,BK227,BM227,BO227,BQ227,BS227,BU227,BW227)</f>
        <v/>
      </c>
      <c r="C227" s="25" t="inlineStr">
        <is>
          <t>AGARWALEYE</t>
        </is>
      </c>
      <c r="D227" s="25" t="inlineStr">
        <is>
          <t>Dr Agarwals Health Care Ltd</t>
        </is>
      </c>
      <c r="E227" s="25" t="inlineStr">
        <is>
          <t>healthcare</t>
        </is>
      </c>
      <c r="F227" s="25" t="inlineStr">
        <is>
          <t>healthcare</t>
        </is>
      </c>
      <c r="G227" s="25" t="inlineStr">
        <is>
          <t>midcap</t>
        </is>
      </c>
      <c r="H227" s="26" t="n">
        <v>15249.53</v>
      </c>
      <c r="I227" s="26" t="n">
        <v>476.55</v>
      </c>
      <c r="J227" s="26" t="n">
        <v>-1</v>
      </c>
      <c r="K227" s="26" t="n">
        <v>80796</v>
      </c>
      <c r="L227" s="26" t="n">
        <v>57.1</v>
      </c>
      <c r="M227" s="26" t="n">
        <v>19.7</v>
      </c>
      <c r="N227" s="26" t="n">
        <v>390.27</v>
      </c>
      <c r="O227" s="25" t="inlineStr">
        <is>
          <t>Earnings / Momentum Support</t>
        </is>
      </c>
      <c r="P227" s="25" t="inlineStr">
        <is>
          <t>Growing Industry</t>
        </is>
      </c>
      <c r="Q227" s="25">
        <f>IF(P227="Growing Industry",10,IF(P227="Cyclical in an Upturn",5,0))</f>
        <v/>
      </c>
      <c r="R227" s="25" t="inlineStr">
        <is>
          <t>Too Many Players with High ROCE</t>
        </is>
      </c>
      <c r="S227" s="25">
        <f>IF(R227="Monopoly",10,IF(R227="Oligopoly",5,IF(R227="Duopoly that cooperate",10,IF(R227="Duopoly that compete",5,IF(R227="Too many players with High ROCE",5,0)))))</f>
        <v/>
      </c>
      <c r="T227" s="25" t="inlineStr">
        <is>
          <t>Yes</t>
        </is>
      </c>
      <c r="U227" s="25">
        <f>IF(T227="No",5,0)</f>
        <v/>
      </c>
      <c r="V227" s="25" t="inlineStr">
        <is>
          <t>Headwind</t>
        </is>
      </c>
      <c r="W227" s="25">
        <f>IF(V227="Tailwind",10,0)</f>
        <v/>
      </c>
      <c r="X227" s="25" t="inlineStr">
        <is>
          <t>Structural (10 Years Consistency)</t>
        </is>
      </c>
      <c r="Y227" s="25">
        <f>IF(X227="Structural (10 Years Consistency)",10,IF(X227="Shallow Cyclical (2 to 3 years growth)",5,0))</f>
        <v/>
      </c>
      <c r="Z227" s="25" t="inlineStr">
        <is>
          <t>No</t>
        </is>
      </c>
      <c r="AA227" s="25">
        <f>IF(Z227="Yes due to Product Mix change or Operating Leverage",10,IF(Z227="Yes, these are peak margins",-5,IF(Z227="No",5,0)))</f>
        <v/>
      </c>
      <c r="AB227" s="25" t="inlineStr">
        <is>
          <t>Stable</t>
        </is>
      </c>
      <c r="AC227" s="25">
        <f>IF(AB227="Stable",10,0)</f>
        <v/>
      </c>
      <c r="AD227" s="25" t="inlineStr">
        <is>
          <t>Yes</t>
        </is>
      </c>
      <c r="AE227" s="25">
        <f>IF(AD227="Yes",10,0)</f>
        <v/>
      </c>
      <c r="AF227" s="25" t="inlineStr">
        <is>
          <t>B2B</t>
        </is>
      </c>
      <c r="AG227" s="25">
        <f>IF(AF227="B2C",10,IF(AF227="B2B",5,0))</f>
        <v/>
      </c>
      <c r="AH227" s="25" t="inlineStr">
        <is>
          <t>No</t>
        </is>
      </c>
      <c r="AI227" s="25">
        <f>IF(AH227="Yes",10,0)</f>
        <v/>
      </c>
      <c r="AJ227" s="25" t="inlineStr">
        <is>
          <t>Higher Annuity, Lower One Time</t>
        </is>
      </c>
      <c r="AK227" s="25">
        <f>IF(AJ227="Fully Annuity",10,IF(AJ227="Higher Annuity, Lower One Time",5,IF(AJ227="Higher One Time, Lower Annuity",3,0)))</f>
        <v/>
      </c>
      <c r="AL227" s="25" t="inlineStr">
        <is>
          <t>Good</t>
        </is>
      </c>
      <c r="AM227" s="25">
        <f>IF(AL227="Good",10,0)</f>
        <v/>
      </c>
      <c r="AN227" s="25" t="inlineStr">
        <is>
          <t>Yes for more than 2 years</t>
        </is>
      </c>
      <c r="AO227" s="25">
        <f>IF(AN227="Yes for more than 2 years",10,IF(AN227="Yes only for next 1 to 2 years",5,0))</f>
        <v/>
      </c>
      <c r="AP227" s="25" t="inlineStr">
        <is>
          <t>0 to 20</t>
        </is>
      </c>
      <c r="AQ227" s="25">
        <f>IF(AP227="Above 40",20,IF(AP227="20 to 40",10,IF(AP227="0 to 20",-5,0)))</f>
        <v/>
      </c>
      <c r="AR227" s="25" t="inlineStr">
        <is>
          <t>Between 50 to 75</t>
        </is>
      </c>
      <c r="AS227" s="25">
        <f>IF(AR227="Between 50 to 75",10,IF(AR227="Above 75",0,0))</f>
        <v/>
      </c>
      <c r="AT227" s="25" t="inlineStr">
        <is>
          <t>Stage 2</t>
        </is>
      </c>
      <c r="AU227" s="25">
        <f>IF(AT227="Stage 2",20,IF(AT227="Stage 1",0,IF(AT227="Stage 3",5,IF(AT227="Stage 4",-5,0))))</f>
        <v/>
      </c>
      <c r="AV227" s="25" t="inlineStr">
        <is>
          <t>Positive Trend</t>
        </is>
      </c>
      <c r="AW227" s="25">
        <f>IF(AV227="Positive Trend",20,IF(AV227="Negative Trend",-10,0))</f>
        <v/>
      </c>
      <c r="AX227" s="25" t="inlineStr">
        <is>
          <t>Uptrend</t>
        </is>
      </c>
      <c r="AY227" s="25">
        <f>IF(AX227="Uptrend",10,IF(AX227="Sideways",5,0))</f>
        <v/>
      </c>
      <c r="AZ227" s="25" t="inlineStr">
        <is>
          <t>Uptrend</t>
        </is>
      </c>
      <c r="BA227" s="25">
        <f>IF(AZ227="Uptrend",10,IF(AZ227="Sideways",5,0))</f>
        <v/>
      </c>
      <c r="BB227" s="25" t="inlineStr">
        <is>
          <t>Close to 52 week high or retracement</t>
        </is>
      </c>
      <c r="BC227" s="25">
        <f>IF(BB227="Overhead supply in last 2 years in last 2 years",-5,IF(BB227="Close to 52 week high or retracement",5,IF(BB227="Blue sky scenario",10,IF(BB227="Long term Downtrend",-10,0))))</f>
        <v/>
      </c>
      <c r="BD227" s="25" t="inlineStr">
        <is>
          <t>Yes</t>
        </is>
      </c>
      <c r="BE227" s="25">
        <f>IF(BD227="Yes",10,0)</f>
        <v/>
      </c>
      <c r="BF227" s="25" t="inlineStr">
        <is>
          <t>More than 20%</t>
        </is>
      </c>
      <c r="BG227" s="25">
        <f>IF(BF227="More than 20%",10,IF(BF227="Between 12 to 20%",5,IF(BF227="Less than 12%",0,0)))</f>
        <v/>
      </c>
      <c r="BH227" s="25" t="inlineStr">
        <is>
          <t>No</t>
        </is>
      </c>
      <c r="BI227" s="25">
        <f>IF(BH227="No",10,0)</f>
        <v/>
      </c>
      <c r="BJ227" s="25" t="inlineStr">
        <is>
          <t>Yes</t>
        </is>
      </c>
      <c r="BK227" s="25">
        <f>IF(BJ227="NO",5,0)</f>
        <v/>
      </c>
      <c r="BL227" s="25" t="inlineStr">
        <is>
          <t>Less than 1.5</t>
        </is>
      </c>
      <c r="BM227" s="25">
        <f>IF(BL227="Above 2",0,IF(BL227="Between 1.5 to 2",5,IF(BL227="Less than 1.5",10,0)))</f>
        <v/>
      </c>
      <c r="BN227" s="25" t="inlineStr">
        <is>
          <t>Above 70%</t>
        </is>
      </c>
      <c r="BO227" s="25">
        <f>IF(BN227="Above 70%",10,IF(BN227="Between 50% to 70%",5,IF(BN227="Less than 50%",0,IF(BN227="Negative",-10,IF(BN227="Less than 50% and Borrowings are increasing",-5,0)))))</f>
        <v/>
      </c>
      <c r="BP227" s="25" t="inlineStr">
        <is>
          <t>Less than 0.7</t>
        </is>
      </c>
      <c r="BQ227" s="25">
        <f>IF(BP227="More than 1.2",-10,IF(BP227="Between 0.7 to 1.2",0,IF(BP227="Less than 0.7",10,0)))</f>
        <v/>
      </c>
      <c r="BR227" s="25" t="inlineStr">
        <is>
          <t>No</t>
        </is>
      </c>
      <c r="BS227" s="25">
        <f>IF(BR227="Yes",-10,0)</f>
        <v/>
      </c>
      <c r="BT227" s="25" t="inlineStr">
        <is>
          <t>Less than 15%</t>
        </is>
      </c>
      <c r="BU227" s="25">
        <f>IF(BT227="More than 15%",-10,IF(BT227="Less than 15%",10,0))</f>
        <v/>
      </c>
      <c r="BV227" s="25" t="inlineStr">
        <is>
          <t>No</t>
        </is>
      </c>
      <c r="BW227" s="25">
        <f>IF(BV227="Yes, more than 10%",-10,IF(BV227="No",10,0))</f>
        <v/>
      </c>
    </row>
    <row r="228">
      <c r="A228" s="25">
        <f>IF(B228=0,"",RANK(B228,$B$2:$B$292,0))</f>
        <v/>
      </c>
      <c r="B228" s="26">
        <f>SUM(Q228,S228,U228,W228,Y228,AA228,AC228,AE228,AG228,AI228,AK228,AM228,AO228,AQ228,AS228,AU228,AW228,AY228,BA228,BC228,BE228,BG228,BI228,BK228,BM228,BO228,BQ228,BS228,BU228,BW228)</f>
        <v/>
      </c>
      <c r="C228" s="25" t="inlineStr">
        <is>
          <t>NEOGEN</t>
        </is>
      </c>
      <c r="D228" s="25" t="inlineStr">
        <is>
          <t>Neogen Chemicals Ltd</t>
        </is>
      </c>
      <c r="E228" s="25" t="inlineStr">
        <is>
          <t>chemicals</t>
        </is>
      </c>
      <c r="F228" s="25" t="inlineStr">
        <is>
          <t>chemicals</t>
        </is>
      </c>
      <c r="G228" s="25" t="inlineStr">
        <is>
          <t>smallcap</t>
        </is>
      </c>
      <c r="H228" s="26" t="n">
        <v>4955.26</v>
      </c>
      <c r="I228" s="26" t="n">
        <v>1876.9</v>
      </c>
      <c r="J228" s="26" t="n">
        <v>3.71</v>
      </c>
      <c r="K228" s="26" t="n">
        <v>262830</v>
      </c>
      <c r="L228" s="26" t="n">
        <v>67.48</v>
      </c>
      <c r="M228" s="26" t="n">
        <v>30.84</v>
      </c>
      <c r="N228" s="26" t="n">
        <v>1368.56</v>
      </c>
      <c r="O228" s="25" t="inlineStr">
        <is>
          <t>Near 52W High Breakout</t>
        </is>
      </c>
      <c r="P228" s="25" t="inlineStr">
        <is>
          <t>Growing Industry</t>
        </is>
      </c>
      <c r="Q228" s="25">
        <f>IF(P228="Growing Industry",10,IF(P228="Cyclical in an Upturn",5,0))</f>
        <v/>
      </c>
      <c r="R228" s="25" t="inlineStr">
        <is>
          <t>Too Many Players with High ROCE</t>
        </is>
      </c>
      <c r="S228" s="25">
        <f>IF(R228="Monopoly",10,IF(R228="Oligopoly",5,IF(R228="Duopoly that cooperate",10,IF(R228="Duopoly that compete",5,IF(R228="Too many players with High ROCE",5,0)))))</f>
        <v/>
      </c>
      <c r="T228" s="25" t="inlineStr">
        <is>
          <t>No</t>
        </is>
      </c>
      <c r="U228" s="25">
        <f>IF(T228="No",5,0)</f>
        <v/>
      </c>
      <c r="V228" s="25" t="inlineStr">
        <is>
          <t>Tailwind</t>
        </is>
      </c>
      <c r="W228" s="25">
        <f>IF(V228="Tailwind",10,0)</f>
        <v/>
      </c>
      <c r="X228" s="25" t="inlineStr">
        <is>
          <t>Structural (10 Years Consistency)</t>
        </is>
      </c>
      <c r="Y228" s="25">
        <f>IF(X228="Structural (10 Years Consistency)",10,IF(X228="Shallow Cyclical (2 to 3 years growth)",5,0))</f>
        <v/>
      </c>
      <c r="Z228" s="25" t="inlineStr">
        <is>
          <t>No</t>
        </is>
      </c>
      <c r="AA228" s="25">
        <f>IF(Z228="Yes due to Product Mix change or Operating Leverage",10,IF(Z228="Yes, these are peak margins",-5,IF(Z228="No",5,0)))</f>
        <v/>
      </c>
      <c r="AB228" s="25" t="inlineStr">
        <is>
          <t>Stable</t>
        </is>
      </c>
      <c r="AC228" s="25">
        <f>IF(AB228="Stable",10,0)</f>
        <v/>
      </c>
      <c r="AD228" s="25" t="inlineStr">
        <is>
          <t>Yes</t>
        </is>
      </c>
      <c r="AE228" s="25">
        <f>IF(AD228="Yes",10,0)</f>
        <v/>
      </c>
      <c r="AF228" s="25" t="inlineStr">
        <is>
          <t>B2B</t>
        </is>
      </c>
      <c r="AG228" s="25">
        <f>IF(AF228="B2C",10,IF(AF228="B2B",5,0))</f>
        <v/>
      </c>
      <c r="AH228" s="25" t="inlineStr">
        <is>
          <t>Yes</t>
        </is>
      </c>
      <c r="AI228" s="25">
        <f>IF(AH228="Yes",10,0)</f>
        <v/>
      </c>
      <c r="AJ228" s="25" t="inlineStr">
        <is>
          <t>Higher One Time, Lower Annuity</t>
        </is>
      </c>
      <c r="AK228" s="25">
        <f>IF(AJ228="Fully Annuity",10,IF(AJ228="Higher Annuity, Lower One Time",5,IF(AJ228="Higher One Time, Lower Annuity",3,0)))</f>
        <v/>
      </c>
      <c r="AL228" s="25" t="inlineStr">
        <is>
          <t>Good</t>
        </is>
      </c>
      <c r="AM228" s="25">
        <f>IF(AL228="Good",10,0)</f>
        <v/>
      </c>
      <c r="AN228" s="25" t="inlineStr">
        <is>
          <t>Yes for more than 2 years</t>
        </is>
      </c>
      <c r="AO228" s="25">
        <f>IF(AN228="Yes for more than 2 years",10,IF(AN228="Yes only for next 1 to 2 years",5,0))</f>
        <v/>
      </c>
      <c r="AP228" s="25" t="inlineStr">
        <is>
          <t>20 to 40</t>
        </is>
      </c>
      <c r="AQ228" s="25">
        <f>IF(AP228="Above 40",20,IF(AP228="20 to 40",10,IF(AP228="0 to 20",-5,0)))</f>
        <v/>
      </c>
      <c r="AR228" s="25" t="inlineStr">
        <is>
          <t>Between 50 to 75</t>
        </is>
      </c>
      <c r="AS228" s="25">
        <f>IF(AR228="Between 50 to 75",10,IF(AR228="Above 75",0,0))</f>
        <v/>
      </c>
      <c r="AT228" s="25" t="inlineStr">
        <is>
          <t>Stage 2</t>
        </is>
      </c>
      <c r="AU228" s="25">
        <f>IF(AT228="Stage 2",20,IF(AT228="Stage 1",0,IF(AT228="Stage 3",5,IF(AT228="Stage 4",-5,0))))</f>
        <v/>
      </c>
      <c r="AV228" s="25" t="inlineStr">
        <is>
          <t>Positive Trend</t>
        </is>
      </c>
      <c r="AW228" s="25">
        <f>IF(AV228="Positive Trend",20,IF(AV228="Negative Trend",-10,0))</f>
        <v/>
      </c>
      <c r="AX228" s="25" t="inlineStr">
        <is>
          <t>Uptrend</t>
        </is>
      </c>
      <c r="AY228" s="25">
        <f>IF(AX228="Uptrend",10,IF(AX228="Sideways",5,0))</f>
        <v/>
      </c>
      <c r="AZ228" s="25" t="inlineStr">
        <is>
          <t>Uptrend</t>
        </is>
      </c>
      <c r="BA228" s="25">
        <f>IF(AZ228="Uptrend",10,IF(AZ228="Sideways",5,0))</f>
        <v/>
      </c>
      <c r="BB228" s="25" t="inlineStr">
        <is>
          <t>Close to 52 week high or retracement</t>
        </is>
      </c>
      <c r="BC228" s="25">
        <f>IF(BB228="Overhead supply in last 2 years in last 2 years",-5,IF(BB228="Close to 52 week high or retracement",5,IF(BB228="Blue sky scenario",10,IF(BB228="Long term Downtrend",-10,0))))</f>
        <v/>
      </c>
      <c r="BD228" s="25" t="inlineStr">
        <is>
          <t>Yes</t>
        </is>
      </c>
      <c r="BE228" s="25">
        <f>IF(BD228="Yes",10,0)</f>
        <v/>
      </c>
      <c r="BF228" s="25" t="inlineStr">
        <is>
          <t>More than 20%</t>
        </is>
      </c>
      <c r="BG228" s="25">
        <f>IF(BF228="More than 20%",10,IF(BF228="Between 12 to 20%",5,IF(BF228="Less than 12%",0,0)))</f>
        <v/>
      </c>
      <c r="BH228" s="25" t="inlineStr">
        <is>
          <t>No</t>
        </is>
      </c>
      <c r="BI228" s="25">
        <f>IF(BH228="No",10,0)</f>
        <v/>
      </c>
      <c r="BJ228" s="25" t="inlineStr">
        <is>
          <t>Yes</t>
        </is>
      </c>
      <c r="BK228" s="25">
        <f>IF(BJ228="NO",5,0)</f>
        <v/>
      </c>
      <c r="BL228" s="25" t="inlineStr">
        <is>
          <t>Less than 1.5</t>
        </is>
      </c>
      <c r="BM228" s="25">
        <f>IF(BL228="Above 2",0,IF(BL228="Between 1.5 to 2",5,IF(BL228="Less than 1.5",10,0)))</f>
        <v/>
      </c>
      <c r="BN228" s="25" t="inlineStr">
        <is>
          <t>Negative</t>
        </is>
      </c>
      <c r="BO228" s="25">
        <f>IF(BN228="Above 70%",10,IF(BN228="Between 50% to 70%",5,IF(BN228="Less than 50%",0,IF(BN228="Negative",-10,IF(BN228="Less than 50% and Borrowings are increasing",-5,0)))))</f>
        <v/>
      </c>
      <c r="BP228" s="25" t="inlineStr">
        <is>
          <t>More than 1.2</t>
        </is>
      </c>
      <c r="BQ228" s="25">
        <f>IF(BP228="More than 1.2",-10,IF(BP228="Between 0.7 to 1.2",0,IF(BP228="Less than 0.7",10,0)))</f>
        <v/>
      </c>
      <c r="BR228" s="25" t="inlineStr">
        <is>
          <t>No</t>
        </is>
      </c>
      <c r="BS228" s="25">
        <f>IF(BR228="Yes",-10,0)</f>
        <v/>
      </c>
      <c r="BT228" s="25" t="inlineStr">
        <is>
          <t>Less than 15%</t>
        </is>
      </c>
      <c r="BU228" s="25">
        <f>IF(BT228="More than 15%",-10,IF(BT228="Less than 15%",10,0))</f>
        <v/>
      </c>
      <c r="BV228" s="25" t="inlineStr">
        <is>
          <t>No</t>
        </is>
      </c>
      <c r="BW228" s="25">
        <f>IF(BV228="Yes, more than 10%",-10,IF(BV228="No",10,0))</f>
        <v/>
      </c>
    </row>
    <row r="229">
      <c r="A229" s="25">
        <f>IF(B229=0,"",RANK(B229,$B$2:$B$292,0))</f>
        <v/>
      </c>
      <c r="B229" s="26">
        <f>SUM(Q229,S229,U229,W229,Y229,AA229,AC229,AE229,AG229,AI229,AK229,AM229,AO229,AQ229,AS229,AU229,AW229,AY229,BA229,BC229,BE229,BG229,BI229,BK229,BM229,BO229,BQ229,BS229,BU229,BW229)</f>
        <v/>
      </c>
      <c r="C229" s="25" t="inlineStr">
        <is>
          <t>TIINDIA</t>
        </is>
      </c>
      <c r="D229" s="25" t="inlineStr">
        <is>
          <t>Tube Investments of India Ltd</t>
        </is>
      </c>
      <c r="E229" s="25" t="inlineStr">
        <is>
          <t>industrials</t>
        </is>
      </c>
      <c r="F229" s="25" t="inlineStr">
        <is>
          <t>steel - large</t>
        </is>
      </c>
      <c r="G229" s="25" t="inlineStr">
        <is>
          <t>largecap</t>
        </is>
      </c>
      <c r="H229" s="26" t="n">
        <v>59161.37</v>
      </c>
      <c r="I229" s="26" t="n">
        <v>3110.7</v>
      </c>
      <c r="J229" s="26" t="n">
        <v>1.77</v>
      </c>
      <c r="K229" s="26" t="n">
        <v>352838</v>
      </c>
      <c r="L229" s="26" t="n">
        <v>61.24</v>
      </c>
      <c r="M229" s="26" t="n">
        <v>16.51</v>
      </c>
      <c r="N229" s="26" t="n">
        <v>2450.62</v>
      </c>
      <c r="O229" s="25" t="inlineStr">
        <is>
          <t>Earnings / Momentum Support</t>
        </is>
      </c>
      <c r="P229" s="25" t="inlineStr">
        <is>
          <t>Cyclical in an Upturn</t>
        </is>
      </c>
      <c r="Q229" s="25">
        <f>IF(P229="Growing Industry",10,IF(P229="Cyclical in an Upturn",5,0))</f>
        <v/>
      </c>
      <c r="R229" s="25" t="inlineStr">
        <is>
          <t>Too Many Players with High ROCE</t>
        </is>
      </c>
      <c r="S229" s="25">
        <f>IF(R229="Monopoly",10,IF(R229="Oligopoly",5,IF(R229="Duopoly that cooperate",10,IF(R229="Duopoly that compete",5,IF(R229="Too many players with High ROCE",5,0)))))</f>
        <v/>
      </c>
      <c r="T229" s="25" t="inlineStr">
        <is>
          <t>No</t>
        </is>
      </c>
      <c r="U229" s="25">
        <f>IF(T229="No",5,0)</f>
        <v/>
      </c>
      <c r="V229" s="25" t="inlineStr">
        <is>
          <t>Tailwind</t>
        </is>
      </c>
      <c r="W229" s="25">
        <f>IF(V229="Tailwind",10,0)</f>
        <v/>
      </c>
      <c r="X229" s="25" t="inlineStr">
        <is>
          <t>Structural (10 Years Consistency)</t>
        </is>
      </c>
      <c r="Y229" s="25">
        <f>IF(X229="Structural (10 Years Consistency)",10,IF(X229="Shallow Cyclical (2 to 3 years growth)",5,0))</f>
        <v/>
      </c>
      <c r="Z229" s="25" t="inlineStr">
        <is>
          <t>No</t>
        </is>
      </c>
      <c r="AA229" s="25">
        <f>IF(Z229="Yes due to Product Mix change or Operating Leverage",10,IF(Z229="Yes, these are peak margins",-5,IF(Z229="No",5,0)))</f>
        <v/>
      </c>
      <c r="AB229" s="25" t="inlineStr">
        <is>
          <t>Stable</t>
        </is>
      </c>
      <c r="AC229" s="25">
        <f>IF(AB229="Stable",10,0)</f>
        <v/>
      </c>
      <c r="AD229" s="25" t="inlineStr">
        <is>
          <t>Yes</t>
        </is>
      </c>
      <c r="AE229" s="25">
        <f>IF(AD229="Yes",10,0)</f>
        <v/>
      </c>
      <c r="AF229" s="25" t="inlineStr">
        <is>
          <t>B2B</t>
        </is>
      </c>
      <c r="AG229" s="25">
        <f>IF(AF229="B2C",10,IF(AF229="B2B",5,0))</f>
        <v/>
      </c>
      <c r="AH229" s="25" t="inlineStr">
        <is>
          <t>No</t>
        </is>
      </c>
      <c r="AI229" s="25">
        <f>IF(AH229="Yes",10,0)</f>
        <v/>
      </c>
      <c r="AJ229" s="25" t="inlineStr">
        <is>
          <t>Higher One Time, Lower Annuity</t>
        </is>
      </c>
      <c r="AK229" s="25">
        <f>IF(AJ229="Fully Annuity",10,IF(AJ229="Higher Annuity, Lower One Time",5,IF(AJ229="Higher One Time, Lower Annuity",3,0)))</f>
        <v/>
      </c>
      <c r="AL229" s="25" t="inlineStr">
        <is>
          <t>Good</t>
        </is>
      </c>
      <c r="AM229" s="25">
        <f>IF(AL229="Good",10,0)</f>
        <v/>
      </c>
      <c r="AN229" s="25" t="inlineStr">
        <is>
          <t>Yes for more than 2 years</t>
        </is>
      </c>
      <c r="AO229" s="25">
        <f>IF(AN229="Yes for more than 2 years",10,IF(AN229="Yes only for next 1 to 2 years",5,0))</f>
        <v/>
      </c>
      <c r="AP229" s="25" t="inlineStr">
        <is>
          <t>0 to 20</t>
        </is>
      </c>
      <c r="AQ229" s="25">
        <f>IF(AP229="Above 40",20,IF(AP229="20 to 40",10,IF(AP229="0 to 20",-5,0)))</f>
        <v/>
      </c>
      <c r="AR229" s="25" t="inlineStr">
        <is>
          <t>Between 50 to 75</t>
        </is>
      </c>
      <c r="AS229" s="25">
        <f>IF(AR229="Between 50 to 75",10,IF(AR229="Above 75",0,0))</f>
        <v/>
      </c>
      <c r="AT229" s="25" t="inlineStr">
        <is>
          <t>Stage 2</t>
        </is>
      </c>
      <c r="AU229" s="25">
        <f>IF(AT229="Stage 2",20,IF(AT229="Stage 1",0,IF(AT229="Stage 3",5,IF(AT229="Stage 4",-5,0))))</f>
        <v/>
      </c>
      <c r="AV229" s="25" t="inlineStr">
        <is>
          <t>Positive Trend</t>
        </is>
      </c>
      <c r="AW229" s="25">
        <f>IF(AV229="Positive Trend",20,IF(AV229="Negative Trend",-10,0))</f>
        <v/>
      </c>
      <c r="AX229" s="25" t="inlineStr">
        <is>
          <t>Uptrend</t>
        </is>
      </c>
      <c r="AY229" s="25">
        <f>IF(AX229="Uptrend",10,IF(AX229="Sideways",5,0))</f>
        <v/>
      </c>
      <c r="AZ229" s="25" t="inlineStr">
        <is>
          <t>Uptrend</t>
        </is>
      </c>
      <c r="BA229" s="25">
        <f>IF(AZ229="Uptrend",10,IF(AZ229="Sideways",5,0))</f>
        <v/>
      </c>
      <c r="BB229" s="25" t="inlineStr">
        <is>
          <t>Close to 52 week high or retracement</t>
        </is>
      </c>
      <c r="BC229" s="25">
        <f>IF(BB229="Overhead supply in last 2 years in last 2 years",-5,IF(BB229="Close to 52 week high or retracement",5,IF(BB229="Blue sky scenario",10,IF(BB229="Long term Downtrend",-10,0))))</f>
        <v/>
      </c>
      <c r="BD229" s="25" t="inlineStr">
        <is>
          <t>Yes</t>
        </is>
      </c>
      <c r="BE229" s="25">
        <f>IF(BD229="Yes",10,0)</f>
        <v/>
      </c>
      <c r="BF229" s="25" t="inlineStr">
        <is>
          <t>Less than 12%</t>
        </is>
      </c>
      <c r="BG229" s="25">
        <f>IF(BF229="More than 20%",10,IF(BF229="Between 12 to 20%",5,IF(BF229="Less than 12%",0,0)))</f>
        <v/>
      </c>
      <c r="BH229" s="25" t="inlineStr">
        <is>
          <t>No</t>
        </is>
      </c>
      <c r="BI229" s="25">
        <f>IF(BH229="No",10,0)</f>
        <v/>
      </c>
      <c r="BJ229" s="25" t="inlineStr">
        <is>
          <t>Yes</t>
        </is>
      </c>
      <c r="BK229" s="25">
        <f>IF(BJ229="NO",5,0)</f>
        <v/>
      </c>
      <c r="BL229" s="25" t="inlineStr">
        <is>
          <t>Less than 1.5</t>
        </is>
      </c>
      <c r="BM229" s="25">
        <f>IF(BL229="Above 2",0,IF(BL229="Between 1.5 to 2",5,IF(BL229="Less than 1.5",10,0)))</f>
        <v/>
      </c>
      <c r="BN229" s="25" t="inlineStr">
        <is>
          <t>Above 70%</t>
        </is>
      </c>
      <c r="BO229" s="25">
        <f>IF(BN229="Above 70%",10,IF(BN229="Between 50% to 70%",5,IF(BN229="Less than 50%",0,IF(BN229="Negative",-10,IF(BN229="Less than 50% and Borrowings are increasing",-5,0)))))</f>
        <v/>
      </c>
      <c r="BP229" s="25" t="inlineStr">
        <is>
          <t>Less than 0.7</t>
        </is>
      </c>
      <c r="BQ229" s="25">
        <f>IF(BP229="More than 1.2",-10,IF(BP229="Between 0.7 to 1.2",0,IF(BP229="Less than 0.7",10,0)))</f>
        <v/>
      </c>
      <c r="BR229" s="25" t="inlineStr">
        <is>
          <t>No</t>
        </is>
      </c>
      <c r="BS229" s="25">
        <f>IF(BR229="Yes",-10,0)</f>
        <v/>
      </c>
      <c r="BT229" s="25" t="inlineStr">
        <is>
          <t>Less than 15%</t>
        </is>
      </c>
      <c r="BU229" s="25">
        <f>IF(BT229="More than 15%",-10,IF(BT229="Less than 15%",10,0))</f>
        <v/>
      </c>
      <c r="BV229" s="25" t="inlineStr">
        <is>
          <t>No</t>
        </is>
      </c>
      <c r="BW229" s="25">
        <f>IF(BV229="Yes, more than 10%",-10,IF(BV229="No",10,0))</f>
        <v/>
      </c>
    </row>
    <row r="230">
      <c r="A230" s="25">
        <f>IF(B230=0,"",RANK(B230,$B$2:$B$292,0))</f>
        <v/>
      </c>
      <c r="B230" s="26">
        <f>SUM(Q230,S230,U230,W230,Y230,AA230,AC230,AE230,AG230,AI230,AK230,AM230,AO230,AQ230,AS230,AU230,AW230,AY230,BA230,BC230,BE230,BG230,BI230,BK230,BM230,BO230,BQ230,BS230,BU230,BW230)</f>
        <v/>
      </c>
      <c r="C230" s="25" t="inlineStr">
        <is>
          <t>WSTCSTPAPR</t>
        </is>
      </c>
      <c r="D230" s="25" t="inlineStr">
        <is>
          <t>West Coast Paper Mills Limited</t>
        </is>
      </c>
      <c r="E230" s="25" t="inlineStr">
        <is>
          <t>building materials</t>
        </is>
      </c>
      <c r="F230" s="25" t="inlineStr">
        <is>
          <t>paper</t>
        </is>
      </c>
      <c r="G230" s="25" t="inlineStr">
        <is>
          <t>smallcap</t>
        </is>
      </c>
      <c r="H230" s="26" t="n">
        <v>3381.37</v>
      </c>
      <c r="I230" s="26" t="n">
        <v>520.75</v>
      </c>
      <c r="J230" s="26" t="n">
        <v>1.72</v>
      </c>
      <c r="K230" s="26" t="n">
        <v>174064</v>
      </c>
      <c r="L230" s="26" t="n">
        <v>61.68</v>
      </c>
      <c r="M230" s="26" t="n">
        <v>26.06</v>
      </c>
      <c r="N230" s="26" t="n">
        <v>402.74</v>
      </c>
      <c r="O230" s="25" t="inlineStr">
        <is>
          <t>Earnings / Momentum Support</t>
        </is>
      </c>
      <c r="P230" s="25" t="inlineStr">
        <is>
          <t>Growing Industry</t>
        </is>
      </c>
      <c r="Q230" s="25">
        <f>IF(P230="Growing Industry",10,IF(P230="Cyclical in an Upturn",5,0))</f>
        <v/>
      </c>
      <c r="R230" s="25" t="inlineStr">
        <is>
          <t>Too Many Players with High ROCE</t>
        </is>
      </c>
      <c r="S230" s="25">
        <f>IF(R230="Monopoly",10,IF(R230="Oligopoly",5,IF(R230="Duopoly that cooperate",10,IF(R230="Duopoly that compete",5,IF(R230="Too many players with High ROCE",5,0)))))</f>
        <v/>
      </c>
      <c r="T230" s="25" t="inlineStr">
        <is>
          <t>No</t>
        </is>
      </c>
      <c r="U230" s="25">
        <f>IF(T230="No",5,0)</f>
        <v/>
      </c>
      <c r="V230" s="25" t="inlineStr">
        <is>
          <t>Tailwind</t>
        </is>
      </c>
      <c r="W230" s="25">
        <f>IF(V230="Tailwind",10,0)</f>
        <v/>
      </c>
      <c r="X230" s="25" t="inlineStr">
        <is>
          <t>Structural (10 Years Consistency)</t>
        </is>
      </c>
      <c r="Y230" s="25">
        <f>IF(X230="Structural (10 Years Consistency)",10,IF(X230="Shallow Cyclical (2 to 3 years growth)",5,0))</f>
        <v/>
      </c>
      <c r="Z230" s="25" t="inlineStr">
        <is>
          <t>No</t>
        </is>
      </c>
      <c r="AA230" s="25">
        <f>IF(Z230="Yes due to Product Mix change or Operating Leverage",10,IF(Z230="Yes, these are peak margins",-5,IF(Z230="No",5,0)))</f>
        <v/>
      </c>
      <c r="AB230" s="25" t="inlineStr">
        <is>
          <t>Stable</t>
        </is>
      </c>
      <c r="AC230" s="25">
        <f>IF(AB230="Stable",10,0)</f>
        <v/>
      </c>
      <c r="AD230" s="25" t="inlineStr">
        <is>
          <t>Yes</t>
        </is>
      </c>
      <c r="AE230" s="25">
        <f>IF(AD230="Yes",10,0)</f>
        <v/>
      </c>
      <c r="AF230" s="25" t="inlineStr">
        <is>
          <t>B2B</t>
        </is>
      </c>
      <c r="AG230" s="25">
        <f>IF(AF230="B2C",10,IF(AF230="B2B",5,0))</f>
        <v/>
      </c>
      <c r="AH230" s="25" t="inlineStr">
        <is>
          <t>No</t>
        </is>
      </c>
      <c r="AI230" s="25">
        <f>IF(AH230="Yes",10,0)</f>
        <v/>
      </c>
      <c r="AJ230" s="25" t="inlineStr">
        <is>
          <t>Higher One Time, Lower Annuity</t>
        </is>
      </c>
      <c r="AK230" s="25">
        <f>IF(AJ230="Fully Annuity",10,IF(AJ230="Higher Annuity, Lower One Time",5,IF(AJ230="Higher One Time, Lower Annuity",3,0)))</f>
        <v/>
      </c>
      <c r="AL230" s="25" t="inlineStr">
        <is>
          <t>Good</t>
        </is>
      </c>
      <c r="AM230" s="25">
        <f>IF(AL230="Good",10,0)</f>
        <v/>
      </c>
      <c r="AN230" s="25" t="inlineStr">
        <is>
          <t>Yes for more than 2 years</t>
        </is>
      </c>
      <c r="AO230" s="25">
        <f>IF(AN230="Yes for more than 2 years",10,IF(AN230="Yes only for next 1 to 2 years",5,0))</f>
        <v/>
      </c>
      <c r="AP230" s="25" t="inlineStr">
        <is>
          <t>20 to 40</t>
        </is>
      </c>
      <c r="AQ230" s="25">
        <f>IF(AP230="Above 40",20,IF(AP230="20 to 40",10,IF(AP230="0 to 20",-5,0)))</f>
        <v/>
      </c>
      <c r="AR230" s="25" t="inlineStr">
        <is>
          <t>Between 50 to 75</t>
        </is>
      </c>
      <c r="AS230" s="25">
        <f>IF(AR230="Between 50 to 75",10,IF(AR230="Above 75",0,0))</f>
        <v/>
      </c>
      <c r="AT230" s="25" t="inlineStr">
        <is>
          <t>Stage 2</t>
        </is>
      </c>
      <c r="AU230" s="25">
        <f>IF(AT230="Stage 2",20,IF(AT230="Stage 1",0,IF(AT230="Stage 3",5,IF(AT230="Stage 4",-5,0))))</f>
        <v/>
      </c>
      <c r="AV230" s="25" t="inlineStr">
        <is>
          <t>Negative Trend</t>
        </is>
      </c>
      <c r="AW230" s="25">
        <f>IF(AV230="Positive Trend",20,IF(AV230="Negative Trend",-10,0))</f>
        <v/>
      </c>
      <c r="AX230" s="25" t="inlineStr">
        <is>
          <t>Uptrend</t>
        </is>
      </c>
      <c r="AY230" s="25">
        <f>IF(AX230="Uptrend",10,IF(AX230="Sideways",5,0))</f>
        <v/>
      </c>
      <c r="AZ230" s="25" t="inlineStr">
        <is>
          <t>Uptrend</t>
        </is>
      </c>
      <c r="BA230" s="25">
        <f>IF(AZ230="Uptrend",10,IF(AZ230="Sideways",5,0))</f>
        <v/>
      </c>
      <c r="BB230" s="25" t="inlineStr">
        <is>
          <t>Close to 52 week high or retracement</t>
        </is>
      </c>
      <c r="BC230" s="25">
        <f>IF(BB230="Overhead supply in last 2 years in last 2 years",-5,IF(BB230="Close to 52 week high or retracement",5,IF(BB230="Blue sky scenario",10,IF(BB230="Long term Downtrend",-10,0))))</f>
        <v/>
      </c>
      <c r="BD230" s="25" t="inlineStr">
        <is>
          <t>Yes</t>
        </is>
      </c>
      <c r="BE230" s="25">
        <f>IF(BD230="Yes",10,0)</f>
        <v/>
      </c>
      <c r="BF230" s="25" t="inlineStr">
        <is>
          <t>Between 12 to 20%</t>
        </is>
      </c>
      <c r="BG230" s="25">
        <f>IF(BF230="More than 20%",10,IF(BF230="Between 12 to 20%",5,IF(BF230="Less than 12%",0,0)))</f>
        <v/>
      </c>
      <c r="BH230" s="25" t="inlineStr">
        <is>
          <t>No</t>
        </is>
      </c>
      <c r="BI230" s="25">
        <f>IF(BH230="No",10,0)</f>
        <v/>
      </c>
      <c r="BJ230" s="25" t="inlineStr">
        <is>
          <t>No</t>
        </is>
      </c>
      <c r="BK230" s="25">
        <f>IF(BJ230="NO",5,0)</f>
        <v/>
      </c>
      <c r="BL230" s="25" t="inlineStr">
        <is>
          <t>Less than 1.5</t>
        </is>
      </c>
      <c r="BM230" s="25">
        <f>IF(BL230="Above 2",0,IF(BL230="Between 1.5 to 2",5,IF(BL230="Less than 1.5",10,0)))</f>
        <v/>
      </c>
      <c r="BN230" s="25" t="inlineStr">
        <is>
          <t>Above 70%</t>
        </is>
      </c>
      <c r="BO230" s="25">
        <f>IF(BN230="Above 70%",10,IF(BN230="Between 50% to 70%",5,IF(BN230="Less than 50%",0,IF(BN230="Negative",-10,IF(BN230="Less than 50% and Borrowings are increasing",-5,0)))))</f>
        <v/>
      </c>
      <c r="BP230" s="25" t="inlineStr">
        <is>
          <t>Less than 0.7</t>
        </is>
      </c>
      <c r="BQ230" s="25">
        <f>IF(BP230="More than 1.2",-10,IF(BP230="Between 0.7 to 1.2",0,IF(BP230="Less than 0.7",10,0)))</f>
        <v/>
      </c>
      <c r="BR230" s="25" t="inlineStr">
        <is>
          <t>No</t>
        </is>
      </c>
      <c r="BS230" s="25">
        <f>IF(BR230="Yes",-10,0)</f>
        <v/>
      </c>
      <c r="BT230" s="25" t="inlineStr">
        <is>
          <t>Less than 15%</t>
        </is>
      </c>
      <c r="BU230" s="25">
        <f>IF(BT230="More than 15%",-10,IF(BT230="Less than 15%",10,0))</f>
        <v/>
      </c>
      <c r="BV230" s="25" t="inlineStr">
        <is>
          <t>No</t>
        </is>
      </c>
      <c r="BW230" s="25">
        <f>IF(BV230="Yes, more than 10%",-10,IF(BV230="No",10,0))</f>
        <v/>
      </c>
    </row>
    <row r="231">
      <c r="A231" s="25">
        <f>IF(B231=0,"",RANK(B231,$B$2:$B$292,0))</f>
        <v/>
      </c>
      <c r="B231" s="26">
        <f>SUM(Q231,S231,U231,W231,Y231,AA231,AC231,AE231,AG231,AI231,AK231,AM231,AO231,AQ231,AS231,AU231,AW231,AY231,BA231,BC231,BE231,BG231,BI231,BK231,BM231,BO231,BQ231,BS231,BU231,BW231)</f>
        <v/>
      </c>
      <c r="C231" s="25" t="inlineStr">
        <is>
          <t>FIEMIND</t>
        </is>
      </c>
      <c r="D231" s="25" t="inlineStr">
        <is>
          <t>Fiem Industries Limited</t>
        </is>
      </c>
      <c r="E231" s="25" t="inlineStr">
        <is>
          <t>auto</t>
        </is>
      </c>
      <c r="F231" s="25" t="inlineStr">
        <is>
          <t>auto ancillaries</t>
        </is>
      </c>
      <c r="G231" s="25" t="inlineStr">
        <is>
          <t>midcap</t>
        </is>
      </c>
      <c r="H231" s="26" t="n">
        <v>5883.76</v>
      </c>
      <c r="I231" s="26" t="n">
        <v>2273.4</v>
      </c>
      <c r="J231" s="26" t="n">
        <v>1.7</v>
      </c>
      <c r="K231" s="26" t="n">
        <v>56044</v>
      </c>
      <c r="L231" s="26" t="n">
        <v>57.03</v>
      </c>
      <c r="M231" s="26" t="n">
        <v>13.67</v>
      </c>
      <c r="N231" s="26" t="n">
        <v>1813.68</v>
      </c>
      <c r="O231" s="25" t="inlineStr">
        <is>
          <t>Earnings / Momentum Support</t>
        </is>
      </c>
      <c r="P231" s="25" t="inlineStr">
        <is>
          <t>Growing Industry</t>
        </is>
      </c>
      <c r="Q231" s="25">
        <f>IF(P231="Growing Industry",10,IF(P231="Cyclical in an Upturn",5,0))</f>
        <v/>
      </c>
      <c r="R231" s="25" t="inlineStr">
        <is>
          <t>Too Many Players with High ROCE</t>
        </is>
      </c>
      <c r="S231" s="25">
        <f>IF(R231="Monopoly",10,IF(R231="Oligopoly",5,IF(R231="Duopoly that cooperate",10,IF(R231="Duopoly that compete",5,IF(R231="Too many players with High ROCE",5,0)))))</f>
        <v/>
      </c>
      <c r="T231" s="25" t="inlineStr">
        <is>
          <t>No</t>
        </is>
      </c>
      <c r="U231" s="25">
        <f>IF(T231="No",5,0)</f>
        <v/>
      </c>
      <c r="V231" s="25" t="inlineStr">
        <is>
          <t>Headwind</t>
        </is>
      </c>
      <c r="W231" s="25">
        <f>IF(V231="Tailwind",10,0)</f>
        <v/>
      </c>
      <c r="X231" s="25" t="inlineStr">
        <is>
          <t>Structural (10 Years Consistency)</t>
        </is>
      </c>
      <c r="Y231" s="25">
        <f>IF(X231="Structural (10 Years Consistency)",10,IF(X231="Shallow Cyclical (2 to 3 years growth)",5,0))</f>
        <v/>
      </c>
      <c r="Z231" s="25" t="inlineStr">
        <is>
          <t>No</t>
        </is>
      </c>
      <c r="AA231" s="25">
        <f>IF(Z231="Yes due to Product Mix change or Operating Leverage",10,IF(Z231="Yes, these are peak margins",-5,IF(Z231="No",5,0)))</f>
        <v/>
      </c>
      <c r="AB231" s="25" t="inlineStr">
        <is>
          <t>Stable</t>
        </is>
      </c>
      <c r="AC231" s="25">
        <f>IF(AB231="Stable",10,0)</f>
        <v/>
      </c>
      <c r="AD231" s="25" t="inlineStr">
        <is>
          <t>Yes</t>
        </is>
      </c>
      <c r="AE231" s="25">
        <f>IF(AD231="Yes",10,0)</f>
        <v/>
      </c>
      <c r="AF231" s="25" t="inlineStr">
        <is>
          <t>B2B</t>
        </is>
      </c>
      <c r="AG231" s="25">
        <f>IF(AF231="B2C",10,IF(AF231="B2B",5,0))</f>
        <v/>
      </c>
      <c r="AH231" s="25" t="inlineStr">
        <is>
          <t>No</t>
        </is>
      </c>
      <c r="AI231" s="25">
        <f>IF(AH231="Yes",10,0)</f>
        <v/>
      </c>
      <c r="AJ231" s="25" t="inlineStr">
        <is>
          <t>Higher One Time, Lower Annuity</t>
        </is>
      </c>
      <c r="AK231" s="25">
        <f>IF(AJ231="Fully Annuity",10,IF(AJ231="Higher Annuity, Lower One Time",5,IF(AJ231="Higher One Time, Lower Annuity",3,0)))</f>
        <v/>
      </c>
      <c r="AL231" s="25" t="inlineStr">
        <is>
          <t>Good</t>
        </is>
      </c>
      <c r="AM231" s="25">
        <f>IF(AL231="Good",10,0)</f>
        <v/>
      </c>
      <c r="AN231" s="25" t="inlineStr">
        <is>
          <t>Yes for more than 2 years</t>
        </is>
      </c>
      <c r="AO231" s="25">
        <f>IF(AN231="Yes for more than 2 years",10,IF(AN231="Yes only for next 1 to 2 years",5,0))</f>
        <v/>
      </c>
      <c r="AP231" s="25" t="inlineStr">
        <is>
          <t>0 to 20</t>
        </is>
      </c>
      <c r="AQ231" s="25">
        <f>IF(AP231="Above 40",20,IF(AP231="20 to 40",10,IF(AP231="0 to 20",-5,0)))</f>
        <v/>
      </c>
      <c r="AR231" s="25" t="inlineStr">
        <is>
          <t>Between 50 to 75</t>
        </is>
      </c>
      <c r="AS231" s="25">
        <f>IF(AR231="Between 50 to 75",10,IF(AR231="Above 75",0,0))</f>
        <v/>
      </c>
      <c r="AT231" s="25" t="inlineStr">
        <is>
          <t>Stage 2</t>
        </is>
      </c>
      <c r="AU231" s="25">
        <f>IF(AT231="Stage 2",20,IF(AT231="Stage 1",0,IF(AT231="Stage 3",5,IF(AT231="Stage 4",-5,0))))</f>
        <v/>
      </c>
      <c r="AV231" s="25" t="inlineStr">
        <is>
          <t>Positive Trend</t>
        </is>
      </c>
      <c r="AW231" s="25">
        <f>IF(AV231="Positive Trend",20,IF(AV231="Negative Trend",-10,0))</f>
        <v/>
      </c>
      <c r="AX231" s="25" t="inlineStr">
        <is>
          <t>Uptrend</t>
        </is>
      </c>
      <c r="AY231" s="25">
        <f>IF(AX231="Uptrend",10,IF(AX231="Sideways",5,0))</f>
        <v/>
      </c>
      <c r="AZ231" s="25" t="inlineStr">
        <is>
          <t>Uptrend</t>
        </is>
      </c>
      <c r="BA231" s="25">
        <f>IF(AZ231="Uptrend",10,IF(AZ231="Sideways",5,0))</f>
        <v/>
      </c>
      <c r="BB231" s="25" t="inlineStr">
        <is>
          <t>Close to 52 week high or retracement</t>
        </is>
      </c>
      <c r="BC231" s="25">
        <f>IF(BB231="Overhead supply in last 2 years in last 2 years",-5,IF(BB231="Close to 52 week high or retracement",5,IF(BB231="Blue sky scenario",10,IF(BB231="Long term Downtrend",-10,0))))</f>
        <v/>
      </c>
      <c r="BD231" s="25" t="inlineStr">
        <is>
          <t>Yes</t>
        </is>
      </c>
      <c r="BE231" s="25">
        <f>IF(BD231="Yes",10,0)</f>
        <v/>
      </c>
      <c r="BF231" s="25" t="inlineStr">
        <is>
          <t>More than 20%</t>
        </is>
      </c>
      <c r="BG231" s="25">
        <f>IF(BF231="More than 20%",10,IF(BF231="Between 12 to 20%",5,IF(BF231="Less than 12%",0,0)))</f>
        <v/>
      </c>
      <c r="BH231" s="25" t="inlineStr">
        <is>
          <t>No</t>
        </is>
      </c>
      <c r="BI231" s="25">
        <f>IF(BH231="No",10,0)</f>
        <v/>
      </c>
      <c r="BJ231" s="25" t="inlineStr">
        <is>
          <t>No</t>
        </is>
      </c>
      <c r="BK231" s="25">
        <f>IF(BJ231="NO",5,0)</f>
        <v/>
      </c>
      <c r="BL231" s="25" t="inlineStr">
        <is>
          <t>Less than 1.5</t>
        </is>
      </c>
      <c r="BM231" s="25">
        <f>IF(BL231="Above 2",0,IF(BL231="Between 1.5 to 2",5,IF(BL231="Less than 1.5",10,0)))</f>
        <v/>
      </c>
      <c r="BN231" s="25" t="inlineStr">
        <is>
          <t>Less than 50%</t>
        </is>
      </c>
      <c r="BO231" s="25">
        <f>IF(BN231="Above 70%",10,IF(BN231="Between 50% to 70%",5,IF(BN231="Less than 50%",0,IF(BN231="Negative",-10,IF(BN231="Less than 50% and Borrowings are increasing",-5,0)))))</f>
        <v/>
      </c>
      <c r="BP231" s="25" t="inlineStr">
        <is>
          <t>Less than 0.7</t>
        </is>
      </c>
      <c r="BQ231" s="25">
        <f>IF(BP231="More than 1.2",-10,IF(BP231="Between 0.7 to 1.2",0,IF(BP231="Less than 0.7",10,0)))</f>
        <v/>
      </c>
      <c r="BR231" s="25" t="inlineStr">
        <is>
          <t>No</t>
        </is>
      </c>
      <c r="BS231" s="25">
        <f>IF(BR231="Yes",-10,0)</f>
        <v/>
      </c>
      <c r="BT231" s="25" t="inlineStr">
        <is>
          <t>Less than 15%</t>
        </is>
      </c>
      <c r="BU231" s="25">
        <f>IF(BT231="More than 15%",-10,IF(BT231="Less than 15%",10,0))</f>
        <v/>
      </c>
      <c r="BV231" s="25" t="inlineStr">
        <is>
          <t>No</t>
        </is>
      </c>
      <c r="BW231" s="25">
        <f>IF(BV231="Yes, more than 10%",-10,IF(BV231="No",10,0))</f>
        <v/>
      </c>
    </row>
    <row r="232">
      <c r="A232" s="25">
        <f>IF(B232=0,"",RANK(B232,$B$2:$B$292,0))</f>
        <v/>
      </c>
      <c r="B232" s="26">
        <f>SUM(Q232,S232,U232,W232,Y232,AA232,AC232,AE232,AG232,AI232,AK232,AM232,AO232,AQ232,AS232,AU232,AW232,AY232,BA232,BC232,BE232,BG232,BI232,BK232,BM232,BO232,BQ232,BS232,BU232,BW232)</f>
        <v/>
      </c>
      <c r="C232" s="25" t="inlineStr">
        <is>
          <t>HSCL</t>
        </is>
      </c>
      <c r="D232" s="25" t="inlineStr">
        <is>
          <t>Himadri Speciality Chemical Limited</t>
        </is>
      </c>
      <c r="E232" s="25" t="inlineStr">
        <is>
          <t>chemicals</t>
        </is>
      </c>
      <c r="F232" s="25" t="inlineStr">
        <is>
          <t>chemicals</t>
        </is>
      </c>
      <c r="G232" s="25" t="inlineStr">
        <is>
          <t>largecap</t>
        </is>
      </c>
      <c r="H232" s="26" t="n">
        <v>30444.04</v>
      </c>
      <c r="I232" s="26" t="n">
        <v>607.1</v>
      </c>
      <c r="J232" s="26" t="n">
        <v>0.61</v>
      </c>
      <c r="K232" s="26" t="n">
        <v>7233121</v>
      </c>
      <c r="L232" s="26" t="n">
        <v>66.81</v>
      </c>
      <c r="M232" s="26" t="n">
        <v>26.83</v>
      </c>
      <c r="N232" s="26" t="n">
        <v>497.77</v>
      </c>
      <c r="O232" s="25" t="inlineStr">
        <is>
          <t>Near 52W High Breakout</t>
        </is>
      </c>
      <c r="P232" s="25" t="inlineStr">
        <is>
          <t>Growing Industry</t>
        </is>
      </c>
      <c r="Q232" s="25">
        <f>IF(P232="Growing Industry",10,IF(P232="Cyclical in an Upturn",5,0))</f>
        <v/>
      </c>
      <c r="R232" s="25" t="inlineStr">
        <is>
          <t>Too Many Players with High ROCE</t>
        </is>
      </c>
      <c r="S232" s="25">
        <f>IF(R232="Monopoly",10,IF(R232="Oligopoly",5,IF(R232="Duopoly that cooperate",10,IF(R232="Duopoly that compete",5,IF(R232="Too many players with High ROCE",5,0)))))</f>
        <v/>
      </c>
      <c r="T232" s="25" t="inlineStr">
        <is>
          <t>No</t>
        </is>
      </c>
      <c r="U232" s="25">
        <f>IF(T232="No",5,0)</f>
        <v/>
      </c>
      <c r="V232" s="25" t="inlineStr">
        <is>
          <t>Tailwind</t>
        </is>
      </c>
      <c r="W232" s="25">
        <f>IF(V232="Tailwind",10,0)</f>
        <v/>
      </c>
      <c r="X232" s="25" t="inlineStr">
        <is>
          <t>Structural (10 Years Consistency)</t>
        </is>
      </c>
      <c r="Y232" s="25">
        <f>IF(X232="Structural (10 Years Consistency)",10,IF(X232="Shallow Cyclical (2 to 3 years growth)",5,0))</f>
        <v/>
      </c>
      <c r="Z232" s="25" t="inlineStr">
        <is>
          <t>No</t>
        </is>
      </c>
      <c r="AA232" s="25">
        <f>IF(Z232="Yes due to Product Mix change or Operating Leverage",10,IF(Z232="Yes, these are peak margins",-5,IF(Z232="No",5,0)))</f>
        <v/>
      </c>
      <c r="AB232" s="25" t="inlineStr">
        <is>
          <t>Stable</t>
        </is>
      </c>
      <c r="AC232" s="25">
        <f>IF(AB232="Stable",10,0)</f>
        <v/>
      </c>
      <c r="AD232" s="25" t="inlineStr">
        <is>
          <t>Yes</t>
        </is>
      </c>
      <c r="AE232" s="25">
        <f>IF(AD232="Yes",10,0)</f>
        <v/>
      </c>
      <c r="AF232" s="25" t="inlineStr">
        <is>
          <t>B2B</t>
        </is>
      </c>
      <c r="AG232" s="25">
        <f>IF(AF232="B2C",10,IF(AF232="B2B",5,0))</f>
        <v/>
      </c>
      <c r="AH232" s="25" t="inlineStr">
        <is>
          <t>Yes</t>
        </is>
      </c>
      <c r="AI232" s="25">
        <f>IF(AH232="Yes",10,0)</f>
        <v/>
      </c>
      <c r="AJ232" s="25" t="inlineStr">
        <is>
          <t>Higher One Time, Lower Annuity</t>
        </is>
      </c>
      <c r="AK232" s="25">
        <f>IF(AJ232="Fully Annuity",10,IF(AJ232="Higher Annuity, Lower One Time",5,IF(AJ232="Higher One Time, Lower Annuity",3,0)))</f>
        <v/>
      </c>
      <c r="AL232" s="25" t="inlineStr">
        <is>
          <t>Good</t>
        </is>
      </c>
      <c r="AM232" s="25">
        <f>IF(AL232="Good",10,0)</f>
        <v/>
      </c>
      <c r="AN232" s="25" t="inlineStr">
        <is>
          <t>Yes for more than 2 years</t>
        </is>
      </c>
      <c r="AO232" s="25">
        <f>IF(AN232="Yes for more than 2 years",10,IF(AN232="Yes only for next 1 to 2 years",5,0))</f>
        <v/>
      </c>
      <c r="AP232" s="25" t="inlineStr">
        <is>
          <t>20 to 40</t>
        </is>
      </c>
      <c r="AQ232" s="25">
        <f>IF(AP232="Above 40",20,IF(AP232="20 to 40",10,IF(AP232="0 to 20",-5,0)))</f>
        <v/>
      </c>
      <c r="AR232" s="25" t="inlineStr">
        <is>
          <t>Between 50 to 75</t>
        </is>
      </c>
      <c r="AS232" s="25">
        <f>IF(AR232="Between 50 to 75",10,IF(AR232="Above 75",0,0))</f>
        <v/>
      </c>
      <c r="AT232" s="25" t="inlineStr">
        <is>
          <t>Stage 2</t>
        </is>
      </c>
      <c r="AU232" s="25">
        <f>IF(AT232="Stage 2",20,IF(AT232="Stage 1",0,IF(AT232="Stage 3",5,IF(AT232="Stage 4",-5,0))))</f>
        <v/>
      </c>
      <c r="AV232" s="25" t="inlineStr">
        <is>
          <t>Negative Trend</t>
        </is>
      </c>
      <c r="AW232" s="25">
        <f>IF(AV232="Positive Trend",20,IF(AV232="Negative Trend",-10,0))</f>
        <v/>
      </c>
      <c r="AX232" s="25" t="inlineStr">
        <is>
          <t>Uptrend</t>
        </is>
      </c>
      <c r="AY232" s="25">
        <f>IF(AX232="Uptrend",10,IF(AX232="Sideways",5,0))</f>
        <v/>
      </c>
      <c r="AZ232" s="25" t="inlineStr">
        <is>
          <t>Uptrend</t>
        </is>
      </c>
      <c r="BA232" s="25">
        <f>IF(AZ232="Uptrend",10,IF(AZ232="Sideways",5,0))</f>
        <v/>
      </c>
      <c r="BB232" s="25" t="inlineStr">
        <is>
          <t>Close to 52 week high or retracement</t>
        </is>
      </c>
      <c r="BC232" s="25">
        <f>IF(BB232="Overhead supply in last 2 years in last 2 years",-5,IF(BB232="Close to 52 week high or retracement",5,IF(BB232="Blue sky scenario",10,IF(BB232="Long term Downtrend",-10,0))))</f>
        <v/>
      </c>
      <c r="BD232" s="25" t="inlineStr">
        <is>
          <t>Yes</t>
        </is>
      </c>
      <c r="BE232" s="25">
        <f>IF(BD232="Yes",10,0)</f>
        <v/>
      </c>
      <c r="BF232" s="25" t="inlineStr">
        <is>
          <t>More than 20%</t>
        </is>
      </c>
      <c r="BG232" s="25">
        <f>IF(BF232="More than 20%",10,IF(BF232="Between 12 to 20%",5,IF(BF232="Less than 12%",0,0)))</f>
        <v/>
      </c>
      <c r="BH232" s="25" t="inlineStr">
        <is>
          <t>No</t>
        </is>
      </c>
      <c r="BI232" s="25">
        <f>IF(BH232="No",10,0)</f>
        <v/>
      </c>
      <c r="BJ232" s="25" t="inlineStr">
        <is>
          <t>Yes</t>
        </is>
      </c>
      <c r="BK232" s="25">
        <f>IF(BJ232="NO",5,0)</f>
        <v/>
      </c>
      <c r="BL232" s="25" t="inlineStr">
        <is>
          <t>Less than 1.5</t>
        </is>
      </c>
      <c r="BM232" s="25">
        <f>IF(BL232="Above 2",0,IF(BL232="Between 1.5 to 2",5,IF(BL232="Less than 1.5",10,0)))</f>
        <v/>
      </c>
      <c r="BN232" s="25" t="inlineStr">
        <is>
          <t>Less than 50%</t>
        </is>
      </c>
      <c r="BO232" s="25">
        <f>IF(BN232="Above 70%",10,IF(BN232="Between 50% to 70%",5,IF(BN232="Less than 50%",0,IF(BN232="Negative",-10,IF(BN232="Less than 50% and Borrowings are increasing",-5,0)))))</f>
        <v/>
      </c>
      <c r="BP232" s="25" t="inlineStr">
        <is>
          <t>Less than 0.7</t>
        </is>
      </c>
      <c r="BQ232" s="25">
        <f>IF(BP232="More than 1.2",-10,IF(BP232="Between 0.7 to 1.2",0,IF(BP232="Less than 0.7",10,0)))</f>
        <v/>
      </c>
      <c r="BR232" s="25" t="inlineStr">
        <is>
          <t>No</t>
        </is>
      </c>
      <c r="BS232" s="25">
        <f>IF(BR232="Yes",-10,0)</f>
        <v/>
      </c>
      <c r="BT232" s="25" t="inlineStr">
        <is>
          <t>Less than 15%</t>
        </is>
      </c>
      <c r="BU232" s="25">
        <f>IF(BT232="More than 15%",-10,IF(BT232="Less than 15%",10,0))</f>
        <v/>
      </c>
      <c r="BV232" s="25" t="inlineStr">
        <is>
          <t>No</t>
        </is>
      </c>
      <c r="BW232" s="25">
        <f>IF(BV232="Yes, more than 10%",-10,IF(BV232="No",10,0))</f>
        <v/>
      </c>
    </row>
    <row r="233">
      <c r="A233" s="25">
        <f>IF(B233=0,"",RANK(B233,$B$2:$B$292,0))</f>
        <v/>
      </c>
      <c r="B233" s="26">
        <f>SUM(Q233,S233,U233,W233,Y233,AA233,AC233,AE233,AG233,AI233,AK233,AM233,AO233,AQ233,AS233,AU233,AW233,AY233,BA233,BC233,BE233,BG233,BI233,BK233,BM233,BO233,BQ233,BS233,BU233,BW233)</f>
        <v/>
      </c>
      <c r="C233" s="25" t="inlineStr">
        <is>
          <t>JINDALSAW</t>
        </is>
      </c>
      <c r="D233" s="25" t="inlineStr">
        <is>
          <t>Jindal Saw Limited</t>
        </is>
      </c>
      <c r="E233" s="25" t="inlineStr">
        <is>
          <t>industrials</t>
        </is>
      </c>
      <c r="F233" s="25" t="inlineStr">
        <is>
          <t>steel - large</t>
        </is>
      </c>
      <c r="G233" s="25" t="inlineStr">
        <is>
          <t>midcap</t>
        </is>
      </c>
      <c r="H233" s="26" t="n">
        <v>15404.47</v>
      </c>
      <c r="I233" s="26" t="n">
        <v>241.12</v>
      </c>
      <c r="J233" s="26" t="n">
        <v>0.1</v>
      </c>
      <c r="K233" s="26" t="n">
        <v>1169758</v>
      </c>
      <c r="L233" s="26" t="n">
        <v>61</v>
      </c>
      <c r="M233" s="26" t="n">
        <v>27.25</v>
      </c>
      <c r="N233" s="26" t="n">
        <v>186.15</v>
      </c>
      <c r="O233" s="25" t="inlineStr">
        <is>
          <t>Near 52W High Breakout</t>
        </is>
      </c>
      <c r="P233" s="25" t="inlineStr">
        <is>
          <t>Cyclical in an Upturn</t>
        </is>
      </c>
      <c r="Q233" s="25">
        <f>IF(P233="Growing Industry",10,IF(P233="Cyclical in an Upturn",5,0))</f>
        <v/>
      </c>
      <c r="R233" s="25" t="inlineStr">
        <is>
          <t>Too Many Players with High ROCE</t>
        </is>
      </c>
      <c r="S233" s="25">
        <f>IF(R233="Monopoly",10,IF(R233="Oligopoly",5,IF(R233="Duopoly that cooperate",10,IF(R233="Duopoly that compete",5,IF(R233="Too many players with High ROCE",5,0)))))</f>
        <v/>
      </c>
      <c r="T233" s="25" t="inlineStr">
        <is>
          <t>No</t>
        </is>
      </c>
      <c r="U233" s="25">
        <f>IF(T233="No",5,0)</f>
        <v/>
      </c>
      <c r="V233" s="25" t="inlineStr">
        <is>
          <t>Tailwind</t>
        </is>
      </c>
      <c r="W233" s="25">
        <f>IF(V233="Tailwind",10,0)</f>
        <v/>
      </c>
      <c r="X233" s="25" t="inlineStr">
        <is>
          <t>Structural (10 Years Consistency)</t>
        </is>
      </c>
      <c r="Y233" s="25">
        <f>IF(X233="Structural (10 Years Consistency)",10,IF(X233="Shallow Cyclical (2 to 3 years growth)",5,0))</f>
        <v/>
      </c>
      <c r="Z233" s="25" t="inlineStr">
        <is>
          <t>No</t>
        </is>
      </c>
      <c r="AA233" s="25">
        <f>IF(Z233="Yes due to Product Mix change or Operating Leverage",10,IF(Z233="Yes, these are peak margins",-5,IF(Z233="No",5,0)))</f>
        <v/>
      </c>
      <c r="AB233" s="25" t="inlineStr">
        <is>
          <t>Stable</t>
        </is>
      </c>
      <c r="AC233" s="25">
        <f>IF(AB233="Stable",10,0)</f>
        <v/>
      </c>
      <c r="AD233" s="25" t="inlineStr">
        <is>
          <t>Yes</t>
        </is>
      </c>
      <c r="AE233" s="25">
        <f>IF(AD233="Yes",10,0)</f>
        <v/>
      </c>
      <c r="AF233" s="25" t="inlineStr">
        <is>
          <t>B2B</t>
        </is>
      </c>
      <c r="AG233" s="25">
        <f>IF(AF233="B2C",10,IF(AF233="B2B",5,0))</f>
        <v/>
      </c>
      <c r="AH233" s="25" t="inlineStr">
        <is>
          <t>Yes</t>
        </is>
      </c>
      <c r="AI233" s="25">
        <f>IF(AH233="Yes",10,0)</f>
        <v/>
      </c>
      <c r="AJ233" s="25" t="inlineStr">
        <is>
          <t>Higher One Time, Lower Annuity</t>
        </is>
      </c>
      <c r="AK233" s="25">
        <f>IF(AJ233="Fully Annuity",10,IF(AJ233="Higher Annuity, Lower One Time",5,IF(AJ233="Higher One Time, Lower Annuity",3,0)))</f>
        <v/>
      </c>
      <c r="AL233" s="25" t="inlineStr">
        <is>
          <t>Good</t>
        </is>
      </c>
      <c r="AM233" s="25">
        <f>IF(AL233="Good",10,0)</f>
        <v/>
      </c>
      <c r="AN233" s="25" t="inlineStr">
        <is>
          <t>Yes for more than 2 years</t>
        </is>
      </c>
      <c r="AO233" s="25">
        <f>IF(AN233="Yes for more than 2 years",10,IF(AN233="Yes only for next 1 to 2 years",5,0))</f>
        <v/>
      </c>
      <c r="AP233" s="25" t="inlineStr">
        <is>
          <t>20 to 40</t>
        </is>
      </c>
      <c r="AQ233" s="25">
        <f>IF(AP233="Above 40",20,IF(AP233="20 to 40",10,IF(AP233="0 to 20",-5,0)))</f>
        <v/>
      </c>
      <c r="AR233" s="25" t="inlineStr">
        <is>
          <t>Between 50 to 75</t>
        </is>
      </c>
      <c r="AS233" s="25">
        <f>IF(AR233="Between 50 to 75",10,IF(AR233="Above 75",0,0))</f>
        <v/>
      </c>
      <c r="AT233" s="25" t="inlineStr">
        <is>
          <t>Stage 2</t>
        </is>
      </c>
      <c r="AU233" s="25">
        <f>IF(AT233="Stage 2",20,IF(AT233="Stage 1",0,IF(AT233="Stage 3",5,IF(AT233="Stage 4",-5,0))))</f>
        <v/>
      </c>
      <c r="AV233" s="25" t="inlineStr">
        <is>
          <t>Negative Trend</t>
        </is>
      </c>
      <c r="AW233" s="25">
        <f>IF(AV233="Positive Trend",20,IF(AV233="Negative Trend",-10,0))</f>
        <v/>
      </c>
      <c r="AX233" s="25" t="inlineStr">
        <is>
          <t>Uptrend</t>
        </is>
      </c>
      <c r="AY233" s="25">
        <f>IF(AX233="Uptrend",10,IF(AX233="Sideways",5,0))</f>
        <v/>
      </c>
      <c r="AZ233" s="25" t="inlineStr">
        <is>
          <t>Uptrend</t>
        </is>
      </c>
      <c r="BA233" s="25">
        <f>IF(AZ233="Uptrend",10,IF(AZ233="Sideways",5,0))</f>
        <v/>
      </c>
      <c r="BB233" s="25" t="inlineStr">
        <is>
          <t>Close to 52 week high or retracement</t>
        </is>
      </c>
      <c r="BC233" s="25">
        <f>IF(BB233="Overhead supply in last 2 years in last 2 years",-5,IF(BB233="Close to 52 week high or retracement",5,IF(BB233="Blue sky scenario",10,IF(BB233="Long term Downtrend",-10,0))))</f>
        <v/>
      </c>
      <c r="BD233" s="25" t="inlineStr">
        <is>
          <t>Yes</t>
        </is>
      </c>
      <c r="BE233" s="25">
        <f>IF(BD233="Yes",10,0)</f>
        <v/>
      </c>
      <c r="BF233" s="25" t="inlineStr">
        <is>
          <t>Less than 12%</t>
        </is>
      </c>
      <c r="BG233" s="25">
        <f>IF(BF233="More than 20%",10,IF(BF233="Between 12 to 20%",5,IF(BF233="Less than 12%",0,0)))</f>
        <v/>
      </c>
      <c r="BH233" s="25" t="inlineStr">
        <is>
          <t>No</t>
        </is>
      </c>
      <c r="BI233" s="25">
        <f>IF(BH233="No",10,0)</f>
        <v/>
      </c>
      <c r="BJ233" s="25" t="inlineStr">
        <is>
          <t>No</t>
        </is>
      </c>
      <c r="BK233" s="25">
        <f>IF(BJ233="NO",5,0)</f>
        <v/>
      </c>
      <c r="BL233" s="25" t="inlineStr">
        <is>
          <t>Less than 1.5</t>
        </is>
      </c>
      <c r="BM233" s="25">
        <f>IF(BL233="Above 2",0,IF(BL233="Between 1.5 to 2",5,IF(BL233="Less than 1.5",10,0)))</f>
        <v/>
      </c>
      <c r="BN233" s="25" t="inlineStr">
        <is>
          <t>Above 70%</t>
        </is>
      </c>
      <c r="BO233" s="25">
        <f>IF(BN233="Above 70%",10,IF(BN233="Between 50% to 70%",5,IF(BN233="Less than 50%",0,IF(BN233="Negative",-10,IF(BN233="Less than 50% and Borrowings are increasing",-5,0)))))</f>
        <v/>
      </c>
      <c r="BP233" s="25" t="inlineStr">
        <is>
          <t>Less than 0.7</t>
        </is>
      </c>
      <c r="BQ233" s="25">
        <f>IF(BP233="More than 1.2",-10,IF(BP233="Between 0.7 to 1.2",0,IF(BP233="Less than 0.7",10,0)))</f>
        <v/>
      </c>
      <c r="BR233" s="25" t="inlineStr">
        <is>
          <t>No</t>
        </is>
      </c>
      <c r="BS233" s="25">
        <f>IF(BR233="Yes",-10,0)</f>
        <v/>
      </c>
      <c r="BT233" s="25" t="inlineStr">
        <is>
          <t>Less than 15%</t>
        </is>
      </c>
      <c r="BU233" s="25">
        <f>IF(BT233="More than 15%",-10,IF(BT233="Less than 15%",10,0))</f>
        <v/>
      </c>
      <c r="BV233" s="25" t="inlineStr">
        <is>
          <t>No</t>
        </is>
      </c>
      <c r="BW233" s="25">
        <f>IF(BV233="Yes, more than 10%",-10,IF(BV233="No",10,0))</f>
        <v/>
      </c>
    </row>
    <row r="234">
      <c r="A234" s="25">
        <f>IF(B234=0,"",RANK(B234,$B$2:$B$292,0))</f>
        <v/>
      </c>
      <c r="B234" s="26">
        <f>SUM(Q234,S234,U234,W234,Y234,AA234,AC234,AE234,AG234,AI234,AK234,AM234,AO234,AQ234,AS234,AU234,AW234,AY234,BA234,BC234,BE234,BG234,BI234,BK234,BM234,BO234,BQ234,BS234,BU234,BW234)</f>
        <v/>
      </c>
      <c r="C234" s="25" t="inlineStr">
        <is>
          <t>IKS</t>
        </is>
      </c>
      <c r="D234" s="25" t="inlineStr">
        <is>
          <t>Inventurus Knowledge Solutions Ltd</t>
        </is>
      </c>
      <c r="E234" s="25" t="inlineStr">
        <is>
          <t>i.t</t>
        </is>
      </c>
      <c r="F234" s="25" t="inlineStr">
        <is>
          <t>computers - software - medium / small</t>
        </is>
      </c>
      <c r="G234" s="25" t="inlineStr">
        <is>
          <t>largecap</t>
        </is>
      </c>
      <c r="H234" s="26" t="n">
        <v>28122.56</v>
      </c>
      <c r="I234" s="26" t="n">
        <v>1670.2</v>
      </c>
      <c r="J234" s="26" t="n">
        <v>1.9</v>
      </c>
      <c r="K234" s="26" t="n">
        <v>123660</v>
      </c>
      <c r="L234" s="26" t="n">
        <v>56.83</v>
      </c>
      <c r="M234" s="26" t="n">
        <v>14.91</v>
      </c>
      <c r="N234" s="26" t="n">
        <v>1311.1</v>
      </c>
      <c r="O234" s="25" t="inlineStr">
        <is>
          <t>Near 52W High Breakout</t>
        </is>
      </c>
      <c r="P234" s="25" t="inlineStr">
        <is>
          <t>Growing Industry</t>
        </is>
      </c>
      <c r="Q234" s="25">
        <f>IF(P234="Growing Industry",10,IF(P234="Cyclical in an Upturn",5,0))</f>
        <v/>
      </c>
      <c r="R234" s="25" t="inlineStr">
        <is>
          <t>Too Many Players with High ROCE</t>
        </is>
      </c>
      <c r="S234" s="25">
        <f>IF(R234="Monopoly",10,IF(R234="Oligopoly",5,IF(R234="Duopoly that cooperate",10,IF(R234="Duopoly that compete",5,IF(R234="Too many players with High ROCE",5,0)))))</f>
        <v/>
      </c>
      <c r="T234" s="25" t="inlineStr">
        <is>
          <t>No</t>
        </is>
      </c>
      <c r="U234" s="25">
        <f>IF(T234="No",5,0)</f>
        <v/>
      </c>
      <c r="V234" s="25" t="inlineStr">
        <is>
          <t>Tailwind</t>
        </is>
      </c>
      <c r="W234" s="25">
        <f>IF(V234="Tailwind",10,0)</f>
        <v/>
      </c>
      <c r="X234" s="25" t="inlineStr">
        <is>
          <t>Structural (10 Years Consistency)</t>
        </is>
      </c>
      <c r="Y234" s="25">
        <f>IF(X234="Structural (10 Years Consistency)",10,IF(X234="Shallow Cyclical (2 to 3 years growth)",5,0))</f>
        <v/>
      </c>
      <c r="Z234" s="25" t="inlineStr">
        <is>
          <t>No</t>
        </is>
      </c>
      <c r="AA234" s="25">
        <f>IF(Z234="Yes due to Product Mix change or Operating Leverage",10,IF(Z234="Yes, these are peak margins",-5,IF(Z234="No",5,0)))</f>
        <v/>
      </c>
      <c r="AB234" s="25" t="inlineStr">
        <is>
          <t>Stable</t>
        </is>
      </c>
      <c r="AC234" s="25">
        <f>IF(AB234="Stable",10,0)</f>
        <v/>
      </c>
      <c r="AD234" s="25" t="inlineStr">
        <is>
          <t>Yes</t>
        </is>
      </c>
      <c r="AE234" s="25">
        <f>IF(AD234="Yes",10,0)</f>
        <v/>
      </c>
      <c r="AF234" s="25" t="inlineStr">
        <is>
          <t>B2B</t>
        </is>
      </c>
      <c r="AG234" s="25">
        <f>IF(AF234="B2C",10,IF(AF234="B2B",5,0))</f>
        <v/>
      </c>
      <c r="AH234" s="25" t="inlineStr">
        <is>
          <t>Yes</t>
        </is>
      </c>
      <c r="AI234" s="25">
        <f>IF(AH234="Yes",10,0)</f>
        <v/>
      </c>
      <c r="AJ234" s="25" t="inlineStr">
        <is>
          <t>Higher Annuity, Lower One Time</t>
        </is>
      </c>
      <c r="AK234" s="25">
        <f>IF(AJ234="Fully Annuity",10,IF(AJ234="Higher Annuity, Lower One Time",5,IF(AJ234="Higher One Time, Lower Annuity",3,0)))</f>
        <v/>
      </c>
      <c r="AL234" s="25" t="inlineStr">
        <is>
          <t>Good</t>
        </is>
      </c>
      <c r="AM234" s="25">
        <f>IF(AL234="Good",10,0)</f>
        <v/>
      </c>
      <c r="AN234" s="25" t="inlineStr">
        <is>
          <t>Yes for more than 2 years</t>
        </is>
      </c>
      <c r="AO234" s="25">
        <f>IF(AN234="Yes for more than 2 years",10,IF(AN234="Yes only for next 1 to 2 years",5,0))</f>
        <v/>
      </c>
      <c r="AP234" s="25" t="inlineStr">
        <is>
          <t>0 to 20</t>
        </is>
      </c>
      <c r="AQ234" s="25">
        <f>IF(AP234="Above 40",20,IF(AP234="20 to 40",10,IF(AP234="0 to 20",-5,0)))</f>
        <v/>
      </c>
      <c r="AR234" s="25" t="inlineStr">
        <is>
          <t>Between 50 to 75</t>
        </is>
      </c>
      <c r="AS234" s="25">
        <f>IF(AR234="Between 50 to 75",10,IF(AR234="Above 75",0,0))</f>
        <v/>
      </c>
      <c r="AT234" s="25" t="inlineStr">
        <is>
          <t>Stage 2</t>
        </is>
      </c>
      <c r="AU234" s="25">
        <f>IF(AT234="Stage 2",20,IF(AT234="Stage 1",0,IF(AT234="Stage 3",5,IF(AT234="Stage 4",-5,0))))</f>
        <v/>
      </c>
      <c r="AV234" s="25" t="inlineStr">
        <is>
          <t>Negative Trend</t>
        </is>
      </c>
      <c r="AW234" s="25">
        <f>IF(AV234="Positive Trend",20,IF(AV234="Negative Trend",-10,0))</f>
        <v/>
      </c>
      <c r="AX234" s="25" t="inlineStr">
        <is>
          <t>Uptrend</t>
        </is>
      </c>
      <c r="AY234" s="25">
        <f>IF(AX234="Uptrend",10,IF(AX234="Sideways",5,0))</f>
        <v/>
      </c>
      <c r="AZ234" s="25" t="inlineStr">
        <is>
          <t>Uptrend</t>
        </is>
      </c>
      <c r="BA234" s="25">
        <f>IF(AZ234="Uptrend",10,IF(AZ234="Sideways",5,0))</f>
        <v/>
      </c>
      <c r="BB234" s="25" t="inlineStr">
        <is>
          <t>Close to 52 week high or retracement</t>
        </is>
      </c>
      <c r="BC234" s="25">
        <f>IF(BB234="Overhead supply in last 2 years in last 2 years",-5,IF(BB234="Close to 52 week high or retracement",5,IF(BB234="Blue sky scenario",10,IF(BB234="Long term Downtrend",-10,0))))</f>
        <v/>
      </c>
      <c r="BD234" s="25" t="inlineStr">
        <is>
          <t>Yes</t>
        </is>
      </c>
      <c r="BE234" s="25">
        <f>IF(BD234="Yes",10,0)</f>
        <v/>
      </c>
      <c r="BF234" s="25" t="inlineStr">
        <is>
          <t>More than 20%</t>
        </is>
      </c>
      <c r="BG234" s="25">
        <f>IF(BF234="More than 20%",10,IF(BF234="Between 12 to 20%",5,IF(BF234="Less than 12%",0,0)))</f>
        <v/>
      </c>
      <c r="BH234" s="25" t="inlineStr">
        <is>
          <t>No</t>
        </is>
      </c>
      <c r="BI234" s="25">
        <f>IF(BH234="No",10,0)</f>
        <v/>
      </c>
      <c r="BJ234" s="25" t="inlineStr">
        <is>
          <t>No</t>
        </is>
      </c>
      <c r="BK234" s="25">
        <f>IF(BJ234="NO",5,0)</f>
        <v/>
      </c>
      <c r="BL234" s="25" t="inlineStr">
        <is>
          <t>Less than 1.5</t>
        </is>
      </c>
      <c r="BM234" s="25">
        <f>IF(BL234="Above 2",0,IF(BL234="Between 1.5 to 2",5,IF(BL234="Less than 1.5",10,0)))</f>
        <v/>
      </c>
      <c r="BN234" s="25" t="inlineStr">
        <is>
          <t>Between 50% to 70%</t>
        </is>
      </c>
      <c r="BO234" s="25">
        <f>IF(BN234="Above 70%",10,IF(BN234="Between 50% to 70%",5,IF(BN234="Less than 50%",0,IF(BN234="Negative",-10,IF(BN234="Less than 50% and Borrowings are increasing",-5,0)))))</f>
        <v/>
      </c>
      <c r="BP234" s="25" t="inlineStr">
        <is>
          <t>Less than 0.7</t>
        </is>
      </c>
      <c r="BQ234" s="25">
        <f>IF(BP234="More than 1.2",-10,IF(BP234="Between 0.7 to 1.2",0,IF(BP234="Less than 0.7",10,0)))</f>
        <v/>
      </c>
      <c r="BR234" s="25" t="inlineStr">
        <is>
          <t>No</t>
        </is>
      </c>
      <c r="BS234" s="25">
        <f>IF(BR234="Yes",-10,0)</f>
        <v/>
      </c>
      <c r="BT234" s="25" t="inlineStr">
        <is>
          <t>Less than 15%</t>
        </is>
      </c>
      <c r="BU234" s="25">
        <f>IF(BT234="More than 15%",-10,IF(BT234="Less than 15%",10,0))</f>
        <v/>
      </c>
      <c r="BV234" s="25" t="inlineStr">
        <is>
          <t>No</t>
        </is>
      </c>
      <c r="BW234" s="25">
        <f>IF(BV234="Yes, more than 10%",-10,IF(BV234="No",10,0))</f>
        <v/>
      </c>
    </row>
    <row r="235">
      <c r="A235" s="25">
        <f>IF(B235=0,"",RANK(B235,$B$2:$B$292,0))</f>
        <v/>
      </c>
      <c r="B235" s="26">
        <f>SUM(Q235,S235,U235,W235,Y235,AA235,AC235,AE235,AG235,AI235,AK235,AM235,AO235,AQ235,AS235,AU235,AW235,AY235,BA235,BC235,BE235,BG235,BI235,BK235,BM235,BO235,BQ235,BS235,BU235,BW235)</f>
        <v/>
      </c>
      <c r="C235" s="25" t="inlineStr">
        <is>
          <t>NEULANDLAB</t>
        </is>
      </c>
      <c r="D235" s="25" t="inlineStr">
        <is>
          <t>Neuland Laboratories Limited</t>
        </is>
      </c>
      <c r="E235" s="25" t="inlineStr">
        <is>
          <t>healthcare</t>
        </is>
      </c>
      <c r="F235" s="25" t="inlineStr">
        <is>
          <t>pharmaceuticals - indian - bulk drugs</t>
        </is>
      </c>
      <c r="G235" s="25" t="inlineStr">
        <is>
          <t>largecap</t>
        </is>
      </c>
      <c r="H235" s="26" t="n">
        <v>22064.84</v>
      </c>
      <c r="I235" s="26" t="n">
        <v>16909</v>
      </c>
      <c r="J235" s="26" t="n">
        <v>-1.68</v>
      </c>
      <c r="K235" s="26" t="n">
        <v>36516</v>
      </c>
      <c r="L235" s="26" t="n">
        <v>61.15</v>
      </c>
      <c r="M235" s="26" t="n">
        <v>29.47</v>
      </c>
      <c r="N235" s="26" t="n">
        <v>13749.04</v>
      </c>
      <c r="O235" s="25" t="inlineStr">
        <is>
          <t>Earnings / Momentum Support</t>
        </is>
      </c>
      <c r="P235" s="25" t="inlineStr">
        <is>
          <t>Growing Industry</t>
        </is>
      </c>
      <c r="Q235" s="25">
        <f>IF(P235="Growing Industry",10,IF(P235="Cyclical in an Upturn",5,0))</f>
        <v/>
      </c>
      <c r="R235" s="25" t="inlineStr">
        <is>
          <t>Too Many Players with High ROCE</t>
        </is>
      </c>
      <c r="S235" s="25">
        <f>IF(R235="Monopoly",10,IF(R235="Oligopoly",5,IF(R235="Duopoly that cooperate",10,IF(R235="Duopoly that compete",5,IF(R235="Too many players with High ROCE",5,0)))))</f>
        <v/>
      </c>
      <c r="T235" s="25" t="inlineStr">
        <is>
          <t>Yes</t>
        </is>
      </c>
      <c r="U235" s="25">
        <f>IF(T235="No",5,0)</f>
        <v/>
      </c>
      <c r="V235" s="25" t="inlineStr">
        <is>
          <t>Tailwind</t>
        </is>
      </c>
      <c r="W235" s="25">
        <f>IF(V235="Tailwind",10,0)</f>
        <v/>
      </c>
      <c r="X235" s="25" t="inlineStr">
        <is>
          <t>Structural (10 Years Consistency)</t>
        </is>
      </c>
      <c r="Y235" s="25">
        <f>IF(X235="Structural (10 Years Consistency)",10,IF(X235="Shallow Cyclical (2 to 3 years growth)",5,0))</f>
        <v/>
      </c>
      <c r="Z235" s="25" t="inlineStr">
        <is>
          <t>No</t>
        </is>
      </c>
      <c r="AA235" s="25">
        <f>IF(Z235="Yes due to Product Mix change or Operating Leverage",10,IF(Z235="Yes, these are peak margins",-5,IF(Z235="No",5,0)))</f>
        <v/>
      </c>
      <c r="AB235" s="25" t="inlineStr">
        <is>
          <t>Stable</t>
        </is>
      </c>
      <c r="AC235" s="25">
        <f>IF(AB235="Stable",10,0)</f>
        <v/>
      </c>
      <c r="AD235" s="25" t="inlineStr">
        <is>
          <t>Yes</t>
        </is>
      </c>
      <c r="AE235" s="25">
        <f>IF(AD235="Yes",10,0)</f>
        <v/>
      </c>
      <c r="AF235" s="25" t="inlineStr">
        <is>
          <t>B2B</t>
        </is>
      </c>
      <c r="AG235" s="25">
        <f>IF(AF235="B2C",10,IF(AF235="B2B",5,0))</f>
        <v/>
      </c>
      <c r="AH235" s="25" t="inlineStr">
        <is>
          <t>No</t>
        </is>
      </c>
      <c r="AI235" s="25">
        <f>IF(AH235="Yes",10,0)</f>
        <v/>
      </c>
      <c r="AJ235" s="25" t="inlineStr">
        <is>
          <t>Higher Annuity, Lower One Time</t>
        </is>
      </c>
      <c r="AK235" s="25">
        <f>IF(AJ235="Fully Annuity",10,IF(AJ235="Higher Annuity, Lower One Time",5,IF(AJ235="Higher One Time, Lower Annuity",3,0)))</f>
        <v/>
      </c>
      <c r="AL235" s="25" t="inlineStr">
        <is>
          <t>Good</t>
        </is>
      </c>
      <c r="AM235" s="25">
        <f>IF(AL235="Good",10,0)</f>
        <v/>
      </c>
      <c r="AN235" s="25" t="inlineStr">
        <is>
          <t>Yes for more than 2 years</t>
        </is>
      </c>
      <c r="AO235" s="25">
        <f>IF(AN235="Yes for more than 2 years",10,IF(AN235="Yes only for next 1 to 2 years",5,0))</f>
        <v/>
      </c>
      <c r="AP235" s="25" t="inlineStr">
        <is>
          <t>20 to 40</t>
        </is>
      </c>
      <c r="AQ235" s="25">
        <f>IF(AP235="Above 40",20,IF(AP235="20 to 40",10,IF(AP235="0 to 20",-5,0)))</f>
        <v/>
      </c>
      <c r="AR235" s="25" t="inlineStr">
        <is>
          <t>Between 50 to 75</t>
        </is>
      </c>
      <c r="AS235" s="25">
        <f>IF(AR235="Between 50 to 75",10,IF(AR235="Above 75",0,0))</f>
        <v/>
      </c>
      <c r="AT235" s="25" t="inlineStr">
        <is>
          <t>Stage 2</t>
        </is>
      </c>
      <c r="AU235" s="25">
        <f>IF(AT235="Stage 2",20,IF(AT235="Stage 1",0,IF(AT235="Stage 3",5,IF(AT235="Stage 4",-5,0))))</f>
        <v/>
      </c>
      <c r="AV235" s="25" t="inlineStr">
        <is>
          <t>Negative Trend</t>
        </is>
      </c>
      <c r="AW235" s="25">
        <f>IF(AV235="Positive Trend",20,IF(AV235="Negative Trend",-10,0))</f>
        <v/>
      </c>
      <c r="AX235" s="25" t="inlineStr">
        <is>
          <t>Uptrend</t>
        </is>
      </c>
      <c r="AY235" s="25">
        <f>IF(AX235="Uptrend",10,IF(AX235="Sideways",5,0))</f>
        <v/>
      </c>
      <c r="AZ235" s="25" t="inlineStr">
        <is>
          <t>Uptrend</t>
        </is>
      </c>
      <c r="BA235" s="25">
        <f>IF(AZ235="Uptrend",10,IF(AZ235="Sideways",5,0))</f>
        <v/>
      </c>
      <c r="BB235" s="25" t="inlineStr">
        <is>
          <t>Close to 52 week high or retracement</t>
        </is>
      </c>
      <c r="BC235" s="25">
        <f>IF(BB235="Overhead supply in last 2 years in last 2 years",-5,IF(BB235="Close to 52 week high or retracement",5,IF(BB235="Blue sky scenario",10,IF(BB235="Long term Downtrend",-10,0))))</f>
        <v/>
      </c>
      <c r="BD235" s="25" t="inlineStr">
        <is>
          <t>Yes</t>
        </is>
      </c>
      <c r="BE235" s="25">
        <f>IF(BD235="Yes",10,0)</f>
        <v/>
      </c>
      <c r="BF235" s="25" t="inlineStr">
        <is>
          <t>More than 20%</t>
        </is>
      </c>
      <c r="BG235" s="25">
        <f>IF(BF235="More than 20%",10,IF(BF235="Between 12 to 20%",5,IF(BF235="Less than 12%",0,0)))</f>
        <v/>
      </c>
      <c r="BH235" s="25" t="inlineStr">
        <is>
          <t>No</t>
        </is>
      </c>
      <c r="BI235" s="25">
        <f>IF(BH235="No",10,0)</f>
        <v/>
      </c>
      <c r="BJ235" s="25" t="inlineStr">
        <is>
          <t>Yes</t>
        </is>
      </c>
      <c r="BK235" s="25">
        <f>IF(BJ235="NO",5,0)</f>
        <v/>
      </c>
      <c r="BL235" s="25" t="inlineStr">
        <is>
          <t>Less than 1.5</t>
        </is>
      </c>
      <c r="BM235" s="25">
        <f>IF(BL235="Above 2",0,IF(BL235="Between 1.5 to 2",5,IF(BL235="Less than 1.5",10,0)))</f>
        <v/>
      </c>
      <c r="BN235" s="25" t="inlineStr">
        <is>
          <t>Above 70%</t>
        </is>
      </c>
      <c r="BO235" s="25">
        <f>IF(BN235="Above 70%",10,IF(BN235="Between 50% to 70%",5,IF(BN235="Less than 50%",0,IF(BN235="Negative",-10,IF(BN235="Less than 50% and Borrowings are increasing",-5,0)))))</f>
        <v/>
      </c>
      <c r="BP235" s="25" t="inlineStr">
        <is>
          <t>Less than 0.7</t>
        </is>
      </c>
      <c r="BQ235" s="25">
        <f>IF(BP235="More than 1.2",-10,IF(BP235="Between 0.7 to 1.2",0,IF(BP235="Less than 0.7",10,0)))</f>
        <v/>
      </c>
      <c r="BR235" s="25" t="inlineStr">
        <is>
          <t>No</t>
        </is>
      </c>
      <c r="BS235" s="25">
        <f>IF(BR235="Yes",-10,0)</f>
        <v/>
      </c>
      <c r="BT235" s="25" t="inlineStr">
        <is>
          <t>Less than 15%</t>
        </is>
      </c>
      <c r="BU235" s="25">
        <f>IF(BT235="More than 15%",-10,IF(BT235="Less than 15%",10,0))</f>
        <v/>
      </c>
      <c r="BV235" s="25" t="inlineStr">
        <is>
          <t>No</t>
        </is>
      </c>
      <c r="BW235" s="25">
        <f>IF(BV235="Yes, more than 10%",-10,IF(BV235="No",10,0))</f>
        <v/>
      </c>
    </row>
    <row r="236">
      <c r="A236" s="25">
        <f>IF(B236=0,"",RANK(B236,$B$2:$B$292,0))</f>
        <v/>
      </c>
      <c r="B236" s="26">
        <f>SUM(Q236,S236,U236,W236,Y236,AA236,AC236,AE236,AG236,AI236,AK236,AM236,AO236,AQ236,AS236,AU236,AW236,AY236,BA236,BC236,BE236,BG236,BI236,BK236,BM236,BO236,BQ236,BS236,BU236,BW236)</f>
        <v/>
      </c>
      <c r="C236" s="25" t="inlineStr">
        <is>
          <t>SGIL</t>
        </is>
      </c>
      <c r="D236" s="25" t="inlineStr">
        <is>
          <t>Synergy Green Industries Ltd</t>
        </is>
      </c>
      <c r="E236" s="25" t="inlineStr">
        <is>
          <t>industrials</t>
        </is>
      </c>
      <c r="F236" s="25" t="inlineStr">
        <is>
          <t>castings &amp; forgings</t>
        </is>
      </c>
      <c r="G236" s="25" t="inlineStr">
        <is>
          <t>smallcap</t>
        </is>
      </c>
      <c r="H236" s="26" t="n">
        <v>821.45</v>
      </c>
      <c r="I236" s="26" t="n">
        <v>591.9</v>
      </c>
      <c r="J236" s="26" t="n">
        <v>12</v>
      </c>
      <c r="K236" s="26" t="n">
        <v>130165</v>
      </c>
      <c r="L236" s="26" t="n">
        <v>61.21</v>
      </c>
      <c r="M236" s="26" t="n">
        <v>21.17</v>
      </c>
      <c r="N236" s="26" t="n">
        <v>440.57</v>
      </c>
      <c r="O236" s="25" t="inlineStr">
        <is>
          <t>Volume Spike &amp; Near 52W High Breakout</t>
        </is>
      </c>
      <c r="P236" s="25" t="inlineStr">
        <is>
          <t>Cyclical in an Upturn</t>
        </is>
      </c>
      <c r="Q236" s="25">
        <f>IF(P236="Growing Industry",10,IF(P236="Cyclical in an Upturn",5,0))</f>
        <v/>
      </c>
      <c r="R236" s="25" t="inlineStr">
        <is>
          <t>Too Many Players with High ROCE</t>
        </is>
      </c>
      <c r="S236" s="25">
        <f>IF(R236="Monopoly",10,IF(R236="Oligopoly",5,IF(R236="Duopoly that cooperate",10,IF(R236="Duopoly that compete",5,IF(R236="Too many players with High ROCE",5,0)))))</f>
        <v/>
      </c>
      <c r="T236" s="25" t="inlineStr">
        <is>
          <t>No</t>
        </is>
      </c>
      <c r="U236" s="25">
        <f>IF(T236="No",5,0)</f>
        <v/>
      </c>
      <c r="V236" s="25" t="inlineStr">
        <is>
          <t>Tailwind</t>
        </is>
      </c>
      <c r="W236" s="25">
        <f>IF(V236="Tailwind",10,0)</f>
        <v/>
      </c>
      <c r="X236" s="25" t="inlineStr">
        <is>
          <t>Structural (10 Years Consistency)</t>
        </is>
      </c>
      <c r="Y236" s="25">
        <f>IF(X236="Structural (10 Years Consistency)",10,IF(X236="Shallow Cyclical (2 to 3 years growth)",5,0))</f>
        <v/>
      </c>
      <c r="Z236" s="25" t="inlineStr">
        <is>
          <t>No</t>
        </is>
      </c>
      <c r="AA236" s="25">
        <f>IF(Z236="Yes due to Product Mix change or Operating Leverage",10,IF(Z236="Yes, these are peak margins",-5,IF(Z236="No",5,0)))</f>
        <v/>
      </c>
      <c r="AB236" s="25" t="inlineStr">
        <is>
          <t>Stable</t>
        </is>
      </c>
      <c r="AC236" s="25">
        <f>IF(AB236="Stable",10,0)</f>
        <v/>
      </c>
      <c r="AD236" s="25" t="inlineStr">
        <is>
          <t>Yes</t>
        </is>
      </c>
      <c r="AE236" s="25">
        <f>IF(AD236="Yes",10,0)</f>
        <v/>
      </c>
      <c r="AF236" s="25" t="inlineStr">
        <is>
          <t>B2B</t>
        </is>
      </c>
      <c r="AG236" s="25">
        <f>IF(AF236="B2C",10,IF(AF236="B2B",5,0))</f>
        <v/>
      </c>
      <c r="AH236" s="25" t="inlineStr">
        <is>
          <t>Yes</t>
        </is>
      </c>
      <c r="AI236" s="25">
        <f>IF(AH236="Yes",10,0)</f>
        <v/>
      </c>
      <c r="AJ236" s="25" t="inlineStr">
        <is>
          <t>Higher One Time, Lower Annuity</t>
        </is>
      </c>
      <c r="AK236" s="25">
        <f>IF(AJ236="Fully Annuity",10,IF(AJ236="Higher Annuity, Lower One Time",5,IF(AJ236="Higher One Time, Lower Annuity",3,0)))</f>
        <v/>
      </c>
      <c r="AL236" s="25" t="inlineStr">
        <is>
          <t>Good</t>
        </is>
      </c>
      <c r="AM236" s="25">
        <f>IF(AL236="Good",10,0)</f>
        <v/>
      </c>
      <c r="AN236" s="25" t="inlineStr">
        <is>
          <t>Yes for more than 2 years</t>
        </is>
      </c>
      <c r="AO236" s="25">
        <f>IF(AN236="Yes for more than 2 years",10,IF(AN236="Yes only for next 1 to 2 years",5,0))</f>
        <v/>
      </c>
      <c r="AP236" s="25" t="inlineStr">
        <is>
          <t>20 to 40</t>
        </is>
      </c>
      <c r="AQ236" s="25">
        <f>IF(AP236="Above 40",20,IF(AP236="20 to 40",10,IF(AP236="0 to 20",-5,0)))</f>
        <v/>
      </c>
      <c r="AR236" s="25" t="inlineStr">
        <is>
          <t>Between 50 to 75</t>
        </is>
      </c>
      <c r="AS236" s="25">
        <f>IF(AR236="Between 50 to 75",10,IF(AR236="Above 75",0,0))</f>
        <v/>
      </c>
      <c r="AT236" s="25" t="inlineStr">
        <is>
          <t>Stage 2</t>
        </is>
      </c>
      <c r="AU236" s="25">
        <f>IF(AT236="Stage 2",20,IF(AT236="Stage 1",0,IF(AT236="Stage 3",5,IF(AT236="Stage 4",-5,0))))</f>
        <v/>
      </c>
      <c r="AV236" s="25" t="inlineStr">
        <is>
          <t>Positive Trend</t>
        </is>
      </c>
      <c r="AW236" s="25">
        <f>IF(AV236="Positive Trend",20,IF(AV236="Negative Trend",-10,0))</f>
        <v/>
      </c>
      <c r="AX236" s="25" t="inlineStr">
        <is>
          <t>Uptrend</t>
        </is>
      </c>
      <c r="AY236" s="25">
        <f>IF(AX236="Uptrend",10,IF(AX236="Sideways",5,0))</f>
        <v/>
      </c>
      <c r="AZ236" s="25" t="inlineStr">
        <is>
          <t>Uptrend</t>
        </is>
      </c>
      <c r="BA236" s="25">
        <f>IF(AZ236="Uptrend",10,IF(AZ236="Sideways",5,0))</f>
        <v/>
      </c>
      <c r="BB236" s="25" t="inlineStr">
        <is>
          <t>Blue sky scenario</t>
        </is>
      </c>
      <c r="BC236" s="25">
        <f>IF(BB236="Overhead supply in last 2 years in last 2 years",-5,IF(BB236="Close to 52 week high or retracement",5,IF(BB236="Blue sky scenario",10,IF(BB236="Long term Downtrend",-10,0))))</f>
        <v/>
      </c>
      <c r="BD236" s="25" t="inlineStr">
        <is>
          <t>Yes</t>
        </is>
      </c>
      <c r="BE236" s="25">
        <f>IF(BD236="Yes",10,0)</f>
        <v/>
      </c>
      <c r="BF236" s="25" t="inlineStr">
        <is>
          <t>Less than 12%</t>
        </is>
      </c>
      <c r="BG236" s="25">
        <f>IF(BF236="More than 20%",10,IF(BF236="Between 12 to 20%",5,IF(BF236="Less than 12%",0,0)))</f>
        <v/>
      </c>
      <c r="BH236" s="25" t="inlineStr">
        <is>
          <t>No</t>
        </is>
      </c>
      <c r="BI236" s="25">
        <f>IF(BH236="No",10,0)</f>
        <v/>
      </c>
      <c r="BJ236" s="25" t="inlineStr">
        <is>
          <t>Yes</t>
        </is>
      </c>
      <c r="BK236" s="25">
        <f>IF(BJ236="NO",5,0)</f>
        <v/>
      </c>
      <c r="BL236" s="25" t="inlineStr">
        <is>
          <t>Less than 1.5</t>
        </is>
      </c>
      <c r="BM236" s="25">
        <f>IF(BL236="Above 2",0,IF(BL236="Between 1.5 to 2",5,IF(BL236="Less than 1.5",10,0)))</f>
        <v/>
      </c>
      <c r="BN236" s="25" t="inlineStr">
        <is>
          <t>Less than 50% and Borrowings are increasing</t>
        </is>
      </c>
      <c r="BO236" s="25">
        <f>IF(BN236="Above 70%",10,IF(BN236="Between 50% to 70%",5,IF(BN236="Less than 50%",0,IF(BN236="Negative",-10,IF(BN236="Less than 50% and Borrowings are increasing",-5,0)))))</f>
        <v/>
      </c>
      <c r="BP236" s="25" t="inlineStr">
        <is>
          <t>More than 1.2</t>
        </is>
      </c>
      <c r="BQ236" s="25">
        <f>IF(BP236="More than 1.2",-10,IF(BP236="Between 0.7 to 1.2",0,IF(BP236="Less than 0.7",10,0)))</f>
        <v/>
      </c>
      <c r="BR236" s="25" t="inlineStr">
        <is>
          <t>No</t>
        </is>
      </c>
      <c r="BS236" s="25">
        <f>IF(BR236="Yes",-10,0)</f>
        <v/>
      </c>
      <c r="BT236" s="25" t="inlineStr">
        <is>
          <t>Less than 15%</t>
        </is>
      </c>
      <c r="BU236" s="25">
        <f>IF(BT236="More than 15%",-10,IF(BT236="Less than 15%",10,0))</f>
        <v/>
      </c>
      <c r="BV236" s="25" t="inlineStr">
        <is>
          <t>No</t>
        </is>
      </c>
      <c r="BW236" s="25">
        <f>IF(BV236="Yes, more than 10%",-10,IF(BV236="No",10,0))</f>
        <v/>
      </c>
    </row>
    <row r="237">
      <c r="A237" s="25">
        <f>IF(B237=0,"",RANK(B237,$B$2:$B$292,0))</f>
        <v/>
      </c>
      <c r="B237" s="26">
        <f>SUM(Q237,S237,U237,W237,Y237,AA237,AC237,AE237,AG237,AI237,AK237,AM237,AO237,AQ237,AS237,AU237,AW237,AY237,BA237,BC237,BE237,BG237,BI237,BK237,BM237,BO237,BQ237,BS237,BU237,BW237)</f>
        <v/>
      </c>
      <c r="C237" s="25" t="inlineStr">
        <is>
          <t>ACMESOLAR</t>
        </is>
      </c>
      <c r="D237" s="25" t="inlineStr">
        <is>
          <t>ACME Solar Holdings Ltd</t>
        </is>
      </c>
      <c r="E237" s="25" t="inlineStr">
        <is>
          <t>realty</t>
        </is>
      </c>
      <c r="F237" s="25" t="inlineStr">
        <is>
          <t>engineering - turnkey services</t>
        </is>
      </c>
      <c r="G237" s="25" t="inlineStr">
        <is>
          <t>midcap</t>
        </is>
      </c>
      <c r="H237" s="26" t="n">
        <v>18615.45</v>
      </c>
      <c r="I237" s="26" t="n">
        <v>334.75</v>
      </c>
      <c r="J237" s="26" t="n">
        <v>8.970000000000001</v>
      </c>
      <c r="K237" s="26" t="n">
        <v>12451703</v>
      </c>
      <c r="L237" s="26" t="n">
        <v>68.67</v>
      </c>
      <c r="M237" s="26" t="n">
        <v>18.1</v>
      </c>
      <c r="N237" s="26" t="n">
        <v>258.16</v>
      </c>
      <c r="O237" s="25" t="inlineStr">
        <is>
          <t>Volume Spike &amp; Near 52W High Breakout</t>
        </is>
      </c>
      <c r="P237" s="25" t="inlineStr">
        <is>
          <t>Growing Industry</t>
        </is>
      </c>
      <c r="Q237" s="25">
        <f>IF(P237="Growing Industry",10,IF(P237="Cyclical in an Upturn",5,0))</f>
        <v/>
      </c>
      <c r="R237" s="25" t="inlineStr">
        <is>
          <t>Too Many Players with High ROCE</t>
        </is>
      </c>
      <c r="S237" s="25">
        <f>IF(R237="Monopoly",10,IF(R237="Oligopoly",5,IF(R237="Duopoly that cooperate",10,IF(R237="Duopoly that compete",5,IF(R237="Too many players with High ROCE",5,0)))))</f>
        <v/>
      </c>
      <c r="T237" s="25" t="inlineStr">
        <is>
          <t>No</t>
        </is>
      </c>
      <c r="U237" s="25">
        <f>IF(T237="No",5,0)</f>
        <v/>
      </c>
      <c r="V237" s="25" t="inlineStr">
        <is>
          <t>Tailwind</t>
        </is>
      </c>
      <c r="W237" s="25">
        <f>IF(V237="Tailwind",10,0)</f>
        <v/>
      </c>
      <c r="X237" s="25" t="inlineStr">
        <is>
          <t>Structural (10 Years Consistency)</t>
        </is>
      </c>
      <c r="Y237" s="25">
        <f>IF(X237="Structural (10 Years Consistency)",10,IF(X237="Shallow Cyclical (2 to 3 years growth)",5,0))</f>
        <v/>
      </c>
      <c r="Z237" s="25" t="inlineStr">
        <is>
          <t>No</t>
        </is>
      </c>
      <c r="AA237" s="25">
        <f>IF(Z237="Yes due to Product Mix change or Operating Leverage",10,IF(Z237="Yes, these are peak margins",-5,IF(Z237="No",5,0)))</f>
        <v/>
      </c>
      <c r="AB237" s="25" t="inlineStr">
        <is>
          <t>Stable</t>
        </is>
      </c>
      <c r="AC237" s="25">
        <f>IF(AB237="Stable",10,0)</f>
        <v/>
      </c>
      <c r="AD237" s="25" t="inlineStr">
        <is>
          <t>Yes</t>
        </is>
      </c>
      <c r="AE237" s="25">
        <f>IF(AD237="Yes",10,0)</f>
        <v/>
      </c>
      <c r="AF237" s="25" t="inlineStr">
        <is>
          <t>B2B</t>
        </is>
      </c>
      <c r="AG237" s="25">
        <f>IF(AF237="B2C",10,IF(AF237="B2B",5,0))</f>
        <v/>
      </c>
      <c r="AH237" s="25" t="inlineStr">
        <is>
          <t>Yes</t>
        </is>
      </c>
      <c r="AI237" s="25">
        <f>IF(AH237="Yes",10,0)</f>
        <v/>
      </c>
      <c r="AJ237" s="25" t="inlineStr">
        <is>
          <t>Higher One Time, Lower Annuity</t>
        </is>
      </c>
      <c r="AK237" s="25">
        <f>IF(AJ237="Fully Annuity",10,IF(AJ237="Higher Annuity, Lower One Time",5,IF(AJ237="Higher One Time, Lower Annuity",3,0)))</f>
        <v/>
      </c>
      <c r="AL237" s="25" t="inlineStr">
        <is>
          <t>Good</t>
        </is>
      </c>
      <c r="AM237" s="25">
        <f>IF(AL237="Good",10,0)</f>
        <v/>
      </c>
      <c r="AN237" s="25" t="inlineStr">
        <is>
          <t>Yes for more than 2 years</t>
        </is>
      </c>
      <c r="AO237" s="25">
        <f>IF(AN237="Yes for more than 2 years",10,IF(AN237="Yes only for next 1 to 2 years",5,0))</f>
        <v/>
      </c>
      <c r="AP237" s="25" t="inlineStr">
        <is>
          <t>0 to 20</t>
        </is>
      </c>
      <c r="AQ237" s="25">
        <f>IF(AP237="Above 40",20,IF(AP237="20 to 40",10,IF(AP237="0 to 20",-5,0)))</f>
        <v/>
      </c>
      <c r="AR237" s="25" t="inlineStr">
        <is>
          <t>Between 50 to 75</t>
        </is>
      </c>
      <c r="AS237" s="25">
        <f>IF(AR237="Between 50 to 75",10,IF(AR237="Above 75",0,0))</f>
        <v/>
      </c>
      <c r="AT237" s="25" t="inlineStr">
        <is>
          <t>Stage 2</t>
        </is>
      </c>
      <c r="AU237" s="25">
        <f>IF(AT237="Stage 2",20,IF(AT237="Stage 1",0,IF(AT237="Stage 3",5,IF(AT237="Stage 4",-5,0))))</f>
        <v/>
      </c>
      <c r="AV237" s="25" t="inlineStr">
        <is>
          <t>Positive Trend</t>
        </is>
      </c>
      <c r="AW237" s="25">
        <f>IF(AV237="Positive Trend",20,IF(AV237="Negative Trend",-10,0))</f>
        <v/>
      </c>
      <c r="AX237" s="25" t="inlineStr">
        <is>
          <t>Uptrend</t>
        </is>
      </c>
      <c r="AY237" s="25">
        <f>IF(AX237="Uptrend",10,IF(AX237="Sideways",5,0))</f>
        <v/>
      </c>
      <c r="AZ237" s="25" t="inlineStr">
        <is>
          <t>Uptrend</t>
        </is>
      </c>
      <c r="BA237" s="25">
        <f>IF(AZ237="Uptrend",10,IF(AZ237="Sideways",5,0))</f>
        <v/>
      </c>
      <c r="BB237" s="25" t="inlineStr">
        <is>
          <t>Blue sky scenario</t>
        </is>
      </c>
      <c r="BC237" s="25">
        <f>IF(BB237="Overhead supply in last 2 years in last 2 years",-5,IF(BB237="Close to 52 week high or retracement",5,IF(BB237="Blue sky scenario",10,IF(BB237="Long term Downtrend",-10,0))))</f>
        <v/>
      </c>
      <c r="BD237" s="25" t="inlineStr">
        <is>
          <t>Yes</t>
        </is>
      </c>
      <c r="BE237" s="25">
        <f>IF(BD237="Yes",10,0)</f>
        <v/>
      </c>
      <c r="BF237" s="25" t="inlineStr">
        <is>
          <t>Less than 12%</t>
        </is>
      </c>
      <c r="BG237" s="25">
        <f>IF(BF237="More than 20%",10,IF(BF237="Between 12 to 20%",5,IF(BF237="Less than 12%",0,0)))</f>
        <v/>
      </c>
      <c r="BH237" s="25" t="inlineStr">
        <is>
          <t>No</t>
        </is>
      </c>
      <c r="BI237" s="25">
        <f>IF(BH237="No",10,0)</f>
        <v/>
      </c>
      <c r="BJ237" s="25" t="inlineStr">
        <is>
          <t>Yes</t>
        </is>
      </c>
      <c r="BK237" s="25">
        <f>IF(BJ237="NO",5,0)</f>
        <v/>
      </c>
      <c r="BL237" s="25" t="inlineStr">
        <is>
          <t>Less than 1.5</t>
        </is>
      </c>
      <c r="BM237" s="25">
        <f>IF(BL237="Above 2",0,IF(BL237="Between 1.5 to 2",5,IF(BL237="Less than 1.5",10,0)))</f>
        <v/>
      </c>
      <c r="BN237" s="25" t="inlineStr">
        <is>
          <t>Between 50% to 70%</t>
        </is>
      </c>
      <c r="BO237" s="25">
        <f>IF(BN237="Above 70%",10,IF(BN237="Between 50% to 70%",5,IF(BN237="Less than 50%",0,IF(BN237="Negative",-10,IF(BN237="Less than 50% and Borrowings are increasing",-5,0)))))</f>
        <v/>
      </c>
      <c r="BP237" s="25" t="inlineStr">
        <is>
          <t>More than 1.2</t>
        </is>
      </c>
      <c r="BQ237" s="25">
        <f>IF(BP237="More than 1.2",-10,IF(BP237="Between 0.7 to 1.2",0,IF(BP237="Less than 0.7",10,0)))</f>
        <v/>
      </c>
      <c r="BR237" s="25" t="inlineStr">
        <is>
          <t>No</t>
        </is>
      </c>
      <c r="BS237" s="25">
        <f>IF(BR237="Yes",-10,0)</f>
        <v/>
      </c>
      <c r="BT237" s="25" t="inlineStr">
        <is>
          <t>Less than 15%</t>
        </is>
      </c>
      <c r="BU237" s="25">
        <f>IF(BT237="More than 15%",-10,IF(BT237="Less than 15%",10,0))</f>
        <v/>
      </c>
      <c r="BV237" s="25" t="inlineStr">
        <is>
          <t>No</t>
        </is>
      </c>
      <c r="BW237" s="25">
        <f>IF(BV237="Yes, more than 10%",-10,IF(BV237="No",10,0))</f>
        <v/>
      </c>
    </row>
    <row r="238">
      <c r="A238" s="25">
        <f>IF(B238=0,"",RANK(B238,$B$2:$B$292,0))</f>
        <v/>
      </c>
      <c r="B238" s="26">
        <f>SUM(Q238,S238,U238,W238,Y238,AA238,AC238,AE238,AG238,AI238,AK238,AM238,AO238,AQ238,AS238,AU238,AW238,AY238,BA238,BC238,BE238,BG238,BI238,BK238,BM238,BO238,BQ238,BS238,BU238,BW238)</f>
        <v/>
      </c>
      <c r="C238" s="25" t="inlineStr">
        <is>
          <t>ROSSTECH</t>
        </is>
      </c>
      <c r="D238" s="25" t="inlineStr">
        <is>
          <t>Rossell Techsys Ltd</t>
        </is>
      </c>
      <c r="E238" s="25" t="inlineStr">
        <is>
          <t>aerospace &amp; defence</t>
        </is>
      </c>
      <c r="F238" s="25" t="inlineStr">
        <is>
          <t>engineering</t>
        </is>
      </c>
      <c r="G238" s="25" t="inlineStr">
        <is>
          <t>smallcap</t>
        </is>
      </c>
      <c r="H238" s="26" t="n">
        <v>3762.86</v>
      </c>
      <c r="I238" s="26" t="n">
        <v>1080.5</v>
      </c>
      <c r="J238" s="26" t="n">
        <v>8.24</v>
      </c>
      <c r="K238" s="26" t="n">
        <v>173450</v>
      </c>
      <c r="L238" s="26" t="n">
        <v>69.54000000000001</v>
      </c>
      <c r="M238" s="26" t="n">
        <v>36.83</v>
      </c>
      <c r="N238" s="26" t="n">
        <v>745.51</v>
      </c>
      <c r="O238" s="25" t="inlineStr">
        <is>
          <t>Near 52W High Breakout</t>
        </is>
      </c>
      <c r="P238" s="25" t="inlineStr">
        <is>
          <t>Growing Industry</t>
        </is>
      </c>
      <c r="Q238" s="25">
        <f>IF(P238="Growing Industry",10,IF(P238="Cyclical in an Upturn",5,0))</f>
        <v/>
      </c>
      <c r="R238" s="25" t="inlineStr">
        <is>
          <t>Too Many Players with High ROCE</t>
        </is>
      </c>
      <c r="S238" s="25">
        <f>IF(R238="Monopoly",10,IF(R238="Oligopoly",5,IF(R238="Duopoly that cooperate",10,IF(R238="Duopoly that compete",5,IF(R238="Too many players with High ROCE",5,0)))))</f>
        <v/>
      </c>
      <c r="T238" s="25" t="inlineStr">
        <is>
          <t>No</t>
        </is>
      </c>
      <c r="U238" s="25">
        <f>IF(T238="No",5,0)</f>
        <v/>
      </c>
      <c r="V238" s="25" t="inlineStr">
        <is>
          <t>Tailwind</t>
        </is>
      </c>
      <c r="W238" s="25">
        <f>IF(V238="Tailwind",10,0)</f>
        <v/>
      </c>
      <c r="X238" s="25" t="inlineStr">
        <is>
          <t>Structural (10 Years Consistency)</t>
        </is>
      </c>
      <c r="Y238" s="25">
        <f>IF(X238="Structural (10 Years Consistency)",10,IF(X238="Shallow Cyclical (2 to 3 years growth)",5,0))</f>
        <v/>
      </c>
      <c r="Z238" s="25" t="inlineStr">
        <is>
          <t>No</t>
        </is>
      </c>
      <c r="AA238" s="25">
        <f>IF(Z238="Yes due to Product Mix change or Operating Leverage",10,IF(Z238="Yes, these are peak margins",-5,IF(Z238="No",5,0)))</f>
        <v/>
      </c>
      <c r="AB238" s="25" t="inlineStr">
        <is>
          <t>Stable</t>
        </is>
      </c>
      <c r="AC238" s="25">
        <f>IF(AB238="Stable",10,0)</f>
        <v/>
      </c>
      <c r="AD238" s="25" t="inlineStr">
        <is>
          <t>Yes</t>
        </is>
      </c>
      <c r="AE238" s="25">
        <f>IF(AD238="Yes",10,0)</f>
        <v/>
      </c>
      <c r="AF238" s="25" t="inlineStr">
        <is>
          <t>B2B</t>
        </is>
      </c>
      <c r="AG238" s="25">
        <f>IF(AF238="B2C",10,IF(AF238="B2B",5,0))</f>
        <v/>
      </c>
      <c r="AH238" s="25" t="inlineStr">
        <is>
          <t>Yes</t>
        </is>
      </c>
      <c r="AI238" s="25">
        <f>IF(AH238="Yes",10,0)</f>
        <v/>
      </c>
      <c r="AJ238" s="25" t="inlineStr">
        <is>
          <t>Higher One Time, Lower Annuity</t>
        </is>
      </c>
      <c r="AK238" s="25">
        <f>IF(AJ238="Fully Annuity",10,IF(AJ238="Higher Annuity, Lower One Time",5,IF(AJ238="Higher One Time, Lower Annuity",3,0)))</f>
        <v/>
      </c>
      <c r="AL238" s="25" t="inlineStr">
        <is>
          <t>Good</t>
        </is>
      </c>
      <c r="AM238" s="25">
        <f>IF(AL238="Good",10,0)</f>
        <v/>
      </c>
      <c r="AN238" s="25" t="inlineStr">
        <is>
          <t>Yes for more than 2 years</t>
        </is>
      </c>
      <c r="AO238" s="25">
        <f>IF(AN238="Yes for more than 2 years",10,IF(AN238="Yes only for next 1 to 2 years",5,0))</f>
        <v/>
      </c>
      <c r="AP238" s="25" t="inlineStr">
        <is>
          <t>20 to 40</t>
        </is>
      </c>
      <c r="AQ238" s="25">
        <f>IF(AP238="Above 40",20,IF(AP238="20 to 40",10,IF(AP238="0 to 20",-5,0)))</f>
        <v/>
      </c>
      <c r="AR238" s="25" t="inlineStr">
        <is>
          <t>Between 50 to 75</t>
        </is>
      </c>
      <c r="AS238" s="25">
        <f>IF(AR238="Between 50 to 75",10,IF(AR238="Above 75",0,0))</f>
        <v/>
      </c>
      <c r="AT238" s="25" t="inlineStr">
        <is>
          <t>Stage 2</t>
        </is>
      </c>
      <c r="AU238" s="25">
        <f>IF(AT238="Stage 2",20,IF(AT238="Stage 1",0,IF(AT238="Stage 3",5,IF(AT238="Stage 4",-5,0))))</f>
        <v/>
      </c>
      <c r="AV238" s="25" t="inlineStr">
        <is>
          <t>Positive Trend</t>
        </is>
      </c>
      <c r="AW238" s="25">
        <f>IF(AV238="Positive Trend",20,IF(AV238="Negative Trend",-10,0))</f>
        <v/>
      </c>
      <c r="AX238" s="25" t="inlineStr">
        <is>
          <t>Uptrend</t>
        </is>
      </c>
      <c r="AY238" s="25">
        <f>IF(AX238="Uptrend",10,IF(AX238="Sideways",5,0))</f>
        <v/>
      </c>
      <c r="AZ238" s="25" t="inlineStr">
        <is>
          <t>Uptrend</t>
        </is>
      </c>
      <c r="BA238" s="25">
        <f>IF(AZ238="Uptrend",10,IF(AZ238="Sideways",5,0))</f>
        <v/>
      </c>
      <c r="BB238" s="25" t="inlineStr">
        <is>
          <t>Blue sky scenario</t>
        </is>
      </c>
      <c r="BC238" s="25">
        <f>IF(BB238="Overhead supply in last 2 years in last 2 years",-5,IF(BB238="Close to 52 week high or retracement",5,IF(BB238="Blue sky scenario",10,IF(BB238="Long term Downtrend",-10,0))))</f>
        <v/>
      </c>
      <c r="BD238" s="25" t="inlineStr">
        <is>
          <t>Yes</t>
        </is>
      </c>
      <c r="BE238" s="25">
        <f>IF(BD238="Yes",10,0)</f>
        <v/>
      </c>
      <c r="BF238" s="25" t="inlineStr">
        <is>
          <t>Less than 12%</t>
        </is>
      </c>
      <c r="BG238" s="25">
        <f>IF(BF238="More than 20%",10,IF(BF238="Between 12 to 20%",5,IF(BF238="Less than 12%",0,0)))</f>
        <v/>
      </c>
      <c r="BH238" s="25" t="inlineStr">
        <is>
          <t>No</t>
        </is>
      </c>
      <c r="BI238" s="25">
        <f>IF(BH238="No",10,0)</f>
        <v/>
      </c>
      <c r="BJ238" s="25" t="inlineStr">
        <is>
          <t>Yes</t>
        </is>
      </c>
      <c r="BK238" s="25">
        <f>IF(BJ238="NO",5,0)</f>
        <v/>
      </c>
      <c r="BL238" s="25" t="inlineStr">
        <is>
          <t>Less than 1.5</t>
        </is>
      </c>
      <c r="BM238" s="25">
        <f>IF(BL238="Above 2",0,IF(BL238="Between 1.5 to 2",5,IF(BL238="Less than 1.5",10,0)))</f>
        <v/>
      </c>
      <c r="BN238" s="25" t="inlineStr">
        <is>
          <t>Negative</t>
        </is>
      </c>
      <c r="BO238" s="25">
        <f>IF(BN238="Above 70%",10,IF(BN238="Between 50% to 70%",5,IF(BN238="Less than 50%",0,IF(BN238="Negative",-10,IF(BN238="Less than 50% and Borrowings are increasing",-5,0)))))</f>
        <v/>
      </c>
      <c r="BP238" s="25" t="inlineStr">
        <is>
          <t>More than 1.2</t>
        </is>
      </c>
      <c r="BQ238" s="25">
        <f>IF(BP238="More than 1.2",-10,IF(BP238="Between 0.7 to 1.2",0,IF(BP238="Less than 0.7",10,0)))</f>
        <v/>
      </c>
      <c r="BR238" s="25" t="inlineStr">
        <is>
          <t>No</t>
        </is>
      </c>
      <c r="BS238" s="25">
        <f>IF(BR238="Yes",-10,0)</f>
        <v/>
      </c>
      <c r="BT238" s="25" t="inlineStr">
        <is>
          <t>Less than 15%</t>
        </is>
      </c>
      <c r="BU238" s="25">
        <f>IF(BT238="More than 15%",-10,IF(BT238="Less than 15%",10,0))</f>
        <v/>
      </c>
      <c r="BV238" s="25" t="inlineStr">
        <is>
          <t>No</t>
        </is>
      </c>
      <c r="BW238" s="25">
        <f>IF(BV238="Yes, more than 10%",-10,IF(BV238="No",10,0))</f>
        <v/>
      </c>
    </row>
    <row r="239">
      <c r="A239" s="25">
        <f>IF(B239=0,"",RANK(B239,$B$2:$B$292,0))</f>
        <v/>
      </c>
      <c r="B239" s="26">
        <f>SUM(Q239,S239,U239,W239,Y239,AA239,AC239,AE239,AG239,AI239,AK239,AM239,AO239,AQ239,AS239,AU239,AW239,AY239,BA239,BC239,BE239,BG239,BI239,BK239,BM239,BO239,BQ239,BS239,BU239,BW239)</f>
        <v/>
      </c>
      <c r="C239" s="25" t="inlineStr">
        <is>
          <t>AEROFLEX</t>
        </is>
      </c>
      <c r="D239" s="25" t="inlineStr">
        <is>
          <t>Aeroflex Industries Ltd</t>
        </is>
      </c>
      <c r="E239" s="25" t="inlineStr">
        <is>
          <t>metals &amp; mining</t>
        </is>
      </c>
      <c r="F239" s="25" t="inlineStr">
        <is>
          <t>steel - medium / small</t>
        </is>
      </c>
      <c r="G239" s="25" t="inlineStr">
        <is>
          <t>midcap</t>
        </is>
      </c>
      <c r="H239" s="26" t="n">
        <v>5139.07</v>
      </c>
      <c r="I239" s="26" t="n">
        <v>419.45</v>
      </c>
      <c r="J239" s="26" t="n">
        <v>8.01</v>
      </c>
      <c r="K239" s="26" t="n">
        <v>2773192</v>
      </c>
      <c r="L239" s="26" t="n">
        <v>70.97</v>
      </c>
      <c r="M239" s="26" t="n">
        <v>53.7</v>
      </c>
      <c r="N239" s="26" t="n">
        <v>308.22</v>
      </c>
      <c r="O239" s="25" t="inlineStr">
        <is>
          <t>Near 52W High Breakout</t>
        </is>
      </c>
      <c r="P239" s="25" t="inlineStr">
        <is>
          <t>Cyclical in an Upturn</t>
        </is>
      </c>
      <c r="Q239" s="25">
        <f>IF(P239="Growing Industry",10,IF(P239="Cyclical in an Upturn",5,0))</f>
        <v/>
      </c>
      <c r="R239" s="25" t="inlineStr">
        <is>
          <t>Too Many Players with High ROCE</t>
        </is>
      </c>
      <c r="S239" s="25">
        <f>IF(R239="Monopoly",10,IF(R239="Oligopoly",5,IF(R239="Duopoly that cooperate",10,IF(R239="Duopoly that compete",5,IF(R239="Too many players with High ROCE",5,0)))))</f>
        <v/>
      </c>
      <c r="T239" s="25" t="inlineStr">
        <is>
          <t>No</t>
        </is>
      </c>
      <c r="U239" s="25">
        <f>IF(T239="No",5,0)</f>
        <v/>
      </c>
      <c r="V239" s="25" t="inlineStr">
        <is>
          <t>Tailwind</t>
        </is>
      </c>
      <c r="W239" s="25">
        <f>IF(V239="Tailwind",10,0)</f>
        <v/>
      </c>
      <c r="X239" s="25" t="inlineStr">
        <is>
          <t>Cyclical</t>
        </is>
      </c>
      <c r="Y239" s="25">
        <f>IF(X239="Structural (10 Years Consistency)",10,IF(X239="Shallow Cyclical (2 to 3 years growth)",5,0))</f>
        <v/>
      </c>
      <c r="Z239" s="25" t="inlineStr">
        <is>
          <t>No</t>
        </is>
      </c>
      <c r="AA239" s="25">
        <f>IF(Z239="Yes due to Product Mix change or Operating Leverage",10,IF(Z239="Yes, these are peak margins",-5,IF(Z239="No",5,0)))</f>
        <v/>
      </c>
      <c r="AB239" s="25" t="inlineStr">
        <is>
          <t>Volatile</t>
        </is>
      </c>
      <c r="AC239" s="25">
        <f>IF(AB239="Stable",10,0)</f>
        <v/>
      </c>
      <c r="AD239" s="25" t="inlineStr">
        <is>
          <t>Yes</t>
        </is>
      </c>
      <c r="AE239" s="25">
        <f>IF(AD239="Yes",10,0)</f>
        <v/>
      </c>
      <c r="AF239" s="25" t="inlineStr">
        <is>
          <t>B2B</t>
        </is>
      </c>
      <c r="AG239" s="25">
        <f>IF(AF239="B2C",10,IF(AF239="B2B",5,0))</f>
        <v/>
      </c>
      <c r="AH239" s="25" t="inlineStr">
        <is>
          <t>Yes</t>
        </is>
      </c>
      <c r="AI239" s="25">
        <f>IF(AH239="Yes",10,0)</f>
        <v/>
      </c>
      <c r="AJ239" s="25" t="inlineStr">
        <is>
          <t>Higher One Time, Lower Annuity</t>
        </is>
      </c>
      <c r="AK239" s="25">
        <f>IF(AJ239="Fully Annuity",10,IF(AJ239="Higher Annuity, Lower One Time",5,IF(AJ239="Higher One Time, Lower Annuity",3,0)))</f>
        <v/>
      </c>
      <c r="AL239" s="25" t="inlineStr">
        <is>
          <t>Good</t>
        </is>
      </c>
      <c r="AM239" s="25">
        <f>IF(AL239="Good",10,0)</f>
        <v/>
      </c>
      <c r="AN239" s="25" t="inlineStr">
        <is>
          <t>Yes for more than 2 years</t>
        </is>
      </c>
      <c r="AO239" s="25">
        <f>IF(AN239="Yes for more than 2 years",10,IF(AN239="Yes only for next 1 to 2 years",5,0))</f>
        <v/>
      </c>
      <c r="AP239" s="25" t="inlineStr">
        <is>
          <t>Above 40</t>
        </is>
      </c>
      <c r="AQ239" s="25">
        <f>IF(AP239="Above 40",20,IF(AP239="20 to 40",10,IF(AP239="0 to 20",-5,0)))</f>
        <v/>
      </c>
      <c r="AR239" s="25" t="inlineStr">
        <is>
          <t>Between 50 to 75</t>
        </is>
      </c>
      <c r="AS239" s="25">
        <f>IF(AR239="Between 50 to 75",10,IF(AR239="Above 75",0,0))</f>
        <v/>
      </c>
      <c r="AT239" s="25" t="inlineStr">
        <is>
          <t>Stage 2</t>
        </is>
      </c>
      <c r="AU239" s="25">
        <f>IF(AT239="Stage 2",20,IF(AT239="Stage 1",0,IF(AT239="Stage 3",5,IF(AT239="Stage 4",-5,0))))</f>
        <v/>
      </c>
      <c r="AV239" s="25" t="inlineStr">
        <is>
          <t>Negative Trend</t>
        </is>
      </c>
      <c r="AW239" s="25">
        <f>IF(AV239="Positive Trend",20,IF(AV239="Negative Trend",-10,0))</f>
        <v/>
      </c>
      <c r="AX239" s="25" t="inlineStr">
        <is>
          <t>Uptrend</t>
        </is>
      </c>
      <c r="AY239" s="25">
        <f>IF(AX239="Uptrend",10,IF(AX239="Sideways",5,0))</f>
        <v/>
      </c>
      <c r="AZ239" s="25" t="inlineStr">
        <is>
          <t>Uptrend</t>
        </is>
      </c>
      <c r="BA239" s="25">
        <f>IF(AZ239="Uptrend",10,IF(AZ239="Sideways",5,0))</f>
        <v/>
      </c>
      <c r="BB239" s="25" t="inlineStr">
        <is>
          <t>Blue sky scenario</t>
        </is>
      </c>
      <c r="BC239" s="25">
        <f>IF(BB239="Overhead supply in last 2 years in last 2 years",-5,IF(BB239="Close to 52 week high or retracement",5,IF(BB239="Blue sky scenario",10,IF(BB239="Long term Downtrend",-10,0))))</f>
        <v/>
      </c>
      <c r="BD239" s="25" t="inlineStr">
        <is>
          <t>Yes</t>
        </is>
      </c>
      <c r="BE239" s="25">
        <f>IF(BD239="Yes",10,0)</f>
        <v/>
      </c>
      <c r="BF239" s="25" t="inlineStr">
        <is>
          <t>More than 20%</t>
        </is>
      </c>
      <c r="BG239" s="25">
        <f>IF(BF239="More than 20%",10,IF(BF239="Between 12 to 20%",5,IF(BF239="Less than 12%",0,0)))</f>
        <v/>
      </c>
      <c r="BH239" s="25" t="inlineStr">
        <is>
          <t>No</t>
        </is>
      </c>
      <c r="BI239" s="25">
        <f>IF(BH239="No",10,0)</f>
        <v/>
      </c>
      <c r="BJ239" s="25" t="inlineStr">
        <is>
          <t>Yes</t>
        </is>
      </c>
      <c r="BK239" s="25">
        <f>IF(BJ239="NO",5,0)</f>
        <v/>
      </c>
      <c r="BL239" s="25" t="inlineStr">
        <is>
          <t>Less than 1.5</t>
        </is>
      </c>
      <c r="BM239" s="25">
        <f>IF(BL239="Above 2",0,IF(BL239="Between 1.5 to 2",5,IF(BL239="Less than 1.5",10,0)))</f>
        <v/>
      </c>
      <c r="BN239" s="25" t="inlineStr">
        <is>
          <t>Between 50% to 70%</t>
        </is>
      </c>
      <c r="BO239" s="25">
        <f>IF(BN239="Above 70%",10,IF(BN239="Between 50% to 70%",5,IF(BN239="Less than 50%",0,IF(BN239="Negative",-10,IF(BN239="Less than 50% and Borrowings are increasing",-5,0)))))</f>
        <v/>
      </c>
      <c r="BP239" s="25" t="inlineStr">
        <is>
          <t>Less than 0.7</t>
        </is>
      </c>
      <c r="BQ239" s="25">
        <f>IF(BP239="More than 1.2",-10,IF(BP239="Between 0.7 to 1.2",0,IF(BP239="Less than 0.7",10,0)))</f>
        <v/>
      </c>
      <c r="BR239" s="25" t="inlineStr">
        <is>
          <t>No</t>
        </is>
      </c>
      <c r="BS239" s="25">
        <f>IF(BR239="Yes",-10,0)</f>
        <v/>
      </c>
      <c r="BT239" s="25" t="inlineStr">
        <is>
          <t>Less than 15%</t>
        </is>
      </c>
      <c r="BU239" s="25">
        <f>IF(BT239="More than 15%",-10,IF(BT239="Less than 15%",10,0))</f>
        <v/>
      </c>
      <c r="BV239" s="25" t="inlineStr">
        <is>
          <t>No</t>
        </is>
      </c>
      <c r="BW239" s="25">
        <f>IF(BV239="Yes, more than 10%",-10,IF(BV239="No",10,0))</f>
        <v/>
      </c>
    </row>
    <row r="240">
      <c r="A240" s="25">
        <f>IF(B240=0,"",RANK(B240,$B$2:$B$292,0))</f>
        <v/>
      </c>
      <c r="B240" s="26">
        <f>SUM(Q240,S240,U240,W240,Y240,AA240,AC240,AE240,AG240,AI240,AK240,AM240,AO240,AQ240,AS240,AU240,AW240,AY240,BA240,BC240,BE240,BG240,BI240,BK240,BM240,BO240,BQ240,BS240,BU240,BW240)</f>
        <v/>
      </c>
      <c r="C240" s="25" t="inlineStr">
        <is>
          <t>INDOTECH</t>
        </is>
      </c>
      <c r="D240" s="25" t="inlineStr">
        <is>
          <t>Indo Tech Transformers Limited</t>
        </is>
      </c>
      <c r="E240" s="25" t="inlineStr">
        <is>
          <t>industrials</t>
        </is>
      </c>
      <c r="F240" s="25" t="inlineStr">
        <is>
          <t>electric equipment</t>
        </is>
      </c>
      <c r="G240" s="25" t="inlineStr">
        <is>
          <t>smallcap</t>
        </is>
      </c>
      <c r="H240" s="26" t="n">
        <v>2753.98</v>
      </c>
      <c r="I240" s="26" t="n">
        <v>2722.8</v>
      </c>
      <c r="J240" s="26" t="n">
        <v>5</v>
      </c>
      <c r="K240" s="26" t="n">
        <v>50952</v>
      </c>
      <c r="L240" s="26" t="n">
        <v>66.98</v>
      </c>
      <c r="M240" s="26" t="n">
        <v>31.77</v>
      </c>
      <c r="N240" s="26" t="n">
        <v>1959.61</v>
      </c>
      <c r="O240" s="25" t="inlineStr">
        <is>
          <t>Near 52W High Breakout</t>
        </is>
      </c>
      <c r="P240" s="25" t="inlineStr">
        <is>
          <t>Cyclical in an Upturn</t>
        </is>
      </c>
      <c r="Q240" s="25">
        <f>IF(P240="Growing Industry",10,IF(P240="Cyclical in an Upturn",5,0))</f>
        <v/>
      </c>
      <c r="R240" s="25" t="inlineStr">
        <is>
          <t>Too Many Players with High ROCE</t>
        </is>
      </c>
      <c r="S240" s="25">
        <f>IF(R240="Monopoly",10,IF(R240="Oligopoly",5,IF(R240="Duopoly that cooperate",10,IF(R240="Duopoly that compete",5,IF(R240="Too many players with High ROCE",5,0)))))</f>
        <v/>
      </c>
      <c r="T240" s="25" t="inlineStr">
        <is>
          <t>No</t>
        </is>
      </c>
      <c r="U240" s="25">
        <f>IF(T240="No",5,0)</f>
        <v/>
      </c>
      <c r="V240" s="25" t="inlineStr">
        <is>
          <t>Tailwind</t>
        </is>
      </c>
      <c r="W240" s="25">
        <f>IF(V240="Tailwind",10,0)</f>
        <v/>
      </c>
      <c r="X240" s="25" t="inlineStr">
        <is>
          <t>Structural (10 Years Consistency)</t>
        </is>
      </c>
      <c r="Y240" s="25">
        <f>IF(X240="Structural (10 Years Consistency)",10,IF(X240="Shallow Cyclical (2 to 3 years growth)",5,0))</f>
        <v/>
      </c>
      <c r="Z240" s="25" t="inlineStr">
        <is>
          <t>No</t>
        </is>
      </c>
      <c r="AA240" s="25">
        <f>IF(Z240="Yes due to Product Mix change or Operating Leverage",10,IF(Z240="Yes, these are peak margins",-5,IF(Z240="No",5,0)))</f>
        <v/>
      </c>
      <c r="AB240" s="25" t="inlineStr">
        <is>
          <t>Stable</t>
        </is>
      </c>
      <c r="AC240" s="25">
        <f>IF(AB240="Stable",10,0)</f>
        <v/>
      </c>
      <c r="AD240" s="25" t="inlineStr">
        <is>
          <t>Yes</t>
        </is>
      </c>
      <c r="AE240" s="25">
        <f>IF(AD240="Yes",10,0)</f>
        <v/>
      </c>
      <c r="AF240" s="25" t="inlineStr">
        <is>
          <t>B2B</t>
        </is>
      </c>
      <c r="AG240" s="25">
        <f>IF(AF240="B2C",10,IF(AF240="B2B",5,0))</f>
        <v/>
      </c>
      <c r="AH240" s="25" t="inlineStr">
        <is>
          <t>Yes</t>
        </is>
      </c>
      <c r="AI240" s="25">
        <f>IF(AH240="Yes",10,0)</f>
        <v/>
      </c>
      <c r="AJ240" s="25" t="inlineStr">
        <is>
          <t>Higher One Time, Lower Annuity</t>
        </is>
      </c>
      <c r="AK240" s="25">
        <f>IF(AJ240="Fully Annuity",10,IF(AJ240="Higher Annuity, Lower One Time",5,IF(AJ240="Higher One Time, Lower Annuity",3,0)))</f>
        <v/>
      </c>
      <c r="AL240" s="25" t="inlineStr">
        <is>
          <t>Good</t>
        </is>
      </c>
      <c r="AM240" s="25">
        <f>IF(AL240="Good",10,0)</f>
        <v/>
      </c>
      <c r="AN240" s="25" t="inlineStr">
        <is>
          <t>Yes for more than 2 years</t>
        </is>
      </c>
      <c r="AO240" s="25">
        <f>IF(AN240="Yes for more than 2 years",10,IF(AN240="Yes only for next 1 to 2 years",5,0))</f>
        <v/>
      </c>
      <c r="AP240" s="25" t="inlineStr">
        <is>
          <t>20 to 40</t>
        </is>
      </c>
      <c r="AQ240" s="25">
        <f>IF(AP240="Above 40",20,IF(AP240="20 to 40",10,IF(AP240="0 to 20",-5,0)))</f>
        <v/>
      </c>
      <c r="AR240" s="25" t="inlineStr">
        <is>
          <t>Between 50 to 75</t>
        </is>
      </c>
      <c r="AS240" s="25">
        <f>IF(AR240="Between 50 to 75",10,IF(AR240="Above 75",0,0))</f>
        <v/>
      </c>
      <c r="AT240" s="25" t="inlineStr">
        <is>
          <t>Stage 2</t>
        </is>
      </c>
      <c r="AU240" s="25">
        <f>IF(AT240="Stage 2",20,IF(AT240="Stage 1",0,IF(AT240="Stage 3",5,IF(AT240="Stage 4",-5,0))))</f>
        <v/>
      </c>
      <c r="AV240" s="25" t="inlineStr">
        <is>
          <t>Negative Trend</t>
        </is>
      </c>
      <c r="AW240" s="25">
        <f>IF(AV240="Positive Trend",20,IF(AV240="Negative Trend",-10,0))</f>
        <v/>
      </c>
      <c r="AX240" s="25" t="inlineStr">
        <is>
          <t>Uptrend</t>
        </is>
      </c>
      <c r="AY240" s="25">
        <f>IF(AX240="Uptrend",10,IF(AX240="Sideways",5,0))</f>
        <v/>
      </c>
      <c r="AZ240" s="25" t="inlineStr">
        <is>
          <t>Uptrend</t>
        </is>
      </c>
      <c r="BA240" s="25">
        <f>IF(AZ240="Uptrend",10,IF(AZ240="Sideways",5,0))</f>
        <v/>
      </c>
      <c r="BB240" s="25" t="inlineStr">
        <is>
          <t>Close to 52 week high or retracement</t>
        </is>
      </c>
      <c r="BC240" s="25">
        <f>IF(BB240="Overhead supply in last 2 years in last 2 years",-5,IF(BB240="Close to 52 week high or retracement",5,IF(BB240="Blue sky scenario",10,IF(BB240="Long term Downtrend",-10,0))))</f>
        <v/>
      </c>
      <c r="BD240" s="25" t="inlineStr">
        <is>
          <t>Yes</t>
        </is>
      </c>
      <c r="BE240" s="25">
        <f>IF(BD240="Yes",10,0)</f>
        <v/>
      </c>
      <c r="BF240" s="25" t="inlineStr">
        <is>
          <t>Between 12 to 20%</t>
        </is>
      </c>
      <c r="BG240" s="25">
        <f>IF(BF240="More than 20%",10,IF(BF240="Between 12 to 20%",5,IF(BF240="Less than 12%",0,0)))</f>
        <v/>
      </c>
      <c r="BH240" s="25" t="inlineStr">
        <is>
          <t>No</t>
        </is>
      </c>
      <c r="BI240" s="25">
        <f>IF(BH240="No",10,0)</f>
        <v/>
      </c>
      <c r="BJ240" s="25" t="inlineStr">
        <is>
          <t>No</t>
        </is>
      </c>
      <c r="BK240" s="25">
        <f>IF(BJ240="NO",5,0)</f>
        <v/>
      </c>
      <c r="BL240" s="25" t="inlineStr">
        <is>
          <t>Less than 1.5</t>
        </is>
      </c>
      <c r="BM240" s="25">
        <f>IF(BL240="Above 2",0,IF(BL240="Between 1.5 to 2",5,IF(BL240="Less than 1.5",10,0)))</f>
        <v/>
      </c>
      <c r="BN240" s="25" t="inlineStr">
        <is>
          <t>Less than 50%</t>
        </is>
      </c>
      <c r="BO240" s="25">
        <f>IF(BN240="Above 70%",10,IF(BN240="Between 50% to 70%",5,IF(BN240="Less than 50%",0,IF(BN240="Negative",-10,IF(BN240="Less than 50% and Borrowings are increasing",-5,0)))))</f>
        <v/>
      </c>
      <c r="BP240" s="25" t="inlineStr">
        <is>
          <t>Less than 0.7</t>
        </is>
      </c>
      <c r="BQ240" s="25">
        <f>IF(BP240="More than 1.2",-10,IF(BP240="Between 0.7 to 1.2",0,IF(BP240="Less than 0.7",10,0)))</f>
        <v/>
      </c>
      <c r="BR240" s="25" t="inlineStr">
        <is>
          <t>No</t>
        </is>
      </c>
      <c r="BS240" s="25">
        <f>IF(BR240="Yes",-10,0)</f>
        <v/>
      </c>
      <c r="BT240" s="25" t="inlineStr">
        <is>
          <t>Less than 15%</t>
        </is>
      </c>
      <c r="BU240" s="25">
        <f>IF(BT240="More than 15%",-10,IF(BT240="Less than 15%",10,0))</f>
        <v/>
      </c>
      <c r="BV240" s="25" t="inlineStr">
        <is>
          <t>No</t>
        </is>
      </c>
      <c r="BW240" s="25">
        <f>IF(BV240="Yes, more than 10%",-10,IF(BV240="No",10,0))</f>
        <v/>
      </c>
    </row>
    <row r="241">
      <c r="A241" s="25">
        <f>IF(B241=0,"",RANK(B241,$B$2:$B$292,0))</f>
        <v/>
      </c>
      <c r="B241" s="26">
        <f>SUM(Q241,S241,U241,W241,Y241,AA241,AC241,AE241,AG241,AI241,AK241,AM241,AO241,AQ241,AS241,AU241,AW241,AY241,BA241,BC241,BE241,BG241,BI241,BK241,BM241,BO241,BQ241,BS241,BU241,BW241)</f>
        <v/>
      </c>
      <c r="C241" s="25" t="inlineStr">
        <is>
          <t>SHRIPISTON</t>
        </is>
      </c>
      <c r="D241" s="25" t="inlineStr">
        <is>
          <t>Shriram Pistons &amp; Rings Limited</t>
        </is>
      </c>
      <c r="E241" s="25" t="inlineStr">
        <is>
          <t>auto</t>
        </is>
      </c>
      <c r="F241" s="25" t="inlineStr">
        <is>
          <t>auto ancillaries</t>
        </is>
      </c>
      <c r="G241" s="25" t="inlineStr">
        <is>
          <t>midcap</t>
        </is>
      </c>
      <c r="H241" s="26" t="n">
        <v>14702.51</v>
      </c>
      <c r="I241" s="26" t="n">
        <v>3452.1</v>
      </c>
      <c r="J241" s="26" t="n">
        <v>3.43</v>
      </c>
      <c r="K241" s="26" t="n">
        <v>53083</v>
      </c>
      <c r="L241" s="26" t="n">
        <v>57.48</v>
      </c>
      <c r="M241" s="26" t="n">
        <v>26.95</v>
      </c>
      <c r="N241" s="26" t="n">
        <v>2934.04</v>
      </c>
      <c r="O241" s="25" t="inlineStr">
        <is>
          <t>Earnings / Momentum Support</t>
        </is>
      </c>
      <c r="P241" s="25" t="inlineStr">
        <is>
          <t>Growing Industry</t>
        </is>
      </c>
      <c r="Q241" s="25">
        <f>IF(P241="Growing Industry",10,IF(P241="Cyclical in an Upturn",5,0))</f>
        <v/>
      </c>
      <c r="R241" s="25" t="inlineStr">
        <is>
          <t>Too Many Players with High ROCE</t>
        </is>
      </c>
      <c r="S241" s="25">
        <f>IF(R241="Monopoly",10,IF(R241="Oligopoly",5,IF(R241="Duopoly that cooperate",10,IF(R241="Duopoly that compete",5,IF(R241="Too many players with High ROCE",5,0)))))</f>
        <v/>
      </c>
      <c r="T241" s="25" t="inlineStr">
        <is>
          <t>No</t>
        </is>
      </c>
      <c r="U241" s="25">
        <f>IF(T241="No",5,0)</f>
        <v/>
      </c>
      <c r="V241" s="25" t="inlineStr">
        <is>
          <t>Tailwind</t>
        </is>
      </c>
      <c r="W241" s="25">
        <f>IF(V241="Tailwind",10,0)</f>
        <v/>
      </c>
      <c r="X241" s="25" t="inlineStr">
        <is>
          <t>Structural (10 Years Consistency)</t>
        </is>
      </c>
      <c r="Y241" s="25">
        <f>IF(X241="Structural (10 Years Consistency)",10,IF(X241="Shallow Cyclical (2 to 3 years growth)",5,0))</f>
        <v/>
      </c>
      <c r="Z241" s="25" t="inlineStr">
        <is>
          <t>No</t>
        </is>
      </c>
      <c r="AA241" s="25">
        <f>IF(Z241="Yes due to Product Mix change or Operating Leverage",10,IF(Z241="Yes, these are peak margins",-5,IF(Z241="No",5,0)))</f>
        <v/>
      </c>
      <c r="AB241" s="25" t="inlineStr">
        <is>
          <t>Stable</t>
        </is>
      </c>
      <c r="AC241" s="25">
        <f>IF(AB241="Stable",10,0)</f>
        <v/>
      </c>
      <c r="AD241" s="25" t="inlineStr">
        <is>
          <t>Yes</t>
        </is>
      </c>
      <c r="AE241" s="25">
        <f>IF(AD241="Yes",10,0)</f>
        <v/>
      </c>
      <c r="AF241" s="25" t="inlineStr">
        <is>
          <t>B2B</t>
        </is>
      </c>
      <c r="AG241" s="25">
        <f>IF(AF241="B2C",10,IF(AF241="B2B",5,0))</f>
        <v/>
      </c>
      <c r="AH241" s="25" t="inlineStr">
        <is>
          <t>No</t>
        </is>
      </c>
      <c r="AI241" s="25">
        <f>IF(AH241="Yes",10,0)</f>
        <v/>
      </c>
      <c r="AJ241" s="25" t="inlineStr">
        <is>
          <t>Higher One Time, Lower Annuity</t>
        </is>
      </c>
      <c r="AK241" s="25">
        <f>IF(AJ241="Fully Annuity",10,IF(AJ241="Higher Annuity, Lower One Time",5,IF(AJ241="Higher One Time, Lower Annuity",3,0)))</f>
        <v/>
      </c>
      <c r="AL241" s="25" t="inlineStr">
        <is>
          <t>Good</t>
        </is>
      </c>
      <c r="AM241" s="25">
        <f>IF(AL241="Good",10,0)</f>
        <v/>
      </c>
      <c r="AN241" s="25" t="inlineStr">
        <is>
          <t>Yes for more than 2 years</t>
        </is>
      </c>
      <c r="AO241" s="25">
        <f>IF(AN241="Yes for more than 2 years",10,IF(AN241="Yes only for next 1 to 2 years",5,0))</f>
        <v/>
      </c>
      <c r="AP241" s="25" t="inlineStr">
        <is>
          <t>20 to 40</t>
        </is>
      </c>
      <c r="AQ241" s="25">
        <f>IF(AP241="Above 40",20,IF(AP241="20 to 40",10,IF(AP241="0 to 20",-5,0)))</f>
        <v/>
      </c>
      <c r="AR241" s="25" t="inlineStr">
        <is>
          <t>Between 50 to 75</t>
        </is>
      </c>
      <c r="AS241" s="25">
        <f>IF(AR241="Between 50 to 75",10,IF(AR241="Above 75",0,0))</f>
        <v/>
      </c>
      <c r="AT241" s="25" t="inlineStr">
        <is>
          <t>Stage 2</t>
        </is>
      </c>
      <c r="AU241" s="25">
        <f>IF(AT241="Stage 2",20,IF(AT241="Stage 1",0,IF(AT241="Stage 3",5,IF(AT241="Stage 4",-5,0))))</f>
        <v/>
      </c>
      <c r="AV241" s="25" t="inlineStr">
        <is>
          <t>Negative Trend</t>
        </is>
      </c>
      <c r="AW241" s="25">
        <f>IF(AV241="Positive Trend",20,IF(AV241="Negative Trend",-10,0))</f>
        <v/>
      </c>
      <c r="AX241" s="25" t="inlineStr">
        <is>
          <t>Uptrend</t>
        </is>
      </c>
      <c r="AY241" s="25">
        <f>IF(AX241="Uptrend",10,IF(AX241="Sideways",5,0))</f>
        <v/>
      </c>
      <c r="AZ241" s="25" t="inlineStr">
        <is>
          <t>Uptrend</t>
        </is>
      </c>
      <c r="BA241" s="25">
        <f>IF(AZ241="Uptrend",10,IF(AZ241="Sideways",5,0))</f>
        <v/>
      </c>
      <c r="BB241" s="25" t="inlineStr">
        <is>
          <t>Close to 52 week high or retracement</t>
        </is>
      </c>
      <c r="BC241" s="25">
        <f>IF(BB241="Overhead supply in last 2 years in last 2 years",-5,IF(BB241="Close to 52 week high or retracement",5,IF(BB241="Blue sky scenario",10,IF(BB241="Long term Downtrend",-10,0))))</f>
        <v/>
      </c>
      <c r="BD241" s="25" t="inlineStr">
        <is>
          <t>Yes</t>
        </is>
      </c>
      <c r="BE241" s="25">
        <f>IF(BD241="Yes",10,0)</f>
        <v/>
      </c>
      <c r="BF241" s="25" t="inlineStr">
        <is>
          <t>Less than 12%</t>
        </is>
      </c>
      <c r="BG241" s="25">
        <f>IF(BF241="More than 20%",10,IF(BF241="Between 12 to 20%",5,IF(BF241="Less than 12%",0,0)))</f>
        <v/>
      </c>
      <c r="BH241" s="25" t="inlineStr">
        <is>
          <t>No</t>
        </is>
      </c>
      <c r="BI241" s="25">
        <f>IF(BH241="No",10,0)</f>
        <v/>
      </c>
      <c r="BJ241" s="25" t="inlineStr">
        <is>
          <t>No</t>
        </is>
      </c>
      <c r="BK241" s="25">
        <f>IF(BJ241="NO",5,0)</f>
        <v/>
      </c>
      <c r="BL241" s="25" t="inlineStr">
        <is>
          <t>Less than 1.5</t>
        </is>
      </c>
      <c r="BM241" s="25">
        <f>IF(BL241="Above 2",0,IF(BL241="Between 1.5 to 2",5,IF(BL241="Less than 1.5",10,0)))</f>
        <v/>
      </c>
      <c r="BN241" s="25" t="inlineStr">
        <is>
          <t>Above 70%</t>
        </is>
      </c>
      <c r="BO241" s="25">
        <f>IF(BN241="Above 70%",10,IF(BN241="Between 50% to 70%",5,IF(BN241="Less than 50%",0,IF(BN241="Negative",-10,IF(BN241="Less than 50% and Borrowings are increasing",-5,0)))))</f>
        <v/>
      </c>
      <c r="BP241" s="25" t="inlineStr">
        <is>
          <t>Less than 0.7</t>
        </is>
      </c>
      <c r="BQ241" s="25">
        <f>IF(BP241="More than 1.2",-10,IF(BP241="Between 0.7 to 1.2",0,IF(BP241="Less than 0.7",10,0)))</f>
        <v/>
      </c>
      <c r="BR241" s="25" t="inlineStr">
        <is>
          <t>No</t>
        </is>
      </c>
      <c r="BS241" s="25">
        <f>IF(BR241="Yes",-10,0)</f>
        <v/>
      </c>
      <c r="BT241" s="25" t="inlineStr">
        <is>
          <t>Less than 15%</t>
        </is>
      </c>
      <c r="BU241" s="25">
        <f>IF(BT241="More than 15%",-10,IF(BT241="Less than 15%",10,0))</f>
        <v/>
      </c>
      <c r="BV241" s="25" t="inlineStr">
        <is>
          <t>No</t>
        </is>
      </c>
      <c r="BW241" s="25">
        <f>IF(BV241="Yes, more than 10%",-10,IF(BV241="No",10,0))</f>
        <v/>
      </c>
    </row>
    <row r="242">
      <c r="A242" s="25">
        <f>IF(B242=0,"",RANK(B242,$B$2:$B$292,0))</f>
        <v/>
      </c>
      <c r="B242" s="26">
        <f>SUM(Q242,S242,U242,W242,Y242,AA242,AC242,AE242,AG242,AI242,AK242,AM242,AO242,AQ242,AS242,AU242,AW242,AY242,BA242,BC242,BE242,BG242,BI242,BK242,BM242,BO242,BQ242,BS242,BU242,BW242)</f>
        <v/>
      </c>
      <c r="C242" s="25" t="inlineStr">
        <is>
          <t>VENUSPIPES</t>
        </is>
      </c>
      <c r="D242" s="25" t="inlineStr">
        <is>
          <t>Venus Pipes &amp; Tubes Ltd</t>
        </is>
      </c>
      <c r="E242" s="25" t="inlineStr">
        <is>
          <t>metals &amp; mining</t>
        </is>
      </c>
      <c r="F242" s="25" t="inlineStr">
        <is>
          <t>steel - medium / small</t>
        </is>
      </c>
      <c r="G242" s="25" t="inlineStr">
        <is>
          <t>smallcap</t>
        </is>
      </c>
      <c r="H242" s="26" t="n">
        <v>2844.74</v>
      </c>
      <c r="I242" s="26" t="n">
        <v>1418.8</v>
      </c>
      <c r="J242" s="26" t="n">
        <v>3.32</v>
      </c>
      <c r="K242" s="26" t="n">
        <v>63831</v>
      </c>
      <c r="L242" s="26" t="n">
        <v>61.34</v>
      </c>
      <c r="M242" s="26" t="n">
        <v>21.42</v>
      </c>
      <c r="N242" s="26" t="n">
        <v>1036.06</v>
      </c>
      <c r="O242" s="25" t="inlineStr">
        <is>
          <t>Earnings / Momentum Support</t>
        </is>
      </c>
      <c r="P242" s="25" t="inlineStr">
        <is>
          <t>Cyclical in an Upturn</t>
        </is>
      </c>
      <c r="Q242" s="25">
        <f>IF(P242="Growing Industry",10,IF(P242="Cyclical in an Upturn",5,0))</f>
        <v/>
      </c>
      <c r="R242" s="25" t="inlineStr">
        <is>
          <t>Too Many Players with High ROCE</t>
        </is>
      </c>
      <c r="S242" s="25">
        <f>IF(R242="Monopoly",10,IF(R242="Oligopoly",5,IF(R242="Duopoly that cooperate",10,IF(R242="Duopoly that compete",5,IF(R242="Too many players with High ROCE",5,0)))))</f>
        <v/>
      </c>
      <c r="T242" s="25" t="inlineStr">
        <is>
          <t>No</t>
        </is>
      </c>
      <c r="U242" s="25">
        <f>IF(T242="No",5,0)</f>
        <v/>
      </c>
      <c r="V242" s="25" t="inlineStr">
        <is>
          <t>Tailwind</t>
        </is>
      </c>
      <c r="W242" s="25">
        <f>IF(V242="Tailwind",10,0)</f>
        <v/>
      </c>
      <c r="X242" s="25" t="inlineStr">
        <is>
          <t>Cyclical</t>
        </is>
      </c>
      <c r="Y242" s="25">
        <f>IF(X242="Structural (10 Years Consistency)",10,IF(X242="Shallow Cyclical (2 to 3 years growth)",5,0))</f>
        <v/>
      </c>
      <c r="Z242" s="25" t="inlineStr">
        <is>
          <t>No</t>
        </is>
      </c>
      <c r="AA242" s="25">
        <f>IF(Z242="Yes due to Product Mix change or Operating Leverage",10,IF(Z242="Yes, these are peak margins",-5,IF(Z242="No",5,0)))</f>
        <v/>
      </c>
      <c r="AB242" s="25" t="inlineStr">
        <is>
          <t>Volatile</t>
        </is>
      </c>
      <c r="AC242" s="25">
        <f>IF(AB242="Stable",10,0)</f>
        <v/>
      </c>
      <c r="AD242" s="25" t="inlineStr">
        <is>
          <t>Yes</t>
        </is>
      </c>
      <c r="AE242" s="25">
        <f>IF(AD242="Yes",10,0)</f>
        <v/>
      </c>
      <c r="AF242" s="25" t="inlineStr">
        <is>
          <t>B2B</t>
        </is>
      </c>
      <c r="AG242" s="25">
        <f>IF(AF242="B2C",10,IF(AF242="B2B",5,0))</f>
        <v/>
      </c>
      <c r="AH242" s="25" t="inlineStr">
        <is>
          <t>No</t>
        </is>
      </c>
      <c r="AI242" s="25">
        <f>IF(AH242="Yes",10,0)</f>
        <v/>
      </c>
      <c r="AJ242" s="25" t="inlineStr">
        <is>
          <t>Higher One Time, Lower Annuity</t>
        </is>
      </c>
      <c r="AK242" s="25">
        <f>IF(AJ242="Fully Annuity",10,IF(AJ242="Higher Annuity, Lower One Time",5,IF(AJ242="Higher One Time, Lower Annuity",3,0)))</f>
        <v/>
      </c>
      <c r="AL242" s="25" t="inlineStr">
        <is>
          <t>Good</t>
        </is>
      </c>
      <c r="AM242" s="25">
        <f>IF(AL242="Good",10,0)</f>
        <v/>
      </c>
      <c r="AN242" s="25" t="inlineStr">
        <is>
          <t>Yes for more than 2 years</t>
        </is>
      </c>
      <c r="AO242" s="25">
        <f>IF(AN242="Yes for more than 2 years",10,IF(AN242="Yes only for next 1 to 2 years",5,0))</f>
        <v/>
      </c>
      <c r="AP242" s="25" t="inlineStr">
        <is>
          <t>20 to 40</t>
        </is>
      </c>
      <c r="AQ242" s="25">
        <f>IF(AP242="Above 40",20,IF(AP242="20 to 40",10,IF(AP242="0 to 20",-5,0)))</f>
        <v/>
      </c>
      <c r="AR242" s="25" t="inlineStr">
        <is>
          <t>Between 50 to 75</t>
        </is>
      </c>
      <c r="AS242" s="25">
        <f>IF(AR242="Between 50 to 75",10,IF(AR242="Above 75",0,0))</f>
        <v/>
      </c>
      <c r="AT242" s="25" t="inlineStr">
        <is>
          <t>Stage 2</t>
        </is>
      </c>
      <c r="AU242" s="25">
        <f>IF(AT242="Stage 2",20,IF(AT242="Stage 1",0,IF(AT242="Stage 3",5,IF(AT242="Stage 4",-5,0))))</f>
        <v/>
      </c>
      <c r="AV242" s="25" t="inlineStr">
        <is>
          <t>Positive Trend</t>
        </is>
      </c>
      <c r="AW242" s="25">
        <f>IF(AV242="Positive Trend",20,IF(AV242="Negative Trend",-10,0))</f>
        <v/>
      </c>
      <c r="AX242" s="25" t="inlineStr">
        <is>
          <t>Uptrend</t>
        </is>
      </c>
      <c r="AY242" s="25">
        <f>IF(AX242="Uptrend",10,IF(AX242="Sideways",5,0))</f>
        <v/>
      </c>
      <c r="AZ242" s="25" t="inlineStr">
        <is>
          <t>Uptrend</t>
        </is>
      </c>
      <c r="BA242" s="25">
        <f>IF(AZ242="Uptrend",10,IF(AZ242="Sideways",5,0))</f>
        <v/>
      </c>
      <c r="BB242" s="25" t="inlineStr">
        <is>
          <t>Close to 52 week high or retracement</t>
        </is>
      </c>
      <c r="BC242" s="25">
        <f>IF(BB242="Overhead supply in last 2 years in last 2 years",-5,IF(BB242="Close to 52 week high or retracement",5,IF(BB242="Blue sky scenario",10,IF(BB242="Long term Downtrend",-10,0))))</f>
        <v/>
      </c>
      <c r="BD242" s="25" t="inlineStr">
        <is>
          <t>Yes</t>
        </is>
      </c>
      <c r="BE242" s="25">
        <f>IF(BD242="Yes",10,0)</f>
        <v/>
      </c>
      <c r="BF242" s="25" t="inlineStr">
        <is>
          <t>Less than 12%</t>
        </is>
      </c>
      <c r="BG242" s="25">
        <f>IF(BF242="More than 20%",10,IF(BF242="Between 12 to 20%",5,IF(BF242="Less than 12%",0,0)))</f>
        <v/>
      </c>
      <c r="BH242" s="25" t="inlineStr">
        <is>
          <t>No</t>
        </is>
      </c>
      <c r="BI242" s="25">
        <f>IF(BH242="No",10,0)</f>
        <v/>
      </c>
      <c r="BJ242" s="25" t="inlineStr">
        <is>
          <t>No</t>
        </is>
      </c>
      <c r="BK242" s="25">
        <f>IF(BJ242="NO",5,0)</f>
        <v/>
      </c>
      <c r="BL242" s="25" t="inlineStr">
        <is>
          <t>Less than 1.5</t>
        </is>
      </c>
      <c r="BM242" s="25">
        <f>IF(BL242="Above 2",0,IF(BL242="Between 1.5 to 2",5,IF(BL242="Less than 1.5",10,0)))</f>
        <v/>
      </c>
      <c r="BN242" s="25" t="inlineStr">
        <is>
          <t>Between 50% to 70%</t>
        </is>
      </c>
      <c r="BO242" s="25">
        <f>IF(BN242="Above 70%",10,IF(BN242="Between 50% to 70%",5,IF(BN242="Less than 50%",0,IF(BN242="Negative",-10,IF(BN242="Less than 50% and Borrowings are increasing",-5,0)))))</f>
        <v/>
      </c>
      <c r="BP242" s="25" t="inlineStr">
        <is>
          <t>Less than 0.7</t>
        </is>
      </c>
      <c r="BQ242" s="25">
        <f>IF(BP242="More than 1.2",-10,IF(BP242="Between 0.7 to 1.2",0,IF(BP242="Less than 0.7",10,0)))</f>
        <v/>
      </c>
      <c r="BR242" s="25" t="inlineStr">
        <is>
          <t>No</t>
        </is>
      </c>
      <c r="BS242" s="25">
        <f>IF(BR242="Yes",-10,0)</f>
        <v/>
      </c>
      <c r="BT242" s="25" t="inlineStr">
        <is>
          <t>Less than 15%</t>
        </is>
      </c>
      <c r="BU242" s="25">
        <f>IF(BT242="More than 15%",-10,IF(BT242="Less than 15%",10,0))</f>
        <v/>
      </c>
      <c r="BV242" s="25" t="inlineStr">
        <is>
          <t>No</t>
        </is>
      </c>
      <c r="BW242" s="25">
        <f>IF(BV242="Yes, more than 10%",-10,IF(BV242="No",10,0))</f>
        <v/>
      </c>
    </row>
    <row r="243">
      <c r="A243" s="25">
        <f>IF(B243=0,"",RANK(B243,$B$2:$B$292,0))</f>
        <v/>
      </c>
      <c r="B243" s="26">
        <f>SUM(Q243,S243,U243,W243,Y243,AA243,AC243,AE243,AG243,AI243,AK243,AM243,AO243,AQ243,AS243,AU243,AW243,AY243,BA243,BC243,BE243,BG243,BI243,BK243,BM243,BO243,BQ243,BS243,BU243,BW243)</f>
        <v/>
      </c>
      <c r="C243" s="25" t="inlineStr">
        <is>
          <t>NAHARSPING</t>
        </is>
      </c>
      <c r="D243" s="25" t="inlineStr">
        <is>
          <t>Nahar Spinning Mills Limited</t>
        </is>
      </c>
      <c r="E243" s="25" t="inlineStr">
        <is>
          <t>textiles</t>
        </is>
      </c>
      <c r="F243" s="25" t="inlineStr">
        <is>
          <t>textiles - cotton/blended</t>
        </is>
      </c>
      <c r="G243" s="25" t="inlineStr">
        <is>
          <t>smallcap</t>
        </is>
      </c>
      <c r="H243" s="26" t="n">
        <v>974.66</v>
      </c>
      <c r="I243" s="26" t="n">
        <v>275</v>
      </c>
      <c r="J243" s="26" t="n">
        <v>1.76</v>
      </c>
      <c r="K243" s="26" t="n">
        <v>12798</v>
      </c>
      <c r="L243" s="26" t="n">
        <v>65.51000000000001</v>
      </c>
      <c r="M243" s="26" t="n">
        <v>19.37</v>
      </c>
      <c r="N243" s="26" t="n">
        <v>211.59</v>
      </c>
      <c r="O243" s="25" t="inlineStr">
        <is>
          <t>Near 52W High Breakout</t>
        </is>
      </c>
      <c r="P243" s="25" t="inlineStr">
        <is>
          <t>Growing Industry</t>
        </is>
      </c>
      <c r="Q243" s="25">
        <f>IF(P243="Growing Industry",10,IF(P243="Cyclical in an Upturn",5,0))</f>
        <v/>
      </c>
      <c r="R243" s="25" t="inlineStr">
        <is>
          <t>Too Many Players with High ROCE</t>
        </is>
      </c>
      <c r="S243" s="25">
        <f>IF(R243="Monopoly",10,IF(R243="Oligopoly",5,IF(R243="Duopoly that cooperate",10,IF(R243="Duopoly that compete",5,IF(R243="Too many players with High ROCE",5,0)))))</f>
        <v/>
      </c>
      <c r="T243" s="25" t="inlineStr">
        <is>
          <t>No</t>
        </is>
      </c>
      <c r="U243" s="25">
        <f>IF(T243="No",5,0)</f>
        <v/>
      </c>
      <c r="V243" s="25" t="inlineStr">
        <is>
          <t>Tailwind</t>
        </is>
      </c>
      <c r="W243" s="25">
        <f>IF(V243="Tailwind",10,0)</f>
        <v/>
      </c>
      <c r="X243" s="25" t="inlineStr">
        <is>
          <t>Structural (10 Years Consistency)</t>
        </is>
      </c>
      <c r="Y243" s="25">
        <f>IF(X243="Structural (10 Years Consistency)",10,IF(X243="Shallow Cyclical (2 to 3 years growth)",5,0))</f>
        <v/>
      </c>
      <c r="Z243" s="25" t="inlineStr">
        <is>
          <t>No</t>
        </is>
      </c>
      <c r="AA243" s="25">
        <f>IF(Z243="Yes due to Product Mix change or Operating Leverage",10,IF(Z243="Yes, these are peak margins",-5,IF(Z243="No",5,0)))</f>
        <v/>
      </c>
      <c r="AB243" s="25" t="inlineStr">
        <is>
          <t>Stable</t>
        </is>
      </c>
      <c r="AC243" s="25">
        <f>IF(AB243="Stable",10,0)</f>
        <v/>
      </c>
      <c r="AD243" s="25" t="inlineStr">
        <is>
          <t>Yes</t>
        </is>
      </c>
      <c r="AE243" s="25">
        <f>IF(AD243="Yes",10,0)</f>
        <v/>
      </c>
      <c r="AF243" s="25" t="inlineStr">
        <is>
          <t>B2B</t>
        </is>
      </c>
      <c r="AG243" s="25">
        <f>IF(AF243="B2C",10,IF(AF243="B2B",5,0))</f>
        <v/>
      </c>
      <c r="AH243" s="25" t="inlineStr">
        <is>
          <t>Yes</t>
        </is>
      </c>
      <c r="AI243" s="25">
        <f>IF(AH243="Yes",10,0)</f>
        <v/>
      </c>
      <c r="AJ243" s="25" t="inlineStr">
        <is>
          <t>Higher One Time, Lower Annuity</t>
        </is>
      </c>
      <c r="AK243" s="25">
        <f>IF(AJ243="Fully Annuity",10,IF(AJ243="Higher Annuity, Lower One Time",5,IF(AJ243="Higher One Time, Lower Annuity",3,0)))</f>
        <v/>
      </c>
      <c r="AL243" s="25" t="inlineStr">
        <is>
          <t>Good</t>
        </is>
      </c>
      <c r="AM243" s="25">
        <f>IF(AL243="Good",10,0)</f>
        <v/>
      </c>
      <c r="AN243" s="25" t="inlineStr">
        <is>
          <t>Yes for more than 2 years</t>
        </is>
      </c>
      <c r="AO243" s="25">
        <f>IF(AN243="Yes for more than 2 years",10,IF(AN243="Yes only for next 1 to 2 years",5,0))</f>
        <v/>
      </c>
      <c r="AP243" s="25" t="inlineStr">
        <is>
          <t>0 to 20</t>
        </is>
      </c>
      <c r="AQ243" s="25">
        <f>IF(AP243="Above 40",20,IF(AP243="20 to 40",10,IF(AP243="0 to 20",-5,0)))</f>
        <v/>
      </c>
      <c r="AR243" s="25" t="inlineStr">
        <is>
          <t>Between 50 to 75</t>
        </is>
      </c>
      <c r="AS243" s="25">
        <f>IF(AR243="Between 50 to 75",10,IF(AR243="Above 75",0,0))</f>
        <v/>
      </c>
      <c r="AT243" s="25" t="inlineStr">
        <is>
          <t>Stage 2</t>
        </is>
      </c>
      <c r="AU243" s="25">
        <f>IF(AT243="Stage 2",20,IF(AT243="Stage 1",0,IF(AT243="Stage 3",5,IF(AT243="Stage 4",-5,0))))</f>
        <v/>
      </c>
      <c r="AV243" s="25" t="inlineStr">
        <is>
          <t>Negative Trend</t>
        </is>
      </c>
      <c r="AW243" s="25">
        <f>IF(AV243="Positive Trend",20,IF(AV243="Negative Trend",-10,0))</f>
        <v/>
      </c>
      <c r="AX243" s="25" t="inlineStr">
        <is>
          <t>Uptrend</t>
        </is>
      </c>
      <c r="AY243" s="25">
        <f>IF(AX243="Uptrend",10,IF(AX243="Sideways",5,0))</f>
        <v/>
      </c>
      <c r="AZ243" s="25" t="inlineStr">
        <is>
          <t>Uptrend</t>
        </is>
      </c>
      <c r="BA243" s="25">
        <f>IF(AZ243="Uptrend",10,IF(AZ243="Sideways",5,0))</f>
        <v/>
      </c>
      <c r="BB243" s="25" t="inlineStr">
        <is>
          <t>Close to 52 week high or retracement</t>
        </is>
      </c>
      <c r="BC243" s="25">
        <f>IF(BB243="Overhead supply in last 2 years in last 2 years",-5,IF(BB243="Close to 52 week high or retracement",5,IF(BB243="Blue sky scenario",10,IF(BB243="Long term Downtrend",-10,0))))</f>
        <v/>
      </c>
      <c r="BD243" s="25" t="inlineStr">
        <is>
          <t>Yes</t>
        </is>
      </c>
      <c r="BE243" s="25">
        <f>IF(BD243="Yes",10,0)</f>
        <v/>
      </c>
      <c r="BF243" s="25" t="inlineStr">
        <is>
          <t>More than 20%</t>
        </is>
      </c>
      <c r="BG243" s="25">
        <f>IF(BF243="More than 20%",10,IF(BF243="Between 12 to 20%",5,IF(BF243="Less than 12%",0,0)))</f>
        <v/>
      </c>
      <c r="BH243" s="25" t="inlineStr">
        <is>
          <t>No</t>
        </is>
      </c>
      <c r="BI243" s="25">
        <f>IF(BH243="No",10,0)</f>
        <v/>
      </c>
      <c r="BJ243" s="25" t="inlineStr">
        <is>
          <t>Yes</t>
        </is>
      </c>
      <c r="BK243" s="25">
        <f>IF(BJ243="NO",5,0)</f>
        <v/>
      </c>
      <c r="BL243" s="25" t="inlineStr">
        <is>
          <t>Less than 1.5</t>
        </is>
      </c>
      <c r="BM243" s="25">
        <f>IF(BL243="Above 2",0,IF(BL243="Between 1.5 to 2",5,IF(BL243="Less than 1.5",10,0)))</f>
        <v/>
      </c>
      <c r="BN243" s="25" t="inlineStr">
        <is>
          <t>Above 70%</t>
        </is>
      </c>
      <c r="BO243" s="25">
        <f>IF(BN243="Above 70%",10,IF(BN243="Between 50% to 70%",5,IF(BN243="Less than 50%",0,IF(BN243="Negative",-10,IF(BN243="Less than 50% and Borrowings are increasing",-5,0)))))</f>
        <v/>
      </c>
      <c r="BP243" s="25" t="inlineStr">
        <is>
          <t>Less than 0.7</t>
        </is>
      </c>
      <c r="BQ243" s="25">
        <f>IF(BP243="More than 1.2",-10,IF(BP243="Between 0.7 to 1.2",0,IF(BP243="Less than 0.7",10,0)))</f>
        <v/>
      </c>
      <c r="BR243" s="25" t="inlineStr">
        <is>
          <t>No</t>
        </is>
      </c>
      <c r="BS243" s="25">
        <f>IF(BR243="Yes",-10,0)</f>
        <v/>
      </c>
      <c r="BT243" s="25" t="inlineStr">
        <is>
          <t>Less than 15%</t>
        </is>
      </c>
      <c r="BU243" s="25">
        <f>IF(BT243="More than 15%",-10,IF(BT243="Less than 15%",10,0))</f>
        <v/>
      </c>
      <c r="BV243" s="25" t="inlineStr">
        <is>
          <t>No</t>
        </is>
      </c>
      <c r="BW243" s="25">
        <f>IF(BV243="Yes, more than 10%",-10,IF(BV243="No",10,0))</f>
        <v/>
      </c>
    </row>
    <row r="244">
      <c r="A244" s="25">
        <f>IF(B244=0,"",RANK(B244,$B$2:$B$292,0))</f>
        <v/>
      </c>
      <c r="B244" s="26">
        <f>SUM(Q244,S244,U244,W244,Y244,AA244,AC244,AE244,AG244,AI244,AK244,AM244,AO244,AQ244,AS244,AU244,AW244,AY244,BA244,BC244,BE244,BG244,BI244,BK244,BM244,BO244,BQ244,BS244,BU244,BW244)</f>
        <v/>
      </c>
      <c r="C244" s="25" t="inlineStr">
        <is>
          <t>CEIGALL</t>
        </is>
      </c>
      <c r="D244" s="25" t="inlineStr">
        <is>
          <t>Ceigall India Ltd</t>
        </is>
      </c>
      <c r="E244" s="25" t="inlineStr">
        <is>
          <t>realty</t>
        </is>
      </c>
      <c r="F244" s="25" t="inlineStr">
        <is>
          <t>construction</t>
        </is>
      </c>
      <c r="G244" s="25" t="inlineStr">
        <is>
          <t>midcap</t>
        </is>
      </c>
      <c r="H244" s="26" t="n">
        <v>5957.81</v>
      </c>
      <c r="I244" s="26" t="n">
        <v>347.8</v>
      </c>
      <c r="J244" s="26" t="n">
        <v>1.7</v>
      </c>
      <c r="K244" s="26" t="n">
        <v>356472</v>
      </c>
      <c r="L244" s="26" t="n">
        <v>66.5</v>
      </c>
      <c r="M244" s="26" t="n">
        <v>41.58</v>
      </c>
      <c r="N244" s="26" t="n">
        <v>301.42</v>
      </c>
      <c r="O244" s="25" t="inlineStr">
        <is>
          <t>Earnings / Momentum Support</t>
        </is>
      </c>
      <c r="P244" s="25" t="inlineStr">
        <is>
          <t>Growing Industry</t>
        </is>
      </c>
      <c r="Q244" s="25">
        <f>IF(P244="Growing Industry",10,IF(P244="Cyclical in an Upturn",5,0))</f>
        <v/>
      </c>
      <c r="R244" s="25" t="inlineStr">
        <is>
          <t>Too Many Players with High ROCE</t>
        </is>
      </c>
      <c r="S244" s="25">
        <f>IF(R244="Monopoly",10,IF(R244="Oligopoly",5,IF(R244="Duopoly that cooperate",10,IF(R244="Duopoly that compete",5,IF(R244="Too many players with High ROCE",5,0)))))</f>
        <v/>
      </c>
      <c r="T244" s="25" t="inlineStr">
        <is>
          <t>No</t>
        </is>
      </c>
      <c r="U244" s="25">
        <f>IF(T244="No",5,0)</f>
        <v/>
      </c>
      <c r="V244" s="25" t="inlineStr">
        <is>
          <t>Tailwind</t>
        </is>
      </c>
      <c r="W244" s="25">
        <f>IF(V244="Tailwind",10,0)</f>
        <v/>
      </c>
      <c r="X244" s="25" t="inlineStr">
        <is>
          <t>Structural (10 Years Consistency)</t>
        </is>
      </c>
      <c r="Y244" s="25">
        <f>IF(X244="Structural (10 Years Consistency)",10,IF(X244="Shallow Cyclical (2 to 3 years growth)",5,0))</f>
        <v/>
      </c>
      <c r="Z244" s="25" t="inlineStr">
        <is>
          <t>No</t>
        </is>
      </c>
      <c r="AA244" s="25">
        <f>IF(Z244="Yes due to Product Mix change or Operating Leverage",10,IF(Z244="Yes, these are peak margins",-5,IF(Z244="No",5,0)))</f>
        <v/>
      </c>
      <c r="AB244" s="25" t="inlineStr">
        <is>
          <t>Stable</t>
        </is>
      </c>
      <c r="AC244" s="25">
        <f>IF(AB244="Stable",10,0)</f>
        <v/>
      </c>
      <c r="AD244" s="25" t="inlineStr">
        <is>
          <t>Yes</t>
        </is>
      </c>
      <c r="AE244" s="25">
        <f>IF(AD244="Yes",10,0)</f>
        <v/>
      </c>
      <c r="AF244" s="25" t="inlineStr">
        <is>
          <t>B2B</t>
        </is>
      </c>
      <c r="AG244" s="25">
        <f>IF(AF244="B2C",10,IF(AF244="B2B",5,0))</f>
        <v/>
      </c>
      <c r="AH244" s="25" t="inlineStr">
        <is>
          <t>No</t>
        </is>
      </c>
      <c r="AI244" s="25">
        <f>IF(AH244="Yes",10,0)</f>
        <v/>
      </c>
      <c r="AJ244" s="25" t="inlineStr">
        <is>
          <t>Higher One Time, Lower Annuity</t>
        </is>
      </c>
      <c r="AK244" s="25">
        <f>IF(AJ244="Fully Annuity",10,IF(AJ244="Higher Annuity, Lower One Time",5,IF(AJ244="Higher One Time, Lower Annuity",3,0)))</f>
        <v/>
      </c>
      <c r="AL244" s="25" t="inlineStr">
        <is>
          <t>Good</t>
        </is>
      </c>
      <c r="AM244" s="25">
        <f>IF(AL244="Good",10,0)</f>
        <v/>
      </c>
      <c r="AN244" s="25" t="inlineStr">
        <is>
          <t>Yes for more than 2 years</t>
        </is>
      </c>
      <c r="AO244" s="25">
        <f>IF(AN244="Yes for more than 2 years",10,IF(AN244="Yes only for next 1 to 2 years",5,0))</f>
        <v/>
      </c>
      <c r="AP244" s="25" t="inlineStr">
        <is>
          <t>Above 40</t>
        </is>
      </c>
      <c r="AQ244" s="25">
        <f>IF(AP244="Above 40",20,IF(AP244="20 to 40",10,IF(AP244="0 to 20",-5,0)))</f>
        <v/>
      </c>
      <c r="AR244" s="25" t="inlineStr">
        <is>
          <t>Between 50 to 75</t>
        </is>
      </c>
      <c r="AS244" s="25">
        <f>IF(AR244="Between 50 to 75",10,IF(AR244="Above 75",0,0))</f>
        <v/>
      </c>
      <c r="AT244" s="25" t="inlineStr">
        <is>
          <t>Stage 2</t>
        </is>
      </c>
      <c r="AU244" s="25">
        <f>IF(AT244="Stage 2",20,IF(AT244="Stage 1",0,IF(AT244="Stage 3",5,IF(AT244="Stage 4",-5,0))))</f>
        <v/>
      </c>
      <c r="AV244" s="25" t="inlineStr">
        <is>
          <t>Negative Trend</t>
        </is>
      </c>
      <c r="AW244" s="25">
        <f>IF(AV244="Positive Trend",20,IF(AV244="Negative Trend",-10,0))</f>
        <v/>
      </c>
      <c r="AX244" s="25" t="inlineStr">
        <is>
          <t>Uptrend</t>
        </is>
      </c>
      <c r="AY244" s="25">
        <f>IF(AX244="Uptrend",10,IF(AX244="Sideways",5,0))</f>
        <v/>
      </c>
      <c r="AZ244" s="25" t="inlineStr">
        <is>
          <t>Uptrend</t>
        </is>
      </c>
      <c r="BA244" s="25">
        <f>IF(AZ244="Uptrend",10,IF(AZ244="Sideways",5,0))</f>
        <v/>
      </c>
      <c r="BB244" s="25" t="inlineStr">
        <is>
          <t>Close to 52 week high or retracement</t>
        </is>
      </c>
      <c r="BC244" s="25">
        <f>IF(BB244="Overhead supply in last 2 years in last 2 years",-5,IF(BB244="Close to 52 week high or retracement",5,IF(BB244="Blue sky scenario",10,IF(BB244="Long term Downtrend",-10,0))))</f>
        <v/>
      </c>
      <c r="BD244" s="25" t="inlineStr">
        <is>
          <t>Yes</t>
        </is>
      </c>
      <c r="BE244" s="25">
        <f>IF(BD244="Yes",10,0)</f>
        <v/>
      </c>
      <c r="BF244" s="25" t="inlineStr">
        <is>
          <t>More than 20%</t>
        </is>
      </c>
      <c r="BG244" s="25">
        <f>IF(BF244="More than 20%",10,IF(BF244="Between 12 to 20%",5,IF(BF244="Less than 12%",0,0)))</f>
        <v/>
      </c>
      <c r="BH244" s="25" t="inlineStr">
        <is>
          <t>No</t>
        </is>
      </c>
      <c r="BI244" s="25">
        <f>IF(BH244="No",10,0)</f>
        <v/>
      </c>
      <c r="BJ244" s="25" t="inlineStr">
        <is>
          <t>No</t>
        </is>
      </c>
      <c r="BK244" s="25">
        <f>IF(BJ244="NO",5,0)</f>
        <v/>
      </c>
      <c r="BL244" s="25" t="inlineStr">
        <is>
          <t>Less than 1.5</t>
        </is>
      </c>
      <c r="BM244" s="25">
        <f>IF(BL244="Above 2",0,IF(BL244="Between 1.5 to 2",5,IF(BL244="Less than 1.5",10,0)))</f>
        <v/>
      </c>
      <c r="BN244" s="25" t="inlineStr">
        <is>
          <t>Negative</t>
        </is>
      </c>
      <c r="BO244" s="25">
        <f>IF(BN244="Above 70%",10,IF(BN244="Between 50% to 70%",5,IF(BN244="Less than 50%",0,IF(BN244="Negative",-10,IF(BN244="Less than 50% and Borrowings are increasing",-5,0)))))</f>
        <v/>
      </c>
      <c r="BP244" s="25" t="inlineStr">
        <is>
          <t>Less than 0.7</t>
        </is>
      </c>
      <c r="BQ244" s="25">
        <f>IF(BP244="More than 1.2",-10,IF(BP244="Between 0.7 to 1.2",0,IF(BP244="Less than 0.7",10,0)))</f>
        <v/>
      </c>
      <c r="BR244" s="25" t="inlineStr">
        <is>
          <t>No</t>
        </is>
      </c>
      <c r="BS244" s="25">
        <f>IF(BR244="Yes",-10,0)</f>
        <v/>
      </c>
      <c r="BT244" s="25" t="inlineStr">
        <is>
          <t>Less than 15%</t>
        </is>
      </c>
      <c r="BU244" s="25">
        <f>IF(BT244="More than 15%",-10,IF(BT244="Less than 15%",10,0))</f>
        <v/>
      </c>
      <c r="BV244" s="25" t="inlineStr">
        <is>
          <t>No</t>
        </is>
      </c>
      <c r="BW244" s="25">
        <f>IF(BV244="Yes, more than 10%",-10,IF(BV244="No",10,0))</f>
        <v/>
      </c>
    </row>
    <row r="245">
      <c r="A245" s="25">
        <f>IF(B245=0,"",RANK(B245,$B$2:$B$292,0))</f>
        <v/>
      </c>
      <c r="B245" s="26">
        <f>SUM(Q245,S245,U245,W245,Y245,AA245,AC245,AE245,AG245,AI245,AK245,AM245,AO245,AQ245,AS245,AU245,AW245,AY245,BA245,BC245,BE245,BG245,BI245,BK245,BM245,BO245,BQ245,BS245,BU245,BW245)</f>
        <v/>
      </c>
      <c r="C245" s="25" t="inlineStr">
        <is>
          <t>JSWENERGY</t>
        </is>
      </c>
      <c r="D245" s="25" t="inlineStr">
        <is>
          <t>Jsw Energy Limited</t>
        </is>
      </c>
      <c r="E245" s="25" t="inlineStr">
        <is>
          <t>power &amp; utilities</t>
        </is>
      </c>
      <c r="F245" s="25" t="inlineStr">
        <is>
          <t>power generation and supply</t>
        </is>
      </c>
      <c r="G245" s="25" t="inlineStr">
        <is>
          <t>largecap</t>
        </is>
      </c>
      <c r="H245" s="26" t="n">
        <v>102529.22</v>
      </c>
      <c r="I245" s="26" t="n">
        <v>588.55</v>
      </c>
      <c r="J245" s="26" t="n">
        <v>0.87</v>
      </c>
      <c r="K245" s="26" t="n">
        <v>4070897</v>
      </c>
      <c r="L245" s="26" t="n">
        <v>62.15</v>
      </c>
      <c r="M245" s="26" t="n">
        <v>14.02</v>
      </c>
      <c r="N245" s="26" t="n">
        <v>477.3</v>
      </c>
      <c r="O245" s="25" t="inlineStr">
        <is>
          <t>Near 52W High Breakout</t>
        </is>
      </c>
      <c r="P245" s="25" t="inlineStr">
        <is>
          <t>Growing Industry</t>
        </is>
      </c>
      <c r="Q245" s="25">
        <f>IF(P245="Growing Industry",10,IF(P245="Cyclical in an Upturn",5,0))</f>
        <v/>
      </c>
      <c r="R245" s="25" t="inlineStr">
        <is>
          <t>Too Many Players with High ROCE</t>
        </is>
      </c>
      <c r="S245" s="25">
        <f>IF(R245="Monopoly",10,IF(R245="Oligopoly",5,IF(R245="Duopoly that cooperate",10,IF(R245="Duopoly that compete",5,IF(R245="Too many players with High ROCE",5,0)))))</f>
        <v/>
      </c>
      <c r="T245" s="25" t="inlineStr">
        <is>
          <t>No</t>
        </is>
      </c>
      <c r="U245" s="25">
        <f>IF(T245="No",5,0)</f>
        <v/>
      </c>
      <c r="V245" s="25" t="inlineStr">
        <is>
          <t>Tailwind</t>
        </is>
      </c>
      <c r="W245" s="25">
        <f>IF(V245="Tailwind",10,0)</f>
        <v/>
      </c>
      <c r="X245" s="25" t="inlineStr">
        <is>
          <t>Structural (10 Years Consistency)</t>
        </is>
      </c>
      <c r="Y245" s="25">
        <f>IF(X245="Structural (10 Years Consistency)",10,IF(X245="Shallow Cyclical (2 to 3 years growth)",5,0))</f>
        <v/>
      </c>
      <c r="Z245" s="25" t="inlineStr">
        <is>
          <t>No</t>
        </is>
      </c>
      <c r="AA245" s="25">
        <f>IF(Z245="Yes due to Product Mix change or Operating Leverage",10,IF(Z245="Yes, these are peak margins",-5,IF(Z245="No",5,0)))</f>
        <v/>
      </c>
      <c r="AB245" s="25" t="inlineStr">
        <is>
          <t>Stable</t>
        </is>
      </c>
      <c r="AC245" s="25">
        <f>IF(AB245="Stable",10,0)</f>
        <v/>
      </c>
      <c r="AD245" s="25" t="inlineStr">
        <is>
          <t>Yes</t>
        </is>
      </c>
      <c r="AE245" s="25">
        <f>IF(AD245="Yes",10,0)</f>
        <v/>
      </c>
      <c r="AF245" s="25" t="inlineStr">
        <is>
          <t>B2B</t>
        </is>
      </c>
      <c r="AG245" s="25">
        <f>IF(AF245="B2C",10,IF(AF245="B2B",5,0))</f>
        <v/>
      </c>
      <c r="AH245" s="25" t="inlineStr">
        <is>
          <t>Yes</t>
        </is>
      </c>
      <c r="AI245" s="25">
        <f>IF(AH245="Yes",10,0)</f>
        <v/>
      </c>
      <c r="AJ245" s="25" t="inlineStr">
        <is>
          <t>Higher One Time, Lower Annuity</t>
        </is>
      </c>
      <c r="AK245" s="25">
        <f>IF(AJ245="Fully Annuity",10,IF(AJ245="Higher Annuity, Lower One Time",5,IF(AJ245="Higher One Time, Lower Annuity",3,0)))</f>
        <v/>
      </c>
      <c r="AL245" s="25" t="inlineStr">
        <is>
          <t>Good</t>
        </is>
      </c>
      <c r="AM245" s="25">
        <f>IF(AL245="Good",10,0)</f>
        <v/>
      </c>
      <c r="AN245" s="25" t="inlineStr">
        <is>
          <t>Yes for more than 2 years</t>
        </is>
      </c>
      <c r="AO245" s="25">
        <f>IF(AN245="Yes for more than 2 years",10,IF(AN245="Yes only for next 1 to 2 years",5,0))</f>
        <v/>
      </c>
      <c r="AP245" s="25" t="inlineStr">
        <is>
          <t>0 to 20</t>
        </is>
      </c>
      <c r="AQ245" s="25">
        <f>IF(AP245="Above 40",20,IF(AP245="20 to 40",10,IF(AP245="0 to 20",-5,0)))</f>
        <v/>
      </c>
      <c r="AR245" s="25" t="inlineStr">
        <is>
          <t>Between 50 to 75</t>
        </is>
      </c>
      <c r="AS245" s="25">
        <f>IF(AR245="Between 50 to 75",10,IF(AR245="Above 75",0,0))</f>
        <v/>
      </c>
      <c r="AT245" s="25" t="inlineStr">
        <is>
          <t>Stage 2</t>
        </is>
      </c>
      <c r="AU245" s="25">
        <f>IF(AT245="Stage 2",20,IF(AT245="Stage 1",0,IF(AT245="Stage 3",5,IF(AT245="Stage 4",-5,0))))</f>
        <v/>
      </c>
      <c r="AV245" s="25" t="inlineStr">
        <is>
          <t>Positive Trend</t>
        </is>
      </c>
      <c r="AW245" s="25">
        <f>IF(AV245="Positive Trend",20,IF(AV245="Negative Trend",-10,0))</f>
        <v/>
      </c>
      <c r="AX245" s="25" t="inlineStr">
        <is>
          <t>Uptrend</t>
        </is>
      </c>
      <c r="AY245" s="25">
        <f>IF(AX245="Uptrend",10,IF(AX245="Sideways",5,0))</f>
        <v/>
      </c>
      <c r="AZ245" s="25" t="inlineStr">
        <is>
          <t>Uptrend</t>
        </is>
      </c>
      <c r="BA245" s="25">
        <f>IF(AZ245="Uptrend",10,IF(AZ245="Sideways",5,0))</f>
        <v/>
      </c>
      <c r="BB245" s="25" t="inlineStr">
        <is>
          <t>Close to 52 week high or retracement</t>
        </is>
      </c>
      <c r="BC245" s="25">
        <f>IF(BB245="Overhead supply in last 2 years in last 2 years",-5,IF(BB245="Close to 52 week high or retracement",5,IF(BB245="Blue sky scenario",10,IF(BB245="Long term Downtrend",-10,0))))</f>
        <v/>
      </c>
      <c r="BD245" s="25" t="inlineStr">
        <is>
          <t>Yes</t>
        </is>
      </c>
      <c r="BE245" s="25">
        <f>IF(BD245="Yes",10,0)</f>
        <v/>
      </c>
      <c r="BF245" s="25" t="inlineStr">
        <is>
          <t>Less than 12%</t>
        </is>
      </c>
      <c r="BG245" s="25">
        <f>IF(BF245="More than 20%",10,IF(BF245="Between 12 to 20%",5,IF(BF245="Less than 12%",0,0)))</f>
        <v/>
      </c>
      <c r="BH245" s="25" t="inlineStr">
        <is>
          <t>No</t>
        </is>
      </c>
      <c r="BI245" s="25">
        <f>IF(BH245="No",10,0)</f>
        <v/>
      </c>
      <c r="BJ245" s="25" t="inlineStr">
        <is>
          <t>Yes</t>
        </is>
      </c>
      <c r="BK245" s="25">
        <f>IF(BJ245="NO",5,0)</f>
        <v/>
      </c>
      <c r="BL245" s="25" t="inlineStr">
        <is>
          <t>Less than 1.5</t>
        </is>
      </c>
      <c r="BM245" s="25">
        <f>IF(BL245="Above 2",0,IF(BL245="Between 1.5 to 2",5,IF(BL245="Less than 1.5",10,0)))</f>
        <v/>
      </c>
      <c r="BN245" s="25" t="inlineStr">
        <is>
          <t>Above 70%</t>
        </is>
      </c>
      <c r="BO245" s="25">
        <f>IF(BN245="Above 70%",10,IF(BN245="Between 50% to 70%",5,IF(BN245="Less than 50%",0,IF(BN245="Negative",-10,IF(BN245="Less than 50% and Borrowings are increasing",-5,0)))))</f>
        <v/>
      </c>
      <c r="BP245" s="25" t="inlineStr">
        <is>
          <t>More than 1.2</t>
        </is>
      </c>
      <c r="BQ245" s="25">
        <f>IF(BP245="More than 1.2",-10,IF(BP245="Between 0.7 to 1.2",0,IF(BP245="Less than 0.7",10,0)))</f>
        <v/>
      </c>
      <c r="BR245" s="25" t="inlineStr">
        <is>
          <t>No</t>
        </is>
      </c>
      <c r="BS245" s="25">
        <f>IF(BR245="Yes",-10,0)</f>
        <v/>
      </c>
      <c r="BT245" s="25" t="inlineStr">
        <is>
          <t>Less than 15%</t>
        </is>
      </c>
      <c r="BU245" s="25">
        <f>IF(BT245="More than 15%",-10,IF(BT245="Less than 15%",10,0))</f>
        <v/>
      </c>
      <c r="BV245" s="25" t="inlineStr">
        <is>
          <t>No</t>
        </is>
      </c>
      <c r="BW245" s="25">
        <f>IF(BV245="Yes, more than 10%",-10,IF(BV245="No",10,0))</f>
        <v/>
      </c>
    </row>
    <row r="246">
      <c r="A246" s="25">
        <f>IF(B246=0,"",RANK(B246,$B$2:$B$292,0))</f>
        <v/>
      </c>
      <c r="B246" s="26">
        <f>SUM(Q246,S246,U246,W246,Y246,AA246,AC246,AE246,AG246,AI246,AK246,AM246,AO246,AQ246,AS246,AU246,AW246,AY246,BA246,BC246,BE246,BG246,BI246,BK246,BM246,BO246,BQ246,BS246,BU246,BW246)</f>
        <v/>
      </c>
      <c r="C246" s="25" t="inlineStr">
        <is>
          <t>MIDHANI</t>
        </is>
      </c>
      <c r="D246" s="25" t="inlineStr">
        <is>
          <t>Mishra Dhatu Nigam Ltd</t>
        </is>
      </c>
      <c r="E246" s="25" t="inlineStr">
        <is>
          <t>aerospace &amp; defence</t>
        </is>
      </c>
      <c r="F246" s="25" t="inlineStr">
        <is>
          <t>steel - medium / small</t>
        </is>
      </c>
      <c r="G246" s="25" t="inlineStr">
        <is>
          <t>midcap</t>
        </is>
      </c>
      <c r="H246" s="26" t="n">
        <v>7639.73</v>
      </c>
      <c r="I246" s="26" t="n">
        <v>410.75</v>
      </c>
      <c r="J246" s="26" t="n">
        <v>0.72</v>
      </c>
      <c r="K246" s="26" t="n">
        <v>954518</v>
      </c>
      <c r="L246" s="26" t="n">
        <v>60.81</v>
      </c>
      <c r="M246" s="26" t="n">
        <v>22.55</v>
      </c>
      <c r="N246" s="26" t="n">
        <v>313.9</v>
      </c>
      <c r="O246" s="25" t="inlineStr">
        <is>
          <t>Earnings / Momentum Support</t>
        </is>
      </c>
      <c r="P246" s="25" t="inlineStr">
        <is>
          <t>Growing Industry</t>
        </is>
      </c>
      <c r="Q246" s="25">
        <f>IF(P246="Growing Industry",10,IF(P246="Cyclical in an Upturn",5,0))</f>
        <v/>
      </c>
      <c r="R246" s="25" t="inlineStr">
        <is>
          <t>Too Many Players with High ROCE</t>
        </is>
      </c>
      <c r="S246" s="25">
        <f>IF(R246="Monopoly",10,IF(R246="Oligopoly",5,IF(R246="Duopoly that cooperate",10,IF(R246="Duopoly that compete",5,IF(R246="Too many players with High ROCE",5,0)))))</f>
        <v/>
      </c>
      <c r="T246" s="25" t="inlineStr">
        <is>
          <t>No</t>
        </is>
      </c>
      <c r="U246" s="25">
        <f>IF(T246="No",5,0)</f>
        <v/>
      </c>
      <c r="V246" s="25" t="inlineStr">
        <is>
          <t>Tailwind</t>
        </is>
      </c>
      <c r="W246" s="25">
        <f>IF(V246="Tailwind",10,0)</f>
        <v/>
      </c>
      <c r="X246" s="25" t="inlineStr">
        <is>
          <t>Structural (10 Years Consistency)</t>
        </is>
      </c>
      <c r="Y246" s="25">
        <f>IF(X246="Structural (10 Years Consistency)",10,IF(X246="Shallow Cyclical (2 to 3 years growth)",5,0))</f>
        <v/>
      </c>
      <c r="Z246" s="25" t="inlineStr">
        <is>
          <t>No</t>
        </is>
      </c>
      <c r="AA246" s="25">
        <f>IF(Z246="Yes due to Product Mix change or Operating Leverage",10,IF(Z246="Yes, these are peak margins",-5,IF(Z246="No",5,0)))</f>
        <v/>
      </c>
      <c r="AB246" s="25" t="inlineStr">
        <is>
          <t>Stable</t>
        </is>
      </c>
      <c r="AC246" s="25">
        <f>IF(AB246="Stable",10,0)</f>
        <v/>
      </c>
      <c r="AD246" s="25" t="inlineStr">
        <is>
          <t>Yes</t>
        </is>
      </c>
      <c r="AE246" s="25">
        <f>IF(AD246="Yes",10,0)</f>
        <v/>
      </c>
      <c r="AF246" s="25" t="inlineStr">
        <is>
          <t>B2B</t>
        </is>
      </c>
      <c r="AG246" s="25">
        <f>IF(AF246="B2C",10,IF(AF246="B2B",5,0))</f>
        <v/>
      </c>
      <c r="AH246" s="25" t="inlineStr">
        <is>
          <t>No</t>
        </is>
      </c>
      <c r="AI246" s="25">
        <f>IF(AH246="Yes",10,0)</f>
        <v/>
      </c>
      <c r="AJ246" s="25" t="inlineStr">
        <is>
          <t>Higher One Time, Lower Annuity</t>
        </is>
      </c>
      <c r="AK246" s="25">
        <f>IF(AJ246="Fully Annuity",10,IF(AJ246="Higher Annuity, Lower One Time",5,IF(AJ246="Higher One Time, Lower Annuity",3,0)))</f>
        <v/>
      </c>
      <c r="AL246" s="25" t="inlineStr">
        <is>
          <t>Good</t>
        </is>
      </c>
      <c r="AM246" s="25">
        <f>IF(AL246="Good",10,0)</f>
        <v/>
      </c>
      <c r="AN246" s="25" t="inlineStr">
        <is>
          <t>Yes for more than 2 years</t>
        </is>
      </c>
      <c r="AO246" s="25">
        <f>IF(AN246="Yes for more than 2 years",10,IF(AN246="Yes only for next 1 to 2 years",5,0))</f>
        <v/>
      </c>
      <c r="AP246" s="25" t="inlineStr">
        <is>
          <t>20 to 40</t>
        </is>
      </c>
      <c r="AQ246" s="25">
        <f>IF(AP246="Above 40",20,IF(AP246="20 to 40",10,IF(AP246="0 to 20",-5,0)))</f>
        <v/>
      </c>
      <c r="AR246" s="25" t="inlineStr">
        <is>
          <t>Between 50 to 75</t>
        </is>
      </c>
      <c r="AS246" s="25">
        <f>IF(AR246="Between 50 to 75",10,IF(AR246="Above 75",0,0))</f>
        <v/>
      </c>
      <c r="AT246" s="25" t="inlineStr">
        <is>
          <t>Stage 2</t>
        </is>
      </c>
      <c r="AU246" s="25">
        <f>IF(AT246="Stage 2",20,IF(AT246="Stage 1",0,IF(AT246="Stage 3",5,IF(AT246="Stage 4",-5,0))))</f>
        <v/>
      </c>
      <c r="AV246" s="25" t="inlineStr">
        <is>
          <t>Negative Trend</t>
        </is>
      </c>
      <c r="AW246" s="25">
        <f>IF(AV246="Positive Trend",20,IF(AV246="Negative Trend",-10,0))</f>
        <v/>
      </c>
      <c r="AX246" s="25" t="inlineStr">
        <is>
          <t>Uptrend</t>
        </is>
      </c>
      <c r="AY246" s="25">
        <f>IF(AX246="Uptrend",10,IF(AX246="Sideways",5,0))</f>
        <v/>
      </c>
      <c r="AZ246" s="25" t="inlineStr">
        <is>
          <t>Uptrend</t>
        </is>
      </c>
      <c r="BA246" s="25">
        <f>IF(AZ246="Uptrend",10,IF(AZ246="Sideways",5,0))</f>
        <v/>
      </c>
      <c r="BB246" s="25" t="inlineStr">
        <is>
          <t>Close to 52 week high or retracement</t>
        </is>
      </c>
      <c r="BC246" s="25">
        <f>IF(BB246="Overhead supply in last 2 years in last 2 years",-5,IF(BB246="Close to 52 week high or retracement",5,IF(BB246="Blue sky scenario",10,IF(BB246="Long term Downtrend",-10,0))))</f>
        <v/>
      </c>
      <c r="BD246" s="25" t="inlineStr">
        <is>
          <t>Yes</t>
        </is>
      </c>
      <c r="BE246" s="25">
        <f>IF(BD246="Yes",10,0)</f>
        <v/>
      </c>
      <c r="BF246" s="25" t="inlineStr">
        <is>
          <t>More than 20%</t>
        </is>
      </c>
      <c r="BG246" s="25">
        <f>IF(BF246="More than 20%",10,IF(BF246="Between 12 to 20%",5,IF(BF246="Less than 12%",0,0)))</f>
        <v/>
      </c>
      <c r="BH246" s="25" t="inlineStr">
        <is>
          <t>No</t>
        </is>
      </c>
      <c r="BI246" s="25">
        <f>IF(BH246="No",10,0)</f>
        <v/>
      </c>
      <c r="BJ246" s="25" t="inlineStr">
        <is>
          <t>Yes</t>
        </is>
      </c>
      <c r="BK246" s="25">
        <f>IF(BJ246="NO",5,0)</f>
        <v/>
      </c>
      <c r="BL246" s="25" t="inlineStr">
        <is>
          <t>Less than 1.5</t>
        </is>
      </c>
      <c r="BM246" s="25">
        <f>IF(BL246="Above 2",0,IF(BL246="Between 1.5 to 2",5,IF(BL246="Less than 1.5",10,0)))</f>
        <v/>
      </c>
      <c r="BN246" s="25" t="inlineStr">
        <is>
          <t>Between 50% to 70%</t>
        </is>
      </c>
      <c r="BO246" s="25">
        <f>IF(BN246="Above 70%",10,IF(BN246="Between 50% to 70%",5,IF(BN246="Less than 50%",0,IF(BN246="Negative",-10,IF(BN246="Less than 50% and Borrowings are increasing",-5,0)))))</f>
        <v/>
      </c>
      <c r="BP246" s="25" t="inlineStr">
        <is>
          <t>Less than 0.7</t>
        </is>
      </c>
      <c r="BQ246" s="25">
        <f>IF(BP246="More than 1.2",-10,IF(BP246="Between 0.7 to 1.2",0,IF(BP246="Less than 0.7",10,0)))</f>
        <v/>
      </c>
      <c r="BR246" s="25" t="inlineStr">
        <is>
          <t>No</t>
        </is>
      </c>
      <c r="BS246" s="25">
        <f>IF(BR246="Yes",-10,0)</f>
        <v/>
      </c>
      <c r="BT246" s="25" t="inlineStr">
        <is>
          <t>Less than 15%</t>
        </is>
      </c>
      <c r="BU246" s="25">
        <f>IF(BT246="More than 15%",-10,IF(BT246="Less than 15%",10,0))</f>
        <v/>
      </c>
      <c r="BV246" s="25" t="inlineStr">
        <is>
          <t>No</t>
        </is>
      </c>
      <c r="BW246" s="25">
        <f>IF(BV246="Yes, more than 10%",-10,IF(BV246="No",10,0))</f>
        <v/>
      </c>
    </row>
    <row r="247">
      <c r="A247" s="25">
        <f>IF(B247=0,"",RANK(B247,$B$2:$B$292,0))</f>
        <v/>
      </c>
      <c r="B247" s="26">
        <f>SUM(Q247,S247,U247,W247,Y247,AA247,AC247,AE247,AG247,AI247,AK247,AM247,AO247,AQ247,AS247,AU247,AW247,AY247,BA247,BC247,BE247,BG247,BI247,BK247,BM247,BO247,BQ247,BS247,BU247,BW247)</f>
        <v/>
      </c>
      <c r="C247" s="25" t="inlineStr">
        <is>
          <t>HINDALCO</t>
        </is>
      </c>
      <c r="D247" s="25" t="inlineStr">
        <is>
          <t>Hindalco Industries Limited</t>
        </is>
      </c>
      <c r="E247" s="25" t="inlineStr">
        <is>
          <t>metals &amp; mining</t>
        </is>
      </c>
      <c r="F247" s="25" t="inlineStr">
        <is>
          <t>aluminium and aluminium products</t>
        </is>
      </c>
      <c r="G247" s="25" t="inlineStr">
        <is>
          <t>largecap</t>
        </is>
      </c>
      <c r="H247" s="26" t="n">
        <v>256475.96</v>
      </c>
      <c r="I247" s="26" t="n">
        <v>1146.3</v>
      </c>
      <c r="J247" s="26" t="n">
        <v>0.44</v>
      </c>
      <c r="K247" s="26" t="n">
        <v>5325199</v>
      </c>
      <c r="L247" s="26" t="n">
        <v>75.48999999999999</v>
      </c>
      <c r="M247" s="26" t="n">
        <v>56.79</v>
      </c>
      <c r="N247" s="26" t="n">
        <v>962.6</v>
      </c>
      <c r="O247" s="25" t="inlineStr">
        <is>
          <t>Near 52W High Breakout</t>
        </is>
      </c>
      <c r="P247" s="25" t="inlineStr">
        <is>
          <t>Cyclical in an Upturn</t>
        </is>
      </c>
      <c r="Q247" s="25">
        <f>IF(P247="Growing Industry",10,IF(P247="Cyclical in an Upturn",5,0))</f>
        <v/>
      </c>
      <c r="R247" s="25" t="inlineStr">
        <is>
          <t>Too Many Players with High ROCE</t>
        </is>
      </c>
      <c r="S247" s="25">
        <f>IF(R247="Monopoly",10,IF(R247="Oligopoly",5,IF(R247="Duopoly that cooperate",10,IF(R247="Duopoly that compete",5,IF(R247="Too many players with High ROCE",5,0)))))</f>
        <v/>
      </c>
      <c r="T247" s="25" t="inlineStr">
        <is>
          <t>No</t>
        </is>
      </c>
      <c r="U247" s="25">
        <f>IF(T247="No",5,0)</f>
        <v/>
      </c>
      <c r="V247" s="25" t="inlineStr">
        <is>
          <t>Tailwind</t>
        </is>
      </c>
      <c r="W247" s="25">
        <f>IF(V247="Tailwind",10,0)</f>
        <v/>
      </c>
      <c r="X247" s="25" t="inlineStr">
        <is>
          <t>Cyclical</t>
        </is>
      </c>
      <c r="Y247" s="25">
        <f>IF(X247="Structural (10 Years Consistency)",10,IF(X247="Shallow Cyclical (2 to 3 years growth)",5,0))</f>
        <v/>
      </c>
      <c r="Z247" s="25" t="inlineStr">
        <is>
          <t>No</t>
        </is>
      </c>
      <c r="AA247" s="25">
        <f>IF(Z247="Yes due to Product Mix change or Operating Leverage",10,IF(Z247="Yes, these are peak margins",-5,IF(Z247="No",5,0)))</f>
        <v/>
      </c>
      <c r="AB247" s="25" t="inlineStr">
        <is>
          <t>Volatile</t>
        </is>
      </c>
      <c r="AC247" s="25">
        <f>IF(AB247="Stable",10,0)</f>
        <v/>
      </c>
      <c r="AD247" s="25" t="inlineStr">
        <is>
          <t>Yes</t>
        </is>
      </c>
      <c r="AE247" s="25">
        <f>IF(AD247="Yes",10,0)</f>
        <v/>
      </c>
      <c r="AF247" s="25" t="inlineStr">
        <is>
          <t>B2B</t>
        </is>
      </c>
      <c r="AG247" s="25">
        <f>IF(AF247="B2C",10,IF(AF247="B2B",5,0))</f>
        <v/>
      </c>
      <c r="AH247" s="25" t="inlineStr">
        <is>
          <t>Yes</t>
        </is>
      </c>
      <c r="AI247" s="25">
        <f>IF(AH247="Yes",10,0)</f>
        <v/>
      </c>
      <c r="AJ247" s="25" t="inlineStr">
        <is>
          <t>Higher One Time, Lower Annuity</t>
        </is>
      </c>
      <c r="AK247" s="25">
        <f>IF(AJ247="Fully Annuity",10,IF(AJ247="Higher Annuity, Lower One Time",5,IF(AJ247="Higher One Time, Lower Annuity",3,0)))</f>
        <v/>
      </c>
      <c r="AL247" s="25" t="inlineStr">
        <is>
          <t>Good</t>
        </is>
      </c>
      <c r="AM247" s="25">
        <f>IF(AL247="Good",10,0)</f>
        <v/>
      </c>
      <c r="AN247" s="25" t="inlineStr">
        <is>
          <t>Yes for more than 2 years</t>
        </is>
      </c>
      <c r="AO247" s="25">
        <f>IF(AN247="Yes for more than 2 years",10,IF(AN247="Yes only for next 1 to 2 years",5,0))</f>
        <v/>
      </c>
      <c r="AP247" s="25" t="inlineStr">
        <is>
          <t>Above 40</t>
        </is>
      </c>
      <c r="AQ247" s="25">
        <f>IF(AP247="Above 40",20,IF(AP247="20 to 40",10,IF(AP247="0 to 20",-5,0)))</f>
        <v/>
      </c>
      <c r="AR247" s="25" t="inlineStr">
        <is>
          <t>Above 75</t>
        </is>
      </c>
      <c r="AS247" s="25">
        <f>IF(AR247="Between 50 to 75",10,IF(AR247="Above 75",0,0))</f>
        <v/>
      </c>
      <c r="AT247" s="25" t="inlineStr">
        <is>
          <t>Stage 2</t>
        </is>
      </c>
      <c r="AU247" s="25">
        <f>IF(AT247="Stage 2",20,IF(AT247="Stage 1",0,IF(AT247="Stage 3",5,IF(AT247="Stage 4",-5,0))))</f>
        <v/>
      </c>
      <c r="AV247" s="25" t="inlineStr">
        <is>
          <t>Positive Trend</t>
        </is>
      </c>
      <c r="AW247" s="25">
        <f>IF(AV247="Positive Trend",20,IF(AV247="Negative Trend",-10,0))</f>
        <v/>
      </c>
      <c r="AX247" s="25" t="inlineStr">
        <is>
          <t>Uptrend</t>
        </is>
      </c>
      <c r="AY247" s="25">
        <f>IF(AX247="Uptrend",10,IF(AX247="Sideways",5,0))</f>
        <v/>
      </c>
      <c r="AZ247" s="25" t="inlineStr">
        <is>
          <t>Uptrend</t>
        </is>
      </c>
      <c r="BA247" s="25">
        <f>IF(AZ247="Uptrend",10,IF(AZ247="Sideways",5,0))</f>
        <v/>
      </c>
      <c r="BB247" s="25" t="inlineStr">
        <is>
          <t>Blue sky scenario</t>
        </is>
      </c>
      <c r="BC247" s="25">
        <f>IF(BB247="Overhead supply in last 2 years in last 2 years",-5,IF(BB247="Close to 52 week high or retracement",5,IF(BB247="Blue sky scenario",10,IF(BB247="Long term Downtrend",-10,0))))</f>
        <v/>
      </c>
      <c r="BD247" s="25" t="inlineStr">
        <is>
          <t>Yes</t>
        </is>
      </c>
      <c r="BE247" s="25">
        <f>IF(BD247="Yes",10,0)</f>
        <v/>
      </c>
      <c r="BF247" s="25" t="inlineStr">
        <is>
          <t>Less than 12%</t>
        </is>
      </c>
      <c r="BG247" s="25">
        <f>IF(BF247="More than 20%",10,IF(BF247="Between 12 to 20%",5,IF(BF247="Less than 12%",0,0)))</f>
        <v/>
      </c>
      <c r="BH247" s="25" t="inlineStr">
        <is>
          <t>No</t>
        </is>
      </c>
      <c r="BI247" s="25">
        <f>IF(BH247="No",10,0)</f>
        <v/>
      </c>
      <c r="BJ247" s="25" t="inlineStr">
        <is>
          <t>No</t>
        </is>
      </c>
      <c r="BK247" s="25">
        <f>IF(BJ247="NO",5,0)</f>
        <v/>
      </c>
      <c r="BL247" s="25" t="inlineStr">
        <is>
          <t>Less than 1.5</t>
        </is>
      </c>
      <c r="BM247" s="25">
        <f>IF(BL247="Above 2",0,IF(BL247="Between 1.5 to 2",5,IF(BL247="Less than 1.5",10,0)))</f>
        <v/>
      </c>
      <c r="BN247" s="25" t="inlineStr">
        <is>
          <t>Less than 50%</t>
        </is>
      </c>
      <c r="BO247" s="25">
        <f>IF(BN247="Above 70%",10,IF(BN247="Between 50% to 70%",5,IF(BN247="Less than 50%",0,IF(BN247="Negative",-10,IF(BN247="Less than 50% and Borrowings are increasing",-5,0)))))</f>
        <v/>
      </c>
      <c r="BP247" s="25" t="inlineStr">
        <is>
          <t>Between 0.7 to 1.2</t>
        </is>
      </c>
      <c r="BQ247" s="25">
        <f>IF(BP247="More than 1.2",-10,IF(BP247="Between 0.7 to 1.2",0,IF(BP247="Less than 0.7",10,0)))</f>
        <v/>
      </c>
      <c r="BR247" s="25" t="inlineStr">
        <is>
          <t>No</t>
        </is>
      </c>
      <c r="BS247" s="25">
        <f>IF(BR247="Yes",-10,0)</f>
        <v/>
      </c>
      <c r="BT247" s="25" t="inlineStr">
        <is>
          <t>Less than 15%</t>
        </is>
      </c>
      <c r="BU247" s="25">
        <f>IF(BT247="More than 15%",-10,IF(BT247="Less than 15%",10,0))</f>
        <v/>
      </c>
      <c r="BV247" s="25" t="inlineStr">
        <is>
          <t>No</t>
        </is>
      </c>
      <c r="BW247" s="25">
        <f>IF(BV247="Yes, more than 10%",-10,IF(BV247="No",10,0))</f>
        <v/>
      </c>
    </row>
    <row r="248">
      <c r="A248" s="25">
        <f>IF(B248=0,"",RANK(B248,$B$2:$B$292,0))</f>
        <v/>
      </c>
      <c r="B248" s="26">
        <f>SUM(Q248,S248,U248,W248,Y248,AA248,AC248,AE248,AG248,AI248,AK248,AM248,AO248,AQ248,AS248,AU248,AW248,AY248,BA248,BC248,BE248,BG248,BI248,BK248,BM248,BO248,BQ248,BS248,BU248,BW248)</f>
        <v/>
      </c>
      <c r="C248" s="25" t="inlineStr">
        <is>
          <t>MANORAMA</t>
        </is>
      </c>
      <c r="D248" s="25" t="inlineStr">
        <is>
          <t>Manorama Industries Ltd</t>
        </is>
      </c>
      <c r="E248" s="25" t="inlineStr">
        <is>
          <t>fmcg</t>
        </is>
      </c>
      <c r="F248" s="25" t="inlineStr">
        <is>
          <t>food - processing - indian</t>
        </is>
      </c>
      <c r="G248" s="25" t="inlineStr">
        <is>
          <t>midcap</t>
        </is>
      </c>
      <c r="H248" s="26" t="n">
        <v>8585.49</v>
      </c>
      <c r="I248" s="26" t="n">
        <v>1481.4</v>
      </c>
      <c r="J248" s="26" t="n">
        <v>3.03</v>
      </c>
      <c r="K248" s="26" t="n">
        <v>348844</v>
      </c>
      <c r="L248" s="26" t="n">
        <v>55.86</v>
      </c>
      <c r="M248" s="26" t="n">
        <v>14.33</v>
      </c>
      <c r="N248" s="26" t="n">
        <v>1178.6</v>
      </c>
      <c r="O248" s="25" t="inlineStr">
        <is>
          <t>Earnings / Momentum Support</t>
        </is>
      </c>
      <c r="P248" s="25" t="inlineStr">
        <is>
          <t>Growing Industry</t>
        </is>
      </c>
      <c r="Q248" s="25">
        <f>IF(P248="Growing Industry",10,IF(P248="Cyclical in an Upturn",5,0))</f>
        <v/>
      </c>
      <c r="R248" s="25" t="inlineStr">
        <is>
          <t>Too Many Players with High ROCE</t>
        </is>
      </c>
      <c r="S248" s="25">
        <f>IF(R248="Monopoly",10,IF(R248="Oligopoly",5,IF(R248="Duopoly that cooperate",10,IF(R248="Duopoly that compete",5,IF(R248="Too many players with High ROCE",5,0)))))</f>
        <v/>
      </c>
      <c r="T248" s="25" t="inlineStr">
        <is>
          <t>No</t>
        </is>
      </c>
      <c r="U248" s="25">
        <f>IF(T248="No",5,0)</f>
        <v/>
      </c>
      <c r="V248" s="25" t="inlineStr">
        <is>
          <t>Tailwind</t>
        </is>
      </c>
      <c r="W248" s="25">
        <f>IF(V248="Tailwind",10,0)</f>
        <v/>
      </c>
      <c r="X248" s="25" t="inlineStr">
        <is>
          <t>Structural (10 Years Consistency)</t>
        </is>
      </c>
      <c r="Y248" s="25">
        <f>IF(X248="Structural (10 Years Consistency)",10,IF(X248="Shallow Cyclical (2 to 3 years growth)",5,0))</f>
        <v/>
      </c>
      <c r="Z248" s="25" t="inlineStr">
        <is>
          <t>No</t>
        </is>
      </c>
      <c r="AA248" s="25">
        <f>IF(Z248="Yes due to Product Mix change or Operating Leverage",10,IF(Z248="Yes, these are peak margins",-5,IF(Z248="No",5,0)))</f>
        <v/>
      </c>
      <c r="AB248" s="25" t="inlineStr">
        <is>
          <t>Stable</t>
        </is>
      </c>
      <c r="AC248" s="25">
        <f>IF(AB248="Stable",10,0)</f>
        <v/>
      </c>
      <c r="AD248" s="25" t="inlineStr">
        <is>
          <t>Yes</t>
        </is>
      </c>
      <c r="AE248" s="25">
        <f>IF(AD248="Yes",10,0)</f>
        <v/>
      </c>
      <c r="AF248" s="25" t="inlineStr">
        <is>
          <t>B2C</t>
        </is>
      </c>
      <c r="AG248" s="25">
        <f>IF(AF248="B2C",10,IF(AF248="B2B",5,0))</f>
        <v/>
      </c>
      <c r="AH248" s="25" t="inlineStr">
        <is>
          <t>No</t>
        </is>
      </c>
      <c r="AI248" s="25">
        <f>IF(AH248="Yes",10,0)</f>
        <v/>
      </c>
      <c r="AJ248" s="25" t="inlineStr">
        <is>
          <t>Higher Annuity, Lower One Time</t>
        </is>
      </c>
      <c r="AK248" s="25">
        <f>IF(AJ248="Fully Annuity",10,IF(AJ248="Higher Annuity, Lower One Time",5,IF(AJ248="Higher One Time, Lower Annuity",3,0)))</f>
        <v/>
      </c>
      <c r="AL248" s="25" t="inlineStr">
        <is>
          <t>Good</t>
        </is>
      </c>
      <c r="AM248" s="25">
        <f>IF(AL248="Good",10,0)</f>
        <v/>
      </c>
      <c r="AN248" s="25" t="inlineStr">
        <is>
          <t>Yes for more than 2 years</t>
        </is>
      </c>
      <c r="AO248" s="25">
        <f>IF(AN248="Yes for more than 2 years",10,IF(AN248="Yes only for next 1 to 2 years",5,0))</f>
        <v/>
      </c>
      <c r="AP248" s="25" t="inlineStr">
        <is>
          <t>0 to 20</t>
        </is>
      </c>
      <c r="AQ248" s="25">
        <f>IF(AP248="Above 40",20,IF(AP248="20 to 40",10,IF(AP248="0 to 20",-5,0)))</f>
        <v/>
      </c>
      <c r="AR248" s="25" t="inlineStr">
        <is>
          <t>Between 50 to 75</t>
        </is>
      </c>
      <c r="AS248" s="25">
        <f>IF(AR248="Between 50 to 75",10,IF(AR248="Above 75",0,0))</f>
        <v/>
      </c>
      <c r="AT248" s="25" t="inlineStr">
        <is>
          <t>Stage 2</t>
        </is>
      </c>
      <c r="AU248" s="25">
        <f>IF(AT248="Stage 2",20,IF(AT248="Stage 1",0,IF(AT248="Stage 3",5,IF(AT248="Stage 4",-5,0))))</f>
        <v/>
      </c>
      <c r="AV248" s="25" t="inlineStr">
        <is>
          <t>Negative Trend</t>
        </is>
      </c>
      <c r="AW248" s="25">
        <f>IF(AV248="Positive Trend",20,IF(AV248="Negative Trend",-10,0))</f>
        <v/>
      </c>
      <c r="AX248" s="25" t="inlineStr">
        <is>
          <t>Uptrend</t>
        </is>
      </c>
      <c r="AY248" s="25">
        <f>IF(AX248="Uptrend",10,IF(AX248="Sideways",5,0))</f>
        <v/>
      </c>
      <c r="AZ248" s="25" t="inlineStr">
        <is>
          <t>Uptrend</t>
        </is>
      </c>
      <c r="BA248" s="25">
        <f>IF(AZ248="Uptrend",10,IF(AZ248="Sideways",5,0))</f>
        <v/>
      </c>
      <c r="BB248" s="25" t="inlineStr">
        <is>
          <t>Close to 52 week high or retracement</t>
        </is>
      </c>
      <c r="BC248" s="25">
        <f>IF(BB248="Overhead supply in last 2 years in last 2 years",-5,IF(BB248="Close to 52 week high or retracement",5,IF(BB248="Blue sky scenario",10,IF(BB248="Long term Downtrend",-10,0))))</f>
        <v/>
      </c>
      <c r="BD248" s="25" t="inlineStr">
        <is>
          <t>Yes</t>
        </is>
      </c>
      <c r="BE248" s="25">
        <f>IF(BD248="Yes",10,0)</f>
        <v/>
      </c>
      <c r="BF248" s="25" t="inlineStr">
        <is>
          <t>More than 20%</t>
        </is>
      </c>
      <c r="BG248" s="25">
        <f>IF(BF248="More than 20%",10,IF(BF248="Between 12 to 20%",5,IF(BF248="Less than 12%",0,0)))</f>
        <v/>
      </c>
      <c r="BH248" s="25" t="inlineStr">
        <is>
          <t>No</t>
        </is>
      </c>
      <c r="BI248" s="25">
        <f>IF(BH248="No",10,0)</f>
        <v/>
      </c>
      <c r="BJ248" s="25" t="inlineStr">
        <is>
          <t>Yes</t>
        </is>
      </c>
      <c r="BK248" s="25">
        <f>IF(BJ248="NO",5,0)</f>
        <v/>
      </c>
      <c r="BL248" s="25" t="inlineStr">
        <is>
          <t>Less than 1.5</t>
        </is>
      </c>
      <c r="BM248" s="25">
        <f>IF(BL248="Above 2",0,IF(BL248="Between 1.5 to 2",5,IF(BL248="Less than 1.5",10,0)))</f>
        <v/>
      </c>
      <c r="BN248" s="25" t="inlineStr">
        <is>
          <t>Above 70%</t>
        </is>
      </c>
      <c r="BO248" s="25">
        <f>IF(BN248="Above 70%",10,IF(BN248="Between 50% to 70%",5,IF(BN248="Less than 50%",0,IF(BN248="Negative",-10,IF(BN248="Less than 50% and Borrowings are increasing",-5,0)))))</f>
        <v/>
      </c>
      <c r="BP248" s="25" t="inlineStr">
        <is>
          <t>Less than 0.7</t>
        </is>
      </c>
      <c r="BQ248" s="25">
        <f>IF(BP248="More than 1.2",-10,IF(BP248="Between 0.7 to 1.2",0,IF(BP248="Less than 0.7",10,0)))</f>
        <v/>
      </c>
      <c r="BR248" s="25" t="inlineStr">
        <is>
          <t>No</t>
        </is>
      </c>
      <c r="BS248" s="25">
        <f>IF(BR248="Yes",-10,0)</f>
        <v/>
      </c>
      <c r="BT248" s="25" t="inlineStr">
        <is>
          <t>Less than 15%</t>
        </is>
      </c>
      <c r="BU248" s="25">
        <f>IF(BT248="More than 15%",-10,IF(BT248="Less than 15%",10,0))</f>
        <v/>
      </c>
      <c r="BV248" s="25" t="inlineStr">
        <is>
          <t>No</t>
        </is>
      </c>
      <c r="BW248" s="25">
        <f>IF(BV248="Yes, more than 10%",-10,IF(BV248="No",10,0))</f>
        <v/>
      </c>
    </row>
    <row r="249">
      <c r="A249" s="25">
        <f>IF(B249=0,"",RANK(B249,$B$2:$B$292,0))</f>
        <v/>
      </c>
      <c r="B249" s="26">
        <f>SUM(Q249,S249,U249,W249,Y249,AA249,AC249,AE249,AG249,AI249,AK249,AM249,AO249,AQ249,AS249,AU249,AW249,AY249,BA249,BC249,BE249,BG249,BI249,BK249,BM249,BO249,BQ249,BS249,BU249,BW249)</f>
        <v/>
      </c>
      <c r="C249" s="25" t="inlineStr">
        <is>
          <t>INNOVACAP</t>
        </is>
      </c>
      <c r="D249" s="25" t="inlineStr">
        <is>
          <t>Innova Captab Ltd</t>
        </is>
      </c>
      <c r="E249" s="25" t="inlineStr">
        <is>
          <t>healthcare</t>
        </is>
      </c>
      <c r="F249" s="25" t="inlineStr">
        <is>
          <t>pharmaceuticals - indian - bulk drugs &amp; formln</t>
        </is>
      </c>
      <c r="G249" s="25" t="inlineStr">
        <is>
          <t>smallcap</t>
        </is>
      </c>
      <c r="H249" s="26" t="n">
        <v>4925.92</v>
      </c>
      <c r="I249" s="26" t="n">
        <v>862.4</v>
      </c>
      <c r="J249" s="26" t="n">
        <v>0.19</v>
      </c>
      <c r="K249" s="26" t="n">
        <v>35650</v>
      </c>
      <c r="L249" s="26" t="n">
        <v>64.48</v>
      </c>
      <c r="M249" s="26" t="n">
        <v>24.13</v>
      </c>
      <c r="N249" s="26" t="n">
        <v>684.6900000000001</v>
      </c>
      <c r="O249" s="25" t="inlineStr">
        <is>
          <t>Earnings / Momentum Support</t>
        </is>
      </c>
      <c r="P249" s="25" t="inlineStr">
        <is>
          <t>Growing Industry</t>
        </is>
      </c>
      <c r="Q249" s="25">
        <f>IF(P249="Growing Industry",10,IF(P249="Cyclical in an Upturn",5,0))</f>
        <v/>
      </c>
      <c r="R249" s="25" t="inlineStr">
        <is>
          <t>Too Many Players with High ROCE</t>
        </is>
      </c>
      <c r="S249" s="25">
        <f>IF(R249="Monopoly",10,IF(R249="Oligopoly",5,IF(R249="Duopoly that cooperate",10,IF(R249="Duopoly that compete",5,IF(R249="Too many players with High ROCE",5,0)))))</f>
        <v/>
      </c>
      <c r="T249" s="25" t="inlineStr">
        <is>
          <t>Yes</t>
        </is>
      </c>
      <c r="U249" s="25">
        <f>IF(T249="No",5,0)</f>
        <v/>
      </c>
      <c r="V249" s="25" t="inlineStr">
        <is>
          <t>Tailwind</t>
        </is>
      </c>
      <c r="W249" s="25">
        <f>IF(V249="Tailwind",10,0)</f>
        <v/>
      </c>
      <c r="X249" s="25" t="inlineStr">
        <is>
          <t>Structural (10 Years Consistency)</t>
        </is>
      </c>
      <c r="Y249" s="25">
        <f>IF(X249="Structural (10 Years Consistency)",10,IF(X249="Shallow Cyclical (2 to 3 years growth)",5,0))</f>
        <v/>
      </c>
      <c r="Z249" s="25" t="inlineStr">
        <is>
          <t>No</t>
        </is>
      </c>
      <c r="AA249" s="25">
        <f>IF(Z249="Yes due to Product Mix change or Operating Leverage",10,IF(Z249="Yes, these are peak margins",-5,IF(Z249="No",5,0)))</f>
        <v/>
      </c>
      <c r="AB249" s="25" t="inlineStr">
        <is>
          <t>Stable</t>
        </is>
      </c>
      <c r="AC249" s="25">
        <f>IF(AB249="Stable",10,0)</f>
        <v/>
      </c>
      <c r="AD249" s="25" t="inlineStr">
        <is>
          <t>Yes</t>
        </is>
      </c>
      <c r="AE249" s="25">
        <f>IF(AD249="Yes",10,0)</f>
        <v/>
      </c>
      <c r="AF249" s="25" t="inlineStr">
        <is>
          <t>B2B</t>
        </is>
      </c>
      <c r="AG249" s="25">
        <f>IF(AF249="B2C",10,IF(AF249="B2B",5,0))</f>
        <v/>
      </c>
      <c r="AH249" s="25" t="inlineStr">
        <is>
          <t>No</t>
        </is>
      </c>
      <c r="AI249" s="25">
        <f>IF(AH249="Yes",10,0)</f>
        <v/>
      </c>
      <c r="AJ249" s="25" t="inlineStr">
        <is>
          <t>Higher Annuity, Lower One Time</t>
        </is>
      </c>
      <c r="AK249" s="25">
        <f>IF(AJ249="Fully Annuity",10,IF(AJ249="Higher Annuity, Lower One Time",5,IF(AJ249="Higher One Time, Lower Annuity",3,0)))</f>
        <v/>
      </c>
      <c r="AL249" s="25" t="inlineStr">
        <is>
          <t>Good</t>
        </is>
      </c>
      <c r="AM249" s="25">
        <f>IF(AL249="Good",10,0)</f>
        <v/>
      </c>
      <c r="AN249" s="25" t="inlineStr">
        <is>
          <t>Yes for more than 2 years</t>
        </is>
      </c>
      <c r="AO249" s="25">
        <f>IF(AN249="Yes for more than 2 years",10,IF(AN249="Yes only for next 1 to 2 years",5,0))</f>
        <v/>
      </c>
      <c r="AP249" s="25" t="inlineStr">
        <is>
          <t>20 to 40</t>
        </is>
      </c>
      <c r="AQ249" s="25">
        <f>IF(AP249="Above 40",20,IF(AP249="20 to 40",10,IF(AP249="0 to 20",-5,0)))</f>
        <v/>
      </c>
      <c r="AR249" s="25" t="inlineStr">
        <is>
          <t>Between 50 to 75</t>
        </is>
      </c>
      <c r="AS249" s="25">
        <f>IF(AR249="Between 50 to 75",10,IF(AR249="Above 75",0,0))</f>
        <v/>
      </c>
      <c r="AT249" s="25" t="inlineStr">
        <is>
          <t>Stage 2</t>
        </is>
      </c>
      <c r="AU249" s="25">
        <f>IF(AT249="Stage 2",20,IF(AT249="Stage 1",0,IF(AT249="Stage 3",5,IF(AT249="Stage 4",-5,0))))</f>
        <v/>
      </c>
      <c r="AV249" s="25" t="inlineStr">
        <is>
          <t>Negative Trend</t>
        </is>
      </c>
      <c r="AW249" s="25">
        <f>IF(AV249="Positive Trend",20,IF(AV249="Negative Trend",-10,0))</f>
        <v/>
      </c>
      <c r="AX249" s="25" t="inlineStr">
        <is>
          <t>Uptrend</t>
        </is>
      </c>
      <c r="AY249" s="25">
        <f>IF(AX249="Uptrend",10,IF(AX249="Sideways",5,0))</f>
        <v/>
      </c>
      <c r="AZ249" s="25" t="inlineStr">
        <is>
          <t>Uptrend</t>
        </is>
      </c>
      <c r="BA249" s="25">
        <f>IF(AZ249="Uptrend",10,IF(AZ249="Sideways",5,0))</f>
        <v/>
      </c>
      <c r="BB249" s="25" t="inlineStr">
        <is>
          <t>Close to 52 week high or retracement</t>
        </is>
      </c>
      <c r="BC249" s="25">
        <f>IF(BB249="Overhead supply in last 2 years in last 2 years",-5,IF(BB249="Close to 52 week high or retracement",5,IF(BB249="Blue sky scenario",10,IF(BB249="Long term Downtrend",-10,0))))</f>
        <v/>
      </c>
      <c r="BD249" s="25" t="inlineStr">
        <is>
          <t>Yes</t>
        </is>
      </c>
      <c r="BE249" s="25">
        <f>IF(BD249="Yes",10,0)</f>
        <v/>
      </c>
      <c r="BF249" s="25" t="inlineStr">
        <is>
          <t>More than 20%</t>
        </is>
      </c>
      <c r="BG249" s="25">
        <f>IF(BF249="More than 20%",10,IF(BF249="Between 12 to 20%",5,IF(BF249="Less than 12%",0,0)))</f>
        <v/>
      </c>
      <c r="BH249" s="25" t="inlineStr">
        <is>
          <t>No</t>
        </is>
      </c>
      <c r="BI249" s="25">
        <f>IF(BH249="No",10,0)</f>
        <v/>
      </c>
      <c r="BJ249" s="25" t="inlineStr">
        <is>
          <t>No</t>
        </is>
      </c>
      <c r="BK249" s="25">
        <f>IF(BJ249="NO",5,0)</f>
        <v/>
      </c>
      <c r="BL249" s="25" t="inlineStr">
        <is>
          <t>Less than 1.5</t>
        </is>
      </c>
      <c r="BM249" s="25">
        <f>IF(BL249="Above 2",0,IF(BL249="Between 1.5 to 2",5,IF(BL249="Less than 1.5",10,0)))</f>
        <v/>
      </c>
      <c r="BN249" s="25" t="inlineStr">
        <is>
          <t>Less than 50%</t>
        </is>
      </c>
      <c r="BO249" s="25">
        <f>IF(BN249="Above 70%",10,IF(BN249="Between 50% to 70%",5,IF(BN249="Less than 50%",0,IF(BN249="Negative",-10,IF(BN249="Less than 50% and Borrowings are increasing",-5,0)))))</f>
        <v/>
      </c>
      <c r="BP249" s="25" t="inlineStr">
        <is>
          <t>Less than 0.7</t>
        </is>
      </c>
      <c r="BQ249" s="25">
        <f>IF(BP249="More than 1.2",-10,IF(BP249="Between 0.7 to 1.2",0,IF(BP249="Less than 0.7",10,0)))</f>
        <v/>
      </c>
      <c r="BR249" s="25" t="inlineStr">
        <is>
          <t>No</t>
        </is>
      </c>
      <c r="BS249" s="25">
        <f>IF(BR249="Yes",-10,0)</f>
        <v/>
      </c>
      <c r="BT249" s="25" t="inlineStr">
        <is>
          <t>Less than 15%</t>
        </is>
      </c>
      <c r="BU249" s="25">
        <f>IF(BT249="More than 15%",-10,IF(BT249="Less than 15%",10,0))</f>
        <v/>
      </c>
      <c r="BV249" s="25" t="inlineStr">
        <is>
          <t>No</t>
        </is>
      </c>
      <c r="BW249" s="25">
        <f>IF(BV249="Yes, more than 10%",-10,IF(BV249="No",10,0))</f>
        <v/>
      </c>
    </row>
    <row r="250">
      <c r="A250" s="25">
        <f>IF(B250=0,"",RANK(B250,$B$2:$B$292,0))</f>
        <v/>
      </c>
      <c r="B250" s="26">
        <f>SUM(Q250,S250,U250,W250,Y250,AA250,AC250,AE250,AG250,AI250,AK250,AM250,AO250,AQ250,AS250,AU250,AW250,AY250,BA250,BC250,BE250,BG250,BI250,BK250,BM250,BO250,BQ250,BS250,BU250,BW250)</f>
        <v/>
      </c>
      <c r="C250" s="25" t="inlineStr">
        <is>
          <t>DEEDEV</t>
        </is>
      </c>
      <c r="D250" s="25" t="inlineStr">
        <is>
          <t>DEE Development Engineers Ltd</t>
        </is>
      </c>
      <c r="E250" s="25" t="inlineStr">
        <is>
          <t>metals &amp; mining</t>
        </is>
      </c>
      <c r="F250" s="25" t="inlineStr">
        <is>
          <t>steel - medium / small</t>
        </is>
      </c>
      <c r="G250" s="25" t="inlineStr">
        <is>
          <t>smallcap</t>
        </is>
      </c>
      <c r="H250" s="26" t="n">
        <v>4315.45</v>
      </c>
      <c r="I250" s="26" t="n">
        <v>654.2</v>
      </c>
      <c r="J250" s="26" t="n">
        <v>5</v>
      </c>
      <c r="K250" s="26" t="n">
        <v>408158</v>
      </c>
      <c r="L250" s="26" t="n">
        <v>86.94</v>
      </c>
      <c r="M250" s="26" t="n">
        <v>58.27</v>
      </c>
      <c r="N250" s="26" t="n">
        <v>507.58</v>
      </c>
      <c r="O250" s="25" t="inlineStr">
        <is>
          <t>Near 52W High Breakout</t>
        </is>
      </c>
      <c r="P250" s="25" t="inlineStr">
        <is>
          <t>Cyclical in an Upturn</t>
        </is>
      </c>
      <c r="Q250" s="25">
        <f>IF(P250="Growing Industry",10,IF(P250="Cyclical in an Upturn",5,0))</f>
        <v/>
      </c>
      <c r="R250" s="25" t="inlineStr">
        <is>
          <t>Too Many Players with High ROCE</t>
        </is>
      </c>
      <c r="S250" s="25">
        <f>IF(R250="Monopoly",10,IF(R250="Oligopoly",5,IF(R250="Duopoly that cooperate",10,IF(R250="Duopoly that compete",5,IF(R250="Too many players with High ROCE",5,0)))))</f>
        <v/>
      </c>
      <c r="T250" s="25" t="inlineStr">
        <is>
          <t>No</t>
        </is>
      </c>
      <c r="U250" s="25">
        <f>IF(T250="No",5,0)</f>
        <v/>
      </c>
      <c r="V250" s="25" t="inlineStr">
        <is>
          <t>Tailwind</t>
        </is>
      </c>
      <c r="W250" s="25">
        <f>IF(V250="Tailwind",10,0)</f>
        <v/>
      </c>
      <c r="X250" s="25" t="inlineStr">
        <is>
          <t>Cyclical</t>
        </is>
      </c>
      <c r="Y250" s="25">
        <f>IF(X250="Structural (10 Years Consistency)",10,IF(X250="Shallow Cyclical (2 to 3 years growth)",5,0))</f>
        <v/>
      </c>
      <c r="Z250" s="25" t="inlineStr">
        <is>
          <t>No</t>
        </is>
      </c>
      <c r="AA250" s="25">
        <f>IF(Z250="Yes due to Product Mix change or Operating Leverage",10,IF(Z250="Yes, these are peak margins",-5,IF(Z250="No",5,0)))</f>
        <v/>
      </c>
      <c r="AB250" s="25" t="inlineStr">
        <is>
          <t>Volatile</t>
        </is>
      </c>
      <c r="AC250" s="25">
        <f>IF(AB250="Stable",10,0)</f>
        <v/>
      </c>
      <c r="AD250" s="25" t="inlineStr">
        <is>
          <t>Yes</t>
        </is>
      </c>
      <c r="AE250" s="25">
        <f>IF(AD250="Yes",10,0)</f>
        <v/>
      </c>
      <c r="AF250" s="25" t="inlineStr">
        <is>
          <t>B2B</t>
        </is>
      </c>
      <c r="AG250" s="25">
        <f>IF(AF250="B2C",10,IF(AF250="B2B",5,0))</f>
        <v/>
      </c>
      <c r="AH250" s="25" t="inlineStr">
        <is>
          <t>Yes</t>
        </is>
      </c>
      <c r="AI250" s="25">
        <f>IF(AH250="Yes",10,0)</f>
        <v/>
      </c>
      <c r="AJ250" s="25" t="inlineStr">
        <is>
          <t>Higher One Time, Lower Annuity</t>
        </is>
      </c>
      <c r="AK250" s="25">
        <f>IF(AJ250="Fully Annuity",10,IF(AJ250="Higher Annuity, Lower One Time",5,IF(AJ250="Higher One Time, Lower Annuity",3,0)))</f>
        <v/>
      </c>
      <c r="AL250" s="25" t="inlineStr">
        <is>
          <t>Good</t>
        </is>
      </c>
      <c r="AM250" s="25">
        <f>IF(AL250="Good",10,0)</f>
        <v/>
      </c>
      <c r="AN250" s="25" t="inlineStr">
        <is>
          <t>Yes for more than 2 years</t>
        </is>
      </c>
      <c r="AO250" s="25">
        <f>IF(AN250="Yes for more than 2 years",10,IF(AN250="Yes only for next 1 to 2 years",5,0))</f>
        <v/>
      </c>
      <c r="AP250" s="25" t="inlineStr">
        <is>
          <t>Above 40</t>
        </is>
      </c>
      <c r="AQ250" s="25">
        <f>IF(AP250="Above 40",20,IF(AP250="20 to 40",10,IF(AP250="0 to 20",-5,0)))</f>
        <v/>
      </c>
      <c r="AR250" s="25" t="inlineStr">
        <is>
          <t>Above 75</t>
        </is>
      </c>
      <c r="AS250" s="25">
        <f>IF(AR250="Between 50 to 75",10,IF(AR250="Above 75",0,0))</f>
        <v/>
      </c>
      <c r="AT250" s="25" t="inlineStr">
        <is>
          <t>Stage 2</t>
        </is>
      </c>
      <c r="AU250" s="25">
        <f>IF(AT250="Stage 2",20,IF(AT250="Stage 1",0,IF(AT250="Stage 3",5,IF(AT250="Stage 4",-5,0))))</f>
        <v/>
      </c>
      <c r="AV250" s="25" t="inlineStr">
        <is>
          <t>Positive Trend</t>
        </is>
      </c>
      <c r="AW250" s="25">
        <f>IF(AV250="Positive Trend",20,IF(AV250="Negative Trend",-10,0))</f>
        <v/>
      </c>
      <c r="AX250" s="25" t="inlineStr">
        <is>
          <t>Uptrend</t>
        </is>
      </c>
      <c r="AY250" s="25">
        <f>IF(AX250="Uptrend",10,IF(AX250="Sideways",5,0))</f>
        <v/>
      </c>
      <c r="AZ250" s="25" t="inlineStr">
        <is>
          <t>Uptrend</t>
        </is>
      </c>
      <c r="BA250" s="25">
        <f>IF(AZ250="Uptrend",10,IF(AZ250="Sideways",5,0))</f>
        <v/>
      </c>
      <c r="BB250" s="25" t="inlineStr">
        <is>
          <t>Blue sky scenario</t>
        </is>
      </c>
      <c r="BC250" s="25">
        <f>IF(BB250="Overhead supply in last 2 years in last 2 years",-5,IF(BB250="Close to 52 week high or retracement",5,IF(BB250="Blue sky scenario",10,IF(BB250="Long term Downtrend",-10,0))))</f>
        <v/>
      </c>
      <c r="BD250" s="25" t="inlineStr">
        <is>
          <t>Yes</t>
        </is>
      </c>
      <c r="BE250" s="25">
        <f>IF(BD250="Yes",10,0)</f>
        <v/>
      </c>
      <c r="BF250" s="25" t="inlineStr">
        <is>
          <t>Less than 12%</t>
        </is>
      </c>
      <c r="BG250" s="25">
        <f>IF(BF250="More than 20%",10,IF(BF250="Between 12 to 20%",5,IF(BF250="Less than 12%",0,0)))</f>
        <v/>
      </c>
      <c r="BH250" s="25" t="inlineStr">
        <is>
          <t>No</t>
        </is>
      </c>
      <c r="BI250" s="25">
        <f>IF(BH250="No",10,0)</f>
        <v/>
      </c>
      <c r="BJ250" s="25" t="inlineStr">
        <is>
          <t>Yes</t>
        </is>
      </c>
      <c r="BK250" s="25">
        <f>IF(BJ250="NO",5,0)</f>
        <v/>
      </c>
      <c r="BL250" s="25" t="inlineStr">
        <is>
          <t>Less than 1.5</t>
        </is>
      </c>
      <c r="BM250" s="25">
        <f>IF(BL250="Above 2",0,IF(BL250="Between 1.5 to 2",5,IF(BL250="Less than 1.5",10,0)))</f>
        <v/>
      </c>
      <c r="BN250" s="25" t="inlineStr">
        <is>
          <t>Less than 50%</t>
        </is>
      </c>
      <c r="BO250" s="25">
        <f>IF(BN250="Above 70%",10,IF(BN250="Between 50% to 70%",5,IF(BN250="Less than 50%",0,IF(BN250="Negative",-10,IF(BN250="Less than 50% and Borrowings are increasing",-5,0)))))</f>
        <v/>
      </c>
      <c r="BP250" s="25" t="inlineStr">
        <is>
          <t>Between 0.7 to 1.2</t>
        </is>
      </c>
      <c r="BQ250" s="25">
        <f>IF(BP250="More than 1.2",-10,IF(BP250="Between 0.7 to 1.2",0,IF(BP250="Less than 0.7",10,0)))</f>
        <v/>
      </c>
      <c r="BR250" s="25" t="inlineStr">
        <is>
          <t>No</t>
        </is>
      </c>
      <c r="BS250" s="25">
        <f>IF(BR250="Yes",-10,0)</f>
        <v/>
      </c>
      <c r="BT250" s="25" t="inlineStr">
        <is>
          <t>Less than 15%</t>
        </is>
      </c>
      <c r="BU250" s="25">
        <f>IF(BT250="More than 15%",-10,IF(BT250="Less than 15%",10,0))</f>
        <v/>
      </c>
      <c r="BV250" s="25" t="inlineStr">
        <is>
          <t>No</t>
        </is>
      </c>
      <c r="BW250" s="25">
        <f>IF(BV250="Yes, more than 10%",-10,IF(BV250="No",10,0))</f>
        <v/>
      </c>
    </row>
    <row r="251">
      <c r="A251" s="25">
        <f>IF(B251=0,"",RANK(B251,$B$2:$B$292,0))</f>
        <v/>
      </c>
      <c r="B251" s="26">
        <f>SUM(Q251,S251,U251,W251,Y251,AA251,AC251,AE251,AG251,AI251,AK251,AM251,AO251,AQ251,AS251,AU251,AW251,AY251,BA251,BC251,BE251,BG251,BI251,BK251,BM251,BO251,BQ251,BS251,BU251,BW251)</f>
        <v/>
      </c>
      <c r="C251" s="25" t="inlineStr">
        <is>
          <t>PARAS</t>
        </is>
      </c>
      <c r="D251" s="25" t="inlineStr">
        <is>
          <t>Paras Defence and Space Technologies Ltd</t>
        </is>
      </c>
      <c r="E251" s="25" t="inlineStr">
        <is>
          <t>aerospace &amp; defence</t>
        </is>
      </c>
      <c r="F251" s="25" t="inlineStr">
        <is>
          <t>engineering</t>
        </is>
      </c>
      <c r="G251" s="25" t="inlineStr">
        <is>
          <t>midcap</t>
        </is>
      </c>
      <c r="H251" s="26" t="n">
        <v>6563.84</v>
      </c>
      <c r="I251" s="26" t="n">
        <v>853.7</v>
      </c>
      <c r="J251" s="26" t="n">
        <v>4.81</v>
      </c>
      <c r="K251" s="26" t="n">
        <v>1624638</v>
      </c>
      <c r="L251" s="26" t="n">
        <v>61.16</v>
      </c>
      <c r="M251" s="26" t="n">
        <v>34.9</v>
      </c>
      <c r="N251" s="26" t="n">
        <v>629.1</v>
      </c>
      <c r="O251" s="25" t="inlineStr">
        <is>
          <t>Earnings / Momentum Support</t>
        </is>
      </c>
      <c r="P251" s="25" t="inlineStr">
        <is>
          <t>Growing Industry</t>
        </is>
      </c>
      <c r="Q251" s="25">
        <f>IF(P251="Growing Industry",10,IF(P251="Cyclical in an Upturn",5,0))</f>
        <v/>
      </c>
      <c r="R251" s="25" t="inlineStr">
        <is>
          <t>Too Many Players with High ROCE</t>
        </is>
      </c>
      <c r="S251" s="25">
        <f>IF(R251="Monopoly",10,IF(R251="Oligopoly",5,IF(R251="Duopoly that cooperate",10,IF(R251="Duopoly that compete",5,IF(R251="Too many players with High ROCE",5,0)))))</f>
        <v/>
      </c>
      <c r="T251" s="25" t="inlineStr">
        <is>
          <t>No</t>
        </is>
      </c>
      <c r="U251" s="25">
        <f>IF(T251="No",5,0)</f>
        <v/>
      </c>
      <c r="V251" s="25" t="inlineStr">
        <is>
          <t>Tailwind</t>
        </is>
      </c>
      <c r="W251" s="25">
        <f>IF(V251="Tailwind",10,0)</f>
        <v/>
      </c>
      <c r="X251" s="25" t="inlineStr">
        <is>
          <t>Structural (10 Years Consistency)</t>
        </is>
      </c>
      <c r="Y251" s="25">
        <f>IF(X251="Structural (10 Years Consistency)",10,IF(X251="Shallow Cyclical (2 to 3 years growth)",5,0))</f>
        <v/>
      </c>
      <c r="Z251" s="25" t="inlineStr">
        <is>
          <t>No</t>
        </is>
      </c>
      <c r="AA251" s="25">
        <f>IF(Z251="Yes due to Product Mix change or Operating Leverage",10,IF(Z251="Yes, these are peak margins",-5,IF(Z251="No",5,0)))</f>
        <v/>
      </c>
      <c r="AB251" s="25" t="inlineStr">
        <is>
          <t>Stable</t>
        </is>
      </c>
      <c r="AC251" s="25">
        <f>IF(AB251="Stable",10,0)</f>
        <v/>
      </c>
      <c r="AD251" s="25" t="inlineStr">
        <is>
          <t>Yes</t>
        </is>
      </c>
      <c r="AE251" s="25">
        <f>IF(AD251="Yes",10,0)</f>
        <v/>
      </c>
      <c r="AF251" s="25" t="inlineStr">
        <is>
          <t>B2B</t>
        </is>
      </c>
      <c r="AG251" s="25">
        <f>IF(AF251="B2C",10,IF(AF251="B2B",5,0))</f>
        <v/>
      </c>
      <c r="AH251" s="25" t="inlineStr">
        <is>
          <t>No</t>
        </is>
      </c>
      <c r="AI251" s="25">
        <f>IF(AH251="Yes",10,0)</f>
        <v/>
      </c>
      <c r="AJ251" s="25" t="inlineStr">
        <is>
          <t>Higher One Time, Lower Annuity</t>
        </is>
      </c>
      <c r="AK251" s="25">
        <f>IF(AJ251="Fully Annuity",10,IF(AJ251="Higher Annuity, Lower One Time",5,IF(AJ251="Higher One Time, Lower Annuity",3,0)))</f>
        <v/>
      </c>
      <c r="AL251" s="25" t="inlineStr">
        <is>
          <t>Good</t>
        </is>
      </c>
      <c r="AM251" s="25">
        <f>IF(AL251="Good",10,0)</f>
        <v/>
      </c>
      <c r="AN251" s="25" t="inlineStr">
        <is>
          <t>Yes for more than 2 years</t>
        </is>
      </c>
      <c r="AO251" s="25">
        <f>IF(AN251="Yes for more than 2 years",10,IF(AN251="Yes only for next 1 to 2 years",5,0))</f>
        <v/>
      </c>
      <c r="AP251" s="25" t="inlineStr">
        <is>
          <t>20 to 40</t>
        </is>
      </c>
      <c r="AQ251" s="25">
        <f>IF(AP251="Above 40",20,IF(AP251="20 to 40",10,IF(AP251="0 to 20",-5,0)))</f>
        <v/>
      </c>
      <c r="AR251" s="25" t="inlineStr">
        <is>
          <t>Between 50 to 75</t>
        </is>
      </c>
      <c r="AS251" s="25">
        <f>IF(AR251="Between 50 to 75",10,IF(AR251="Above 75",0,0))</f>
        <v/>
      </c>
      <c r="AT251" s="25" t="inlineStr">
        <is>
          <t>Stage 2</t>
        </is>
      </c>
      <c r="AU251" s="25">
        <f>IF(AT251="Stage 2",20,IF(AT251="Stage 1",0,IF(AT251="Stage 3",5,IF(AT251="Stage 4",-5,0))))</f>
        <v/>
      </c>
      <c r="AV251" s="25" t="inlineStr">
        <is>
          <t>Negative Trend</t>
        </is>
      </c>
      <c r="AW251" s="25">
        <f>IF(AV251="Positive Trend",20,IF(AV251="Negative Trend",-10,0))</f>
        <v/>
      </c>
      <c r="AX251" s="25" t="inlineStr">
        <is>
          <t>Uptrend</t>
        </is>
      </c>
      <c r="AY251" s="25">
        <f>IF(AX251="Uptrend",10,IF(AX251="Sideways",5,0))</f>
        <v/>
      </c>
      <c r="AZ251" s="25" t="inlineStr">
        <is>
          <t>Uptrend</t>
        </is>
      </c>
      <c r="BA251" s="25">
        <f>IF(AZ251="Uptrend",10,IF(AZ251="Sideways",5,0))</f>
        <v/>
      </c>
      <c r="BB251" s="25" t="inlineStr">
        <is>
          <t>Close to 52 week high or retracement</t>
        </is>
      </c>
      <c r="BC251" s="25">
        <f>IF(BB251="Overhead supply in last 2 years in last 2 years",-5,IF(BB251="Close to 52 week high or retracement",5,IF(BB251="Blue sky scenario",10,IF(BB251="Long term Downtrend",-10,0))))</f>
        <v/>
      </c>
      <c r="BD251" s="25" t="inlineStr">
        <is>
          <t>Yes</t>
        </is>
      </c>
      <c r="BE251" s="25">
        <f>IF(BD251="Yes",10,0)</f>
        <v/>
      </c>
      <c r="BF251" s="25" t="inlineStr">
        <is>
          <t>More than 20%</t>
        </is>
      </c>
      <c r="BG251" s="25">
        <f>IF(BF251="More than 20%",10,IF(BF251="Between 12 to 20%",5,IF(BF251="Less than 12%",0,0)))</f>
        <v/>
      </c>
      <c r="BH251" s="25" t="inlineStr">
        <is>
          <t>No</t>
        </is>
      </c>
      <c r="BI251" s="25">
        <f>IF(BH251="No",10,0)</f>
        <v/>
      </c>
      <c r="BJ251" s="25" t="inlineStr">
        <is>
          <t>Yes</t>
        </is>
      </c>
      <c r="BK251" s="25">
        <f>IF(BJ251="NO",5,0)</f>
        <v/>
      </c>
      <c r="BL251" s="25" t="inlineStr">
        <is>
          <t>Less than 1.5</t>
        </is>
      </c>
      <c r="BM251" s="25">
        <f>IF(BL251="Above 2",0,IF(BL251="Between 1.5 to 2",5,IF(BL251="Less than 1.5",10,0)))</f>
        <v/>
      </c>
      <c r="BN251" s="25" t="inlineStr">
        <is>
          <t>Less than 50%</t>
        </is>
      </c>
      <c r="BO251" s="25">
        <f>IF(BN251="Above 70%",10,IF(BN251="Between 50% to 70%",5,IF(BN251="Less than 50%",0,IF(BN251="Negative",-10,IF(BN251="Less than 50% and Borrowings are increasing",-5,0)))))</f>
        <v/>
      </c>
      <c r="BP251" s="25" t="inlineStr">
        <is>
          <t>Less than 0.7</t>
        </is>
      </c>
      <c r="BQ251" s="25">
        <f>IF(BP251="More than 1.2",-10,IF(BP251="Between 0.7 to 1.2",0,IF(BP251="Less than 0.7",10,0)))</f>
        <v/>
      </c>
      <c r="BR251" s="25" t="inlineStr">
        <is>
          <t>No</t>
        </is>
      </c>
      <c r="BS251" s="25">
        <f>IF(BR251="Yes",-10,0)</f>
        <v/>
      </c>
      <c r="BT251" s="25" t="inlineStr">
        <is>
          <t>Less than 15%</t>
        </is>
      </c>
      <c r="BU251" s="25">
        <f>IF(BT251="More than 15%",-10,IF(BT251="Less than 15%",10,0))</f>
        <v/>
      </c>
      <c r="BV251" s="25" t="inlineStr">
        <is>
          <t>No</t>
        </is>
      </c>
      <c r="BW251" s="25">
        <f>IF(BV251="Yes, more than 10%",-10,IF(BV251="No",10,0))</f>
        <v/>
      </c>
    </row>
    <row r="252">
      <c r="A252" s="25">
        <f>IF(B252=0,"",RANK(B252,$B$2:$B$292,0))</f>
        <v/>
      </c>
      <c r="B252" s="26">
        <f>SUM(Q252,S252,U252,W252,Y252,AA252,AC252,AE252,AG252,AI252,AK252,AM252,AO252,AQ252,AS252,AU252,AW252,AY252,BA252,BC252,BE252,BG252,BI252,BK252,BM252,BO252,BQ252,BS252,BU252,BW252)</f>
        <v/>
      </c>
      <c r="C252" s="25" t="inlineStr">
        <is>
          <t>DEEPINDS</t>
        </is>
      </c>
      <c r="D252" s="25" t="inlineStr">
        <is>
          <t>Deep Industries Ltd</t>
        </is>
      </c>
      <c r="E252" s="25" t="inlineStr">
        <is>
          <t>energy</t>
        </is>
      </c>
      <c r="F252" s="25" t="inlineStr">
        <is>
          <t>oil drilling / allied services</t>
        </is>
      </c>
      <c r="G252" s="25" t="inlineStr">
        <is>
          <t>smallcap</t>
        </is>
      </c>
      <c r="H252" s="26" t="n">
        <v>3225.28</v>
      </c>
      <c r="I252" s="26" t="n">
        <v>518.8</v>
      </c>
      <c r="J252" s="26" t="n">
        <v>2.95</v>
      </c>
      <c r="K252" s="26" t="n">
        <v>1315721</v>
      </c>
      <c r="L252" s="26" t="n">
        <v>62.94</v>
      </c>
      <c r="M252" s="26" t="n">
        <v>16.19</v>
      </c>
      <c r="N252" s="26" t="n">
        <v>378.31</v>
      </c>
      <c r="O252" s="25" t="inlineStr">
        <is>
          <t>Earnings / Momentum Support</t>
        </is>
      </c>
      <c r="P252" s="25" t="inlineStr">
        <is>
          <t>Cyclical in an Upturn</t>
        </is>
      </c>
      <c r="Q252" s="25">
        <f>IF(P252="Growing Industry",10,IF(P252="Cyclical in an Upturn",5,0))</f>
        <v/>
      </c>
      <c r="R252" s="25" t="inlineStr">
        <is>
          <t>Oligopoly</t>
        </is>
      </c>
      <c r="S252" s="25">
        <f>IF(R252="Monopoly",10,IF(R252="Oligopoly",5,IF(R252="Duopoly that cooperate",10,IF(R252="Duopoly that compete",5,IF(R252="Too many players with High ROCE",5,0)))))</f>
        <v/>
      </c>
      <c r="T252" s="25" t="inlineStr">
        <is>
          <t>Yes</t>
        </is>
      </c>
      <c r="U252" s="25">
        <f>IF(T252="No",5,0)</f>
        <v/>
      </c>
      <c r="V252" s="25" t="inlineStr">
        <is>
          <t>Tailwind</t>
        </is>
      </c>
      <c r="W252" s="25">
        <f>IF(V252="Tailwind",10,0)</f>
        <v/>
      </c>
      <c r="X252" s="25" t="inlineStr">
        <is>
          <t>Cyclical</t>
        </is>
      </c>
      <c r="Y252" s="25">
        <f>IF(X252="Structural (10 Years Consistency)",10,IF(X252="Shallow Cyclical (2 to 3 years growth)",5,0))</f>
        <v/>
      </c>
      <c r="Z252" s="25" t="inlineStr">
        <is>
          <t>No</t>
        </is>
      </c>
      <c r="AA252" s="25">
        <f>IF(Z252="Yes due to Product Mix change or Operating Leverage",10,IF(Z252="Yes, these are peak margins",-5,IF(Z252="No",5,0)))</f>
        <v/>
      </c>
      <c r="AB252" s="25" t="inlineStr">
        <is>
          <t>Volatile</t>
        </is>
      </c>
      <c r="AC252" s="25">
        <f>IF(AB252="Stable",10,0)</f>
        <v/>
      </c>
      <c r="AD252" s="25" t="inlineStr">
        <is>
          <t>Yes</t>
        </is>
      </c>
      <c r="AE252" s="25">
        <f>IF(AD252="Yes",10,0)</f>
        <v/>
      </c>
      <c r="AF252" s="25" t="inlineStr">
        <is>
          <t>B2B</t>
        </is>
      </c>
      <c r="AG252" s="25">
        <f>IF(AF252="B2C",10,IF(AF252="B2B",5,0))</f>
        <v/>
      </c>
      <c r="AH252" s="25" t="inlineStr">
        <is>
          <t>No</t>
        </is>
      </c>
      <c r="AI252" s="25">
        <f>IF(AH252="Yes",10,0)</f>
        <v/>
      </c>
      <c r="AJ252" s="25" t="inlineStr">
        <is>
          <t>Higher One Time, Lower Annuity</t>
        </is>
      </c>
      <c r="AK252" s="25">
        <f>IF(AJ252="Fully Annuity",10,IF(AJ252="Higher Annuity, Lower One Time",5,IF(AJ252="Higher One Time, Lower Annuity",3,0)))</f>
        <v/>
      </c>
      <c r="AL252" s="25" t="inlineStr">
        <is>
          <t>Good</t>
        </is>
      </c>
      <c r="AM252" s="25">
        <f>IF(AL252="Good",10,0)</f>
        <v/>
      </c>
      <c r="AN252" s="25" t="inlineStr">
        <is>
          <t>Yes for more than 2 years</t>
        </is>
      </c>
      <c r="AO252" s="25">
        <f>IF(AN252="Yes for more than 2 years",10,IF(AN252="Yes only for next 1 to 2 years",5,0))</f>
        <v/>
      </c>
      <c r="AP252" s="25" t="inlineStr">
        <is>
          <t>0 to 20</t>
        </is>
      </c>
      <c r="AQ252" s="25">
        <f>IF(AP252="Above 40",20,IF(AP252="20 to 40",10,IF(AP252="0 to 20",-5,0)))</f>
        <v/>
      </c>
      <c r="AR252" s="25" t="inlineStr">
        <is>
          <t>Between 50 to 75</t>
        </is>
      </c>
      <c r="AS252" s="25">
        <f>IF(AR252="Between 50 to 75",10,IF(AR252="Above 75",0,0))</f>
        <v/>
      </c>
      <c r="AT252" s="25" t="inlineStr">
        <is>
          <t>Stage 2</t>
        </is>
      </c>
      <c r="AU252" s="25">
        <f>IF(AT252="Stage 2",20,IF(AT252="Stage 1",0,IF(AT252="Stage 3",5,IF(AT252="Stage 4",-5,0))))</f>
        <v/>
      </c>
      <c r="AV252" s="25" t="inlineStr">
        <is>
          <t>Positive Trend</t>
        </is>
      </c>
      <c r="AW252" s="25">
        <f>IF(AV252="Positive Trend",20,IF(AV252="Negative Trend",-10,0))</f>
        <v/>
      </c>
      <c r="AX252" s="25" t="inlineStr">
        <is>
          <t>Uptrend</t>
        </is>
      </c>
      <c r="AY252" s="25">
        <f>IF(AX252="Uptrend",10,IF(AX252="Sideways",5,0))</f>
        <v/>
      </c>
      <c r="AZ252" s="25" t="inlineStr">
        <is>
          <t>Uptrend</t>
        </is>
      </c>
      <c r="BA252" s="25">
        <f>IF(AZ252="Uptrend",10,IF(AZ252="Sideways",5,0))</f>
        <v/>
      </c>
      <c r="BB252" s="25" t="inlineStr">
        <is>
          <t>Close to 52 week high or retracement</t>
        </is>
      </c>
      <c r="BC252" s="25">
        <f>IF(BB252="Overhead supply in last 2 years in last 2 years",-5,IF(BB252="Close to 52 week high or retracement",5,IF(BB252="Blue sky scenario",10,IF(BB252="Long term Downtrend",-10,0))))</f>
        <v/>
      </c>
      <c r="BD252" s="25" t="inlineStr">
        <is>
          <t>Yes</t>
        </is>
      </c>
      <c r="BE252" s="25">
        <f>IF(BD252="Yes",10,0)</f>
        <v/>
      </c>
      <c r="BF252" s="25" t="inlineStr">
        <is>
          <t>More than 20%</t>
        </is>
      </c>
      <c r="BG252" s="25">
        <f>IF(BF252="More than 20%",10,IF(BF252="Between 12 to 20%",5,IF(BF252="Less than 12%",0,0)))</f>
        <v/>
      </c>
      <c r="BH252" s="25" t="inlineStr">
        <is>
          <t>No</t>
        </is>
      </c>
      <c r="BI252" s="25">
        <f>IF(BH252="No",10,0)</f>
        <v/>
      </c>
      <c r="BJ252" s="25" t="inlineStr">
        <is>
          <t>No</t>
        </is>
      </c>
      <c r="BK252" s="25">
        <f>IF(BJ252="NO",5,0)</f>
        <v/>
      </c>
      <c r="BL252" s="25" t="inlineStr">
        <is>
          <t>Less than 1.5</t>
        </is>
      </c>
      <c r="BM252" s="25">
        <f>IF(BL252="Above 2",0,IF(BL252="Between 1.5 to 2",5,IF(BL252="Less than 1.5",10,0)))</f>
        <v/>
      </c>
      <c r="BN252" s="25" t="inlineStr">
        <is>
          <t>Above 70%</t>
        </is>
      </c>
      <c r="BO252" s="25">
        <f>IF(BN252="Above 70%",10,IF(BN252="Between 50% to 70%",5,IF(BN252="Less than 50%",0,IF(BN252="Negative",-10,IF(BN252="Less than 50% and Borrowings are increasing",-5,0)))))</f>
        <v/>
      </c>
      <c r="BP252" s="25" t="inlineStr">
        <is>
          <t>Less than 0.7</t>
        </is>
      </c>
      <c r="BQ252" s="25">
        <f>IF(BP252="More than 1.2",-10,IF(BP252="Between 0.7 to 1.2",0,IF(BP252="Less than 0.7",10,0)))</f>
        <v/>
      </c>
      <c r="BR252" s="25" t="inlineStr">
        <is>
          <t>No</t>
        </is>
      </c>
      <c r="BS252" s="25">
        <f>IF(BR252="Yes",-10,0)</f>
        <v/>
      </c>
      <c r="BT252" s="25" t="inlineStr">
        <is>
          <t>Less than 15%</t>
        </is>
      </c>
      <c r="BU252" s="25">
        <f>IF(BT252="More than 15%",-10,IF(BT252="Less than 15%",10,0))</f>
        <v/>
      </c>
      <c r="BV252" s="25" t="inlineStr">
        <is>
          <t>No</t>
        </is>
      </c>
      <c r="BW252" s="25">
        <f>IF(BV252="Yes, more than 10%",-10,IF(BV252="No",10,0))</f>
        <v/>
      </c>
    </row>
    <row r="253">
      <c r="A253" s="25">
        <f>IF(B253=0,"",RANK(B253,$B$2:$B$292,0))</f>
        <v/>
      </c>
      <c r="B253" s="26">
        <f>SUM(Q253,S253,U253,W253,Y253,AA253,AC253,AE253,AG253,AI253,AK253,AM253,AO253,AQ253,AS253,AU253,AW253,AY253,BA253,BC253,BE253,BG253,BI253,BK253,BM253,BO253,BQ253,BS253,BU253,BW253)</f>
        <v/>
      </c>
      <c r="C253" s="25" t="inlineStr">
        <is>
          <t>CRAFTSMAN</t>
        </is>
      </c>
      <c r="D253" s="25" t="inlineStr">
        <is>
          <t>Craftsman Automation Ltd</t>
        </is>
      </c>
      <c r="E253" s="25" t="inlineStr">
        <is>
          <t>auto</t>
        </is>
      </c>
      <c r="F253" s="25" t="inlineStr">
        <is>
          <t>auto ancillaries</t>
        </is>
      </c>
      <c r="G253" s="25" t="inlineStr">
        <is>
          <t>largecap</t>
        </is>
      </c>
      <c r="H253" s="26" t="n">
        <v>20924.92</v>
      </c>
      <c r="I253" s="26" t="n">
        <v>8979</v>
      </c>
      <c r="J253" s="26" t="n">
        <v>2.37</v>
      </c>
      <c r="K253" s="26" t="n">
        <v>42669</v>
      </c>
      <c r="L253" s="26" t="n">
        <v>65.25</v>
      </c>
      <c r="M253" s="26" t="n">
        <v>29.52</v>
      </c>
      <c r="N253" s="26" t="n">
        <v>7035.71</v>
      </c>
      <c r="O253" s="25" t="inlineStr">
        <is>
          <t>Near 52W High Breakout</t>
        </is>
      </c>
      <c r="P253" s="25" t="inlineStr">
        <is>
          <t>Growing Industry</t>
        </is>
      </c>
      <c r="Q253" s="25">
        <f>IF(P253="Growing Industry",10,IF(P253="Cyclical in an Upturn",5,0))</f>
        <v/>
      </c>
      <c r="R253" s="25" t="inlineStr">
        <is>
          <t>Too Many Players with High ROCE</t>
        </is>
      </c>
      <c r="S253" s="25">
        <f>IF(R253="Monopoly",10,IF(R253="Oligopoly",5,IF(R253="Duopoly that cooperate",10,IF(R253="Duopoly that compete",5,IF(R253="Too many players with High ROCE",5,0)))))</f>
        <v/>
      </c>
      <c r="T253" s="25" t="inlineStr">
        <is>
          <t>No</t>
        </is>
      </c>
      <c r="U253" s="25">
        <f>IF(T253="No",5,0)</f>
        <v/>
      </c>
      <c r="V253" s="25" t="inlineStr">
        <is>
          <t>Tailwind</t>
        </is>
      </c>
      <c r="W253" s="25">
        <f>IF(V253="Tailwind",10,0)</f>
        <v/>
      </c>
      <c r="X253" s="25" t="inlineStr">
        <is>
          <t>Structural (10 Years Consistency)</t>
        </is>
      </c>
      <c r="Y253" s="25">
        <f>IF(X253="Structural (10 Years Consistency)",10,IF(X253="Shallow Cyclical (2 to 3 years growth)",5,0))</f>
        <v/>
      </c>
      <c r="Z253" s="25" t="inlineStr">
        <is>
          <t>No</t>
        </is>
      </c>
      <c r="AA253" s="25">
        <f>IF(Z253="Yes due to Product Mix change or Operating Leverage",10,IF(Z253="Yes, these are peak margins",-5,IF(Z253="No",5,0)))</f>
        <v/>
      </c>
      <c r="AB253" s="25" t="inlineStr">
        <is>
          <t>Stable</t>
        </is>
      </c>
      <c r="AC253" s="25">
        <f>IF(AB253="Stable",10,0)</f>
        <v/>
      </c>
      <c r="AD253" s="25" t="inlineStr">
        <is>
          <t>Yes</t>
        </is>
      </c>
      <c r="AE253" s="25">
        <f>IF(AD253="Yes",10,0)</f>
        <v/>
      </c>
      <c r="AF253" s="25" t="inlineStr">
        <is>
          <t>B2B</t>
        </is>
      </c>
      <c r="AG253" s="25">
        <f>IF(AF253="B2C",10,IF(AF253="B2B",5,0))</f>
        <v/>
      </c>
      <c r="AH253" s="25" t="inlineStr">
        <is>
          <t>Yes</t>
        </is>
      </c>
      <c r="AI253" s="25">
        <f>IF(AH253="Yes",10,0)</f>
        <v/>
      </c>
      <c r="AJ253" s="25" t="inlineStr">
        <is>
          <t>Higher One Time, Lower Annuity</t>
        </is>
      </c>
      <c r="AK253" s="25">
        <f>IF(AJ253="Fully Annuity",10,IF(AJ253="Higher Annuity, Lower One Time",5,IF(AJ253="Higher One Time, Lower Annuity",3,0)))</f>
        <v/>
      </c>
      <c r="AL253" s="25" t="inlineStr">
        <is>
          <t>Good</t>
        </is>
      </c>
      <c r="AM253" s="25">
        <f>IF(AL253="Good",10,0)</f>
        <v/>
      </c>
      <c r="AN253" s="25" t="inlineStr">
        <is>
          <t>Yes for more than 2 years</t>
        </is>
      </c>
      <c r="AO253" s="25">
        <f>IF(AN253="Yes for more than 2 years",10,IF(AN253="Yes only for next 1 to 2 years",5,0))</f>
        <v/>
      </c>
      <c r="AP253" s="25" t="inlineStr">
        <is>
          <t>20 to 40</t>
        </is>
      </c>
      <c r="AQ253" s="25">
        <f>IF(AP253="Above 40",20,IF(AP253="20 to 40",10,IF(AP253="0 to 20",-5,0)))</f>
        <v/>
      </c>
      <c r="AR253" s="25" t="inlineStr">
        <is>
          <t>Between 50 to 75</t>
        </is>
      </c>
      <c r="AS253" s="25">
        <f>IF(AR253="Between 50 to 75",10,IF(AR253="Above 75",0,0))</f>
        <v/>
      </c>
      <c r="AT253" s="25" t="inlineStr">
        <is>
          <t>Stage 2</t>
        </is>
      </c>
      <c r="AU253" s="25">
        <f>IF(AT253="Stage 2",20,IF(AT253="Stage 1",0,IF(AT253="Stage 3",5,IF(AT253="Stage 4",-5,0))))</f>
        <v/>
      </c>
      <c r="AV253" s="25" t="inlineStr">
        <is>
          <t>Negative Trend</t>
        </is>
      </c>
      <c r="AW253" s="25">
        <f>IF(AV253="Positive Trend",20,IF(AV253="Negative Trend",-10,0))</f>
        <v/>
      </c>
      <c r="AX253" s="25" t="inlineStr">
        <is>
          <t>Uptrend</t>
        </is>
      </c>
      <c r="AY253" s="25">
        <f>IF(AX253="Uptrend",10,IF(AX253="Sideways",5,0))</f>
        <v/>
      </c>
      <c r="AZ253" s="25" t="inlineStr">
        <is>
          <t>Uptrend</t>
        </is>
      </c>
      <c r="BA253" s="25">
        <f>IF(AZ253="Uptrend",10,IF(AZ253="Sideways",5,0))</f>
        <v/>
      </c>
      <c r="BB253" s="25" t="inlineStr">
        <is>
          <t>Blue sky scenario</t>
        </is>
      </c>
      <c r="BC253" s="25">
        <f>IF(BB253="Overhead supply in last 2 years in last 2 years",-5,IF(BB253="Close to 52 week high or retracement",5,IF(BB253="Blue sky scenario",10,IF(BB253="Long term Downtrend",-10,0))))</f>
        <v/>
      </c>
      <c r="BD253" s="25" t="inlineStr">
        <is>
          <t>Yes</t>
        </is>
      </c>
      <c r="BE253" s="25">
        <f>IF(BD253="Yes",10,0)</f>
        <v/>
      </c>
      <c r="BF253" s="25" t="inlineStr">
        <is>
          <t>More than 20%</t>
        </is>
      </c>
      <c r="BG253" s="25">
        <f>IF(BF253="More than 20%",10,IF(BF253="Between 12 to 20%",5,IF(BF253="Less than 12%",0,0)))</f>
        <v/>
      </c>
      <c r="BH253" s="25" t="inlineStr">
        <is>
          <t>No</t>
        </is>
      </c>
      <c r="BI253" s="25">
        <f>IF(BH253="No",10,0)</f>
        <v/>
      </c>
      <c r="BJ253" s="25" t="inlineStr">
        <is>
          <t>Yes</t>
        </is>
      </c>
      <c r="BK253" s="25">
        <f>IF(BJ253="NO",5,0)</f>
        <v/>
      </c>
      <c r="BL253" s="25" t="inlineStr">
        <is>
          <t>Less than 1.5</t>
        </is>
      </c>
      <c r="BM253" s="25">
        <f>IF(BL253="Above 2",0,IF(BL253="Between 1.5 to 2",5,IF(BL253="Less than 1.5",10,0)))</f>
        <v/>
      </c>
      <c r="BN253" s="25" t="inlineStr">
        <is>
          <t>Less than 50% and Borrowings are increasing</t>
        </is>
      </c>
      <c r="BO253" s="25">
        <f>IF(BN253="Above 70%",10,IF(BN253="Between 50% to 70%",5,IF(BN253="Less than 50%",0,IF(BN253="Negative",-10,IF(BN253="Less than 50% and Borrowings are increasing",-5,0)))))</f>
        <v/>
      </c>
      <c r="BP253" s="25" t="inlineStr">
        <is>
          <t>Between 0.7 to 1.2</t>
        </is>
      </c>
      <c r="BQ253" s="25">
        <f>IF(BP253="More than 1.2",-10,IF(BP253="Between 0.7 to 1.2",0,IF(BP253="Less than 0.7",10,0)))</f>
        <v/>
      </c>
      <c r="BR253" s="25" t="inlineStr">
        <is>
          <t>No</t>
        </is>
      </c>
      <c r="BS253" s="25">
        <f>IF(BR253="Yes",-10,0)</f>
        <v/>
      </c>
      <c r="BT253" s="25" t="inlineStr">
        <is>
          <t>Less than 15%</t>
        </is>
      </c>
      <c r="BU253" s="25">
        <f>IF(BT253="More than 15%",-10,IF(BT253="Less than 15%",10,0))</f>
        <v/>
      </c>
      <c r="BV253" s="25" t="inlineStr">
        <is>
          <t>No</t>
        </is>
      </c>
      <c r="BW253" s="25">
        <f>IF(BV253="Yes, more than 10%",-10,IF(BV253="No",10,0))</f>
        <v/>
      </c>
    </row>
    <row r="254">
      <c r="A254" s="25">
        <f>IF(B254=0,"",RANK(B254,$B$2:$B$292,0))</f>
        <v/>
      </c>
      <c r="B254" s="26">
        <f>SUM(Q254,S254,U254,W254,Y254,AA254,AC254,AE254,AG254,AI254,AK254,AM254,AO254,AQ254,AS254,AU254,AW254,AY254,BA254,BC254,BE254,BG254,BI254,BK254,BM254,BO254,BQ254,BS254,BU254,BW254)</f>
        <v/>
      </c>
      <c r="C254" s="25" t="inlineStr">
        <is>
          <t>TPLPLASTEH</t>
        </is>
      </c>
      <c r="D254" s="25" t="inlineStr">
        <is>
          <t>Tpl Plastech Limited</t>
        </is>
      </c>
      <c r="E254" s="25" t="inlineStr">
        <is>
          <t>industrials</t>
        </is>
      </c>
      <c r="F254" s="25" t="inlineStr">
        <is>
          <t>packaging</t>
        </is>
      </c>
      <c r="G254" s="25" t="inlineStr">
        <is>
          <t>smallcap</t>
        </is>
      </c>
      <c r="H254" s="26" t="n">
        <v>545.48</v>
      </c>
      <c r="I254" s="26" t="n">
        <v>71.20999999999999</v>
      </c>
      <c r="J254" s="26" t="n">
        <v>1.83</v>
      </c>
      <c r="K254" s="26" t="n">
        <v>135476</v>
      </c>
      <c r="L254" s="26" t="n">
        <v>54.74</v>
      </c>
      <c r="M254" s="26" t="n">
        <v>14.31</v>
      </c>
      <c r="N254" s="26" t="n">
        <v>52.61</v>
      </c>
      <c r="O254" s="25" t="inlineStr">
        <is>
          <t>Earnings / Momentum Support</t>
        </is>
      </c>
      <c r="P254" s="25" t="inlineStr">
        <is>
          <t>Cyclical in an Upturn</t>
        </is>
      </c>
      <c r="Q254" s="25">
        <f>IF(P254="Growing Industry",10,IF(P254="Cyclical in an Upturn",5,0))</f>
        <v/>
      </c>
      <c r="R254" s="25" t="inlineStr">
        <is>
          <t>Too Many Players with High ROCE</t>
        </is>
      </c>
      <c r="S254" s="25">
        <f>IF(R254="Monopoly",10,IF(R254="Oligopoly",5,IF(R254="Duopoly that cooperate",10,IF(R254="Duopoly that compete",5,IF(R254="Too many players with High ROCE",5,0)))))</f>
        <v/>
      </c>
      <c r="T254" s="25" t="inlineStr">
        <is>
          <t>No</t>
        </is>
      </c>
      <c r="U254" s="25">
        <f>IF(T254="No",5,0)</f>
        <v/>
      </c>
      <c r="V254" s="25" t="inlineStr">
        <is>
          <t>Tailwind</t>
        </is>
      </c>
      <c r="W254" s="25">
        <f>IF(V254="Tailwind",10,0)</f>
        <v/>
      </c>
      <c r="X254" s="25" t="inlineStr">
        <is>
          <t>Structural (10 Years Consistency)</t>
        </is>
      </c>
      <c r="Y254" s="25">
        <f>IF(X254="Structural (10 Years Consistency)",10,IF(X254="Shallow Cyclical (2 to 3 years growth)",5,0))</f>
        <v/>
      </c>
      <c r="Z254" s="25" t="inlineStr">
        <is>
          <t>No</t>
        </is>
      </c>
      <c r="AA254" s="25">
        <f>IF(Z254="Yes due to Product Mix change or Operating Leverage",10,IF(Z254="Yes, these are peak margins",-5,IF(Z254="No",5,0)))</f>
        <v/>
      </c>
      <c r="AB254" s="25" t="inlineStr">
        <is>
          <t>Stable</t>
        </is>
      </c>
      <c r="AC254" s="25">
        <f>IF(AB254="Stable",10,0)</f>
        <v/>
      </c>
      <c r="AD254" s="25" t="inlineStr">
        <is>
          <t>Yes</t>
        </is>
      </c>
      <c r="AE254" s="25">
        <f>IF(AD254="Yes",10,0)</f>
        <v/>
      </c>
      <c r="AF254" s="25" t="inlineStr">
        <is>
          <t>B2B</t>
        </is>
      </c>
      <c r="AG254" s="25">
        <f>IF(AF254="B2C",10,IF(AF254="B2B",5,0))</f>
        <v/>
      </c>
      <c r="AH254" s="25" t="inlineStr">
        <is>
          <t>No</t>
        </is>
      </c>
      <c r="AI254" s="25">
        <f>IF(AH254="Yes",10,0)</f>
        <v/>
      </c>
      <c r="AJ254" s="25" t="inlineStr">
        <is>
          <t>Higher One Time, Lower Annuity</t>
        </is>
      </c>
      <c r="AK254" s="25">
        <f>IF(AJ254="Fully Annuity",10,IF(AJ254="Higher Annuity, Lower One Time",5,IF(AJ254="Higher One Time, Lower Annuity",3,0)))</f>
        <v/>
      </c>
      <c r="AL254" s="25" t="inlineStr">
        <is>
          <t>Good</t>
        </is>
      </c>
      <c r="AM254" s="25">
        <f>IF(AL254="Good",10,0)</f>
        <v/>
      </c>
      <c r="AN254" s="25" t="inlineStr">
        <is>
          <t>Yes for more than 2 years</t>
        </is>
      </c>
      <c r="AO254" s="25">
        <f>IF(AN254="Yes for more than 2 years",10,IF(AN254="Yes only for next 1 to 2 years",5,0))</f>
        <v/>
      </c>
      <c r="AP254" s="25" t="inlineStr">
        <is>
          <t>0 to 20</t>
        </is>
      </c>
      <c r="AQ254" s="25">
        <f>IF(AP254="Above 40",20,IF(AP254="20 to 40",10,IF(AP254="0 to 20",-5,0)))</f>
        <v/>
      </c>
      <c r="AR254" s="25" t="inlineStr">
        <is>
          <t>Between 50 to 75</t>
        </is>
      </c>
      <c r="AS254" s="25">
        <f>IF(AR254="Between 50 to 75",10,IF(AR254="Above 75",0,0))</f>
        <v/>
      </c>
      <c r="AT254" s="25" t="inlineStr">
        <is>
          <t>Stage 1</t>
        </is>
      </c>
      <c r="AU254" s="25">
        <f>IF(AT254="Stage 2",20,IF(AT254="Stage 1",0,IF(AT254="Stage 3",5,IF(AT254="Stage 4",-5,0))))</f>
        <v/>
      </c>
      <c r="AV254" s="25" t="inlineStr">
        <is>
          <t>Positive Trend</t>
        </is>
      </c>
      <c r="AW254" s="25">
        <f>IF(AV254="Positive Trend",20,IF(AV254="Negative Trend",-10,0))</f>
        <v/>
      </c>
      <c r="AX254" s="25" t="inlineStr">
        <is>
          <t>Uptrend</t>
        </is>
      </c>
      <c r="AY254" s="25">
        <f>IF(AX254="Uptrend",10,IF(AX254="Sideways",5,0))</f>
        <v/>
      </c>
      <c r="AZ254" s="25" t="inlineStr">
        <is>
          <t>Uptrend</t>
        </is>
      </c>
      <c r="BA254" s="25">
        <f>IF(AZ254="Uptrend",10,IF(AZ254="Sideways",5,0))</f>
        <v/>
      </c>
      <c r="BB254" s="25" t="inlineStr">
        <is>
          <t>Close to 52 week high or retracement</t>
        </is>
      </c>
      <c r="BC254" s="25">
        <f>IF(BB254="Overhead supply in last 2 years in last 2 years",-5,IF(BB254="Close to 52 week high or retracement",5,IF(BB254="Blue sky scenario",10,IF(BB254="Long term Downtrend",-10,0))))</f>
        <v/>
      </c>
      <c r="BD254" s="25" t="inlineStr">
        <is>
          <t>Yes</t>
        </is>
      </c>
      <c r="BE254" s="25">
        <f>IF(BD254="Yes",10,0)</f>
        <v/>
      </c>
      <c r="BF254" s="25" t="inlineStr">
        <is>
          <t>Between 12 to 20%</t>
        </is>
      </c>
      <c r="BG254" s="25">
        <f>IF(BF254="More than 20%",10,IF(BF254="Between 12 to 20%",5,IF(BF254="Less than 12%",0,0)))</f>
        <v/>
      </c>
      <c r="BH254" s="25" t="inlineStr">
        <is>
          <t>No</t>
        </is>
      </c>
      <c r="BI254" s="25">
        <f>IF(BH254="No",10,0)</f>
        <v/>
      </c>
      <c r="BJ254" s="25" t="inlineStr">
        <is>
          <t>No</t>
        </is>
      </c>
      <c r="BK254" s="25">
        <f>IF(BJ254="NO",5,0)</f>
        <v/>
      </c>
      <c r="BL254" s="25" t="inlineStr">
        <is>
          <t>Less than 1.5</t>
        </is>
      </c>
      <c r="BM254" s="25">
        <f>IF(BL254="Above 2",0,IF(BL254="Between 1.5 to 2",5,IF(BL254="Less than 1.5",10,0)))</f>
        <v/>
      </c>
      <c r="BN254" s="25" t="inlineStr">
        <is>
          <t>Above 70%</t>
        </is>
      </c>
      <c r="BO254" s="25">
        <f>IF(BN254="Above 70%",10,IF(BN254="Between 50% to 70%",5,IF(BN254="Less than 50%",0,IF(BN254="Negative",-10,IF(BN254="Less than 50% and Borrowings are increasing",-5,0)))))</f>
        <v/>
      </c>
      <c r="BP254" s="25" t="inlineStr">
        <is>
          <t>Less than 0.7</t>
        </is>
      </c>
      <c r="BQ254" s="25">
        <f>IF(BP254="More than 1.2",-10,IF(BP254="Between 0.7 to 1.2",0,IF(BP254="Less than 0.7",10,0)))</f>
        <v/>
      </c>
      <c r="BR254" s="25" t="inlineStr">
        <is>
          <t>No</t>
        </is>
      </c>
      <c r="BS254" s="25">
        <f>IF(BR254="Yes",-10,0)</f>
        <v/>
      </c>
      <c r="BT254" s="25" t="inlineStr">
        <is>
          <t>Less than 15%</t>
        </is>
      </c>
      <c r="BU254" s="25">
        <f>IF(BT254="More than 15%",-10,IF(BT254="Less than 15%",10,0))</f>
        <v/>
      </c>
      <c r="BV254" s="25" t="inlineStr">
        <is>
          <t>No</t>
        </is>
      </c>
      <c r="BW254" s="25">
        <f>IF(BV254="Yes, more than 10%",-10,IF(BV254="No",10,0))</f>
        <v/>
      </c>
    </row>
    <row r="255">
      <c r="A255" s="25">
        <f>IF(B255=0,"",RANK(B255,$B$2:$B$292,0))</f>
        <v/>
      </c>
      <c r="B255" s="26">
        <f>SUM(Q255,S255,U255,W255,Y255,AA255,AC255,AE255,AG255,AI255,AK255,AM255,AO255,AQ255,AS255,AU255,AW255,AY255,BA255,BC255,BE255,BG255,BI255,BK255,BM255,BO255,BQ255,BS255,BU255,BW255)</f>
        <v/>
      </c>
      <c r="C255" s="25" t="inlineStr">
        <is>
          <t>AVANTEL</t>
        </is>
      </c>
      <c r="D255" s="25" t="inlineStr">
        <is>
          <t>Avantel Ltd</t>
        </is>
      </c>
      <c r="E255" s="25" t="inlineStr">
        <is>
          <t>aerospace &amp; defence</t>
        </is>
      </c>
      <c r="F255" s="25" t="inlineStr">
        <is>
          <t>telecommunications - equipment</t>
        </is>
      </c>
      <c r="G255" s="25" t="inlineStr">
        <is>
          <t>smallcap</t>
        </is>
      </c>
      <c r="H255" s="26" t="n">
        <v>4607.69</v>
      </c>
      <c r="I255" s="26" t="n">
        <v>176.14</v>
      </c>
      <c r="J255" s="26" t="n">
        <v>1.57</v>
      </c>
      <c r="K255" s="26" t="n">
        <v>1941394</v>
      </c>
      <c r="L255" s="26" t="n">
        <v>59.88</v>
      </c>
      <c r="M255" s="26" t="n">
        <v>14.86</v>
      </c>
      <c r="N255" s="26" t="n">
        <v>125.78</v>
      </c>
      <c r="O255" s="25" t="inlineStr">
        <is>
          <t>Earnings / Momentum Support</t>
        </is>
      </c>
      <c r="P255" s="25" t="inlineStr">
        <is>
          <t>Growing Industry</t>
        </is>
      </c>
      <c r="Q255" s="25">
        <f>IF(P255="Growing Industry",10,IF(P255="Cyclical in an Upturn",5,0))</f>
        <v/>
      </c>
      <c r="R255" s="25" t="inlineStr">
        <is>
          <t>Oligopoly</t>
        </is>
      </c>
      <c r="S255" s="25">
        <f>IF(R255="Monopoly",10,IF(R255="Oligopoly",5,IF(R255="Duopoly that cooperate",10,IF(R255="Duopoly that compete",5,IF(R255="Too many players with High ROCE",5,0)))))</f>
        <v/>
      </c>
      <c r="T255" s="25" t="inlineStr">
        <is>
          <t>Yes</t>
        </is>
      </c>
      <c r="U255" s="25">
        <f>IF(T255="No",5,0)</f>
        <v/>
      </c>
      <c r="V255" s="25" t="inlineStr">
        <is>
          <t>Tailwind</t>
        </is>
      </c>
      <c r="W255" s="25">
        <f>IF(V255="Tailwind",10,0)</f>
        <v/>
      </c>
      <c r="X255" s="25" t="inlineStr">
        <is>
          <t>Structural (10 Years Consistency)</t>
        </is>
      </c>
      <c r="Y255" s="25">
        <f>IF(X255="Structural (10 Years Consistency)",10,IF(X255="Shallow Cyclical (2 to 3 years growth)",5,0))</f>
        <v/>
      </c>
      <c r="Z255" s="25" t="inlineStr">
        <is>
          <t>No</t>
        </is>
      </c>
      <c r="AA255" s="25">
        <f>IF(Z255="Yes due to Product Mix change or Operating Leverage",10,IF(Z255="Yes, these are peak margins",-5,IF(Z255="No",5,0)))</f>
        <v/>
      </c>
      <c r="AB255" s="25" t="inlineStr">
        <is>
          <t>Stable</t>
        </is>
      </c>
      <c r="AC255" s="25">
        <f>IF(AB255="Stable",10,0)</f>
        <v/>
      </c>
      <c r="AD255" s="25" t="inlineStr">
        <is>
          <t>Yes</t>
        </is>
      </c>
      <c r="AE255" s="25">
        <f>IF(AD255="Yes",10,0)</f>
        <v/>
      </c>
      <c r="AF255" s="25" t="inlineStr">
        <is>
          <t>B2B</t>
        </is>
      </c>
      <c r="AG255" s="25">
        <f>IF(AF255="B2C",10,IF(AF255="B2B",5,0))</f>
        <v/>
      </c>
      <c r="AH255" s="25" t="inlineStr">
        <is>
          <t>No</t>
        </is>
      </c>
      <c r="AI255" s="25">
        <f>IF(AH255="Yes",10,0)</f>
        <v/>
      </c>
      <c r="AJ255" s="25" t="inlineStr">
        <is>
          <t>Higher One Time, Lower Annuity</t>
        </is>
      </c>
      <c r="AK255" s="25">
        <f>IF(AJ255="Fully Annuity",10,IF(AJ255="Higher Annuity, Lower One Time",5,IF(AJ255="Higher One Time, Lower Annuity",3,0)))</f>
        <v/>
      </c>
      <c r="AL255" s="25" t="inlineStr">
        <is>
          <t>Good</t>
        </is>
      </c>
      <c r="AM255" s="25">
        <f>IF(AL255="Good",10,0)</f>
        <v/>
      </c>
      <c r="AN255" s="25" t="inlineStr">
        <is>
          <t>Yes for more than 2 years</t>
        </is>
      </c>
      <c r="AO255" s="25">
        <f>IF(AN255="Yes for more than 2 years",10,IF(AN255="Yes only for next 1 to 2 years",5,0))</f>
        <v/>
      </c>
      <c r="AP255" s="25" t="inlineStr">
        <is>
          <t>0 to 20</t>
        </is>
      </c>
      <c r="AQ255" s="25">
        <f>IF(AP255="Above 40",20,IF(AP255="20 to 40",10,IF(AP255="0 to 20",-5,0)))</f>
        <v/>
      </c>
      <c r="AR255" s="25" t="inlineStr">
        <is>
          <t>Between 50 to 75</t>
        </is>
      </c>
      <c r="AS255" s="25">
        <f>IF(AR255="Between 50 to 75",10,IF(AR255="Above 75",0,0))</f>
        <v/>
      </c>
      <c r="AT255" s="25" t="inlineStr">
        <is>
          <t>Stage 2</t>
        </is>
      </c>
      <c r="AU255" s="25">
        <f>IF(AT255="Stage 2",20,IF(AT255="Stage 1",0,IF(AT255="Stage 3",5,IF(AT255="Stage 4",-5,0))))</f>
        <v/>
      </c>
      <c r="AV255" s="25" t="inlineStr">
        <is>
          <t>Positive Trend</t>
        </is>
      </c>
      <c r="AW255" s="25">
        <f>IF(AV255="Positive Trend",20,IF(AV255="Negative Trend",-10,0))</f>
        <v/>
      </c>
      <c r="AX255" s="25" t="inlineStr">
        <is>
          <t>Uptrend</t>
        </is>
      </c>
      <c r="AY255" s="25">
        <f>IF(AX255="Uptrend",10,IF(AX255="Sideways",5,0))</f>
        <v/>
      </c>
      <c r="AZ255" s="25" t="inlineStr">
        <is>
          <t>Uptrend</t>
        </is>
      </c>
      <c r="BA255" s="25">
        <f>IF(AZ255="Uptrend",10,IF(AZ255="Sideways",5,0))</f>
        <v/>
      </c>
      <c r="BB255" s="25" t="inlineStr">
        <is>
          <t>Close to 52 week high or retracement</t>
        </is>
      </c>
      <c r="BC255" s="25">
        <f>IF(BB255="Overhead supply in last 2 years in last 2 years",-5,IF(BB255="Close to 52 week high or retracement",5,IF(BB255="Blue sky scenario",10,IF(BB255="Long term Downtrend",-10,0))))</f>
        <v/>
      </c>
      <c r="BD255" s="25" t="inlineStr">
        <is>
          <t>Yes</t>
        </is>
      </c>
      <c r="BE255" s="25">
        <f>IF(BD255="Yes",10,0)</f>
        <v/>
      </c>
      <c r="BF255" s="25" t="inlineStr">
        <is>
          <t>Less than 12%</t>
        </is>
      </c>
      <c r="BG255" s="25">
        <f>IF(BF255="More than 20%",10,IF(BF255="Between 12 to 20%",5,IF(BF255="Less than 12%",0,0)))</f>
        <v/>
      </c>
      <c r="BH255" s="25" t="inlineStr">
        <is>
          <t>No</t>
        </is>
      </c>
      <c r="BI255" s="25">
        <f>IF(BH255="No",10,0)</f>
        <v/>
      </c>
      <c r="BJ255" s="25" t="inlineStr">
        <is>
          <t>Yes</t>
        </is>
      </c>
      <c r="BK255" s="25">
        <f>IF(BJ255="NO",5,0)</f>
        <v/>
      </c>
      <c r="BL255" s="25" t="inlineStr">
        <is>
          <t>Less than 1.5</t>
        </is>
      </c>
      <c r="BM255" s="25">
        <f>IF(BL255="Above 2",0,IF(BL255="Between 1.5 to 2",5,IF(BL255="Less than 1.5",10,0)))</f>
        <v/>
      </c>
      <c r="BN255" s="25" t="inlineStr">
        <is>
          <t>Less than 50%</t>
        </is>
      </c>
      <c r="BO255" s="25">
        <f>IF(BN255="Above 70%",10,IF(BN255="Between 50% to 70%",5,IF(BN255="Less than 50%",0,IF(BN255="Negative",-10,IF(BN255="Less than 50% and Borrowings are increasing",-5,0)))))</f>
        <v/>
      </c>
      <c r="BP255" s="25" t="inlineStr">
        <is>
          <t>Less than 0.7</t>
        </is>
      </c>
      <c r="BQ255" s="25">
        <f>IF(BP255="More than 1.2",-10,IF(BP255="Between 0.7 to 1.2",0,IF(BP255="Less than 0.7",10,0)))</f>
        <v/>
      </c>
      <c r="BR255" s="25" t="inlineStr">
        <is>
          <t>No</t>
        </is>
      </c>
      <c r="BS255" s="25">
        <f>IF(BR255="Yes",-10,0)</f>
        <v/>
      </c>
      <c r="BT255" s="25" t="inlineStr">
        <is>
          <t>Less than 15%</t>
        </is>
      </c>
      <c r="BU255" s="25">
        <f>IF(BT255="More than 15%",-10,IF(BT255="Less than 15%",10,0))</f>
        <v/>
      </c>
      <c r="BV255" s="25" t="inlineStr">
        <is>
          <t>No</t>
        </is>
      </c>
      <c r="BW255" s="25">
        <f>IF(BV255="Yes, more than 10%",-10,IF(BV255="No",10,0))</f>
        <v/>
      </c>
    </row>
    <row r="256">
      <c r="A256" s="25">
        <f>IF(B256=0,"",RANK(B256,$B$2:$B$292,0))</f>
        <v/>
      </c>
      <c r="B256" s="26">
        <f>SUM(Q256,S256,U256,W256,Y256,AA256,AC256,AE256,AG256,AI256,AK256,AM256,AO256,AQ256,AS256,AU256,AW256,AY256,BA256,BC256,BE256,BG256,BI256,BK256,BM256,BO256,BQ256,BS256,BU256,BW256)</f>
        <v/>
      </c>
      <c r="C256" s="25" t="inlineStr">
        <is>
          <t>TMPV</t>
        </is>
      </c>
      <c r="D256" s="25" t="inlineStr">
        <is>
          <t>Tata Motors Passenger Vehicles Ltd</t>
        </is>
      </c>
      <c r="E256" s="25" t="inlineStr">
        <is>
          <t>auto</t>
        </is>
      </c>
      <c r="F256" s="25" t="inlineStr">
        <is>
          <t>automobiles - passenger cars</t>
        </is>
      </c>
      <c r="G256" s="25" t="inlineStr">
        <is>
          <t>largecap</t>
        </is>
      </c>
      <c r="H256" s="26" t="n">
        <v>141734.71</v>
      </c>
      <c r="I256" s="26" t="n">
        <v>390.2</v>
      </c>
      <c r="J256" s="26" t="n">
        <v>1.38</v>
      </c>
      <c r="K256" s="26" t="n">
        <v>12789321</v>
      </c>
      <c r="L256" s="26" t="n">
        <v>51.62</v>
      </c>
      <c r="M256" s="26" t="n">
        <v>26.16</v>
      </c>
      <c r="N256" s="26" t="n">
        <v>308.08</v>
      </c>
      <c r="O256" s="25" t="inlineStr">
        <is>
          <t>Earnings / Momentum Support</t>
        </is>
      </c>
      <c r="P256" s="25" t="inlineStr">
        <is>
          <t>Growing Industry</t>
        </is>
      </c>
      <c r="Q256" s="25">
        <f>IF(P256="Growing Industry",10,IF(P256="Cyclical in an Upturn",5,0))</f>
        <v/>
      </c>
      <c r="R256" s="25" t="inlineStr">
        <is>
          <t>Too Many Players with High ROCE</t>
        </is>
      </c>
      <c r="S256" s="25">
        <f>IF(R256="Monopoly",10,IF(R256="Oligopoly",5,IF(R256="Duopoly that cooperate",10,IF(R256="Duopoly that compete",5,IF(R256="Too many players with High ROCE",5,0)))))</f>
        <v/>
      </c>
      <c r="T256" s="25" t="inlineStr">
        <is>
          <t>No</t>
        </is>
      </c>
      <c r="U256" s="25">
        <f>IF(T256="No",5,0)</f>
        <v/>
      </c>
      <c r="V256" s="25" t="inlineStr">
        <is>
          <t>Tailwind</t>
        </is>
      </c>
      <c r="W256" s="25">
        <f>IF(V256="Tailwind",10,0)</f>
        <v/>
      </c>
      <c r="X256" s="25" t="inlineStr">
        <is>
          <t>Structural (10 Years Consistency)</t>
        </is>
      </c>
      <c r="Y256" s="25">
        <f>IF(X256="Structural (10 Years Consistency)",10,IF(X256="Shallow Cyclical (2 to 3 years growth)",5,0))</f>
        <v/>
      </c>
      <c r="Z256" s="25" t="inlineStr">
        <is>
          <t>No</t>
        </is>
      </c>
      <c r="AA256" s="25">
        <f>IF(Z256="Yes due to Product Mix change or Operating Leverage",10,IF(Z256="Yes, these are peak margins",-5,IF(Z256="No",5,0)))</f>
        <v/>
      </c>
      <c r="AB256" s="25" t="inlineStr">
        <is>
          <t>Stable</t>
        </is>
      </c>
      <c r="AC256" s="25">
        <f>IF(AB256="Stable",10,0)</f>
        <v/>
      </c>
      <c r="AD256" s="25" t="inlineStr">
        <is>
          <t>Yes</t>
        </is>
      </c>
      <c r="AE256" s="25">
        <f>IF(AD256="Yes",10,0)</f>
        <v/>
      </c>
      <c r="AF256" s="25" t="inlineStr">
        <is>
          <t>B2B</t>
        </is>
      </c>
      <c r="AG256" s="25">
        <f>IF(AF256="B2C",10,IF(AF256="B2B",5,0))</f>
        <v/>
      </c>
      <c r="AH256" s="25" t="inlineStr">
        <is>
          <t>No</t>
        </is>
      </c>
      <c r="AI256" s="25">
        <f>IF(AH256="Yes",10,0)</f>
        <v/>
      </c>
      <c r="AJ256" s="25" t="inlineStr">
        <is>
          <t>Higher One Time, Lower Annuity</t>
        </is>
      </c>
      <c r="AK256" s="25">
        <f>IF(AJ256="Fully Annuity",10,IF(AJ256="Higher Annuity, Lower One Time",5,IF(AJ256="Higher One Time, Lower Annuity",3,0)))</f>
        <v/>
      </c>
      <c r="AL256" s="25" t="inlineStr">
        <is>
          <t>Good</t>
        </is>
      </c>
      <c r="AM256" s="25">
        <f>IF(AL256="Good",10,0)</f>
        <v/>
      </c>
      <c r="AN256" s="25" t="inlineStr">
        <is>
          <t>Yes for more than 2 years</t>
        </is>
      </c>
      <c r="AO256" s="25">
        <f>IF(AN256="Yes for more than 2 years",10,IF(AN256="Yes only for next 1 to 2 years",5,0))</f>
        <v/>
      </c>
      <c r="AP256" s="25" t="inlineStr">
        <is>
          <t>20 to 40</t>
        </is>
      </c>
      <c r="AQ256" s="25">
        <f>IF(AP256="Above 40",20,IF(AP256="20 to 40",10,IF(AP256="0 to 20",-5,0)))</f>
        <v/>
      </c>
      <c r="AR256" s="25" t="inlineStr">
        <is>
          <t>Between 50 to 75</t>
        </is>
      </c>
      <c r="AS256" s="25">
        <f>IF(AR256="Between 50 to 75",10,IF(AR256="Above 75",0,0))</f>
        <v/>
      </c>
      <c r="AT256" s="25" t="inlineStr">
        <is>
          <t>Stage 4</t>
        </is>
      </c>
      <c r="AU256" s="25">
        <f>IF(AT256="Stage 2",20,IF(AT256="Stage 1",0,IF(AT256="Stage 3",5,IF(AT256="Stage 4",-5,0))))</f>
        <v/>
      </c>
      <c r="AV256" s="25" t="inlineStr">
        <is>
          <t>Positive Trend</t>
        </is>
      </c>
      <c r="AW256" s="25">
        <f>IF(AV256="Positive Trend",20,IF(AV256="Negative Trend",-10,0))</f>
        <v/>
      </c>
      <c r="AX256" s="25" t="inlineStr">
        <is>
          <t>Uptrend</t>
        </is>
      </c>
      <c r="AY256" s="25">
        <f>IF(AX256="Uptrend",10,IF(AX256="Sideways",5,0))</f>
        <v/>
      </c>
      <c r="AZ256" s="25" t="inlineStr">
        <is>
          <t>Uptrend</t>
        </is>
      </c>
      <c r="BA256" s="25">
        <f>IF(AZ256="Uptrend",10,IF(AZ256="Sideways",5,0))</f>
        <v/>
      </c>
      <c r="BB256" s="25" t="inlineStr">
        <is>
          <t>Close to 52 week high or retracement</t>
        </is>
      </c>
      <c r="BC256" s="25">
        <f>IF(BB256="Overhead supply in last 2 years in last 2 years",-5,IF(BB256="Close to 52 week high or retracement",5,IF(BB256="Blue sky scenario",10,IF(BB256="Long term Downtrend",-10,0))))</f>
        <v/>
      </c>
      <c r="BD256" s="25" t="inlineStr">
        <is>
          <t>Yes</t>
        </is>
      </c>
      <c r="BE256" s="25">
        <f>IF(BD256="Yes",10,0)</f>
        <v/>
      </c>
      <c r="BF256" s="25" t="inlineStr">
        <is>
          <t>Less than 12%</t>
        </is>
      </c>
      <c r="BG256" s="25">
        <f>IF(BF256="More than 20%",10,IF(BF256="Between 12 to 20%",5,IF(BF256="Less than 12%",0,0)))</f>
        <v/>
      </c>
      <c r="BH256" s="25" t="inlineStr">
        <is>
          <t>No</t>
        </is>
      </c>
      <c r="BI256" s="25">
        <f>IF(BH256="No",10,0)</f>
        <v/>
      </c>
      <c r="BJ256" s="25" t="inlineStr">
        <is>
          <t>No</t>
        </is>
      </c>
      <c r="BK256" s="25">
        <f>IF(BJ256="NO",5,0)</f>
        <v/>
      </c>
      <c r="BL256" s="25" t="inlineStr">
        <is>
          <t>Less than 1.5</t>
        </is>
      </c>
      <c r="BM256" s="25">
        <f>IF(BL256="Above 2",0,IF(BL256="Between 1.5 to 2",5,IF(BL256="Less than 1.5",10,0)))</f>
        <v/>
      </c>
      <c r="BN256" s="25" t="inlineStr">
        <is>
          <t>Less than 50%</t>
        </is>
      </c>
      <c r="BO256" s="25">
        <f>IF(BN256="Above 70%",10,IF(BN256="Between 50% to 70%",5,IF(BN256="Less than 50%",0,IF(BN256="Negative",-10,IF(BN256="Less than 50% and Borrowings are increasing",-5,0)))))</f>
        <v/>
      </c>
      <c r="BP256" s="25" t="inlineStr">
        <is>
          <t>Less than 0.7</t>
        </is>
      </c>
      <c r="BQ256" s="25">
        <f>IF(BP256="More than 1.2",-10,IF(BP256="Between 0.7 to 1.2",0,IF(BP256="Less than 0.7",10,0)))</f>
        <v/>
      </c>
      <c r="BR256" s="25" t="inlineStr">
        <is>
          <t>No</t>
        </is>
      </c>
      <c r="BS256" s="25">
        <f>IF(BR256="Yes",-10,0)</f>
        <v/>
      </c>
      <c r="BT256" s="25" t="inlineStr">
        <is>
          <t>Less than 15%</t>
        </is>
      </c>
      <c r="BU256" s="25">
        <f>IF(BT256="More than 15%",-10,IF(BT256="Less than 15%",10,0))</f>
        <v/>
      </c>
      <c r="BV256" s="25" t="inlineStr">
        <is>
          <t>No</t>
        </is>
      </c>
      <c r="BW256" s="25">
        <f>IF(BV256="Yes, more than 10%",-10,IF(BV256="No",10,0))</f>
        <v/>
      </c>
    </row>
    <row r="257">
      <c r="A257" s="25">
        <f>IF(B257=0,"",RANK(B257,$B$2:$B$292,0))</f>
        <v/>
      </c>
      <c r="B257" s="26">
        <f>SUM(Q257,S257,U257,W257,Y257,AA257,AC257,AE257,AG257,AI257,AK257,AM257,AO257,AQ257,AS257,AU257,AW257,AY257,BA257,BC257,BE257,BG257,BI257,BK257,BM257,BO257,BQ257,BS257,BU257,BW257)</f>
        <v/>
      </c>
      <c r="C257" s="25" t="inlineStr">
        <is>
          <t>LLOYDSME</t>
        </is>
      </c>
      <c r="D257" s="25" t="inlineStr">
        <is>
          <t>Lloyds Metals &amp; Energy Ltd</t>
        </is>
      </c>
      <c r="E257" s="25" t="inlineStr">
        <is>
          <t>metals &amp; mining</t>
        </is>
      </c>
      <c r="F257" s="25" t="inlineStr">
        <is>
          <t>mining / minerals / metals</t>
        </is>
      </c>
      <c r="G257" s="25" t="inlineStr">
        <is>
          <t>largecap</t>
        </is>
      </c>
      <c r="H257" s="26" t="n">
        <v>102291.82</v>
      </c>
      <c r="I257" s="26" t="n">
        <v>1821.7</v>
      </c>
      <c r="J257" s="26" t="n">
        <v>0.23</v>
      </c>
      <c r="K257" s="26" t="n">
        <v>355876</v>
      </c>
      <c r="L257" s="26" t="n">
        <v>73.33</v>
      </c>
      <c r="M257" s="26" t="n">
        <v>35.52</v>
      </c>
      <c r="N257" s="26" t="n">
        <v>1476.43</v>
      </c>
      <c r="O257" s="25" t="inlineStr">
        <is>
          <t>Near 52W High Breakout</t>
        </is>
      </c>
      <c r="P257" s="25" t="inlineStr">
        <is>
          <t>Cyclical in an Upturn</t>
        </is>
      </c>
      <c r="Q257" s="25">
        <f>IF(P257="Growing Industry",10,IF(P257="Cyclical in an Upturn",5,0))</f>
        <v/>
      </c>
      <c r="R257" s="25" t="inlineStr">
        <is>
          <t>Too Many Players with High ROCE</t>
        </is>
      </c>
      <c r="S257" s="25">
        <f>IF(R257="Monopoly",10,IF(R257="Oligopoly",5,IF(R257="Duopoly that cooperate",10,IF(R257="Duopoly that compete",5,IF(R257="Too many players with High ROCE",5,0)))))</f>
        <v/>
      </c>
      <c r="T257" s="25" t="inlineStr">
        <is>
          <t>No</t>
        </is>
      </c>
      <c r="U257" s="25">
        <f>IF(T257="No",5,0)</f>
        <v/>
      </c>
      <c r="V257" s="25" t="inlineStr">
        <is>
          <t>Tailwind</t>
        </is>
      </c>
      <c r="W257" s="25">
        <f>IF(V257="Tailwind",10,0)</f>
        <v/>
      </c>
      <c r="X257" s="25" t="inlineStr">
        <is>
          <t>Cyclical</t>
        </is>
      </c>
      <c r="Y257" s="25">
        <f>IF(X257="Structural (10 Years Consistency)",10,IF(X257="Shallow Cyclical (2 to 3 years growth)",5,0))</f>
        <v/>
      </c>
      <c r="Z257" s="25" t="inlineStr">
        <is>
          <t>No</t>
        </is>
      </c>
      <c r="AA257" s="25">
        <f>IF(Z257="Yes due to Product Mix change or Operating Leverage",10,IF(Z257="Yes, these are peak margins",-5,IF(Z257="No",5,0)))</f>
        <v/>
      </c>
      <c r="AB257" s="25" t="inlineStr">
        <is>
          <t>Volatile</t>
        </is>
      </c>
      <c r="AC257" s="25">
        <f>IF(AB257="Stable",10,0)</f>
        <v/>
      </c>
      <c r="AD257" s="25" t="inlineStr">
        <is>
          <t>Yes</t>
        </is>
      </c>
      <c r="AE257" s="25">
        <f>IF(AD257="Yes",10,0)</f>
        <v/>
      </c>
      <c r="AF257" s="25" t="inlineStr">
        <is>
          <t>B2B</t>
        </is>
      </c>
      <c r="AG257" s="25">
        <f>IF(AF257="B2C",10,IF(AF257="B2B",5,0))</f>
        <v/>
      </c>
      <c r="AH257" s="25" t="inlineStr">
        <is>
          <t>Yes</t>
        </is>
      </c>
      <c r="AI257" s="25">
        <f>IF(AH257="Yes",10,0)</f>
        <v/>
      </c>
      <c r="AJ257" s="25" t="inlineStr">
        <is>
          <t>Higher One Time, Lower Annuity</t>
        </is>
      </c>
      <c r="AK257" s="25">
        <f>IF(AJ257="Fully Annuity",10,IF(AJ257="Higher Annuity, Lower One Time",5,IF(AJ257="Higher One Time, Lower Annuity",3,0)))</f>
        <v/>
      </c>
      <c r="AL257" s="25" t="inlineStr">
        <is>
          <t>Good</t>
        </is>
      </c>
      <c r="AM257" s="25">
        <f>IF(AL257="Good",10,0)</f>
        <v/>
      </c>
      <c r="AN257" s="25" t="inlineStr">
        <is>
          <t>Yes for more than 2 years</t>
        </is>
      </c>
      <c r="AO257" s="25">
        <f>IF(AN257="Yes for more than 2 years",10,IF(AN257="Yes only for next 1 to 2 years",5,0))</f>
        <v/>
      </c>
      <c r="AP257" s="25" t="inlineStr">
        <is>
          <t>20 to 40</t>
        </is>
      </c>
      <c r="AQ257" s="25">
        <f>IF(AP257="Above 40",20,IF(AP257="20 to 40",10,IF(AP257="0 to 20",-5,0)))</f>
        <v/>
      </c>
      <c r="AR257" s="25" t="inlineStr">
        <is>
          <t>Between 50 to 75</t>
        </is>
      </c>
      <c r="AS257" s="25">
        <f>IF(AR257="Between 50 to 75",10,IF(AR257="Above 75",0,0))</f>
        <v/>
      </c>
      <c r="AT257" s="25" t="inlineStr">
        <is>
          <t>Stage 2</t>
        </is>
      </c>
      <c r="AU257" s="25">
        <f>IF(AT257="Stage 2",20,IF(AT257="Stage 1",0,IF(AT257="Stage 3",5,IF(AT257="Stage 4",-5,0))))</f>
        <v/>
      </c>
      <c r="AV257" s="25" t="inlineStr">
        <is>
          <t>Positive Trend</t>
        </is>
      </c>
      <c r="AW257" s="25">
        <f>IF(AV257="Positive Trend",20,IF(AV257="Negative Trend",-10,0))</f>
        <v/>
      </c>
      <c r="AX257" s="25" t="inlineStr">
        <is>
          <t>Uptrend</t>
        </is>
      </c>
      <c r="AY257" s="25">
        <f>IF(AX257="Uptrend",10,IF(AX257="Sideways",5,0))</f>
        <v/>
      </c>
      <c r="AZ257" s="25" t="inlineStr">
        <is>
          <t>Uptrend</t>
        </is>
      </c>
      <c r="BA257" s="25">
        <f>IF(AZ257="Uptrend",10,IF(AZ257="Sideways",5,0))</f>
        <v/>
      </c>
      <c r="BB257" s="25" t="inlineStr">
        <is>
          <t>Blue sky scenario</t>
        </is>
      </c>
      <c r="BC257" s="25">
        <f>IF(BB257="Overhead supply in last 2 years in last 2 years",-5,IF(BB257="Close to 52 week high or retracement",5,IF(BB257="Blue sky scenario",10,IF(BB257="Long term Downtrend",-10,0))))</f>
        <v/>
      </c>
      <c r="BD257" s="25" t="inlineStr">
        <is>
          <t>Yes</t>
        </is>
      </c>
      <c r="BE257" s="25">
        <f>IF(BD257="Yes",10,0)</f>
        <v/>
      </c>
      <c r="BF257" s="25" t="inlineStr">
        <is>
          <t>More than 20%</t>
        </is>
      </c>
      <c r="BG257" s="25">
        <f>IF(BF257="More than 20%",10,IF(BF257="Between 12 to 20%",5,IF(BF257="Less than 12%",0,0)))</f>
        <v/>
      </c>
      <c r="BH257" s="25" t="inlineStr">
        <is>
          <t>No</t>
        </is>
      </c>
      <c r="BI257" s="25">
        <f>IF(BH257="No",10,0)</f>
        <v/>
      </c>
      <c r="BJ257" s="25" t="inlineStr">
        <is>
          <t>No</t>
        </is>
      </c>
      <c r="BK257" s="25">
        <f>IF(BJ257="NO",5,0)</f>
        <v/>
      </c>
      <c r="BL257" s="25" t="inlineStr">
        <is>
          <t>Less than 1.5</t>
        </is>
      </c>
      <c r="BM257" s="25">
        <f>IF(BL257="Above 2",0,IF(BL257="Between 1.5 to 2",5,IF(BL257="Less than 1.5",10,0)))</f>
        <v/>
      </c>
      <c r="BN257" s="25" t="inlineStr">
        <is>
          <t>Less than 50% and Borrowings are increasing</t>
        </is>
      </c>
      <c r="BO257" s="25">
        <f>IF(BN257="Above 70%",10,IF(BN257="Between 50% to 70%",5,IF(BN257="Less than 50%",0,IF(BN257="Negative",-10,IF(BN257="Less than 50% and Borrowings are increasing",-5,0)))))</f>
        <v/>
      </c>
      <c r="BP257" s="25" t="inlineStr">
        <is>
          <t>More than 1.2</t>
        </is>
      </c>
      <c r="BQ257" s="25">
        <f>IF(BP257="More than 1.2",-10,IF(BP257="Between 0.7 to 1.2",0,IF(BP257="Less than 0.7",10,0)))</f>
        <v/>
      </c>
      <c r="BR257" s="25" t="inlineStr">
        <is>
          <t>No</t>
        </is>
      </c>
      <c r="BS257" s="25">
        <f>IF(BR257="Yes",-10,0)</f>
        <v/>
      </c>
      <c r="BT257" s="25" t="inlineStr">
        <is>
          <t>Less than 15%</t>
        </is>
      </c>
      <c r="BU257" s="25">
        <f>IF(BT257="More than 15%",-10,IF(BT257="Less than 15%",10,0))</f>
        <v/>
      </c>
      <c r="BV257" s="25" t="inlineStr">
        <is>
          <t>No</t>
        </is>
      </c>
      <c r="BW257" s="25">
        <f>IF(BV257="Yes, more than 10%",-10,IF(BV257="No",10,0))</f>
        <v/>
      </c>
    </row>
    <row r="258">
      <c r="A258" s="25">
        <f>IF(B258=0,"",RANK(B258,$B$2:$B$292,0))</f>
        <v/>
      </c>
      <c r="B258" s="26">
        <f>SUM(Q258,S258,U258,W258,Y258,AA258,AC258,AE258,AG258,AI258,AK258,AM258,AO258,AQ258,AS258,AU258,AW258,AY258,BA258,BC258,BE258,BG258,BI258,BK258,BM258,BO258,BQ258,BS258,BU258,BW258)</f>
        <v/>
      </c>
      <c r="C258" s="25" t="inlineStr">
        <is>
          <t>ONESOURCE</t>
        </is>
      </c>
      <c r="D258" s="25" t="inlineStr">
        <is>
          <t>OneSource Specialty Pharma Ltd</t>
        </is>
      </c>
      <c r="E258" s="25" t="inlineStr">
        <is>
          <t>healthcare</t>
        </is>
      </c>
      <c r="F258" s="25" t="inlineStr">
        <is>
          <t>pharmaceuticals - indian - bulk drugs &amp; formln</t>
        </is>
      </c>
      <c r="G258" s="25" t="inlineStr">
        <is>
          <t>largecap</t>
        </is>
      </c>
      <c r="H258" s="26" t="n">
        <v>21065.08</v>
      </c>
      <c r="I258" s="26" t="n">
        <v>1828.6</v>
      </c>
      <c r="J258" s="26" t="n">
        <v>-0.5</v>
      </c>
      <c r="K258" s="26" t="n">
        <v>364118</v>
      </c>
      <c r="L258" s="26" t="n">
        <v>59.51</v>
      </c>
      <c r="M258" s="26" t="n">
        <v>17.2</v>
      </c>
      <c r="N258" s="26" t="n">
        <v>1354.08</v>
      </c>
      <c r="O258" s="25" t="inlineStr">
        <is>
          <t>Earnings / Momentum Support</t>
        </is>
      </c>
      <c r="P258" s="25" t="inlineStr">
        <is>
          <t>Growing Industry</t>
        </is>
      </c>
      <c r="Q258" s="25">
        <f>IF(P258="Growing Industry",10,IF(P258="Cyclical in an Upturn",5,0))</f>
        <v/>
      </c>
      <c r="R258" s="25" t="inlineStr">
        <is>
          <t>Too Many Players with High ROCE</t>
        </is>
      </c>
      <c r="S258" s="25">
        <f>IF(R258="Monopoly",10,IF(R258="Oligopoly",5,IF(R258="Duopoly that cooperate",10,IF(R258="Duopoly that compete",5,IF(R258="Too many players with High ROCE",5,0)))))</f>
        <v/>
      </c>
      <c r="T258" s="25" t="inlineStr">
        <is>
          <t>Yes</t>
        </is>
      </c>
      <c r="U258" s="25">
        <f>IF(T258="No",5,0)</f>
        <v/>
      </c>
      <c r="V258" s="25" t="inlineStr">
        <is>
          <t>Tailwind</t>
        </is>
      </c>
      <c r="W258" s="25">
        <f>IF(V258="Tailwind",10,0)</f>
        <v/>
      </c>
      <c r="X258" s="25" t="inlineStr">
        <is>
          <t>Structural (10 Years Consistency)</t>
        </is>
      </c>
      <c r="Y258" s="25">
        <f>IF(X258="Structural (10 Years Consistency)",10,IF(X258="Shallow Cyclical (2 to 3 years growth)",5,0))</f>
        <v/>
      </c>
      <c r="Z258" s="25" t="inlineStr">
        <is>
          <t>No</t>
        </is>
      </c>
      <c r="AA258" s="25">
        <f>IF(Z258="Yes due to Product Mix change or Operating Leverage",10,IF(Z258="Yes, these are peak margins",-5,IF(Z258="No",5,0)))</f>
        <v/>
      </c>
      <c r="AB258" s="25" t="inlineStr">
        <is>
          <t>Stable</t>
        </is>
      </c>
      <c r="AC258" s="25">
        <f>IF(AB258="Stable",10,0)</f>
        <v/>
      </c>
      <c r="AD258" s="25" t="inlineStr">
        <is>
          <t>Yes</t>
        </is>
      </c>
      <c r="AE258" s="25">
        <f>IF(AD258="Yes",10,0)</f>
        <v/>
      </c>
      <c r="AF258" s="25" t="inlineStr">
        <is>
          <t>B2B</t>
        </is>
      </c>
      <c r="AG258" s="25">
        <f>IF(AF258="B2C",10,IF(AF258="B2B",5,0))</f>
        <v/>
      </c>
      <c r="AH258" s="25" t="inlineStr">
        <is>
          <t>No</t>
        </is>
      </c>
      <c r="AI258" s="25">
        <f>IF(AH258="Yes",10,0)</f>
        <v/>
      </c>
      <c r="AJ258" s="25" t="inlineStr">
        <is>
          <t>Higher Annuity, Lower One Time</t>
        </is>
      </c>
      <c r="AK258" s="25">
        <f>IF(AJ258="Fully Annuity",10,IF(AJ258="Higher Annuity, Lower One Time",5,IF(AJ258="Higher One Time, Lower Annuity",3,0)))</f>
        <v/>
      </c>
      <c r="AL258" s="25" t="inlineStr">
        <is>
          <t>Good</t>
        </is>
      </c>
      <c r="AM258" s="25">
        <f>IF(AL258="Good",10,0)</f>
        <v/>
      </c>
      <c r="AN258" s="25" t="inlineStr">
        <is>
          <t>Yes for more than 2 years</t>
        </is>
      </c>
      <c r="AO258" s="25">
        <f>IF(AN258="Yes for more than 2 years",10,IF(AN258="Yes only for next 1 to 2 years",5,0))</f>
        <v/>
      </c>
      <c r="AP258" s="25" t="inlineStr">
        <is>
          <t>0 to 20</t>
        </is>
      </c>
      <c r="AQ258" s="25">
        <f>IF(AP258="Above 40",20,IF(AP258="20 to 40",10,IF(AP258="0 to 20",-5,0)))</f>
        <v/>
      </c>
      <c r="AR258" s="25" t="inlineStr">
        <is>
          <t>Between 50 to 75</t>
        </is>
      </c>
      <c r="AS258" s="25">
        <f>IF(AR258="Between 50 to 75",10,IF(AR258="Above 75",0,0))</f>
        <v/>
      </c>
      <c r="AT258" s="25" t="inlineStr">
        <is>
          <t>Stage 2</t>
        </is>
      </c>
      <c r="AU258" s="25">
        <f>IF(AT258="Stage 2",20,IF(AT258="Stage 1",0,IF(AT258="Stage 3",5,IF(AT258="Stage 4",-5,0))))</f>
        <v/>
      </c>
      <c r="AV258" s="25" t="inlineStr">
        <is>
          <t>Negative Trend</t>
        </is>
      </c>
      <c r="AW258" s="25">
        <f>IF(AV258="Positive Trend",20,IF(AV258="Negative Trend",-10,0))</f>
        <v/>
      </c>
      <c r="AX258" s="25" t="inlineStr">
        <is>
          <t>Uptrend</t>
        </is>
      </c>
      <c r="AY258" s="25">
        <f>IF(AX258="Uptrend",10,IF(AX258="Sideways",5,0))</f>
        <v/>
      </c>
      <c r="AZ258" s="25" t="inlineStr">
        <is>
          <t>Uptrend</t>
        </is>
      </c>
      <c r="BA258" s="25">
        <f>IF(AZ258="Uptrend",10,IF(AZ258="Sideways",5,0))</f>
        <v/>
      </c>
      <c r="BB258" s="25" t="inlineStr">
        <is>
          <t>Close to 52 week high or retracement</t>
        </is>
      </c>
      <c r="BC258" s="25">
        <f>IF(BB258="Overhead supply in last 2 years in last 2 years",-5,IF(BB258="Close to 52 week high or retracement",5,IF(BB258="Blue sky scenario",10,IF(BB258="Long term Downtrend",-10,0))))</f>
        <v/>
      </c>
      <c r="BD258" s="25" t="inlineStr">
        <is>
          <t>Yes</t>
        </is>
      </c>
      <c r="BE258" s="25">
        <f>IF(BD258="Yes",10,0)</f>
        <v/>
      </c>
      <c r="BF258" s="25" t="inlineStr">
        <is>
          <t>More than 20%</t>
        </is>
      </c>
      <c r="BG258" s="25">
        <f>IF(BF258="More than 20%",10,IF(BF258="Between 12 to 20%",5,IF(BF258="Less than 12%",0,0)))</f>
        <v/>
      </c>
      <c r="BH258" s="25" t="inlineStr">
        <is>
          <t>No</t>
        </is>
      </c>
      <c r="BI258" s="25">
        <f>IF(BH258="No",10,0)</f>
        <v/>
      </c>
      <c r="BJ258" s="25" t="inlineStr">
        <is>
          <t>No</t>
        </is>
      </c>
      <c r="BK258" s="25">
        <f>IF(BJ258="NO",5,0)</f>
        <v/>
      </c>
      <c r="BL258" s="25" t="inlineStr">
        <is>
          <t>Less than 1.5</t>
        </is>
      </c>
      <c r="BM258" s="25">
        <f>IF(BL258="Above 2",0,IF(BL258="Between 1.5 to 2",5,IF(BL258="Less than 1.5",10,0)))</f>
        <v/>
      </c>
      <c r="BN258" s="25" t="inlineStr">
        <is>
          <t>Above 70%</t>
        </is>
      </c>
      <c r="BO258" s="25">
        <f>IF(BN258="Above 70%",10,IF(BN258="Between 50% to 70%",5,IF(BN258="Less than 50%",0,IF(BN258="Negative",-10,IF(BN258="Less than 50% and Borrowings are increasing",-5,0)))))</f>
        <v/>
      </c>
      <c r="BP258" s="25" t="inlineStr">
        <is>
          <t>Less than 0.7</t>
        </is>
      </c>
      <c r="BQ258" s="25">
        <f>IF(BP258="More than 1.2",-10,IF(BP258="Between 0.7 to 1.2",0,IF(BP258="Less than 0.7",10,0)))</f>
        <v/>
      </c>
      <c r="BR258" s="25" t="inlineStr">
        <is>
          <t>No</t>
        </is>
      </c>
      <c r="BS258" s="25">
        <f>IF(BR258="Yes",-10,0)</f>
        <v/>
      </c>
      <c r="BT258" s="25" t="inlineStr">
        <is>
          <t>Less than 15%</t>
        </is>
      </c>
      <c r="BU258" s="25">
        <f>IF(BT258="More than 15%",-10,IF(BT258="Less than 15%",10,0))</f>
        <v/>
      </c>
      <c r="BV258" s="25" t="inlineStr">
        <is>
          <t>No</t>
        </is>
      </c>
      <c r="BW258" s="25">
        <f>IF(BV258="Yes, more than 10%",-10,IF(BV258="No",10,0))</f>
        <v/>
      </c>
    </row>
    <row r="259">
      <c r="A259" s="25">
        <f>IF(B259=0,"",RANK(B259,$B$2:$B$292,0))</f>
        <v/>
      </c>
      <c r="B259" s="26">
        <f>SUM(Q259,S259,U259,W259,Y259,AA259,AC259,AE259,AG259,AI259,AK259,AM259,AO259,AQ259,AS259,AU259,AW259,AY259,BA259,BC259,BE259,BG259,BI259,BK259,BM259,BO259,BQ259,BS259,BU259,BW259)</f>
        <v/>
      </c>
      <c r="C259" s="25" t="inlineStr">
        <is>
          <t>SILVERTUC</t>
        </is>
      </c>
      <c r="D259" s="25" t="inlineStr">
        <is>
          <t>Silver Touch Technologies Ltd</t>
        </is>
      </c>
      <c r="E259" s="25" t="inlineStr">
        <is>
          <t>i.t</t>
        </is>
      </c>
      <c r="F259" s="25" t="inlineStr">
        <is>
          <t>computers - software - medium / small</t>
        </is>
      </c>
      <c r="G259" s="25" t="inlineStr">
        <is>
          <t>smallcap</t>
        </is>
      </c>
      <c r="H259" s="26" t="n">
        <v>2240.99</v>
      </c>
      <c r="I259" s="26" t="n">
        <v>174.83</v>
      </c>
      <c r="J259" s="26" t="n">
        <v>-1.07</v>
      </c>
      <c r="K259" s="26" t="n">
        <v>1036095</v>
      </c>
      <c r="L259" s="26" t="n">
        <v>37.32</v>
      </c>
      <c r="M259" s="26" t="n">
        <v>45.38</v>
      </c>
      <c r="N259" s="26" t="n">
        <v>49.81</v>
      </c>
      <c r="O259" s="25" t="inlineStr">
        <is>
          <t>Earnings / Momentum Support</t>
        </is>
      </c>
      <c r="P259" s="25" t="inlineStr">
        <is>
          <t>Growing Industry</t>
        </is>
      </c>
      <c r="Q259" s="25">
        <f>IF(P259="Growing Industry",10,IF(P259="Cyclical in an Upturn",5,0))</f>
        <v/>
      </c>
      <c r="R259" s="25" t="inlineStr">
        <is>
          <t>Too Many Players with High ROCE</t>
        </is>
      </c>
      <c r="S259" s="25">
        <f>IF(R259="Monopoly",10,IF(R259="Oligopoly",5,IF(R259="Duopoly that cooperate",10,IF(R259="Duopoly that compete",5,IF(R259="Too many players with High ROCE",5,0)))))</f>
        <v/>
      </c>
      <c r="T259" s="25" t="inlineStr">
        <is>
          <t>No</t>
        </is>
      </c>
      <c r="U259" s="25">
        <f>IF(T259="No",5,0)</f>
        <v/>
      </c>
      <c r="V259" s="25" t="inlineStr">
        <is>
          <t>Headwind</t>
        </is>
      </c>
      <c r="W259" s="25">
        <f>IF(V259="Tailwind",10,0)</f>
        <v/>
      </c>
      <c r="X259" s="25" t="inlineStr">
        <is>
          <t>Structural (10 Years Consistency)</t>
        </is>
      </c>
      <c r="Y259" s="25">
        <f>IF(X259="Structural (10 Years Consistency)",10,IF(X259="Shallow Cyclical (2 to 3 years growth)",5,0))</f>
        <v/>
      </c>
      <c r="Z259" s="25" t="inlineStr">
        <is>
          <t>No</t>
        </is>
      </c>
      <c r="AA259" s="25">
        <f>IF(Z259="Yes due to Product Mix change or Operating Leverage",10,IF(Z259="Yes, these are peak margins",-5,IF(Z259="No",5,0)))</f>
        <v/>
      </c>
      <c r="AB259" s="25" t="inlineStr">
        <is>
          <t>Stable</t>
        </is>
      </c>
      <c r="AC259" s="25">
        <f>IF(AB259="Stable",10,0)</f>
        <v/>
      </c>
      <c r="AD259" s="25" t="inlineStr">
        <is>
          <t>Yes</t>
        </is>
      </c>
      <c r="AE259" s="25">
        <f>IF(AD259="Yes",10,0)</f>
        <v/>
      </c>
      <c r="AF259" s="25" t="inlineStr">
        <is>
          <t>B2B</t>
        </is>
      </c>
      <c r="AG259" s="25">
        <f>IF(AF259="B2C",10,IF(AF259="B2B",5,0))</f>
        <v/>
      </c>
      <c r="AH259" s="25" t="inlineStr">
        <is>
          <t>No</t>
        </is>
      </c>
      <c r="AI259" s="25">
        <f>IF(AH259="Yes",10,0)</f>
        <v/>
      </c>
      <c r="AJ259" s="25" t="inlineStr">
        <is>
          <t>Higher Annuity, Lower One Time</t>
        </is>
      </c>
      <c r="AK259" s="25">
        <f>IF(AJ259="Fully Annuity",10,IF(AJ259="Higher Annuity, Lower One Time",5,IF(AJ259="Higher One Time, Lower Annuity",3,0)))</f>
        <v/>
      </c>
      <c r="AL259" s="25" t="inlineStr">
        <is>
          <t>Good</t>
        </is>
      </c>
      <c r="AM259" s="25">
        <f>IF(AL259="Good",10,0)</f>
        <v/>
      </c>
      <c r="AN259" s="25" t="inlineStr">
        <is>
          <t>Yes for more than 2 years</t>
        </is>
      </c>
      <c r="AO259" s="25">
        <f>IF(AN259="Yes for more than 2 years",10,IF(AN259="Yes only for next 1 to 2 years",5,0))</f>
        <v/>
      </c>
      <c r="AP259" s="25" t="inlineStr">
        <is>
          <t>Above 40</t>
        </is>
      </c>
      <c r="AQ259" s="25">
        <f>IF(AP259="Above 40",20,IF(AP259="20 to 40",10,IF(AP259="0 to 20",-5,0)))</f>
        <v/>
      </c>
      <c r="AR259" s="25" t="inlineStr">
        <is>
          <t>Below 45</t>
        </is>
      </c>
      <c r="AS259" s="25">
        <f>IF(AR259="Between 50 to 75",10,IF(AR259="Above 75",0,0))</f>
        <v/>
      </c>
      <c r="AT259" s="25" t="inlineStr">
        <is>
          <t>Stage 4</t>
        </is>
      </c>
      <c r="AU259" s="25">
        <f>IF(AT259="Stage 2",20,IF(AT259="Stage 1",0,IF(AT259="Stage 3",5,IF(AT259="Stage 4",-5,0))))</f>
        <v/>
      </c>
      <c r="AV259" s="25" t="inlineStr">
        <is>
          <t>Positive Trend</t>
        </is>
      </c>
      <c r="AW259" s="25">
        <f>IF(AV259="Positive Trend",20,IF(AV259="Negative Trend",-10,0))</f>
        <v/>
      </c>
      <c r="AX259" s="25" t="inlineStr">
        <is>
          <t>Uptrend</t>
        </is>
      </c>
      <c r="AY259" s="25">
        <f>IF(AX259="Uptrend",10,IF(AX259="Sideways",5,0))</f>
        <v/>
      </c>
      <c r="AZ259" s="25" t="inlineStr">
        <is>
          <t>Uptrend</t>
        </is>
      </c>
      <c r="BA259" s="25">
        <f>IF(AZ259="Uptrend",10,IF(AZ259="Sideways",5,0))</f>
        <v/>
      </c>
      <c r="BB259" s="25" t="inlineStr">
        <is>
          <t>Close to 52 week high or retracement</t>
        </is>
      </c>
      <c r="BC259" s="25">
        <f>IF(BB259="Overhead supply in last 2 years in last 2 years",-5,IF(BB259="Close to 52 week high or retracement",5,IF(BB259="Blue sky scenario",10,IF(BB259="Long term Downtrend",-10,0))))</f>
        <v/>
      </c>
      <c r="BD259" s="25" t="inlineStr">
        <is>
          <t>Yes</t>
        </is>
      </c>
      <c r="BE259" s="25">
        <f>IF(BD259="Yes",10,0)</f>
        <v/>
      </c>
      <c r="BF259" s="25" t="inlineStr">
        <is>
          <t>More than 20%</t>
        </is>
      </c>
      <c r="BG259" s="25">
        <f>IF(BF259="More than 20%",10,IF(BF259="Between 12 to 20%",5,IF(BF259="Less than 12%",0,0)))</f>
        <v/>
      </c>
      <c r="BH259" s="25" t="inlineStr">
        <is>
          <t>No</t>
        </is>
      </c>
      <c r="BI259" s="25">
        <f>IF(BH259="No",10,0)</f>
        <v/>
      </c>
      <c r="BJ259" s="25" t="inlineStr">
        <is>
          <t>Yes</t>
        </is>
      </c>
      <c r="BK259" s="25">
        <f>IF(BJ259="NO",5,0)</f>
        <v/>
      </c>
      <c r="BL259" s="25" t="inlineStr">
        <is>
          <t>Less than 1.5</t>
        </is>
      </c>
      <c r="BM259" s="25">
        <f>IF(BL259="Above 2",0,IF(BL259="Between 1.5 to 2",5,IF(BL259="Less than 1.5",10,0)))</f>
        <v/>
      </c>
      <c r="BN259" s="25" t="inlineStr">
        <is>
          <t>Less than 50%</t>
        </is>
      </c>
      <c r="BO259" s="25">
        <f>IF(BN259="Above 70%",10,IF(BN259="Between 50% to 70%",5,IF(BN259="Less than 50%",0,IF(BN259="Negative",-10,IF(BN259="Less than 50% and Borrowings are increasing",-5,0)))))</f>
        <v/>
      </c>
      <c r="BP259" s="25" t="inlineStr">
        <is>
          <t>Less than 0.7</t>
        </is>
      </c>
      <c r="BQ259" s="25">
        <f>IF(BP259="More than 1.2",-10,IF(BP259="Between 0.7 to 1.2",0,IF(BP259="Less than 0.7",10,0)))</f>
        <v/>
      </c>
      <c r="BR259" s="25" t="inlineStr">
        <is>
          <t>No</t>
        </is>
      </c>
      <c r="BS259" s="25">
        <f>IF(BR259="Yes",-10,0)</f>
        <v/>
      </c>
      <c r="BT259" s="25" t="inlineStr">
        <is>
          <t>Less than 15%</t>
        </is>
      </c>
      <c r="BU259" s="25">
        <f>IF(BT259="More than 15%",-10,IF(BT259="Less than 15%",10,0))</f>
        <v/>
      </c>
      <c r="BV259" s="25" t="inlineStr">
        <is>
          <t>No</t>
        </is>
      </c>
      <c r="BW259" s="25">
        <f>IF(BV259="Yes, more than 10%",-10,IF(BV259="No",10,0))</f>
        <v/>
      </c>
    </row>
    <row r="260">
      <c r="A260" s="25">
        <f>IF(B260=0,"",RANK(B260,$B$2:$B$292,0))</f>
        <v/>
      </c>
      <c r="B260" s="26">
        <f>SUM(Q260,S260,U260,W260,Y260,AA260,AC260,AE260,AG260,AI260,AK260,AM260,AO260,AQ260,AS260,AU260,AW260,AY260,BA260,BC260,BE260,BG260,BI260,BK260,BM260,BO260,BQ260,BS260,BU260,BW260)</f>
        <v/>
      </c>
      <c r="C260" s="25" t="inlineStr">
        <is>
          <t>DIAMONDYD</t>
        </is>
      </c>
      <c r="D260" s="25" t="inlineStr">
        <is>
          <t>Prataap Snacks Ltd</t>
        </is>
      </c>
      <c r="E260" s="25" t="inlineStr">
        <is>
          <t>fmcg</t>
        </is>
      </c>
      <c r="F260" s="25" t="inlineStr">
        <is>
          <t>food - processing - indian</t>
        </is>
      </c>
      <c r="G260" s="25" t="inlineStr">
        <is>
          <t>smallcap</t>
        </is>
      </c>
      <c r="H260" s="26" t="n">
        <v>2636.56</v>
      </c>
      <c r="I260" s="26" t="n">
        <v>1087.1</v>
      </c>
      <c r="J260" s="26" t="n">
        <v>-1.44</v>
      </c>
      <c r="K260" s="26" t="n">
        <v>49277</v>
      </c>
      <c r="L260" s="26" t="n">
        <v>56.84</v>
      </c>
      <c r="M260" s="26" t="n">
        <v>17.34</v>
      </c>
      <c r="N260" s="26" t="n">
        <v>873.89</v>
      </c>
      <c r="O260" s="25" t="inlineStr">
        <is>
          <t>Earnings / Momentum Support</t>
        </is>
      </c>
      <c r="P260" s="25" t="inlineStr">
        <is>
          <t>Growing Industry</t>
        </is>
      </c>
      <c r="Q260" s="25">
        <f>IF(P260="Growing Industry",10,IF(P260="Cyclical in an Upturn",5,0))</f>
        <v/>
      </c>
      <c r="R260" s="25" t="inlineStr">
        <is>
          <t>Too Many Players with High ROCE</t>
        </is>
      </c>
      <c r="S260" s="25">
        <f>IF(R260="Monopoly",10,IF(R260="Oligopoly",5,IF(R260="Duopoly that cooperate",10,IF(R260="Duopoly that compete",5,IF(R260="Too many players with High ROCE",5,0)))))</f>
        <v/>
      </c>
      <c r="T260" s="25" t="inlineStr">
        <is>
          <t>No</t>
        </is>
      </c>
      <c r="U260" s="25">
        <f>IF(T260="No",5,0)</f>
        <v/>
      </c>
      <c r="V260" s="25" t="inlineStr">
        <is>
          <t>Headwind</t>
        </is>
      </c>
      <c r="W260" s="25">
        <f>IF(V260="Tailwind",10,0)</f>
        <v/>
      </c>
      <c r="X260" s="25" t="inlineStr">
        <is>
          <t>Structural (10 Years Consistency)</t>
        </is>
      </c>
      <c r="Y260" s="25">
        <f>IF(X260="Structural (10 Years Consistency)",10,IF(X260="Shallow Cyclical (2 to 3 years growth)",5,0))</f>
        <v/>
      </c>
      <c r="Z260" s="25" t="inlineStr">
        <is>
          <t>No</t>
        </is>
      </c>
      <c r="AA260" s="25">
        <f>IF(Z260="Yes due to Product Mix change or Operating Leverage",10,IF(Z260="Yes, these are peak margins",-5,IF(Z260="No",5,0)))</f>
        <v/>
      </c>
      <c r="AB260" s="25" t="inlineStr">
        <is>
          <t>Stable</t>
        </is>
      </c>
      <c r="AC260" s="25">
        <f>IF(AB260="Stable",10,0)</f>
        <v/>
      </c>
      <c r="AD260" s="25" t="inlineStr">
        <is>
          <t>Yes</t>
        </is>
      </c>
      <c r="AE260" s="25">
        <f>IF(AD260="Yes",10,0)</f>
        <v/>
      </c>
      <c r="AF260" s="25" t="inlineStr">
        <is>
          <t>B2C</t>
        </is>
      </c>
      <c r="AG260" s="25">
        <f>IF(AF260="B2C",10,IF(AF260="B2B",5,0))</f>
        <v/>
      </c>
      <c r="AH260" s="25" t="inlineStr">
        <is>
          <t>No</t>
        </is>
      </c>
      <c r="AI260" s="25">
        <f>IF(AH260="Yes",10,0)</f>
        <v/>
      </c>
      <c r="AJ260" s="25" t="inlineStr">
        <is>
          <t>Higher Annuity, Lower One Time</t>
        </is>
      </c>
      <c r="AK260" s="25">
        <f>IF(AJ260="Fully Annuity",10,IF(AJ260="Higher Annuity, Lower One Time",5,IF(AJ260="Higher One Time, Lower Annuity",3,0)))</f>
        <v/>
      </c>
      <c r="AL260" s="25" t="inlineStr">
        <is>
          <t>Good</t>
        </is>
      </c>
      <c r="AM260" s="25">
        <f>IF(AL260="Good",10,0)</f>
        <v/>
      </c>
      <c r="AN260" s="25" t="inlineStr">
        <is>
          <t>Yes for more than 2 years</t>
        </is>
      </c>
      <c r="AO260" s="25">
        <f>IF(AN260="Yes for more than 2 years",10,IF(AN260="Yes only for next 1 to 2 years",5,0))</f>
        <v/>
      </c>
      <c r="AP260" s="25" t="inlineStr">
        <is>
          <t>0 to 20</t>
        </is>
      </c>
      <c r="AQ260" s="25">
        <f>IF(AP260="Above 40",20,IF(AP260="20 to 40",10,IF(AP260="0 to 20",-5,0)))</f>
        <v/>
      </c>
      <c r="AR260" s="25" t="inlineStr">
        <is>
          <t>Between 50 to 75</t>
        </is>
      </c>
      <c r="AS260" s="25">
        <f>IF(AR260="Between 50 to 75",10,IF(AR260="Above 75",0,0))</f>
        <v/>
      </c>
      <c r="AT260" s="25" t="inlineStr">
        <is>
          <t>Stage 1</t>
        </is>
      </c>
      <c r="AU260" s="25">
        <f>IF(AT260="Stage 2",20,IF(AT260="Stage 1",0,IF(AT260="Stage 3",5,IF(AT260="Stage 4",-5,0))))</f>
        <v/>
      </c>
      <c r="AV260" s="25" t="inlineStr">
        <is>
          <t>Positive Trend</t>
        </is>
      </c>
      <c r="AW260" s="25">
        <f>IF(AV260="Positive Trend",20,IF(AV260="Negative Trend",-10,0))</f>
        <v/>
      </c>
      <c r="AX260" s="25" t="inlineStr">
        <is>
          <t>Uptrend</t>
        </is>
      </c>
      <c r="AY260" s="25">
        <f>IF(AX260="Uptrend",10,IF(AX260="Sideways",5,0))</f>
        <v/>
      </c>
      <c r="AZ260" s="25" t="inlineStr">
        <is>
          <t>Uptrend</t>
        </is>
      </c>
      <c r="BA260" s="25">
        <f>IF(AZ260="Uptrend",10,IF(AZ260="Sideways",5,0))</f>
        <v/>
      </c>
      <c r="BB260" s="25" t="inlineStr">
        <is>
          <t>Close to 52 week high or retracement</t>
        </is>
      </c>
      <c r="BC260" s="25">
        <f>IF(BB260="Overhead supply in last 2 years in last 2 years",-5,IF(BB260="Close to 52 week high or retracement",5,IF(BB260="Blue sky scenario",10,IF(BB260="Long term Downtrend",-10,0))))</f>
        <v/>
      </c>
      <c r="BD260" s="25" t="inlineStr">
        <is>
          <t>Yes</t>
        </is>
      </c>
      <c r="BE260" s="25">
        <f>IF(BD260="Yes",10,0)</f>
        <v/>
      </c>
      <c r="BF260" s="25" t="inlineStr">
        <is>
          <t>More than 20%</t>
        </is>
      </c>
      <c r="BG260" s="25">
        <f>IF(BF260="More than 20%",10,IF(BF260="Between 12 to 20%",5,IF(BF260="Less than 12%",0,0)))</f>
        <v/>
      </c>
      <c r="BH260" s="25" t="inlineStr">
        <is>
          <t>No</t>
        </is>
      </c>
      <c r="BI260" s="25">
        <f>IF(BH260="No",10,0)</f>
        <v/>
      </c>
      <c r="BJ260" s="25" t="inlineStr">
        <is>
          <t>Yes</t>
        </is>
      </c>
      <c r="BK260" s="25">
        <f>IF(BJ260="NO",5,0)</f>
        <v/>
      </c>
      <c r="BL260" s="25" t="inlineStr">
        <is>
          <t>Less than 1.5</t>
        </is>
      </c>
      <c r="BM260" s="25">
        <f>IF(BL260="Above 2",0,IF(BL260="Between 1.5 to 2",5,IF(BL260="Less than 1.5",10,0)))</f>
        <v/>
      </c>
      <c r="BN260" s="25" t="inlineStr">
        <is>
          <t>Between 50% to 70%</t>
        </is>
      </c>
      <c r="BO260" s="25">
        <f>IF(BN260="Above 70%",10,IF(BN260="Between 50% to 70%",5,IF(BN260="Less than 50%",0,IF(BN260="Negative",-10,IF(BN260="Less than 50% and Borrowings are increasing",-5,0)))))</f>
        <v/>
      </c>
      <c r="BP260" s="25" t="inlineStr">
        <is>
          <t>Less than 0.7</t>
        </is>
      </c>
      <c r="BQ260" s="25">
        <f>IF(BP260="More than 1.2",-10,IF(BP260="Between 0.7 to 1.2",0,IF(BP260="Less than 0.7",10,0)))</f>
        <v/>
      </c>
      <c r="BR260" s="25" t="inlineStr">
        <is>
          <t>No</t>
        </is>
      </c>
      <c r="BS260" s="25">
        <f>IF(BR260="Yes",-10,0)</f>
        <v/>
      </c>
      <c r="BT260" s="25" t="inlineStr">
        <is>
          <t>Less than 15%</t>
        </is>
      </c>
      <c r="BU260" s="25">
        <f>IF(BT260="More than 15%",-10,IF(BT260="Less than 15%",10,0))</f>
        <v/>
      </c>
      <c r="BV260" s="25" t="inlineStr">
        <is>
          <t>No</t>
        </is>
      </c>
      <c r="BW260" s="25">
        <f>IF(BV260="Yes, more than 10%",-10,IF(BV260="No",10,0))</f>
        <v/>
      </c>
    </row>
    <row r="261">
      <c r="A261" s="25">
        <f>IF(B261=0,"",RANK(B261,$B$2:$B$292,0))</f>
        <v/>
      </c>
      <c r="B261" s="26">
        <f>SUM(Q261,S261,U261,W261,Y261,AA261,AC261,AE261,AG261,AI261,AK261,AM261,AO261,AQ261,AS261,AU261,AW261,AY261,BA261,BC261,BE261,BG261,BI261,BK261,BM261,BO261,BQ261,BS261,BU261,BW261)</f>
        <v/>
      </c>
      <c r="C261" s="25" t="inlineStr">
        <is>
          <t>TITAGARH</t>
        </is>
      </c>
      <c r="D261" s="25" t="inlineStr">
        <is>
          <t>Titagarh Rail Systems Ltd</t>
        </is>
      </c>
      <c r="E261" s="25" t="inlineStr">
        <is>
          <t>industrials</t>
        </is>
      </c>
      <c r="F261" s="25" t="inlineStr">
        <is>
          <t>engineering</t>
        </is>
      </c>
      <c r="G261" s="25" t="inlineStr">
        <is>
          <t>midcap</t>
        </is>
      </c>
      <c r="H261" s="26" t="n">
        <v>10793.43</v>
      </c>
      <c r="I261" s="26" t="n">
        <v>834.4</v>
      </c>
      <c r="J261" s="26" t="n">
        <v>4.11</v>
      </c>
      <c r="K261" s="26" t="n">
        <v>995607</v>
      </c>
      <c r="L261" s="26" t="n">
        <v>57.18</v>
      </c>
      <c r="M261" s="26" t="n">
        <v>21.44</v>
      </c>
      <c r="N261" s="26" t="n">
        <v>642.26</v>
      </c>
      <c r="O261" s="25" t="inlineStr">
        <is>
          <t>Earnings / Momentum Support</t>
        </is>
      </c>
      <c r="P261" s="25" t="inlineStr">
        <is>
          <t>Cyclical in an Upturn</t>
        </is>
      </c>
      <c r="Q261" s="25">
        <f>IF(P261="Growing Industry",10,IF(P261="Cyclical in an Upturn",5,0))</f>
        <v/>
      </c>
      <c r="R261" s="25" t="inlineStr">
        <is>
          <t>Too Many Players with High ROCE</t>
        </is>
      </c>
      <c r="S261" s="25">
        <f>IF(R261="Monopoly",10,IF(R261="Oligopoly",5,IF(R261="Duopoly that cooperate",10,IF(R261="Duopoly that compete",5,IF(R261="Too many players with High ROCE",5,0)))))</f>
        <v/>
      </c>
      <c r="T261" s="25" t="inlineStr">
        <is>
          <t>No</t>
        </is>
      </c>
      <c r="U261" s="25">
        <f>IF(T261="No",5,0)</f>
        <v/>
      </c>
      <c r="V261" s="25" t="inlineStr">
        <is>
          <t>Tailwind</t>
        </is>
      </c>
      <c r="W261" s="25">
        <f>IF(V261="Tailwind",10,0)</f>
        <v/>
      </c>
      <c r="X261" s="25" t="inlineStr">
        <is>
          <t>Structural (10 Years Consistency)</t>
        </is>
      </c>
      <c r="Y261" s="25">
        <f>IF(X261="Structural (10 Years Consistency)",10,IF(X261="Shallow Cyclical (2 to 3 years growth)",5,0))</f>
        <v/>
      </c>
      <c r="Z261" s="25" t="inlineStr">
        <is>
          <t>No</t>
        </is>
      </c>
      <c r="AA261" s="25">
        <f>IF(Z261="Yes due to Product Mix change or Operating Leverage",10,IF(Z261="Yes, these are peak margins",-5,IF(Z261="No",5,0)))</f>
        <v/>
      </c>
      <c r="AB261" s="25" t="inlineStr">
        <is>
          <t>Stable</t>
        </is>
      </c>
      <c r="AC261" s="25">
        <f>IF(AB261="Stable",10,0)</f>
        <v/>
      </c>
      <c r="AD261" s="25" t="inlineStr">
        <is>
          <t>Yes</t>
        </is>
      </c>
      <c r="AE261" s="25">
        <f>IF(AD261="Yes",10,0)</f>
        <v/>
      </c>
      <c r="AF261" s="25" t="inlineStr">
        <is>
          <t>B2B</t>
        </is>
      </c>
      <c r="AG261" s="25">
        <f>IF(AF261="B2C",10,IF(AF261="B2B",5,0))</f>
        <v/>
      </c>
      <c r="AH261" s="25" t="inlineStr">
        <is>
          <t>No</t>
        </is>
      </c>
      <c r="AI261" s="25">
        <f>IF(AH261="Yes",10,0)</f>
        <v/>
      </c>
      <c r="AJ261" s="25" t="inlineStr">
        <is>
          <t>Higher One Time, Lower Annuity</t>
        </is>
      </c>
      <c r="AK261" s="25">
        <f>IF(AJ261="Fully Annuity",10,IF(AJ261="Higher Annuity, Lower One Time",5,IF(AJ261="Higher One Time, Lower Annuity",3,0)))</f>
        <v/>
      </c>
      <c r="AL261" s="25" t="inlineStr">
        <is>
          <t>Good</t>
        </is>
      </c>
      <c r="AM261" s="25">
        <f>IF(AL261="Good",10,0)</f>
        <v/>
      </c>
      <c r="AN261" s="25" t="inlineStr">
        <is>
          <t>Yes for more than 2 years</t>
        </is>
      </c>
      <c r="AO261" s="25">
        <f>IF(AN261="Yes for more than 2 years",10,IF(AN261="Yes only for next 1 to 2 years",5,0))</f>
        <v/>
      </c>
      <c r="AP261" s="25" t="inlineStr">
        <is>
          <t>20 to 40</t>
        </is>
      </c>
      <c r="AQ261" s="25">
        <f>IF(AP261="Above 40",20,IF(AP261="20 to 40",10,IF(AP261="0 to 20",-5,0)))</f>
        <v/>
      </c>
      <c r="AR261" s="25" t="inlineStr">
        <is>
          <t>Between 50 to 75</t>
        </is>
      </c>
      <c r="AS261" s="25">
        <f>IF(AR261="Between 50 to 75",10,IF(AR261="Above 75",0,0))</f>
        <v/>
      </c>
      <c r="AT261" s="25" t="inlineStr">
        <is>
          <t>Stage 2</t>
        </is>
      </c>
      <c r="AU261" s="25">
        <f>IF(AT261="Stage 2",20,IF(AT261="Stage 1",0,IF(AT261="Stage 3",5,IF(AT261="Stage 4",-5,0))))</f>
        <v/>
      </c>
      <c r="AV261" s="25" t="inlineStr">
        <is>
          <t>Negative Trend</t>
        </is>
      </c>
      <c r="AW261" s="25">
        <f>IF(AV261="Positive Trend",20,IF(AV261="Negative Trend",-10,0))</f>
        <v/>
      </c>
      <c r="AX261" s="25" t="inlineStr">
        <is>
          <t>Uptrend</t>
        </is>
      </c>
      <c r="AY261" s="25">
        <f>IF(AX261="Uptrend",10,IF(AX261="Sideways",5,0))</f>
        <v/>
      </c>
      <c r="AZ261" s="25" t="inlineStr">
        <is>
          <t>Uptrend</t>
        </is>
      </c>
      <c r="BA261" s="25">
        <f>IF(AZ261="Uptrend",10,IF(AZ261="Sideways",5,0))</f>
        <v/>
      </c>
      <c r="BB261" s="25" t="inlineStr">
        <is>
          <t>Close to 52 week high or retracement</t>
        </is>
      </c>
      <c r="BC261" s="25">
        <f>IF(BB261="Overhead supply in last 2 years in last 2 years",-5,IF(BB261="Close to 52 week high or retracement",5,IF(BB261="Blue sky scenario",10,IF(BB261="Long term Downtrend",-10,0))))</f>
        <v/>
      </c>
      <c r="BD261" s="25" t="inlineStr">
        <is>
          <t>Yes</t>
        </is>
      </c>
      <c r="BE261" s="25">
        <f>IF(BD261="Yes",10,0)</f>
        <v/>
      </c>
      <c r="BF261" s="25" t="inlineStr">
        <is>
          <t>Less than 12%</t>
        </is>
      </c>
      <c r="BG261" s="25">
        <f>IF(BF261="More than 20%",10,IF(BF261="Between 12 to 20%",5,IF(BF261="Less than 12%",0,0)))</f>
        <v/>
      </c>
      <c r="BH261" s="25" t="inlineStr">
        <is>
          <t>No</t>
        </is>
      </c>
      <c r="BI261" s="25">
        <f>IF(BH261="No",10,0)</f>
        <v/>
      </c>
      <c r="BJ261" s="25" t="inlineStr">
        <is>
          <t>Yes</t>
        </is>
      </c>
      <c r="BK261" s="25">
        <f>IF(BJ261="NO",5,0)</f>
        <v/>
      </c>
      <c r="BL261" s="25" t="inlineStr">
        <is>
          <t>Less than 1.5</t>
        </is>
      </c>
      <c r="BM261" s="25">
        <f>IF(BL261="Above 2",0,IF(BL261="Between 1.5 to 2",5,IF(BL261="Less than 1.5",10,0)))</f>
        <v/>
      </c>
      <c r="BN261" s="25" t="inlineStr">
        <is>
          <t>Above 70%</t>
        </is>
      </c>
      <c r="BO261" s="25">
        <f>IF(BN261="Above 70%",10,IF(BN261="Between 50% to 70%",5,IF(BN261="Less than 50%",0,IF(BN261="Negative",-10,IF(BN261="Less than 50% and Borrowings are increasing",-5,0)))))</f>
        <v/>
      </c>
      <c r="BP261" s="25" t="inlineStr">
        <is>
          <t>Less than 0.7</t>
        </is>
      </c>
      <c r="BQ261" s="25">
        <f>IF(BP261="More than 1.2",-10,IF(BP261="Between 0.7 to 1.2",0,IF(BP261="Less than 0.7",10,0)))</f>
        <v/>
      </c>
      <c r="BR261" s="25" t="inlineStr">
        <is>
          <t>No</t>
        </is>
      </c>
      <c r="BS261" s="25">
        <f>IF(BR261="Yes",-10,0)</f>
        <v/>
      </c>
      <c r="BT261" s="25" t="inlineStr">
        <is>
          <t>Less than 15%</t>
        </is>
      </c>
      <c r="BU261" s="25">
        <f>IF(BT261="More than 15%",-10,IF(BT261="Less than 15%",10,0))</f>
        <v/>
      </c>
      <c r="BV261" s="25" t="inlineStr">
        <is>
          <t>No</t>
        </is>
      </c>
      <c r="BW261" s="25">
        <f>IF(BV261="Yes, more than 10%",-10,IF(BV261="No",10,0))</f>
        <v/>
      </c>
    </row>
    <row r="262">
      <c r="A262" s="25">
        <f>IF(B262=0,"",RANK(B262,$B$2:$B$292,0))</f>
        <v/>
      </c>
      <c r="B262" s="26">
        <f>SUM(Q262,S262,U262,W262,Y262,AA262,AC262,AE262,AG262,AI262,AK262,AM262,AO262,AQ262,AS262,AU262,AW262,AY262,BA262,BC262,BE262,BG262,BI262,BK262,BM262,BO262,BQ262,BS262,BU262,BW262)</f>
        <v/>
      </c>
      <c r="C262" s="25" t="inlineStr">
        <is>
          <t>TBZ</t>
        </is>
      </c>
      <c r="D262" s="25" t="inlineStr">
        <is>
          <t>Tribhovandas Bhimji Zaveri Limited</t>
        </is>
      </c>
      <c r="E262" s="25" t="inlineStr">
        <is>
          <t>consumer discretionary</t>
        </is>
      </c>
      <c r="F262" s="25" t="inlineStr">
        <is>
          <t>diamond cutting / jewellery</t>
        </is>
      </c>
      <c r="G262" s="25" t="inlineStr">
        <is>
          <t>smallcap</t>
        </is>
      </c>
      <c r="H262" s="26" t="n">
        <v>1156.91</v>
      </c>
      <c r="I262" s="26" t="n">
        <v>178.84</v>
      </c>
      <c r="J262" s="26" t="n">
        <v>3.16</v>
      </c>
      <c r="K262" s="26" t="n">
        <v>3843954</v>
      </c>
      <c r="L262" s="26" t="n">
        <v>60.3</v>
      </c>
      <c r="M262" s="26" t="n">
        <v>12.15</v>
      </c>
      <c r="N262" s="26" t="n">
        <v>130.9</v>
      </c>
      <c r="O262" s="25" t="inlineStr">
        <is>
          <t>Volume Spike / Accumulation</t>
        </is>
      </c>
      <c r="P262" s="25" t="inlineStr">
        <is>
          <t>Growing Industry</t>
        </is>
      </c>
      <c r="Q262" s="25">
        <f>IF(P262="Growing Industry",10,IF(P262="Cyclical in an Upturn",5,0))</f>
        <v/>
      </c>
      <c r="R262" s="25" t="inlineStr">
        <is>
          <t>Too Many Players with High ROCE</t>
        </is>
      </c>
      <c r="S262" s="25">
        <f>IF(R262="Monopoly",10,IF(R262="Oligopoly",5,IF(R262="Duopoly that cooperate",10,IF(R262="Duopoly that compete",5,IF(R262="Too many players with High ROCE",5,0)))))</f>
        <v/>
      </c>
      <c r="T262" s="25" t="inlineStr">
        <is>
          <t>No</t>
        </is>
      </c>
      <c r="U262" s="25">
        <f>IF(T262="No",5,0)</f>
        <v/>
      </c>
      <c r="V262" s="25" t="inlineStr">
        <is>
          <t>Tailwind</t>
        </is>
      </c>
      <c r="W262" s="25">
        <f>IF(V262="Tailwind",10,0)</f>
        <v/>
      </c>
      <c r="X262" s="25" t="inlineStr">
        <is>
          <t>Structural (10 Years Consistency)</t>
        </is>
      </c>
      <c r="Y262" s="25">
        <f>IF(X262="Structural (10 Years Consistency)",10,IF(X262="Shallow Cyclical (2 to 3 years growth)",5,0))</f>
        <v/>
      </c>
      <c r="Z262" s="25" t="inlineStr">
        <is>
          <t>No</t>
        </is>
      </c>
      <c r="AA262" s="25">
        <f>IF(Z262="Yes due to Product Mix change or Operating Leverage",10,IF(Z262="Yes, these are peak margins",-5,IF(Z262="No",5,0)))</f>
        <v/>
      </c>
      <c r="AB262" s="25" t="inlineStr">
        <is>
          <t>Stable</t>
        </is>
      </c>
      <c r="AC262" s="25">
        <f>IF(AB262="Stable",10,0)</f>
        <v/>
      </c>
      <c r="AD262" s="25" t="inlineStr">
        <is>
          <t>Yes</t>
        </is>
      </c>
      <c r="AE262" s="25">
        <f>IF(AD262="Yes",10,0)</f>
        <v/>
      </c>
      <c r="AF262" s="25" t="inlineStr">
        <is>
          <t>B2B</t>
        </is>
      </c>
      <c r="AG262" s="25">
        <f>IF(AF262="B2C",10,IF(AF262="B2B",5,0))</f>
        <v/>
      </c>
      <c r="AH262" s="25" t="inlineStr">
        <is>
          <t>Yes</t>
        </is>
      </c>
      <c r="AI262" s="25">
        <f>IF(AH262="Yes",10,0)</f>
        <v/>
      </c>
      <c r="AJ262" s="25" t="inlineStr">
        <is>
          <t>Higher One Time, Lower Annuity</t>
        </is>
      </c>
      <c r="AK262" s="25">
        <f>IF(AJ262="Fully Annuity",10,IF(AJ262="Higher Annuity, Lower One Time",5,IF(AJ262="Higher One Time, Lower Annuity",3,0)))</f>
        <v/>
      </c>
      <c r="AL262" s="25" t="inlineStr">
        <is>
          <t>Good</t>
        </is>
      </c>
      <c r="AM262" s="25">
        <f>IF(AL262="Good",10,0)</f>
        <v/>
      </c>
      <c r="AN262" s="25" t="inlineStr">
        <is>
          <t>Yes for more than 2 years</t>
        </is>
      </c>
      <c r="AO262" s="25">
        <f>IF(AN262="Yes for more than 2 years",10,IF(AN262="Yes only for next 1 to 2 years",5,0))</f>
        <v/>
      </c>
      <c r="AP262" s="25" t="inlineStr">
        <is>
          <t>0 to 20</t>
        </is>
      </c>
      <c r="AQ262" s="25">
        <f>IF(AP262="Above 40",20,IF(AP262="20 to 40",10,IF(AP262="0 to 20",-5,0)))</f>
        <v/>
      </c>
      <c r="AR262" s="25" t="inlineStr">
        <is>
          <t>Between 50 to 75</t>
        </is>
      </c>
      <c r="AS262" s="25">
        <f>IF(AR262="Between 50 to 75",10,IF(AR262="Above 75",0,0))</f>
        <v/>
      </c>
      <c r="AT262" s="25" t="inlineStr">
        <is>
          <t>Stage 1</t>
        </is>
      </c>
      <c r="AU262" s="25">
        <f>IF(AT262="Stage 2",20,IF(AT262="Stage 1",0,IF(AT262="Stage 3",5,IF(AT262="Stage 4",-5,0))))</f>
        <v/>
      </c>
      <c r="AV262" s="25" t="inlineStr">
        <is>
          <t>Positive Trend</t>
        </is>
      </c>
      <c r="AW262" s="25">
        <f>IF(AV262="Positive Trend",20,IF(AV262="Negative Trend",-10,0))</f>
        <v/>
      </c>
      <c r="AX262" s="25" t="inlineStr">
        <is>
          <t>Uptrend</t>
        </is>
      </c>
      <c r="AY262" s="25">
        <f>IF(AX262="Uptrend",10,IF(AX262="Sideways",5,0))</f>
        <v/>
      </c>
      <c r="AZ262" s="25" t="inlineStr">
        <is>
          <t>Uptrend</t>
        </is>
      </c>
      <c r="BA262" s="25">
        <f>IF(AZ262="Uptrend",10,IF(AZ262="Sideways",5,0))</f>
        <v/>
      </c>
      <c r="BB262" s="25" t="inlineStr">
        <is>
          <t>Close to 52 week high or retracement</t>
        </is>
      </c>
      <c r="BC262" s="25">
        <f>IF(BB262="Overhead supply in last 2 years in last 2 years",-5,IF(BB262="Close to 52 week high or retracement",5,IF(BB262="Blue sky scenario",10,IF(BB262="Long term Downtrend",-10,0))))</f>
        <v/>
      </c>
      <c r="BD262" s="25" t="inlineStr">
        <is>
          <t>Yes</t>
        </is>
      </c>
      <c r="BE262" s="25">
        <f>IF(BD262="Yes",10,0)</f>
        <v/>
      </c>
      <c r="BF262" s="25" t="inlineStr">
        <is>
          <t>More than 20%</t>
        </is>
      </c>
      <c r="BG262" s="25">
        <f>IF(BF262="More than 20%",10,IF(BF262="Between 12 to 20%",5,IF(BF262="Less than 12%",0,0)))</f>
        <v/>
      </c>
      <c r="BH262" s="25" t="inlineStr">
        <is>
          <t>No</t>
        </is>
      </c>
      <c r="BI262" s="25">
        <f>IF(BH262="No",10,0)</f>
        <v/>
      </c>
      <c r="BJ262" s="25" t="inlineStr">
        <is>
          <t>No</t>
        </is>
      </c>
      <c r="BK262" s="25">
        <f>IF(BJ262="NO",5,0)</f>
        <v/>
      </c>
      <c r="BL262" s="25" t="inlineStr">
        <is>
          <t>Less than 1.5</t>
        </is>
      </c>
      <c r="BM262" s="25">
        <f>IF(BL262="Above 2",0,IF(BL262="Between 1.5 to 2",5,IF(BL262="Less than 1.5",10,0)))</f>
        <v/>
      </c>
      <c r="BN262" s="25" t="inlineStr">
        <is>
          <t>Less than 50% and Borrowings are increasing</t>
        </is>
      </c>
      <c r="BO262" s="25">
        <f>IF(BN262="Above 70%",10,IF(BN262="Between 50% to 70%",5,IF(BN262="Less than 50%",0,IF(BN262="Negative",-10,IF(BN262="Less than 50% and Borrowings are increasing",-5,0)))))</f>
        <v/>
      </c>
      <c r="BP262" s="25" t="inlineStr">
        <is>
          <t>Between 0.7 to 1.2</t>
        </is>
      </c>
      <c r="BQ262" s="25">
        <f>IF(BP262="More than 1.2",-10,IF(BP262="Between 0.7 to 1.2",0,IF(BP262="Less than 0.7",10,0)))</f>
        <v/>
      </c>
      <c r="BR262" s="25" t="inlineStr">
        <is>
          <t>No</t>
        </is>
      </c>
      <c r="BS262" s="25">
        <f>IF(BR262="Yes",-10,0)</f>
        <v/>
      </c>
      <c r="BT262" s="25" t="inlineStr">
        <is>
          <t>Less than 15%</t>
        </is>
      </c>
      <c r="BU262" s="25">
        <f>IF(BT262="More than 15%",-10,IF(BT262="Less than 15%",10,0))</f>
        <v/>
      </c>
      <c r="BV262" s="25" t="inlineStr">
        <is>
          <t>No</t>
        </is>
      </c>
      <c r="BW262" s="25">
        <f>IF(BV262="Yes, more than 10%",-10,IF(BV262="No",10,0))</f>
        <v/>
      </c>
    </row>
    <row r="263">
      <c r="A263" s="25">
        <f>IF(B263=0,"",RANK(B263,$B$2:$B$292,0))</f>
        <v/>
      </c>
      <c r="B263" s="26">
        <f>SUM(Q263,S263,U263,W263,Y263,AA263,AC263,AE263,AG263,AI263,AK263,AM263,AO263,AQ263,AS263,AU263,AW263,AY263,BA263,BC263,BE263,BG263,BI263,BK263,BM263,BO263,BQ263,BS263,BU263,BW263)</f>
        <v/>
      </c>
      <c r="C263" s="25" t="inlineStr">
        <is>
          <t>TVSSRICHAK</t>
        </is>
      </c>
      <c r="D263" s="25" t="inlineStr">
        <is>
          <t>Tvs Srichakra Limited</t>
        </is>
      </c>
      <c r="E263" s="25" t="inlineStr">
        <is>
          <t>auto</t>
        </is>
      </c>
      <c r="F263" s="25" t="inlineStr">
        <is>
          <t>tyres</t>
        </is>
      </c>
      <c r="G263" s="25" t="inlineStr">
        <is>
          <t>smallcap</t>
        </is>
      </c>
      <c r="H263" s="26" t="n">
        <v>2986.1</v>
      </c>
      <c r="I263" s="26" t="n">
        <v>3955.2</v>
      </c>
      <c r="J263" s="26" t="n">
        <v>1.42</v>
      </c>
      <c r="K263" s="26" t="n">
        <v>4661</v>
      </c>
      <c r="L263" s="26" t="n">
        <v>53.7</v>
      </c>
      <c r="M263" s="26" t="n">
        <v>9.58</v>
      </c>
      <c r="N263" s="26" t="n">
        <v>2996.89</v>
      </c>
      <c r="O263" s="25" t="inlineStr">
        <is>
          <t>Earnings / Momentum Support</t>
        </is>
      </c>
      <c r="P263" s="25" t="inlineStr">
        <is>
          <t>Growing Industry</t>
        </is>
      </c>
      <c r="Q263" s="25">
        <f>IF(P263="Growing Industry",10,IF(P263="Cyclical in an Upturn",5,0))</f>
        <v/>
      </c>
      <c r="R263" s="25" t="inlineStr">
        <is>
          <t>Too Many Players with High ROCE</t>
        </is>
      </c>
      <c r="S263" s="25">
        <f>IF(R263="Monopoly",10,IF(R263="Oligopoly",5,IF(R263="Duopoly that cooperate",10,IF(R263="Duopoly that compete",5,IF(R263="Too many players with High ROCE",5,0)))))</f>
        <v/>
      </c>
      <c r="T263" s="25" t="inlineStr">
        <is>
          <t>No</t>
        </is>
      </c>
      <c r="U263" s="25">
        <f>IF(T263="No",5,0)</f>
        <v/>
      </c>
      <c r="V263" s="25" t="inlineStr">
        <is>
          <t>Headwind</t>
        </is>
      </c>
      <c r="W263" s="25">
        <f>IF(V263="Tailwind",10,0)</f>
        <v/>
      </c>
      <c r="X263" s="25" t="inlineStr">
        <is>
          <t>Structural (10 Years Consistency)</t>
        </is>
      </c>
      <c r="Y263" s="25">
        <f>IF(X263="Structural (10 Years Consistency)",10,IF(X263="Shallow Cyclical (2 to 3 years growth)",5,0))</f>
        <v/>
      </c>
      <c r="Z263" s="25" t="inlineStr">
        <is>
          <t>No</t>
        </is>
      </c>
      <c r="AA263" s="25">
        <f>IF(Z263="Yes due to Product Mix change or Operating Leverage",10,IF(Z263="Yes, these are peak margins",-5,IF(Z263="No",5,0)))</f>
        <v/>
      </c>
      <c r="AB263" s="25" t="inlineStr">
        <is>
          <t>Stable</t>
        </is>
      </c>
      <c r="AC263" s="25">
        <f>IF(AB263="Stable",10,0)</f>
        <v/>
      </c>
      <c r="AD263" s="25" t="inlineStr">
        <is>
          <t>Yes</t>
        </is>
      </c>
      <c r="AE263" s="25">
        <f>IF(AD263="Yes",10,0)</f>
        <v/>
      </c>
      <c r="AF263" s="25" t="inlineStr">
        <is>
          <t>B2B</t>
        </is>
      </c>
      <c r="AG263" s="25">
        <f>IF(AF263="B2C",10,IF(AF263="B2B",5,0))</f>
        <v/>
      </c>
      <c r="AH263" s="25" t="inlineStr">
        <is>
          <t>No</t>
        </is>
      </c>
      <c r="AI263" s="25">
        <f>IF(AH263="Yes",10,0)</f>
        <v/>
      </c>
      <c r="AJ263" s="25" t="inlineStr">
        <is>
          <t>Higher One Time, Lower Annuity</t>
        </is>
      </c>
      <c r="AK263" s="25">
        <f>IF(AJ263="Fully Annuity",10,IF(AJ263="Higher Annuity, Lower One Time",5,IF(AJ263="Higher One Time, Lower Annuity",3,0)))</f>
        <v/>
      </c>
      <c r="AL263" s="25" t="inlineStr">
        <is>
          <t>Good</t>
        </is>
      </c>
      <c r="AM263" s="25">
        <f>IF(AL263="Good",10,0)</f>
        <v/>
      </c>
      <c r="AN263" s="25" t="inlineStr">
        <is>
          <t>Yes for more than 2 years</t>
        </is>
      </c>
      <c r="AO263" s="25">
        <f>IF(AN263="Yes for more than 2 years",10,IF(AN263="Yes only for next 1 to 2 years",5,0))</f>
        <v/>
      </c>
      <c r="AP263" s="25" t="inlineStr">
        <is>
          <t>0 to 20</t>
        </is>
      </c>
      <c r="AQ263" s="25">
        <f>IF(AP263="Above 40",20,IF(AP263="20 to 40",10,IF(AP263="0 to 20",-5,0)))</f>
        <v/>
      </c>
      <c r="AR263" s="25" t="inlineStr">
        <is>
          <t>Between 50 to 75</t>
        </is>
      </c>
      <c r="AS263" s="25">
        <f>IF(AR263="Between 50 to 75",10,IF(AR263="Above 75",0,0))</f>
        <v/>
      </c>
      <c r="AT263" s="25" t="inlineStr">
        <is>
          <t>Stage 1</t>
        </is>
      </c>
      <c r="AU263" s="25">
        <f>IF(AT263="Stage 2",20,IF(AT263="Stage 1",0,IF(AT263="Stage 3",5,IF(AT263="Stage 4",-5,0))))</f>
        <v/>
      </c>
      <c r="AV263" s="25" t="inlineStr">
        <is>
          <t>Positive Trend</t>
        </is>
      </c>
      <c r="AW263" s="25">
        <f>IF(AV263="Positive Trend",20,IF(AV263="Negative Trend",-10,0))</f>
        <v/>
      </c>
      <c r="AX263" s="25" t="inlineStr">
        <is>
          <t>Uptrend</t>
        </is>
      </c>
      <c r="AY263" s="25">
        <f>IF(AX263="Uptrend",10,IF(AX263="Sideways",5,0))</f>
        <v/>
      </c>
      <c r="AZ263" s="25" t="inlineStr">
        <is>
          <t>Uptrend</t>
        </is>
      </c>
      <c r="BA263" s="25">
        <f>IF(AZ263="Uptrend",10,IF(AZ263="Sideways",5,0))</f>
        <v/>
      </c>
      <c r="BB263" s="25" t="inlineStr">
        <is>
          <t>Close to 52 week high or retracement</t>
        </is>
      </c>
      <c r="BC263" s="25">
        <f>IF(BB263="Overhead supply in last 2 years in last 2 years",-5,IF(BB263="Close to 52 week high or retracement",5,IF(BB263="Blue sky scenario",10,IF(BB263="Long term Downtrend",-10,0))))</f>
        <v/>
      </c>
      <c r="BD263" s="25" t="inlineStr">
        <is>
          <t>Yes</t>
        </is>
      </c>
      <c r="BE263" s="25">
        <f>IF(BD263="Yes",10,0)</f>
        <v/>
      </c>
      <c r="BF263" s="25" t="inlineStr">
        <is>
          <t>More than 20%</t>
        </is>
      </c>
      <c r="BG263" s="25">
        <f>IF(BF263="More than 20%",10,IF(BF263="Between 12 to 20%",5,IF(BF263="Less than 12%",0,0)))</f>
        <v/>
      </c>
      <c r="BH263" s="25" t="inlineStr">
        <is>
          <t>No</t>
        </is>
      </c>
      <c r="BI263" s="25">
        <f>IF(BH263="No",10,0)</f>
        <v/>
      </c>
      <c r="BJ263" s="25" t="inlineStr">
        <is>
          <t>Yes</t>
        </is>
      </c>
      <c r="BK263" s="25">
        <f>IF(BJ263="NO",5,0)</f>
        <v/>
      </c>
      <c r="BL263" s="25" t="inlineStr">
        <is>
          <t>Less than 1.5</t>
        </is>
      </c>
      <c r="BM263" s="25">
        <f>IF(BL263="Above 2",0,IF(BL263="Between 1.5 to 2",5,IF(BL263="Less than 1.5",10,0)))</f>
        <v/>
      </c>
      <c r="BN263" s="25" t="inlineStr">
        <is>
          <t>Above 70%</t>
        </is>
      </c>
      <c r="BO263" s="25">
        <f>IF(BN263="Above 70%",10,IF(BN263="Between 50% to 70%",5,IF(BN263="Less than 50%",0,IF(BN263="Negative",-10,IF(BN263="Less than 50% and Borrowings are increasing",-5,0)))))</f>
        <v/>
      </c>
      <c r="BP263" s="25" t="inlineStr">
        <is>
          <t>Less than 0.7</t>
        </is>
      </c>
      <c r="BQ263" s="25">
        <f>IF(BP263="More than 1.2",-10,IF(BP263="Between 0.7 to 1.2",0,IF(BP263="Less than 0.7",10,0)))</f>
        <v/>
      </c>
      <c r="BR263" s="25" t="inlineStr">
        <is>
          <t>No</t>
        </is>
      </c>
      <c r="BS263" s="25">
        <f>IF(BR263="Yes",-10,0)</f>
        <v/>
      </c>
      <c r="BT263" s="25" t="inlineStr">
        <is>
          <t>Less than 15%</t>
        </is>
      </c>
      <c r="BU263" s="25">
        <f>IF(BT263="More than 15%",-10,IF(BT263="Less than 15%",10,0))</f>
        <v/>
      </c>
      <c r="BV263" s="25" t="inlineStr">
        <is>
          <t>No</t>
        </is>
      </c>
      <c r="BW263" s="25">
        <f>IF(BV263="Yes, more than 10%",-10,IF(BV263="No",10,0))</f>
        <v/>
      </c>
    </row>
    <row r="264">
      <c r="A264" s="25">
        <f>IF(B264=0,"",RANK(B264,$B$2:$B$292,0))</f>
        <v/>
      </c>
      <c r="B264" s="26">
        <f>SUM(Q264,S264,U264,W264,Y264,AA264,AC264,AE264,AG264,AI264,AK264,AM264,AO264,AQ264,AS264,AU264,AW264,AY264,BA264,BC264,BE264,BG264,BI264,BK264,BM264,BO264,BQ264,BS264,BU264,BW264)</f>
        <v/>
      </c>
      <c r="C264" s="25" t="inlineStr">
        <is>
          <t>SHRIRAMPPS</t>
        </is>
      </c>
      <c r="D264" s="25" t="inlineStr">
        <is>
          <t>Shriram Properties Ltd</t>
        </is>
      </c>
      <c r="E264" s="25" t="inlineStr">
        <is>
          <t>realty</t>
        </is>
      </c>
      <c r="F264" s="25" t="inlineStr">
        <is>
          <t>construction</t>
        </is>
      </c>
      <c r="G264" s="25" t="inlineStr">
        <is>
          <t>smallcap</t>
        </is>
      </c>
      <c r="H264" s="26" t="n">
        <v>1525.65</v>
      </c>
      <c r="I264" s="26" t="n">
        <v>88.56999999999999</v>
      </c>
      <c r="J264" s="26" t="n">
        <v>-0.93</v>
      </c>
      <c r="K264" s="26" t="n">
        <v>720360</v>
      </c>
      <c r="L264" s="26" t="n">
        <v>55.53</v>
      </c>
      <c r="M264" s="26" t="n">
        <v>22.19</v>
      </c>
      <c r="N264" s="26" t="n">
        <v>74.27</v>
      </c>
      <c r="O264" s="25" t="inlineStr">
        <is>
          <t>Earnings / Momentum Support</t>
        </is>
      </c>
      <c r="P264" s="25" t="inlineStr">
        <is>
          <t>Growing Industry</t>
        </is>
      </c>
      <c r="Q264" s="25">
        <f>IF(P264="Growing Industry",10,IF(P264="Cyclical in an Upturn",5,0))</f>
        <v/>
      </c>
      <c r="R264" s="25" t="inlineStr">
        <is>
          <t>Too Many Players with High ROCE</t>
        </is>
      </c>
      <c r="S264" s="25">
        <f>IF(R264="Monopoly",10,IF(R264="Oligopoly",5,IF(R264="Duopoly that cooperate",10,IF(R264="Duopoly that compete",5,IF(R264="Too many players with High ROCE",5,0)))))</f>
        <v/>
      </c>
      <c r="T264" s="25" t="inlineStr">
        <is>
          <t>No</t>
        </is>
      </c>
      <c r="U264" s="25">
        <f>IF(T264="No",5,0)</f>
        <v/>
      </c>
      <c r="V264" s="25" t="inlineStr">
        <is>
          <t>Tailwind</t>
        </is>
      </c>
      <c r="W264" s="25">
        <f>IF(V264="Tailwind",10,0)</f>
        <v/>
      </c>
      <c r="X264" s="25" t="inlineStr">
        <is>
          <t>Structural (10 Years Consistency)</t>
        </is>
      </c>
      <c r="Y264" s="25">
        <f>IF(X264="Structural (10 Years Consistency)",10,IF(X264="Shallow Cyclical (2 to 3 years growth)",5,0))</f>
        <v/>
      </c>
      <c r="Z264" s="25" t="inlineStr">
        <is>
          <t>No</t>
        </is>
      </c>
      <c r="AA264" s="25">
        <f>IF(Z264="Yes due to Product Mix change or Operating Leverage",10,IF(Z264="Yes, these are peak margins",-5,IF(Z264="No",5,0)))</f>
        <v/>
      </c>
      <c r="AB264" s="25" t="inlineStr">
        <is>
          <t>Stable</t>
        </is>
      </c>
      <c r="AC264" s="25">
        <f>IF(AB264="Stable",10,0)</f>
        <v/>
      </c>
      <c r="AD264" s="25" t="inlineStr">
        <is>
          <t>Yes</t>
        </is>
      </c>
      <c r="AE264" s="25">
        <f>IF(AD264="Yes",10,0)</f>
        <v/>
      </c>
      <c r="AF264" s="25" t="inlineStr">
        <is>
          <t>B2B</t>
        </is>
      </c>
      <c r="AG264" s="25">
        <f>IF(AF264="B2C",10,IF(AF264="B2B",5,0))</f>
        <v/>
      </c>
      <c r="AH264" s="25" t="inlineStr">
        <is>
          <t>No</t>
        </is>
      </c>
      <c r="AI264" s="25">
        <f>IF(AH264="Yes",10,0)</f>
        <v/>
      </c>
      <c r="AJ264" s="25" t="inlineStr">
        <is>
          <t>Higher One Time, Lower Annuity</t>
        </is>
      </c>
      <c r="AK264" s="25">
        <f>IF(AJ264="Fully Annuity",10,IF(AJ264="Higher Annuity, Lower One Time",5,IF(AJ264="Higher One Time, Lower Annuity",3,0)))</f>
        <v/>
      </c>
      <c r="AL264" s="25" t="inlineStr">
        <is>
          <t>Good</t>
        </is>
      </c>
      <c r="AM264" s="25">
        <f>IF(AL264="Good",10,0)</f>
        <v/>
      </c>
      <c r="AN264" s="25" t="inlineStr">
        <is>
          <t>Yes for more than 2 years</t>
        </is>
      </c>
      <c r="AO264" s="25">
        <f>IF(AN264="Yes for more than 2 years",10,IF(AN264="Yes only for next 1 to 2 years",5,0))</f>
        <v/>
      </c>
      <c r="AP264" s="25" t="inlineStr">
        <is>
          <t>20 to 40</t>
        </is>
      </c>
      <c r="AQ264" s="25">
        <f>IF(AP264="Above 40",20,IF(AP264="20 to 40",10,IF(AP264="0 to 20",-5,0)))</f>
        <v/>
      </c>
      <c r="AR264" s="25" t="inlineStr">
        <is>
          <t>Between 50 to 75</t>
        </is>
      </c>
      <c r="AS264" s="25">
        <f>IF(AR264="Between 50 to 75",10,IF(AR264="Above 75",0,0))</f>
        <v/>
      </c>
      <c r="AT264" s="25" t="inlineStr">
        <is>
          <t>Stage 2</t>
        </is>
      </c>
      <c r="AU264" s="25">
        <f>IF(AT264="Stage 2",20,IF(AT264="Stage 1",0,IF(AT264="Stage 3",5,IF(AT264="Stage 4",-5,0))))</f>
        <v/>
      </c>
      <c r="AV264" s="25" t="inlineStr">
        <is>
          <t>Negative Trend</t>
        </is>
      </c>
      <c r="AW264" s="25">
        <f>IF(AV264="Positive Trend",20,IF(AV264="Negative Trend",-10,0))</f>
        <v/>
      </c>
      <c r="AX264" s="25" t="inlineStr">
        <is>
          <t>Uptrend</t>
        </is>
      </c>
      <c r="AY264" s="25">
        <f>IF(AX264="Uptrend",10,IF(AX264="Sideways",5,0))</f>
        <v/>
      </c>
      <c r="AZ264" s="25" t="inlineStr">
        <is>
          <t>Uptrend</t>
        </is>
      </c>
      <c r="BA264" s="25">
        <f>IF(AZ264="Uptrend",10,IF(AZ264="Sideways",5,0))</f>
        <v/>
      </c>
      <c r="BB264" s="25" t="inlineStr">
        <is>
          <t>Close to 52 week high or retracement</t>
        </is>
      </c>
      <c r="BC264" s="25">
        <f>IF(BB264="Overhead supply in last 2 years in last 2 years",-5,IF(BB264="Close to 52 week high or retracement",5,IF(BB264="Blue sky scenario",10,IF(BB264="Long term Downtrend",-10,0))))</f>
        <v/>
      </c>
      <c r="BD264" s="25" t="inlineStr">
        <is>
          <t>Yes</t>
        </is>
      </c>
      <c r="BE264" s="25">
        <f>IF(BD264="Yes",10,0)</f>
        <v/>
      </c>
      <c r="BF264" s="25" t="inlineStr">
        <is>
          <t>More than 20%</t>
        </is>
      </c>
      <c r="BG264" s="25">
        <f>IF(BF264="More than 20%",10,IF(BF264="Between 12 to 20%",5,IF(BF264="Less than 12%",0,0)))</f>
        <v/>
      </c>
      <c r="BH264" s="25" t="inlineStr">
        <is>
          <t>No</t>
        </is>
      </c>
      <c r="BI264" s="25">
        <f>IF(BH264="No",10,0)</f>
        <v/>
      </c>
      <c r="BJ264" s="25" t="inlineStr">
        <is>
          <t>No</t>
        </is>
      </c>
      <c r="BK264" s="25">
        <f>IF(BJ264="NO",5,0)</f>
        <v/>
      </c>
      <c r="BL264" s="25" t="inlineStr">
        <is>
          <t>Less than 1.5</t>
        </is>
      </c>
      <c r="BM264" s="25">
        <f>IF(BL264="Above 2",0,IF(BL264="Between 1.5 to 2",5,IF(BL264="Less than 1.5",10,0)))</f>
        <v/>
      </c>
      <c r="BN264" s="25" t="inlineStr">
        <is>
          <t>Negative</t>
        </is>
      </c>
      <c r="BO264" s="25">
        <f>IF(BN264="Above 70%",10,IF(BN264="Between 50% to 70%",5,IF(BN264="Less than 50%",0,IF(BN264="Negative",-10,IF(BN264="Less than 50% and Borrowings are increasing",-5,0)))))</f>
        <v/>
      </c>
      <c r="BP264" s="25" t="inlineStr">
        <is>
          <t>Less than 0.7</t>
        </is>
      </c>
      <c r="BQ264" s="25">
        <f>IF(BP264="More than 1.2",-10,IF(BP264="Between 0.7 to 1.2",0,IF(BP264="Less than 0.7",10,0)))</f>
        <v/>
      </c>
      <c r="BR264" s="25" t="inlineStr">
        <is>
          <t>No</t>
        </is>
      </c>
      <c r="BS264" s="25">
        <f>IF(BR264="Yes",-10,0)</f>
        <v/>
      </c>
      <c r="BT264" s="25" t="inlineStr">
        <is>
          <t>Less than 15%</t>
        </is>
      </c>
      <c r="BU264" s="25">
        <f>IF(BT264="More than 15%",-10,IF(BT264="Less than 15%",10,0))</f>
        <v/>
      </c>
      <c r="BV264" s="25" t="inlineStr">
        <is>
          <t>No</t>
        </is>
      </c>
      <c r="BW264" s="25">
        <f>IF(BV264="Yes, more than 10%",-10,IF(BV264="No",10,0))</f>
        <v/>
      </c>
    </row>
    <row r="265">
      <c r="A265" s="25">
        <f>IF(B265=0,"",RANK(B265,$B$2:$B$292,0))</f>
        <v/>
      </c>
      <c r="B265" s="26">
        <f>SUM(Q265,S265,U265,W265,Y265,AA265,AC265,AE265,AG265,AI265,AK265,AM265,AO265,AQ265,AS265,AU265,AW265,AY265,BA265,BC265,BE265,BG265,BI265,BK265,BM265,BO265,BQ265,BS265,BU265,BW265)</f>
        <v/>
      </c>
      <c r="C265" s="25" t="inlineStr">
        <is>
          <t>ASIANENE</t>
        </is>
      </c>
      <c r="D265" s="25" t="inlineStr">
        <is>
          <t>Asian Energy Services Ltd</t>
        </is>
      </c>
      <c r="E265" s="25" t="inlineStr">
        <is>
          <t>energy</t>
        </is>
      </c>
      <c r="F265" s="25" t="inlineStr">
        <is>
          <t>oil drilling / allied services</t>
        </is>
      </c>
      <c r="G265" s="25" t="inlineStr">
        <is>
          <t>smallcap</t>
        </is>
      </c>
      <c r="H265" s="26" t="n">
        <v>1706</v>
      </c>
      <c r="I265" s="26" t="n">
        <v>346.8</v>
      </c>
      <c r="J265" s="26" t="n">
        <v>-1.18</v>
      </c>
      <c r="K265" s="26" t="n">
        <v>332195</v>
      </c>
      <c r="L265" s="26" t="n">
        <v>59.24</v>
      </c>
      <c r="M265" s="26" t="n">
        <v>13.09</v>
      </c>
      <c r="N265" s="26" t="n">
        <v>263.11</v>
      </c>
      <c r="O265" s="25" t="inlineStr">
        <is>
          <t>Earnings / Momentum Support</t>
        </is>
      </c>
      <c r="P265" s="25" t="inlineStr">
        <is>
          <t>Cyclical in an Upturn</t>
        </is>
      </c>
      <c r="Q265" s="25">
        <f>IF(P265="Growing Industry",10,IF(P265="Cyclical in an Upturn",5,0))</f>
        <v/>
      </c>
      <c r="R265" s="25" t="inlineStr">
        <is>
          <t>Oligopoly</t>
        </is>
      </c>
      <c r="S265" s="25">
        <f>IF(R265="Monopoly",10,IF(R265="Oligopoly",5,IF(R265="Duopoly that cooperate",10,IF(R265="Duopoly that compete",5,IF(R265="Too many players with High ROCE",5,0)))))</f>
        <v/>
      </c>
      <c r="T265" s="25" t="inlineStr">
        <is>
          <t>Yes</t>
        </is>
      </c>
      <c r="U265" s="25">
        <f>IF(T265="No",5,0)</f>
        <v/>
      </c>
      <c r="V265" s="25" t="inlineStr">
        <is>
          <t>Tailwind</t>
        </is>
      </c>
      <c r="W265" s="25">
        <f>IF(V265="Tailwind",10,0)</f>
        <v/>
      </c>
      <c r="X265" s="25" t="inlineStr">
        <is>
          <t>Cyclical</t>
        </is>
      </c>
      <c r="Y265" s="25">
        <f>IF(X265="Structural (10 Years Consistency)",10,IF(X265="Shallow Cyclical (2 to 3 years growth)",5,0))</f>
        <v/>
      </c>
      <c r="Z265" s="25" t="inlineStr">
        <is>
          <t>No</t>
        </is>
      </c>
      <c r="AA265" s="25">
        <f>IF(Z265="Yes due to Product Mix change or Operating Leverage",10,IF(Z265="Yes, these are peak margins",-5,IF(Z265="No",5,0)))</f>
        <v/>
      </c>
      <c r="AB265" s="25" t="inlineStr">
        <is>
          <t>Volatile</t>
        </is>
      </c>
      <c r="AC265" s="25">
        <f>IF(AB265="Stable",10,0)</f>
        <v/>
      </c>
      <c r="AD265" s="25" t="inlineStr">
        <is>
          <t>Yes</t>
        </is>
      </c>
      <c r="AE265" s="25">
        <f>IF(AD265="Yes",10,0)</f>
        <v/>
      </c>
      <c r="AF265" s="25" t="inlineStr">
        <is>
          <t>B2B</t>
        </is>
      </c>
      <c r="AG265" s="25">
        <f>IF(AF265="B2C",10,IF(AF265="B2B",5,0))</f>
        <v/>
      </c>
      <c r="AH265" s="25" t="inlineStr">
        <is>
          <t>No</t>
        </is>
      </c>
      <c r="AI265" s="25">
        <f>IF(AH265="Yes",10,0)</f>
        <v/>
      </c>
      <c r="AJ265" s="25" t="inlineStr">
        <is>
          <t>Higher One Time, Lower Annuity</t>
        </is>
      </c>
      <c r="AK265" s="25">
        <f>IF(AJ265="Fully Annuity",10,IF(AJ265="Higher Annuity, Lower One Time",5,IF(AJ265="Higher One Time, Lower Annuity",3,0)))</f>
        <v/>
      </c>
      <c r="AL265" s="25" t="inlineStr">
        <is>
          <t>Good</t>
        </is>
      </c>
      <c r="AM265" s="25">
        <f>IF(AL265="Good",10,0)</f>
        <v/>
      </c>
      <c r="AN265" s="25" t="inlineStr">
        <is>
          <t>Yes for more than 2 years</t>
        </is>
      </c>
      <c r="AO265" s="25">
        <f>IF(AN265="Yes for more than 2 years",10,IF(AN265="Yes only for next 1 to 2 years",5,0))</f>
        <v/>
      </c>
      <c r="AP265" s="25" t="inlineStr">
        <is>
          <t>0 to 20</t>
        </is>
      </c>
      <c r="AQ265" s="25">
        <f>IF(AP265="Above 40",20,IF(AP265="20 to 40",10,IF(AP265="0 to 20",-5,0)))</f>
        <v/>
      </c>
      <c r="AR265" s="25" t="inlineStr">
        <is>
          <t>Between 50 to 75</t>
        </is>
      </c>
      <c r="AS265" s="25">
        <f>IF(AR265="Between 50 to 75",10,IF(AR265="Above 75",0,0))</f>
        <v/>
      </c>
      <c r="AT265" s="25" t="inlineStr">
        <is>
          <t>Stage 2</t>
        </is>
      </c>
      <c r="AU265" s="25">
        <f>IF(AT265="Stage 2",20,IF(AT265="Stage 1",0,IF(AT265="Stage 3",5,IF(AT265="Stage 4",-5,0))))</f>
        <v/>
      </c>
      <c r="AV265" s="25" t="inlineStr">
        <is>
          <t>Positive Trend</t>
        </is>
      </c>
      <c r="AW265" s="25">
        <f>IF(AV265="Positive Trend",20,IF(AV265="Negative Trend",-10,0))</f>
        <v/>
      </c>
      <c r="AX265" s="25" t="inlineStr">
        <is>
          <t>Uptrend</t>
        </is>
      </c>
      <c r="AY265" s="25">
        <f>IF(AX265="Uptrend",10,IF(AX265="Sideways",5,0))</f>
        <v/>
      </c>
      <c r="AZ265" s="25" t="inlineStr">
        <is>
          <t>Uptrend</t>
        </is>
      </c>
      <c r="BA265" s="25">
        <f>IF(AZ265="Uptrend",10,IF(AZ265="Sideways",5,0))</f>
        <v/>
      </c>
      <c r="BB265" s="25" t="inlineStr">
        <is>
          <t>Close to 52 week high or retracement</t>
        </is>
      </c>
      <c r="BC265" s="25">
        <f>IF(BB265="Overhead supply in last 2 years in last 2 years",-5,IF(BB265="Close to 52 week high or retracement",5,IF(BB265="Blue sky scenario",10,IF(BB265="Long term Downtrend",-10,0))))</f>
        <v/>
      </c>
      <c r="BD265" s="25" t="inlineStr">
        <is>
          <t>Yes</t>
        </is>
      </c>
      <c r="BE265" s="25">
        <f>IF(BD265="Yes",10,0)</f>
        <v/>
      </c>
      <c r="BF265" s="25" t="inlineStr">
        <is>
          <t>More than 20%</t>
        </is>
      </c>
      <c r="BG265" s="25">
        <f>IF(BF265="More than 20%",10,IF(BF265="Between 12 to 20%",5,IF(BF265="Less than 12%",0,0)))</f>
        <v/>
      </c>
      <c r="BH265" s="25" t="inlineStr">
        <is>
          <t>No</t>
        </is>
      </c>
      <c r="BI265" s="25">
        <f>IF(BH265="No",10,0)</f>
        <v/>
      </c>
      <c r="BJ265" s="25" t="inlineStr">
        <is>
          <t>No</t>
        </is>
      </c>
      <c r="BK265" s="25">
        <f>IF(BJ265="NO",5,0)</f>
        <v/>
      </c>
      <c r="BL265" s="25" t="inlineStr">
        <is>
          <t>Less than 1.5</t>
        </is>
      </c>
      <c r="BM265" s="25">
        <f>IF(BL265="Above 2",0,IF(BL265="Between 1.5 to 2",5,IF(BL265="Less than 1.5",10,0)))</f>
        <v/>
      </c>
      <c r="BN265" s="25" t="inlineStr">
        <is>
          <t>Between 50% to 70%</t>
        </is>
      </c>
      <c r="BO265" s="25">
        <f>IF(BN265="Above 70%",10,IF(BN265="Between 50% to 70%",5,IF(BN265="Less than 50%",0,IF(BN265="Negative",-10,IF(BN265="Less than 50% and Borrowings are increasing",-5,0)))))</f>
        <v/>
      </c>
      <c r="BP265" s="25" t="inlineStr">
        <is>
          <t>Less than 0.7</t>
        </is>
      </c>
      <c r="BQ265" s="25">
        <f>IF(BP265="More than 1.2",-10,IF(BP265="Between 0.7 to 1.2",0,IF(BP265="Less than 0.7",10,0)))</f>
        <v/>
      </c>
      <c r="BR265" s="25" t="inlineStr">
        <is>
          <t>No</t>
        </is>
      </c>
      <c r="BS265" s="25">
        <f>IF(BR265="Yes",-10,0)</f>
        <v/>
      </c>
      <c r="BT265" s="25" t="inlineStr">
        <is>
          <t>Less than 15%</t>
        </is>
      </c>
      <c r="BU265" s="25">
        <f>IF(BT265="More than 15%",-10,IF(BT265="Less than 15%",10,0))</f>
        <v/>
      </c>
      <c r="BV265" s="25" t="inlineStr">
        <is>
          <t>No</t>
        </is>
      </c>
      <c r="BW265" s="25">
        <f>IF(BV265="Yes, more than 10%",-10,IF(BV265="No",10,0))</f>
        <v/>
      </c>
    </row>
    <row r="266">
      <c r="A266" s="25">
        <f>IF(B266=0,"",RANK(B266,$B$2:$B$292,0))</f>
        <v/>
      </c>
      <c r="B266" s="26">
        <f>SUM(Q266,S266,U266,W266,Y266,AA266,AC266,AE266,AG266,AI266,AK266,AM266,AO266,AQ266,AS266,AU266,AW266,AY266,BA266,BC266,BE266,BG266,BI266,BK266,BM266,BO266,BQ266,BS266,BU266,BW266)</f>
        <v/>
      </c>
      <c r="C266" s="25" t="inlineStr">
        <is>
          <t>STEELXIND</t>
        </is>
      </c>
      <c r="D266" s="25" t="inlineStr">
        <is>
          <t>Steel Exchange India Ltd</t>
        </is>
      </c>
      <c r="E266" s="25" t="inlineStr">
        <is>
          <t>metals &amp; mining</t>
        </is>
      </c>
      <c r="F266" s="25" t="inlineStr">
        <is>
          <t>steel - medium / small</t>
        </is>
      </c>
      <c r="G266" s="25" t="inlineStr">
        <is>
          <t>smallcap</t>
        </is>
      </c>
      <c r="H266" s="26" t="n">
        <v>1631.39</v>
      </c>
      <c r="I266" s="26" t="n">
        <v>12.14</v>
      </c>
      <c r="J266" s="26" t="n">
        <v>-5.08</v>
      </c>
      <c r="K266" s="26" t="n">
        <v>4503732</v>
      </c>
      <c r="L266" s="26" t="n">
        <v>68.12</v>
      </c>
      <c r="M266" s="26" t="n">
        <v>21.78</v>
      </c>
      <c r="N266" s="26" t="n">
        <v>9.16</v>
      </c>
      <c r="O266" s="25" t="inlineStr">
        <is>
          <t>Earnings / Momentum Support</t>
        </is>
      </c>
      <c r="P266" s="25" t="inlineStr">
        <is>
          <t>Cyclical in an Upturn</t>
        </is>
      </c>
      <c r="Q266" s="25">
        <f>IF(P266="Growing Industry",10,IF(P266="Cyclical in an Upturn",5,0))</f>
        <v/>
      </c>
      <c r="R266" s="25" t="inlineStr">
        <is>
          <t>Too Many Players with High ROCE</t>
        </is>
      </c>
      <c r="S266" s="25">
        <f>IF(R266="Monopoly",10,IF(R266="Oligopoly",5,IF(R266="Duopoly that cooperate",10,IF(R266="Duopoly that compete",5,IF(R266="Too many players with High ROCE",5,0)))))</f>
        <v/>
      </c>
      <c r="T266" s="25" t="inlineStr">
        <is>
          <t>No</t>
        </is>
      </c>
      <c r="U266" s="25">
        <f>IF(T266="No",5,0)</f>
        <v/>
      </c>
      <c r="V266" s="25" t="inlineStr">
        <is>
          <t>Tailwind</t>
        </is>
      </c>
      <c r="W266" s="25">
        <f>IF(V266="Tailwind",10,0)</f>
        <v/>
      </c>
      <c r="X266" s="25" t="inlineStr">
        <is>
          <t>Cyclical</t>
        </is>
      </c>
      <c r="Y266" s="25">
        <f>IF(X266="Structural (10 Years Consistency)",10,IF(X266="Shallow Cyclical (2 to 3 years growth)",5,0))</f>
        <v/>
      </c>
      <c r="Z266" s="25" t="inlineStr">
        <is>
          <t>No</t>
        </is>
      </c>
      <c r="AA266" s="25">
        <f>IF(Z266="Yes due to Product Mix change or Operating Leverage",10,IF(Z266="Yes, these are peak margins",-5,IF(Z266="No",5,0)))</f>
        <v/>
      </c>
      <c r="AB266" s="25" t="inlineStr">
        <is>
          <t>Volatile</t>
        </is>
      </c>
      <c r="AC266" s="25">
        <f>IF(AB266="Stable",10,0)</f>
        <v/>
      </c>
      <c r="AD266" s="25" t="inlineStr">
        <is>
          <t>Yes</t>
        </is>
      </c>
      <c r="AE266" s="25">
        <f>IF(AD266="Yes",10,0)</f>
        <v/>
      </c>
      <c r="AF266" s="25" t="inlineStr">
        <is>
          <t>B2B</t>
        </is>
      </c>
      <c r="AG266" s="25">
        <f>IF(AF266="B2C",10,IF(AF266="B2B",5,0))</f>
        <v/>
      </c>
      <c r="AH266" s="25" t="inlineStr">
        <is>
          <t>No</t>
        </is>
      </c>
      <c r="AI266" s="25">
        <f>IF(AH266="Yes",10,0)</f>
        <v/>
      </c>
      <c r="AJ266" s="25" t="inlineStr">
        <is>
          <t>Higher One Time, Lower Annuity</t>
        </is>
      </c>
      <c r="AK266" s="25">
        <f>IF(AJ266="Fully Annuity",10,IF(AJ266="Higher Annuity, Lower One Time",5,IF(AJ266="Higher One Time, Lower Annuity",3,0)))</f>
        <v/>
      </c>
      <c r="AL266" s="25" t="inlineStr">
        <is>
          <t>Good</t>
        </is>
      </c>
      <c r="AM266" s="25">
        <f>IF(AL266="Good",10,0)</f>
        <v/>
      </c>
      <c r="AN266" s="25" t="inlineStr">
        <is>
          <t>Yes for more than 2 years</t>
        </is>
      </c>
      <c r="AO266" s="25">
        <f>IF(AN266="Yes for more than 2 years",10,IF(AN266="Yes only for next 1 to 2 years",5,0))</f>
        <v/>
      </c>
      <c r="AP266" s="25" t="inlineStr">
        <is>
          <t>20 to 40</t>
        </is>
      </c>
      <c r="AQ266" s="25">
        <f>IF(AP266="Above 40",20,IF(AP266="20 to 40",10,IF(AP266="0 to 20",-5,0)))</f>
        <v/>
      </c>
      <c r="AR266" s="25" t="inlineStr">
        <is>
          <t>Between 50 to 75</t>
        </is>
      </c>
      <c r="AS266" s="25">
        <f>IF(AR266="Between 50 to 75",10,IF(AR266="Above 75",0,0))</f>
        <v/>
      </c>
      <c r="AT266" s="25" t="inlineStr">
        <is>
          <t>Stage 2</t>
        </is>
      </c>
      <c r="AU266" s="25">
        <f>IF(AT266="Stage 2",20,IF(AT266="Stage 1",0,IF(AT266="Stage 3",5,IF(AT266="Stage 4",-5,0))))</f>
        <v/>
      </c>
      <c r="AV266" s="25" t="inlineStr">
        <is>
          <t>Positive Trend</t>
        </is>
      </c>
      <c r="AW266" s="25">
        <f>IF(AV266="Positive Trend",20,IF(AV266="Negative Trend",-10,0))</f>
        <v/>
      </c>
      <c r="AX266" s="25" t="inlineStr">
        <is>
          <t>Uptrend</t>
        </is>
      </c>
      <c r="AY266" s="25">
        <f>IF(AX266="Uptrend",10,IF(AX266="Sideways",5,0))</f>
        <v/>
      </c>
      <c r="AZ266" s="25" t="inlineStr">
        <is>
          <t>Uptrend</t>
        </is>
      </c>
      <c r="BA266" s="25">
        <f>IF(AZ266="Uptrend",10,IF(AZ266="Sideways",5,0))</f>
        <v/>
      </c>
      <c r="BB266" s="25" t="inlineStr">
        <is>
          <t>Close to 52 week high or retracement</t>
        </is>
      </c>
      <c r="BC266" s="25">
        <f>IF(BB266="Overhead supply in last 2 years in last 2 years",-5,IF(BB266="Close to 52 week high or retracement",5,IF(BB266="Blue sky scenario",10,IF(BB266="Long term Downtrend",-10,0))))</f>
        <v/>
      </c>
      <c r="BD266" s="25" t="inlineStr">
        <is>
          <t>Yes</t>
        </is>
      </c>
      <c r="BE266" s="25">
        <f>IF(BD266="Yes",10,0)</f>
        <v/>
      </c>
      <c r="BF266" s="25" t="inlineStr">
        <is>
          <t>More than 20%</t>
        </is>
      </c>
      <c r="BG266" s="25">
        <f>IF(BF266="More than 20%",10,IF(BF266="Between 12 to 20%",5,IF(BF266="Less than 12%",0,0)))</f>
        <v/>
      </c>
      <c r="BH266" s="25" t="inlineStr">
        <is>
          <t>No</t>
        </is>
      </c>
      <c r="BI266" s="25">
        <f>IF(BH266="No",10,0)</f>
        <v/>
      </c>
      <c r="BJ266" s="25" t="inlineStr">
        <is>
          <t>Yes</t>
        </is>
      </c>
      <c r="BK266" s="25">
        <f>IF(BJ266="NO",5,0)</f>
        <v/>
      </c>
      <c r="BL266" s="25" t="inlineStr">
        <is>
          <t>Less than 1.5</t>
        </is>
      </c>
      <c r="BM266" s="25">
        <f>IF(BL266="Above 2",0,IF(BL266="Between 1.5 to 2",5,IF(BL266="Less than 1.5",10,0)))</f>
        <v/>
      </c>
      <c r="BN266" s="25" t="inlineStr">
        <is>
          <t>Negative</t>
        </is>
      </c>
      <c r="BO266" s="25">
        <f>IF(BN266="Above 70%",10,IF(BN266="Between 50% to 70%",5,IF(BN266="Less than 50%",0,IF(BN266="Negative",-10,IF(BN266="Less than 50% and Borrowings are increasing",-5,0)))))</f>
        <v/>
      </c>
      <c r="BP266" s="25" t="inlineStr">
        <is>
          <t>Less than 0.7</t>
        </is>
      </c>
      <c r="BQ266" s="25">
        <f>IF(BP266="More than 1.2",-10,IF(BP266="Between 0.7 to 1.2",0,IF(BP266="Less than 0.7",10,0)))</f>
        <v/>
      </c>
      <c r="BR266" s="25" t="inlineStr">
        <is>
          <t>No</t>
        </is>
      </c>
      <c r="BS266" s="25">
        <f>IF(BR266="Yes",-10,0)</f>
        <v/>
      </c>
      <c r="BT266" s="25" t="inlineStr">
        <is>
          <t>Less than 15%</t>
        </is>
      </c>
      <c r="BU266" s="25">
        <f>IF(BT266="More than 15%",-10,IF(BT266="Less than 15%",10,0))</f>
        <v/>
      </c>
      <c r="BV266" s="25" t="inlineStr">
        <is>
          <t>No</t>
        </is>
      </c>
      <c r="BW266" s="25">
        <f>IF(BV266="Yes, more than 10%",-10,IF(BV266="No",10,0))</f>
        <v/>
      </c>
    </row>
    <row r="267">
      <c r="A267" s="25">
        <f>IF(B267=0,"",RANK(B267,$B$2:$B$292,0))</f>
        <v/>
      </c>
      <c r="B267" s="26">
        <f>SUM(Q267,S267,U267,W267,Y267,AA267,AC267,AE267,AG267,AI267,AK267,AM267,AO267,AQ267,AS267,AU267,AW267,AY267,BA267,BC267,BE267,BG267,BI267,BK267,BM267,BO267,BQ267,BS267,BU267,BW267)</f>
        <v/>
      </c>
      <c r="C267" s="25" t="inlineStr">
        <is>
          <t>HNDFDS</t>
        </is>
      </c>
      <c r="D267" s="25" t="inlineStr">
        <is>
          <t>Hindustan Foods Ltd</t>
        </is>
      </c>
      <c r="E267" s="25" t="inlineStr">
        <is>
          <t>fmcg</t>
        </is>
      </c>
      <c r="F267" s="25" t="inlineStr">
        <is>
          <t>diversified - large</t>
        </is>
      </c>
      <c r="G267" s="25" t="inlineStr">
        <is>
          <t>midcap</t>
        </is>
      </c>
      <c r="H267" s="26" t="n">
        <v>6249.49</v>
      </c>
      <c r="I267" s="26" t="n">
        <v>540.25</v>
      </c>
      <c r="J267" s="26" t="n">
        <v>3.29</v>
      </c>
      <c r="K267" s="26" t="n">
        <v>89638</v>
      </c>
      <c r="L267" s="26" t="n">
        <v>57.36</v>
      </c>
      <c r="M267" s="26" t="n">
        <v>17.32</v>
      </c>
      <c r="N267" s="26" t="n">
        <v>448.31</v>
      </c>
      <c r="O267" s="25" t="inlineStr">
        <is>
          <t>Near 52W High Breakout</t>
        </is>
      </c>
      <c r="P267" s="25" t="inlineStr">
        <is>
          <t>Growing Industry</t>
        </is>
      </c>
      <c r="Q267" s="25">
        <f>IF(P267="Growing Industry",10,IF(P267="Cyclical in an Upturn",5,0))</f>
        <v/>
      </c>
      <c r="R267" s="25" t="inlineStr">
        <is>
          <t>Too Many Players with High ROCE</t>
        </is>
      </c>
      <c r="S267" s="25">
        <f>IF(R267="Monopoly",10,IF(R267="Oligopoly",5,IF(R267="Duopoly that cooperate",10,IF(R267="Duopoly that compete",5,IF(R267="Too many players with High ROCE",5,0)))))</f>
        <v/>
      </c>
      <c r="T267" s="25" t="inlineStr">
        <is>
          <t>No</t>
        </is>
      </c>
      <c r="U267" s="25">
        <f>IF(T267="No",5,0)</f>
        <v/>
      </c>
      <c r="V267" s="25" t="inlineStr">
        <is>
          <t>Tailwind</t>
        </is>
      </c>
      <c r="W267" s="25">
        <f>IF(V267="Tailwind",10,0)</f>
        <v/>
      </c>
      <c r="X267" s="25" t="inlineStr">
        <is>
          <t>Structural (10 Years Consistency)</t>
        </is>
      </c>
      <c r="Y267" s="25">
        <f>IF(X267="Structural (10 Years Consistency)",10,IF(X267="Shallow Cyclical (2 to 3 years growth)",5,0))</f>
        <v/>
      </c>
      <c r="Z267" s="25" t="inlineStr">
        <is>
          <t>No</t>
        </is>
      </c>
      <c r="AA267" s="25">
        <f>IF(Z267="Yes due to Product Mix change or Operating Leverage",10,IF(Z267="Yes, these are peak margins",-5,IF(Z267="No",5,0)))</f>
        <v/>
      </c>
      <c r="AB267" s="25" t="inlineStr">
        <is>
          <t>Stable</t>
        </is>
      </c>
      <c r="AC267" s="25">
        <f>IF(AB267="Stable",10,0)</f>
        <v/>
      </c>
      <c r="AD267" s="25" t="inlineStr">
        <is>
          <t>Yes</t>
        </is>
      </c>
      <c r="AE267" s="25">
        <f>IF(AD267="Yes",10,0)</f>
        <v/>
      </c>
      <c r="AF267" s="25" t="inlineStr">
        <is>
          <t>B2C</t>
        </is>
      </c>
      <c r="AG267" s="25">
        <f>IF(AF267="B2C",10,IF(AF267="B2B",5,0))</f>
        <v/>
      </c>
      <c r="AH267" s="25" t="inlineStr">
        <is>
          <t>Yes</t>
        </is>
      </c>
      <c r="AI267" s="25">
        <f>IF(AH267="Yes",10,0)</f>
        <v/>
      </c>
      <c r="AJ267" s="25" t="inlineStr">
        <is>
          <t>Higher Annuity, Lower One Time</t>
        </is>
      </c>
      <c r="AK267" s="25">
        <f>IF(AJ267="Fully Annuity",10,IF(AJ267="Higher Annuity, Lower One Time",5,IF(AJ267="Higher One Time, Lower Annuity",3,0)))</f>
        <v/>
      </c>
      <c r="AL267" s="25" t="inlineStr">
        <is>
          <t>Good</t>
        </is>
      </c>
      <c r="AM267" s="25">
        <f>IF(AL267="Good",10,0)</f>
        <v/>
      </c>
      <c r="AN267" s="25" t="inlineStr">
        <is>
          <t>Yes for more than 2 years</t>
        </is>
      </c>
      <c r="AO267" s="25">
        <f>IF(AN267="Yes for more than 2 years",10,IF(AN267="Yes only for next 1 to 2 years",5,0))</f>
        <v/>
      </c>
      <c r="AP267" s="25" t="inlineStr">
        <is>
          <t>0 to 20</t>
        </is>
      </c>
      <c r="AQ267" s="25">
        <f>IF(AP267="Above 40",20,IF(AP267="20 to 40",10,IF(AP267="0 to 20",-5,0)))</f>
        <v/>
      </c>
      <c r="AR267" s="25" t="inlineStr">
        <is>
          <t>Between 50 to 75</t>
        </is>
      </c>
      <c r="AS267" s="25">
        <f>IF(AR267="Between 50 to 75",10,IF(AR267="Above 75",0,0))</f>
        <v/>
      </c>
      <c r="AT267" s="25" t="inlineStr">
        <is>
          <t>Stage 2</t>
        </is>
      </c>
      <c r="AU267" s="25">
        <f>IF(AT267="Stage 2",20,IF(AT267="Stage 1",0,IF(AT267="Stage 3",5,IF(AT267="Stage 4",-5,0))))</f>
        <v/>
      </c>
      <c r="AV267" s="25" t="inlineStr">
        <is>
          <t>Negative Trend</t>
        </is>
      </c>
      <c r="AW267" s="25">
        <f>IF(AV267="Positive Trend",20,IF(AV267="Negative Trend",-10,0))</f>
        <v/>
      </c>
      <c r="AX267" s="25" t="inlineStr">
        <is>
          <t>Uptrend</t>
        </is>
      </c>
      <c r="AY267" s="25">
        <f>IF(AX267="Uptrend",10,IF(AX267="Sideways",5,0))</f>
        <v/>
      </c>
      <c r="AZ267" s="25" t="inlineStr">
        <is>
          <t>Uptrend</t>
        </is>
      </c>
      <c r="BA267" s="25">
        <f>IF(AZ267="Uptrend",10,IF(AZ267="Sideways",5,0))</f>
        <v/>
      </c>
      <c r="BB267" s="25" t="inlineStr">
        <is>
          <t>Close to 52 week high or retracement</t>
        </is>
      </c>
      <c r="BC267" s="25">
        <f>IF(BB267="Overhead supply in last 2 years in last 2 years",-5,IF(BB267="Close to 52 week high or retracement",5,IF(BB267="Blue sky scenario",10,IF(BB267="Long term Downtrend",-10,0))))</f>
        <v/>
      </c>
      <c r="BD267" s="25" t="inlineStr">
        <is>
          <t>Yes</t>
        </is>
      </c>
      <c r="BE267" s="25">
        <f>IF(BD267="Yes",10,0)</f>
        <v/>
      </c>
      <c r="BF267" s="25" t="inlineStr">
        <is>
          <t>More than 20%</t>
        </is>
      </c>
      <c r="BG267" s="25">
        <f>IF(BF267="More than 20%",10,IF(BF267="Between 12 to 20%",5,IF(BF267="Less than 12%",0,0)))</f>
        <v/>
      </c>
      <c r="BH267" s="25" t="inlineStr">
        <is>
          <t>No</t>
        </is>
      </c>
      <c r="BI267" s="25">
        <f>IF(BH267="No",10,0)</f>
        <v/>
      </c>
      <c r="BJ267" s="25" t="inlineStr">
        <is>
          <t>Yes</t>
        </is>
      </c>
      <c r="BK267" s="25">
        <f>IF(BJ267="NO",5,0)</f>
        <v/>
      </c>
      <c r="BL267" s="25" t="inlineStr">
        <is>
          <t>Less than 1.5</t>
        </is>
      </c>
      <c r="BM267" s="25">
        <f>IF(BL267="Above 2",0,IF(BL267="Between 1.5 to 2",5,IF(BL267="Less than 1.5",10,0)))</f>
        <v/>
      </c>
      <c r="BN267" s="25" t="inlineStr">
        <is>
          <t>Less than 50%</t>
        </is>
      </c>
      <c r="BO267" s="25">
        <f>IF(BN267="Above 70%",10,IF(BN267="Between 50% to 70%",5,IF(BN267="Less than 50%",0,IF(BN267="Negative",-10,IF(BN267="Less than 50% and Borrowings are increasing",-5,0)))))</f>
        <v/>
      </c>
      <c r="BP267" s="25" t="inlineStr">
        <is>
          <t>Between 0.7 to 1.2</t>
        </is>
      </c>
      <c r="BQ267" s="25">
        <f>IF(BP267="More than 1.2",-10,IF(BP267="Between 0.7 to 1.2",0,IF(BP267="Less than 0.7",10,0)))</f>
        <v/>
      </c>
      <c r="BR267" s="25" t="inlineStr">
        <is>
          <t>No</t>
        </is>
      </c>
      <c r="BS267" s="25">
        <f>IF(BR267="Yes",-10,0)</f>
        <v/>
      </c>
      <c r="BT267" s="25" t="inlineStr">
        <is>
          <t>Less than 15%</t>
        </is>
      </c>
      <c r="BU267" s="25">
        <f>IF(BT267="More than 15%",-10,IF(BT267="Less than 15%",10,0))</f>
        <v/>
      </c>
      <c r="BV267" s="25" t="inlineStr">
        <is>
          <t>No</t>
        </is>
      </c>
      <c r="BW267" s="25">
        <f>IF(BV267="Yes, more than 10%",-10,IF(BV267="No",10,0))</f>
        <v/>
      </c>
    </row>
    <row r="268">
      <c r="A268" s="25">
        <f>IF(B268=0,"",RANK(B268,$B$2:$B$292,0))</f>
        <v/>
      </c>
      <c r="B268" s="26">
        <f>SUM(Q268,S268,U268,W268,Y268,AA268,AC268,AE268,AG268,AI268,AK268,AM268,AO268,AQ268,AS268,AU268,AW268,AY268,BA268,BC268,BE268,BG268,BI268,BK268,BM268,BO268,BQ268,BS268,BU268,BW268)</f>
        <v/>
      </c>
      <c r="C268" s="25" t="inlineStr">
        <is>
          <t>TECHM</t>
        </is>
      </c>
      <c r="D268" s="25" t="inlineStr">
        <is>
          <t>Tech Mahindra Limited</t>
        </is>
      </c>
      <c r="E268" s="25" t="inlineStr">
        <is>
          <t>i.t</t>
        </is>
      </c>
      <c r="F268" s="25" t="inlineStr">
        <is>
          <t>computers - software - large</t>
        </is>
      </c>
      <c r="G268" s="25" t="inlineStr">
        <is>
          <t>largecap</t>
        </is>
      </c>
      <c r="H268" s="26" t="n">
        <v>151209.1</v>
      </c>
      <c r="I268" s="26" t="n">
        <v>1571.4</v>
      </c>
      <c r="J268" s="26" t="n">
        <v>1.83</v>
      </c>
      <c r="K268" s="26" t="n">
        <v>4169279</v>
      </c>
      <c r="L268" s="26" t="n">
        <v>56.66</v>
      </c>
      <c r="M268" s="26" t="n">
        <v>13.19</v>
      </c>
      <c r="N268" s="26" t="n">
        <v>1275.83</v>
      </c>
      <c r="O268" s="25" t="inlineStr">
        <is>
          <t>Earnings / Momentum Support</t>
        </is>
      </c>
      <c r="P268" s="25" t="inlineStr">
        <is>
          <t>Growing Industry</t>
        </is>
      </c>
      <c r="Q268" s="25">
        <f>IF(P268="Growing Industry",10,IF(P268="Cyclical in an Upturn",5,0))</f>
        <v/>
      </c>
      <c r="R268" s="25" t="inlineStr">
        <is>
          <t>Too Many Players with High ROCE</t>
        </is>
      </c>
      <c r="S268" s="25">
        <f>IF(R268="Monopoly",10,IF(R268="Oligopoly",5,IF(R268="Duopoly that cooperate",10,IF(R268="Duopoly that compete",5,IF(R268="Too many players with High ROCE",5,0)))))</f>
        <v/>
      </c>
      <c r="T268" s="25" t="inlineStr">
        <is>
          <t>No</t>
        </is>
      </c>
      <c r="U268" s="25">
        <f>IF(T268="No",5,0)</f>
        <v/>
      </c>
      <c r="V268" s="25" t="inlineStr">
        <is>
          <t>Headwind</t>
        </is>
      </c>
      <c r="W268" s="25">
        <f>IF(V268="Tailwind",10,0)</f>
        <v/>
      </c>
      <c r="X268" s="25" t="inlineStr">
        <is>
          <t>Structural (10 Years Consistency)</t>
        </is>
      </c>
      <c r="Y268" s="25">
        <f>IF(X268="Structural (10 Years Consistency)",10,IF(X268="Shallow Cyclical (2 to 3 years growth)",5,0))</f>
        <v/>
      </c>
      <c r="Z268" s="25" t="inlineStr">
        <is>
          <t>No</t>
        </is>
      </c>
      <c r="AA268" s="25">
        <f>IF(Z268="Yes due to Product Mix change or Operating Leverage",10,IF(Z268="Yes, these are peak margins",-5,IF(Z268="No",5,0)))</f>
        <v/>
      </c>
      <c r="AB268" s="25" t="inlineStr">
        <is>
          <t>Stable</t>
        </is>
      </c>
      <c r="AC268" s="25">
        <f>IF(AB268="Stable",10,0)</f>
        <v/>
      </c>
      <c r="AD268" s="25" t="inlineStr">
        <is>
          <t>Yes</t>
        </is>
      </c>
      <c r="AE268" s="25">
        <f>IF(AD268="Yes",10,0)</f>
        <v/>
      </c>
      <c r="AF268" s="25" t="inlineStr">
        <is>
          <t>B2B</t>
        </is>
      </c>
      <c r="AG268" s="25">
        <f>IF(AF268="B2C",10,IF(AF268="B2B",5,0))</f>
        <v/>
      </c>
      <c r="AH268" s="25" t="inlineStr">
        <is>
          <t>No</t>
        </is>
      </c>
      <c r="AI268" s="25">
        <f>IF(AH268="Yes",10,0)</f>
        <v/>
      </c>
      <c r="AJ268" s="25" t="inlineStr">
        <is>
          <t>Higher Annuity, Lower One Time</t>
        </is>
      </c>
      <c r="AK268" s="25">
        <f>IF(AJ268="Fully Annuity",10,IF(AJ268="Higher Annuity, Lower One Time",5,IF(AJ268="Higher One Time, Lower Annuity",3,0)))</f>
        <v/>
      </c>
      <c r="AL268" s="25" t="inlineStr">
        <is>
          <t>Good</t>
        </is>
      </c>
      <c r="AM268" s="25">
        <f>IF(AL268="Good",10,0)</f>
        <v/>
      </c>
      <c r="AN268" s="25" t="inlineStr">
        <is>
          <t>Yes for more than 2 years</t>
        </is>
      </c>
      <c r="AO268" s="25">
        <f>IF(AN268="Yes for more than 2 years",10,IF(AN268="Yes only for next 1 to 2 years",5,0))</f>
        <v/>
      </c>
      <c r="AP268" s="25" t="inlineStr">
        <is>
          <t>0 to 20</t>
        </is>
      </c>
      <c r="AQ268" s="25">
        <f>IF(AP268="Above 40",20,IF(AP268="20 to 40",10,IF(AP268="0 to 20",-5,0)))</f>
        <v/>
      </c>
      <c r="AR268" s="25" t="inlineStr">
        <is>
          <t>Between 50 to 75</t>
        </is>
      </c>
      <c r="AS268" s="25">
        <f>IF(AR268="Between 50 to 75",10,IF(AR268="Above 75",0,0))</f>
        <v/>
      </c>
      <c r="AT268" s="25" t="inlineStr">
        <is>
          <t>Stage 1</t>
        </is>
      </c>
      <c r="AU268" s="25">
        <f>IF(AT268="Stage 2",20,IF(AT268="Stage 1",0,IF(AT268="Stage 3",5,IF(AT268="Stage 4",-5,0))))</f>
        <v/>
      </c>
      <c r="AV268" s="25" t="inlineStr">
        <is>
          <t>Positive Trend</t>
        </is>
      </c>
      <c r="AW268" s="25">
        <f>IF(AV268="Positive Trend",20,IF(AV268="Negative Trend",-10,0))</f>
        <v/>
      </c>
      <c r="AX268" s="25" t="inlineStr">
        <is>
          <t>Uptrend</t>
        </is>
      </c>
      <c r="AY268" s="25">
        <f>IF(AX268="Uptrend",10,IF(AX268="Sideways",5,0))</f>
        <v/>
      </c>
      <c r="AZ268" s="25" t="inlineStr">
        <is>
          <t>Uptrend</t>
        </is>
      </c>
      <c r="BA268" s="25">
        <f>IF(AZ268="Uptrend",10,IF(AZ268="Sideways",5,0))</f>
        <v/>
      </c>
      <c r="BB268" s="25" t="inlineStr">
        <is>
          <t>Close to 52 week high or retracement</t>
        </is>
      </c>
      <c r="BC268" s="25">
        <f>IF(BB268="Overhead supply in last 2 years in last 2 years",-5,IF(BB268="Close to 52 week high or retracement",5,IF(BB268="Blue sky scenario",10,IF(BB268="Long term Downtrend",-10,0))))</f>
        <v/>
      </c>
      <c r="BD268" s="25" t="inlineStr">
        <is>
          <t>Yes</t>
        </is>
      </c>
      <c r="BE268" s="25">
        <f>IF(BD268="Yes",10,0)</f>
        <v/>
      </c>
      <c r="BF268" s="25" t="inlineStr">
        <is>
          <t>Between 12 to 20%</t>
        </is>
      </c>
      <c r="BG268" s="25">
        <f>IF(BF268="More than 20%",10,IF(BF268="Between 12 to 20%",5,IF(BF268="Less than 12%",0,0)))</f>
        <v/>
      </c>
      <c r="BH268" s="25" t="inlineStr">
        <is>
          <t>No</t>
        </is>
      </c>
      <c r="BI268" s="25">
        <f>IF(BH268="No",10,0)</f>
        <v/>
      </c>
      <c r="BJ268" s="25" t="inlineStr">
        <is>
          <t>No</t>
        </is>
      </c>
      <c r="BK268" s="25">
        <f>IF(BJ268="NO",5,0)</f>
        <v/>
      </c>
      <c r="BL268" s="25" t="inlineStr">
        <is>
          <t>Less than 1.5</t>
        </is>
      </c>
      <c r="BM268" s="25">
        <f>IF(BL268="Above 2",0,IF(BL268="Between 1.5 to 2",5,IF(BL268="Less than 1.5",10,0)))</f>
        <v/>
      </c>
      <c r="BN268" s="25" t="inlineStr">
        <is>
          <t>Between 50% to 70%</t>
        </is>
      </c>
      <c r="BO268" s="25">
        <f>IF(BN268="Above 70%",10,IF(BN268="Between 50% to 70%",5,IF(BN268="Less than 50%",0,IF(BN268="Negative",-10,IF(BN268="Less than 50% and Borrowings are increasing",-5,0)))))</f>
        <v/>
      </c>
      <c r="BP268" s="25" t="inlineStr">
        <is>
          <t>Less than 0.7</t>
        </is>
      </c>
      <c r="BQ268" s="25">
        <f>IF(BP268="More than 1.2",-10,IF(BP268="Between 0.7 to 1.2",0,IF(BP268="Less than 0.7",10,0)))</f>
        <v/>
      </c>
      <c r="BR268" s="25" t="inlineStr">
        <is>
          <t>No</t>
        </is>
      </c>
      <c r="BS268" s="25">
        <f>IF(BR268="Yes",-10,0)</f>
        <v/>
      </c>
      <c r="BT268" s="25" t="inlineStr">
        <is>
          <t>Less than 15%</t>
        </is>
      </c>
      <c r="BU268" s="25">
        <f>IF(BT268="More than 15%",-10,IF(BT268="Less than 15%",10,0))</f>
        <v/>
      </c>
      <c r="BV268" s="25" t="inlineStr">
        <is>
          <t>No</t>
        </is>
      </c>
      <c r="BW268" s="25">
        <f>IF(BV268="Yes, more than 10%",-10,IF(BV268="No",10,0))</f>
        <v/>
      </c>
    </row>
    <row r="269">
      <c r="A269" s="25">
        <f>IF(B269=0,"",RANK(B269,$B$2:$B$292,0))</f>
        <v/>
      </c>
      <c r="B269" s="26">
        <f>SUM(Q269,S269,U269,W269,Y269,AA269,AC269,AE269,AG269,AI269,AK269,AM269,AO269,AQ269,AS269,AU269,AW269,AY269,BA269,BC269,BE269,BG269,BI269,BK269,BM269,BO269,BQ269,BS269,BU269,BW269)</f>
        <v/>
      </c>
      <c r="C269" s="25" t="inlineStr">
        <is>
          <t>PERSISTENT</t>
        </is>
      </c>
      <c r="D269" s="25" t="inlineStr">
        <is>
          <t>Persistent Systems Limited</t>
        </is>
      </c>
      <c r="E269" s="25" t="inlineStr">
        <is>
          <t>i.t</t>
        </is>
      </c>
      <c r="F269" s="25" t="inlineStr">
        <is>
          <t>computers - software - large</t>
        </is>
      </c>
      <c r="G269" s="25" t="inlineStr">
        <is>
          <t>largecap</t>
        </is>
      </c>
      <c r="H269" s="26" t="n">
        <v>85216.55</v>
      </c>
      <c r="I269" s="26" t="n">
        <v>5470.5</v>
      </c>
      <c r="J269" s="26" t="n">
        <v>1.27</v>
      </c>
      <c r="K269" s="26" t="n">
        <v>1368824</v>
      </c>
      <c r="L269" s="26" t="n">
        <v>52.89</v>
      </c>
      <c r="M269" s="26" t="n">
        <v>13.46</v>
      </c>
      <c r="N269" s="26" t="n">
        <v>4220.67</v>
      </c>
      <c r="O269" s="25" t="inlineStr">
        <is>
          <t>Earnings / Momentum Support</t>
        </is>
      </c>
      <c r="P269" s="25" t="inlineStr">
        <is>
          <t>Growing Industry</t>
        </is>
      </c>
      <c r="Q269" s="25">
        <f>IF(P269="Growing Industry",10,IF(P269="Cyclical in an Upturn",5,0))</f>
        <v/>
      </c>
      <c r="R269" s="25" t="inlineStr">
        <is>
          <t>Too Many Players with High ROCE</t>
        </is>
      </c>
      <c r="S269" s="25">
        <f>IF(R269="Monopoly",10,IF(R269="Oligopoly",5,IF(R269="Duopoly that cooperate",10,IF(R269="Duopoly that compete",5,IF(R269="Too many players with High ROCE",5,0)))))</f>
        <v/>
      </c>
      <c r="T269" s="25" t="inlineStr">
        <is>
          <t>No</t>
        </is>
      </c>
      <c r="U269" s="25">
        <f>IF(T269="No",5,0)</f>
        <v/>
      </c>
      <c r="V269" s="25" t="inlineStr">
        <is>
          <t>Headwind</t>
        </is>
      </c>
      <c r="W269" s="25">
        <f>IF(V269="Tailwind",10,0)</f>
        <v/>
      </c>
      <c r="X269" s="25" t="inlineStr">
        <is>
          <t>Structural (10 Years Consistency)</t>
        </is>
      </c>
      <c r="Y269" s="25">
        <f>IF(X269="Structural (10 Years Consistency)",10,IF(X269="Shallow Cyclical (2 to 3 years growth)",5,0))</f>
        <v/>
      </c>
      <c r="Z269" s="25" t="inlineStr">
        <is>
          <t>No</t>
        </is>
      </c>
      <c r="AA269" s="25">
        <f>IF(Z269="Yes due to Product Mix change or Operating Leverage",10,IF(Z269="Yes, these are peak margins",-5,IF(Z269="No",5,0)))</f>
        <v/>
      </c>
      <c r="AB269" s="25" t="inlineStr">
        <is>
          <t>Stable</t>
        </is>
      </c>
      <c r="AC269" s="25">
        <f>IF(AB269="Stable",10,0)</f>
        <v/>
      </c>
      <c r="AD269" s="25" t="inlineStr">
        <is>
          <t>Yes</t>
        </is>
      </c>
      <c r="AE269" s="25">
        <f>IF(AD269="Yes",10,0)</f>
        <v/>
      </c>
      <c r="AF269" s="25" t="inlineStr">
        <is>
          <t>B2B</t>
        </is>
      </c>
      <c r="AG269" s="25">
        <f>IF(AF269="B2C",10,IF(AF269="B2B",5,0))</f>
        <v/>
      </c>
      <c r="AH269" s="25" t="inlineStr">
        <is>
          <t>No</t>
        </is>
      </c>
      <c r="AI269" s="25">
        <f>IF(AH269="Yes",10,0)</f>
        <v/>
      </c>
      <c r="AJ269" s="25" t="inlineStr">
        <is>
          <t>Higher Annuity, Lower One Time</t>
        </is>
      </c>
      <c r="AK269" s="25">
        <f>IF(AJ269="Fully Annuity",10,IF(AJ269="Higher Annuity, Lower One Time",5,IF(AJ269="Higher One Time, Lower Annuity",3,0)))</f>
        <v/>
      </c>
      <c r="AL269" s="25" t="inlineStr">
        <is>
          <t>Good</t>
        </is>
      </c>
      <c r="AM269" s="25">
        <f>IF(AL269="Good",10,0)</f>
        <v/>
      </c>
      <c r="AN269" s="25" t="inlineStr">
        <is>
          <t>Yes for more than 2 years</t>
        </is>
      </c>
      <c r="AO269" s="25">
        <f>IF(AN269="Yes for more than 2 years",10,IF(AN269="Yes only for next 1 to 2 years",5,0))</f>
        <v/>
      </c>
      <c r="AP269" s="25" t="inlineStr">
        <is>
          <t>0 to 20</t>
        </is>
      </c>
      <c r="AQ269" s="25">
        <f>IF(AP269="Above 40",20,IF(AP269="20 to 40",10,IF(AP269="0 to 20",-5,0)))</f>
        <v/>
      </c>
      <c r="AR269" s="25" t="inlineStr">
        <is>
          <t>Between 50 to 75</t>
        </is>
      </c>
      <c r="AS269" s="25">
        <f>IF(AR269="Between 50 to 75",10,IF(AR269="Above 75",0,0))</f>
        <v/>
      </c>
      <c r="AT269" s="25" t="inlineStr">
        <is>
          <t>Stage 1</t>
        </is>
      </c>
      <c r="AU269" s="25">
        <f>IF(AT269="Stage 2",20,IF(AT269="Stage 1",0,IF(AT269="Stage 3",5,IF(AT269="Stage 4",-5,0))))</f>
        <v/>
      </c>
      <c r="AV269" s="25" t="inlineStr">
        <is>
          <t>Positive Trend</t>
        </is>
      </c>
      <c r="AW269" s="25">
        <f>IF(AV269="Positive Trend",20,IF(AV269="Negative Trend",-10,0))</f>
        <v/>
      </c>
      <c r="AX269" s="25" t="inlineStr">
        <is>
          <t>Uptrend</t>
        </is>
      </c>
      <c r="AY269" s="25">
        <f>IF(AX269="Uptrend",10,IF(AX269="Sideways",5,0))</f>
        <v/>
      </c>
      <c r="AZ269" s="25" t="inlineStr">
        <is>
          <t>Uptrend</t>
        </is>
      </c>
      <c r="BA269" s="25">
        <f>IF(AZ269="Uptrend",10,IF(AZ269="Sideways",5,0))</f>
        <v/>
      </c>
      <c r="BB269" s="25" t="inlineStr">
        <is>
          <t>Close to 52 week high or retracement</t>
        </is>
      </c>
      <c r="BC269" s="25">
        <f>IF(BB269="Overhead supply in last 2 years in last 2 years",-5,IF(BB269="Close to 52 week high or retracement",5,IF(BB269="Blue sky scenario",10,IF(BB269="Long term Downtrend",-10,0))))</f>
        <v/>
      </c>
      <c r="BD269" s="25" t="inlineStr">
        <is>
          <t>Yes</t>
        </is>
      </c>
      <c r="BE269" s="25">
        <f>IF(BD269="Yes",10,0)</f>
        <v/>
      </c>
      <c r="BF269" s="25" t="inlineStr">
        <is>
          <t>More than 20%</t>
        </is>
      </c>
      <c r="BG269" s="25">
        <f>IF(BF269="More than 20%",10,IF(BF269="Between 12 to 20%",5,IF(BF269="Less than 12%",0,0)))</f>
        <v/>
      </c>
      <c r="BH269" s="25" t="inlineStr">
        <is>
          <t>No</t>
        </is>
      </c>
      <c r="BI269" s="25">
        <f>IF(BH269="No",10,0)</f>
        <v/>
      </c>
      <c r="BJ269" s="25" t="inlineStr">
        <is>
          <t>Yes</t>
        </is>
      </c>
      <c r="BK269" s="25">
        <f>IF(BJ269="NO",5,0)</f>
        <v/>
      </c>
      <c r="BL269" s="25" t="inlineStr">
        <is>
          <t>Less than 1.5</t>
        </is>
      </c>
      <c r="BM269" s="25">
        <f>IF(BL269="Above 2",0,IF(BL269="Between 1.5 to 2",5,IF(BL269="Less than 1.5",10,0)))</f>
        <v/>
      </c>
      <c r="BN269" s="25" t="inlineStr">
        <is>
          <t>Between 50% to 70%</t>
        </is>
      </c>
      <c r="BO269" s="25">
        <f>IF(BN269="Above 70%",10,IF(BN269="Between 50% to 70%",5,IF(BN269="Less than 50%",0,IF(BN269="Negative",-10,IF(BN269="Less than 50% and Borrowings are increasing",-5,0)))))</f>
        <v/>
      </c>
      <c r="BP269" s="25" t="inlineStr">
        <is>
          <t>Less than 0.7</t>
        </is>
      </c>
      <c r="BQ269" s="25">
        <f>IF(BP269="More than 1.2",-10,IF(BP269="Between 0.7 to 1.2",0,IF(BP269="Less than 0.7",10,0)))</f>
        <v/>
      </c>
      <c r="BR269" s="25" t="inlineStr">
        <is>
          <t>No</t>
        </is>
      </c>
      <c r="BS269" s="25">
        <f>IF(BR269="Yes",-10,0)</f>
        <v/>
      </c>
      <c r="BT269" s="25" t="inlineStr">
        <is>
          <t>Less than 15%</t>
        </is>
      </c>
      <c r="BU269" s="25">
        <f>IF(BT269="More than 15%",-10,IF(BT269="Less than 15%",10,0))</f>
        <v/>
      </c>
      <c r="BV269" s="25" t="inlineStr">
        <is>
          <t>No</t>
        </is>
      </c>
      <c r="BW269" s="25">
        <f>IF(BV269="Yes, more than 10%",-10,IF(BV269="No",10,0))</f>
        <v/>
      </c>
    </row>
    <row r="270">
      <c r="A270" s="25">
        <f>IF(B270=0,"",RANK(B270,$B$2:$B$292,0))</f>
        <v/>
      </c>
      <c r="B270" s="26">
        <f>SUM(Q270,S270,U270,W270,Y270,AA270,AC270,AE270,AG270,AI270,AK270,AM270,AO270,AQ270,AS270,AU270,AW270,AY270,BA270,BC270,BE270,BG270,BI270,BK270,BM270,BO270,BQ270,BS270,BU270,BW270)</f>
        <v/>
      </c>
      <c r="C270" s="25" t="inlineStr">
        <is>
          <t>SPAL</t>
        </is>
      </c>
      <c r="D270" s="25" t="inlineStr">
        <is>
          <t>S. P. Apparels Limited</t>
        </is>
      </c>
      <c r="E270" s="25" t="inlineStr">
        <is>
          <t>textiles</t>
        </is>
      </c>
      <c r="F270" s="25" t="inlineStr">
        <is>
          <t>textiles - products</t>
        </is>
      </c>
      <c r="G270" s="25" t="inlineStr">
        <is>
          <t>smallcap</t>
        </is>
      </c>
      <c r="H270" s="26" t="n">
        <v>1943.86</v>
      </c>
      <c r="I270" s="26" t="n">
        <v>807.1</v>
      </c>
      <c r="J270" s="26" t="n">
        <v>4.38</v>
      </c>
      <c r="K270" s="26" t="n">
        <v>28343</v>
      </c>
      <c r="L270" s="26" t="n">
        <v>59.74</v>
      </c>
      <c r="M270" s="26" t="n">
        <v>17.87</v>
      </c>
      <c r="N270" s="26" t="n">
        <v>620.9</v>
      </c>
      <c r="O270" s="25" t="inlineStr">
        <is>
          <t>Earnings / Momentum Support</t>
        </is>
      </c>
      <c r="P270" s="25" t="inlineStr">
        <is>
          <t>Growing Industry</t>
        </is>
      </c>
      <c r="Q270" s="25">
        <f>IF(P270="Growing Industry",10,IF(P270="Cyclical in an Upturn",5,0))</f>
        <v/>
      </c>
      <c r="R270" s="25" t="inlineStr">
        <is>
          <t>Too Many Players with High ROCE</t>
        </is>
      </c>
      <c r="S270" s="25">
        <f>IF(R270="Monopoly",10,IF(R270="Oligopoly",5,IF(R270="Duopoly that cooperate",10,IF(R270="Duopoly that compete",5,IF(R270="Too many players with High ROCE",5,0)))))</f>
        <v/>
      </c>
      <c r="T270" s="25" t="inlineStr">
        <is>
          <t>No</t>
        </is>
      </c>
      <c r="U270" s="25">
        <f>IF(T270="No",5,0)</f>
        <v/>
      </c>
      <c r="V270" s="25" t="inlineStr">
        <is>
          <t>Tailwind</t>
        </is>
      </c>
      <c r="W270" s="25">
        <f>IF(V270="Tailwind",10,0)</f>
        <v/>
      </c>
      <c r="X270" s="25" t="inlineStr">
        <is>
          <t>Structural (10 Years Consistency)</t>
        </is>
      </c>
      <c r="Y270" s="25">
        <f>IF(X270="Structural (10 Years Consistency)",10,IF(X270="Shallow Cyclical (2 to 3 years growth)",5,0))</f>
        <v/>
      </c>
      <c r="Z270" s="25" t="inlineStr">
        <is>
          <t>No</t>
        </is>
      </c>
      <c r="AA270" s="25">
        <f>IF(Z270="Yes due to Product Mix change or Operating Leverage",10,IF(Z270="Yes, these are peak margins",-5,IF(Z270="No",5,0)))</f>
        <v/>
      </c>
      <c r="AB270" s="25" t="inlineStr">
        <is>
          <t>Stable</t>
        </is>
      </c>
      <c r="AC270" s="25">
        <f>IF(AB270="Stable",10,0)</f>
        <v/>
      </c>
      <c r="AD270" s="25" t="inlineStr">
        <is>
          <t>Yes</t>
        </is>
      </c>
      <c r="AE270" s="25">
        <f>IF(AD270="Yes",10,0)</f>
        <v/>
      </c>
      <c r="AF270" s="25" t="inlineStr">
        <is>
          <t>B2B</t>
        </is>
      </c>
      <c r="AG270" s="25">
        <f>IF(AF270="B2C",10,IF(AF270="B2B",5,0))</f>
        <v/>
      </c>
      <c r="AH270" s="25" t="inlineStr">
        <is>
          <t>No</t>
        </is>
      </c>
      <c r="AI270" s="25">
        <f>IF(AH270="Yes",10,0)</f>
        <v/>
      </c>
      <c r="AJ270" s="25" t="inlineStr">
        <is>
          <t>Higher One Time, Lower Annuity</t>
        </is>
      </c>
      <c r="AK270" s="25">
        <f>IF(AJ270="Fully Annuity",10,IF(AJ270="Higher Annuity, Lower One Time",5,IF(AJ270="Higher One Time, Lower Annuity",3,0)))</f>
        <v/>
      </c>
      <c r="AL270" s="25" t="inlineStr">
        <is>
          <t>Good</t>
        </is>
      </c>
      <c r="AM270" s="25">
        <f>IF(AL270="Good",10,0)</f>
        <v/>
      </c>
      <c r="AN270" s="25" t="inlineStr">
        <is>
          <t>Yes for more than 2 years</t>
        </is>
      </c>
      <c r="AO270" s="25">
        <f>IF(AN270="Yes for more than 2 years",10,IF(AN270="Yes only for next 1 to 2 years",5,0))</f>
        <v/>
      </c>
      <c r="AP270" s="25" t="inlineStr">
        <is>
          <t>0 to 20</t>
        </is>
      </c>
      <c r="AQ270" s="25">
        <f>IF(AP270="Above 40",20,IF(AP270="20 to 40",10,IF(AP270="0 to 20",-5,0)))</f>
        <v/>
      </c>
      <c r="AR270" s="25" t="inlineStr">
        <is>
          <t>Between 50 to 75</t>
        </is>
      </c>
      <c r="AS270" s="25">
        <f>IF(AR270="Between 50 to 75",10,IF(AR270="Above 75",0,0))</f>
        <v/>
      </c>
      <c r="AT270" s="25" t="inlineStr">
        <is>
          <t>Stage 2</t>
        </is>
      </c>
      <c r="AU270" s="25">
        <f>IF(AT270="Stage 2",20,IF(AT270="Stage 1",0,IF(AT270="Stage 3",5,IF(AT270="Stage 4",-5,0))))</f>
        <v/>
      </c>
      <c r="AV270" s="25" t="inlineStr">
        <is>
          <t>Negative Trend</t>
        </is>
      </c>
      <c r="AW270" s="25">
        <f>IF(AV270="Positive Trend",20,IF(AV270="Negative Trend",-10,0))</f>
        <v/>
      </c>
      <c r="AX270" s="25" t="inlineStr">
        <is>
          <t>Uptrend</t>
        </is>
      </c>
      <c r="AY270" s="25">
        <f>IF(AX270="Uptrend",10,IF(AX270="Sideways",5,0))</f>
        <v/>
      </c>
      <c r="AZ270" s="25" t="inlineStr">
        <is>
          <t>Uptrend</t>
        </is>
      </c>
      <c r="BA270" s="25">
        <f>IF(AZ270="Uptrend",10,IF(AZ270="Sideways",5,0))</f>
        <v/>
      </c>
      <c r="BB270" s="25" t="inlineStr">
        <is>
          <t>Close to 52 week high or retracement</t>
        </is>
      </c>
      <c r="BC270" s="25">
        <f>IF(BB270="Overhead supply in last 2 years in last 2 years",-5,IF(BB270="Close to 52 week high or retracement",5,IF(BB270="Blue sky scenario",10,IF(BB270="Long term Downtrend",-10,0))))</f>
        <v/>
      </c>
      <c r="BD270" s="25" t="inlineStr">
        <is>
          <t>Yes</t>
        </is>
      </c>
      <c r="BE270" s="25">
        <f>IF(BD270="Yes",10,0)</f>
        <v/>
      </c>
      <c r="BF270" s="25" t="inlineStr">
        <is>
          <t>Less than 12%</t>
        </is>
      </c>
      <c r="BG270" s="25">
        <f>IF(BF270="More than 20%",10,IF(BF270="Between 12 to 20%",5,IF(BF270="Less than 12%",0,0)))</f>
        <v/>
      </c>
      <c r="BH270" s="25" t="inlineStr">
        <is>
          <t>No</t>
        </is>
      </c>
      <c r="BI270" s="25">
        <f>IF(BH270="No",10,0)</f>
        <v/>
      </c>
      <c r="BJ270" s="25" t="inlineStr">
        <is>
          <t>No</t>
        </is>
      </c>
      <c r="BK270" s="25">
        <f>IF(BJ270="NO",5,0)</f>
        <v/>
      </c>
      <c r="BL270" s="25" t="inlineStr">
        <is>
          <t>Less than 1.5</t>
        </is>
      </c>
      <c r="BM270" s="25">
        <f>IF(BL270="Above 2",0,IF(BL270="Between 1.5 to 2",5,IF(BL270="Less than 1.5",10,0)))</f>
        <v/>
      </c>
      <c r="BN270" s="25" t="inlineStr">
        <is>
          <t>Above 70%</t>
        </is>
      </c>
      <c r="BO270" s="25">
        <f>IF(BN270="Above 70%",10,IF(BN270="Between 50% to 70%",5,IF(BN270="Less than 50%",0,IF(BN270="Negative",-10,IF(BN270="Less than 50% and Borrowings are increasing",-5,0)))))</f>
        <v/>
      </c>
      <c r="BP270" s="25" t="inlineStr">
        <is>
          <t>Less than 0.7</t>
        </is>
      </c>
      <c r="BQ270" s="25">
        <f>IF(BP270="More than 1.2",-10,IF(BP270="Between 0.7 to 1.2",0,IF(BP270="Less than 0.7",10,0)))</f>
        <v/>
      </c>
      <c r="BR270" s="25" t="inlineStr">
        <is>
          <t>No</t>
        </is>
      </c>
      <c r="BS270" s="25">
        <f>IF(BR270="Yes",-10,0)</f>
        <v/>
      </c>
      <c r="BT270" s="25" t="inlineStr">
        <is>
          <t>Less than 15%</t>
        </is>
      </c>
      <c r="BU270" s="25">
        <f>IF(BT270="More than 15%",-10,IF(BT270="Less than 15%",10,0))</f>
        <v/>
      </c>
      <c r="BV270" s="25" t="inlineStr">
        <is>
          <t>No</t>
        </is>
      </c>
      <c r="BW270" s="25">
        <f>IF(BV270="Yes, more than 10%",-10,IF(BV270="No",10,0))</f>
        <v/>
      </c>
    </row>
    <row r="271">
      <c r="A271" s="25">
        <f>IF(B271=0,"",RANK(B271,$B$2:$B$292,0))</f>
        <v/>
      </c>
      <c r="B271" s="26">
        <f>SUM(Q271,S271,U271,W271,Y271,AA271,AC271,AE271,AG271,AI271,AK271,AM271,AO271,AQ271,AS271,AU271,AW271,AY271,BA271,BC271,BE271,BG271,BI271,BK271,BM271,BO271,BQ271,BS271,BU271,BW271)</f>
        <v/>
      </c>
      <c r="C271" s="25" t="inlineStr">
        <is>
          <t>SOTL</t>
        </is>
      </c>
      <c r="D271" s="25" t="inlineStr">
        <is>
          <t>Savita Oil Technologies Limited</t>
        </is>
      </c>
      <c r="E271" s="25" t="inlineStr">
        <is>
          <t>energy</t>
        </is>
      </c>
      <c r="F271" s="25" t="inlineStr">
        <is>
          <t>petrochemicals</t>
        </is>
      </c>
      <c r="G271" s="25" t="inlineStr">
        <is>
          <t>smallcap</t>
        </is>
      </c>
      <c r="H271" s="26" t="n">
        <v>2880.57</v>
      </c>
      <c r="I271" s="26" t="n">
        <v>437.75</v>
      </c>
      <c r="J271" s="26" t="n">
        <v>4.19</v>
      </c>
      <c r="K271" s="26" t="n">
        <v>85250</v>
      </c>
      <c r="L271" s="26" t="n">
        <v>62.04</v>
      </c>
      <c r="M271" s="26" t="n">
        <v>21.45</v>
      </c>
      <c r="N271" s="26" t="n">
        <v>333.57</v>
      </c>
      <c r="O271" s="25" t="inlineStr">
        <is>
          <t>Near 52W High Breakout</t>
        </is>
      </c>
      <c r="P271" s="25" t="inlineStr">
        <is>
          <t>Cyclical in an Upturn</t>
        </is>
      </c>
      <c r="Q271" s="25">
        <f>IF(P271="Growing Industry",10,IF(P271="Cyclical in an Upturn",5,0))</f>
        <v/>
      </c>
      <c r="R271" s="25" t="inlineStr">
        <is>
          <t>Oligopoly</t>
        </is>
      </c>
      <c r="S271" s="25">
        <f>IF(R271="Monopoly",10,IF(R271="Oligopoly",5,IF(R271="Duopoly that cooperate",10,IF(R271="Duopoly that compete",5,IF(R271="Too many players with High ROCE",5,0)))))</f>
        <v/>
      </c>
      <c r="T271" s="25" t="inlineStr">
        <is>
          <t>Yes</t>
        </is>
      </c>
      <c r="U271" s="25">
        <f>IF(T271="No",5,0)</f>
        <v/>
      </c>
      <c r="V271" s="25" t="inlineStr">
        <is>
          <t>Tailwind</t>
        </is>
      </c>
      <c r="W271" s="25">
        <f>IF(V271="Tailwind",10,0)</f>
        <v/>
      </c>
      <c r="X271" s="25" t="inlineStr">
        <is>
          <t>Cyclical</t>
        </is>
      </c>
      <c r="Y271" s="25">
        <f>IF(X271="Structural (10 Years Consistency)",10,IF(X271="Shallow Cyclical (2 to 3 years growth)",5,0))</f>
        <v/>
      </c>
      <c r="Z271" s="25" t="inlineStr">
        <is>
          <t>No</t>
        </is>
      </c>
      <c r="AA271" s="25">
        <f>IF(Z271="Yes due to Product Mix change or Operating Leverage",10,IF(Z271="Yes, these are peak margins",-5,IF(Z271="No",5,0)))</f>
        <v/>
      </c>
      <c r="AB271" s="25" t="inlineStr">
        <is>
          <t>Volatile</t>
        </is>
      </c>
      <c r="AC271" s="25">
        <f>IF(AB271="Stable",10,0)</f>
        <v/>
      </c>
      <c r="AD271" s="25" t="inlineStr">
        <is>
          <t>Yes</t>
        </is>
      </c>
      <c r="AE271" s="25">
        <f>IF(AD271="Yes",10,0)</f>
        <v/>
      </c>
      <c r="AF271" s="25" t="inlineStr">
        <is>
          <t>B2B</t>
        </is>
      </c>
      <c r="AG271" s="25">
        <f>IF(AF271="B2C",10,IF(AF271="B2B",5,0))</f>
        <v/>
      </c>
      <c r="AH271" s="25" t="inlineStr">
        <is>
          <t>Yes</t>
        </is>
      </c>
      <c r="AI271" s="25">
        <f>IF(AH271="Yes",10,0)</f>
        <v/>
      </c>
      <c r="AJ271" s="25" t="inlineStr">
        <is>
          <t>Higher One Time, Lower Annuity</t>
        </is>
      </c>
      <c r="AK271" s="25">
        <f>IF(AJ271="Fully Annuity",10,IF(AJ271="Higher Annuity, Lower One Time",5,IF(AJ271="Higher One Time, Lower Annuity",3,0)))</f>
        <v/>
      </c>
      <c r="AL271" s="25" t="inlineStr">
        <is>
          <t>Good</t>
        </is>
      </c>
      <c r="AM271" s="25">
        <f>IF(AL271="Good",10,0)</f>
        <v/>
      </c>
      <c r="AN271" s="25" t="inlineStr">
        <is>
          <t>Yes for more than 2 years</t>
        </is>
      </c>
      <c r="AO271" s="25">
        <f>IF(AN271="Yes for more than 2 years",10,IF(AN271="Yes only for next 1 to 2 years",5,0))</f>
        <v/>
      </c>
      <c r="AP271" s="25" t="inlineStr">
        <is>
          <t>20 to 40</t>
        </is>
      </c>
      <c r="AQ271" s="25">
        <f>IF(AP271="Above 40",20,IF(AP271="20 to 40",10,IF(AP271="0 to 20",-5,0)))</f>
        <v/>
      </c>
      <c r="AR271" s="25" t="inlineStr">
        <is>
          <t>Between 50 to 75</t>
        </is>
      </c>
      <c r="AS271" s="25">
        <f>IF(AR271="Between 50 to 75",10,IF(AR271="Above 75",0,0))</f>
        <v/>
      </c>
      <c r="AT271" s="25" t="inlineStr">
        <is>
          <t>Stage 2</t>
        </is>
      </c>
      <c r="AU271" s="25">
        <f>IF(AT271="Stage 2",20,IF(AT271="Stage 1",0,IF(AT271="Stage 3",5,IF(AT271="Stage 4",-5,0))))</f>
        <v/>
      </c>
      <c r="AV271" s="25" t="inlineStr">
        <is>
          <t>Negative Trend</t>
        </is>
      </c>
      <c r="AW271" s="25">
        <f>IF(AV271="Positive Trend",20,IF(AV271="Negative Trend",-10,0))</f>
        <v/>
      </c>
      <c r="AX271" s="25" t="inlineStr">
        <is>
          <t>Uptrend</t>
        </is>
      </c>
      <c r="AY271" s="25">
        <f>IF(AX271="Uptrend",10,IF(AX271="Sideways",5,0))</f>
        <v/>
      </c>
      <c r="AZ271" s="25" t="inlineStr">
        <is>
          <t>Uptrend</t>
        </is>
      </c>
      <c r="BA271" s="25">
        <f>IF(AZ271="Uptrend",10,IF(AZ271="Sideways",5,0))</f>
        <v/>
      </c>
      <c r="BB271" s="25" t="inlineStr">
        <is>
          <t>Close to 52 week high or retracement</t>
        </is>
      </c>
      <c r="BC271" s="25">
        <f>IF(BB271="Overhead supply in last 2 years in last 2 years",-5,IF(BB271="Close to 52 week high or retracement",5,IF(BB271="Blue sky scenario",10,IF(BB271="Long term Downtrend",-10,0))))</f>
        <v/>
      </c>
      <c r="BD271" s="25" t="inlineStr">
        <is>
          <t>Yes</t>
        </is>
      </c>
      <c r="BE271" s="25">
        <f>IF(BD271="Yes",10,0)</f>
        <v/>
      </c>
      <c r="BF271" s="25" t="inlineStr">
        <is>
          <t>More than 20%</t>
        </is>
      </c>
      <c r="BG271" s="25">
        <f>IF(BF271="More than 20%",10,IF(BF271="Between 12 to 20%",5,IF(BF271="Less than 12%",0,0)))</f>
        <v/>
      </c>
      <c r="BH271" s="25" t="inlineStr">
        <is>
          <t>No</t>
        </is>
      </c>
      <c r="BI271" s="25">
        <f>IF(BH271="No",10,0)</f>
        <v/>
      </c>
      <c r="BJ271" s="25" t="inlineStr">
        <is>
          <t>No</t>
        </is>
      </c>
      <c r="BK271" s="25">
        <f>IF(BJ271="NO",5,0)</f>
        <v/>
      </c>
      <c r="BL271" s="25" t="inlineStr">
        <is>
          <t>Less than 1.5</t>
        </is>
      </c>
      <c r="BM271" s="25">
        <f>IF(BL271="Above 2",0,IF(BL271="Between 1.5 to 2",5,IF(BL271="Less than 1.5",10,0)))</f>
        <v/>
      </c>
      <c r="BN271" s="25" t="inlineStr">
        <is>
          <t>Between 50% to 70%</t>
        </is>
      </c>
      <c r="BO271" s="25">
        <f>IF(BN271="Above 70%",10,IF(BN271="Between 50% to 70%",5,IF(BN271="Less than 50%",0,IF(BN271="Negative",-10,IF(BN271="Less than 50% and Borrowings are increasing",-5,0)))))</f>
        <v/>
      </c>
      <c r="BP271" s="25" t="inlineStr">
        <is>
          <t>Less than 0.7</t>
        </is>
      </c>
      <c r="BQ271" s="25">
        <f>IF(BP271="More than 1.2",-10,IF(BP271="Between 0.7 to 1.2",0,IF(BP271="Less than 0.7",10,0)))</f>
        <v/>
      </c>
      <c r="BR271" s="25" t="inlineStr">
        <is>
          <t>No</t>
        </is>
      </c>
      <c r="BS271" s="25">
        <f>IF(BR271="Yes",-10,0)</f>
        <v/>
      </c>
      <c r="BT271" s="25" t="inlineStr">
        <is>
          <t>Less than 15%</t>
        </is>
      </c>
      <c r="BU271" s="25">
        <f>IF(BT271="More than 15%",-10,IF(BT271="Less than 15%",10,0))</f>
        <v/>
      </c>
      <c r="BV271" s="25" t="inlineStr">
        <is>
          <t>No</t>
        </is>
      </c>
      <c r="BW271" s="25">
        <f>IF(BV271="Yes, more than 10%",-10,IF(BV271="No",10,0))</f>
        <v/>
      </c>
    </row>
    <row r="272">
      <c r="A272" s="25">
        <f>IF(B272=0,"",RANK(B272,$B$2:$B$292,0))</f>
        <v/>
      </c>
      <c r="B272" s="26">
        <f>SUM(Q272,S272,U272,W272,Y272,AA272,AC272,AE272,AG272,AI272,AK272,AM272,AO272,AQ272,AS272,AU272,AW272,AY272,BA272,BC272,BE272,BG272,BI272,BK272,BM272,BO272,BQ272,BS272,BU272,BW272)</f>
        <v/>
      </c>
      <c r="C272" s="25" t="inlineStr">
        <is>
          <t>BOSCHLTD</t>
        </is>
      </c>
      <c r="D272" s="25" t="inlineStr">
        <is>
          <t>Bosch Limited</t>
        </is>
      </c>
      <c r="E272" s="25" t="inlineStr">
        <is>
          <t>auto</t>
        </is>
      </c>
      <c r="F272" s="25" t="inlineStr">
        <is>
          <t>auto ancillaries</t>
        </is>
      </c>
      <c r="G272" s="25" t="inlineStr">
        <is>
          <t>largecap</t>
        </is>
      </c>
      <c r="H272" s="26" t="n">
        <v>108256.41</v>
      </c>
      <c r="I272" s="26" t="n">
        <v>37220</v>
      </c>
      <c r="J272" s="26" t="n">
        <v>1.4</v>
      </c>
      <c r="K272" s="26" t="n">
        <v>53220</v>
      </c>
      <c r="L272" s="26" t="n">
        <v>54.32</v>
      </c>
      <c r="M272" s="26" t="n">
        <v>18.43</v>
      </c>
      <c r="N272" s="26" t="n">
        <v>31256.62</v>
      </c>
      <c r="O272" s="25" t="inlineStr">
        <is>
          <t>Earnings / Momentum Support</t>
        </is>
      </c>
      <c r="P272" s="25" t="inlineStr">
        <is>
          <t>Growing Industry</t>
        </is>
      </c>
      <c r="Q272" s="25">
        <f>IF(P272="Growing Industry",10,IF(P272="Cyclical in an Upturn",5,0))</f>
        <v/>
      </c>
      <c r="R272" s="25" t="inlineStr">
        <is>
          <t>Too Many Players with High ROCE</t>
        </is>
      </c>
      <c r="S272" s="25">
        <f>IF(R272="Monopoly",10,IF(R272="Oligopoly",5,IF(R272="Duopoly that cooperate",10,IF(R272="Duopoly that compete",5,IF(R272="Too many players with High ROCE",5,0)))))</f>
        <v/>
      </c>
      <c r="T272" s="25" t="inlineStr">
        <is>
          <t>No</t>
        </is>
      </c>
      <c r="U272" s="25">
        <f>IF(T272="No",5,0)</f>
        <v/>
      </c>
      <c r="V272" s="25" t="inlineStr">
        <is>
          <t>Tailwind</t>
        </is>
      </c>
      <c r="W272" s="25">
        <f>IF(V272="Tailwind",10,0)</f>
        <v/>
      </c>
      <c r="X272" s="25" t="inlineStr">
        <is>
          <t>Structural (10 Years Consistency)</t>
        </is>
      </c>
      <c r="Y272" s="25">
        <f>IF(X272="Structural (10 Years Consistency)",10,IF(X272="Shallow Cyclical (2 to 3 years growth)",5,0))</f>
        <v/>
      </c>
      <c r="Z272" s="25" t="inlineStr">
        <is>
          <t>No</t>
        </is>
      </c>
      <c r="AA272" s="25">
        <f>IF(Z272="Yes due to Product Mix change or Operating Leverage",10,IF(Z272="Yes, these are peak margins",-5,IF(Z272="No",5,0)))</f>
        <v/>
      </c>
      <c r="AB272" s="25" t="inlineStr">
        <is>
          <t>Stable</t>
        </is>
      </c>
      <c r="AC272" s="25">
        <f>IF(AB272="Stable",10,0)</f>
        <v/>
      </c>
      <c r="AD272" s="25" t="inlineStr">
        <is>
          <t>Yes</t>
        </is>
      </c>
      <c r="AE272" s="25">
        <f>IF(AD272="Yes",10,0)</f>
        <v/>
      </c>
      <c r="AF272" s="25" t="inlineStr">
        <is>
          <t>B2B</t>
        </is>
      </c>
      <c r="AG272" s="25">
        <f>IF(AF272="B2C",10,IF(AF272="B2B",5,0))</f>
        <v/>
      </c>
      <c r="AH272" s="25" t="inlineStr">
        <is>
          <t>No</t>
        </is>
      </c>
      <c r="AI272" s="25">
        <f>IF(AH272="Yes",10,0)</f>
        <v/>
      </c>
      <c r="AJ272" s="25" t="inlineStr">
        <is>
          <t>Higher One Time, Lower Annuity</t>
        </is>
      </c>
      <c r="AK272" s="25">
        <f>IF(AJ272="Fully Annuity",10,IF(AJ272="Higher Annuity, Lower One Time",5,IF(AJ272="Higher One Time, Lower Annuity",3,0)))</f>
        <v/>
      </c>
      <c r="AL272" s="25" t="inlineStr">
        <is>
          <t>Good</t>
        </is>
      </c>
      <c r="AM272" s="25">
        <f>IF(AL272="Good",10,0)</f>
        <v/>
      </c>
      <c r="AN272" s="25" t="inlineStr">
        <is>
          <t>Yes for more than 2 years</t>
        </is>
      </c>
      <c r="AO272" s="25">
        <f>IF(AN272="Yes for more than 2 years",10,IF(AN272="Yes only for next 1 to 2 years",5,0))</f>
        <v/>
      </c>
      <c r="AP272" s="25" t="inlineStr">
        <is>
          <t>0 to 20</t>
        </is>
      </c>
      <c r="AQ272" s="25">
        <f>IF(AP272="Above 40",20,IF(AP272="20 to 40",10,IF(AP272="0 to 20",-5,0)))</f>
        <v/>
      </c>
      <c r="AR272" s="25" t="inlineStr">
        <is>
          <t>Between 50 to 75</t>
        </is>
      </c>
      <c r="AS272" s="25">
        <f>IF(AR272="Between 50 to 75",10,IF(AR272="Above 75",0,0))</f>
        <v/>
      </c>
      <c r="AT272" s="25" t="inlineStr">
        <is>
          <t>Stage 2</t>
        </is>
      </c>
      <c r="AU272" s="25">
        <f>IF(AT272="Stage 2",20,IF(AT272="Stage 1",0,IF(AT272="Stage 3",5,IF(AT272="Stage 4",-5,0))))</f>
        <v/>
      </c>
      <c r="AV272" s="25" t="inlineStr">
        <is>
          <t>Negative Trend</t>
        </is>
      </c>
      <c r="AW272" s="25">
        <f>IF(AV272="Positive Trend",20,IF(AV272="Negative Trend",-10,0))</f>
        <v/>
      </c>
      <c r="AX272" s="25" t="inlineStr">
        <is>
          <t>Uptrend</t>
        </is>
      </c>
      <c r="AY272" s="25">
        <f>IF(AX272="Uptrend",10,IF(AX272="Sideways",5,0))</f>
        <v/>
      </c>
      <c r="AZ272" s="25" t="inlineStr">
        <is>
          <t>Uptrend</t>
        </is>
      </c>
      <c r="BA272" s="25">
        <f>IF(AZ272="Uptrend",10,IF(AZ272="Sideways",5,0))</f>
        <v/>
      </c>
      <c r="BB272" s="25" t="inlineStr">
        <is>
          <t>Close to 52 week high or retracement</t>
        </is>
      </c>
      <c r="BC272" s="25">
        <f>IF(BB272="Overhead supply in last 2 years in last 2 years",-5,IF(BB272="Close to 52 week high or retracement",5,IF(BB272="Blue sky scenario",10,IF(BB272="Long term Downtrend",-10,0))))</f>
        <v/>
      </c>
      <c r="BD272" s="25" t="inlineStr">
        <is>
          <t>Yes</t>
        </is>
      </c>
      <c r="BE272" s="25">
        <f>IF(BD272="Yes",10,0)</f>
        <v/>
      </c>
      <c r="BF272" s="25" t="inlineStr">
        <is>
          <t>Less than 12%</t>
        </is>
      </c>
      <c r="BG272" s="25">
        <f>IF(BF272="More than 20%",10,IF(BF272="Between 12 to 20%",5,IF(BF272="Less than 12%",0,0)))</f>
        <v/>
      </c>
      <c r="BH272" s="25" t="inlineStr">
        <is>
          <t>No</t>
        </is>
      </c>
      <c r="BI272" s="25">
        <f>IF(BH272="No",10,0)</f>
        <v/>
      </c>
      <c r="BJ272" s="25" t="inlineStr">
        <is>
          <t>No</t>
        </is>
      </c>
      <c r="BK272" s="25">
        <f>IF(BJ272="NO",5,0)</f>
        <v/>
      </c>
      <c r="BL272" s="25" t="inlineStr">
        <is>
          <t>Less than 1.5</t>
        </is>
      </c>
      <c r="BM272" s="25">
        <f>IF(BL272="Above 2",0,IF(BL272="Between 1.5 to 2",5,IF(BL272="Less than 1.5",10,0)))</f>
        <v/>
      </c>
      <c r="BN272" s="25" t="inlineStr">
        <is>
          <t>Above 70%</t>
        </is>
      </c>
      <c r="BO272" s="25">
        <f>IF(BN272="Above 70%",10,IF(BN272="Between 50% to 70%",5,IF(BN272="Less than 50%",0,IF(BN272="Negative",-10,IF(BN272="Less than 50% and Borrowings are increasing",-5,0)))))</f>
        <v/>
      </c>
      <c r="BP272" s="25" t="inlineStr">
        <is>
          <t>Less than 0.7</t>
        </is>
      </c>
      <c r="BQ272" s="25">
        <f>IF(BP272="More than 1.2",-10,IF(BP272="Between 0.7 to 1.2",0,IF(BP272="Less than 0.7",10,0)))</f>
        <v/>
      </c>
      <c r="BR272" s="25" t="inlineStr">
        <is>
          <t>No</t>
        </is>
      </c>
      <c r="BS272" s="25">
        <f>IF(BR272="Yes",-10,0)</f>
        <v/>
      </c>
      <c r="BT272" s="25" t="inlineStr">
        <is>
          <t>Less than 15%</t>
        </is>
      </c>
      <c r="BU272" s="25">
        <f>IF(BT272="More than 15%",-10,IF(BT272="Less than 15%",10,0))</f>
        <v/>
      </c>
      <c r="BV272" s="25" t="inlineStr">
        <is>
          <t>No</t>
        </is>
      </c>
      <c r="BW272" s="25">
        <f>IF(BV272="Yes, more than 10%",-10,IF(BV272="No",10,0))</f>
        <v/>
      </c>
    </row>
    <row r="273">
      <c r="A273" s="25">
        <f>IF(B273=0,"",RANK(B273,$B$2:$B$292,0))</f>
        <v/>
      </c>
      <c r="B273" s="26">
        <f>SUM(Q273,S273,U273,W273,Y273,AA273,AC273,AE273,AG273,AI273,AK273,AM273,AO273,AQ273,AS273,AU273,AW273,AY273,BA273,BC273,BE273,BG273,BI273,BK273,BM273,BO273,BQ273,BS273,BU273,BW273)</f>
        <v/>
      </c>
      <c r="C273" s="25" t="inlineStr">
        <is>
          <t>WELENT</t>
        </is>
      </c>
      <c r="D273" s="25" t="inlineStr">
        <is>
          <t>Welspun Enterprises Limited</t>
        </is>
      </c>
      <c r="E273" s="25" t="inlineStr">
        <is>
          <t>realty</t>
        </is>
      </c>
      <c r="F273" s="25" t="inlineStr">
        <is>
          <t>construction</t>
        </is>
      </c>
      <c r="G273" s="25" t="inlineStr">
        <is>
          <t>midcap</t>
        </is>
      </c>
      <c r="H273" s="26" t="n">
        <v>7074.33</v>
      </c>
      <c r="I273" s="26" t="n">
        <v>517.5</v>
      </c>
      <c r="J273" s="26" t="n">
        <v>1.25</v>
      </c>
      <c r="K273" s="26" t="n">
        <v>128950</v>
      </c>
      <c r="L273" s="26" t="n">
        <v>56</v>
      </c>
      <c r="M273" s="26" t="n">
        <v>11.67</v>
      </c>
      <c r="N273" s="26" t="n">
        <v>406.14</v>
      </c>
      <c r="O273" s="25" t="inlineStr">
        <is>
          <t>Earnings / Momentum Support</t>
        </is>
      </c>
      <c r="P273" s="25" t="inlineStr">
        <is>
          <t>Growing Industry</t>
        </is>
      </c>
      <c r="Q273" s="25">
        <f>IF(P273="Growing Industry",10,IF(P273="Cyclical in an Upturn",5,0))</f>
        <v/>
      </c>
      <c r="R273" s="25" t="inlineStr">
        <is>
          <t>Too Many Players with High ROCE</t>
        </is>
      </c>
      <c r="S273" s="25">
        <f>IF(R273="Monopoly",10,IF(R273="Oligopoly",5,IF(R273="Duopoly that cooperate",10,IF(R273="Duopoly that compete",5,IF(R273="Too many players with High ROCE",5,0)))))</f>
        <v/>
      </c>
      <c r="T273" s="25" t="inlineStr">
        <is>
          <t>No</t>
        </is>
      </c>
      <c r="U273" s="25">
        <f>IF(T273="No",5,0)</f>
        <v/>
      </c>
      <c r="V273" s="25" t="inlineStr">
        <is>
          <t>Tailwind</t>
        </is>
      </c>
      <c r="W273" s="25">
        <f>IF(V273="Tailwind",10,0)</f>
        <v/>
      </c>
      <c r="X273" s="25" t="inlineStr">
        <is>
          <t>Structural (10 Years Consistency)</t>
        </is>
      </c>
      <c r="Y273" s="25">
        <f>IF(X273="Structural (10 Years Consistency)",10,IF(X273="Shallow Cyclical (2 to 3 years growth)",5,0))</f>
        <v/>
      </c>
      <c r="Z273" s="25" t="inlineStr">
        <is>
          <t>No</t>
        </is>
      </c>
      <c r="AA273" s="25">
        <f>IF(Z273="Yes due to Product Mix change or Operating Leverage",10,IF(Z273="Yes, these are peak margins",-5,IF(Z273="No",5,0)))</f>
        <v/>
      </c>
      <c r="AB273" s="25" t="inlineStr">
        <is>
          <t>Stable</t>
        </is>
      </c>
      <c r="AC273" s="25">
        <f>IF(AB273="Stable",10,0)</f>
        <v/>
      </c>
      <c r="AD273" s="25" t="inlineStr">
        <is>
          <t>Yes</t>
        </is>
      </c>
      <c r="AE273" s="25">
        <f>IF(AD273="Yes",10,0)</f>
        <v/>
      </c>
      <c r="AF273" s="25" t="inlineStr">
        <is>
          <t>B2B</t>
        </is>
      </c>
      <c r="AG273" s="25">
        <f>IF(AF273="B2C",10,IF(AF273="B2B",5,0))</f>
        <v/>
      </c>
      <c r="AH273" s="25" t="inlineStr">
        <is>
          <t>No</t>
        </is>
      </c>
      <c r="AI273" s="25">
        <f>IF(AH273="Yes",10,0)</f>
        <v/>
      </c>
      <c r="AJ273" s="25" t="inlineStr">
        <is>
          <t>Higher One Time, Lower Annuity</t>
        </is>
      </c>
      <c r="AK273" s="25">
        <f>IF(AJ273="Fully Annuity",10,IF(AJ273="Higher Annuity, Lower One Time",5,IF(AJ273="Higher One Time, Lower Annuity",3,0)))</f>
        <v/>
      </c>
      <c r="AL273" s="25" t="inlineStr">
        <is>
          <t>Good</t>
        </is>
      </c>
      <c r="AM273" s="25">
        <f>IF(AL273="Good",10,0)</f>
        <v/>
      </c>
      <c r="AN273" s="25" t="inlineStr">
        <is>
          <t>Yes for more than 2 years</t>
        </is>
      </c>
      <c r="AO273" s="25">
        <f>IF(AN273="Yes for more than 2 years",10,IF(AN273="Yes only for next 1 to 2 years",5,0))</f>
        <v/>
      </c>
      <c r="AP273" s="25" t="inlineStr">
        <is>
          <t>0 to 20</t>
        </is>
      </c>
      <c r="AQ273" s="25">
        <f>IF(AP273="Above 40",20,IF(AP273="20 to 40",10,IF(AP273="0 to 20",-5,0)))</f>
        <v/>
      </c>
      <c r="AR273" s="25" t="inlineStr">
        <is>
          <t>Between 50 to 75</t>
        </is>
      </c>
      <c r="AS273" s="25">
        <f>IF(AR273="Between 50 to 75",10,IF(AR273="Above 75",0,0))</f>
        <v/>
      </c>
      <c r="AT273" s="25" t="inlineStr">
        <is>
          <t>Stage 2</t>
        </is>
      </c>
      <c r="AU273" s="25">
        <f>IF(AT273="Stage 2",20,IF(AT273="Stage 1",0,IF(AT273="Stage 3",5,IF(AT273="Stage 4",-5,0))))</f>
        <v/>
      </c>
      <c r="AV273" s="25" t="inlineStr">
        <is>
          <t>Negative Trend</t>
        </is>
      </c>
      <c r="AW273" s="25">
        <f>IF(AV273="Positive Trend",20,IF(AV273="Negative Trend",-10,0))</f>
        <v/>
      </c>
      <c r="AX273" s="25" t="inlineStr">
        <is>
          <t>Uptrend</t>
        </is>
      </c>
      <c r="AY273" s="25">
        <f>IF(AX273="Uptrend",10,IF(AX273="Sideways",5,0))</f>
        <v/>
      </c>
      <c r="AZ273" s="25" t="inlineStr">
        <is>
          <t>Uptrend</t>
        </is>
      </c>
      <c r="BA273" s="25">
        <f>IF(AZ273="Uptrend",10,IF(AZ273="Sideways",5,0))</f>
        <v/>
      </c>
      <c r="BB273" s="25" t="inlineStr">
        <is>
          <t>Close to 52 week high or retracement</t>
        </is>
      </c>
      <c r="BC273" s="25">
        <f>IF(BB273="Overhead supply in last 2 years in last 2 years",-5,IF(BB273="Close to 52 week high or retracement",5,IF(BB273="Blue sky scenario",10,IF(BB273="Long term Downtrend",-10,0))))</f>
        <v/>
      </c>
      <c r="BD273" s="25" t="inlineStr">
        <is>
          <t>Yes</t>
        </is>
      </c>
      <c r="BE273" s="25">
        <f>IF(BD273="Yes",10,0)</f>
        <v/>
      </c>
      <c r="BF273" s="25" t="inlineStr">
        <is>
          <t>More than 20%</t>
        </is>
      </c>
      <c r="BG273" s="25">
        <f>IF(BF273="More than 20%",10,IF(BF273="Between 12 to 20%",5,IF(BF273="Less than 12%",0,0)))</f>
        <v/>
      </c>
      <c r="BH273" s="25" t="inlineStr">
        <is>
          <t>No</t>
        </is>
      </c>
      <c r="BI273" s="25">
        <f>IF(BH273="No",10,0)</f>
        <v/>
      </c>
      <c r="BJ273" s="25" t="inlineStr">
        <is>
          <t>No</t>
        </is>
      </c>
      <c r="BK273" s="25">
        <f>IF(BJ273="NO",5,0)</f>
        <v/>
      </c>
      <c r="BL273" s="25" t="inlineStr">
        <is>
          <t>Less than 1.5</t>
        </is>
      </c>
      <c r="BM273" s="25">
        <f>IF(BL273="Above 2",0,IF(BL273="Between 1.5 to 2",5,IF(BL273="Less than 1.5",10,0)))</f>
        <v/>
      </c>
      <c r="BN273" s="25" t="inlineStr">
        <is>
          <t>Less than 50%</t>
        </is>
      </c>
      <c r="BO273" s="25">
        <f>IF(BN273="Above 70%",10,IF(BN273="Between 50% to 70%",5,IF(BN273="Less than 50%",0,IF(BN273="Negative",-10,IF(BN273="Less than 50% and Borrowings are increasing",-5,0)))))</f>
        <v/>
      </c>
      <c r="BP273" s="25" t="inlineStr">
        <is>
          <t>Less than 0.7</t>
        </is>
      </c>
      <c r="BQ273" s="25">
        <f>IF(BP273="More than 1.2",-10,IF(BP273="Between 0.7 to 1.2",0,IF(BP273="Less than 0.7",10,0)))</f>
        <v/>
      </c>
      <c r="BR273" s="25" t="inlineStr">
        <is>
          <t>No</t>
        </is>
      </c>
      <c r="BS273" s="25">
        <f>IF(BR273="Yes",-10,0)</f>
        <v/>
      </c>
      <c r="BT273" s="25" t="inlineStr">
        <is>
          <t>Less than 15%</t>
        </is>
      </c>
      <c r="BU273" s="25">
        <f>IF(BT273="More than 15%",-10,IF(BT273="Less than 15%",10,0))</f>
        <v/>
      </c>
      <c r="BV273" s="25" t="inlineStr">
        <is>
          <t>No</t>
        </is>
      </c>
      <c r="BW273" s="25">
        <f>IF(BV273="Yes, more than 10%",-10,IF(BV273="No",10,0))</f>
        <v/>
      </c>
    </row>
    <row r="274">
      <c r="A274" s="25">
        <f>IF(B274=0,"",RANK(B274,$B$2:$B$292,0))</f>
        <v/>
      </c>
      <c r="B274" s="26">
        <f>SUM(Q274,S274,U274,W274,Y274,AA274,AC274,AE274,AG274,AI274,AK274,AM274,AO274,AQ274,AS274,AU274,AW274,AY274,BA274,BC274,BE274,BG274,BI274,BK274,BM274,BO274,BQ274,BS274,BU274,BW274)</f>
        <v/>
      </c>
      <c r="C274" s="25" t="inlineStr">
        <is>
          <t>KRISHANA</t>
        </is>
      </c>
      <c r="D274" s="25" t="inlineStr">
        <is>
          <t>Krishana Phoschem Ltd</t>
        </is>
      </c>
      <c r="E274" s="25" t="inlineStr">
        <is>
          <t>chemicals</t>
        </is>
      </c>
      <c r="F274" s="25" t="inlineStr">
        <is>
          <t>fertilizers</t>
        </is>
      </c>
      <c r="G274" s="25" t="inlineStr">
        <is>
          <t>smallcap</t>
        </is>
      </c>
      <c r="H274" s="26" t="n">
        <v>4202.73</v>
      </c>
      <c r="I274" s="26" t="n">
        <v>686.45</v>
      </c>
      <c r="J274" s="26" t="n">
        <v>0.99</v>
      </c>
      <c r="K274" s="26" t="n">
        <v>309341</v>
      </c>
      <c r="L274" s="26" t="n">
        <v>68.08</v>
      </c>
      <c r="M274" s="26" t="n">
        <v>34.03</v>
      </c>
      <c r="N274" s="26" t="n">
        <v>538.09</v>
      </c>
      <c r="O274" s="25" t="inlineStr">
        <is>
          <t>Near 52W High Breakout</t>
        </is>
      </c>
      <c r="P274" s="25" t="inlineStr">
        <is>
          <t>Growing Industry</t>
        </is>
      </c>
      <c r="Q274" s="25">
        <f>IF(P274="Growing Industry",10,IF(P274="Cyclical in an Upturn",5,0))</f>
        <v/>
      </c>
      <c r="R274" s="25" t="inlineStr">
        <is>
          <t>Too Many Players with High ROCE</t>
        </is>
      </c>
      <c r="S274" s="25">
        <f>IF(R274="Monopoly",10,IF(R274="Oligopoly",5,IF(R274="Duopoly that cooperate",10,IF(R274="Duopoly that compete",5,IF(R274="Too many players with High ROCE",5,0)))))</f>
        <v/>
      </c>
      <c r="T274" s="25" t="inlineStr">
        <is>
          <t>No</t>
        </is>
      </c>
      <c r="U274" s="25">
        <f>IF(T274="No",5,0)</f>
        <v/>
      </c>
      <c r="V274" s="25" t="inlineStr">
        <is>
          <t>Tailwind</t>
        </is>
      </c>
      <c r="W274" s="25">
        <f>IF(V274="Tailwind",10,0)</f>
        <v/>
      </c>
      <c r="X274" s="25" t="inlineStr">
        <is>
          <t>Structural (10 Years Consistency)</t>
        </is>
      </c>
      <c r="Y274" s="25">
        <f>IF(X274="Structural (10 Years Consistency)",10,IF(X274="Shallow Cyclical (2 to 3 years growth)",5,0))</f>
        <v/>
      </c>
      <c r="Z274" s="25" t="inlineStr">
        <is>
          <t>No</t>
        </is>
      </c>
      <c r="AA274" s="25">
        <f>IF(Z274="Yes due to Product Mix change or Operating Leverage",10,IF(Z274="Yes, these are peak margins",-5,IF(Z274="No",5,0)))</f>
        <v/>
      </c>
      <c r="AB274" s="25" t="inlineStr">
        <is>
          <t>Stable</t>
        </is>
      </c>
      <c r="AC274" s="25">
        <f>IF(AB274="Stable",10,0)</f>
        <v/>
      </c>
      <c r="AD274" s="25" t="inlineStr">
        <is>
          <t>Yes</t>
        </is>
      </c>
      <c r="AE274" s="25">
        <f>IF(AD274="Yes",10,0)</f>
        <v/>
      </c>
      <c r="AF274" s="25" t="inlineStr">
        <is>
          <t>B2B</t>
        </is>
      </c>
      <c r="AG274" s="25">
        <f>IF(AF274="B2C",10,IF(AF274="B2B",5,0))</f>
        <v/>
      </c>
      <c r="AH274" s="25" t="inlineStr">
        <is>
          <t>Yes</t>
        </is>
      </c>
      <c r="AI274" s="25">
        <f>IF(AH274="Yes",10,0)</f>
        <v/>
      </c>
      <c r="AJ274" s="25" t="inlineStr">
        <is>
          <t>Higher One Time, Lower Annuity</t>
        </is>
      </c>
      <c r="AK274" s="25">
        <f>IF(AJ274="Fully Annuity",10,IF(AJ274="Higher Annuity, Lower One Time",5,IF(AJ274="Higher One Time, Lower Annuity",3,0)))</f>
        <v/>
      </c>
      <c r="AL274" s="25" t="inlineStr">
        <is>
          <t>Good</t>
        </is>
      </c>
      <c r="AM274" s="25">
        <f>IF(AL274="Good",10,0)</f>
        <v/>
      </c>
      <c r="AN274" s="25" t="inlineStr">
        <is>
          <t>Yes for more than 2 years</t>
        </is>
      </c>
      <c r="AO274" s="25">
        <f>IF(AN274="Yes for more than 2 years",10,IF(AN274="Yes only for next 1 to 2 years",5,0))</f>
        <v/>
      </c>
      <c r="AP274" s="25" t="inlineStr">
        <is>
          <t>20 to 40</t>
        </is>
      </c>
      <c r="AQ274" s="25">
        <f>IF(AP274="Above 40",20,IF(AP274="20 to 40",10,IF(AP274="0 to 20",-5,0)))</f>
        <v/>
      </c>
      <c r="AR274" s="25" t="inlineStr">
        <is>
          <t>Between 50 to 75</t>
        </is>
      </c>
      <c r="AS274" s="25">
        <f>IF(AR274="Between 50 to 75",10,IF(AR274="Above 75",0,0))</f>
        <v/>
      </c>
      <c r="AT274" s="25" t="inlineStr">
        <is>
          <t>Stage 2</t>
        </is>
      </c>
      <c r="AU274" s="25">
        <f>IF(AT274="Stage 2",20,IF(AT274="Stage 1",0,IF(AT274="Stage 3",5,IF(AT274="Stage 4",-5,0))))</f>
        <v/>
      </c>
      <c r="AV274" s="25" t="inlineStr">
        <is>
          <t>Negative Trend</t>
        </is>
      </c>
      <c r="AW274" s="25">
        <f>IF(AV274="Positive Trend",20,IF(AV274="Negative Trend",-10,0))</f>
        <v/>
      </c>
      <c r="AX274" s="25" t="inlineStr">
        <is>
          <t>Uptrend</t>
        </is>
      </c>
      <c r="AY274" s="25">
        <f>IF(AX274="Uptrend",10,IF(AX274="Sideways",5,0))</f>
        <v/>
      </c>
      <c r="AZ274" s="25" t="inlineStr">
        <is>
          <t>Uptrend</t>
        </is>
      </c>
      <c r="BA274" s="25">
        <f>IF(AZ274="Uptrend",10,IF(AZ274="Sideways",5,0))</f>
        <v/>
      </c>
      <c r="BB274" s="25" t="inlineStr">
        <is>
          <t>Blue sky scenario</t>
        </is>
      </c>
      <c r="BC274" s="25">
        <f>IF(BB274="Overhead supply in last 2 years in last 2 years",-5,IF(BB274="Close to 52 week high or retracement",5,IF(BB274="Blue sky scenario",10,IF(BB274="Long term Downtrend",-10,0))))</f>
        <v/>
      </c>
      <c r="BD274" s="25" t="inlineStr">
        <is>
          <t>Yes</t>
        </is>
      </c>
      <c r="BE274" s="25">
        <f>IF(BD274="Yes",10,0)</f>
        <v/>
      </c>
      <c r="BF274" s="25" t="inlineStr">
        <is>
          <t>More than 20%</t>
        </is>
      </c>
      <c r="BG274" s="25">
        <f>IF(BF274="More than 20%",10,IF(BF274="Between 12 to 20%",5,IF(BF274="Less than 12%",0,0)))</f>
        <v/>
      </c>
      <c r="BH274" s="25" t="inlineStr">
        <is>
          <t>No</t>
        </is>
      </c>
      <c r="BI274" s="25">
        <f>IF(BH274="No",10,0)</f>
        <v/>
      </c>
      <c r="BJ274" s="25" t="inlineStr">
        <is>
          <t>No</t>
        </is>
      </c>
      <c r="BK274" s="25">
        <f>IF(BJ274="NO",5,0)</f>
        <v/>
      </c>
      <c r="BL274" s="25" t="inlineStr">
        <is>
          <t>Less than 1.5</t>
        </is>
      </c>
      <c r="BM274" s="25">
        <f>IF(BL274="Above 2",0,IF(BL274="Between 1.5 to 2",5,IF(BL274="Less than 1.5",10,0)))</f>
        <v/>
      </c>
      <c r="BN274" s="25" t="inlineStr">
        <is>
          <t>Negative</t>
        </is>
      </c>
      <c r="BO274" s="25">
        <f>IF(BN274="Above 70%",10,IF(BN274="Between 50% to 70%",5,IF(BN274="Less than 50%",0,IF(BN274="Negative",-10,IF(BN274="Less than 50% and Borrowings are increasing",-5,0)))))</f>
        <v/>
      </c>
      <c r="BP274" s="25" t="inlineStr">
        <is>
          <t>More than 1.2</t>
        </is>
      </c>
      <c r="BQ274" s="25">
        <f>IF(BP274="More than 1.2",-10,IF(BP274="Between 0.7 to 1.2",0,IF(BP274="Less than 0.7",10,0)))</f>
        <v/>
      </c>
      <c r="BR274" s="25" t="inlineStr">
        <is>
          <t>No</t>
        </is>
      </c>
      <c r="BS274" s="25">
        <f>IF(BR274="Yes",-10,0)</f>
        <v/>
      </c>
      <c r="BT274" s="25" t="inlineStr">
        <is>
          <t>Less than 15%</t>
        </is>
      </c>
      <c r="BU274" s="25">
        <f>IF(BT274="More than 15%",-10,IF(BT274="Less than 15%",10,0))</f>
        <v/>
      </c>
      <c r="BV274" s="25" t="inlineStr">
        <is>
          <t>No</t>
        </is>
      </c>
      <c r="BW274" s="25">
        <f>IF(BV274="Yes, more than 10%",-10,IF(BV274="No",10,0))</f>
        <v/>
      </c>
    </row>
    <row r="275">
      <c r="A275" s="25">
        <f>IF(B275=0,"",RANK(B275,$B$2:$B$292,0))</f>
        <v/>
      </c>
      <c r="B275" s="26">
        <f>SUM(Q275,S275,U275,W275,Y275,AA275,AC275,AE275,AG275,AI275,AK275,AM275,AO275,AQ275,AS275,AU275,AW275,AY275,BA275,BC275,BE275,BG275,BI275,BK275,BM275,BO275,BQ275,BS275,BU275,BW275)</f>
        <v/>
      </c>
      <c r="C275" s="25" t="inlineStr">
        <is>
          <t>TEGA</t>
        </is>
      </c>
      <c r="D275" s="25" t="inlineStr">
        <is>
          <t>Tega Industries Ltd</t>
        </is>
      </c>
      <c r="E275" s="25" t="inlineStr">
        <is>
          <t>industrials</t>
        </is>
      </c>
      <c r="F275" s="25" t="inlineStr">
        <is>
          <t>engineering</t>
        </is>
      </c>
      <c r="G275" s="25" t="inlineStr">
        <is>
          <t>midcap</t>
        </is>
      </c>
      <c r="H275" s="26" t="n">
        <v>13608.63</v>
      </c>
      <c r="I275" s="26" t="n">
        <v>1827.1</v>
      </c>
      <c r="J275" s="26" t="n">
        <v>0.87</v>
      </c>
      <c r="K275" s="26" t="n">
        <v>370014</v>
      </c>
      <c r="L275" s="26" t="n">
        <v>55.95</v>
      </c>
      <c r="M275" s="26" t="n">
        <v>8.640000000000001</v>
      </c>
      <c r="N275" s="26" t="n">
        <v>1423.46</v>
      </c>
      <c r="O275" s="25" t="inlineStr">
        <is>
          <t>Volume Spike / Accumulation</t>
        </is>
      </c>
      <c r="P275" s="25" t="inlineStr">
        <is>
          <t>Cyclical in an Upturn</t>
        </is>
      </c>
      <c r="Q275" s="25">
        <f>IF(P275="Growing Industry",10,IF(P275="Cyclical in an Upturn",5,0))</f>
        <v/>
      </c>
      <c r="R275" s="25" t="inlineStr">
        <is>
          <t>Too Many Players with High ROCE</t>
        </is>
      </c>
      <c r="S275" s="25">
        <f>IF(R275="Monopoly",10,IF(R275="Oligopoly",5,IF(R275="Duopoly that cooperate",10,IF(R275="Duopoly that compete",5,IF(R275="Too many players with High ROCE",5,0)))))</f>
        <v/>
      </c>
      <c r="T275" s="25" t="inlineStr">
        <is>
          <t>No</t>
        </is>
      </c>
      <c r="U275" s="25">
        <f>IF(T275="No",5,0)</f>
        <v/>
      </c>
      <c r="V275" s="25" t="inlineStr">
        <is>
          <t>Headwind</t>
        </is>
      </c>
      <c r="W275" s="25">
        <f>IF(V275="Tailwind",10,0)</f>
        <v/>
      </c>
      <c r="X275" s="25" t="inlineStr">
        <is>
          <t>Structural (10 Years Consistency)</t>
        </is>
      </c>
      <c r="Y275" s="25">
        <f>IF(X275="Structural (10 Years Consistency)",10,IF(X275="Shallow Cyclical (2 to 3 years growth)",5,0))</f>
        <v/>
      </c>
      <c r="Z275" s="25" t="inlineStr">
        <is>
          <t>No</t>
        </is>
      </c>
      <c r="AA275" s="25">
        <f>IF(Z275="Yes due to Product Mix change or Operating Leverage",10,IF(Z275="Yes, these are peak margins",-5,IF(Z275="No",5,0)))</f>
        <v/>
      </c>
      <c r="AB275" s="25" t="inlineStr">
        <is>
          <t>Stable</t>
        </is>
      </c>
      <c r="AC275" s="25">
        <f>IF(AB275="Stable",10,0)</f>
        <v/>
      </c>
      <c r="AD275" s="25" t="inlineStr">
        <is>
          <t>Yes</t>
        </is>
      </c>
      <c r="AE275" s="25">
        <f>IF(AD275="Yes",10,0)</f>
        <v/>
      </c>
      <c r="AF275" s="25" t="inlineStr">
        <is>
          <t>B2B</t>
        </is>
      </c>
      <c r="AG275" s="25">
        <f>IF(AF275="B2C",10,IF(AF275="B2B",5,0))</f>
        <v/>
      </c>
      <c r="AH275" s="25" t="inlineStr">
        <is>
          <t>Yes</t>
        </is>
      </c>
      <c r="AI275" s="25">
        <f>IF(AH275="Yes",10,0)</f>
        <v/>
      </c>
      <c r="AJ275" s="25" t="inlineStr">
        <is>
          <t>Higher One Time, Lower Annuity</t>
        </is>
      </c>
      <c r="AK275" s="25">
        <f>IF(AJ275="Fully Annuity",10,IF(AJ275="Higher Annuity, Lower One Time",5,IF(AJ275="Higher One Time, Lower Annuity",3,0)))</f>
        <v/>
      </c>
      <c r="AL275" s="25" t="inlineStr">
        <is>
          <t>Good</t>
        </is>
      </c>
      <c r="AM275" s="25">
        <f>IF(AL275="Good",10,0)</f>
        <v/>
      </c>
      <c r="AN275" s="25" t="inlineStr">
        <is>
          <t>Yes for more than 2 years</t>
        </is>
      </c>
      <c r="AO275" s="25">
        <f>IF(AN275="Yes for more than 2 years",10,IF(AN275="Yes only for next 1 to 2 years",5,0))</f>
        <v/>
      </c>
      <c r="AP275" s="25" t="inlineStr">
        <is>
          <t>0 to 20</t>
        </is>
      </c>
      <c r="AQ275" s="25">
        <f>IF(AP275="Above 40",20,IF(AP275="20 to 40",10,IF(AP275="0 to 20",-5,0)))</f>
        <v/>
      </c>
      <c r="AR275" s="25" t="inlineStr">
        <is>
          <t>Between 50 to 75</t>
        </is>
      </c>
      <c r="AS275" s="25">
        <f>IF(AR275="Between 50 to 75",10,IF(AR275="Above 75",0,0))</f>
        <v/>
      </c>
      <c r="AT275" s="25" t="inlineStr">
        <is>
          <t>Stage 1</t>
        </is>
      </c>
      <c r="AU275" s="25">
        <f>IF(AT275="Stage 2",20,IF(AT275="Stage 1",0,IF(AT275="Stage 3",5,IF(AT275="Stage 4",-5,0))))</f>
        <v/>
      </c>
      <c r="AV275" s="25" t="inlineStr">
        <is>
          <t>Positive Trend</t>
        </is>
      </c>
      <c r="AW275" s="25">
        <f>IF(AV275="Positive Trend",20,IF(AV275="Negative Trend",-10,0))</f>
        <v/>
      </c>
      <c r="AX275" s="25" t="inlineStr">
        <is>
          <t>Uptrend</t>
        </is>
      </c>
      <c r="AY275" s="25">
        <f>IF(AX275="Uptrend",10,IF(AX275="Sideways",5,0))</f>
        <v/>
      </c>
      <c r="AZ275" s="25" t="inlineStr">
        <is>
          <t>Uptrend</t>
        </is>
      </c>
      <c r="BA275" s="25">
        <f>IF(AZ275="Uptrend",10,IF(AZ275="Sideways",5,0))</f>
        <v/>
      </c>
      <c r="BB275" s="25" t="inlineStr">
        <is>
          <t>Close to 52 week high or retracement</t>
        </is>
      </c>
      <c r="BC275" s="25">
        <f>IF(BB275="Overhead supply in last 2 years in last 2 years",-5,IF(BB275="Close to 52 week high or retracement",5,IF(BB275="Blue sky scenario",10,IF(BB275="Long term Downtrend",-10,0))))</f>
        <v/>
      </c>
      <c r="BD275" s="25" t="inlineStr">
        <is>
          <t>Yes</t>
        </is>
      </c>
      <c r="BE275" s="25">
        <f>IF(BD275="Yes",10,0)</f>
        <v/>
      </c>
      <c r="BF275" s="25" t="inlineStr">
        <is>
          <t>Less than 12%</t>
        </is>
      </c>
      <c r="BG275" s="25">
        <f>IF(BF275="More than 20%",10,IF(BF275="Between 12 to 20%",5,IF(BF275="Less than 12%",0,0)))</f>
        <v/>
      </c>
      <c r="BH275" s="25" t="inlineStr">
        <is>
          <t>No</t>
        </is>
      </c>
      <c r="BI275" s="25">
        <f>IF(BH275="No",10,0)</f>
        <v/>
      </c>
      <c r="BJ275" s="25" t="inlineStr">
        <is>
          <t>Yes</t>
        </is>
      </c>
      <c r="BK275" s="25">
        <f>IF(BJ275="NO",5,0)</f>
        <v/>
      </c>
      <c r="BL275" s="25" t="inlineStr">
        <is>
          <t>Less than 1.5</t>
        </is>
      </c>
      <c r="BM275" s="25">
        <f>IF(BL275="Above 2",0,IF(BL275="Between 1.5 to 2",5,IF(BL275="Less than 1.5",10,0)))</f>
        <v/>
      </c>
      <c r="BN275" s="25" t="inlineStr">
        <is>
          <t>Above 70%</t>
        </is>
      </c>
      <c r="BO275" s="25">
        <f>IF(BN275="Above 70%",10,IF(BN275="Between 50% to 70%",5,IF(BN275="Less than 50%",0,IF(BN275="Negative",-10,IF(BN275="Less than 50% and Borrowings are increasing",-5,0)))))</f>
        <v/>
      </c>
      <c r="BP275" s="25" t="inlineStr">
        <is>
          <t>Less than 0.7</t>
        </is>
      </c>
      <c r="BQ275" s="25">
        <f>IF(BP275="More than 1.2",-10,IF(BP275="Between 0.7 to 1.2",0,IF(BP275="Less than 0.7",10,0)))</f>
        <v/>
      </c>
      <c r="BR275" s="25" t="inlineStr">
        <is>
          <t>No</t>
        </is>
      </c>
      <c r="BS275" s="25">
        <f>IF(BR275="Yes",-10,0)</f>
        <v/>
      </c>
      <c r="BT275" s="25" t="inlineStr">
        <is>
          <t>Less than 15%</t>
        </is>
      </c>
      <c r="BU275" s="25">
        <f>IF(BT275="More than 15%",-10,IF(BT275="Less than 15%",10,0))</f>
        <v/>
      </c>
      <c r="BV275" s="25" t="inlineStr">
        <is>
          <t>No</t>
        </is>
      </c>
      <c r="BW275" s="25">
        <f>IF(BV275="Yes, more than 10%",-10,IF(BV275="No",10,0))</f>
        <v/>
      </c>
    </row>
    <row r="276">
      <c r="A276" s="25">
        <f>IF(B276=0,"",RANK(B276,$B$2:$B$292,0))</f>
        <v/>
      </c>
      <c r="B276" s="26">
        <f>SUM(Q276,S276,U276,W276,Y276,AA276,AC276,AE276,AG276,AI276,AK276,AM276,AO276,AQ276,AS276,AU276,AW276,AY276,BA276,BC276,BE276,BG276,BI276,BK276,BM276,BO276,BQ276,BS276,BU276,BW276)</f>
        <v/>
      </c>
      <c r="C276" s="25" t="inlineStr">
        <is>
          <t>ASAHIINDIA</t>
        </is>
      </c>
      <c r="D276" s="25" t="inlineStr">
        <is>
          <t>Asahi India Glass Limited</t>
        </is>
      </c>
      <c r="E276" s="25" t="inlineStr">
        <is>
          <t>building materials</t>
        </is>
      </c>
      <c r="F276" s="25" t="inlineStr">
        <is>
          <t>glass &amp; glass products</t>
        </is>
      </c>
      <c r="G276" s="25" t="inlineStr">
        <is>
          <t>largecap</t>
        </is>
      </c>
      <c r="H276" s="26" t="n">
        <v>22912.86</v>
      </c>
      <c r="I276" s="26" t="n">
        <v>899.15</v>
      </c>
      <c r="J276" s="26" t="n">
        <v>0.04</v>
      </c>
      <c r="K276" s="26" t="n">
        <v>72297</v>
      </c>
      <c r="L276" s="26" t="n">
        <v>53.94</v>
      </c>
      <c r="M276" s="26" t="n">
        <v>11.5</v>
      </c>
      <c r="N276" s="26" t="n">
        <v>703.87</v>
      </c>
      <c r="O276" s="25" t="inlineStr">
        <is>
          <t>Earnings / Momentum Support</t>
        </is>
      </c>
      <c r="P276" s="25" t="inlineStr">
        <is>
          <t>Growing Industry</t>
        </is>
      </c>
      <c r="Q276" s="25">
        <f>IF(P276="Growing Industry",10,IF(P276="Cyclical in an Upturn",5,0))</f>
        <v/>
      </c>
      <c r="R276" s="25" t="inlineStr">
        <is>
          <t>Too Many Players with High ROCE</t>
        </is>
      </c>
      <c r="S276" s="25">
        <f>IF(R276="Monopoly",10,IF(R276="Oligopoly",5,IF(R276="Duopoly that cooperate",10,IF(R276="Duopoly that compete",5,IF(R276="Too many players with High ROCE",5,0)))))</f>
        <v/>
      </c>
      <c r="T276" s="25" t="inlineStr">
        <is>
          <t>No</t>
        </is>
      </c>
      <c r="U276" s="25">
        <f>IF(T276="No",5,0)</f>
        <v/>
      </c>
      <c r="V276" s="25" t="inlineStr">
        <is>
          <t>Headwind</t>
        </is>
      </c>
      <c r="W276" s="25">
        <f>IF(V276="Tailwind",10,0)</f>
        <v/>
      </c>
      <c r="X276" s="25" t="inlineStr">
        <is>
          <t>Structural (10 Years Consistency)</t>
        </is>
      </c>
      <c r="Y276" s="25">
        <f>IF(X276="Structural (10 Years Consistency)",10,IF(X276="Shallow Cyclical (2 to 3 years growth)",5,0))</f>
        <v/>
      </c>
      <c r="Z276" s="25" t="inlineStr">
        <is>
          <t>No</t>
        </is>
      </c>
      <c r="AA276" s="25">
        <f>IF(Z276="Yes due to Product Mix change or Operating Leverage",10,IF(Z276="Yes, these are peak margins",-5,IF(Z276="No",5,0)))</f>
        <v/>
      </c>
      <c r="AB276" s="25" t="inlineStr">
        <is>
          <t>Stable</t>
        </is>
      </c>
      <c r="AC276" s="25">
        <f>IF(AB276="Stable",10,0)</f>
        <v/>
      </c>
      <c r="AD276" s="25" t="inlineStr">
        <is>
          <t>Yes</t>
        </is>
      </c>
      <c r="AE276" s="25">
        <f>IF(AD276="Yes",10,0)</f>
        <v/>
      </c>
      <c r="AF276" s="25" t="inlineStr">
        <is>
          <t>B2B</t>
        </is>
      </c>
      <c r="AG276" s="25">
        <f>IF(AF276="B2C",10,IF(AF276="B2B",5,0))</f>
        <v/>
      </c>
      <c r="AH276" s="25" t="inlineStr">
        <is>
          <t>No</t>
        </is>
      </c>
      <c r="AI276" s="25">
        <f>IF(AH276="Yes",10,0)</f>
        <v/>
      </c>
      <c r="AJ276" s="25" t="inlineStr">
        <is>
          <t>Higher One Time, Lower Annuity</t>
        </is>
      </c>
      <c r="AK276" s="25">
        <f>IF(AJ276="Fully Annuity",10,IF(AJ276="Higher Annuity, Lower One Time",5,IF(AJ276="Higher One Time, Lower Annuity",3,0)))</f>
        <v/>
      </c>
      <c r="AL276" s="25" t="inlineStr">
        <is>
          <t>Good</t>
        </is>
      </c>
      <c r="AM276" s="25">
        <f>IF(AL276="Good",10,0)</f>
        <v/>
      </c>
      <c r="AN276" s="25" t="inlineStr">
        <is>
          <t>Yes for more than 2 years</t>
        </is>
      </c>
      <c r="AO276" s="25">
        <f>IF(AN276="Yes for more than 2 years",10,IF(AN276="Yes only for next 1 to 2 years",5,0))</f>
        <v/>
      </c>
      <c r="AP276" s="25" t="inlineStr">
        <is>
          <t>0 to 20</t>
        </is>
      </c>
      <c r="AQ276" s="25">
        <f>IF(AP276="Above 40",20,IF(AP276="20 to 40",10,IF(AP276="0 to 20",-5,0)))</f>
        <v/>
      </c>
      <c r="AR276" s="25" t="inlineStr">
        <is>
          <t>Between 50 to 75</t>
        </is>
      </c>
      <c r="AS276" s="25">
        <f>IF(AR276="Between 50 to 75",10,IF(AR276="Above 75",0,0))</f>
        <v/>
      </c>
      <c r="AT276" s="25" t="inlineStr">
        <is>
          <t>Stage 1</t>
        </is>
      </c>
      <c r="AU276" s="25">
        <f>IF(AT276="Stage 2",20,IF(AT276="Stage 1",0,IF(AT276="Stage 3",5,IF(AT276="Stage 4",-5,0))))</f>
        <v/>
      </c>
      <c r="AV276" s="25" t="inlineStr">
        <is>
          <t>Positive Trend</t>
        </is>
      </c>
      <c r="AW276" s="25">
        <f>IF(AV276="Positive Trend",20,IF(AV276="Negative Trend",-10,0))</f>
        <v/>
      </c>
      <c r="AX276" s="25" t="inlineStr">
        <is>
          <t>Uptrend</t>
        </is>
      </c>
      <c r="AY276" s="25">
        <f>IF(AX276="Uptrend",10,IF(AX276="Sideways",5,0))</f>
        <v/>
      </c>
      <c r="AZ276" s="25" t="inlineStr">
        <is>
          <t>Uptrend</t>
        </is>
      </c>
      <c r="BA276" s="25">
        <f>IF(AZ276="Uptrend",10,IF(AZ276="Sideways",5,0))</f>
        <v/>
      </c>
      <c r="BB276" s="25" t="inlineStr">
        <is>
          <t>Close to 52 week high or retracement</t>
        </is>
      </c>
      <c r="BC276" s="25">
        <f>IF(BB276="Overhead supply in last 2 years in last 2 years",-5,IF(BB276="Close to 52 week high or retracement",5,IF(BB276="Blue sky scenario",10,IF(BB276="Long term Downtrend",-10,0))))</f>
        <v/>
      </c>
      <c r="BD276" s="25" t="inlineStr">
        <is>
          <t>Yes</t>
        </is>
      </c>
      <c r="BE276" s="25">
        <f>IF(BD276="Yes",10,0)</f>
        <v/>
      </c>
      <c r="BF276" s="25" t="inlineStr">
        <is>
          <t>More than 20%</t>
        </is>
      </c>
      <c r="BG276" s="25">
        <f>IF(BF276="More than 20%",10,IF(BF276="Between 12 to 20%",5,IF(BF276="Less than 12%",0,0)))</f>
        <v/>
      </c>
      <c r="BH276" s="25" t="inlineStr">
        <is>
          <t>No</t>
        </is>
      </c>
      <c r="BI276" s="25">
        <f>IF(BH276="No",10,0)</f>
        <v/>
      </c>
      <c r="BJ276" s="25" t="inlineStr">
        <is>
          <t>Yes</t>
        </is>
      </c>
      <c r="BK276" s="25">
        <f>IF(BJ276="NO",5,0)</f>
        <v/>
      </c>
      <c r="BL276" s="25" t="inlineStr">
        <is>
          <t>Less than 1.5</t>
        </is>
      </c>
      <c r="BM276" s="25">
        <f>IF(BL276="Above 2",0,IF(BL276="Between 1.5 to 2",5,IF(BL276="Less than 1.5",10,0)))</f>
        <v/>
      </c>
      <c r="BN276" s="25" t="inlineStr">
        <is>
          <t>Between 50% to 70%</t>
        </is>
      </c>
      <c r="BO276" s="25">
        <f>IF(BN276="Above 70%",10,IF(BN276="Between 50% to 70%",5,IF(BN276="Less than 50%",0,IF(BN276="Negative",-10,IF(BN276="Less than 50% and Borrowings are increasing",-5,0)))))</f>
        <v/>
      </c>
      <c r="BP276" s="25" t="inlineStr">
        <is>
          <t>Less than 0.7</t>
        </is>
      </c>
      <c r="BQ276" s="25">
        <f>IF(BP276="More than 1.2",-10,IF(BP276="Between 0.7 to 1.2",0,IF(BP276="Less than 0.7",10,0)))</f>
        <v/>
      </c>
      <c r="BR276" s="25" t="inlineStr">
        <is>
          <t>No</t>
        </is>
      </c>
      <c r="BS276" s="25">
        <f>IF(BR276="Yes",-10,0)</f>
        <v/>
      </c>
      <c r="BT276" s="25" t="inlineStr">
        <is>
          <t>Less than 15%</t>
        </is>
      </c>
      <c r="BU276" s="25">
        <f>IF(BT276="More than 15%",-10,IF(BT276="Less than 15%",10,0))</f>
        <v/>
      </c>
      <c r="BV276" s="25" t="inlineStr">
        <is>
          <t>No</t>
        </is>
      </c>
      <c r="BW276" s="25">
        <f>IF(BV276="Yes, more than 10%",-10,IF(BV276="No",10,0))</f>
        <v/>
      </c>
    </row>
    <row r="277">
      <c r="A277" s="25">
        <f>IF(B277=0,"",RANK(B277,$B$2:$B$292,0))</f>
        <v/>
      </c>
      <c r="B277" s="26">
        <f>SUM(Q277,S277,U277,W277,Y277,AA277,AC277,AE277,AG277,AI277,AK277,AM277,AO277,AQ277,AS277,AU277,AW277,AY277,BA277,BC277,BE277,BG277,BI277,BK277,BM277,BO277,BQ277,BS277,BU277,BW277)</f>
        <v/>
      </c>
      <c r="C277" s="25" t="inlineStr">
        <is>
          <t>VINCOFE</t>
        </is>
      </c>
      <c r="D277" s="25" t="inlineStr">
        <is>
          <t>Vintage Coffee &amp; Beverages Ltd</t>
        </is>
      </c>
      <c r="E277" s="25" t="inlineStr">
        <is>
          <t>consumer discretionary</t>
        </is>
      </c>
      <c r="F277" s="25" t="inlineStr">
        <is>
          <t>trading</t>
        </is>
      </c>
      <c r="G277" s="25" t="inlineStr">
        <is>
          <t>smallcap</t>
        </is>
      </c>
      <c r="H277" s="26" t="n">
        <v>2094.71</v>
      </c>
      <c r="I277" s="26" t="n">
        <v>147.11</v>
      </c>
      <c r="J277" s="26" t="n">
        <v>2.32</v>
      </c>
      <c r="K277" s="26" t="n">
        <v>1140349</v>
      </c>
      <c r="L277" s="26" t="n">
        <v>54.25</v>
      </c>
      <c r="M277" s="26" t="n">
        <v>10.57</v>
      </c>
      <c r="N277" s="26" t="n">
        <v>108.93</v>
      </c>
      <c r="O277" s="25" t="inlineStr">
        <is>
          <t>Earnings / Momentum Support</t>
        </is>
      </c>
      <c r="P277" s="25" t="inlineStr">
        <is>
          <t>Growing Industry</t>
        </is>
      </c>
      <c r="Q277" s="25">
        <f>IF(P277="Growing Industry",10,IF(P277="Cyclical in an Upturn",5,0))</f>
        <v/>
      </c>
      <c r="R277" s="25" t="inlineStr">
        <is>
          <t>Too Many Players with High ROCE</t>
        </is>
      </c>
      <c r="S277" s="25">
        <f>IF(R277="Monopoly",10,IF(R277="Oligopoly",5,IF(R277="Duopoly that cooperate",10,IF(R277="Duopoly that compete",5,IF(R277="Too many players with High ROCE",5,0)))))</f>
        <v/>
      </c>
      <c r="T277" s="25" t="inlineStr">
        <is>
          <t>No</t>
        </is>
      </c>
      <c r="U277" s="25">
        <f>IF(T277="No",5,0)</f>
        <v/>
      </c>
      <c r="V277" s="25" t="inlineStr">
        <is>
          <t>Headwind</t>
        </is>
      </c>
      <c r="W277" s="25">
        <f>IF(V277="Tailwind",10,0)</f>
        <v/>
      </c>
      <c r="X277" s="25" t="inlineStr">
        <is>
          <t>Structural (10 Years Consistency)</t>
        </is>
      </c>
      <c r="Y277" s="25">
        <f>IF(X277="Structural (10 Years Consistency)",10,IF(X277="Shallow Cyclical (2 to 3 years growth)",5,0))</f>
        <v/>
      </c>
      <c r="Z277" s="25" t="inlineStr">
        <is>
          <t>No</t>
        </is>
      </c>
      <c r="AA277" s="25">
        <f>IF(Z277="Yes due to Product Mix change or Operating Leverage",10,IF(Z277="Yes, these are peak margins",-5,IF(Z277="No",5,0)))</f>
        <v/>
      </c>
      <c r="AB277" s="25" t="inlineStr">
        <is>
          <t>Stable</t>
        </is>
      </c>
      <c r="AC277" s="25">
        <f>IF(AB277="Stable",10,0)</f>
        <v/>
      </c>
      <c r="AD277" s="25" t="inlineStr">
        <is>
          <t>Yes</t>
        </is>
      </c>
      <c r="AE277" s="25">
        <f>IF(AD277="Yes",10,0)</f>
        <v/>
      </c>
      <c r="AF277" s="25" t="inlineStr">
        <is>
          <t>B2B</t>
        </is>
      </c>
      <c r="AG277" s="25">
        <f>IF(AF277="B2C",10,IF(AF277="B2B",5,0))</f>
        <v/>
      </c>
      <c r="AH277" s="25" t="inlineStr">
        <is>
          <t>No</t>
        </is>
      </c>
      <c r="AI277" s="25">
        <f>IF(AH277="Yes",10,0)</f>
        <v/>
      </c>
      <c r="AJ277" s="25" t="inlineStr">
        <is>
          <t>Higher One Time, Lower Annuity</t>
        </is>
      </c>
      <c r="AK277" s="25">
        <f>IF(AJ277="Fully Annuity",10,IF(AJ277="Higher Annuity, Lower One Time",5,IF(AJ277="Higher One Time, Lower Annuity",3,0)))</f>
        <v/>
      </c>
      <c r="AL277" s="25" t="inlineStr">
        <is>
          <t>Good</t>
        </is>
      </c>
      <c r="AM277" s="25">
        <f>IF(AL277="Good",10,0)</f>
        <v/>
      </c>
      <c r="AN277" s="25" t="inlineStr">
        <is>
          <t>Yes for more than 2 years</t>
        </is>
      </c>
      <c r="AO277" s="25">
        <f>IF(AN277="Yes for more than 2 years",10,IF(AN277="Yes only for next 1 to 2 years",5,0))</f>
        <v/>
      </c>
      <c r="AP277" s="25" t="inlineStr">
        <is>
          <t>0 to 20</t>
        </is>
      </c>
      <c r="AQ277" s="25">
        <f>IF(AP277="Above 40",20,IF(AP277="20 to 40",10,IF(AP277="0 to 20",-5,0)))</f>
        <v/>
      </c>
      <c r="AR277" s="25" t="inlineStr">
        <is>
          <t>Between 50 to 75</t>
        </is>
      </c>
      <c r="AS277" s="25">
        <f>IF(AR277="Between 50 to 75",10,IF(AR277="Above 75",0,0))</f>
        <v/>
      </c>
      <c r="AT277" s="25" t="inlineStr">
        <is>
          <t>Stage 1</t>
        </is>
      </c>
      <c r="AU277" s="25">
        <f>IF(AT277="Stage 2",20,IF(AT277="Stage 1",0,IF(AT277="Stage 3",5,IF(AT277="Stage 4",-5,0))))</f>
        <v/>
      </c>
      <c r="AV277" s="25" t="inlineStr">
        <is>
          <t>Positive Trend</t>
        </is>
      </c>
      <c r="AW277" s="25">
        <f>IF(AV277="Positive Trend",20,IF(AV277="Negative Trend",-10,0))</f>
        <v/>
      </c>
      <c r="AX277" s="25" t="inlineStr">
        <is>
          <t>Uptrend</t>
        </is>
      </c>
      <c r="AY277" s="25">
        <f>IF(AX277="Uptrend",10,IF(AX277="Sideways",5,0))</f>
        <v/>
      </c>
      <c r="AZ277" s="25" t="inlineStr">
        <is>
          <t>Uptrend</t>
        </is>
      </c>
      <c r="BA277" s="25">
        <f>IF(AZ277="Uptrend",10,IF(AZ277="Sideways",5,0))</f>
        <v/>
      </c>
      <c r="BB277" s="25" t="inlineStr">
        <is>
          <t>Close to 52 week high or retracement</t>
        </is>
      </c>
      <c r="BC277" s="25">
        <f>IF(BB277="Overhead supply in last 2 years in last 2 years",-5,IF(BB277="Close to 52 week high or retracement",5,IF(BB277="Blue sky scenario",10,IF(BB277="Long term Downtrend",-10,0))))</f>
        <v/>
      </c>
      <c r="BD277" s="25" t="inlineStr">
        <is>
          <t>Yes</t>
        </is>
      </c>
      <c r="BE277" s="25">
        <f>IF(BD277="Yes",10,0)</f>
        <v/>
      </c>
      <c r="BF277" s="25" t="inlineStr">
        <is>
          <t>Between 12 to 20%</t>
        </is>
      </c>
      <c r="BG277" s="25">
        <f>IF(BF277="More than 20%",10,IF(BF277="Between 12 to 20%",5,IF(BF277="Less than 12%",0,0)))</f>
        <v/>
      </c>
      <c r="BH277" s="25" t="inlineStr">
        <is>
          <t>No</t>
        </is>
      </c>
      <c r="BI277" s="25">
        <f>IF(BH277="No",10,0)</f>
        <v/>
      </c>
      <c r="BJ277" s="25" t="inlineStr">
        <is>
          <t>No</t>
        </is>
      </c>
      <c r="BK277" s="25">
        <f>IF(BJ277="NO",5,0)</f>
        <v/>
      </c>
      <c r="BL277" s="25" t="inlineStr">
        <is>
          <t>Less than 1.5</t>
        </is>
      </c>
      <c r="BM277" s="25">
        <f>IF(BL277="Above 2",0,IF(BL277="Between 1.5 to 2",5,IF(BL277="Less than 1.5",10,0)))</f>
        <v/>
      </c>
      <c r="BN277" s="25" t="inlineStr">
        <is>
          <t>Less than 50%</t>
        </is>
      </c>
      <c r="BO277" s="25">
        <f>IF(BN277="Above 70%",10,IF(BN277="Between 50% to 70%",5,IF(BN277="Less than 50%",0,IF(BN277="Negative",-10,IF(BN277="Less than 50% and Borrowings are increasing",-5,0)))))</f>
        <v/>
      </c>
      <c r="BP277" s="25" t="inlineStr">
        <is>
          <t>Less than 0.7</t>
        </is>
      </c>
      <c r="BQ277" s="25">
        <f>IF(BP277="More than 1.2",-10,IF(BP277="Between 0.7 to 1.2",0,IF(BP277="Less than 0.7",10,0)))</f>
        <v/>
      </c>
      <c r="BR277" s="25" t="inlineStr">
        <is>
          <t>No</t>
        </is>
      </c>
      <c r="BS277" s="25">
        <f>IF(BR277="Yes",-10,0)</f>
        <v/>
      </c>
      <c r="BT277" s="25" t="inlineStr">
        <is>
          <t>Less than 15%</t>
        </is>
      </c>
      <c r="BU277" s="25">
        <f>IF(BT277="More than 15%",-10,IF(BT277="Less than 15%",10,0))</f>
        <v/>
      </c>
      <c r="BV277" s="25" t="inlineStr">
        <is>
          <t>No</t>
        </is>
      </c>
      <c r="BW277" s="25">
        <f>IF(BV277="Yes, more than 10%",-10,IF(BV277="No",10,0))</f>
        <v/>
      </c>
    </row>
    <row r="278">
      <c r="A278" s="25">
        <f>IF(B278=0,"",RANK(B278,$B$2:$B$292,0))</f>
        <v/>
      </c>
      <c r="B278" s="26">
        <f>SUM(Q278,S278,U278,W278,Y278,AA278,AC278,AE278,AG278,AI278,AK278,AM278,AO278,AQ278,AS278,AU278,AW278,AY278,BA278,BC278,BE278,BG278,BI278,BK278,BM278,BO278,BQ278,BS278,BU278,BW278)</f>
        <v/>
      </c>
      <c r="C278" s="25" t="inlineStr">
        <is>
          <t>SUNFLAG</t>
        </is>
      </c>
      <c r="D278" s="25" t="inlineStr">
        <is>
          <t>Sunflag Iron And Steel Company Limited</t>
        </is>
      </c>
      <c r="E278" s="25" t="inlineStr">
        <is>
          <t>metals &amp; mining</t>
        </is>
      </c>
      <c r="F278" s="25" t="inlineStr">
        <is>
          <t>steel - medium / small</t>
        </is>
      </c>
      <c r="G278" s="25" t="inlineStr">
        <is>
          <t>midcap</t>
        </is>
      </c>
      <c r="H278" s="26" t="n">
        <v>6749.22</v>
      </c>
      <c r="I278" s="26" t="n">
        <v>375.85</v>
      </c>
      <c r="J278" s="26" t="n">
        <v>0.36</v>
      </c>
      <c r="K278" s="26" t="n">
        <v>312883</v>
      </c>
      <c r="L278" s="26" t="n">
        <v>68.48999999999999</v>
      </c>
      <c r="M278" s="26" t="n">
        <v>35.49</v>
      </c>
      <c r="N278" s="26" t="n">
        <v>314.28</v>
      </c>
      <c r="O278" s="25" t="inlineStr">
        <is>
          <t>Earnings / Momentum Support</t>
        </is>
      </c>
      <c r="P278" s="25" t="inlineStr">
        <is>
          <t>Cyclical in an Upturn</t>
        </is>
      </c>
      <c r="Q278" s="25">
        <f>IF(P278="Growing Industry",10,IF(P278="Cyclical in an Upturn",5,0))</f>
        <v/>
      </c>
      <c r="R278" s="25" t="inlineStr">
        <is>
          <t>Too Many Players with High ROCE</t>
        </is>
      </c>
      <c r="S278" s="25">
        <f>IF(R278="Monopoly",10,IF(R278="Oligopoly",5,IF(R278="Duopoly that cooperate",10,IF(R278="Duopoly that compete",5,IF(R278="Too many players with High ROCE",5,0)))))</f>
        <v/>
      </c>
      <c r="T278" s="25" t="inlineStr">
        <is>
          <t>No</t>
        </is>
      </c>
      <c r="U278" s="25">
        <f>IF(T278="No",5,0)</f>
        <v/>
      </c>
      <c r="V278" s="25" t="inlineStr">
        <is>
          <t>Tailwind</t>
        </is>
      </c>
      <c r="W278" s="25">
        <f>IF(V278="Tailwind",10,0)</f>
        <v/>
      </c>
      <c r="X278" s="25" t="inlineStr">
        <is>
          <t>Cyclical</t>
        </is>
      </c>
      <c r="Y278" s="25">
        <f>IF(X278="Structural (10 Years Consistency)",10,IF(X278="Shallow Cyclical (2 to 3 years growth)",5,0))</f>
        <v/>
      </c>
      <c r="Z278" s="25" t="inlineStr">
        <is>
          <t>No</t>
        </is>
      </c>
      <c r="AA278" s="25">
        <f>IF(Z278="Yes due to Product Mix change or Operating Leverage",10,IF(Z278="Yes, these are peak margins",-5,IF(Z278="No",5,0)))</f>
        <v/>
      </c>
      <c r="AB278" s="25" t="inlineStr">
        <is>
          <t>Volatile</t>
        </is>
      </c>
      <c r="AC278" s="25">
        <f>IF(AB278="Stable",10,0)</f>
        <v/>
      </c>
      <c r="AD278" s="25" t="inlineStr">
        <is>
          <t>Yes</t>
        </is>
      </c>
      <c r="AE278" s="25">
        <f>IF(AD278="Yes",10,0)</f>
        <v/>
      </c>
      <c r="AF278" s="25" t="inlineStr">
        <is>
          <t>B2B</t>
        </is>
      </c>
      <c r="AG278" s="25">
        <f>IF(AF278="B2C",10,IF(AF278="B2B",5,0))</f>
        <v/>
      </c>
      <c r="AH278" s="25" t="inlineStr">
        <is>
          <t>No</t>
        </is>
      </c>
      <c r="AI278" s="25">
        <f>IF(AH278="Yes",10,0)</f>
        <v/>
      </c>
      <c r="AJ278" s="25" t="inlineStr">
        <is>
          <t>Higher One Time, Lower Annuity</t>
        </is>
      </c>
      <c r="AK278" s="25">
        <f>IF(AJ278="Fully Annuity",10,IF(AJ278="Higher Annuity, Lower One Time",5,IF(AJ278="Higher One Time, Lower Annuity",3,0)))</f>
        <v/>
      </c>
      <c r="AL278" s="25" t="inlineStr">
        <is>
          <t>Good</t>
        </is>
      </c>
      <c r="AM278" s="25">
        <f>IF(AL278="Good",10,0)</f>
        <v/>
      </c>
      <c r="AN278" s="25" t="inlineStr">
        <is>
          <t>Yes for more than 2 years</t>
        </is>
      </c>
      <c r="AO278" s="25">
        <f>IF(AN278="Yes for more than 2 years",10,IF(AN278="Yes only for next 1 to 2 years",5,0))</f>
        <v/>
      </c>
      <c r="AP278" s="25" t="inlineStr">
        <is>
          <t>20 to 40</t>
        </is>
      </c>
      <c r="AQ278" s="25">
        <f>IF(AP278="Above 40",20,IF(AP278="20 to 40",10,IF(AP278="0 to 20",-5,0)))</f>
        <v/>
      </c>
      <c r="AR278" s="25" t="inlineStr">
        <is>
          <t>Between 50 to 75</t>
        </is>
      </c>
      <c r="AS278" s="25">
        <f>IF(AR278="Between 50 to 75",10,IF(AR278="Above 75",0,0))</f>
        <v/>
      </c>
      <c r="AT278" s="25" t="inlineStr">
        <is>
          <t>Stage 2</t>
        </is>
      </c>
      <c r="AU278" s="25">
        <f>IF(AT278="Stage 2",20,IF(AT278="Stage 1",0,IF(AT278="Stage 3",5,IF(AT278="Stage 4",-5,0))))</f>
        <v/>
      </c>
      <c r="AV278" s="25" t="inlineStr">
        <is>
          <t>Negative Trend</t>
        </is>
      </c>
      <c r="AW278" s="25">
        <f>IF(AV278="Positive Trend",20,IF(AV278="Negative Trend",-10,0))</f>
        <v/>
      </c>
      <c r="AX278" s="25" t="inlineStr">
        <is>
          <t>Uptrend</t>
        </is>
      </c>
      <c r="AY278" s="25">
        <f>IF(AX278="Uptrend",10,IF(AX278="Sideways",5,0))</f>
        <v/>
      </c>
      <c r="AZ278" s="25" t="inlineStr">
        <is>
          <t>Uptrend</t>
        </is>
      </c>
      <c r="BA278" s="25">
        <f>IF(AZ278="Uptrend",10,IF(AZ278="Sideways",5,0))</f>
        <v/>
      </c>
      <c r="BB278" s="25" t="inlineStr">
        <is>
          <t>Close to 52 week high or retracement</t>
        </is>
      </c>
      <c r="BC278" s="25">
        <f>IF(BB278="Overhead supply in last 2 years in last 2 years",-5,IF(BB278="Close to 52 week high or retracement",5,IF(BB278="Blue sky scenario",10,IF(BB278="Long term Downtrend",-10,0))))</f>
        <v/>
      </c>
      <c r="BD278" s="25" t="inlineStr">
        <is>
          <t>Yes</t>
        </is>
      </c>
      <c r="BE278" s="25">
        <f>IF(BD278="Yes",10,0)</f>
        <v/>
      </c>
      <c r="BF278" s="25" t="inlineStr">
        <is>
          <t>Between 12 to 20%</t>
        </is>
      </c>
      <c r="BG278" s="25">
        <f>IF(BF278="More than 20%",10,IF(BF278="Between 12 to 20%",5,IF(BF278="Less than 12%",0,0)))</f>
        <v/>
      </c>
      <c r="BH278" s="25" t="inlineStr">
        <is>
          <t>No</t>
        </is>
      </c>
      <c r="BI278" s="25">
        <f>IF(BH278="No",10,0)</f>
        <v/>
      </c>
      <c r="BJ278" s="25" t="inlineStr">
        <is>
          <t>No</t>
        </is>
      </c>
      <c r="BK278" s="25">
        <f>IF(BJ278="NO",5,0)</f>
        <v/>
      </c>
      <c r="BL278" s="25" t="inlineStr">
        <is>
          <t>Less than 1.5</t>
        </is>
      </c>
      <c r="BM278" s="25">
        <f>IF(BL278="Above 2",0,IF(BL278="Between 1.5 to 2",5,IF(BL278="Less than 1.5",10,0)))</f>
        <v/>
      </c>
      <c r="BN278" s="25" t="inlineStr">
        <is>
          <t>Above 70%</t>
        </is>
      </c>
      <c r="BO278" s="25">
        <f>IF(BN278="Above 70%",10,IF(BN278="Between 50% to 70%",5,IF(BN278="Less than 50%",0,IF(BN278="Negative",-10,IF(BN278="Less than 50% and Borrowings are increasing",-5,0)))))</f>
        <v/>
      </c>
      <c r="BP278" s="25" t="inlineStr">
        <is>
          <t>Less than 0.7</t>
        </is>
      </c>
      <c r="BQ278" s="25">
        <f>IF(BP278="More than 1.2",-10,IF(BP278="Between 0.7 to 1.2",0,IF(BP278="Less than 0.7",10,0)))</f>
        <v/>
      </c>
      <c r="BR278" s="25" t="inlineStr">
        <is>
          <t>No</t>
        </is>
      </c>
      <c r="BS278" s="25">
        <f>IF(BR278="Yes",-10,0)</f>
        <v/>
      </c>
      <c r="BT278" s="25" t="inlineStr">
        <is>
          <t>Less than 15%</t>
        </is>
      </c>
      <c r="BU278" s="25">
        <f>IF(BT278="More than 15%",-10,IF(BT278="Less than 15%",10,0))</f>
        <v/>
      </c>
      <c r="BV278" s="25" t="inlineStr">
        <is>
          <t>No</t>
        </is>
      </c>
      <c r="BW278" s="25">
        <f>IF(BV278="Yes, more than 10%",-10,IF(BV278="No",10,0))</f>
        <v/>
      </c>
    </row>
    <row r="279">
      <c r="A279" s="25">
        <f>IF(B279=0,"",RANK(B279,$B$2:$B$292,0))</f>
        <v/>
      </c>
      <c r="B279" s="26">
        <f>SUM(Q279,S279,U279,W279,Y279,AA279,AC279,AE279,AG279,AI279,AK279,AM279,AO279,AQ279,AS279,AU279,AW279,AY279,BA279,BC279,BE279,BG279,BI279,BK279,BM279,BO279,BQ279,BS279,BU279,BW279)</f>
        <v/>
      </c>
      <c r="C279" s="25" t="inlineStr">
        <is>
          <t>RITCO</t>
        </is>
      </c>
      <c r="D279" s="25" t="inlineStr">
        <is>
          <t>Ritco Logistics Ltd</t>
        </is>
      </c>
      <c r="E279" s="25" t="inlineStr">
        <is>
          <t>transportation</t>
        </is>
      </c>
      <c r="F279" s="25" t="inlineStr">
        <is>
          <t>miscellaneous</t>
        </is>
      </c>
      <c r="G279" s="25" t="inlineStr">
        <is>
          <t>smallcap</t>
        </is>
      </c>
      <c r="H279" s="26" t="n">
        <v>762.51</v>
      </c>
      <c r="I279" s="26" t="n">
        <v>264.65</v>
      </c>
      <c r="J279" s="26" t="n">
        <v>-0.66</v>
      </c>
      <c r="K279" s="26" t="n">
        <v>114911</v>
      </c>
      <c r="L279" s="26" t="n">
        <v>58.32</v>
      </c>
      <c r="M279" s="26" t="n">
        <v>27.1</v>
      </c>
      <c r="N279" s="26" t="n">
        <v>194.45</v>
      </c>
      <c r="O279" s="25" t="inlineStr">
        <is>
          <t>Earnings / Momentum Support</t>
        </is>
      </c>
      <c r="P279" s="25" t="inlineStr">
        <is>
          <t>Growing Industry</t>
        </is>
      </c>
      <c r="Q279" s="25">
        <f>IF(P279="Growing Industry",10,IF(P279="Cyclical in an Upturn",5,0))</f>
        <v/>
      </c>
      <c r="R279" s="25" t="inlineStr">
        <is>
          <t>Too Many Players with High ROCE</t>
        </is>
      </c>
      <c r="S279" s="25">
        <f>IF(R279="Monopoly",10,IF(R279="Oligopoly",5,IF(R279="Duopoly that cooperate",10,IF(R279="Duopoly that compete",5,IF(R279="Too many players with High ROCE",5,0)))))</f>
        <v/>
      </c>
      <c r="T279" s="25" t="inlineStr">
        <is>
          <t>No</t>
        </is>
      </c>
      <c r="U279" s="25">
        <f>IF(T279="No",5,0)</f>
        <v/>
      </c>
      <c r="V279" s="25" t="inlineStr">
        <is>
          <t>Headwind</t>
        </is>
      </c>
      <c r="W279" s="25">
        <f>IF(V279="Tailwind",10,0)</f>
        <v/>
      </c>
      <c r="X279" s="25" t="inlineStr">
        <is>
          <t>Structural (10 Years Consistency)</t>
        </is>
      </c>
      <c r="Y279" s="25">
        <f>IF(X279="Structural (10 Years Consistency)",10,IF(X279="Shallow Cyclical (2 to 3 years growth)",5,0))</f>
        <v/>
      </c>
      <c r="Z279" s="25" t="inlineStr">
        <is>
          <t>No</t>
        </is>
      </c>
      <c r="AA279" s="25">
        <f>IF(Z279="Yes due to Product Mix change or Operating Leverage",10,IF(Z279="Yes, these are peak margins",-5,IF(Z279="No",5,0)))</f>
        <v/>
      </c>
      <c r="AB279" s="25" t="inlineStr">
        <is>
          <t>Stable</t>
        </is>
      </c>
      <c r="AC279" s="25">
        <f>IF(AB279="Stable",10,0)</f>
        <v/>
      </c>
      <c r="AD279" s="25" t="inlineStr">
        <is>
          <t>Yes</t>
        </is>
      </c>
      <c r="AE279" s="25">
        <f>IF(AD279="Yes",10,0)</f>
        <v/>
      </c>
      <c r="AF279" s="25" t="inlineStr">
        <is>
          <t>B2B</t>
        </is>
      </c>
      <c r="AG279" s="25">
        <f>IF(AF279="B2C",10,IF(AF279="B2B",5,0))</f>
        <v/>
      </c>
      <c r="AH279" s="25" t="inlineStr">
        <is>
          <t>No</t>
        </is>
      </c>
      <c r="AI279" s="25">
        <f>IF(AH279="Yes",10,0)</f>
        <v/>
      </c>
      <c r="AJ279" s="25" t="inlineStr">
        <is>
          <t>Higher One Time, Lower Annuity</t>
        </is>
      </c>
      <c r="AK279" s="25">
        <f>IF(AJ279="Fully Annuity",10,IF(AJ279="Higher Annuity, Lower One Time",5,IF(AJ279="Higher One Time, Lower Annuity",3,0)))</f>
        <v/>
      </c>
      <c r="AL279" s="25" t="inlineStr">
        <is>
          <t>Good</t>
        </is>
      </c>
      <c r="AM279" s="25">
        <f>IF(AL279="Good",10,0)</f>
        <v/>
      </c>
      <c r="AN279" s="25" t="inlineStr">
        <is>
          <t>Yes for more than 2 years</t>
        </is>
      </c>
      <c r="AO279" s="25">
        <f>IF(AN279="Yes for more than 2 years",10,IF(AN279="Yes only for next 1 to 2 years",5,0))</f>
        <v/>
      </c>
      <c r="AP279" s="25" t="inlineStr">
        <is>
          <t>20 to 40</t>
        </is>
      </c>
      <c r="AQ279" s="25">
        <f>IF(AP279="Above 40",20,IF(AP279="20 to 40",10,IF(AP279="0 to 20",-5,0)))</f>
        <v/>
      </c>
      <c r="AR279" s="25" t="inlineStr">
        <is>
          <t>Between 50 to 75</t>
        </is>
      </c>
      <c r="AS279" s="25">
        <f>IF(AR279="Between 50 to 75",10,IF(AR279="Above 75",0,0))</f>
        <v/>
      </c>
      <c r="AT279" s="25" t="inlineStr">
        <is>
          <t>Stage 2</t>
        </is>
      </c>
      <c r="AU279" s="25">
        <f>IF(AT279="Stage 2",20,IF(AT279="Stage 1",0,IF(AT279="Stage 3",5,IF(AT279="Stage 4",-5,0))))</f>
        <v/>
      </c>
      <c r="AV279" s="25" t="inlineStr">
        <is>
          <t>Positive Trend</t>
        </is>
      </c>
      <c r="AW279" s="25">
        <f>IF(AV279="Positive Trend",20,IF(AV279="Negative Trend",-10,0))</f>
        <v/>
      </c>
      <c r="AX279" s="25" t="inlineStr">
        <is>
          <t>Uptrend</t>
        </is>
      </c>
      <c r="AY279" s="25">
        <f>IF(AX279="Uptrend",10,IF(AX279="Sideways",5,0))</f>
        <v/>
      </c>
      <c r="AZ279" s="25" t="inlineStr">
        <is>
          <t>Uptrend</t>
        </is>
      </c>
      <c r="BA279" s="25">
        <f>IF(AZ279="Uptrend",10,IF(AZ279="Sideways",5,0))</f>
        <v/>
      </c>
      <c r="BB279" s="25" t="inlineStr">
        <is>
          <t>Close to 52 week high or retracement</t>
        </is>
      </c>
      <c r="BC279" s="25">
        <f>IF(BB279="Overhead supply in last 2 years in last 2 years",-5,IF(BB279="Close to 52 week high or retracement",5,IF(BB279="Blue sky scenario",10,IF(BB279="Long term Downtrend",-10,0))))</f>
        <v/>
      </c>
      <c r="BD279" s="25" t="inlineStr">
        <is>
          <t>Yes</t>
        </is>
      </c>
      <c r="BE279" s="25">
        <f>IF(BD279="Yes",10,0)</f>
        <v/>
      </c>
      <c r="BF279" s="25" t="inlineStr">
        <is>
          <t>Less than 12%</t>
        </is>
      </c>
      <c r="BG279" s="25">
        <f>IF(BF279="More than 20%",10,IF(BF279="Between 12 to 20%",5,IF(BF279="Less than 12%",0,0)))</f>
        <v/>
      </c>
      <c r="BH279" s="25" t="inlineStr">
        <is>
          <t>No</t>
        </is>
      </c>
      <c r="BI279" s="25">
        <f>IF(BH279="No",10,0)</f>
        <v/>
      </c>
      <c r="BJ279" s="25" t="inlineStr">
        <is>
          <t>No</t>
        </is>
      </c>
      <c r="BK279" s="25">
        <f>IF(BJ279="NO",5,0)</f>
        <v/>
      </c>
      <c r="BL279" s="25" t="inlineStr">
        <is>
          <t>Less than 1.5</t>
        </is>
      </c>
      <c r="BM279" s="25">
        <f>IF(BL279="Above 2",0,IF(BL279="Between 1.5 to 2",5,IF(BL279="Less than 1.5",10,0)))</f>
        <v/>
      </c>
      <c r="BN279" s="25" t="inlineStr">
        <is>
          <t>Negative</t>
        </is>
      </c>
      <c r="BO279" s="25">
        <f>IF(BN279="Above 70%",10,IF(BN279="Between 50% to 70%",5,IF(BN279="Less than 50%",0,IF(BN279="Negative",-10,IF(BN279="Less than 50% and Borrowings are increasing",-5,0)))))</f>
        <v/>
      </c>
      <c r="BP279" s="25" t="inlineStr">
        <is>
          <t>More than 1.2</t>
        </is>
      </c>
      <c r="BQ279" s="25">
        <f>IF(BP279="More than 1.2",-10,IF(BP279="Between 0.7 to 1.2",0,IF(BP279="Less than 0.7",10,0)))</f>
        <v/>
      </c>
      <c r="BR279" s="25" t="inlineStr">
        <is>
          <t>No</t>
        </is>
      </c>
      <c r="BS279" s="25">
        <f>IF(BR279="Yes",-10,0)</f>
        <v/>
      </c>
      <c r="BT279" s="25" t="inlineStr">
        <is>
          <t>Less than 15%</t>
        </is>
      </c>
      <c r="BU279" s="25">
        <f>IF(BT279="More than 15%",-10,IF(BT279="Less than 15%",10,0))</f>
        <v/>
      </c>
      <c r="BV279" s="25" t="inlineStr">
        <is>
          <t>No</t>
        </is>
      </c>
      <c r="BW279" s="25">
        <f>IF(BV279="Yes, more than 10%",-10,IF(BV279="No",10,0))</f>
        <v/>
      </c>
    </row>
    <row r="280">
      <c r="A280" s="25">
        <f>IF(B280=0,"",RANK(B280,$B$2:$B$292,0))</f>
        <v/>
      </c>
      <c r="B280" s="26">
        <f>SUM(Q280,S280,U280,W280,Y280,AA280,AC280,AE280,AG280,AI280,AK280,AM280,AO280,AQ280,AS280,AU280,AW280,AY280,BA280,BC280,BE280,BG280,BI280,BK280,BM280,BO280,BQ280,BS280,BU280,BW280)</f>
        <v/>
      </c>
      <c r="C280" s="25" t="inlineStr">
        <is>
          <t>VAIBHAVGBL</t>
        </is>
      </c>
      <c r="D280" s="25" t="inlineStr">
        <is>
          <t>Vaibhav Global Limited</t>
        </is>
      </c>
      <c r="E280" s="25" t="inlineStr">
        <is>
          <t>consumer discretionary</t>
        </is>
      </c>
      <c r="F280" s="25" t="inlineStr">
        <is>
          <t>diamond cutting / jewellery</t>
        </is>
      </c>
      <c r="G280" s="25" t="inlineStr">
        <is>
          <t>smallcap</t>
        </is>
      </c>
      <c r="H280" s="26" t="n">
        <v>3762.03</v>
      </c>
      <c r="I280" s="26" t="n">
        <v>234.74</v>
      </c>
      <c r="J280" s="26" t="n">
        <v>4.25</v>
      </c>
      <c r="K280" s="26" t="n">
        <v>547103</v>
      </c>
      <c r="L280" s="26" t="n">
        <v>54.63</v>
      </c>
      <c r="M280" s="26" t="n">
        <v>8.98</v>
      </c>
      <c r="N280" s="26" t="n">
        <v>171.26</v>
      </c>
      <c r="O280" s="25" t="inlineStr">
        <is>
          <t>Earnings / Momentum Support</t>
        </is>
      </c>
      <c r="P280" s="25" t="inlineStr">
        <is>
          <t>Growing Industry</t>
        </is>
      </c>
      <c r="Q280" s="25">
        <f>IF(P280="Growing Industry",10,IF(P280="Cyclical in an Upturn",5,0))</f>
        <v/>
      </c>
      <c r="R280" s="25" t="inlineStr">
        <is>
          <t>Too Many Players with High ROCE</t>
        </is>
      </c>
      <c r="S280" s="25">
        <f>IF(R280="Monopoly",10,IF(R280="Oligopoly",5,IF(R280="Duopoly that cooperate",10,IF(R280="Duopoly that compete",5,IF(R280="Too many players with High ROCE",5,0)))))</f>
        <v/>
      </c>
      <c r="T280" s="25" t="inlineStr">
        <is>
          <t>No</t>
        </is>
      </c>
      <c r="U280" s="25">
        <f>IF(T280="No",5,0)</f>
        <v/>
      </c>
      <c r="V280" s="25" t="inlineStr">
        <is>
          <t>Tailwind</t>
        </is>
      </c>
      <c r="W280" s="25">
        <f>IF(V280="Tailwind",10,0)</f>
        <v/>
      </c>
      <c r="X280" s="25" t="inlineStr">
        <is>
          <t>Structural (10 Years Consistency)</t>
        </is>
      </c>
      <c r="Y280" s="25">
        <f>IF(X280="Structural (10 Years Consistency)",10,IF(X280="Shallow Cyclical (2 to 3 years growth)",5,0))</f>
        <v/>
      </c>
      <c r="Z280" s="25" t="inlineStr">
        <is>
          <t>No</t>
        </is>
      </c>
      <c r="AA280" s="25">
        <f>IF(Z280="Yes due to Product Mix change or Operating Leverage",10,IF(Z280="Yes, these are peak margins",-5,IF(Z280="No",5,0)))</f>
        <v/>
      </c>
      <c r="AB280" s="25" t="inlineStr">
        <is>
          <t>Stable</t>
        </is>
      </c>
      <c r="AC280" s="25">
        <f>IF(AB280="Stable",10,0)</f>
        <v/>
      </c>
      <c r="AD280" s="25" t="inlineStr">
        <is>
          <t>Yes</t>
        </is>
      </c>
      <c r="AE280" s="25">
        <f>IF(AD280="Yes",10,0)</f>
        <v/>
      </c>
      <c r="AF280" s="25" t="inlineStr">
        <is>
          <t>B2B</t>
        </is>
      </c>
      <c r="AG280" s="25">
        <f>IF(AF280="B2C",10,IF(AF280="B2B",5,0))</f>
        <v/>
      </c>
      <c r="AH280" s="25" t="inlineStr">
        <is>
          <t>No</t>
        </is>
      </c>
      <c r="AI280" s="25">
        <f>IF(AH280="Yes",10,0)</f>
        <v/>
      </c>
      <c r="AJ280" s="25" t="inlineStr">
        <is>
          <t>Higher One Time, Lower Annuity</t>
        </is>
      </c>
      <c r="AK280" s="25">
        <f>IF(AJ280="Fully Annuity",10,IF(AJ280="Higher Annuity, Lower One Time",5,IF(AJ280="Higher One Time, Lower Annuity",3,0)))</f>
        <v/>
      </c>
      <c r="AL280" s="25" t="inlineStr">
        <is>
          <t>Good</t>
        </is>
      </c>
      <c r="AM280" s="25">
        <f>IF(AL280="Good",10,0)</f>
        <v/>
      </c>
      <c r="AN280" s="25" t="inlineStr">
        <is>
          <t>Yes for more than 2 years</t>
        </is>
      </c>
      <c r="AO280" s="25">
        <f>IF(AN280="Yes for more than 2 years",10,IF(AN280="Yes only for next 1 to 2 years",5,0))</f>
        <v/>
      </c>
      <c r="AP280" s="25" t="inlineStr">
        <is>
          <t>0 to 20</t>
        </is>
      </c>
      <c r="AQ280" s="25">
        <f>IF(AP280="Above 40",20,IF(AP280="20 to 40",10,IF(AP280="0 to 20",-5,0)))</f>
        <v/>
      </c>
      <c r="AR280" s="25" t="inlineStr">
        <is>
          <t>Between 50 to 75</t>
        </is>
      </c>
      <c r="AS280" s="25">
        <f>IF(AR280="Between 50 to 75",10,IF(AR280="Above 75",0,0))</f>
        <v/>
      </c>
      <c r="AT280" s="25" t="inlineStr">
        <is>
          <t>Stage 1</t>
        </is>
      </c>
      <c r="AU280" s="25">
        <f>IF(AT280="Stage 2",20,IF(AT280="Stage 1",0,IF(AT280="Stage 3",5,IF(AT280="Stage 4",-5,0))))</f>
        <v/>
      </c>
      <c r="AV280" s="25" t="inlineStr">
        <is>
          <t>Negative Trend</t>
        </is>
      </c>
      <c r="AW280" s="25">
        <f>IF(AV280="Positive Trend",20,IF(AV280="Negative Trend",-10,0))</f>
        <v/>
      </c>
      <c r="AX280" s="25" t="inlineStr">
        <is>
          <t>Uptrend</t>
        </is>
      </c>
      <c r="AY280" s="25">
        <f>IF(AX280="Uptrend",10,IF(AX280="Sideways",5,0))</f>
        <v/>
      </c>
      <c r="AZ280" s="25" t="inlineStr">
        <is>
          <t>Uptrend</t>
        </is>
      </c>
      <c r="BA280" s="25">
        <f>IF(AZ280="Uptrend",10,IF(AZ280="Sideways",5,0))</f>
        <v/>
      </c>
      <c r="BB280" s="25" t="inlineStr">
        <is>
          <t>Close to 52 week high or retracement</t>
        </is>
      </c>
      <c r="BC280" s="25">
        <f>IF(BB280="Overhead supply in last 2 years in last 2 years",-5,IF(BB280="Close to 52 week high or retracement",5,IF(BB280="Blue sky scenario",10,IF(BB280="Long term Downtrend",-10,0))))</f>
        <v/>
      </c>
      <c r="BD280" s="25" t="inlineStr">
        <is>
          <t>Yes</t>
        </is>
      </c>
      <c r="BE280" s="25">
        <f>IF(BD280="Yes",10,0)</f>
        <v/>
      </c>
      <c r="BF280" s="25" t="inlineStr">
        <is>
          <t>More than 20%</t>
        </is>
      </c>
      <c r="BG280" s="25">
        <f>IF(BF280="More than 20%",10,IF(BF280="Between 12 to 20%",5,IF(BF280="Less than 12%",0,0)))</f>
        <v/>
      </c>
      <c r="BH280" s="25" t="inlineStr">
        <is>
          <t>No</t>
        </is>
      </c>
      <c r="BI280" s="25">
        <f>IF(BH280="No",10,0)</f>
        <v/>
      </c>
      <c r="BJ280" s="25" t="inlineStr">
        <is>
          <t>No</t>
        </is>
      </c>
      <c r="BK280" s="25">
        <f>IF(BJ280="NO",5,0)</f>
        <v/>
      </c>
      <c r="BL280" s="25" t="inlineStr">
        <is>
          <t>Less than 1.5</t>
        </is>
      </c>
      <c r="BM280" s="25">
        <f>IF(BL280="Above 2",0,IF(BL280="Between 1.5 to 2",5,IF(BL280="Less than 1.5",10,0)))</f>
        <v/>
      </c>
      <c r="BN280" s="25" t="inlineStr">
        <is>
          <t>Above 70%</t>
        </is>
      </c>
      <c r="BO280" s="25">
        <f>IF(BN280="Above 70%",10,IF(BN280="Between 50% to 70%",5,IF(BN280="Less than 50%",0,IF(BN280="Negative",-10,IF(BN280="Less than 50% and Borrowings are increasing",-5,0)))))</f>
        <v/>
      </c>
      <c r="BP280" s="25" t="inlineStr">
        <is>
          <t>Less than 0.7</t>
        </is>
      </c>
      <c r="BQ280" s="25">
        <f>IF(BP280="More than 1.2",-10,IF(BP280="Between 0.7 to 1.2",0,IF(BP280="Less than 0.7",10,0)))</f>
        <v/>
      </c>
      <c r="BR280" s="25" t="inlineStr">
        <is>
          <t>No</t>
        </is>
      </c>
      <c r="BS280" s="25">
        <f>IF(BR280="Yes",-10,0)</f>
        <v/>
      </c>
      <c r="BT280" s="25" t="inlineStr">
        <is>
          <t>Less than 15%</t>
        </is>
      </c>
      <c r="BU280" s="25">
        <f>IF(BT280="More than 15%",-10,IF(BT280="Less than 15%",10,0))</f>
        <v/>
      </c>
      <c r="BV280" s="25" t="inlineStr">
        <is>
          <t>No</t>
        </is>
      </c>
      <c r="BW280" s="25">
        <f>IF(BV280="Yes, more than 10%",-10,IF(BV280="No",10,0))</f>
        <v/>
      </c>
    </row>
    <row r="281">
      <c r="A281" s="25">
        <f>IF(B281=0,"",RANK(B281,$B$2:$B$292,0))</f>
        <v/>
      </c>
      <c r="B281" s="26">
        <f>SUM(Q281,S281,U281,W281,Y281,AA281,AC281,AE281,AG281,AI281,AK281,AM281,AO281,AQ281,AS281,AU281,AW281,AY281,BA281,BC281,BE281,BG281,BI281,BK281,BM281,BO281,BQ281,BS281,BU281,BW281)</f>
        <v/>
      </c>
      <c r="C281" s="25" t="inlineStr">
        <is>
          <t>ASAL</t>
        </is>
      </c>
      <c r="D281" s="25" t="inlineStr">
        <is>
          <t>Automotive Stampings And Assemblies Limited</t>
        </is>
      </c>
      <c r="E281" s="25" t="inlineStr">
        <is>
          <t>auto</t>
        </is>
      </c>
      <c r="F281" s="25" t="inlineStr">
        <is>
          <t>auto ancillaries</t>
        </is>
      </c>
      <c r="G281" s="25" t="inlineStr">
        <is>
          <t>smallcap</t>
        </is>
      </c>
      <c r="H281" s="26" t="n">
        <v>811.0700000000001</v>
      </c>
      <c r="I281" s="26" t="n">
        <v>531.7</v>
      </c>
      <c r="J281" s="26" t="n">
        <v>4</v>
      </c>
      <c r="K281" s="26" t="n">
        <v>48854</v>
      </c>
      <c r="L281" s="26" t="n">
        <v>57.93</v>
      </c>
      <c r="M281" s="26" t="n">
        <v>14.92</v>
      </c>
      <c r="N281" s="26" t="n">
        <v>411.15</v>
      </c>
      <c r="O281" s="25" t="inlineStr">
        <is>
          <t>Earnings / Momentum Support</t>
        </is>
      </c>
      <c r="P281" s="25" t="inlineStr">
        <is>
          <t>Growing Industry</t>
        </is>
      </c>
      <c r="Q281" s="25">
        <f>IF(P281="Growing Industry",10,IF(P281="Cyclical in an Upturn",5,0))</f>
        <v/>
      </c>
      <c r="R281" s="25" t="inlineStr">
        <is>
          <t>Too Many Players with High ROCE</t>
        </is>
      </c>
      <c r="S281" s="25">
        <f>IF(R281="Monopoly",10,IF(R281="Oligopoly",5,IF(R281="Duopoly that cooperate",10,IF(R281="Duopoly that compete",5,IF(R281="Too many players with High ROCE",5,0)))))</f>
        <v/>
      </c>
      <c r="T281" s="25" t="inlineStr">
        <is>
          <t>No</t>
        </is>
      </c>
      <c r="U281" s="25">
        <f>IF(T281="No",5,0)</f>
        <v/>
      </c>
      <c r="V281" s="25" t="inlineStr">
        <is>
          <t>Tailwind</t>
        </is>
      </c>
      <c r="W281" s="25">
        <f>IF(V281="Tailwind",10,0)</f>
        <v/>
      </c>
      <c r="X281" s="25" t="inlineStr">
        <is>
          <t>Structural (10 Years Consistency)</t>
        </is>
      </c>
      <c r="Y281" s="25">
        <f>IF(X281="Structural (10 Years Consistency)",10,IF(X281="Shallow Cyclical (2 to 3 years growth)",5,0))</f>
        <v/>
      </c>
      <c r="Z281" s="25" t="inlineStr">
        <is>
          <t>No</t>
        </is>
      </c>
      <c r="AA281" s="25">
        <f>IF(Z281="Yes due to Product Mix change or Operating Leverage",10,IF(Z281="Yes, these are peak margins",-5,IF(Z281="No",5,0)))</f>
        <v/>
      </c>
      <c r="AB281" s="25" t="inlineStr">
        <is>
          <t>Stable</t>
        </is>
      </c>
      <c r="AC281" s="25">
        <f>IF(AB281="Stable",10,0)</f>
        <v/>
      </c>
      <c r="AD281" s="25" t="inlineStr">
        <is>
          <t>Yes</t>
        </is>
      </c>
      <c r="AE281" s="25">
        <f>IF(AD281="Yes",10,0)</f>
        <v/>
      </c>
      <c r="AF281" s="25" t="inlineStr">
        <is>
          <t>B2B</t>
        </is>
      </c>
      <c r="AG281" s="25">
        <f>IF(AF281="B2C",10,IF(AF281="B2B",5,0))</f>
        <v/>
      </c>
      <c r="AH281" s="25" t="inlineStr">
        <is>
          <t>No</t>
        </is>
      </c>
      <c r="AI281" s="25">
        <f>IF(AH281="Yes",10,0)</f>
        <v/>
      </c>
      <c r="AJ281" s="25" t="inlineStr">
        <is>
          <t>Higher One Time, Lower Annuity</t>
        </is>
      </c>
      <c r="AK281" s="25">
        <f>IF(AJ281="Fully Annuity",10,IF(AJ281="Higher Annuity, Lower One Time",5,IF(AJ281="Higher One Time, Lower Annuity",3,0)))</f>
        <v/>
      </c>
      <c r="AL281" s="25" t="inlineStr">
        <is>
          <t>Good</t>
        </is>
      </c>
      <c r="AM281" s="25">
        <f>IF(AL281="Good",10,0)</f>
        <v/>
      </c>
      <c r="AN281" s="25" t="inlineStr">
        <is>
          <t>Yes for more than 2 years</t>
        </is>
      </c>
      <c r="AO281" s="25">
        <f>IF(AN281="Yes for more than 2 years",10,IF(AN281="Yes only for next 1 to 2 years",5,0))</f>
        <v/>
      </c>
      <c r="AP281" s="25" t="inlineStr">
        <is>
          <t>0 to 20</t>
        </is>
      </c>
      <c r="AQ281" s="25">
        <f>IF(AP281="Above 40",20,IF(AP281="20 to 40",10,IF(AP281="0 to 20",-5,0)))</f>
        <v/>
      </c>
      <c r="AR281" s="25" t="inlineStr">
        <is>
          <t>Between 50 to 75</t>
        </is>
      </c>
      <c r="AS281" s="25">
        <f>IF(AR281="Between 50 to 75",10,IF(AR281="Above 75",0,0))</f>
        <v/>
      </c>
      <c r="AT281" s="25" t="inlineStr">
        <is>
          <t>Stage 2</t>
        </is>
      </c>
      <c r="AU281" s="25">
        <f>IF(AT281="Stage 2",20,IF(AT281="Stage 1",0,IF(AT281="Stage 3",5,IF(AT281="Stage 4",-5,0))))</f>
        <v/>
      </c>
      <c r="AV281" s="25" t="inlineStr">
        <is>
          <t>Negative Trend</t>
        </is>
      </c>
      <c r="AW281" s="25">
        <f>IF(AV281="Positive Trend",20,IF(AV281="Negative Trend",-10,0))</f>
        <v/>
      </c>
      <c r="AX281" s="25" t="inlineStr">
        <is>
          <t>Uptrend</t>
        </is>
      </c>
      <c r="AY281" s="25">
        <f>IF(AX281="Uptrend",10,IF(AX281="Sideways",5,0))</f>
        <v/>
      </c>
      <c r="AZ281" s="25" t="inlineStr">
        <is>
          <t>Uptrend</t>
        </is>
      </c>
      <c r="BA281" s="25">
        <f>IF(AZ281="Uptrend",10,IF(AZ281="Sideways",5,0))</f>
        <v/>
      </c>
      <c r="BB281" s="25" t="inlineStr">
        <is>
          <t>Close to 52 week high or retracement</t>
        </is>
      </c>
      <c r="BC281" s="25">
        <f>IF(BB281="Overhead supply in last 2 years in last 2 years",-5,IF(BB281="Close to 52 week high or retracement",5,IF(BB281="Blue sky scenario",10,IF(BB281="Long term Downtrend",-10,0))))</f>
        <v/>
      </c>
      <c r="BD281" s="25" t="inlineStr">
        <is>
          <t>Yes</t>
        </is>
      </c>
      <c r="BE281" s="25">
        <f>IF(BD281="Yes",10,0)</f>
        <v/>
      </c>
      <c r="BF281" s="25" t="inlineStr">
        <is>
          <t>More than 20%</t>
        </is>
      </c>
      <c r="BG281" s="25">
        <f>IF(BF281="More than 20%",10,IF(BF281="Between 12 to 20%",5,IF(BF281="Less than 12%",0,0)))</f>
        <v/>
      </c>
      <c r="BH281" s="25" t="inlineStr">
        <is>
          <t>No</t>
        </is>
      </c>
      <c r="BI281" s="25">
        <f>IF(BH281="No",10,0)</f>
        <v/>
      </c>
      <c r="BJ281" s="25" t="inlineStr">
        <is>
          <t>No</t>
        </is>
      </c>
      <c r="BK281" s="25">
        <f>IF(BJ281="NO",5,0)</f>
        <v/>
      </c>
      <c r="BL281" s="25" t="inlineStr">
        <is>
          <t>Less than 1.5</t>
        </is>
      </c>
      <c r="BM281" s="25">
        <f>IF(BL281="Above 2",0,IF(BL281="Between 1.5 to 2",5,IF(BL281="Less than 1.5",10,0)))</f>
        <v/>
      </c>
      <c r="BN281" s="25" t="inlineStr">
        <is>
          <t>Above 70%</t>
        </is>
      </c>
      <c r="BO281" s="25">
        <f>IF(BN281="Above 70%",10,IF(BN281="Between 50% to 70%",5,IF(BN281="Less than 50%",0,IF(BN281="Negative",-10,IF(BN281="Less than 50% and Borrowings are increasing",-5,0)))))</f>
        <v/>
      </c>
      <c r="BP281" s="25" t="inlineStr">
        <is>
          <t>More than 1.2</t>
        </is>
      </c>
      <c r="BQ281" s="25">
        <f>IF(BP281="More than 1.2",-10,IF(BP281="Between 0.7 to 1.2",0,IF(BP281="Less than 0.7",10,0)))</f>
        <v/>
      </c>
      <c r="BR281" s="25" t="inlineStr">
        <is>
          <t>No</t>
        </is>
      </c>
      <c r="BS281" s="25">
        <f>IF(BR281="Yes",-10,0)</f>
        <v/>
      </c>
      <c r="BT281" s="25" t="inlineStr">
        <is>
          <t>Less than 15%</t>
        </is>
      </c>
      <c r="BU281" s="25">
        <f>IF(BT281="More than 15%",-10,IF(BT281="Less than 15%",10,0))</f>
        <v/>
      </c>
      <c r="BV281" s="25" t="inlineStr">
        <is>
          <t>No</t>
        </is>
      </c>
      <c r="BW281" s="25">
        <f>IF(BV281="Yes, more than 10%",-10,IF(BV281="No",10,0))</f>
        <v/>
      </c>
    </row>
    <row r="282">
      <c r="A282" s="25">
        <f>IF(B282=0,"",RANK(B282,$B$2:$B$292,0))</f>
        <v/>
      </c>
      <c r="B282" s="26">
        <f>SUM(Q282,S282,U282,W282,Y282,AA282,AC282,AE282,AG282,AI282,AK282,AM282,AO282,AQ282,AS282,AU282,AW282,AY282,BA282,BC282,BE282,BG282,BI282,BK282,BM282,BO282,BQ282,BS282,BU282,BW282)</f>
        <v/>
      </c>
      <c r="C282" s="25" t="inlineStr">
        <is>
          <t>XPROINDIA</t>
        </is>
      </c>
      <c r="D282" s="25" t="inlineStr">
        <is>
          <t>Xpro India Limited</t>
        </is>
      </c>
      <c r="E282" s="25" t="inlineStr">
        <is>
          <t>industrials</t>
        </is>
      </c>
      <c r="F282" s="25" t="inlineStr">
        <is>
          <t>packaging</t>
        </is>
      </c>
      <c r="G282" s="25" t="inlineStr">
        <is>
          <t>smallcap</t>
        </is>
      </c>
      <c r="H282" s="26" t="n">
        <v>2632.91</v>
      </c>
      <c r="I282" s="26" t="n">
        <v>1152.9</v>
      </c>
      <c r="J282" s="26" t="n">
        <v>2.77</v>
      </c>
      <c r="K282" s="26" t="n">
        <v>22787</v>
      </c>
      <c r="L282" s="26" t="n">
        <v>57.15</v>
      </c>
      <c r="M282" s="26" t="n">
        <v>17.46</v>
      </c>
      <c r="N282" s="26" t="n">
        <v>843.98</v>
      </c>
      <c r="O282" s="25" t="inlineStr">
        <is>
          <t>Earnings / Momentum Support</t>
        </is>
      </c>
      <c r="P282" s="25" t="inlineStr">
        <is>
          <t>Cyclical in an Upturn</t>
        </is>
      </c>
      <c r="Q282" s="25">
        <f>IF(P282="Growing Industry",10,IF(P282="Cyclical in an Upturn",5,0))</f>
        <v/>
      </c>
      <c r="R282" s="25" t="inlineStr">
        <is>
          <t>Too Many Players with High ROCE</t>
        </is>
      </c>
      <c r="S282" s="25">
        <f>IF(R282="Monopoly",10,IF(R282="Oligopoly",5,IF(R282="Duopoly that cooperate",10,IF(R282="Duopoly that compete",5,IF(R282="Too many players with High ROCE",5,0)))))</f>
        <v/>
      </c>
      <c r="T282" s="25" t="inlineStr">
        <is>
          <t>No</t>
        </is>
      </c>
      <c r="U282" s="25">
        <f>IF(T282="No",5,0)</f>
        <v/>
      </c>
      <c r="V282" s="25" t="inlineStr">
        <is>
          <t>Tailwind</t>
        </is>
      </c>
      <c r="W282" s="25">
        <f>IF(V282="Tailwind",10,0)</f>
        <v/>
      </c>
      <c r="X282" s="25" t="inlineStr">
        <is>
          <t>Structural (10 Years Consistency)</t>
        </is>
      </c>
      <c r="Y282" s="25">
        <f>IF(X282="Structural (10 Years Consistency)",10,IF(X282="Shallow Cyclical (2 to 3 years growth)",5,0))</f>
        <v/>
      </c>
      <c r="Z282" s="25" t="inlineStr">
        <is>
          <t>No</t>
        </is>
      </c>
      <c r="AA282" s="25">
        <f>IF(Z282="Yes due to Product Mix change or Operating Leverage",10,IF(Z282="Yes, these are peak margins",-5,IF(Z282="No",5,0)))</f>
        <v/>
      </c>
      <c r="AB282" s="25" t="inlineStr">
        <is>
          <t>Stable</t>
        </is>
      </c>
      <c r="AC282" s="25">
        <f>IF(AB282="Stable",10,0)</f>
        <v/>
      </c>
      <c r="AD282" s="25" t="inlineStr">
        <is>
          <t>Yes</t>
        </is>
      </c>
      <c r="AE282" s="25">
        <f>IF(AD282="Yes",10,0)</f>
        <v/>
      </c>
      <c r="AF282" s="25" t="inlineStr">
        <is>
          <t>B2B</t>
        </is>
      </c>
      <c r="AG282" s="25">
        <f>IF(AF282="B2C",10,IF(AF282="B2B",5,0))</f>
        <v/>
      </c>
      <c r="AH282" s="25" t="inlineStr">
        <is>
          <t>No</t>
        </is>
      </c>
      <c r="AI282" s="25">
        <f>IF(AH282="Yes",10,0)</f>
        <v/>
      </c>
      <c r="AJ282" s="25" t="inlineStr">
        <is>
          <t>Higher One Time, Lower Annuity</t>
        </is>
      </c>
      <c r="AK282" s="25">
        <f>IF(AJ282="Fully Annuity",10,IF(AJ282="Higher Annuity, Lower One Time",5,IF(AJ282="Higher One Time, Lower Annuity",3,0)))</f>
        <v/>
      </c>
      <c r="AL282" s="25" t="inlineStr">
        <is>
          <t>Good</t>
        </is>
      </c>
      <c r="AM282" s="25">
        <f>IF(AL282="Good",10,0)</f>
        <v/>
      </c>
      <c r="AN282" s="25" t="inlineStr">
        <is>
          <t>Yes for more than 2 years</t>
        </is>
      </c>
      <c r="AO282" s="25">
        <f>IF(AN282="Yes for more than 2 years",10,IF(AN282="Yes only for next 1 to 2 years",5,0))</f>
        <v/>
      </c>
      <c r="AP282" s="25" t="inlineStr">
        <is>
          <t>0 to 20</t>
        </is>
      </c>
      <c r="AQ282" s="25">
        <f>IF(AP282="Above 40",20,IF(AP282="20 to 40",10,IF(AP282="0 to 20",-5,0)))</f>
        <v/>
      </c>
      <c r="AR282" s="25" t="inlineStr">
        <is>
          <t>Between 50 to 75</t>
        </is>
      </c>
      <c r="AS282" s="25">
        <f>IF(AR282="Between 50 to 75",10,IF(AR282="Above 75",0,0))</f>
        <v/>
      </c>
      <c r="AT282" s="25" t="inlineStr">
        <is>
          <t>Stage 2</t>
        </is>
      </c>
      <c r="AU282" s="25">
        <f>IF(AT282="Stage 2",20,IF(AT282="Stage 1",0,IF(AT282="Stage 3",5,IF(AT282="Stage 4",-5,0))))</f>
        <v/>
      </c>
      <c r="AV282" s="25" t="inlineStr">
        <is>
          <t>Negative Trend</t>
        </is>
      </c>
      <c r="AW282" s="25">
        <f>IF(AV282="Positive Trend",20,IF(AV282="Negative Trend",-10,0))</f>
        <v/>
      </c>
      <c r="AX282" s="25" t="inlineStr">
        <is>
          <t>Uptrend</t>
        </is>
      </c>
      <c r="AY282" s="25">
        <f>IF(AX282="Uptrend",10,IF(AX282="Sideways",5,0))</f>
        <v/>
      </c>
      <c r="AZ282" s="25" t="inlineStr">
        <is>
          <t>Uptrend</t>
        </is>
      </c>
      <c r="BA282" s="25">
        <f>IF(AZ282="Uptrend",10,IF(AZ282="Sideways",5,0))</f>
        <v/>
      </c>
      <c r="BB282" s="25" t="inlineStr">
        <is>
          <t>Close to 52 week high or retracement</t>
        </is>
      </c>
      <c r="BC282" s="25">
        <f>IF(BB282="Overhead supply in last 2 years in last 2 years",-5,IF(BB282="Close to 52 week high or retracement",5,IF(BB282="Blue sky scenario",10,IF(BB282="Long term Downtrend",-10,0))))</f>
        <v/>
      </c>
      <c r="BD282" s="25" t="inlineStr">
        <is>
          <t>Yes</t>
        </is>
      </c>
      <c r="BE282" s="25">
        <f>IF(BD282="Yes",10,0)</f>
        <v/>
      </c>
      <c r="BF282" s="25" t="inlineStr">
        <is>
          <t>More than 20%</t>
        </is>
      </c>
      <c r="BG282" s="25">
        <f>IF(BF282="More than 20%",10,IF(BF282="Between 12 to 20%",5,IF(BF282="Less than 12%",0,0)))</f>
        <v/>
      </c>
      <c r="BH282" s="25" t="inlineStr">
        <is>
          <t>No</t>
        </is>
      </c>
      <c r="BI282" s="25">
        <f>IF(BH282="No",10,0)</f>
        <v/>
      </c>
      <c r="BJ282" s="25" t="inlineStr">
        <is>
          <t>Yes</t>
        </is>
      </c>
      <c r="BK282" s="25">
        <f>IF(BJ282="NO",5,0)</f>
        <v/>
      </c>
      <c r="BL282" s="25" t="inlineStr">
        <is>
          <t>Less than 1.5</t>
        </is>
      </c>
      <c r="BM282" s="25">
        <f>IF(BL282="Above 2",0,IF(BL282="Between 1.5 to 2",5,IF(BL282="Less than 1.5",10,0)))</f>
        <v/>
      </c>
      <c r="BN282" s="25" t="inlineStr">
        <is>
          <t>Less than 50%</t>
        </is>
      </c>
      <c r="BO282" s="25">
        <f>IF(BN282="Above 70%",10,IF(BN282="Between 50% to 70%",5,IF(BN282="Less than 50%",0,IF(BN282="Negative",-10,IF(BN282="Less than 50% and Borrowings are increasing",-5,0)))))</f>
        <v/>
      </c>
      <c r="BP282" s="25" t="inlineStr">
        <is>
          <t>Less than 0.7</t>
        </is>
      </c>
      <c r="BQ282" s="25">
        <f>IF(BP282="More than 1.2",-10,IF(BP282="Between 0.7 to 1.2",0,IF(BP282="Less than 0.7",10,0)))</f>
        <v/>
      </c>
      <c r="BR282" s="25" t="inlineStr">
        <is>
          <t>No</t>
        </is>
      </c>
      <c r="BS282" s="25">
        <f>IF(BR282="Yes",-10,0)</f>
        <v/>
      </c>
      <c r="BT282" s="25" t="inlineStr">
        <is>
          <t>Less than 15%</t>
        </is>
      </c>
      <c r="BU282" s="25">
        <f>IF(BT282="More than 15%",-10,IF(BT282="Less than 15%",10,0))</f>
        <v/>
      </c>
      <c r="BV282" s="25" t="inlineStr">
        <is>
          <t>No</t>
        </is>
      </c>
      <c r="BW282" s="25">
        <f>IF(BV282="Yes, more than 10%",-10,IF(BV282="No",10,0))</f>
        <v/>
      </c>
    </row>
    <row r="283">
      <c r="A283" s="25">
        <f>IF(B283=0,"",RANK(B283,$B$2:$B$292,0))</f>
        <v/>
      </c>
      <c r="B283" s="26">
        <f>SUM(Q283,S283,U283,W283,Y283,AA283,AC283,AE283,AG283,AI283,AK283,AM283,AO283,AQ283,AS283,AU283,AW283,AY283,BA283,BC283,BE283,BG283,BI283,BK283,BM283,BO283,BQ283,BS283,BU283,BW283)</f>
        <v/>
      </c>
      <c r="C283" s="25" t="inlineStr">
        <is>
          <t>ARVINDFASN</t>
        </is>
      </c>
      <c r="D283" s="25" t="inlineStr">
        <is>
          <t>Arvind Fashions Ltd</t>
        </is>
      </c>
      <c r="E283" s="25" t="inlineStr">
        <is>
          <t>consumer discretionary</t>
        </is>
      </c>
      <c r="F283" s="25" t="inlineStr">
        <is>
          <t>trading</t>
        </is>
      </c>
      <c r="G283" s="25" t="inlineStr">
        <is>
          <t>midcap</t>
        </is>
      </c>
      <c r="H283" s="26" t="n">
        <v>6222.31</v>
      </c>
      <c r="I283" s="26" t="n">
        <v>476.05</v>
      </c>
      <c r="J283" s="26" t="n">
        <v>2.26</v>
      </c>
      <c r="K283" s="26" t="n">
        <v>188668</v>
      </c>
      <c r="L283" s="26" t="n">
        <v>53.34</v>
      </c>
      <c r="M283" s="26" t="n">
        <v>12.07</v>
      </c>
      <c r="N283" s="26" t="n">
        <v>360.36</v>
      </c>
      <c r="O283" s="25" t="inlineStr">
        <is>
          <t>Earnings / Momentum Support</t>
        </is>
      </c>
      <c r="P283" s="25" t="inlineStr">
        <is>
          <t>Growing Industry</t>
        </is>
      </c>
      <c r="Q283" s="25">
        <f>IF(P283="Growing Industry",10,IF(P283="Cyclical in an Upturn",5,0))</f>
        <v/>
      </c>
      <c r="R283" s="25" t="inlineStr">
        <is>
          <t>Too Many Players with High ROCE</t>
        </is>
      </c>
      <c r="S283" s="25">
        <f>IF(R283="Monopoly",10,IF(R283="Oligopoly",5,IF(R283="Duopoly that cooperate",10,IF(R283="Duopoly that compete",5,IF(R283="Too many players with High ROCE",5,0)))))</f>
        <v/>
      </c>
      <c r="T283" s="25" t="inlineStr">
        <is>
          <t>No</t>
        </is>
      </c>
      <c r="U283" s="25">
        <f>IF(T283="No",5,0)</f>
        <v/>
      </c>
      <c r="V283" s="25" t="inlineStr">
        <is>
          <t>Headwind</t>
        </is>
      </c>
      <c r="W283" s="25">
        <f>IF(V283="Tailwind",10,0)</f>
        <v/>
      </c>
      <c r="X283" s="25" t="inlineStr">
        <is>
          <t>Structural (10 Years Consistency)</t>
        </is>
      </c>
      <c r="Y283" s="25">
        <f>IF(X283="Structural (10 Years Consistency)",10,IF(X283="Shallow Cyclical (2 to 3 years growth)",5,0))</f>
        <v/>
      </c>
      <c r="Z283" s="25" t="inlineStr">
        <is>
          <t>No</t>
        </is>
      </c>
      <c r="AA283" s="25">
        <f>IF(Z283="Yes due to Product Mix change or Operating Leverage",10,IF(Z283="Yes, these are peak margins",-5,IF(Z283="No",5,0)))</f>
        <v/>
      </c>
      <c r="AB283" s="25" t="inlineStr">
        <is>
          <t>Stable</t>
        </is>
      </c>
      <c r="AC283" s="25">
        <f>IF(AB283="Stable",10,0)</f>
        <v/>
      </c>
      <c r="AD283" s="25" t="inlineStr">
        <is>
          <t>Yes</t>
        </is>
      </c>
      <c r="AE283" s="25">
        <f>IF(AD283="Yes",10,0)</f>
        <v/>
      </c>
      <c r="AF283" s="25" t="inlineStr">
        <is>
          <t>B2B</t>
        </is>
      </c>
      <c r="AG283" s="25">
        <f>IF(AF283="B2C",10,IF(AF283="B2B",5,0))</f>
        <v/>
      </c>
      <c r="AH283" s="25" t="inlineStr">
        <is>
          <t>No</t>
        </is>
      </c>
      <c r="AI283" s="25">
        <f>IF(AH283="Yes",10,0)</f>
        <v/>
      </c>
      <c r="AJ283" s="25" t="inlineStr">
        <is>
          <t>Higher One Time, Lower Annuity</t>
        </is>
      </c>
      <c r="AK283" s="25">
        <f>IF(AJ283="Fully Annuity",10,IF(AJ283="Higher Annuity, Lower One Time",5,IF(AJ283="Higher One Time, Lower Annuity",3,0)))</f>
        <v/>
      </c>
      <c r="AL283" s="25" t="inlineStr">
        <is>
          <t>Good</t>
        </is>
      </c>
      <c r="AM283" s="25">
        <f>IF(AL283="Good",10,0)</f>
        <v/>
      </c>
      <c r="AN283" s="25" t="inlineStr">
        <is>
          <t>Yes for more than 2 years</t>
        </is>
      </c>
      <c r="AO283" s="25">
        <f>IF(AN283="Yes for more than 2 years",10,IF(AN283="Yes only for next 1 to 2 years",5,0))</f>
        <v/>
      </c>
      <c r="AP283" s="25" t="inlineStr">
        <is>
          <t>0 to 20</t>
        </is>
      </c>
      <c r="AQ283" s="25">
        <f>IF(AP283="Above 40",20,IF(AP283="20 to 40",10,IF(AP283="0 to 20",-5,0)))</f>
        <v/>
      </c>
      <c r="AR283" s="25" t="inlineStr">
        <is>
          <t>Between 50 to 75</t>
        </is>
      </c>
      <c r="AS283" s="25">
        <f>IF(AR283="Between 50 to 75",10,IF(AR283="Above 75",0,0))</f>
        <v/>
      </c>
      <c r="AT283" s="25" t="inlineStr">
        <is>
          <t>Stage 1</t>
        </is>
      </c>
      <c r="AU283" s="25">
        <f>IF(AT283="Stage 2",20,IF(AT283="Stage 1",0,IF(AT283="Stage 3",5,IF(AT283="Stage 4",-5,0))))</f>
        <v/>
      </c>
      <c r="AV283" s="25" t="inlineStr">
        <is>
          <t>Positive Trend</t>
        </is>
      </c>
      <c r="AW283" s="25">
        <f>IF(AV283="Positive Trend",20,IF(AV283="Negative Trend",-10,0))</f>
        <v/>
      </c>
      <c r="AX283" s="25" t="inlineStr">
        <is>
          <t>Uptrend</t>
        </is>
      </c>
      <c r="AY283" s="25">
        <f>IF(AX283="Uptrend",10,IF(AX283="Sideways",5,0))</f>
        <v/>
      </c>
      <c r="AZ283" s="25" t="inlineStr">
        <is>
          <t>Uptrend</t>
        </is>
      </c>
      <c r="BA283" s="25">
        <f>IF(AZ283="Uptrend",10,IF(AZ283="Sideways",5,0))</f>
        <v/>
      </c>
      <c r="BB283" s="25" t="inlineStr">
        <is>
          <t>Close to 52 week high or retracement</t>
        </is>
      </c>
      <c r="BC283" s="25">
        <f>IF(BB283="Overhead supply in last 2 years in last 2 years",-5,IF(BB283="Close to 52 week high or retracement",5,IF(BB283="Blue sky scenario",10,IF(BB283="Long term Downtrend",-10,0))))</f>
        <v/>
      </c>
      <c r="BD283" s="25" t="inlineStr">
        <is>
          <t>Yes</t>
        </is>
      </c>
      <c r="BE283" s="25">
        <f>IF(BD283="Yes",10,0)</f>
        <v/>
      </c>
      <c r="BF283" s="25" t="inlineStr">
        <is>
          <t>More than 20%</t>
        </is>
      </c>
      <c r="BG283" s="25">
        <f>IF(BF283="More than 20%",10,IF(BF283="Between 12 to 20%",5,IF(BF283="Less than 12%",0,0)))</f>
        <v/>
      </c>
      <c r="BH283" s="25" t="inlineStr">
        <is>
          <t>No</t>
        </is>
      </c>
      <c r="BI283" s="25">
        <f>IF(BH283="No",10,0)</f>
        <v/>
      </c>
      <c r="BJ283" s="25" t="inlineStr">
        <is>
          <t>Yes</t>
        </is>
      </c>
      <c r="BK283" s="25">
        <f>IF(BJ283="NO",5,0)</f>
        <v/>
      </c>
      <c r="BL283" s="25" t="inlineStr">
        <is>
          <t>Less than 1.5</t>
        </is>
      </c>
      <c r="BM283" s="25">
        <f>IF(BL283="Above 2",0,IF(BL283="Between 1.5 to 2",5,IF(BL283="Less than 1.5",10,0)))</f>
        <v/>
      </c>
      <c r="BN283" s="25" t="inlineStr">
        <is>
          <t>Between 50% to 70%</t>
        </is>
      </c>
      <c r="BO283" s="25">
        <f>IF(BN283="Above 70%",10,IF(BN283="Between 50% to 70%",5,IF(BN283="Less than 50%",0,IF(BN283="Negative",-10,IF(BN283="Less than 50% and Borrowings are increasing",-5,0)))))</f>
        <v/>
      </c>
      <c r="BP283" s="25" t="inlineStr">
        <is>
          <t>Between 0.7 to 1.2</t>
        </is>
      </c>
      <c r="BQ283" s="25">
        <f>IF(BP283="More than 1.2",-10,IF(BP283="Between 0.7 to 1.2",0,IF(BP283="Less than 0.7",10,0)))</f>
        <v/>
      </c>
      <c r="BR283" s="25" t="inlineStr">
        <is>
          <t>No</t>
        </is>
      </c>
      <c r="BS283" s="25">
        <f>IF(BR283="Yes",-10,0)</f>
        <v/>
      </c>
      <c r="BT283" s="25" t="inlineStr">
        <is>
          <t>Less than 15%</t>
        </is>
      </c>
      <c r="BU283" s="25">
        <f>IF(BT283="More than 15%",-10,IF(BT283="Less than 15%",10,0))</f>
        <v/>
      </c>
      <c r="BV283" s="25" t="inlineStr">
        <is>
          <t>No</t>
        </is>
      </c>
      <c r="BW283" s="25">
        <f>IF(BV283="Yes, more than 10%",-10,IF(BV283="No",10,0))</f>
        <v/>
      </c>
    </row>
    <row r="284">
      <c r="A284" s="25">
        <f>IF(B284=0,"",RANK(B284,$B$2:$B$292,0))</f>
        <v/>
      </c>
      <c r="B284" s="26">
        <f>SUM(Q284,S284,U284,W284,Y284,AA284,AC284,AE284,AG284,AI284,AK284,AM284,AO284,AQ284,AS284,AU284,AW284,AY284,BA284,BC284,BE284,BG284,BI284,BK284,BM284,BO284,BQ284,BS284,BU284,BW284)</f>
        <v/>
      </c>
      <c r="C284" s="25" t="inlineStr">
        <is>
          <t>KSL</t>
        </is>
      </c>
      <c r="D284" s="25" t="inlineStr">
        <is>
          <t>Kalyani Steels Limited</t>
        </is>
      </c>
      <c r="E284" s="25" t="inlineStr">
        <is>
          <t>metals &amp; mining</t>
        </is>
      </c>
      <c r="F284" s="25" t="inlineStr">
        <is>
          <t>steel - medium / small</t>
        </is>
      </c>
      <c r="G284" s="25" t="inlineStr">
        <is>
          <t>smallcap</t>
        </is>
      </c>
      <c r="H284" s="26" t="n">
        <v>3671</v>
      </c>
      <c r="I284" s="26" t="n">
        <v>854.8</v>
      </c>
      <c r="J284" s="26" t="n">
        <v>1.65</v>
      </c>
      <c r="K284" s="26" t="n">
        <v>59345</v>
      </c>
      <c r="L284" s="26" t="n">
        <v>61.08</v>
      </c>
      <c r="M284" s="26" t="n">
        <v>20.94</v>
      </c>
      <c r="N284" s="26" t="n">
        <v>682.2</v>
      </c>
      <c r="O284" s="25" t="inlineStr">
        <is>
          <t>Earnings / Momentum Support</t>
        </is>
      </c>
      <c r="P284" s="25" t="inlineStr">
        <is>
          <t>Cyclical in an Upturn</t>
        </is>
      </c>
      <c r="Q284" s="25">
        <f>IF(P284="Growing Industry",10,IF(P284="Cyclical in an Upturn",5,0))</f>
        <v/>
      </c>
      <c r="R284" s="25" t="inlineStr">
        <is>
          <t>Too Many Players with High ROCE</t>
        </is>
      </c>
      <c r="S284" s="25">
        <f>IF(R284="Monopoly",10,IF(R284="Oligopoly",5,IF(R284="Duopoly that cooperate",10,IF(R284="Duopoly that compete",5,IF(R284="Too many players with High ROCE",5,0)))))</f>
        <v/>
      </c>
      <c r="T284" s="25" t="inlineStr">
        <is>
          <t>No</t>
        </is>
      </c>
      <c r="U284" s="25">
        <f>IF(T284="No",5,0)</f>
        <v/>
      </c>
      <c r="V284" s="25" t="inlineStr">
        <is>
          <t>Tailwind</t>
        </is>
      </c>
      <c r="W284" s="25">
        <f>IF(V284="Tailwind",10,0)</f>
        <v/>
      </c>
      <c r="X284" s="25" t="inlineStr">
        <is>
          <t>Cyclical</t>
        </is>
      </c>
      <c r="Y284" s="25">
        <f>IF(X284="Structural (10 Years Consistency)",10,IF(X284="Shallow Cyclical (2 to 3 years growth)",5,0))</f>
        <v/>
      </c>
      <c r="Z284" s="25" t="inlineStr">
        <is>
          <t>No</t>
        </is>
      </c>
      <c r="AA284" s="25">
        <f>IF(Z284="Yes due to Product Mix change or Operating Leverage",10,IF(Z284="Yes, these are peak margins",-5,IF(Z284="No",5,0)))</f>
        <v/>
      </c>
      <c r="AB284" s="25" t="inlineStr">
        <is>
          <t>Volatile</t>
        </is>
      </c>
      <c r="AC284" s="25">
        <f>IF(AB284="Stable",10,0)</f>
        <v/>
      </c>
      <c r="AD284" s="25" t="inlineStr">
        <is>
          <t>Yes</t>
        </is>
      </c>
      <c r="AE284" s="25">
        <f>IF(AD284="Yes",10,0)</f>
        <v/>
      </c>
      <c r="AF284" s="25" t="inlineStr">
        <is>
          <t>B2B</t>
        </is>
      </c>
      <c r="AG284" s="25">
        <f>IF(AF284="B2C",10,IF(AF284="B2B",5,0))</f>
        <v/>
      </c>
      <c r="AH284" s="25" t="inlineStr">
        <is>
          <t>No</t>
        </is>
      </c>
      <c r="AI284" s="25">
        <f>IF(AH284="Yes",10,0)</f>
        <v/>
      </c>
      <c r="AJ284" s="25" t="inlineStr">
        <is>
          <t>Higher One Time, Lower Annuity</t>
        </is>
      </c>
      <c r="AK284" s="25">
        <f>IF(AJ284="Fully Annuity",10,IF(AJ284="Higher Annuity, Lower One Time",5,IF(AJ284="Higher One Time, Lower Annuity",3,0)))</f>
        <v/>
      </c>
      <c r="AL284" s="25" t="inlineStr">
        <is>
          <t>Good</t>
        </is>
      </c>
      <c r="AM284" s="25">
        <f>IF(AL284="Good",10,0)</f>
        <v/>
      </c>
      <c r="AN284" s="25" t="inlineStr">
        <is>
          <t>Yes for more than 2 years</t>
        </is>
      </c>
      <c r="AO284" s="25">
        <f>IF(AN284="Yes for more than 2 years",10,IF(AN284="Yes only for next 1 to 2 years",5,0))</f>
        <v/>
      </c>
      <c r="AP284" s="25" t="inlineStr">
        <is>
          <t>20 to 40</t>
        </is>
      </c>
      <c r="AQ284" s="25">
        <f>IF(AP284="Above 40",20,IF(AP284="20 to 40",10,IF(AP284="0 to 20",-5,0)))</f>
        <v/>
      </c>
      <c r="AR284" s="25" t="inlineStr">
        <is>
          <t>Between 50 to 75</t>
        </is>
      </c>
      <c r="AS284" s="25">
        <f>IF(AR284="Between 50 to 75",10,IF(AR284="Above 75",0,0))</f>
        <v/>
      </c>
      <c r="AT284" s="25" t="inlineStr">
        <is>
          <t>Stage 2</t>
        </is>
      </c>
      <c r="AU284" s="25">
        <f>IF(AT284="Stage 2",20,IF(AT284="Stage 1",0,IF(AT284="Stage 3",5,IF(AT284="Stage 4",-5,0))))</f>
        <v/>
      </c>
      <c r="AV284" s="25" t="inlineStr">
        <is>
          <t>Negative Trend</t>
        </is>
      </c>
      <c r="AW284" s="25">
        <f>IF(AV284="Positive Trend",20,IF(AV284="Negative Trend",-10,0))</f>
        <v/>
      </c>
      <c r="AX284" s="25" t="inlineStr">
        <is>
          <t>Uptrend</t>
        </is>
      </c>
      <c r="AY284" s="25">
        <f>IF(AX284="Uptrend",10,IF(AX284="Sideways",5,0))</f>
        <v/>
      </c>
      <c r="AZ284" s="25" t="inlineStr">
        <is>
          <t>Uptrend</t>
        </is>
      </c>
      <c r="BA284" s="25">
        <f>IF(AZ284="Uptrend",10,IF(AZ284="Sideways",5,0))</f>
        <v/>
      </c>
      <c r="BB284" s="25" t="inlineStr">
        <is>
          <t>Close to 52 week high or retracement</t>
        </is>
      </c>
      <c r="BC284" s="25">
        <f>IF(BB284="Overhead supply in last 2 years in last 2 years",-5,IF(BB284="Close to 52 week high or retracement",5,IF(BB284="Blue sky scenario",10,IF(BB284="Long term Downtrend",-10,0))))</f>
        <v/>
      </c>
      <c r="BD284" s="25" t="inlineStr">
        <is>
          <t>Yes</t>
        </is>
      </c>
      <c r="BE284" s="25">
        <f>IF(BD284="Yes",10,0)</f>
        <v/>
      </c>
      <c r="BF284" s="25" t="inlineStr">
        <is>
          <t>Less than 12%</t>
        </is>
      </c>
      <c r="BG284" s="25">
        <f>IF(BF284="More than 20%",10,IF(BF284="Between 12 to 20%",5,IF(BF284="Less than 12%",0,0)))</f>
        <v/>
      </c>
      <c r="BH284" s="25" t="inlineStr">
        <is>
          <t>No</t>
        </is>
      </c>
      <c r="BI284" s="25">
        <f>IF(BH284="No",10,0)</f>
        <v/>
      </c>
      <c r="BJ284" s="25" t="inlineStr">
        <is>
          <t>No</t>
        </is>
      </c>
      <c r="BK284" s="25">
        <f>IF(BJ284="NO",5,0)</f>
        <v/>
      </c>
      <c r="BL284" s="25" t="inlineStr">
        <is>
          <t>Less than 1.5</t>
        </is>
      </c>
      <c r="BM284" s="25">
        <f>IF(BL284="Above 2",0,IF(BL284="Between 1.5 to 2",5,IF(BL284="Less than 1.5",10,0)))</f>
        <v/>
      </c>
      <c r="BN284" s="25" t="inlineStr">
        <is>
          <t>Above 70%</t>
        </is>
      </c>
      <c r="BO284" s="25">
        <f>IF(BN284="Above 70%",10,IF(BN284="Between 50% to 70%",5,IF(BN284="Less than 50%",0,IF(BN284="Negative",-10,IF(BN284="Less than 50% and Borrowings are increasing",-5,0)))))</f>
        <v/>
      </c>
      <c r="BP284" s="25" t="inlineStr">
        <is>
          <t>Less than 0.7</t>
        </is>
      </c>
      <c r="BQ284" s="25">
        <f>IF(BP284="More than 1.2",-10,IF(BP284="Between 0.7 to 1.2",0,IF(BP284="Less than 0.7",10,0)))</f>
        <v/>
      </c>
      <c r="BR284" s="25" t="inlineStr">
        <is>
          <t>No</t>
        </is>
      </c>
      <c r="BS284" s="25">
        <f>IF(BR284="Yes",-10,0)</f>
        <v/>
      </c>
      <c r="BT284" s="25" t="inlineStr">
        <is>
          <t>Less than 15%</t>
        </is>
      </c>
      <c r="BU284" s="25">
        <f>IF(BT284="More than 15%",-10,IF(BT284="Less than 15%",10,0))</f>
        <v/>
      </c>
      <c r="BV284" s="25" t="inlineStr">
        <is>
          <t>No</t>
        </is>
      </c>
      <c r="BW284" s="25">
        <f>IF(BV284="Yes, more than 10%",-10,IF(BV284="No",10,0))</f>
        <v/>
      </c>
    </row>
    <row r="285">
      <c r="A285" s="25">
        <f>IF(B285=0,"",RANK(B285,$B$2:$B$292,0))</f>
        <v/>
      </c>
      <c r="B285" s="26">
        <f>SUM(Q285,S285,U285,W285,Y285,AA285,AC285,AE285,AG285,AI285,AK285,AM285,AO285,AQ285,AS285,AU285,AW285,AY285,BA285,BC285,BE285,BG285,BI285,BK285,BM285,BO285,BQ285,BS285,BU285,BW285)</f>
        <v/>
      </c>
      <c r="C285" s="25" t="inlineStr">
        <is>
          <t>MAITHANALL</t>
        </is>
      </c>
      <c r="D285" s="25" t="inlineStr">
        <is>
          <t>Maithan Alloys Limited</t>
        </is>
      </c>
      <c r="E285" s="25" t="inlineStr">
        <is>
          <t>metals &amp; mining</t>
        </is>
      </c>
      <c r="F285" s="25" t="inlineStr">
        <is>
          <t>mining / minerals / metals</t>
        </is>
      </c>
      <c r="G285" s="25" t="inlineStr">
        <is>
          <t>smallcap</t>
        </is>
      </c>
      <c r="H285" s="26" t="n">
        <v>3015.08</v>
      </c>
      <c r="I285" s="26" t="n">
        <v>1050.7</v>
      </c>
      <c r="J285" s="26" t="n">
        <v>1.45</v>
      </c>
      <c r="K285" s="26" t="n">
        <v>70198</v>
      </c>
      <c r="L285" s="26" t="n">
        <v>55.44</v>
      </c>
      <c r="M285" s="26" t="n">
        <v>13.72</v>
      </c>
      <c r="N285" s="26" t="n">
        <v>824.02</v>
      </c>
      <c r="O285" s="25" t="inlineStr">
        <is>
          <t>Earnings / Momentum Support</t>
        </is>
      </c>
      <c r="P285" s="25" t="inlineStr">
        <is>
          <t>Cyclical in an Upturn</t>
        </is>
      </c>
      <c r="Q285" s="25">
        <f>IF(P285="Growing Industry",10,IF(P285="Cyclical in an Upturn",5,0))</f>
        <v/>
      </c>
      <c r="R285" s="25" t="inlineStr">
        <is>
          <t>Too Many Players with High ROCE</t>
        </is>
      </c>
      <c r="S285" s="25">
        <f>IF(R285="Monopoly",10,IF(R285="Oligopoly",5,IF(R285="Duopoly that cooperate",10,IF(R285="Duopoly that compete",5,IF(R285="Too many players with High ROCE",5,0)))))</f>
        <v/>
      </c>
      <c r="T285" s="25" t="inlineStr">
        <is>
          <t>No</t>
        </is>
      </c>
      <c r="U285" s="25">
        <f>IF(T285="No",5,0)</f>
        <v/>
      </c>
      <c r="V285" s="25" t="inlineStr">
        <is>
          <t>Tailwind</t>
        </is>
      </c>
      <c r="W285" s="25">
        <f>IF(V285="Tailwind",10,0)</f>
        <v/>
      </c>
      <c r="X285" s="25" t="inlineStr">
        <is>
          <t>Cyclical</t>
        </is>
      </c>
      <c r="Y285" s="25">
        <f>IF(X285="Structural (10 Years Consistency)",10,IF(X285="Shallow Cyclical (2 to 3 years growth)",5,0))</f>
        <v/>
      </c>
      <c r="Z285" s="25" t="inlineStr">
        <is>
          <t>No</t>
        </is>
      </c>
      <c r="AA285" s="25">
        <f>IF(Z285="Yes due to Product Mix change or Operating Leverage",10,IF(Z285="Yes, these are peak margins",-5,IF(Z285="No",5,0)))</f>
        <v/>
      </c>
      <c r="AB285" s="25" t="inlineStr">
        <is>
          <t>Volatile</t>
        </is>
      </c>
      <c r="AC285" s="25">
        <f>IF(AB285="Stable",10,0)</f>
        <v/>
      </c>
      <c r="AD285" s="25" t="inlineStr">
        <is>
          <t>Yes</t>
        </is>
      </c>
      <c r="AE285" s="25">
        <f>IF(AD285="Yes",10,0)</f>
        <v/>
      </c>
      <c r="AF285" s="25" t="inlineStr">
        <is>
          <t>B2B</t>
        </is>
      </c>
      <c r="AG285" s="25">
        <f>IF(AF285="B2C",10,IF(AF285="B2B",5,0))</f>
        <v/>
      </c>
      <c r="AH285" s="25" t="inlineStr">
        <is>
          <t>No</t>
        </is>
      </c>
      <c r="AI285" s="25">
        <f>IF(AH285="Yes",10,0)</f>
        <v/>
      </c>
      <c r="AJ285" s="25" t="inlineStr">
        <is>
          <t>Higher One Time, Lower Annuity</t>
        </is>
      </c>
      <c r="AK285" s="25">
        <f>IF(AJ285="Fully Annuity",10,IF(AJ285="Higher Annuity, Lower One Time",5,IF(AJ285="Higher One Time, Lower Annuity",3,0)))</f>
        <v/>
      </c>
      <c r="AL285" s="25" t="inlineStr">
        <is>
          <t>Good</t>
        </is>
      </c>
      <c r="AM285" s="25">
        <f>IF(AL285="Good",10,0)</f>
        <v/>
      </c>
      <c r="AN285" s="25" t="inlineStr">
        <is>
          <t>Yes for more than 2 years</t>
        </is>
      </c>
      <c r="AO285" s="25">
        <f>IF(AN285="Yes for more than 2 years",10,IF(AN285="Yes only for next 1 to 2 years",5,0))</f>
        <v/>
      </c>
      <c r="AP285" s="25" t="inlineStr">
        <is>
          <t>0 to 20</t>
        </is>
      </c>
      <c r="AQ285" s="25">
        <f>IF(AP285="Above 40",20,IF(AP285="20 to 40",10,IF(AP285="0 to 20",-5,0)))</f>
        <v/>
      </c>
      <c r="AR285" s="25" t="inlineStr">
        <is>
          <t>Between 50 to 75</t>
        </is>
      </c>
      <c r="AS285" s="25">
        <f>IF(AR285="Between 50 to 75",10,IF(AR285="Above 75",0,0))</f>
        <v/>
      </c>
      <c r="AT285" s="25" t="inlineStr">
        <is>
          <t>Stage 1</t>
        </is>
      </c>
      <c r="AU285" s="25">
        <f>IF(AT285="Stage 2",20,IF(AT285="Stage 1",0,IF(AT285="Stage 3",5,IF(AT285="Stage 4",-5,0))))</f>
        <v/>
      </c>
      <c r="AV285" s="25" t="inlineStr">
        <is>
          <t>Positive Trend</t>
        </is>
      </c>
      <c r="AW285" s="25">
        <f>IF(AV285="Positive Trend",20,IF(AV285="Negative Trend",-10,0))</f>
        <v/>
      </c>
      <c r="AX285" s="25" t="inlineStr">
        <is>
          <t>Uptrend</t>
        </is>
      </c>
      <c r="AY285" s="25">
        <f>IF(AX285="Uptrend",10,IF(AX285="Sideways",5,0))</f>
        <v/>
      </c>
      <c r="AZ285" s="25" t="inlineStr">
        <is>
          <t>Uptrend</t>
        </is>
      </c>
      <c r="BA285" s="25">
        <f>IF(AZ285="Uptrend",10,IF(AZ285="Sideways",5,0))</f>
        <v/>
      </c>
      <c r="BB285" s="25" t="inlineStr">
        <is>
          <t>Close to 52 week high or retracement</t>
        </is>
      </c>
      <c r="BC285" s="25">
        <f>IF(BB285="Overhead supply in last 2 years in last 2 years",-5,IF(BB285="Close to 52 week high or retracement",5,IF(BB285="Blue sky scenario",10,IF(BB285="Long term Downtrend",-10,0))))</f>
        <v/>
      </c>
      <c r="BD285" s="25" t="inlineStr">
        <is>
          <t>Yes</t>
        </is>
      </c>
      <c r="BE285" s="25">
        <f>IF(BD285="Yes",10,0)</f>
        <v/>
      </c>
      <c r="BF285" s="25" t="inlineStr">
        <is>
          <t>Less than 12%</t>
        </is>
      </c>
      <c r="BG285" s="25">
        <f>IF(BF285="More than 20%",10,IF(BF285="Between 12 to 20%",5,IF(BF285="Less than 12%",0,0)))</f>
        <v/>
      </c>
      <c r="BH285" s="25" t="inlineStr">
        <is>
          <t>No</t>
        </is>
      </c>
      <c r="BI285" s="25">
        <f>IF(BH285="No",10,0)</f>
        <v/>
      </c>
      <c r="BJ285" s="25" t="inlineStr">
        <is>
          <t>No</t>
        </is>
      </c>
      <c r="BK285" s="25">
        <f>IF(BJ285="NO",5,0)</f>
        <v/>
      </c>
      <c r="BL285" s="25" t="inlineStr">
        <is>
          <t>Less than 1.5</t>
        </is>
      </c>
      <c r="BM285" s="25">
        <f>IF(BL285="Above 2",0,IF(BL285="Between 1.5 to 2",5,IF(BL285="Less than 1.5",10,0)))</f>
        <v/>
      </c>
      <c r="BN285" s="25" t="inlineStr">
        <is>
          <t>Above 70%</t>
        </is>
      </c>
      <c r="BO285" s="25">
        <f>IF(BN285="Above 70%",10,IF(BN285="Between 50% to 70%",5,IF(BN285="Less than 50%",0,IF(BN285="Negative",-10,IF(BN285="Less than 50% and Borrowings are increasing",-5,0)))))</f>
        <v/>
      </c>
      <c r="BP285" s="25" t="inlineStr">
        <is>
          <t>Less than 0.7</t>
        </is>
      </c>
      <c r="BQ285" s="25">
        <f>IF(BP285="More than 1.2",-10,IF(BP285="Between 0.7 to 1.2",0,IF(BP285="Less than 0.7",10,0)))</f>
        <v/>
      </c>
      <c r="BR285" s="25" t="inlineStr">
        <is>
          <t>No</t>
        </is>
      </c>
      <c r="BS285" s="25">
        <f>IF(BR285="Yes",-10,0)</f>
        <v/>
      </c>
      <c r="BT285" s="25" t="inlineStr">
        <is>
          <t>Less than 15%</t>
        </is>
      </c>
      <c r="BU285" s="25">
        <f>IF(BT285="More than 15%",-10,IF(BT285="Less than 15%",10,0))</f>
        <v/>
      </c>
      <c r="BV285" s="25" t="inlineStr">
        <is>
          <t>No</t>
        </is>
      </c>
      <c r="BW285" s="25">
        <f>IF(BV285="Yes, more than 10%",-10,IF(BV285="No",10,0))</f>
        <v/>
      </c>
    </row>
    <row r="286">
      <c r="A286" s="25">
        <f>IF(B286=0,"",RANK(B286,$B$2:$B$292,0))</f>
        <v/>
      </c>
      <c r="B286" s="26">
        <f>SUM(Q286,S286,U286,W286,Y286,AA286,AC286,AE286,AG286,AI286,AK286,AM286,AO286,AQ286,AS286,AU286,AW286,AY286,BA286,BC286,BE286,BG286,BI286,BK286,BM286,BO286,BQ286,BS286,BU286,BW286)</f>
        <v/>
      </c>
      <c r="C286" s="25" t="inlineStr">
        <is>
          <t>MSPL</t>
        </is>
      </c>
      <c r="D286" s="25" t="inlineStr">
        <is>
          <t>Msp Steel &amp; Power Limited</t>
        </is>
      </c>
      <c r="E286" s="25" t="inlineStr">
        <is>
          <t>metals &amp; mining</t>
        </is>
      </c>
      <c r="F286" s="25" t="inlineStr">
        <is>
          <t>steel - medium / small</t>
        </is>
      </c>
      <c r="G286" s="25" t="inlineStr">
        <is>
          <t>smallcap</t>
        </is>
      </c>
      <c r="H286" s="26" t="n">
        <v>2304.6</v>
      </c>
      <c r="I286" s="26" t="n">
        <v>40.97</v>
      </c>
      <c r="J286" s="26" t="n">
        <v>0.76</v>
      </c>
      <c r="K286" s="26" t="n">
        <v>8818404</v>
      </c>
      <c r="L286" s="26" t="n">
        <v>62.19</v>
      </c>
      <c r="M286" s="26" t="n">
        <v>19.59</v>
      </c>
      <c r="N286" s="26" t="n">
        <v>32.04</v>
      </c>
      <c r="O286" s="25" t="inlineStr">
        <is>
          <t>Volume Spike &amp; Near 52W High Breakout</t>
        </is>
      </c>
      <c r="P286" s="25" t="inlineStr">
        <is>
          <t>Cyclical in an Upturn</t>
        </is>
      </c>
      <c r="Q286" s="25">
        <f>IF(P286="Growing Industry",10,IF(P286="Cyclical in an Upturn",5,0))</f>
        <v/>
      </c>
      <c r="R286" s="25" t="inlineStr">
        <is>
          <t>Too Many Players with High ROCE</t>
        </is>
      </c>
      <c r="S286" s="25">
        <f>IF(R286="Monopoly",10,IF(R286="Oligopoly",5,IF(R286="Duopoly that cooperate",10,IF(R286="Duopoly that compete",5,IF(R286="Too many players with High ROCE",5,0)))))</f>
        <v/>
      </c>
      <c r="T286" s="25" t="inlineStr">
        <is>
          <t>No</t>
        </is>
      </c>
      <c r="U286" s="25">
        <f>IF(T286="No",5,0)</f>
        <v/>
      </c>
      <c r="V286" s="25" t="inlineStr">
        <is>
          <t>Tailwind</t>
        </is>
      </c>
      <c r="W286" s="25">
        <f>IF(V286="Tailwind",10,0)</f>
        <v/>
      </c>
      <c r="X286" s="25" t="inlineStr">
        <is>
          <t>Cyclical</t>
        </is>
      </c>
      <c r="Y286" s="25">
        <f>IF(X286="Structural (10 Years Consistency)",10,IF(X286="Shallow Cyclical (2 to 3 years growth)",5,0))</f>
        <v/>
      </c>
      <c r="Z286" s="25" t="inlineStr">
        <is>
          <t>No</t>
        </is>
      </c>
      <c r="AA286" s="25">
        <f>IF(Z286="Yes due to Product Mix change or Operating Leverage",10,IF(Z286="Yes, these are peak margins",-5,IF(Z286="No",5,0)))</f>
        <v/>
      </c>
      <c r="AB286" s="25" t="inlineStr">
        <is>
          <t>Volatile</t>
        </is>
      </c>
      <c r="AC286" s="25">
        <f>IF(AB286="Stable",10,0)</f>
        <v/>
      </c>
      <c r="AD286" s="25" t="inlineStr">
        <is>
          <t>Yes</t>
        </is>
      </c>
      <c r="AE286" s="25">
        <f>IF(AD286="Yes",10,0)</f>
        <v/>
      </c>
      <c r="AF286" s="25" t="inlineStr">
        <is>
          <t>B2B</t>
        </is>
      </c>
      <c r="AG286" s="25">
        <f>IF(AF286="B2C",10,IF(AF286="B2B",5,0))</f>
        <v/>
      </c>
      <c r="AH286" s="25" t="inlineStr">
        <is>
          <t>Yes</t>
        </is>
      </c>
      <c r="AI286" s="25">
        <f>IF(AH286="Yes",10,0)</f>
        <v/>
      </c>
      <c r="AJ286" s="25" t="inlineStr">
        <is>
          <t>Higher One Time, Lower Annuity</t>
        </is>
      </c>
      <c r="AK286" s="25">
        <f>IF(AJ286="Fully Annuity",10,IF(AJ286="Higher Annuity, Lower One Time",5,IF(AJ286="Higher One Time, Lower Annuity",3,0)))</f>
        <v/>
      </c>
      <c r="AL286" s="25" t="inlineStr">
        <is>
          <t>Good</t>
        </is>
      </c>
      <c r="AM286" s="25">
        <f>IF(AL286="Good",10,0)</f>
        <v/>
      </c>
      <c r="AN286" s="25" t="inlineStr">
        <is>
          <t>Yes for more than 2 years</t>
        </is>
      </c>
      <c r="AO286" s="25">
        <f>IF(AN286="Yes for more than 2 years",10,IF(AN286="Yes only for next 1 to 2 years",5,0))</f>
        <v/>
      </c>
      <c r="AP286" s="25" t="inlineStr">
        <is>
          <t>0 to 20</t>
        </is>
      </c>
      <c r="AQ286" s="25">
        <f>IF(AP286="Above 40",20,IF(AP286="20 to 40",10,IF(AP286="0 to 20",-5,0)))</f>
        <v/>
      </c>
      <c r="AR286" s="25" t="inlineStr">
        <is>
          <t>Between 50 to 75</t>
        </is>
      </c>
      <c r="AS286" s="25">
        <f>IF(AR286="Between 50 to 75",10,IF(AR286="Above 75",0,0))</f>
        <v/>
      </c>
      <c r="AT286" s="25" t="inlineStr">
        <is>
          <t>Stage 2</t>
        </is>
      </c>
      <c r="AU286" s="25">
        <f>IF(AT286="Stage 2",20,IF(AT286="Stage 1",0,IF(AT286="Stage 3",5,IF(AT286="Stage 4",-5,0))))</f>
        <v/>
      </c>
      <c r="AV286" s="25" t="inlineStr">
        <is>
          <t>Negative Trend</t>
        </is>
      </c>
      <c r="AW286" s="25">
        <f>IF(AV286="Positive Trend",20,IF(AV286="Negative Trend",-10,0))</f>
        <v/>
      </c>
      <c r="AX286" s="25" t="inlineStr">
        <is>
          <t>Uptrend</t>
        </is>
      </c>
      <c r="AY286" s="25">
        <f>IF(AX286="Uptrend",10,IF(AX286="Sideways",5,0))</f>
        <v/>
      </c>
      <c r="AZ286" s="25" t="inlineStr">
        <is>
          <t>Uptrend</t>
        </is>
      </c>
      <c r="BA286" s="25">
        <f>IF(AZ286="Uptrend",10,IF(AZ286="Sideways",5,0))</f>
        <v/>
      </c>
      <c r="BB286" s="25" t="inlineStr">
        <is>
          <t>Close to 52 week high or retracement</t>
        </is>
      </c>
      <c r="BC286" s="25">
        <f>IF(BB286="Overhead supply in last 2 years in last 2 years",-5,IF(BB286="Close to 52 week high or retracement",5,IF(BB286="Blue sky scenario",10,IF(BB286="Long term Downtrend",-10,0))))</f>
        <v/>
      </c>
      <c r="BD286" s="25" t="inlineStr">
        <is>
          <t>Yes</t>
        </is>
      </c>
      <c r="BE286" s="25">
        <f>IF(BD286="Yes",10,0)</f>
        <v/>
      </c>
      <c r="BF286" s="25" t="inlineStr">
        <is>
          <t>Less than 12%</t>
        </is>
      </c>
      <c r="BG286" s="25">
        <f>IF(BF286="More than 20%",10,IF(BF286="Between 12 to 20%",5,IF(BF286="Less than 12%",0,0)))</f>
        <v/>
      </c>
      <c r="BH286" s="25" t="inlineStr">
        <is>
          <t>No</t>
        </is>
      </c>
      <c r="BI286" s="25">
        <f>IF(BH286="No",10,0)</f>
        <v/>
      </c>
      <c r="BJ286" s="25" t="inlineStr">
        <is>
          <t>No</t>
        </is>
      </c>
      <c r="BK286" s="25">
        <f>IF(BJ286="NO",5,0)</f>
        <v/>
      </c>
      <c r="BL286" s="25" t="inlineStr">
        <is>
          <t>Less than 1.5</t>
        </is>
      </c>
      <c r="BM286" s="25">
        <f>IF(BL286="Above 2",0,IF(BL286="Between 1.5 to 2",5,IF(BL286="Less than 1.5",10,0)))</f>
        <v/>
      </c>
      <c r="BN286" s="25" t="inlineStr">
        <is>
          <t>Above 70%</t>
        </is>
      </c>
      <c r="BO286" s="25">
        <f>IF(BN286="Above 70%",10,IF(BN286="Between 50% to 70%",5,IF(BN286="Less than 50%",0,IF(BN286="Negative",-10,IF(BN286="Less than 50% and Borrowings are increasing",-5,0)))))</f>
        <v/>
      </c>
      <c r="BP286" s="25" t="inlineStr">
        <is>
          <t>Less than 0.7</t>
        </is>
      </c>
      <c r="BQ286" s="25">
        <f>IF(BP286="More than 1.2",-10,IF(BP286="Between 0.7 to 1.2",0,IF(BP286="Less than 0.7",10,0)))</f>
        <v/>
      </c>
      <c r="BR286" s="25" t="inlineStr">
        <is>
          <t>No</t>
        </is>
      </c>
      <c r="BS286" s="25">
        <f>IF(BR286="Yes",-10,0)</f>
        <v/>
      </c>
      <c r="BT286" s="25" t="inlineStr">
        <is>
          <t>Less than 15%</t>
        </is>
      </c>
      <c r="BU286" s="25">
        <f>IF(BT286="More than 15%",-10,IF(BT286="Less than 15%",10,0))</f>
        <v/>
      </c>
      <c r="BV286" s="25" t="inlineStr">
        <is>
          <t>No</t>
        </is>
      </c>
      <c r="BW286" s="25">
        <f>IF(BV286="Yes, more than 10%",-10,IF(BV286="No",10,0))</f>
        <v/>
      </c>
    </row>
    <row r="287">
      <c r="A287" s="25">
        <f>IF(B287=0,"",RANK(B287,$B$2:$B$292,0))</f>
        <v/>
      </c>
      <c r="B287" s="26">
        <f>SUM(Q287,S287,U287,W287,Y287,AA287,AC287,AE287,AG287,AI287,AK287,AM287,AO287,AQ287,AS287,AU287,AW287,AY287,BA287,BC287,BE287,BG287,BI287,BK287,BM287,BO287,BQ287,BS287,BU287,BW287)</f>
        <v/>
      </c>
      <c r="C287" s="25" t="inlineStr">
        <is>
          <t>VEDL</t>
        </is>
      </c>
      <c r="D287" s="25" t="inlineStr">
        <is>
          <t>Vedanta Limited</t>
        </is>
      </c>
      <c r="E287" s="25" t="inlineStr">
        <is>
          <t>metals &amp; mining</t>
        </is>
      </c>
      <c r="F287" s="25" t="inlineStr">
        <is>
          <t>mining / minerals / metals</t>
        </is>
      </c>
      <c r="G287" s="25" t="inlineStr">
        <is>
          <t>largecap</t>
        </is>
      </c>
      <c r="H287" s="26" t="n">
        <v>131838.73</v>
      </c>
      <c r="I287" s="26" t="n">
        <v>333.55</v>
      </c>
      <c r="J287" s="26" t="n">
        <v>-1.07</v>
      </c>
      <c r="K287" s="26" t="n">
        <v>30249461</v>
      </c>
      <c r="L287" s="26" t="n">
        <v>34.45</v>
      </c>
      <c r="M287" s="26" t="n">
        <v>47.87</v>
      </c>
      <c r="N287" s="26" t="n">
        <v>584.96</v>
      </c>
      <c r="O287" s="25" t="inlineStr">
        <is>
          <t>Earnings / Momentum Support</t>
        </is>
      </c>
      <c r="P287" s="25" t="inlineStr">
        <is>
          <t>Cyclical in an Upturn</t>
        </is>
      </c>
      <c r="Q287" s="25">
        <f>IF(P287="Growing Industry",10,IF(P287="Cyclical in an Upturn",5,0))</f>
        <v/>
      </c>
      <c r="R287" s="25" t="inlineStr">
        <is>
          <t>Too Many Players with High ROCE</t>
        </is>
      </c>
      <c r="S287" s="25">
        <f>IF(R287="Monopoly",10,IF(R287="Oligopoly",5,IF(R287="Duopoly that cooperate",10,IF(R287="Duopoly that compete",5,IF(R287="Too many players with High ROCE",5,0)))))</f>
        <v/>
      </c>
      <c r="T287" s="25" t="inlineStr">
        <is>
          <t>No</t>
        </is>
      </c>
      <c r="U287" s="25">
        <f>IF(T287="No",5,0)</f>
        <v/>
      </c>
      <c r="V287" s="25" t="inlineStr">
        <is>
          <t>Headwind</t>
        </is>
      </c>
      <c r="W287" s="25">
        <f>IF(V287="Tailwind",10,0)</f>
        <v/>
      </c>
      <c r="X287" s="25" t="inlineStr">
        <is>
          <t>Cyclical</t>
        </is>
      </c>
      <c r="Y287" s="25">
        <f>IF(X287="Structural (10 Years Consistency)",10,IF(X287="Shallow Cyclical (2 to 3 years growth)",5,0))</f>
        <v/>
      </c>
      <c r="Z287" s="25" t="inlineStr">
        <is>
          <t>No</t>
        </is>
      </c>
      <c r="AA287" s="25">
        <f>IF(Z287="Yes due to Product Mix change or Operating Leverage",10,IF(Z287="Yes, these are peak margins",-5,IF(Z287="No",5,0)))</f>
        <v/>
      </c>
      <c r="AB287" s="25" t="inlineStr">
        <is>
          <t>Volatile</t>
        </is>
      </c>
      <c r="AC287" s="25">
        <f>IF(AB287="Stable",10,0)</f>
        <v/>
      </c>
      <c r="AD287" s="25" t="inlineStr">
        <is>
          <t>Yes</t>
        </is>
      </c>
      <c r="AE287" s="25">
        <f>IF(AD287="Yes",10,0)</f>
        <v/>
      </c>
      <c r="AF287" s="25" t="inlineStr">
        <is>
          <t>B2B</t>
        </is>
      </c>
      <c r="AG287" s="25">
        <f>IF(AF287="B2C",10,IF(AF287="B2B",5,0))</f>
        <v/>
      </c>
      <c r="AH287" s="25" t="inlineStr">
        <is>
          <t>No</t>
        </is>
      </c>
      <c r="AI287" s="25">
        <f>IF(AH287="Yes",10,0)</f>
        <v/>
      </c>
      <c r="AJ287" s="25" t="inlineStr">
        <is>
          <t>Higher One Time, Lower Annuity</t>
        </is>
      </c>
      <c r="AK287" s="25">
        <f>IF(AJ287="Fully Annuity",10,IF(AJ287="Higher Annuity, Lower One Time",5,IF(AJ287="Higher One Time, Lower Annuity",3,0)))</f>
        <v/>
      </c>
      <c r="AL287" s="25" t="inlineStr">
        <is>
          <t>Good</t>
        </is>
      </c>
      <c r="AM287" s="25">
        <f>IF(AL287="Good",10,0)</f>
        <v/>
      </c>
      <c r="AN287" s="25" t="inlineStr">
        <is>
          <t>Yes for more than 2 years</t>
        </is>
      </c>
      <c r="AO287" s="25">
        <f>IF(AN287="Yes for more than 2 years",10,IF(AN287="Yes only for next 1 to 2 years",5,0))</f>
        <v/>
      </c>
      <c r="AP287" s="25" t="inlineStr">
        <is>
          <t>Above 40</t>
        </is>
      </c>
      <c r="AQ287" s="25">
        <f>IF(AP287="Above 40",20,IF(AP287="20 to 40",10,IF(AP287="0 to 20",-5,0)))</f>
        <v/>
      </c>
      <c r="AR287" s="25" t="inlineStr">
        <is>
          <t>Below 45</t>
        </is>
      </c>
      <c r="AS287" s="25">
        <f>IF(AR287="Between 50 to 75",10,IF(AR287="Above 75",0,0))</f>
        <v/>
      </c>
      <c r="AT287" s="25" t="inlineStr">
        <is>
          <t>Stage 4</t>
        </is>
      </c>
      <c r="AU287" s="25">
        <f>IF(AT287="Stage 2",20,IF(AT287="Stage 1",0,IF(AT287="Stage 3",5,IF(AT287="Stage 4",-5,0))))</f>
        <v/>
      </c>
      <c r="AV287" s="25" t="inlineStr">
        <is>
          <t>Positive Trend</t>
        </is>
      </c>
      <c r="AW287" s="25">
        <f>IF(AV287="Positive Trend",20,IF(AV287="Negative Trend",-10,0))</f>
        <v/>
      </c>
      <c r="AX287" s="25" t="inlineStr">
        <is>
          <t>Uptrend</t>
        </is>
      </c>
      <c r="AY287" s="25">
        <f>IF(AX287="Uptrend",10,IF(AX287="Sideways",5,0))</f>
        <v/>
      </c>
      <c r="AZ287" s="25" t="inlineStr">
        <is>
          <t>Uptrend</t>
        </is>
      </c>
      <c r="BA287" s="25">
        <f>IF(AZ287="Uptrend",10,IF(AZ287="Sideways",5,0))</f>
        <v/>
      </c>
      <c r="BB287" s="25" t="inlineStr">
        <is>
          <t>Close to 52 week high or retracement</t>
        </is>
      </c>
      <c r="BC287" s="25">
        <f>IF(BB287="Overhead supply in last 2 years in last 2 years",-5,IF(BB287="Close to 52 week high or retracement",5,IF(BB287="Blue sky scenario",10,IF(BB287="Long term Downtrend",-10,0))))</f>
        <v/>
      </c>
      <c r="BD287" s="25" t="inlineStr">
        <is>
          <t>No</t>
        </is>
      </c>
      <c r="BE287" s="25">
        <f>IF(BD287="Yes",10,0)</f>
        <v/>
      </c>
      <c r="BF287" s="25" t="inlineStr">
        <is>
          <t>More than 20%</t>
        </is>
      </c>
      <c r="BG287" s="25">
        <f>IF(BF287="More than 20%",10,IF(BF287="Between 12 to 20%",5,IF(BF287="Less than 12%",0,0)))</f>
        <v/>
      </c>
      <c r="BH287" s="25" t="inlineStr">
        <is>
          <t>No</t>
        </is>
      </c>
      <c r="BI287" s="25">
        <f>IF(BH287="No",10,0)</f>
        <v/>
      </c>
      <c r="BJ287" s="25" t="inlineStr">
        <is>
          <t>No</t>
        </is>
      </c>
      <c r="BK287" s="25">
        <f>IF(BJ287="NO",5,0)</f>
        <v/>
      </c>
      <c r="BL287" s="25" t="inlineStr">
        <is>
          <t>Less than 1.5</t>
        </is>
      </c>
      <c r="BM287" s="25">
        <f>IF(BL287="Above 2",0,IF(BL287="Between 1.5 to 2",5,IF(BL287="Less than 1.5",10,0)))</f>
        <v/>
      </c>
      <c r="BN287" s="25" t="inlineStr">
        <is>
          <t>Above 70%</t>
        </is>
      </c>
      <c r="BO287" s="25">
        <f>IF(BN287="Above 70%",10,IF(BN287="Between 50% to 70%",5,IF(BN287="Less than 50%",0,IF(BN287="Negative",-10,IF(BN287="Less than 50% and Borrowings are increasing",-5,0)))))</f>
        <v/>
      </c>
      <c r="BP287" s="25" t="inlineStr">
        <is>
          <t>Less than 0.7</t>
        </is>
      </c>
      <c r="BQ287" s="25">
        <f>IF(BP287="More than 1.2",-10,IF(BP287="Between 0.7 to 1.2",0,IF(BP287="Less than 0.7",10,0)))</f>
        <v/>
      </c>
      <c r="BR287" s="25" t="inlineStr">
        <is>
          <t>No</t>
        </is>
      </c>
      <c r="BS287" s="25">
        <f>IF(BR287="Yes",-10,0)</f>
        <v/>
      </c>
      <c r="BT287" s="25" t="inlineStr">
        <is>
          <t>Less than 15%</t>
        </is>
      </c>
      <c r="BU287" s="25">
        <f>IF(BT287="More than 15%",-10,IF(BT287="Less than 15%",10,0))</f>
        <v/>
      </c>
      <c r="BV287" s="25" t="inlineStr">
        <is>
          <t>No</t>
        </is>
      </c>
      <c r="BW287" s="25">
        <f>IF(BV287="Yes, more than 10%",-10,IF(BV287="No",10,0))</f>
        <v/>
      </c>
    </row>
    <row r="288">
      <c r="A288" s="25">
        <f>IF(B288=0,"",RANK(B288,$B$2:$B$292,0))</f>
        <v/>
      </c>
      <c r="B288" s="26">
        <f>SUM(Q288,S288,U288,W288,Y288,AA288,AC288,AE288,AG288,AI288,AK288,AM288,AO288,AQ288,AS288,AU288,AW288,AY288,BA288,BC288,BE288,BG288,BI288,BK288,BM288,BO288,BQ288,BS288,BU288,BW288)</f>
        <v/>
      </c>
      <c r="C288" s="25" t="inlineStr">
        <is>
          <t>ASTRAZEN</t>
        </is>
      </c>
      <c r="D288" s="25" t="inlineStr">
        <is>
          <t>Astrazeneca Pharma India Limited</t>
        </is>
      </c>
      <c r="E288" s="25" t="inlineStr">
        <is>
          <t>healthcare</t>
        </is>
      </c>
      <c r="F288" s="25" t="inlineStr">
        <is>
          <t>pharmaceuticals - multinational</t>
        </is>
      </c>
      <c r="G288" s="25" t="inlineStr">
        <is>
          <t>largecap</t>
        </is>
      </c>
      <c r="H288" s="26" t="n">
        <v>21822.5</v>
      </c>
      <c r="I288" s="26" t="n">
        <v>8710</v>
      </c>
      <c r="J288" s="26" t="n">
        <v>-0.22</v>
      </c>
      <c r="K288" s="26" t="n">
        <v>4052</v>
      </c>
      <c r="L288" s="26" t="n">
        <v>53.49</v>
      </c>
      <c r="M288" s="26" t="n">
        <v>9.48</v>
      </c>
      <c r="N288" s="26" t="n">
        <v>7217.92</v>
      </c>
      <c r="O288" s="25" t="inlineStr">
        <is>
          <t>Earnings / Momentum Support</t>
        </is>
      </c>
      <c r="P288" s="25" t="inlineStr">
        <is>
          <t>Growing Industry</t>
        </is>
      </c>
      <c r="Q288" s="25">
        <f>IF(P288="Growing Industry",10,IF(P288="Cyclical in an Upturn",5,0))</f>
        <v/>
      </c>
      <c r="R288" s="25" t="inlineStr">
        <is>
          <t>Too Many Players with High ROCE</t>
        </is>
      </c>
      <c r="S288" s="25">
        <f>IF(R288="Monopoly",10,IF(R288="Oligopoly",5,IF(R288="Duopoly that cooperate",10,IF(R288="Duopoly that compete",5,IF(R288="Too many players with High ROCE",5,0)))))</f>
        <v/>
      </c>
      <c r="T288" s="25" t="inlineStr">
        <is>
          <t>Yes</t>
        </is>
      </c>
      <c r="U288" s="25">
        <f>IF(T288="No",5,0)</f>
        <v/>
      </c>
      <c r="V288" s="25" t="inlineStr">
        <is>
          <t>Headwind</t>
        </is>
      </c>
      <c r="W288" s="25">
        <f>IF(V288="Tailwind",10,0)</f>
        <v/>
      </c>
      <c r="X288" s="25" t="inlineStr">
        <is>
          <t>Structural (10 Years Consistency)</t>
        </is>
      </c>
      <c r="Y288" s="25">
        <f>IF(X288="Structural (10 Years Consistency)",10,IF(X288="Shallow Cyclical (2 to 3 years growth)",5,0))</f>
        <v/>
      </c>
      <c r="Z288" s="25" t="inlineStr">
        <is>
          <t>No</t>
        </is>
      </c>
      <c r="AA288" s="25">
        <f>IF(Z288="Yes due to Product Mix change or Operating Leverage",10,IF(Z288="Yes, these are peak margins",-5,IF(Z288="No",5,0)))</f>
        <v/>
      </c>
      <c r="AB288" s="25" t="inlineStr">
        <is>
          <t>Stable</t>
        </is>
      </c>
      <c r="AC288" s="25">
        <f>IF(AB288="Stable",10,0)</f>
        <v/>
      </c>
      <c r="AD288" s="25" t="inlineStr">
        <is>
          <t>Yes</t>
        </is>
      </c>
      <c r="AE288" s="25">
        <f>IF(AD288="Yes",10,0)</f>
        <v/>
      </c>
      <c r="AF288" s="25" t="inlineStr">
        <is>
          <t>B2B</t>
        </is>
      </c>
      <c r="AG288" s="25">
        <f>IF(AF288="B2C",10,IF(AF288="B2B",5,0))</f>
        <v/>
      </c>
      <c r="AH288" s="25" t="inlineStr">
        <is>
          <t>No</t>
        </is>
      </c>
      <c r="AI288" s="25">
        <f>IF(AH288="Yes",10,0)</f>
        <v/>
      </c>
      <c r="AJ288" s="25" t="inlineStr">
        <is>
          <t>Higher Annuity, Lower One Time</t>
        </is>
      </c>
      <c r="AK288" s="25">
        <f>IF(AJ288="Fully Annuity",10,IF(AJ288="Higher Annuity, Lower One Time",5,IF(AJ288="Higher One Time, Lower Annuity",3,0)))</f>
        <v/>
      </c>
      <c r="AL288" s="25" t="inlineStr">
        <is>
          <t>Good</t>
        </is>
      </c>
      <c r="AM288" s="25">
        <f>IF(AL288="Good",10,0)</f>
        <v/>
      </c>
      <c r="AN288" s="25" t="inlineStr">
        <is>
          <t>Yes for more than 2 years</t>
        </is>
      </c>
      <c r="AO288" s="25">
        <f>IF(AN288="Yes for more than 2 years",10,IF(AN288="Yes only for next 1 to 2 years",5,0))</f>
        <v/>
      </c>
      <c r="AP288" s="25" t="inlineStr">
        <is>
          <t>0 to 20</t>
        </is>
      </c>
      <c r="AQ288" s="25">
        <f>IF(AP288="Above 40",20,IF(AP288="20 to 40",10,IF(AP288="0 to 20",-5,0)))</f>
        <v/>
      </c>
      <c r="AR288" s="25" t="inlineStr">
        <is>
          <t>Between 50 to 75</t>
        </is>
      </c>
      <c r="AS288" s="25">
        <f>IF(AR288="Between 50 to 75",10,IF(AR288="Above 75",0,0))</f>
        <v/>
      </c>
      <c r="AT288" s="25" t="inlineStr">
        <is>
          <t>Stage 1</t>
        </is>
      </c>
      <c r="AU288" s="25">
        <f>IF(AT288="Stage 2",20,IF(AT288="Stage 1",0,IF(AT288="Stage 3",5,IF(AT288="Stage 4",-5,0))))</f>
        <v/>
      </c>
      <c r="AV288" s="25" t="inlineStr">
        <is>
          <t>Positive Trend</t>
        </is>
      </c>
      <c r="AW288" s="25">
        <f>IF(AV288="Positive Trend",20,IF(AV288="Negative Trend",-10,0))</f>
        <v/>
      </c>
      <c r="AX288" s="25" t="inlineStr">
        <is>
          <t>Uptrend</t>
        </is>
      </c>
      <c r="AY288" s="25">
        <f>IF(AX288="Uptrend",10,IF(AX288="Sideways",5,0))</f>
        <v/>
      </c>
      <c r="AZ288" s="25" t="inlineStr">
        <is>
          <t>Uptrend</t>
        </is>
      </c>
      <c r="BA288" s="25">
        <f>IF(AZ288="Uptrend",10,IF(AZ288="Sideways",5,0))</f>
        <v/>
      </c>
      <c r="BB288" s="25" t="inlineStr">
        <is>
          <t>Close to 52 week high or retracement</t>
        </is>
      </c>
      <c r="BC288" s="25">
        <f>IF(BB288="Overhead supply in last 2 years in last 2 years",-5,IF(BB288="Close to 52 week high or retracement",5,IF(BB288="Blue sky scenario",10,IF(BB288="Long term Downtrend",-10,0))))</f>
        <v/>
      </c>
      <c r="BD288" s="25" t="inlineStr">
        <is>
          <t>Yes</t>
        </is>
      </c>
      <c r="BE288" s="25">
        <f>IF(BD288="Yes",10,0)</f>
        <v/>
      </c>
      <c r="BF288" s="25" t="inlineStr">
        <is>
          <t>Less than 12%</t>
        </is>
      </c>
      <c r="BG288" s="25">
        <f>IF(BF288="More than 20%",10,IF(BF288="Between 12 to 20%",5,IF(BF288="Less than 12%",0,0)))</f>
        <v/>
      </c>
      <c r="BH288" s="25" t="inlineStr">
        <is>
          <t>No</t>
        </is>
      </c>
      <c r="BI288" s="25">
        <f>IF(BH288="No",10,0)</f>
        <v/>
      </c>
      <c r="BJ288" s="25" t="inlineStr">
        <is>
          <t>Yes</t>
        </is>
      </c>
      <c r="BK288" s="25">
        <f>IF(BJ288="NO",5,0)</f>
        <v/>
      </c>
      <c r="BL288" s="25" t="inlineStr">
        <is>
          <t>Less than 1.5</t>
        </is>
      </c>
      <c r="BM288" s="25">
        <f>IF(BL288="Above 2",0,IF(BL288="Between 1.5 to 2",5,IF(BL288="Less than 1.5",10,0)))</f>
        <v/>
      </c>
      <c r="BN288" s="25" t="inlineStr">
        <is>
          <t>Negative</t>
        </is>
      </c>
      <c r="BO288" s="25">
        <f>IF(BN288="Above 70%",10,IF(BN288="Between 50% to 70%",5,IF(BN288="Less than 50%",0,IF(BN288="Negative",-10,IF(BN288="Less than 50% and Borrowings are increasing",-5,0)))))</f>
        <v/>
      </c>
      <c r="BP288" s="25" t="inlineStr">
        <is>
          <t>Less than 0.7</t>
        </is>
      </c>
      <c r="BQ288" s="25">
        <f>IF(BP288="More than 1.2",-10,IF(BP288="Between 0.7 to 1.2",0,IF(BP288="Less than 0.7",10,0)))</f>
        <v/>
      </c>
      <c r="BR288" s="25" t="inlineStr">
        <is>
          <t>No</t>
        </is>
      </c>
      <c r="BS288" s="25">
        <f>IF(BR288="Yes",-10,0)</f>
        <v/>
      </c>
      <c r="BT288" s="25" t="inlineStr">
        <is>
          <t>Less than 15%</t>
        </is>
      </c>
      <c r="BU288" s="25">
        <f>IF(BT288="More than 15%",-10,IF(BT288="Less than 15%",10,0))</f>
        <v/>
      </c>
      <c r="BV288" s="25" t="inlineStr">
        <is>
          <t>No</t>
        </is>
      </c>
      <c r="BW288" s="25">
        <f>IF(BV288="Yes, more than 10%",-10,IF(BV288="No",10,0))</f>
        <v/>
      </c>
    </row>
    <row r="289">
      <c r="A289" s="25">
        <f>IF(B289=0,"",RANK(B289,$B$2:$B$292,0))</f>
        <v/>
      </c>
      <c r="B289" s="26">
        <f>SUM(Q289,S289,U289,W289,Y289,AA289,AC289,AE289,AG289,AI289,AK289,AM289,AO289,AQ289,AS289,AU289,AW289,AY289,BA289,BC289,BE289,BG289,BI289,BK289,BM289,BO289,BQ289,BS289,BU289,BW289)</f>
        <v/>
      </c>
      <c r="C289" s="25" t="inlineStr">
        <is>
          <t>BALAMINES</t>
        </is>
      </c>
      <c r="D289" s="25" t="inlineStr">
        <is>
          <t>Balaji Amines Limited</t>
        </is>
      </c>
      <c r="E289" s="25" t="inlineStr">
        <is>
          <t>chemicals</t>
        </is>
      </c>
      <c r="F289" s="25" t="inlineStr">
        <is>
          <t>chemicals</t>
        </is>
      </c>
      <c r="G289" s="25" t="inlineStr">
        <is>
          <t>midcap</t>
        </is>
      </c>
      <c r="H289" s="26" t="n">
        <v>5676.01</v>
      </c>
      <c r="I289" s="26" t="n">
        <v>2016.1</v>
      </c>
      <c r="J289" s="26" t="n">
        <v>15.09</v>
      </c>
      <c r="K289" s="26" t="n">
        <v>2628387</v>
      </c>
      <c r="L289" s="26" t="n">
        <v>80.63</v>
      </c>
      <c r="M289" s="26" t="n">
        <v>34.17</v>
      </c>
      <c r="N289" s="26" t="n">
        <v>1525.22</v>
      </c>
      <c r="O289" s="25" t="inlineStr">
        <is>
          <t>Volume Spike &amp; Near 52W High Breakout</t>
        </is>
      </c>
      <c r="P289" s="25" t="inlineStr">
        <is>
          <t>Growing Industry</t>
        </is>
      </c>
      <c r="Q289" s="25">
        <f>IF(P289="Growing Industry",10,IF(P289="Cyclical in an Upturn",5,0))</f>
        <v/>
      </c>
      <c r="R289" s="25" t="inlineStr">
        <is>
          <t>Duopoly That Cooperate</t>
        </is>
      </c>
      <c r="S289" s="25">
        <f>IF(R289="Monopoly",10,IF(R289="Oligopoly",5,IF(R289="Duopoly that cooperate",10,IF(R289="Duopoly that compete",5,IF(R289="Too many players with High ROCE",5,0)))))</f>
        <v/>
      </c>
      <c r="T289" s="25" t="inlineStr">
        <is>
          <t>No</t>
        </is>
      </c>
      <c r="U289" s="25">
        <f>IF(T289="No",5,0)</f>
        <v/>
      </c>
      <c r="V289" s="25" t="inlineStr">
        <is>
          <t>Headwind</t>
        </is>
      </c>
      <c r="W289" s="25">
        <f>IF(V289="Tailwind",10,0)</f>
        <v/>
      </c>
      <c r="X289" s="25" t="inlineStr">
        <is>
          <t>Shallow Cyclical (2 to 3 Years Growth)</t>
        </is>
      </c>
      <c r="Y289" s="25">
        <f>IF(X289="Structural (10 Years Consistency)",10,IF(X289="Shallow Cyclical (2 to 3 years growth)",5,0))</f>
        <v/>
      </c>
      <c r="Z289" s="25" t="inlineStr">
        <is>
          <t>No</t>
        </is>
      </c>
      <c r="AA289" s="25">
        <f>IF(Z289="Yes due to Product Mix change or Operating Leverage",10,IF(Z289="Yes, these are peak margins",-5,IF(Z289="No",5,0)))</f>
        <v/>
      </c>
      <c r="AB289" s="25" t="inlineStr">
        <is>
          <t>Stable</t>
        </is>
      </c>
      <c r="AC289" s="25">
        <f>IF(AB289="Stable",10,0)</f>
        <v/>
      </c>
      <c r="AD289" s="25" t="inlineStr">
        <is>
          <t>Yes</t>
        </is>
      </c>
      <c r="AE289" s="25">
        <f>IF(AD289="Yes",10,0)</f>
        <v/>
      </c>
      <c r="AF289" s="25" t="inlineStr">
        <is>
          <t>B2B</t>
        </is>
      </c>
      <c r="AG289" s="25">
        <f>IF(AF289="B2C",10,IF(AF289="B2B",5,0))</f>
        <v/>
      </c>
      <c r="AH289" s="25" t="inlineStr">
        <is>
          <t>Yes</t>
        </is>
      </c>
      <c r="AI289" s="25">
        <f>IF(AH289="Yes",10,0)</f>
        <v/>
      </c>
      <c r="AJ289" s="25" t="inlineStr">
        <is>
          <t>Higher One Time, Lower Annuity</t>
        </is>
      </c>
      <c r="AK289" s="25">
        <f>IF(AJ289="Fully Annuity",10,IF(AJ289="Higher Annuity, Lower One Time",5,IF(AJ289="Higher One Time, Lower Annuity",3,0)))</f>
        <v/>
      </c>
      <c r="AL289" s="25" t="inlineStr">
        <is>
          <t>Good</t>
        </is>
      </c>
      <c r="AM289" s="25">
        <f>IF(AL289="Good",10,0)</f>
        <v/>
      </c>
      <c r="AN289" s="25" t="inlineStr">
        <is>
          <t>Yes for more than 2 years</t>
        </is>
      </c>
      <c r="AO289" s="25">
        <f>IF(AN289="Yes for more than 2 years",10,IF(AN289="Yes only for next 1 to 2 years",5,0))</f>
        <v/>
      </c>
      <c r="AP289" s="25" t="inlineStr">
        <is>
          <t>20 to 40</t>
        </is>
      </c>
      <c r="AQ289" s="25">
        <f>IF(AP289="Above 40",20,IF(AP289="20 to 40",10,IF(AP289="0 to 20",-5,0)))</f>
        <v/>
      </c>
      <c r="AR289" s="25" t="inlineStr">
        <is>
          <t>Between 50 to 75</t>
        </is>
      </c>
      <c r="AS289" s="25">
        <f>IF(AR289="Between 50 to 75",10,IF(AR289="Above 75",0,0))</f>
        <v/>
      </c>
      <c r="AT289" s="25" t="inlineStr">
        <is>
          <t>Stage 4</t>
        </is>
      </c>
      <c r="AU289" s="25">
        <f>IF(AT289="Stage 2",20,IF(AT289="Stage 1",0,IF(AT289="Stage 3",5,IF(AT289="Stage 4",-5,0))))</f>
        <v/>
      </c>
      <c r="AV289" s="25" t="inlineStr">
        <is>
          <t>Negative Trend</t>
        </is>
      </c>
      <c r="AW289" s="25">
        <f>IF(AV289="Positive Trend",20,IF(AV289="Negative Trend",-10,0))</f>
        <v/>
      </c>
      <c r="AX289" s="25" t="inlineStr">
        <is>
          <t>Downtrend</t>
        </is>
      </c>
      <c r="AY289" s="25">
        <f>IF(AX289="Uptrend",10,IF(AX289="Sideways",5,0))</f>
        <v/>
      </c>
      <c r="AZ289" s="25" t="inlineStr">
        <is>
          <t>Uptrend</t>
        </is>
      </c>
      <c r="BA289" s="25">
        <f>IF(AZ289="Uptrend",10,IF(AZ289="Sideways",5,0))</f>
        <v/>
      </c>
      <c r="BB289" s="25" t="inlineStr">
        <is>
          <t>Overhead supply in last 2 years in last 2 years</t>
        </is>
      </c>
      <c r="BC289" s="25">
        <f>IF(BB289="Overhead supply in last 2 years in last 2 years",-5,IF(BB289="Close to 52 week high or retracement",5,IF(BB289="Blue sky scenario",10,IF(BB289="Long term Downtrend",-10,0))))</f>
        <v/>
      </c>
      <c r="BD289" s="25" t="inlineStr">
        <is>
          <t>No</t>
        </is>
      </c>
      <c r="BE289" s="25">
        <f>IF(BD289="Yes",10,0)</f>
        <v/>
      </c>
      <c r="BF289" s="25" t="inlineStr">
        <is>
          <t>More than 20%</t>
        </is>
      </c>
      <c r="BG289" s="25">
        <f>IF(BF289="More than 20%",10,IF(BF289="Between 12 to 20%",5,IF(BF289="Less than 12%",0,0)))</f>
        <v/>
      </c>
      <c r="BH289" s="25" t="inlineStr">
        <is>
          <t>No</t>
        </is>
      </c>
      <c r="BI289" s="25">
        <f>IF(BH289="No",10,0)</f>
        <v/>
      </c>
      <c r="BJ289" s="25" t="inlineStr">
        <is>
          <t>No</t>
        </is>
      </c>
      <c r="BK289" s="25">
        <f>IF(BJ289="NO",5,0)</f>
        <v/>
      </c>
      <c r="BL289" s="25" t="inlineStr">
        <is>
          <t>Less than 1.5</t>
        </is>
      </c>
      <c r="BM289" s="25">
        <f>IF(BL289="Above 2",0,IF(BL289="Between 1.5 to 2",5,IF(BL289="Less than 1.5",10,0)))</f>
        <v/>
      </c>
      <c r="BN289" s="25" t="inlineStr">
        <is>
          <t>Between 50% to 70%</t>
        </is>
      </c>
      <c r="BO289" s="25">
        <f>IF(BN289="Above 70%",10,IF(BN289="Between 50% to 70%",5,IF(BN289="Less than 50%",0,IF(BN289="Negative",-10,IF(BN289="Less than 50% and Borrowings are increasing",-5,0)))))</f>
        <v/>
      </c>
      <c r="BP289" s="25" t="inlineStr">
        <is>
          <t>Less than 0.7</t>
        </is>
      </c>
      <c r="BQ289" s="25">
        <f>IF(BP289="More than 1.2",-10,IF(BP289="Between 0.7 to 1.2",0,IF(BP289="Less than 0.7",10,0)))</f>
        <v/>
      </c>
      <c r="BR289" s="25" t="inlineStr">
        <is>
          <t>No</t>
        </is>
      </c>
      <c r="BS289" s="25">
        <f>IF(BR289="Yes",-10,0)</f>
        <v/>
      </c>
      <c r="BT289" s="25" t="inlineStr">
        <is>
          <t>Less than 15%</t>
        </is>
      </c>
      <c r="BU289" s="25">
        <f>IF(BT289="More than 15%",-10,IF(BT289="Less than 15%",10,0))</f>
        <v/>
      </c>
      <c r="BV289" s="25" t="inlineStr">
        <is>
          <t>No</t>
        </is>
      </c>
      <c r="BW289" s="25">
        <f>IF(BV289="Yes, more than 10%",-10,IF(BV289="No",10,0))</f>
        <v/>
      </c>
    </row>
    <row r="290">
      <c r="A290" s="25">
        <f>IF(B290=0,"",RANK(B290,$B$2:$B$292,0))</f>
        <v/>
      </c>
      <c r="B290" s="26">
        <f>SUM(Q290,S290,U290,W290,Y290,AA290,AC290,AE290,AG290,AI290,AK290,AM290,AO290,AQ290,AS290,AU290,AW290,AY290,BA290,BC290,BE290,BG290,BI290,BK290,BM290,BO290,BQ290,BS290,BU290,BW290)</f>
        <v/>
      </c>
      <c r="C290" s="25" t="inlineStr">
        <is>
          <t>GUJTHEM</t>
        </is>
      </c>
      <c r="D290" s="25" t="inlineStr">
        <is>
          <t>Gujarat Themis Biosyn Ltd</t>
        </is>
      </c>
      <c r="E290" s="25" t="inlineStr">
        <is>
          <t>healthcare</t>
        </is>
      </c>
      <c r="F290" s="25" t="inlineStr">
        <is>
          <t>pharmaceuticals - indian - bulk drugs</t>
        </is>
      </c>
      <c r="G290" s="25" t="inlineStr">
        <is>
          <t>smallcap</t>
        </is>
      </c>
      <c r="H290" s="26" t="n">
        <v>4345.53</v>
      </c>
      <c r="I290" s="26" t="n">
        <v>395</v>
      </c>
      <c r="J290" s="26" t="n">
        <v>-0.95</v>
      </c>
      <c r="K290" s="26" t="n">
        <v>78848</v>
      </c>
      <c r="L290" s="26" t="n">
        <v>58.93</v>
      </c>
      <c r="M290" s="26" t="n">
        <v>24.75</v>
      </c>
      <c r="N290" s="26" t="n">
        <v>281.59</v>
      </c>
      <c r="O290" s="25" t="inlineStr">
        <is>
          <t>Earnings / Momentum Support</t>
        </is>
      </c>
      <c r="P290" s="25" t="inlineStr">
        <is>
          <t>Growing Industry</t>
        </is>
      </c>
      <c r="Q290" s="25">
        <f>IF(P290="Growing Industry",10,IF(P290="Cyclical in an Upturn",5,0))</f>
        <v/>
      </c>
      <c r="R290" s="25" t="inlineStr">
        <is>
          <t>Oligopoly</t>
        </is>
      </c>
      <c r="S290" s="25">
        <f>IF(R290="Monopoly",10,IF(R290="Oligopoly",5,IF(R290="Duopoly that cooperate",10,IF(R290="Duopoly that compete",5,IF(R290="Too many players with High ROCE",5,0)))))</f>
        <v/>
      </c>
      <c r="T290" s="25" t="inlineStr">
        <is>
          <t>No</t>
        </is>
      </c>
      <c r="U290" s="25">
        <f>IF(T290="No",5,0)</f>
        <v/>
      </c>
      <c r="V290" s="25" t="inlineStr">
        <is>
          <t>Tailwind</t>
        </is>
      </c>
      <c r="W290" s="25">
        <f>IF(V290="Tailwind",10,0)</f>
        <v/>
      </c>
      <c r="X290" s="25" t="inlineStr">
        <is>
          <t>Shallow Cyclical (2 to 3 Years Growth)</t>
        </is>
      </c>
      <c r="Y290" s="25">
        <f>IF(X290="Structural (10 Years Consistency)",10,IF(X290="Shallow Cyclical (2 to 3 years growth)",5,0))</f>
        <v/>
      </c>
      <c r="Z290" s="25" t="inlineStr">
        <is>
          <t>Yes due to Product Mix change or Operating Leverage</t>
        </is>
      </c>
      <c r="AA290" s="25">
        <f>IF(Z290="Yes due to Product Mix change or Operating Leverage",10,IF(Z290="Yes, these are peak margins",-5,IF(Z290="No",5,0)))</f>
        <v/>
      </c>
      <c r="AB290" s="25" t="inlineStr">
        <is>
          <t>Volatile</t>
        </is>
      </c>
      <c r="AC290" s="25">
        <f>IF(AB290="Stable",10,0)</f>
        <v/>
      </c>
      <c r="AD290" s="25" t="inlineStr">
        <is>
          <t>Yes</t>
        </is>
      </c>
      <c r="AE290" s="25">
        <f>IF(AD290="Yes",10,0)</f>
        <v/>
      </c>
      <c r="AF290" s="25" t="inlineStr">
        <is>
          <t>B2B</t>
        </is>
      </c>
      <c r="AG290" s="25">
        <f>IF(AF290="B2C",10,IF(AF290="B2B",5,0))</f>
        <v/>
      </c>
      <c r="AH290" s="25" t="inlineStr">
        <is>
          <t>Yes</t>
        </is>
      </c>
      <c r="AI290" s="25">
        <f>IF(AH290="Yes",10,0)</f>
        <v/>
      </c>
      <c r="AJ290" s="25" t="inlineStr">
        <is>
          <t>Higher One Time, Lower Annuity</t>
        </is>
      </c>
      <c r="AK290" s="25">
        <f>IF(AJ290="Fully Annuity",10,IF(AJ290="Higher Annuity, Lower One Time",5,IF(AJ290="Higher One Time, Lower Annuity",3,0)))</f>
        <v/>
      </c>
      <c r="AL290" s="25" t="inlineStr">
        <is>
          <t>Allocated capital in Non-core Areas</t>
        </is>
      </c>
      <c r="AM290" s="25">
        <f>IF(AL290="Good",10,0)</f>
        <v/>
      </c>
      <c r="AN290" s="25" t="inlineStr">
        <is>
          <t>Yes for more than 2 years</t>
        </is>
      </c>
      <c r="AO290" s="25">
        <f>IF(AN290="Yes for more than 2 years",10,IF(AN290="Yes only for next 1 to 2 years",5,0))</f>
        <v/>
      </c>
      <c r="AP290" s="25" t="inlineStr">
        <is>
          <t>Above 40</t>
        </is>
      </c>
      <c r="AQ290" s="25">
        <f>IF(AP290="Above 40",20,IF(AP290="20 to 40",10,IF(AP290="0 to 20",-5,0)))</f>
        <v/>
      </c>
      <c r="AR290" s="25" t="inlineStr">
        <is>
          <t>Between 50 to 75</t>
        </is>
      </c>
      <c r="AS290" s="25">
        <f>IF(AR290="Between 50 to 75",10,IF(AR290="Above 75",0,0))</f>
        <v/>
      </c>
      <c r="AT290" s="25" t="inlineStr">
        <is>
          <t>Stage 3</t>
        </is>
      </c>
      <c r="AU290" s="25">
        <f>IF(AT290="Stage 2",20,IF(AT290="Stage 1",0,IF(AT290="Stage 3",5,IF(AT290="Stage 4",-5,0))))</f>
        <v/>
      </c>
      <c r="AV290" s="25" t="inlineStr">
        <is>
          <t>Negative Trend</t>
        </is>
      </c>
      <c r="AW290" s="25">
        <f>IF(AV290="Positive Trend",20,IF(AV290="Negative Trend",-10,0))</f>
        <v/>
      </c>
      <c r="AX290" s="25" t="inlineStr">
        <is>
          <t>Sideways</t>
        </is>
      </c>
      <c r="AY290" s="25">
        <f>IF(AX290="Uptrend",10,IF(AX290="Sideways",5,0))</f>
        <v/>
      </c>
      <c r="AZ290" s="25" t="inlineStr">
        <is>
          <t>Uptrend</t>
        </is>
      </c>
      <c r="BA290" s="25">
        <f>IF(AZ290="Uptrend",10,IF(AZ290="Sideways",5,0))</f>
        <v/>
      </c>
      <c r="BB290" s="25" t="inlineStr">
        <is>
          <t>Overhead supply in last 2 years in last 2 years</t>
        </is>
      </c>
      <c r="BC290" s="25">
        <f>IF(BB290="Overhead supply in last 2 years in last 2 years",-5,IF(BB290="Close to 52 week high or retracement",5,IF(BB290="Blue sky scenario",10,IF(BB290="Long term Downtrend",-10,0))))</f>
        <v/>
      </c>
      <c r="BD290" s="25" t="inlineStr">
        <is>
          <t>Yes</t>
        </is>
      </c>
      <c r="BE290" s="25">
        <f>IF(BD290="Yes",10,0)</f>
        <v/>
      </c>
      <c r="BF290" s="25" t="inlineStr">
        <is>
          <t>More than 20%</t>
        </is>
      </c>
      <c r="BG290" s="25">
        <f>IF(BF290="More than 20%",10,IF(BF290="Between 12 to 20%",5,IF(BF290="Less than 12%",0,0)))</f>
        <v/>
      </c>
      <c r="BH290" s="25" t="inlineStr">
        <is>
          <t>No</t>
        </is>
      </c>
      <c r="BI290" s="25">
        <f>IF(BH290="No",10,0)</f>
        <v/>
      </c>
      <c r="BJ290" s="25" t="inlineStr">
        <is>
          <t>No</t>
        </is>
      </c>
      <c r="BK290" s="25">
        <f>IF(BJ290="NO",5,0)</f>
        <v/>
      </c>
      <c r="BL290" s="25" t="inlineStr">
        <is>
          <t>Less than 1.5</t>
        </is>
      </c>
      <c r="BM290" s="25">
        <f>IF(BL290="Above 2",0,IF(BL290="Between 1.5 to 2",5,IF(BL290="Less than 1.5",10,0)))</f>
        <v/>
      </c>
      <c r="BN290" s="25" t="inlineStr">
        <is>
          <t>Above 70%</t>
        </is>
      </c>
      <c r="BO290" s="25">
        <f>IF(BN290="Above 70%",10,IF(BN290="Between 50% to 70%",5,IF(BN290="Less than 50%",0,IF(BN290="Negative",-10,IF(BN290="Less than 50% and Borrowings are increasing",-5,0)))))</f>
        <v/>
      </c>
      <c r="BP290" s="25" t="inlineStr">
        <is>
          <t>Less than 0.7</t>
        </is>
      </c>
      <c r="BQ290" s="25">
        <f>IF(BP290="More than 1.2",-10,IF(BP290="Between 0.7 to 1.2",0,IF(BP290="Less than 0.7",10,0)))</f>
        <v/>
      </c>
      <c r="BR290" s="25" t="inlineStr">
        <is>
          <t>No</t>
        </is>
      </c>
      <c r="BS290" s="25">
        <f>IF(BR290="Yes",-10,0)</f>
        <v/>
      </c>
      <c r="BT290" s="25" t="inlineStr">
        <is>
          <t>More than 15%</t>
        </is>
      </c>
      <c r="BU290" s="25">
        <f>IF(BT290="More than 15%",-10,IF(BT290="Less than 15%",10,0))</f>
        <v/>
      </c>
      <c r="BV290" s="25" t="inlineStr">
        <is>
          <t>Yes Upto 10%</t>
        </is>
      </c>
      <c r="BW290" s="25">
        <f>IF(BV290="Yes, more than 10%",-10,IF(BV290="No",10,0))</f>
        <v/>
      </c>
    </row>
    <row r="291">
      <c r="A291" s="25">
        <f>IF(B291=0,"",RANK(B291,$B$2:$B$292,0))</f>
        <v/>
      </c>
      <c r="B291" s="26">
        <f>SUM(Q291,S291,U291,W291,Y291,AA291,AC291,AE291,AG291,AI291,AK291,AM291,AO291,AQ291,AS291,AU291,AW291,AY291,BA291,BC291,BE291,BG291,BI291,BK291,BM291,BO291,BQ291,BS291,BU291,BW291)</f>
        <v/>
      </c>
      <c r="C291" s="25" t="inlineStr">
        <is>
          <t>KOVAI</t>
        </is>
      </c>
      <c r="D291" s="25" t="inlineStr">
        <is>
          <t>Kovai Medical Center &amp; Hospital Ltd</t>
        </is>
      </c>
      <c r="E291" s="25" t="inlineStr">
        <is>
          <t>healthcare</t>
        </is>
      </c>
      <c r="F291" s="25" t="inlineStr">
        <is>
          <t>healthcare</t>
        </is>
      </c>
      <c r="G291" s="25" t="inlineStr">
        <is>
          <t>midcap</t>
        </is>
      </c>
      <c r="H291" s="26" t="n">
        <v>5875.45</v>
      </c>
      <c r="I291" s="26" t="n">
        <v>5342</v>
      </c>
      <c r="J291" s="26" t="n">
        <v>-0.51</v>
      </c>
      <c r="K291" s="26" t="n">
        <v>1772</v>
      </c>
      <c r="L291" s="26" t="n">
        <v>42.15</v>
      </c>
      <c r="M291" s="26" t="n">
        <v>19.97</v>
      </c>
      <c r="N291" s="26" t="n">
        <v>4761.33</v>
      </c>
      <c r="O291" s="25" t="inlineStr">
        <is>
          <t>Earnings / Momentum Support</t>
        </is>
      </c>
      <c r="P291" s="25" t="inlineStr">
        <is>
          <t>Growing Industry</t>
        </is>
      </c>
      <c r="Q291" s="25">
        <f>IF(P291="Growing Industry",10,IF(P291="Cyclical in an Upturn",5,0))</f>
        <v/>
      </c>
      <c r="R291" s="25" t="inlineStr">
        <is>
          <t>Too Many Players with High ROCE</t>
        </is>
      </c>
      <c r="S291" s="25">
        <f>IF(R291="Monopoly",10,IF(R291="Oligopoly",5,IF(R291="Duopoly that cooperate",10,IF(R291="Duopoly that compete",5,IF(R291="Too many players with High ROCE",5,0)))))</f>
        <v/>
      </c>
      <c r="T291" s="25" t="inlineStr">
        <is>
          <t>Yes</t>
        </is>
      </c>
      <c r="U291" s="25">
        <f>IF(T291="No",5,0)</f>
        <v/>
      </c>
      <c r="V291" s="25" t="inlineStr">
        <is>
          <t>Headwind</t>
        </is>
      </c>
      <c r="W291" s="25">
        <f>IF(V291="Tailwind",10,0)</f>
        <v/>
      </c>
      <c r="X291" s="25" t="inlineStr">
        <is>
          <t>Structural (10 Years Consistency)</t>
        </is>
      </c>
      <c r="Y291" s="25">
        <f>IF(X291="Structural (10 Years Consistency)",10,IF(X291="Shallow Cyclical (2 to 3 years growth)",5,0))</f>
        <v/>
      </c>
      <c r="Z291" s="25" t="inlineStr">
        <is>
          <t>No</t>
        </is>
      </c>
      <c r="AA291" s="25">
        <f>IF(Z291="Yes due to Product Mix change or Operating Leverage",10,IF(Z291="Yes, these are peak margins",-5,IF(Z291="No",5,0)))</f>
        <v/>
      </c>
      <c r="AB291" s="25" t="inlineStr">
        <is>
          <t>Stable</t>
        </is>
      </c>
      <c r="AC291" s="25">
        <f>IF(AB291="Stable",10,0)</f>
        <v/>
      </c>
      <c r="AD291" s="25" t="inlineStr">
        <is>
          <t>Yes</t>
        </is>
      </c>
      <c r="AE291" s="25">
        <f>IF(AD291="Yes",10,0)</f>
        <v/>
      </c>
      <c r="AF291" s="25" t="inlineStr">
        <is>
          <t>B2B</t>
        </is>
      </c>
      <c r="AG291" s="25">
        <f>IF(AF291="B2C",10,IF(AF291="B2B",5,0))</f>
        <v/>
      </c>
      <c r="AH291" s="25" t="inlineStr">
        <is>
          <t>No</t>
        </is>
      </c>
      <c r="AI291" s="25">
        <f>IF(AH291="Yes",10,0)</f>
        <v/>
      </c>
      <c r="AJ291" s="25" t="inlineStr">
        <is>
          <t>Higher Annuity, Lower One Time</t>
        </is>
      </c>
      <c r="AK291" s="25">
        <f>IF(AJ291="Fully Annuity",10,IF(AJ291="Higher Annuity, Lower One Time",5,IF(AJ291="Higher One Time, Lower Annuity",3,0)))</f>
        <v/>
      </c>
      <c r="AL291" s="25" t="inlineStr">
        <is>
          <t>Good</t>
        </is>
      </c>
      <c r="AM291" s="25">
        <f>IF(AL291="Good",10,0)</f>
        <v/>
      </c>
      <c r="AN291" s="25" t="inlineStr">
        <is>
          <t>Yes for more than 2 years</t>
        </is>
      </c>
      <c r="AO291" s="25">
        <f>IF(AN291="Yes for more than 2 years",10,IF(AN291="Yes only for next 1 to 2 years",5,0))</f>
        <v/>
      </c>
      <c r="AP291" s="25" t="inlineStr">
        <is>
          <t>0 to 20</t>
        </is>
      </c>
      <c r="AQ291" s="25">
        <f>IF(AP291="Above 40",20,IF(AP291="20 to 40",10,IF(AP291="0 to 20",-5,0)))</f>
        <v/>
      </c>
      <c r="AR291" s="25" t="inlineStr">
        <is>
          <t>Below 45</t>
        </is>
      </c>
      <c r="AS291" s="25">
        <f>IF(AR291="Between 50 to 75",10,IF(AR291="Above 75",0,0))</f>
        <v/>
      </c>
      <c r="AT291" s="25" t="inlineStr">
        <is>
          <t>Stage 4</t>
        </is>
      </c>
      <c r="AU291" s="25">
        <f>IF(AT291="Stage 2",20,IF(AT291="Stage 1",0,IF(AT291="Stage 3",5,IF(AT291="Stage 4",-5,0))))</f>
        <v/>
      </c>
      <c r="AV291" s="25" t="inlineStr">
        <is>
          <t>Negative Trend</t>
        </is>
      </c>
      <c r="AW291" s="25">
        <f>IF(AV291="Positive Trend",20,IF(AV291="Negative Trend",-10,0))</f>
        <v/>
      </c>
      <c r="AX291" s="25" t="inlineStr">
        <is>
          <t>Uptrend</t>
        </is>
      </c>
      <c r="AY291" s="25">
        <f>IF(AX291="Uptrend",10,IF(AX291="Sideways",5,0))</f>
        <v/>
      </c>
      <c r="AZ291" s="25" t="inlineStr">
        <is>
          <t>Uptrend</t>
        </is>
      </c>
      <c r="BA291" s="25">
        <f>IF(AZ291="Uptrend",10,IF(AZ291="Sideways",5,0))</f>
        <v/>
      </c>
      <c r="BB291" s="25" t="inlineStr">
        <is>
          <t>Close to 52 week high or retracement</t>
        </is>
      </c>
      <c r="BC291" s="25">
        <f>IF(BB291="Overhead supply in last 2 years in last 2 years",-5,IF(BB291="Close to 52 week high or retracement",5,IF(BB291="Blue sky scenario",10,IF(BB291="Long term Downtrend",-10,0))))</f>
        <v/>
      </c>
      <c r="BD291" s="25" t="inlineStr">
        <is>
          <t>Yes</t>
        </is>
      </c>
      <c r="BE291" s="25">
        <f>IF(BD291="Yes",10,0)</f>
        <v/>
      </c>
      <c r="BF291" s="25" t="inlineStr">
        <is>
          <t>Between 12 to 20%</t>
        </is>
      </c>
      <c r="BG291" s="25">
        <f>IF(BF291="More than 20%",10,IF(BF291="Between 12 to 20%",5,IF(BF291="Less than 12%",0,0)))</f>
        <v/>
      </c>
      <c r="BH291" s="25" t="inlineStr">
        <is>
          <t>No</t>
        </is>
      </c>
      <c r="BI291" s="25">
        <f>IF(BH291="No",10,0)</f>
        <v/>
      </c>
      <c r="BJ291" s="25" t="inlineStr">
        <is>
          <t>No</t>
        </is>
      </c>
      <c r="BK291" s="25">
        <f>IF(BJ291="NO",5,0)</f>
        <v/>
      </c>
      <c r="BL291" s="25" t="inlineStr">
        <is>
          <t>Less than 1.5</t>
        </is>
      </c>
      <c r="BM291" s="25">
        <f>IF(BL291="Above 2",0,IF(BL291="Between 1.5 to 2",5,IF(BL291="Less than 1.5",10,0)))</f>
        <v/>
      </c>
      <c r="BN291" s="25" t="inlineStr">
        <is>
          <t>Above 70%</t>
        </is>
      </c>
      <c r="BO291" s="25">
        <f>IF(BN291="Above 70%",10,IF(BN291="Between 50% to 70%",5,IF(BN291="Less than 50%",0,IF(BN291="Negative",-10,IF(BN291="Less than 50% and Borrowings are increasing",-5,0)))))</f>
        <v/>
      </c>
      <c r="BP291" s="25" t="inlineStr">
        <is>
          <t>Less than 0.7</t>
        </is>
      </c>
      <c r="BQ291" s="25">
        <f>IF(BP291="More than 1.2",-10,IF(BP291="Between 0.7 to 1.2",0,IF(BP291="Less than 0.7",10,0)))</f>
        <v/>
      </c>
      <c r="BR291" s="25" t="inlineStr">
        <is>
          <t>No</t>
        </is>
      </c>
      <c r="BS291" s="25">
        <f>IF(BR291="Yes",-10,0)</f>
        <v/>
      </c>
      <c r="BT291" s="25" t="inlineStr">
        <is>
          <t>Less than 15%</t>
        </is>
      </c>
      <c r="BU291" s="25">
        <f>IF(BT291="More than 15%",-10,IF(BT291="Less than 15%",10,0))</f>
        <v/>
      </c>
      <c r="BV291" s="25" t="inlineStr">
        <is>
          <t>No</t>
        </is>
      </c>
      <c r="BW291" s="25">
        <f>IF(BV291="Yes, more than 10%",-10,IF(BV291="No",10,0))</f>
        <v/>
      </c>
    </row>
    <row r="292">
      <c r="A292" s="25">
        <f>IF(B292=0,"",RANK(B292,$B$2:$B$292,0))</f>
        <v/>
      </c>
      <c r="B292" s="26">
        <f>SUM(Q292,S292,U292,W292,Y292,AA292,AC292,AE292,AG292,AI292,AK292,AM292,AO292,AQ292,AS292,AU292,AW292,AY292,BA292,BC292,BE292,BG292,BI292,BK292,BM292,BO292,BQ292,BS292,BU292,BW292)</f>
        <v/>
      </c>
      <c r="C292" s="25" t="inlineStr">
        <is>
          <t>JBMA</t>
        </is>
      </c>
      <c r="D292" s="25" t="inlineStr">
        <is>
          <t>Jbm Auto Limited</t>
        </is>
      </c>
      <c r="E292" s="25" t="inlineStr">
        <is>
          <t>auto</t>
        </is>
      </c>
      <c r="F292" s="25" t="inlineStr">
        <is>
          <t>auto ancillaries</t>
        </is>
      </c>
      <c r="G292" s="25" t="inlineStr">
        <is>
          <t>midcap</t>
        </is>
      </c>
      <c r="H292" s="26" t="n">
        <v>15298.81</v>
      </c>
      <c r="I292" s="26" t="n">
        <v>647.35</v>
      </c>
      <c r="J292" s="26" t="n">
        <v>0.07000000000000001</v>
      </c>
      <c r="K292" s="26" t="n">
        <v>655980</v>
      </c>
      <c r="L292" s="26" t="n">
        <v>56.61</v>
      </c>
      <c r="M292" s="26" t="n">
        <v>14.74</v>
      </c>
      <c r="N292" s="26" t="n">
        <v>489.08</v>
      </c>
      <c r="O292" s="25" t="inlineStr">
        <is>
          <t>Earnings / Momentum Support</t>
        </is>
      </c>
      <c r="P292" s="25" t="inlineStr">
        <is>
          <t>Growing Industry</t>
        </is>
      </c>
      <c r="Q292" s="25">
        <f>IF(P292="Growing Industry",10,IF(P292="Cyclical in an Upturn",5,0))</f>
        <v/>
      </c>
      <c r="R292" s="25" t="inlineStr">
        <is>
          <t>Too Many Players with High ROCE</t>
        </is>
      </c>
      <c r="S292" s="25">
        <f>IF(R292="Monopoly",10,IF(R292="Oligopoly",5,IF(R292="Duopoly that cooperate",10,IF(R292="Duopoly that compete",5,IF(R292="Too many players with High ROCE",5,0)))))</f>
        <v/>
      </c>
      <c r="T292" s="25" t="inlineStr">
        <is>
          <t>No</t>
        </is>
      </c>
      <c r="U292" s="25">
        <f>IF(T292="No",5,0)</f>
        <v/>
      </c>
      <c r="V292" s="25" t="inlineStr">
        <is>
          <t>Tailwind</t>
        </is>
      </c>
      <c r="W292" s="25">
        <f>IF(V292="Tailwind",10,0)</f>
        <v/>
      </c>
      <c r="X292" s="25" t="inlineStr">
        <is>
          <t>Structural (10 Years Consistency)</t>
        </is>
      </c>
      <c r="Y292" s="25">
        <f>IF(X292="Structural (10 Years Consistency)",10,IF(X292="Shallow Cyclical (2 to 3 years growth)",5,0))</f>
        <v/>
      </c>
      <c r="Z292" s="25" t="inlineStr">
        <is>
          <t>No</t>
        </is>
      </c>
      <c r="AA292" s="25">
        <f>IF(Z292="Yes due to Product Mix change or Operating Leverage",10,IF(Z292="Yes, these are peak margins",-5,IF(Z292="No",5,0)))</f>
        <v/>
      </c>
      <c r="AB292" s="25" t="inlineStr">
        <is>
          <t>Stable</t>
        </is>
      </c>
      <c r="AC292" s="25">
        <f>IF(AB292="Stable",10,0)</f>
        <v/>
      </c>
      <c r="AD292" s="25" t="inlineStr">
        <is>
          <t>Yes</t>
        </is>
      </c>
      <c r="AE292" s="25">
        <f>IF(AD292="Yes",10,0)</f>
        <v/>
      </c>
      <c r="AF292" s="25" t="inlineStr">
        <is>
          <t>B2B</t>
        </is>
      </c>
      <c r="AG292" s="25">
        <f>IF(AF292="B2C",10,IF(AF292="B2B",5,0))</f>
        <v/>
      </c>
      <c r="AH292" s="25" t="inlineStr">
        <is>
          <t>No</t>
        </is>
      </c>
      <c r="AI292" s="25">
        <f>IF(AH292="Yes",10,0)</f>
        <v/>
      </c>
      <c r="AJ292" s="25" t="inlineStr">
        <is>
          <t>Higher One Time, Lower Annuity</t>
        </is>
      </c>
      <c r="AK292" s="25">
        <f>IF(AJ292="Fully Annuity",10,IF(AJ292="Higher Annuity, Lower One Time",5,IF(AJ292="Higher One Time, Lower Annuity",3,0)))</f>
        <v/>
      </c>
      <c r="AL292" s="25" t="inlineStr">
        <is>
          <t>Good</t>
        </is>
      </c>
      <c r="AM292" s="25">
        <f>IF(AL292="Good",10,0)</f>
        <v/>
      </c>
      <c r="AN292" s="25" t="inlineStr">
        <is>
          <t>Yes for more than 2 years</t>
        </is>
      </c>
      <c r="AO292" s="25">
        <f>IF(AN292="Yes for more than 2 years",10,IF(AN292="Yes only for next 1 to 2 years",5,0))</f>
        <v/>
      </c>
      <c r="AP292" s="25" t="inlineStr">
        <is>
          <t>0 to 20</t>
        </is>
      </c>
      <c r="AQ292" s="25">
        <f>IF(AP292="Above 40",20,IF(AP292="20 to 40",10,IF(AP292="0 to 20",-5,0)))</f>
        <v/>
      </c>
      <c r="AR292" s="25" t="inlineStr">
        <is>
          <t>Between 50 to 75</t>
        </is>
      </c>
      <c r="AS292" s="25">
        <f>IF(AR292="Between 50 to 75",10,IF(AR292="Above 75",0,0))</f>
        <v/>
      </c>
      <c r="AT292" s="25" t="inlineStr">
        <is>
          <t>Stage 2</t>
        </is>
      </c>
      <c r="AU292" s="25">
        <f>IF(AT292="Stage 2",20,IF(AT292="Stage 1",0,IF(AT292="Stage 3",5,IF(AT292="Stage 4",-5,0))))</f>
        <v/>
      </c>
      <c r="AV292" s="25" t="inlineStr">
        <is>
          <t>Negative Trend</t>
        </is>
      </c>
      <c r="AW292" s="25">
        <f>IF(AV292="Positive Trend",20,IF(AV292="Negative Trend",-10,0))</f>
        <v/>
      </c>
      <c r="AX292" s="25" t="inlineStr">
        <is>
          <t>Uptrend</t>
        </is>
      </c>
      <c r="AY292" s="25">
        <f>IF(AX292="Uptrend",10,IF(AX292="Sideways",5,0))</f>
        <v/>
      </c>
      <c r="AZ292" s="25" t="inlineStr">
        <is>
          <t>Uptrend</t>
        </is>
      </c>
      <c r="BA292" s="25">
        <f>IF(AZ292="Uptrend",10,IF(AZ292="Sideways",5,0))</f>
        <v/>
      </c>
      <c r="BB292" s="25" t="inlineStr">
        <is>
          <t>Close to 52 week high or retracement</t>
        </is>
      </c>
      <c r="BC292" s="25">
        <f>IF(BB292="Overhead supply in last 2 years in last 2 years",-5,IF(BB292="Close to 52 week high or retracement",5,IF(BB292="Blue sky scenario",10,IF(BB292="Long term Downtrend",-10,0))))</f>
        <v/>
      </c>
      <c r="BD292" s="25" t="inlineStr">
        <is>
          <t>Yes</t>
        </is>
      </c>
      <c r="BE292" s="25">
        <f>IF(BD292="Yes",10,0)</f>
        <v/>
      </c>
      <c r="BF292" s="25" t="inlineStr">
        <is>
          <t>Less than 12%</t>
        </is>
      </c>
      <c r="BG292" s="25">
        <f>IF(BF292="More than 20%",10,IF(BF292="Between 12 to 20%",5,IF(BF292="Less than 12%",0,0)))</f>
        <v/>
      </c>
      <c r="BH292" s="25" t="inlineStr">
        <is>
          <t>No</t>
        </is>
      </c>
      <c r="BI292" s="25">
        <f>IF(BH292="No",10,0)</f>
        <v/>
      </c>
      <c r="BJ292" s="25" t="inlineStr">
        <is>
          <t>Yes</t>
        </is>
      </c>
      <c r="BK292" s="25">
        <f>IF(BJ292="NO",5,0)</f>
        <v/>
      </c>
      <c r="BL292" s="25" t="inlineStr">
        <is>
          <t>Less than 1.5</t>
        </is>
      </c>
      <c r="BM292" s="25">
        <f>IF(BL292="Above 2",0,IF(BL292="Between 1.5 to 2",5,IF(BL292="Less than 1.5",10,0)))</f>
        <v/>
      </c>
      <c r="BN292" s="25" t="inlineStr">
        <is>
          <t>Negative</t>
        </is>
      </c>
      <c r="BO292" s="25">
        <f>IF(BN292="Above 70%",10,IF(BN292="Between 50% to 70%",5,IF(BN292="Less than 50%",0,IF(BN292="Negative",-10,IF(BN292="Less than 50% and Borrowings are increasing",-5,0)))))</f>
        <v/>
      </c>
      <c r="BP292" s="25" t="inlineStr">
        <is>
          <t>More than 1.2</t>
        </is>
      </c>
      <c r="BQ292" s="25">
        <f>IF(BP292="More than 1.2",-10,IF(BP292="Between 0.7 to 1.2",0,IF(BP292="Less than 0.7",10,0)))</f>
        <v/>
      </c>
      <c r="BR292" s="25" t="inlineStr">
        <is>
          <t>No</t>
        </is>
      </c>
      <c r="BS292" s="25">
        <f>IF(BR292="Yes",-10,0)</f>
        <v/>
      </c>
      <c r="BT292" s="25" t="inlineStr">
        <is>
          <t>Less than 15%</t>
        </is>
      </c>
      <c r="BU292" s="25">
        <f>IF(BT292="More than 15%",-10,IF(BT292="Less than 15%",10,0))</f>
        <v/>
      </c>
      <c r="BV292" s="25" t="inlineStr">
        <is>
          <t>No</t>
        </is>
      </c>
      <c r="BW292" s="25">
        <f>IF(BV292="Yes, more than 10%",-10,IF(BV292="No",10,0))</f>
        <v/>
      </c>
    </row>
  </sheetData>
  <autoFilter ref="A1:BW292"/>
  <conditionalFormatting sqref="B2:B29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9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29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29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29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9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9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9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9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9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9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9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9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9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9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9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9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9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9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9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9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9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9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9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9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9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9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9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9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9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9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30">
    <dataValidation sqref="P2:P292" showDropDown="0" showInputMessage="0" showErrorMessage="0" allowBlank="1" type="list">
      <formula1>"Growing Industry,Stagnant Industry,Cyclical in an Upturn"</formula1>
    </dataValidation>
    <dataValidation sqref="R2:R29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T2:T292" showDropDown="0" showInputMessage="0" showErrorMessage="0" allowBlank="1" type="list">
      <formula1>"Yes,No"</formula1>
    </dataValidation>
    <dataValidation sqref="V2:V292" showDropDown="0" showInputMessage="0" showErrorMessage="0" allowBlank="1" type="list">
      <formula1>"Tailwind,Headwind"</formula1>
    </dataValidation>
    <dataValidation sqref="X2:X292" showDropDown="0" showInputMessage="0" showErrorMessage="0" allowBlank="1" type="list">
      <formula1>"Structural (10 Years Consistency),Shallow Cyclical (2 to 3 Years Growth),Cyclical"</formula1>
    </dataValidation>
    <dataValidation sqref="Z2:Z292" showDropDown="0" showInputMessage="0" showErrorMessage="0" allowBlank="1" type="list">
      <formula1>"Yes due to Product Mix change or Operating Leverage,Yes, these are peak margins,No"</formula1>
    </dataValidation>
    <dataValidation sqref="AB2:AB292" showDropDown="0" showInputMessage="0" showErrorMessage="0" allowBlank="1" type="list">
      <formula1>"Stable,Volatile"</formula1>
    </dataValidation>
    <dataValidation sqref="AD2:AD292" showDropDown="0" showInputMessage="0" showErrorMessage="0" allowBlank="1" type="list">
      <formula1>"Yes,No"</formula1>
    </dataValidation>
    <dataValidation sqref="AF2:AF292" showDropDown="0" showInputMessage="0" showErrorMessage="0" allowBlank="1" type="list">
      <formula1>"B2C,B2B,B2G"</formula1>
    </dataValidation>
    <dataValidation sqref="AH2:AH292" showDropDown="0" showInputMessage="0" showErrorMessage="0" allowBlank="1" type="list">
      <formula1>"Yes,No"</formula1>
    </dataValidation>
    <dataValidation sqref="AJ2:AJ292" showDropDown="0" showInputMessage="0" showErrorMessage="0" allowBlank="1" type="list">
      <formula1>"Fully Annuity,Higher Annuity, Lower One time,Higher One Time, Lower Annuity,Fully One Time"</formula1>
    </dataValidation>
    <dataValidation sqref="AL2:AL292" showDropDown="0" showInputMessage="0" showErrorMessage="0" allowBlank="1" type="list">
      <formula1>"Good,Allocated capital in Non-core Areas"</formula1>
    </dataValidation>
    <dataValidation sqref="AN2:AN292" showDropDown="0" showInputMessage="0" showErrorMessage="0" allowBlank="1" type="list">
      <formula1>"Yes for more than 2 years,Yes only for next 1 to 2 years,No"</formula1>
    </dataValidation>
    <dataValidation sqref="AP2:AP292" showDropDown="0" showInputMessage="0" showErrorMessage="0" allowBlank="1" type="list">
      <formula1>"Above 40,20 to 40,0 to 20"</formula1>
    </dataValidation>
    <dataValidation sqref="AR2:AR292" showDropDown="0" showInputMessage="0" showErrorMessage="0" allowBlank="1" type="list">
      <formula1>"Between 50 to 75,Above 75,Below 45"</formula1>
    </dataValidation>
    <dataValidation sqref="AT2:AT292" showDropDown="0" showInputMessage="0" showErrorMessage="0" allowBlank="1" type="list">
      <formula1>"Stage 1,Stage 2,Stage 3,Stage 4"</formula1>
    </dataValidation>
    <dataValidation sqref="AV2:AV292" showDropDown="0" showInputMessage="0" showErrorMessage="0" allowBlank="1" type="list">
      <formula1>"Positive Trend,Negative Trend"</formula1>
    </dataValidation>
    <dataValidation sqref="AX2:AX292" showDropDown="0" showInputMessage="0" showErrorMessage="0" allowBlank="1" type="list">
      <formula1>"Uptrend,Sideways,Downtrend"</formula1>
    </dataValidation>
    <dataValidation sqref="AZ2:AZ292" showDropDown="0" showInputMessage="0" showErrorMessage="0" allowBlank="1" type="list">
      <formula1>"Uptrend,Sideways,Downtrend"</formula1>
    </dataValidation>
    <dataValidation sqref="BB2:BB29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D2:BD292" showDropDown="0" showInputMessage="0" showErrorMessage="0" allowBlank="1" type="list">
      <formula1>"Yes,No"</formula1>
    </dataValidation>
    <dataValidation sqref="BF2:BF292" showDropDown="0" showInputMessage="0" showErrorMessage="0" allowBlank="1" type="list">
      <formula1>"More than 20%,Between 12 to 20%,Less than 12%"</formula1>
    </dataValidation>
    <dataValidation sqref="BH2:BH292" showDropDown="0" showInputMessage="0" showErrorMessage="0" allowBlank="1" type="list">
      <formula1>"Yes,No"</formula1>
    </dataValidation>
    <dataValidation sqref="BJ2:BJ292" showDropDown="0" showInputMessage="0" showErrorMessage="0" allowBlank="1" type="list">
      <formula1>"Yes,No"</formula1>
    </dataValidation>
    <dataValidation sqref="BL2:BL292" showDropDown="0" showInputMessage="0" showErrorMessage="0" allowBlank="1" type="list">
      <formula1>"Above 2,Between 1.5 to 2,Less than 1.5"</formula1>
    </dataValidation>
    <dataValidation sqref="BN2:BN292" showDropDown="0" showInputMessage="0" showErrorMessage="0" allowBlank="1" type="list">
      <formula1>"Above 70%,Between 50% to 70%,Less than 50%,Less than 50% and Borrowings are increasing,Negative"</formula1>
    </dataValidation>
    <dataValidation sqref="BP2:BP292" showDropDown="0" showInputMessage="0" showErrorMessage="0" allowBlank="1" type="list">
      <formula1>"More than 1.2,Between 0.7 to 1.2,Less than 0.7"</formula1>
    </dataValidation>
    <dataValidation sqref="BR2:BR292" showDropDown="0" showInputMessage="0" showErrorMessage="0" allowBlank="1" type="list">
      <formula1>"Yes,No"</formula1>
    </dataValidation>
    <dataValidation sqref="BT2:BT292" showDropDown="0" showInputMessage="0" showErrorMessage="0" allowBlank="1" type="list">
      <formula1>"More than 15%,Less than 15%"</formula1>
    </dataValidation>
    <dataValidation sqref="BV2:BV29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3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3" customWidth="1" min="12" max="12"/>
    <col width="23" customWidth="1" min="13" max="13"/>
    <col width="26" customWidth="1" min="14" max="14"/>
    <col width="32" customWidth="1" min="15" max="15"/>
    <col width="19" customWidth="1" min="16" max="16"/>
    <col width="25" customWidth="1" min="17" max="17"/>
    <col width="19" customWidth="1" min="18" max="18"/>
    <col width="25" customWidth="1" min="19" max="19"/>
    <col width="14" customWidth="1" min="20" max="20"/>
    <col width="20" customWidth="1" min="21" max="21"/>
    <col width="29" customWidth="1" min="22" max="22"/>
    <col width="34" customWidth="1" min="23" max="23"/>
    <col width="17" customWidth="1" min="24" max="24"/>
    <col width="23" customWidth="1" min="25" max="25"/>
    <col width="12" customWidth="1" min="26" max="26"/>
    <col width="13" customWidth="1" min="27" max="27"/>
    <col width="14" customWidth="1" min="28" max="28"/>
    <col width="20" customWidth="1" min="29" max="29"/>
    <col width="22" customWidth="1" min="30" max="30"/>
    <col width="28" customWidth="1" min="31" max="31"/>
    <col width="13" customWidth="1" min="32" max="32"/>
    <col width="19" customWidth="1" min="33" max="33"/>
    <col width="22" customWidth="1" min="34" max="34"/>
    <col width="28" customWidth="1" min="35" max="35"/>
    <col width="13" customWidth="1" min="36" max="36"/>
    <col width="19" customWidth="1" min="37" max="37"/>
    <col width="28" customWidth="1" min="38" max="38"/>
    <col width="34" customWidth="1" min="39" max="39"/>
    <col width="17" customWidth="1" min="40" max="40"/>
    <col width="23" customWidth="1" min="41" max="41"/>
    <col width="19" customWidth="1" min="42" max="42"/>
    <col width="25" customWidth="1" min="43" max="43"/>
    <col width="12" customWidth="1" min="44" max="44"/>
    <col width="14" customWidth="1" min="45" max="45"/>
    <col width="19" customWidth="1" min="46" max="46"/>
    <col width="25" customWidth="1" min="47" max="47"/>
    <col width="20" customWidth="1" min="48" max="48"/>
    <col width="26" customWidth="1" min="49" max="49"/>
    <col width="20" customWidth="1" min="50" max="50"/>
    <col width="26" customWidth="1" min="51" max="51"/>
    <col width="14" customWidth="1" min="52" max="52"/>
    <col width="20" customWidth="1" min="53" max="53"/>
    <col width="23" customWidth="1" min="54" max="54"/>
    <col width="29" customWidth="1" min="55" max="55"/>
    <col width="12" customWidth="1" min="56" max="56"/>
    <col width="13" customWidth="1" min="57" max="57"/>
    <col width="12" customWidth="1" min="58" max="58"/>
    <col width="13" customWidth="1" min="59" max="59"/>
    <col width="18" customWidth="1" min="60" max="60"/>
    <col width="24" customWidth="1" min="61" max="61"/>
    <col width="23" customWidth="1" min="62" max="62"/>
    <col width="29" customWidth="1" min="63" max="63"/>
    <col width="19" customWidth="1" min="64" max="64"/>
    <col width="25" customWidth="1" min="65" max="65"/>
    <col width="17" customWidth="1" min="66" max="66"/>
    <col width="23" customWidth="1" min="67" max="67"/>
    <col width="14" customWidth="1" min="68" max="68"/>
    <col width="20" customWidth="1" min="69" max="69"/>
    <col width="12" customWidth="1" min="70" max="70"/>
    <col width="16" customWidth="1" min="71" max="71"/>
  </cols>
  <sheetData>
    <row r="1">
      <c r="A1" s="24" t="inlineStr">
        <is>
          <t>Rank (Banks &amp; NBFC)</t>
        </is>
      </c>
      <c r="B1" s="24" t="inlineStr">
        <is>
          <t>Total Score</t>
        </is>
      </c>
      <c r="C1" s="24" t="inlineStr">
        <is>
          <t>Symbol</t>
        </is>
      </c>
      <c r="D1" s="24" t="inlineStr">
        <is>
          <t>Company</t>
        </is>
      </c>
      <c r="E1" s="24" t="inlineStr">
        <is>
          <t>Sector</t>
        </is>
      </c>
      <c r="F1" s="24" t="inlineStr">
        <is>
          <t>Industry</t>
        </is>
      </c>
      <c r="G1" s="24" t="inlineStr">
        <is>
          <t>Market Cap Bucket</t>
        </is>
      </c>
      <c r="H1" s="24" t="inlineStr">
        <is>
          <t>Market Cap Cr</t>
        </is>
      </c>
      <c r="I1" s="24" t="inlineStr">
        <is>
          <t>Close</t>
        </is>
      </c>
      <c r="J1" s="24" t="inlineStr">
        <is>
          <t>Today Return %</t>
        </is>
      </c>
      <c r="K1" s="24" t="inlineStr">
        <is>
          <t>Volume</t>
        </is>
      </c>
      <c r="L1" s="24" t="inlineStr">
        <is>
          <t>Calculated RSI (14)</t>
        </is>
      </c>
      <c r="M1" s="24" t="inlineStr">
        <is>
          <t>Calculated ADX (14)</t>
        </is>
      </c>
      <c r="N1" s="24" t="inlineStr">
        <is>
          <t>Calculated V-stop Line</t>
        </is>
      </c>
      <c r="O1" s="24" t="inlineStr">
        <is>
          <t>Calculated Near-term Trigger</t>
        </is>
      </c>
      <c r="P1" s="24" t="inlineStr">
        <is>
          <t>Industry Growth</t>
        </is>
      </c>
      <c r="Q1" s="24" t="inlineStr">
        <is>
          <t>Industry Growth Score</t>
        </is>
      </c>
      <c r="R1" s="24" t="inlineStr">
        <is>
          <t>Competitiveness</t>
        </is>
      </c>
      <c r="S1" s="24" t="inlineStr">
        <is>
          <t>Competitiveness Score</t>
        </is>
      </c>
      <c r="T1" s="24" t="inlineStr">
        <is>
          <t>Regulation</t>
        </is>
      </c>
      <c r="U1" s="24" t="inlineStr">
        <is>
          <t>Regulation Score</t>
        </is>
      </c>
      <c r="V1" s="24" t="inlineStr">
        <is>
          <t>Sector Headwinds/Tailwind</t>
        </is>
      </c>
      <c r="W1" s="24" t="inlineStr">
        <is>
          <t>Sector Headwinds/Tailwind Score</t>
        </is>
      </c>
      <c r="X1" s="24" t="inlineStr">
        <is>
          <t>Industry Type</t>
        </is>
      </c>
      <c r="Y1" s="24" t="inlineStr">
        <is>
          <t>Industry Type Score</t>
        </is>
      </c>
      <c r="Z1" s="24" t="inlineStr">
        <is>
          <t>NIM</t>
        </is>
      </c>
      <c r="AA1" s="24" t="inlineStr">
        <is>
          <t>NIM Score</t>
        </is>
      </c>
      <c r="AB1" s="24" t="inlineStr">
        <is>
          <t>CASA Ratio</t>
        </is>
      </c>
      <c r="AC1" s="24" t="inlineStr">
        <is>
          <t>CASA Ratio Score</t>
        </is>
      </c>
      <c r="AD1" s="24" t="inlineStr">
        <is>
          <t>Profit cyclicality</t>
        </is>
      </c>
      <c r="AE1" s="24" t="inlineStr">
        <is>
          <t>Profit cyclicality Score</t>
        </is>
      </c>
      <c r="AF1" s="24" t="inlineStr">
        <is>
          <t>CAR Ratio</t>
        </is>
      </c>
      <c r="AG1" s="24" t="inlineStr">
        <is>
          <t>CAR Ratio Score</t>
        </is>
      </c>
      <c r="AH1" s="24" t="inlineStr">
        <is>
          <t>Near term triggers</t>
        </is>
      </c>
      <c r="AI1" s="24" t="inlineStr">
        <is>
          <t>Near term triggers Score</t>
        </is>
      </c>
      <c r="AJ1" s="24" t="inlineStr">
        <is>
          <t>High P/BV</t>
        </is>
      </c>
      <c r="AK1" s="24" t="inlineStr">
        <is>
          <t>High P/BV Score</t>
        </is>
      </c>
      <c r="AL1" s="24" t="inlineStr">
        <is>
          <t>Asset Quality Divergence</t>
        </is>
      </c>
      <c r="AM1" s="24" t="inlineStr">
        <is>
          <t>Asset Quality Divergence Score</t>
        </is>
      </c>
      <c r="AN1" s="24" t="inlineStr">
        <is>
          <t>Reported loss</t>
        </is>
      </c>
      <c r="AO1" s="24" t="inlineStr">
        <is>
          <t>Reported loss Score</t>
        </is>
      </c>
      <c r="AP1" s="24" t="inlineStr">
        <is>
          <t>CEO Resignation</t>
        </is>
      </c>
      <c r="AQ1" s="24" t="inlineStr">
        <is>
          <t>CEO Resignation Score</t>
        </is>
      </c>
      <c r="AR1" s="24" t="inlineStr">
        <is>
          <t>GNPA</t>
        </is>
      </c>
      <c r="AS1" s="24" t="inlineStr">
        <is>
          <t>GNPA Score</t>
        </is>
      </c>
      <c r="AT1" s="24" t="inlineStr">
        <is>
          <t>KMP Resignation</t>
        </is>
      </c>
      <c r="AU1" s="24" t="inlineStr">
        <is>
          <t>KMP Resignation Score</t>
        </is>
      </c>
      <c r="AV1" s="24" t="inlineStr">
        <is>
          <t>Return on Assets</t>
        </is>
      </c>
      <c r="AW1" s="24" t="inlineStr">
        <is>
          <t>Return on Assets Score</t>
        </is>
      </c>
      <c r="AX1" s="24" t="inlineStr">
        <is>
          <t>Return on Equity</t>
        </is>
      </c>
      <c r="AY1" s="24" t="inlineStr">
        <is>
          <t>Return on Equity Score</t>
        </is>
      </c>
      <c r="AZ1" s="24" t="inlineStr">
        <is>
          <t>AUM Growth</t>
        </is>
      </c>
      <c r="BA1" s="24" t="inlineStr">
        <is>
          <t>AUM Growth Score</t>
        </is>
      </c>
      <c r="BB1" s="24" t="inlineStr">
        <is>
          <t>Price to Book Value</t>
        </is>
      </c>
      <c r="BC1" s="24" t="inlineStr">
        <is>
          <t>Price to Book Value Score</t>
        </is>
      </c>
      <c r="BD1" s="24" t="inlineStr">
        <is>
          <t>ADX</t>
        </is>
      </c>
      <c r="BE1" s="24" t="inlineStr">
        <is>
          <t>ADX Score</t>
        </is>
      </c>
      <c r="BF1" s="24" t="inlineStr">
        <is>
          <t>RSI</t>
        </is>
      </c>
      <c r="BG1" s="24" t="inlineStr">
        <is>
          <t>RSI Score</t>
        </is>
      </c>
      <c r="BH1" s="24" t="inlineStr">
        <is>
          <t>Stage Analysis</t>
        </is>
      </c>
      <c r="BI1" s="24" t="inlineStr">
        <is>
          <t>Stage Analysis Score</t>
        </is>
      </c>
      <c r="BJ1" s="24" t="inlineStr">
        <is>
          <t>Price Volume Action</t>
        </is>
      </c>
      <c r="BK1" s="24" t="inlineStr">
        <is>
          <t>Price Volume Action Score</t>
        </is>
      </c>
      <c r="BL1" s="24" t="inlineStr">
        <is>
          <t>Secondary Trend</t>
        </is>
      </c>
      <c r="BM1" s="24" t="inlineStr">
        <is>
          <t>Secondary Trend Score</t>
        </is>
      </c>
      <c r="BN1" s="24" t="inlineStr">
        <is>
          <t>Primary Trend</t>
        </is>
      </c>
      <c r="BO1" s="24" t="inlineStr">
        <is>
          <t>Primary Trend Score</t>
        </is>
      </c>
      <c r="BP1" s="24" t="inlineStr">
        <is>
          <t>Resistance</t>
        </is>
      </c>
      <c r="BQ1" s="24" t="inlineStr">
        <is>
          <t>Resistance Score</t>
        </is>
      </c>
      <c r="BR1" s="24" t="inlineStr">
        <is>
          <t>V-stop</t>
        </is>
      </c>
      <c r="BS1" s="24" t="inlineStr">
        <is>
          <t>V-stop Score</t>
        </is>
      </c>
    </row>
    <row r="2">
      <c r="A2" s="25">
        <f>IF(B2=0,"",RANK(B2,$B$2:$B$33,0))</f>
        <v/>
      </c>
      <c r="B2" s="26">
        <f>SUM(Q2,S2,U2,W2,Y2,AA2,AC2,AE2,AG2,AI2,AK2,AM2,AO2,AQ2,AS2,AU2,AW2,AY2,BA2,BC2,BE2,BG2,BI2,BK2,BM2,BO2,BQ2,BS2)</f>
        <v/>
      </c>
      <c r="C2" s="25" t="inlineStr">
        <is>
          <t>KTKBANK</t>
        </is>
      </c>
      <c r="D2" s="25" t="inlineStr">
        <is>
          <t>The Karnataka Bank Limited</t>
        </is>
      </c>
      <c r="E2" s="25" t="inlineStr">
        <is>
          <t>bank</t>
        </is>
      </c>
      <c r="F2" s="25" t="inlineStr">
        <is>
          <t>banks - private sector</t>
        </is>
      </c>
      <c r="G2" s="25" t="inlineStr">
        <is>
          <t>midcap</t>
        </is>
      </c>
      <c r="H2" s="26" t="n">
        <v>10047.19</v>
      </c>
      <c r="I2" s="26" t="n">
        <v>264</v>
      </c>
      <c r="J2" s="26" t="n">
        <v>-0.64</v>
      </c>
      <c r="K2" s="26" t="n">
        <v>3219483</v>
      </c>
      <c r="L2" s="26" t="n">
        <v>66.5</v>
      </c>
      <c r="M2" s="26" t="n">
        <v>54.4</v>
      </c>
      <c r="N2" s="26" t="n">
        <v>214.7</v>
      </c>
      <c r="O2" s="25" t="inlineStr">
        <is>
          <t>Near 52W High Breakout</t>
        </is>
      </c>
      <c r="P2" s="25" t="inlineStr">
        <is>
          <t>Growing Industry</t>
        </is>
      </c>
      <c r="Q2" s="25">
        <f>IF(P2="Growing Industry",10,IF(P2="Cyclical in an Upturn",5,0))</f>
        <v/>
      </c>
      <c r="R2" s="25" t="inlineStr">
        <is>
          <t>Fragmented with High ROE</t>
        </is>
      </c>
      <c r="S2" s="25">
        <f>IF(R2="Fragmented with Low ROE",-5,IF(R2="Fragmented with High ROE",10,IF(R2= "highly cyclical",5,0)))</f>
        <v/>
      </c>
      <c r="T2" s="25" t="inlineStr">
        <is>
          <t>Yes</t>
        </is>
      </c>
      <c r="U2" s="25">
        <f>IF(T2="No",5,0)</f>
        <v/>
      </c>
      <c r="V2" s="25" t="inlineStr">
        <is>
          <t>Tailwind</t>
        </is>
      </c>
      <c r="W2" s="25">
        <f>IF(V2="Tailwind",10,0)</f>
        <v/>
      </c>
      <c r="X2" s="25" t="inlineStr">
        <is>
          <t>Structural (10 Years Consistency)</t>
        </is>
      </c>
      <c r="Y2" s="25">
        <f>IF(X2="Structural (10 Years Consistency)",15,IF(X2="Shallow Cyclical (2 to 3 years growth)",10,IF(X2 = "Cyclical in an Uptick",5,IF(X2 = "Cyclical in an Downtick",-10,0))))</f>
        <v/>
      </c>
      <c r="Z2" s="25" t="inlineStr">
        <is>
          <t>Yes</t>
        </is>
      </c>
      <c r="AA2" s="25">
        <f>IF(Z2="Yes",10,0)</f>
        <v/>
      </c>
      <c r="AB2" s="25" t="inlineStr">
        <is>
          <t>Yes</t>
        </is>
      </c>
      <c r="AC2" s="25">
        <f>IF(AB2="Yes",10,0)</f>
        <v/>
      </c>
      <c r="AD2" s="25" t="n"/>
      <c r="AE2" s="25">
        <f>IF(AD2="No",10,0)</f>
        <v/>
      </c>
      <c r="AF2" s="25" t="inlineStr">
        <is>
          <t>Yes</t>
        </is>
      </c>
      <c r="AG2" s="25">
        <f>IF(AF2="Yes",10,0)</f>
        <v/>
      </c>
      <c r="AH2" s="25" t="inlineStr">
        <is>
          <t>Yes</t>
        </is>
      </c>
      <c r="AI2" s="25">
        <f>IF(AH2="Yes",10,0)</f>
        <v/>
      </c>
      <c r="AJ2" s="25" t="inlineStr">
        <is>
          <t>Yes</t>
        </is>
      </c>
      <c r="AK2" s="25">
        <f>IF(AJ2="Yes",5,0)</f>
        <v/>
      </c>
      <c r="AL2" s="25" t="inlineStr">
        <is>
          <t>No</t>
        </is>
      </c>
      <c r="AM2" s="25">
        <f>IF(AL2="No",10,IF(AL2="Yes",-10,0))</f>
        <v/>
      </c>
      <c r="AN2" s="25" t="inlineStr">
        <is>
          <t>No</t>
        </is>
      </c>
      <c r="AO2" s="25">
        <f>IF(AN2="No",10,0)</f>
        <v/>
      </c>
      <c r="AP2" s="25" t="inlineStr">
        <is>
          <t>No</t>
        </is>
      </c>
      <c r="AQ2" s="25">
        <f>IF(AP2="No",10,IF(AP2= "Yes CEO Resignation",-5,0))</f>
        <v/>
      </c>
      <c r="AR2" s="25" t="inlineStr">
        <is>
          <t>No</t>
        </is>
      </c>
      <c r="AS2" s="25">
        <f>IF(AR2="No",10,IF(AR2="Yes",-5,0))</f>
        <v/>
      </c>
      <c r="AT2" s="25" t="inlineStr">
        <is>
          <t>No</t>
        </is>
      </c>
      <c r="AU2" s="25">
        <f>IF(AT2="No",5,IF(AT2="Yes",-5,0))</f>
        <v/>
      </c>
      <c r="AV2" s="25" t="inlineStr">
        <is>
          <t>Yes</t>
        </is>
      </c>
      <c r="AW2" s="25">
        <f>IF(AV2="Yes",10,0)</f>
        <v/>
      </c>
      <c r="AX2" s="25" t="inlineStr">
        <is>
          <t>Yes</t>
        </is>
      </c>
      <c r="AY2" s="25">
        <f>IF(AX2="Yes",10,0)</f>
        <v/>
      </c>
      <c r="AZ2" s="25" t="inlineStr">
        <is>
          <t>Yes</t>
        </is>
      </c>
      <c r="BA2" s="25">
        <f>IF(AZ2="Yes",10,0)</f>
        <v/>
      </c>
      <c r="BB2" s="25" t="inlineStr">
        <is>
          <t>P/BV less than 2.5x and Growth more than 20%</t>
        </is>
      </c>
      <c r="BC2" s="25">
        <f>IF(BB2="P/BV less than 2.5x and Growth more than 20%",20,IF(BB2 = "P/BV less than 2.5x and Growth less than 20%",5,IF(BB2="P/BV between 2.5x to 5x and Growth more than 20%",10,IF(BB2= "P/BV between 2.5x to 5x and Growth less than 20%",-5,IF(BB2= "P/BV above 5x",-5,0)))))</f>
        <v/>
      </c>
      <c r="BD2" s="25" t="inlineStr">
        <is>
          <t>Above 40</t>
        </is>
      </c>
      <c r="BE2" s="25">
        <f>IF(BD2="Above 40",20,IF(BD2="20 to 40",10,IF(BD2="0 to 20",-5,0)))</f>
        <v/>
      </c>
      <c r="BF2" s="25" t="inlineStr">
        <is>
          <t>Between 50 to 75</t>
        </is>
      </c>
      <c r="BG2" s="25">
        <f>IF(BF2="Between 50 to 75",10,IF(BF2="Above 75",0,0))</f>
        <v/>
      </c>
      <c r="BH2" s="25" t="inlineStr">
        <is>
          <t>Stage 2</t>
        </is>
      </c>
      <c r="BI2" s="25">
        <f>IF(BH2="Stage 2",20,IF(BH2="Stage 1",0,IF(BH2="Stage 3",5,IF(BH2="Stage 4",-5,0))))</f>
        <v/>
      </c>
      <c r="BJ2" s="25" t="inlineStr">
        <is>
          <t>Positive Trend</t>
        </is>
      </c>
      <c r="BK2" s="25">
        <f>IF(BJ2="Positive Trend",20,IF(BJ2="Negative Trend",-10,0))</f>
        <v/>
      </c>
      <c r="BL2" s="25" t="inlineStr">
        <is>
          <t>Uptrend</t>
        </is>
      </c>
      <c r="BM2" s="25">
        <f>IF(BL2="Uptrend",10,IF(BL2="Sideways",5,0))</f>
        <v/>
      </c>
      <c r="BN2" s="25" t="inlineStr">
        <is>
          <t>Uptrend</t>
        </is>
      </c>
      <c r="BO2" s="25">
        <f>IF(BN2="Uptrend",10,IF(BN2="Sideways",5,0))</f>
        <v/>
      </c>
      <c r="BP2" s="25" t="inlineStr">
        <is>
          <t>Blue sky scenario</t>
        </is>
      </c>
      <c r="BQ2" s="25">
        <f>IF(BP2="Overhead supply in last 2 years in last 2 years",-5,IF(BP2="Close to 52 week high or retracement",5,IF(BP2="Blue sky scenario",10,IF(BP2="Long term Downtrend",-10,0))))</f>
        <v/>
      </c>
      <c r="BR2" s="25" t="inlineStr">
        <is>
          <t>Yes</t>
        </is>
      </c>
      <c r="BS2" s="25">
        <f>IF(BR2="Yes",10,0)</f>
        <v/>
      </c>
    </row>
    <row r="3">
      <c r="A3" s="25">
        <f>IF(B3=0,"",RANK(B3,$B$2:$B$33,0))</f>
        <v/>
      </c>
      <c r="B3" s="26">
        <f>SUM(Q3,S3,U3,W3,Y3,AA3,AC3,AE3,AG3,AI3,AK3,AM3,AO3,AQ3,AS3,AU3,AW3,AY3,BA3,BC3,BE3,BG3,BI3,BK3,BM3,BO3,BQ3,BS3)</f>
        <v/>
      </c>
      <c r="C3" s="25" t="inlineStr">
        <is>
          <t>WELINV</t>
        </is>
      </c>
      <c r="D3" s="25" t="inlineStr">
        <is>
          <t>Welspun Investments And Commercials Limited</t>
        </is>
      </c>
      <c r="E3" s="25" t="inlineStr">
        <is>
          <t>financials</t>
        </is>
      </c>
      <c r="F3" s="25" t="inlineStr">
        <is>
          <t>finance &amp; investments</t>
        </is>
      </c>
      <c r="G3" s="25" t="inlineStr">
        <is>
          <t>smallcap</t>
        </is>
      </c>
      <c r="H3" s="26" t="n">
        <v>666.9400000000001</v>
      </c>
      <c r="I3" s="26" t="n">
        <v>1859</v>
      </c>
      <c r="J3" s="26" t="n">
        <v>1.86</v>
      </c>
      <c r="K3" s="26" t="n">
        <v>58</v>
      </c>
      <c r="L3" s="26" t="n">
        <v>77.47</v>
      </c>
      <c r="M3" s="26" t="n">
        <v>41.14</v>
      </c>
      <c r="N3" s="26" t="n">
        <v>1425.33</v>
      </c>
      <c r="O3" s="25" t="inlineStr">
        <is>
          <t>Near 52W High Breakout</t>
        </is>
      </c>
      <c r="P3" s="25" t="inlineStr">
        <is>
          <t>Growing Industry</t>
        </is>
      </c>
      <c r="Q3" s="25">
        <f>IF(P3="Growing Industry",10,IF(P3="Cyclical in an Upturn",5,0))</f>
        <v/>
      </c>
      <c r="R3" s="25" t="inlineStr">
        <is>
          <t>Fragmented with High ROE</t>
        </is>
      </c>
      <c r="S3" s="25">
        <f>IF(R3="Fragmented with Low ROE",-5,IF(R3="Fragmented with High ROE",10,IF(R3= "highly cyclical",5,0)))</f>
        <v/>
      </c>
      <c r="T3" s="25" t="inlineStr">
        <is>
          <t>Yes</t>
        </is>
      </c>
      <c r="U3" s="25">
        <f>IF(T3="No",5,0)</f>
        <v/>
      </c>
      <c r="V3" s="25" t="inlineStr">
        <is>
          <t>Tailwind</t>
        </is>
      </c>
      <c r="W3" s="25">
        <f>IF(V3="Tailwind",10,0)</f>
        <v/>
      </c>
      <c r="X3" s="25" t="inlineStr">
        <is>
          <t>Structural (10 Years Consistency)</t>
        </is>
      </c>
      <c r="Y3" s="25">
        <f>IF(X3="Structural (10 Years Consistency)",15,IF(X3="Shallow Cyclical (2 to 3 years growth)",10,IF(X3 = "Cyclical in an Uptick",5,IF(X3 = "Cyclical in an Downtick",-10,0))))</f>
        <v/>
      </c>
      <c r="Z3" s="25" t="inlineStr">
        <is>
          <t>Yes</t>
        </is>
      </c>
      <c r="AA3" s="25">
        <f>IF(Z3="Yes",10,0)</f>
        <v/>
      </c>
      <c r="AB3" s="25" t="inlineStr">
        <is>
          <t>Yes</t>
        </is>
      </c>
      <c r="AC3" s="25">
        <f>IF(AB3="Yes",10,0)</f>
        <v/>
      </c>
      <c r="AD3" s="25" t="n"/>
      <c r="AE3" s="25">
        <f>IF(AD3="No",10,0)</f>
        <v/>
      </c>
      <c r="AF3" s="25" t="inlineStr">
        <is>
          <t>Yes</t>
        </is>
      </c>
      <c r="AG3" s="25">
        <f>IF(AF3="Yes",10,0)</f>
        <v/>
      </c>
      <c r="AH3" s="25" t="inlineStr">
        <is>
          <t>Yes</t>
        </is>
      </c>
      <c r="AI3" s="25">
        <f>IF(AH3="Yes",10,0)</f>
        <v/>
      </c>
      <c r="AJ3" s="25" t="inlineStr">
        <is>
          <t>Yes</t>
        </is>
      </c>
      <c r="AK3" s="25">
        <f>IF(AJ3="Yes",5,0)</f>
        <v/>
      </c>
      <c r="AL3" s="25" t="inlineStr">
        <is>
          <t>No</t>
        </is>
      </c>
      <c r="AM3" s="25">
        <f>IF(AL3="No",10,IF(AL3="Yes",-10,0))</f>
        <v/>
      </c>
      <c r="AN3" s="25" t="inlineStr">
        <is>
          <t>No</t>
        </is>
      </c>
      <c r="AO3" s="25">
        <f>IF(AN3="No",10,0)</f>
        <v/>
      </c>
      <c r="AP3" s="25" t="inlineStr">
        <is>
          <t>No</t>
        </is>
      </c>
      <c r="AQ3" s="25">
        <f>IF(AP3="No",10,IF(AP3= "Yes CEO Resignation",-5,0))</f>
        <v/>
      </c>
      <c r="AR3" s="25" t="inlineStr">
        <is>
          <t>No</t>
        </is>
      </c>
      <c r="AS3" s="25">
        <f>IF(AR3="No",10,IF(AR3="Yes",-5,0))</f>
        <v/>
      </c>
      <c r="AT3" s="25" t="inlineStr">
        <is>
          <t>No</t>
        </is>
      </c>
      <c r="AU3" s="25">
        <f>IF(AT3="No",5,IF(AT3="Yes",-5,0))</f>
        <v/>
      </c>
      <c r="AV3" s="25" t="inlineStr">
        <is>
          <t>Yes</t>
        </is>
      </c>
      <c r="AW3" s="25">
        <f>IF(AV3="Yes",10,0)</f>
        <v/>
      </c>
      <c r="AX3" s="25" t="inlineStr">
        <is>
          <t>Yes</t>
        </is>
      </c>
      <c r="AY3" s="25">
        <f>IF(AX3="Yes",10,0)</f>
        <v/>
      </c>
      <c r="AZ3" s="25" t="inlineStr">
        <is>
          <t>Yes</t>
        </is>
      </c>
      <c r="BA3" s="25">
        <f>IF(AZ3="Yes",10,0)</f>
        <v/>
      </c>
      <c r="BB3" s="25" t="inlineStr">
        <is>
          <t>P/BV less than 2.5x and Growth more than 20%</t>
        </is>
      </c>
      <c r="BC3" s="25">
        <f>IF(BB3="P/BV less than 2.5x and Growth more than 20%",20,IF(BB3 = "P/BV less than 2.5x and Growth less than 20%",5,IF(BB3="P/BV between 2.5x to 5x and Growth more than 20%",10,IF(BB3= "P/BV between 2.5x to 5x and Growth less than 20%",-5,IF(BB3= "P/BV above 5x",-5,0)))))</f>
        <v/>
      </c>
      <c r="BD3" s="25" t="inlineStr">
        <is>
          <t>Above 40</t>
        </is>
      </c>
      <c r="BE3" s="25">
        <f>IF(BD3="Above 40",20,IF(BD3="20 to 40",10,IF(BD3="0 to 20",-5,0)))</f>
        <v/>
      </c>
      <c r="BF3" s="25" t="inlineStr">
        <is>
          <t>Above 75</t>
        </is>
      </c>
      <c r="BG3" s="25">
        <f>IF(BF3="Between 50 to 75",10,IF(BF3="Above 75",0,0))</f>
        <v/>
      </c>
      <c r="BH3" s="25" t="inlineStr">
        <is>
          <t>Stage 2</t>
        </is>
      </c>
      <c r="BI3" s="25">
        <f>IF(BH3="Stage 2",20,IF(BH3="Stage 1",0,IF(BH3="Stage 3",5,IF(BH3="Stage 4",-5,0))))</f>
        <v/>
      </c>
      <c r="BJ3" s="25" t="inlineStr">
        <is>
          <t>Positive Trend</t>
        </is>
      </c>
      <c r="BK3" s="25">
        <f>IF(BJ3="Positive Trend",20,IF(BJ3="Negative Trend",-10,0))</f>
        <v/>
      </c>
      <c r="BL3" s="25" t="inlineStr">
        <is>
          <t>Uptrend</t>
        </is>
      </c>
      <c r="BM3" s="25">
        <f>IF(BL3="Uptrend",10,IF(BL3="Sideways",5,0))</f>
        <v/>
      </c>
      <c r="BN3" s="25" t="inlineStr">
        <is>
          <t>Uptrend</t>
        </is>
      </c>
      <c r="BO3" s="25">
        <f>IF(BN3="Uptrend",10,IF(BN3="Sideways",5,0))</f>
        <v/>
      </c>
      <c r="BP3" s="25" t="inlineStr">
        <is>
          <t>Blue sky scenario</t>
        </is>
      </c>
      <c r="BQ3" s="25">
        <f>IF(BP3="Overhead supply in last 2 years in last 2 years",-5,IF(BP3="Close to 52 week high or retracement",5,IF(BP3="Blue sky scenario",10,IF(BP3="Long term Downtrend",-10,0))))</f>
        <v/>
      </c>
      <c r="BR3" s="25" t="inlineStr">
        <is>
          <t>Yes</t>
        </is>
      </c>
      <c r="BS3" s="25">
        <f>IF(BR3="Yes",10,0)</f>
        <v/>
      </c>
    </row>
    <row r="4">
      <c r="A4" s="25">
        <f>IF(B4=0,"",RANK(B4,$B$2:$B$33,0))</f>
        <v/>
      </c>
      <c r="B4" s="26">
        <f>SUM(Q4,S4,U4,W4,Y4,AA4,AC4,AE4,AG4,AI4,AK4,AM4,AO4,AQ4,AS4,AU4,AW4,AY4,BA4,BC4,BE4,BG4,BI4,BK4,BM4,BO4,BQ4,BS4)</f>
        <v/>
      </c>
      <c r="C4" s="25" t="inlineStr">
        <is>
          <t>RBLBANK</t>
        </is>
      </c>
      <c r="D4" s="25" t="inlineStr">
        <is>
          <t>Rbl Bank Limited</t>
        </is>
      </c>
      <c r="E4" s="25" t="inlineStr">
        <is>
          <t>bank</t>
        </is>
      </c>
      <c r="F4" s="25" t="inlineStr">
        <is>
          <t>banks - private sector</t>
        </is>
      </c>
      <c r="G4" s="25" t="inlineStr">
        <is>
          <t>largecap</t>
        </is>
      </c>
      <c r="H4" s="26" t="n">
        <v>20941.61</v>
      </c>
      <c r="I4" s="26" t="n">
        <v>344.15</v>
      </c>
      <c r="J4" s="26" t="n">
        <v>1.58</v>
      </c>
      <c r="K4" s="26" t="n">
        <v>4119267</v>
      </c>
      <c r="L4" s="26" t="n">
        <v>63.08</v>
      </c>
      <c r="M4" s="26" t="n">
        <v>27.24</v>
      </c>
      <c r="N4" s="26" t="n">
        <v>285.41</v>
      </c>
      <c r="O4" s="25" t="inlineStr">
        <is>
          <t>Near 52W High Breakout</t>
        </is>
      </c>
      <c r="P4" s="25" t="inlineStr">
        <is>
          <t>Growing Industry</t>
        </is>
      </c>
      <c r="Q4" s="25">
        <f>IF(P4="Growing Industry",10,IF(P4="Cyclical in an Upturn",5,0))</f>
        <v/>
      </c>
      <c r="R4" s="25" t="inlineStr">
        <is>
          <t>Fragmented with High ROE</t>
        </is>
      </c>
      <c r="S4" s="25">
        <f>IF(R4="Fragmented with Low ROE",-5,IF(R4="Fragmented with High ROE",10,IF(R4= "highly cyclical",5,0)))</f>
        <v/>
      </c>
      <c r="T4" s="25" t="inlineStr">
        <is>
          <t>Yes</t>
        </is>
      </c>
      <c r="U4" s="25">
        <f>IF(T4="No",5,0)</f>
        <v/>
      </c>
      <c r="V4" s="25" t="inlineStr">
        <is>
          <t>Tailwind</t>
        </is>
      </c>
      <c r="W4" s="25">
        <f>IF(V4="Tailwind",10,0)</f>
        <v/>
      </c>
      <c r="X4" s="25" t="inlineStr">
        <is>
          <t>Structural (10 Years Consistency)</t>
        </is>
      </c>
      <c r="Y4" s="25">
        <f>IF(X4="Structural (10 Years Consistency)",15,IF(X4="Shallow Cyclical (2 to 3 years growth)",10,IF(X4 = "Cyclical in an Uptick",5,IF(X4 = "Cyclical in an Downtick",-10,0))))</f>
        <v/>
      </c>
      <c r="Z4" s="25" t="inlineStr">
        <is>
          <t>Yes</t>
        </is>
      </c>
      <c r="AA4" s="25">
        <f>IF(Z4="Yes",10,0)</f>
        <v/>
      </c>
      <c r="AB4" s="25" t="inlineStr">
        <is>
          <t>Yes</t>
        </is>
      </c>
      <c r="AC4" s="25">
        <f>IF(AB4="Yes",10,0)</f>
        <v/>
      </c>
      <c r="AD4" s="25" t="n"/>
      <c r="AE4" s="25">
        <f>IF(AD4="No",10,0)</f>
        <v/>
      </c>
      <c r="AF4" s="25" t="inlineStr">
        <is>
          <t>Yes</t>
        </is>
      </c>
      <c r="AG4" s="25">
        <f>IF(AF4="Yes",10,0)</f>
        <v/>
      </c>
      <c r="AH4" s="25" t="inlineStr">
        <is>
          <t>Yes</t>
        </is>
      </c>
      <c r="AI4" s="25">
        <f>IF(AH4="Yes",10,0)</f>
        <v/>
      </c>
      <c r="AJ4" s="25" t="inlineStr">
        <is>
          <t>Yes</t>
        </is>
      </c>
      <c r="AK4" s="25">
        <f>IF(AJ4="Yes",5,0)</f>
        <v/>
      </c>
      <c r="AL4" s="25" t="inlineStr">
        <is>
          <t>No</t>
        </is>
      </c>
      <c r="AM4" s="25">
        <f>IF(AL4="No",10,IF(AL4="Yes",-10,0))</f>
        <v/>
      </c>
      <c r="AN4" s="25" t="inlineStr">
        <is>
          <t>No</t>
        </is>
      </c>
      <c r="AO4" s="25">
        <f>IF(AN4="No",10,0)</f>
        <v/>
      </c>
      <c r="AP4" s="25" t="inlineStr">
        <is>
          <t>No</t>
        </is>
      </c>
      <c r="AQ4" s="25">
        <f>IF(AP4="No",10,IF(AP4= "Yes CEO Resignation",-5,0))</f>
        <v/>
      </c>
      <c r="AR4" s="25" t="inlineStr">
        <is>
          <t>No</t>
        </is>
      </c>
      <c r="AS4" s="25">
        <f>IF(AR4="No",10,IF(AR4="Yes",-5,0))</f>
        <v/>
      </c>
      <c r="AT4" s="25" t="inlineStr">
        <is>
          <t>No</t>
        </is>
      </c>
      <c r="AU4" s="25">
        <f>IF(AT4="No",5,IF(AT4="Yes",-5,0))</f>
        <v/>
      </c>
      <c r="AV4" s="25" t="inlineStr">
        <is>
          <t>Yes</t>
        </is>
      </c>
      <c r="AW4" s="25">
        <f>IF(AV4="Yes",10,0)</f>
        <v/>
      </c>
      <c r="AX4" s="25" t="inlineStr">
        <is>
          <t>Yes</t>
        </is>
      </c>
      <c r="AY4" s="25">
        <f>IF(AX4="Yes",10,0)</f>
        <v/>
      </c>
      <c r="AZ4" s="25" t="inlineStr">
        <is>
          <t>Yes</t>
        </is>
      </c>
      <c r="BA4" s="25">
        <f>IF(AZ4="Yes",10,0)</f>
        <v/>
      </c>
      <c r="BB4" s="25" t="inlineStr">
        <is>
          <t>P/BV less than 2.5x and Growth more than 20%</t>
        </is>
      </c>
      <c r="BC4" s="25">
        <f>IF(BB4="P/BV less than 2.5x and Growth more than 20%",20,IF(BB4 = "P/BV less than 2.5x and Growth less than 20%",5,IF(BB4="P/BV between 2.5x to 5x and Growth more than 20%",10,IF(BB4= "P/BV between 2.5x to 5x and Growth less than 20%",-5,IF(BB4= "P/BV above 5x",-5,0)))))</f>
        <v/>
      </c>
      <c r="BD4" s="25" t="inlineStr">
        <is>
          <t>20 to 40</t>
        </is>
      </c>
      <c r="BE4" s="25">
        <f>IF(BD4="Above 40",20,IF(BD4="20 to 40",10,IF(BD4="0 to 20",-5,0)))</f>
        <v/>
      </c>
      <c r="BF4" s="25" t="inlineStr">
        <is>
          <t>Between 50 to 75</t>
        </is>
      </c>
      <c r="BG4" s="25">
        <f>IF(BF4="Between 50 to 75",10,IF(BF4="Above 75",0,0))</f>
        <v/>
      </c>
      <c r="BH4" s="25" t="inlineStr">
        <is>
          <t>Stage 2</t>
        </is>
      </c>
      <c r="BI4" s="25">
        <f>IF(BH4="Stage 2",20,IF(BH4="Stage 1",0,IF(BH4="Stage 3",5,IF(BH4="Stage 4",-5,0))))</f>
        <v/>
      </c>
      <c r="BJ4" s="25" t="inlineStr">
        <is>
          <t>Positive Trend</t>
        </is>
      </c>
      <c r="BK4" s="25">
        <f>IF(BJ4="Positive Trend",20,IF(BJ4="Negative Trend",-10,0))</f>
        <v/>
      </c>
      <c r="BL4" s="25" t="inlineStr">
        <is>
          <t>Uptrend</t>
        </is>
      </c>
      <c r="BM4" s="25">
        <f>IF(BL4="Uptrend",10,IF(BL4="Sideways",5,0))</f>
        <v/>
      </c>
      <c r="BN4" s="25" t="inlineStr">
        <is>
          <t>Uptrend</t>
        </is>
      </c>
      <c r="BO4" s="25">
        <f>IF(BN4="Uptrend",10,IF(BN4="Sideways",5,0))</f>
        <v/>
      </c>
      <c r="BP4" s="25" t="inlineStr">
        <is>
          <t>Blue sky scenario</t>
        </is>
      </c>
      <c r="BQ4" s="25">
        <f>IF(BP4="Overhead supply in last 2 years in last 2 years",-5,IF(BP4="Close to 52 week high or retracement",5,IF(BP4="Blue sky scenario",10,IF(BP4="Long term Downtrend",-10,0))))</f>
        <v/>
      </c>
      <c r="BR4" s="25" t="inlineStr">
        <is>
          <t>Yes</t>
        </is>
      </c>
      <c r="BS4" s="25">
        <f>IF(BR4="Yes",10,0)</f>
        <v/>
      </c>
    </row>
    <row r="5">
      <c r="A5" s="25">
        <f>IF(B5=0,"",RANK(B5,$B$2:$B$33,0))</f>
        <v/>
      </c>
      <c r="B5" s="26">
        <f>SUM(Q5,S5,U5,W5,Y5,AA5,AC5,AE5,AG5,AI5,AK5,AM5,AO5,AQ5,AS5,AU5,AW5,AY5,BA5,BC5,BE5,BG5,BI5,BK5,BM5,BO5,BQ5,BS5)</f>
        <v/>
      </c>
      <c r="C5" s="25" t="inlineStr">
        <is>
          <t>TMB</t>
        </is>
      </c>
      <c r="D5" s="25" t="inlineStr">
        <is>
          <t>Tamilnad Mercantile Bank Ltd</t>
        </is>
      </c>
      <c r="E5" s="25" t="inlineStr">
        <is>
          <t>bank</t>
        </is>
      </c>
      <c r="F5" s="25" t="inlineStr">
        <is>
          <t>banks - private sector</t>
        </is>
      </c>
      <c r="G5" s="25" t="inlineStr">
        <is>
          <t>midcap</t>
        </is>
      </c>
      <c r="H5" s="26" t="n">
        <v>11531.94</v>
      </c>
      <c r="I5" s="26" t="n">
        <v>739.75</v>
      </c>
      <c r="J5" s="26" t="n">
        <v>1.58</v>
      </c>
      <c r="K5" s="26" t="n">
        <v>325759</v>
      </c>
      <c r="L5" s="26" t="n">
        <v>65.64</v>
      </c>
      <c r="M5" s="26" t="n">
        <v>29.52</v>
      </c>
      <c r="N5" s="26" t="n">
        <v>582.51</v>
      </c>
      <c r="O5" s="25" t="inlineStr">
        <is>
          <t>Near 52W High Breakout</t>
        </is>
      </c>
      <c r="P5" s="25" t="inlineStr">
        <is>
          <t>Growing Industry</t>
        </is>
      </c>
      <c r="Q5" s="25">
        <f>IF(P5="Growing Industry",10,IF(P5="Cyclical in an Upturn",5,0))</f>
        <v/>
      </c>
      <c r="R5" s="25" t="inlineStr">
        <is>
          <t>Fragmented with High ROE</t>
        </is>
      </c>
      <c r="S5" s="25">
        <f>IF(R5="Fragmented with Low ROE",-5,IF(R5="Fragmented with High ROE",10,IF(R5= "highly cyclical",5,0)))</f>
        <v/>
      </c>
      <c r="T5" s="25" t="inlineStr">
        <is>
          <t>Yes</t>
        </is>
      </c>
      <c r="U5" s="25">
        <f>IF(T5="No",5,0)</f>
        <v/>
      </c>
      <c r="V5" s="25" t="inlineStr">
        <is>
          <t>Tailwind</t>
        </is>
      </c>
      <c r="W5" s="25">
        <f>IF(V5="Tailwind",10,0)</f>
        <v/>
      </c>
      <c r="X5" s="25" t="inlineStr">
        <is>
          <t>Structural (10 Years Consistency)</t>
        </is>
      </c>
      <c r="Y5" s="25">
        <f>IF(X5="Structural (10 Years Consistency)",15,IF(X5="Shallow Cyclical (2 to 3 years growth)",10,IF(X5 = "Cyclical in an Uptick",5,IF(X5 = "Cyclical in an Downtick",-10,0))))</f>
        <v/>
      </c>
      <c r="Z5" s="25" t="inlineStr">
        <is>
          <t>Yes</t>
        </is>
      </c>
      <c r="AA5" s="25">
        <f>IF(Z5="Yes",10,0)</f>
        <v/>
      </c>
      <c r="AB5" s="25" t="inlineStr">
        <is>
          <t>Yes</t>
        </is>
      </c>
      <c r="AC5" s="25">
        <f>IF(AB5="Yes",10,0)</f>
        <v/>
      </c>
      <c r="AD5" s="25" t="n"/>
      <c r="AE5" s="25">
        <f>IF(AD5="No",10,0)</f>
        <v/>
      </c>
      <c r="AF5" s="25" t="inlineStr">
        <is>
          <t>Yes</t>
        </is>
      </c>
      <c r="AG5" s="25">
        <f>IF(AF5="Yes",10,0)</f>
        <v/>
      </c>
      <c r="AH5" s="25" t="inlineStr">
        <is>
          <t>Yes</t>
        </is>
      </c>
      <c r="AI5" s="25">
        <f>IF(AH5="Yes",10,0)</f>
        <v/>
      </c>
      <c r="AJ5" s="25" t="inlineStr">
        <is>
          <t>Yes</t>
        </is>
      </c>
      <c r="AK5" s="25">
        <f>IF(AJ5="Yes",5,0)</f>
        <v/>
      </c>
      <c r="AL5" s="25" t="inlineStr">
        <is>
          <t>No</t>
        </is>
      </c>
      <c r="AM5" s="25">
        <f>IF(AL5="No",10,IF(AL5="Yes",-10,0))</f>
        <v/>
      </c>
      <c r="AN5" s="25" t="inlineStr">
        <is>
          <t>No</t>
        </is>
      </c>
      <c r="AO5" s="25">
        <f>IF(AN5="No",10,0)</f>
        <v/>
      </c>
      <c r="AP5" s="25" t="inlineStr">
        <is>
          <t>No</t>
        </is>
      </c>
      <c r="AQ5" s="25">
        <f>IF(AP5="No",10,IF(AP5= "Yes CEO Resignation",-5,0))</f>
        <v/>
      </c>
      <c r="AR5" s="25" t="inlineStr">
        <is>
          <t>No</t>
        </is>
      </c>
      <c r="AS5" s="25">
        <f>IF(AR5="No",10,IF(AR5="Yes",-5,0))</f>
        <v/>
      </c>
      <c r="AT5" s="25" t="inlineStr">
        <is>
          <t>No</t>
        </is>
      </c>
      <c r="AU5" s="25">
        <f>IF(AT5="No",5,IF(AT5="Yes",-5,0))</f>
        <v/>
      </c>
      <c r="AV5" s="25" t="inlineStr">
        <is>
          <t>Yes</t>
        </is>
      </c>
      <c r="AW5" s="25">
        <f>IF(AV5="Yes",10,0)</f>
        <v/>
      </c>
      <c r="AX5" s="25" t="inlineStr">
        <is>
          <t>Yes</t>
        </is>
      </c>
      <c r="AY5" s="25">
        <f>IF(AX5="Yes",10,0)</f>
        <v/>
      </c>
      <c r="AZ5" s="25" t="inlineStr">
        <is>
          <t>Yes</t>
        </is>
      </c>
      <c r="BA5" s="25">
        <f>IF(AZ5="Yes",10,0)</f>
        <v/>
      </c>
      <c r="BB5" s="25" t="inlineStr">
        <is>
          <t>P/BV less than 2.5x and Growth more than 20%</t>
        </is>
      </c>
      <c r="BC5" s="25">
        <f>IF(BB5="P/BV less than 2.5x and Growth more than 20%",20,IF(BB5 = "P/BV less than 2.5x and Growth less than 20%",5,IF(BB5="P/BV between 2.5x to 5x and Growth more than 20%",10,IF(BB5= "P/BV between 2.5x to 5x and Growth less than 20%",-5,IF(BB5= "P/BV above 5x",-5,0)))))</f>
        <v/>
      </c>
      <c r="BD5" s="25" t="inlineStr">
        <is>
          <t>20 to 40</t>
        </is>
      </c>
      <c r="BE5" s="25">
        <f>IF(BD5="Above 40",20,IF(BD5="20 to 40",10,IF(BD5="0 to 20",-5,0)))</f>
        <v/>
      </c>
      <c r="BF5" s="25" t="inlineStr">
        <is>
          <t>Between 50 to 75</t>
        </is>
      </c>
      <c r="BG5" s="25">
        <f>IF(BF5="Between 50 to 75",10,IF(BF5="Above 75",0,0))</f>
        <v/>
      </c>
      <c r="BH5" s="25" t="inlineStr">
        <is>
          <t>Stage 2</t>
        </is>
      </c>
      <c r="BI5" s="25">
        <f>IF(BH5="Stage 2",20,IF(BH5="Stage 1",0,IF(BH5="Stage 3",5,IF(BH5="Stage 4",-5,0))))</f>
        <v/>
      </c>
      <c r="BJ5" s="25" t="inlineStr">
        <is>
          <t>Positive Trend</t>
        </is>
      </c>
      <c r="BK5" s="25">
        <f>IF(BJ5="Positive Trend",20,IF(BJ5="Negative Trend",-10,0))</f>
        <v/>
      </c>
      <c r="BL5" s="25" t="inlineStr">
        <is>
          <t>Uptrend</t>
        </is>
      </c>
      <c r="BM5" s="25">
        <f>IF(BL5="Uptrend",10,IF(BL5="Sideways",5,0))</f>
        <v/>
      </c>
      <c r="BN5" s="25" t="inlineStr">
        <is>
          <t>Uptrend</t>
        </is>
      </c>
      <c r="BO5" s="25">
        <f>IF(BN5="Uptrend",10,IF(BN5="Sideways",5,0))</f>
        <v/>
      </c>
      <c r="BP5" s="25" t="inlineStr">
        <is>
          <t>Blue sky scenario</t>
        </is>
      </c>
      <c r="BQ5" s="25">
        <f>IF(BP5="Overhead supply in last 2 years in last 2 years",-5,IF(BP5="Close to 52 week high or retracement",5,IF(BP5="Blue sky scenario",10,IF(BP5="Long term Downtrend",-10,0))))</f>
        <v/>
      </c>
      <c r="BR5" s="25" t="inlineStr">
        <is>
          <t>Yes</t>
        </is>
      </c>
      <c r="BS5" s="25">
        <f>IF(BR5="Yes",10,0)</f>
        <v/>
      </c>
    </row>
    <row r="6">
      <c r="A6" s="25">
        <f>IF(B6=0,"",RANK(B6,$B$2:$B$33,0))</f>
        <v/>
      </c>
      <c r="B6" s="26">
        <f>SUM(Q6,S6,U6,W6,Y6,AA6,AC6,AE6,AG6,AI6,AK6,AM6,AO6,AQ6,AS6,AU6,AW6,AY6,BA6,BC6,BE6,BG6,BI6,BK6,BM6,BO6,BQ6,BS6)</f>
        <v/>
      </c>
      <c r="C6" s="25" t="inlineStr">
        <is>
          <t>FEDFINA</t>
        </is>
      </c>
      <c r="D6" s="25" t="inlineStr">
        <is>
          <t>Fedbank Financial Services Ltd</t>
        </is>
      </c>
      <c r="E6" s="25" t="inlineStr">
        <is>
          <t>financials</t>
        </is>
      </c>
      <c r="F6" s="25" t="inlineStr">
        <is>
          <t>finance &amp; investments</t>
        </is>
      </c>
      <c r="G6" s="25" t="inlineStr">
        <is>
          <t>midcap</t>
        </is>
      </c>
      <c r="H6" s="26" t="n">
        <v>5861.94</v>
      </c>
      <c r="I6" s="26" t="n">
        <v>158.53</v>
      </c>
      <c r="J6" s="26" t="n">
        <v>1.2</v>
      </c>
      <c r="K6" s="26" t="n">
        <v>541104</v>
      </c>
      <c r="L6" s="26" t="n">
        <v>62.37</v>
      </c>
      <c r="M6" s="26" t="n">
        <v>21.35</v>
      </c>
      <c r="N6" s="26" t="n">
        <v>124.7</v>
      </c>
      <c r="O6" s="25" t="inlineStr">
        <is>
          <t>Near 52W High Breakout</t>
        </is>
      </c>
      <c r="P6" s="25" t="inlineStr">
        <is>
          <t>Growing Industry</t>
        </is>
      </c>
      <c r="Q6" s="25">
        <f>IF(P6="Growing Industry",10,IF(P6="Cyclical in an Upturn",5,0))</f>
        <v/>
      </c>
      <c r="R6" s="25" t="inlineStr">
        <is>
          <t>Fragmented with High ROE</t>
        </is>
      </c>
      <c r="S6" s="25">
        <f>IF(R6="Fragmented with Low ROE",-5,IF(R6="Fragmented with High ROE",10,IF(R6= "highly cyclical",5,0)))</f>
        <v/>
      </c>
      <c r="T6" s="25" t="inlineStr">
        <is>
          <t>Yes</t>
        </is>
      </c>
      <c r="U6" s="25">
        <f>IF(T6="No",5,0)</f>
        <v/>
      </c>
      <c r="V6" s="25" t="inlineStr">
        <is>
          <t>Tailwind</t>
        </is>
      </c>
      <c r="W6" s="25">
        <f>IF(V6="Tailwind",10,0)</f>
        <v/>
      </c>
      <c r="X6" s="25" t="inlineStr">
        <is>
          <t>Structural (10 Years Consistency)</t>
        </is>
      </c>
      <c r="Y6" s="25">
        <f>IF(X6="Structural (10 Years Consistency)",15,IF(X6="Shallow Cyclical (2 to 3 years growth)",10,IF(X6 = "Cyclical in an Uptick",5,IF(X6 = "Cyclical in an Downtick",-10,0))))</f>
        <v/>
      </c>
      <c r="Z6" s="25" t="inlineStr">
        <is>
          <t>Yes</t>
        </is>
      </c>
      <c r="AA6" s="25">
        <f>IF(Z6="Yes",10,0)</f>
        <v/>
      </c>
      <c r="AB6" s="25" t="inlineStr">
        <is>
          <t>Yes</t>
        </is>
      </c>
      <c r="AC6" s="25">
        <f>IF(AB6="Yes",10,0)</f>
        <v/>
      </c>
      <c r="AD6" s="25" t="n"/>
      <c r="AE6" s="25">
        <f>IF(AD6="No",10,0)</f>
        <v/>
      </c>
      <c r="AF6" s="25" t="inlineStr">
        <is>
          <t>Yes</t>
        </is>
      </c>
      <c r="AG6" s="25">
        <f>IF(AF6="Yes",10,0)</f>
        <v/>
      </c>
      <c r="AH6" s="25" t="inlineStr">
        <is>
          <t>Yes</t>
        </is>
      </c>
      <c r="AI6" s="25">
        <f>IF(AH6="Yes",10,0)</f>
        <v/>
      </c>
      <c r="AJ6" s="25" t="inlineStr">
        <is>
          <t>Yes</t>
        </is>
      </c>
      <c r="AK6" s="25">
        <f>IF(AJ6="Yes",5,0)</f>
        <v/>
      </c>
      <c r="AL6" s="25" t="inlineStr">
        <is>
          <t>No</t>
        </is>
      </c>
      <c r="AM6" s="25">
        <f>IF(AL6="No",10,IF(AL6="Yes",-10,0))</f>
        <v/>
      </c>
      <c r="AN6" s="25" t="inlineStr">
        <is>
          <t>No</t>
        </is>
      </c>
      <c r="AO6" s="25">
        <f>IF(AN6="No",10,0)</f>
        <v/>
      </c>
      <c r="AP6" s="25" t="inlineStr">
        <is>
          <t>No</t>
        </is>
      </c>
      <c r="AQ6" s="25">
        <f>IF(AP6="No",10,IF(AP6= "Yes CEO Resignation",-5,0))</f>
        <v/>
      </c>
      <c r="AR6" s="25" t="inlineStr">
        <is>
          <t>No</t>
        </is>
      </c>
      <c r="AS6" s="25">
        <f>IF(AR6="No",10,IF(AR6="Yes",-5,0))</f>
        <v/>
      </c>
      <c r="AT6" s="25" t="inlineStr">
        <is>
          <t>No</t>
        </is>
      </c>
      <c r="AU6" s="25">
        <f>IF(AT6="No",5,IF(AT6="Yes",-5,0))</f>
        <v/>
      </c>
      <c r="AV6" s="25" t="inlineStr">
        <is>
          <t>Yes</t>
        </is>
      </c>
      <c r="AW6" s="25">
        <f>IF(AV6="Yes",10,0)</f>
        <v/>
      </c>
      <c r="AX6" s="25" t="inlineStr">
        <is>
          <t>Yes</t>
        </is>
      </c>
      <c r="AY6" s="25">
        <f>IF(AX6="Yes",10,0)</f>
        <v/>
      </c>
      <c r="AZ6" s="25" t="inlineStr">
        <is>
          <t>Yes</t>
        </is>
      </c>
      <c r="BA6" s="25">
        <f>IF(AZ6="Yes",10,0)</f>
        <v/>
      </c>
      <c r="BB6" s="25" t="inlineStr">
        <is>
          <t>P/BV less than 2.5x and Growth more than 20%</t>
        </is>
      </c>
      <c r="BC6" s="25">
        <f>IF(BB6="P/BV less than 2.5x and Growth more than 20%",20,IF(BB6 = "P/BV less than 2.5x and Growth less than 20%",5,IF(BB6="P/BV between 2.5x to 5x and Growth more than 20%",10,IF(BB6= "P/BV between 2.5x to 5x and Growth less than 20%",-5,IF(BB6= "P/BV above 5x",-5,0)))))</f>
        <v/>
      </c>
      <c r="BD6" s="25" t="inlineStr">
        <is>
          <t>20 to 40</t>
        </is>
      </c>
      <c r="BE6" s="25">
        <f>IF(BD6="Above 40",20,IF(BD6="20 to 40",10,IF(BD6="0 to 20",-5,0)))</f>
        <v/>
      </c>
      <c r="BF6" s="25" t="inlineStr">
        <is>
          <t>Between 50 to 75</t>
        </is>
      </c>
      <c r="BG6" s="25">
        <f>IF(BF6="Between 50 to 75",10,IF(BF6="Above 75",0,0))</f>
        <v/>
      </c>
      <c r="BH6" s="25" t="inlineStr">
        <is>
          <t>Stage 2</t>
        </is>
      </c>
      <c r="BI6" s="25">
        <f>IF(BH6="Stage 2",20,IF(BH6="Stage 1",0,IF(BH6="Stage 3",5,IF(BH6="Stage 4",-5,0))))</f>
        <v/>
      </c>
      <c r="BJ6" s="25" t="inlineStr">
        <is>
          <t>Positive Trend</t>
        </is>
      </c>
      <c r="BK6" s="25">
        <f>IF(BJ6="Positive Trend",20,IF(BJ6="Negative Trend",-10,0))</f>
        <v/>
      </c>
      <c r="BL6" s="25" t="inlineStr">
        <is>
          <t>Uptrend</t>
        </is>
      </c>
      <c r="BM6" s="25">
        <f>IF(BL6="Uptrend",10,IF(BL6="Sideways",5,0))</f>
        <v/>
      </c>
      <c r="BN6" s="25" t="inlineStr">
        <is>
          <t>Uptrend</t>
        </is>
      </c>
      <c r="BO6" s="25">
        <f>IF(BN6="Uptrend",10,IF(BN6="Sideways",5,0))</f>
        <v/>
      </c>
      <c r="BP6" s="25" t="inlineStr">
        <is>
          <t>Blue sky scenario</t>
        </is>
      </c>
      <c r="BQ6" s="25">
        <f>IF(BP6="Overhead supply in last 2 years in last 2 years",-5,IF(BP6="Close to 52 week high or retracement",5,IF(BP6="Blue sky scenario",10,IF(BP6="Long term Downtrend",-10,0))))</f>
        <v/>
      </c>
      <c r="BR6" s="25" t="inlineStr">
        <is>
          <t>Yes</t>
        </is>
      </c>
      <c r="BS6" s="25">
        <f>IF(BR6="Yes",10,0)</f>
        <v/>
      </c>
    </row>
    <row r="7">
      <c r="A7" s="25">
        <f>IF(B7=0,"",RANK(B7,$B$2:$B$33,0))</f>
        <v/>
      </c>
      <c r="B7" s="26">
        <f>SUM(Q7,S7,U7,W7,Y7,AA7,AC7,AE7,AG7,AI7,AK7,AM7,AO7,AQ7,AS7,AU7,AW7,AY7,BA7,BC7,BE7,BG7,BI7,BK7,BM7,BO7,BQ7,BS7)</f>
        <v/>
      </c>
      <c r="C7" s="25" t="inlineStr">
        <is>
          <t>BANDHANBNK</t>
        </is>
      </c>
      <c r="D7" s="25" t="inlineStr">
        <is>
          <t>Bandhan Bank Ltd</t>
        </is>
      </c>
      <c r="E7" s="25" t="inlineStr">
        <is>
          <t>bank</t>
        </is>
      </c>
      <c r="F7" s="25" t="inlineStr">
        <is>
          <t>banks - private sector</t>
        </is>
      </c>
      <c r="G7" s="25" t="inlineStr">
        <is>
          <t>largecap</t>
        </is>
      </c>
      <c r="H7" s="26" t="n">
        <v>33369.68</v>
      </c>
      <c r="I7" s="26" t="n">
        <v>206.33</v>
      </c>
      <c r="J7" s="26" t="n">
        <v>-0.39</v>
      </c>
      <c r="K7" s="26" t="n">
        <v>7625242</v>
      </c>
      <c r="L7" s="26" t="n">
        <v>65.18000000000001</v>
      </c>
      <c r="M7" s="26" t="n">
        <v>28.23</v>
      </c>
      <c r="N7" s="26" t="n">
        <v>168.05</v>
      </c>
      <c r="O7" s="25" t="inlineStr">
        <is>
          <t>Near 52W High Breakout</t>
        </is>
      </c>
      <c r="P7" s="25" t="inlineStr">
        <is>
          <t>Growing Industry</t>
        </is>
      </c>
      <c r="Q7" s="25">
        <f>IF(P7="Growing Industry",10,IF(P7="Cyclical in an Upturn",5,0))</f>
        <v/>
      </c>
      <c r="R7" s="25" t="inlineStr">
        <is>
          <t>Fragmented with High ROE</t>
        </is>
      </c>
      <c r="S7" s="25">
        <f>IF(R7="Fragmented with Low ROE",-5,IF(R7="Fragmented with High ROE",10,IF(R7= "highly cyclical",5,0)))</f>
        <v/>
      </c>
      <c r="T7" s="25" t="inlineStr">
        <is>
          <t>Yes</t>
        </is>
      </c>
      <c r="U7" s="25">
        <f>IF(T7="No",5,0)</f>
        <v/>
      </c>
      <c r="V7" s="25" t="inlineStr">
        <is>
          <t>Tailwind</t>
        </is>
      </c>
      <c r="W7" s="25">
        <f>IF(V7="Tailwind",10,0)</f>
        <v/>
      </c>
      <c r="X7" s="25" t="inlineStr">
        <is>
          <t>Structural (10 Years Consistency)</t>
        </is>
      </c>
      <c r="Y7" s="25">
        <f>IF(X7="Structural (10 Years Consistency)",15,IF(X7="Shallow Cyclical (2 to 3 years growth)",10,IF(X7 = "Cyclical in an Uptick",5,IF(X7 = "Cyclical in an Downtick",-10,0))))</f>
        <v/>
      </c>
      <c r="Z7" s="25" t="inlineStr">
        <is>
          <t>Yes</t>
        </is>
      </c>
      <c r="AA7" s="25">
        <f>IF(Z7="Yes",10,0)</f>
        <v/>
      </c>
      <c r="AB7" s="25" t="inlineStr">
        <is>
          <t>Yes</t>
        </is>
      </c>
      <c r="AC7" s="25">
        <f>IF(AB7="Yes",10,0)</f>
        <v/>
      </c>
      <c r="AD7" s="25" t="n"/>
      <c r="AE7" s="25">
        <f>IF(AD7="No",10,0)</f>
        <v/>
      </c>
      <c r="AF7" s="25" t="inlineStr">
        <is>
          <t>Yes</t>
        </is>
      </c>
      <c r="AG7" s="25">
        <f>IF(AF7="Yes",10,0)</f>
        <v/>
      </c>
      <c r="AH7" s="25" t="inlineStr">
        <is>
          <t>Yes</t>
        </is>
      </c>
      <c r="AI7" s="25">
        <f>IF(AH7="Yes",10,0)</f>
        <v/>
      </c>
      <c r="AJ7" s="25" t="inlineStr">
        <is>
          <t>Yes</t>
        </is>
      </c>
      <c r="AK7" s="25">
        <f>IF(AJ7="Yes",5,0)</f>
        <v/>
      </c>
      <c r="AL7" s="25" t="inlineStr">
        <is>
          <t>No</t>
        </is>
      </c>
      <c r="AM7" s="25">
        <f>IF(AL7="No",10,IF(AL7="Yes",-10,0))</f>
        <v/>
      </c>
      <c r="AN7" s="25" t="inlineStr">
        <is>
          <t>No</t>
        </is>
      </c>
      <c r="AO7" s="25">
        <f>IF(AN7="No",10,0)</f>
        <v/>
      </c>
      <c r="AP7" s="25" t="inlineStr">
        <is>
          <t>No</t>
        </is>
      </c>
      <c r="AQ7" s="25">
        <f>IF(AP7="No",10,IF(AP7= "Yes CEO Resignation",-5,0))</f>
        <v/>
      </c>
      <c r="AR7" s="25" t="inlineStr">
        <is>
          <t>No</t>
        </is>
      </c>
      <c r="AS7" s="25">
        <f>IF(AR7="No",10,IF(AR7="Yes",-5,0))</f>
        <v/>
      </c>
      <c r="AT7" s="25" t="inlineStr">
        <is>
          <t>No</t>
        </is>
      </c>
      <c r="AU7" s="25">
        <f>IF(AT7="No",5,IF(AT7="Yes",-5,0))</f>
        <v/>
      </c>
      <c r="AV7" s="25" t="inlineStr">
        <is>
          <t>Yes</t>
        </is>
      </c>
      <c r="AW7" s="25">
        <f>IF(AV7="Yes",10,0)</f>
        <v/>
      </c>
      <c r="AX7" s="25" t="inlineStr">
        <is>
          <t>Yes</t>
        </is>
      </c>
      <c r="AY7" s="25">
        <f>IF(AX7="Yes",10,0)</f>
        <v/>
      </c>
      <c r="AZ7" s="25" t="inlineStr">
        <is>
          <t>Yes</t>
        </is>
      </c>
      <c r="BA7" s="25">
        <f>IF(AZ7="Yes",10,0)</f>
        <v/>
      </c>
      <c r="BB7" s="25" t="inlineStr">
        <is>
          <t>P/BV less than 2.5x and Growth more than 20%</t>
        </is>
      </c>
      <c r="BC7" s="25">
        <f>IF(BB7="P/BV less than 2.5x and Growth more than 20%",20,IF(BB7 = "P/BV less than 2.5x and Growth less than 20%",5,IF(BB7="P/BV between 2.5x to 5x and Growth more than 20%",10,IF(BB7= "P/BV between 2.5x to 5x and Growth less than 20%",-5,IF(BB7= "P/BV above 5x",-5,0)))))</f>
        <v/>
      </c>
      <c r="BD7" s="25" t="inlineStr">
        <is>
          <t>20 to 40</t>
        </is>
      </c>
      <c r="BE7" s="25">
        <f>IF(BD7="Above 40",20,IF(BD7="20 to 40",10,IF(BD7="0 to 20",-5,0)))</f>
        <v/>
      </c>
      <c r="BF7" s="25" t="inlineStr">
        <is>
          <t>Between 50 to 75</t>
        </is>
      </c>
      <c r="BG7" s="25">
        <f>IF(BF7="Between 50 to 75",10,IF(BF7="Above 75",0,0))</f>
        <v/>
      </c>
      <c r="BH7" s="25" t="inlineStr">
        <is>
          <t>Stage 2</t>
        </is>
      </c>
      <c r="BI7" s="25">
        <f>IF(BH7="Stage 2",20,IF(BH7="Stage 1",0,IF(BH7="Stage 3",5,IF(BH7="Stage 4",-5,0))))</f>
        <v/>
      </c>
      <c r="BJ7" s="25" t="inlineStr">
        <is>
          <t>Positive Trend</t>
        </is>
      </c>
      <c r="BK7" s="25">
        <f>IF(BJ7="Positive Trend",20,IF(BJ7="Negative Trend",-10,0))</f>
        <v/>
      </c>
      <c r="BL7" s="25" t="inlineStr">
        <is>
          <t>Uptrend</t>
        </is>
      </c>
      <c r="BM7" s="25">
        <f>IF(BL7="Uptrend",10,IF(BL7="Sideways",5,0))</f>
        <v/>
      </c>
      <c r="BN7" s="25" t="inlineStr">
        <is>
          <t>Uptrend</t>
        </is>
      </c>
      <c r="BO7" s="25">
        <f>IF(BN7="Uptrend",10,IF(BN7="Sideways",5,0))</f>
        <v/>
      </c>
      <c r="BP7" s="25" t="inlineStr">
        <is>
          <t>Blue sky scenario</t>
        </is>
      </c>
      <c r="BQ7" s="25">
        <f>IF(BP7="Overhead supply in last 2 years in last 2 years",-5,IF(BP7="Close to 52 week high or retracement",5,IF(BP7="Blue sky scenario",10,IF(BP7="Long term Downtrend",-10,0))))</f>
        <v/>
      </c>
      <c r="BR7" s="25" t="inlineStr">
        <is>
          <t>Yes</t>
        </is>
      </c>
      <c r="BS7" s="25">
        <f>IF(BR7="Yes",10,0)</f>
        <v/>
      </c>
    </row>
    <row r="8">
      <c r="A8" s="25">
        <f>IF(B8=0,"",RANK(B8,$B$2:$B$33,0))</f>
        <v/>
      </c>
      <c r="B8" s="26">
        <f>SUM(Q8,S8,U8,W8,Y8,AA8,AC8,AE8,AG8,AI8,AK8,AM8,AO8,AQ8,AS8,AU8,AW8,AY8,BA8,BC8,BE8,BG8,BI8,BK8,BM8,BO8,BQ8,BS8)</f>
        <v/>
      </c>
      <c r="C8" s="25" t="inlineStr">
        <is>
          <t>NORTHARC</t>
        </is>
      </c>
      <c r="D8" s="25" t="inlineStr">
        <is>
          <t>Northern ARC Capital Ltd</t>
        </is>
      </c>
      <c r="E8" s="25" t="inlineStr">
        <is>
          <t>financials</t>
        </is>
      </c>
      <c r="F8" s="25" t="inlineStr">
        <is>
          <t>finance &amp; investments</t>
        </is>
      </c>
      <c r="G8" s="25" t="inlineStr">
        <is>
          <t>smallcap</t>
        </is>
      </c>
      <c r="H8" s="26" t="n">
        <v>4492.51</v>
      </c>
      <c r="I8" s="26" t="n">
        <v>287.4</v>
      </c>
      <c r="J8" s="26" t="n">
        <v>3.36</v>
      </c>
      <c r="K8" s="26" t="n">
        <v>505151</v>
      </c>
      <c r="L8" s="26" t="n">
        <v>62.61</v>
      </c>
      <c r="M8" s="26" t="n">
        <v>28.82</v>
      </c>
      <c r="N8" s="26" t="n">
        <v>221.47</v>
      </c>
      <c r="O8" s="25" t="inlineStr">
        <is>
          <t>Near 52W High Breakout</t>
        </is>
      </c>
      <c r="P8" s="25" t="inlineStr">
        <is>
          <t>Growing Industry</t>
        </is>
      </c>
      <c r="Q8" s="25">
        <f>IF(P8="Growing Industry",10,IF(P8="Cyclical in an Upturn",5,0))</f>
        <v/>
      </c>
      <c r="R8" s="25" t="inlineStr">
        <is>
          <t>Fragmented with High ROE</t>
        </is>
      </c>
      <c r="S8" s="25">
        <f>IF(R8="Fragmented with Low ROE",-5,IF(R8="Fragmented with High ROE",10,IF(R8= "highly cyclical",5,0)))</f>
        <v/>
      </c>
      <c r="T8" s="25" t="inlineStr">
        <is>
          <t>Yes</t>
        </is>
      </c>
      <c r="U8" s="25">
        <f>IF(T8="No",5,0)</f>
        <v/>
      </c>
      <c r="V8" s="25" t="inlineStr">
        <is>
          <t>Tailwind</t>
        </is>
      </c>
      <c r="W8" s="25">
        <f>IF(V8="Tailwind",10,0)</f>
        <v/>
      </c>
      <c r="X8" s="25" t="inlineStr">
        <is>
          <t>Structural (10 Years Consistency)</t>
        </is>
      </c>
      <c r="Y8" s="25">
        <f>IF(X8="Structural (10 Years Consistency)",15,IF(X8="Shallow Cyclical (2 to 3 years growth)",10,IF(X8 = "Cyclical in an Uptick",5,IF(X8 = "Cyclical in an Downtick",-10,0))))</f>
        <v/>
      </c>
      <c r="Z8" s="25" t="inlineStr">
        <is>
          <t>Yes</t>
        </is>
      </c>
      <c r="AA8" s="25">
        <f>IF(Z8="Yes",10,0)</f>
        <v/>
      </c>
      <c r="AB8" s="25" t="inlineStr">
        <is>
          <t>Yes</t>
        </is>
      </c>
      <c r="AC8" s="25">
        <f>IF(AB8="Yes",10,0)</f>
        <v/>
      </c>
      <c r="AD8" s="25" t="n"/>
      <c r="AE8" s="25">
        <f>IF(AD8="No",10,0)</f>
        <v/>
      </c>
      <c r="AF8" s="25" t="inlineStr">
        <is>
          <t>Yes</t>
        </is>
      </c>
      <c r="AG8" s="25">
        <f>IF(AF8="Yes",10,0)</f>
        <v/>
      </c>
      <c r="AH8" s="25" t="inlineStr">
        <is>
          <t>Yes</t>
        </is>
      </c>
      <c r="AI8" s="25">
        <f>IF(AH8="Yes",10,0)</f>
        <v/>
      </c>
      <c r="AJ8" s="25" t="inlineStr">
        <is>
          <t>Yes</t>
        </is>
      </c>
      <c r="AK8" s="25">
        <f>IF(AJ8="Yes",5,0)</f>
        <v/>
      </c>
      <c r="AL8" s="25" t="inlineStr">
        <is>
          <t>No</t>
        </is>
      </c>
      <c r="AM8" s="25">
        <f>IF(AL8="No",10,IF(AL8="Yes",-10,0))</f>
        <v/>
      </c>
      <c r="AN8" s="25" t="inlineStr">
        <is>
          <t>No</t>
        </is>
      </c>
      <c r="AO8" s="25">
        <f>IF(AN8="No",10,0)</f>
        <v/>
      </c>
      <c r="AP8" s="25" t="inlineStr">
        <is>
          <t>No</t>
        </is>
      </c>
      <c r="AQ8" s="25">
        <f>IF(AP8="No",10,IF(AP8= "Yes CEO Resignation",-5,0))</f>
        <v/>
      </c>
      <c r="AR8" s="25" t="inlineStr">
        <is>
          <t>No</t>
        </is>
      </c>
      <c r="AS8" s="25">
        <f>IF(AR8="No",10,IF(AR8="Yes",-5,0))</f>
        <v/>
      </c>
      <c r="AT8" s="25" t="inlineStr">
        <is>
          <t>No</t>
        </is>
      </c>
      <c r="AU8" s="25">
        <f>IF(AT8="No",5,IF(AT8="Yes",-5,0))</f>
        <v/>
      </c>
      <c r="AV8" s="25" t="inlineStr">
        <is>
          <t>Yes</t>
        </is>
      </c>
      <c r="AW8" s="25">
        <f>IF(AV8="Yes",10,0)</f>
        <v/>
      </c>
      <c r="AX8" s="25" t="inlineStr">
        <is>
          <t>Yes</t>
        </is>
      </c>
      <c r="AY8" s="25">
        <f>IF(AX8="Yes",10,0)</f>
        <v/>
      </c>
      <c r="AZ8" s="25" t="inlineStr">
        <is>
          <t>Yes</t>
        </is>
      </c>
      <c r="BA8" s="25">
        <f>IF(AZ8="Yes",10,0)</f>
        <v/>
      </c>
      <c r="BB8" s="25" t="inlineStr">
        <is>
          <t>P/BV less than 2.5x and Growth more than 20%</t>
        </is>
      </c>
      <c r="BC8" s="25">
        <f>IF(BB8="P/BV less than 2.5x and Growth more than 20%",20,IF(BB8 = "P/BV less than 2.5x and Growth less than 20%",5,IF(BB8="P/BV between 2.5x to 5x and Growth more than 20%",10,IF(BB8= "P/BV between 2.5x to 5x and Growth less than 20%",-5,IF(BB8= "P/BV above 5x",-5,0)))))</f>
        <v/>
      </c>
      <c r="BD8" s="25" t="inlineStr">
        <is>
          <t>20 to 40</t>
        </is>
      </c>
      <c r="BE8" s="25">
        <f>IF(BD8="Above 40",20,IF(BD8="20 to 40",10,IF(BD8="0 to 20",-5,0)))</f>
        <v/>
      </c>
      <c r="BF8" s="25" t="inlineStr">
        <is>
          <t>Between 50 to 75</t>
        </is>
      </c>
      <c r="BG8" s="25">
        <f>IF(BF8="Between 50 to 75",10,IF(BF8="Above 75",0,0))</f>
        <v/>
      </c>
      <c r="BH8" s="25" t="inlineStr">
        <is>
          <t>Stage 2</t>
        </is>
      </c>
      <c r="BI8" s="25">
        <f>IF(BH8="Stage 2",20,IF(BH8="Stage 1",0,IF(BH8="Stage 3",5,IF(BH8="Stage 4",-5,0))))</f>
        <v/>
      </c>
      <c r="BJ8" s="25" t="inlineStr">
        <is>
          <t>Positive Trend</t>
        </is>
      </c>
      <c r="BK8" s="25">
        <f>IF(BJ8="Positive Trend",20,IF(BJ8="Negative Trend",-10,0))</f>
        <v/>
      </c>
      <c r="BL8" s="25" t="inlineStr">
        <is>
          <t>Uptrend</t>
        </is>
      </c>
      <c r="BM8" s="25">
        <f>IF(BL8="Uptrend",10,IF(BL8="Sideways",5,0))</f>
        <v/>
      </c>
      <c r="BN8" s="25" t="inlineStr">
        <is>
          <t>Uptrend</t>
        </is>
      </c>
      <c r="BO8" s="25">
        <f>IF(BN8="Uptrend",10,IF(BN8="Sideways",5,0))</f>
        <v/>
      </c>
      <c r="BP8" s="25" t="inlineStr">
        <is>
          <t>Close to 52 week high or retracement</t>
        </is>
      </c>
      <c r="BQ8" s="25">
        <f>IF(BP8="Overhead supply in last 2 years in last 2 years",-5,IF(BP8="Close to 52 week high or retracement",5,IF(BP8="Blue sky scenario",10,IF(BP8="Long term Downtrend",-10,0))))</f>
        <v/>
      </c>
      <c r="BR8" s="25" t="inlineStr">
        <is>
          <t>Yes</t>
        </is>
      </c>
      <c r="BS8" s="25">
        <f>IF(BR8="Yes",10,0)</f>
        <v/>
      </c>
    </row>
    <row r="9">
      <c r="A9" s="25">
        <f>IF(B9=0,"",RANK(B9,$B$2:$B$33,0))</f>
        <v/>
      </c>
      <c r="B9" s="26">
        <f>SUM(Q9,S9,U9,W9,Y9,AA9,AC9,AE9,AG9,AI9,AK9,AM9,AO9,AQ9,AS9,AU9,AW9,AY9,BA9,BC9,BE9,BG9,BI9,BK9,BM9,BO9,BQ9,BS9)</f>
        <v/>
      </c>
      <c r="C9" s="25" t="inlineStr">
        <is>
          <t>DHANBANK</t>
        </is>
      </c>
      <c r="D9" s="25" t="inlineStr">
        <is>
          <t>Dhanlaxmi Bank Limited</t>
        </is>
      </c>
      <c r="E9" s="25" t="inlineStr">
        <is>
          <t>bank</t>
        </is>
      </c>
      <c r="F9" s="25" t="inlineStr">
        <is>
          <t>banks - private sector</t>
        </is>
      </c>
      <c r="G9" s="25" t="inlineStr">
        <is>
          <t>smallcap</t>
        </is>
      </c>
      <c r="H9" s="26" t="n">
        <v>1323.03</v>
      </c>
      <c r="I9" s="26" t="n">
        <v>33.72</v>
      </c>
      <c r="J9" s="26" t="n">
        <v>0.6</v>
      </c>
      <c r="K9" s="26" t="n">
        <v>1347739</v>
      </c>
      <c r="L9" s="26" t="n">
        <v>70.73</v>
      </c>
      <c r="M9" s="26" t="n">
        <v>28.72</v>
      </c>
      <c r="N9" s="26" t="n">
        <v>25.95</v>
      </c>
      <c r="O9" s="25" t="inlineStr">
        <is>
          <t>Near 52W High Breakout</t>
        </is>
      </c>
      <c r="P9" s="25" t="inlineStr">
        <is>
          <t>Growing Industry</t>
        </is>
      </c>
      <c r="Q9" s="25">
        <f>IF(P9="Growing Industry",10,IF(P9="Cyclical in an Upturn",5,0))</f>
        <v/>
      </c>
      <c r="R9" s="25" t="inlineStr">
        <is>
          <t>Fragmented with High ROE</t>
        </is>
      </c>
      <c r="S9" s="25">
        <f>IF(R9="Fragmented with Low ROE",-5,IF(R9="Fragmented with High ROE",10,IF(R9= "highly cyclical",5,0)))</f>
        <v/>
      </c>
      <c r="T9" s="25" t="inlineStr">
        <is>
          <t>Yes</t>
        </is>
      </c>
      <c r="U9" s="25">
        <f>IF(T9="No",5,0)</f>
        <v/>
      </c>
      <c r="V9" s="25" t="inlineStr">
        <is>
          <t>Tailwind</t>
        </is>
      </c>
      <c r="W9" s="25">
        <f>IF(V9="Tailwind",10,0)</f>
        <v/>
      </c>
      <c r="X9" s="25" t="inlineStr">
        <is>
          <t>Structural (10 Years Consistency)</t>
        </is>
      </c>
      <c r="Y9" s="25">
        <f>IF(X9="Structural (10 Years Consistency)",15,IF(X9="Shallow Cyclical (2 to 3 years growth)",10,IF(X9 = "Cyclical in an Uptick",5,IF(X9 = "Cyclical in an Downtick",-10,0))))</f>
        <v/>
      </c>
      <c r="Z9" s="25" t="inlineStr">
        <is>
          <t>Yes</t>
        </is>
      </c>
      <c r="AA9" s="25">
        <f>IF(Z9="Yes",10,0)</f>
        <v/>
      </c>
      <c r="AB9" s="25" t="inlineStr">
        <is>
          <t>Yes</t>
        </is>
      </c>
      <c r="AC9" s="25">
        <f>IF(AB9="Yes",10,0)</f>
        <v/>
      </c>
      <c r="AD9" s="25" t="n"/>
      <c r="AE9" s="25">
        <f>IF(AD9="No",10,0)</f>
        <v/>
      </c>
      <c r="AF9" s="25" t="inlineStr">
        <is>
          <t>Yes</t>
        </is>
      </c>
      <c r="AG9" s="25">
        <f>IF(AF9="Yes",10,0)</f>
        <v/>
      </c>
      <c r="AH9" s="25" t="inlineStr">
        <is>
          <t>Yes</t>
        </is>
      </c>
      <c r="AI9" s="25">
        <f>IF(AH9="Yes",10,0)</f>
        <v/>
      </c>
      <c r="AJ9" s="25" t="inlineStr">
        <is>
          <t>Yes</t>
        </is>
      </c>
      <c r="AK9" s="25">
        <f>IF(AJ9="Yes",5,0)</f>
        <v/>
      </c>
      <c r="AL9" s="25" t="inlineStr">
        <is>
          <t>No</t>
        </is>
      </c>
      <c r="AM9" s="25">
        <f>IF(AL9="No",10,IF(AL9="Yes",-10,0))</f>
        <v/>
      </c>
      <c r="AN9" s="25" t="inlineStr">
        <is>
          <t>No</t>
        </is>
      </c>
      <c r="AO9" s="25">
        <f>IF(AN9="No",10,0)</f>
        <v/>
      </c>
      <c r="AP9" s="25" t="inlineStr">
        <is>
          <t>No</t>
        </is>
      </c>
      <c r="AQ9" s="25">
        <f>IF(AP9="No",10,IF(AP9= "Yes CEO Resignation",-5,0))</f>
        <v/>
      </c>
      <c r="AR9" s="25" t="inlineStr">
        <is>
          <t>No</t>
        </is>
      </c>
      <c r="AS9" s="25">
        <f>IF(AR9="No",10,IF(AR9="Yes",-5,0))</f>
        <v/>
      </c>
      <c r="AT9" s="25" t="inlineStr">
        <is>
          <t>No</t>
        </is>
      </c>
      <c r="AU9" s="25">
        <f>IF(AT9="No",5,IF(AT9="Yes",-5,0))</f>
        <v/>
      </c>
      <c r="AV9" s="25" t="inlineStr">
        <is>
          <t>Yes</t>
        </is>
      </c>
      <c r="AW9" s="25">
        <f>IF(AV9="Yes",10,0)</f>
        <v/>
      </c>
      <c r="AX9" s="25" t="inlineStr">
        <is>
          <t>Yes</t>
        </is>
      </c>
      <c r="AY9" s="25">
        <f>IF(AX9="Yes",10,0)</f>
        <v/>
      </c>
      <c r="AZ9" s="25" t="inlineStr">
        <is>
          <t>Yes</t>
        </is>
      </c>
      <c r="BA9" s="25">
        <f>IF(AZ9="Yes",10,0)</f>
        <v/>
      </c>
      <c r="BB9" s="25" t="inlineStr">
        <is>
          <t>P/BV less than 2.5x and Growth more than 20%</t>
        </is>
      </c>
      <c r="BC9" s="25">
        <f>IF(BB9="P/BV less than 2.5x and Growth more than 20%",20,IF(BB9 = "P/BV less than 2.5x and Growth less than 20%",5,IF(BB9="P/BV between 2.5x to 5x and Growth more than 20%",10,IF(BB9= "P/BV between 2.5x to 5x and Growth less than 20%",-5,IF(BB9= "P/BV above 5x",-5,0)))))</f>
        <v/>
      </c>
      <c r="BD9" s="25" t="inlineStr">
        <is>
          <t>20 to 40</t>
        </is>
      </c>
      <c r="BE9" s="25">
        <f>IF(BD9="Above 40",20,IF(BD9="20 to 40",10,IF(BD9="0 to 20",-5,0)))</f>
        <v/>
      </c>
      <c r="BF9" s="25" t="inlineStr">
        <is>
          <t>Between 50 to 75</t>
        </is>
      </c>
      <c r="BG9" s="25">
        <f>IF(BF9="Between 50 to 75",10,IF(BF9="Above 75",0,0))</f>
        <v/>
      </c>
      <c r="BH9" s="25" t="inlineStr">
        <is>
          <t>Stage 2</t>
        </is>
      </c>
      <c r="BI9" s="25">
        <f>IF(BH9="Stage 2",20,IF(BH9="Stage 1",0,IF(BH9="Stage 3",5,IF(BH9="Stage 4",-5,0))))</f>
        <v/>
      </c>
      <c r="BJ9" s="25" t="inlineStr">
        <is>
          <t>Positive Trend</t>
        </is>
      </c>
      <c r="BK9" s="25">
        <f>IF(BJ9="Positive Trend",20,IF(BJ9="Negative Trend",-10,0))</f>
        <v/>
      </c>
      <c r="BL9" s="25" t="inlineStr">
        <is>
          <t>Uptrend</t>
        </is>
      </c>
      <c r="BM9" s="25">
        <f>IF(BL9="Uptrend",10,IF(BL9="Sideways",5,0))</f>
        <v/>
      </c>
      <c r="BN9" s="25" t="inlineStr">
        <is>
          <t>Uptrend</t>
        </is>
      </c>
      <c r="BO9" s="25">
        <f>IF(BN9="Uptrend",10,IF(BN9="Sideways",5,0))</f>
        <v/>
      </c>
      <c r="BP9" s="25" t="inlineStr">
        <is>
          <t>Close to 52 week high or retracement</t>
        </is>
      </c>
      <c r="BQ9" s="25">
        <f>IF(BP9="Overhead supply in last 2 years in last 2 years",-5,IF(BP9="Close to 52 week high or retracement",5,IF(BP9="Blue sky scenario",10,IF(BP9="Long term Downtrend",-10,0))))</f>
        <v/>
      </c>
      <c r="BR9" s="25" t="inlineStr">
        <is>
          <t>Yes</t>
        </is>
      </c>
      <c r="BS9" s="25">
        <f>IF(BR9="Yes",10,0)</f>
        <v/>
      </c>
    </row>
    <row r="10">
      <c r="A10" s="25">
        <f>IF(B10=0,"",RANK(B10,$B$2:$B$33,0))</f>
        <v/>
      </c>
      <c r="B10" s="26">
        <f>SUM(Q10,S10,U10,W10,Y10,AA10,AC10,AE10,AG10,AI10,AK10,AM10,AO10,AQ10,AS10,AU10,AW10,AY10,BA10,BC10,BE10,BG10,BI10,BK10,BM10,BO10,BQ10,BS10)</f>
        <v/>
      </c>
      <c r="C10" s="25" t="inlineStr">
        <is>
          <t>J&amp;KBANK</t>
        </is>
      </c>
      <c r="D10" s="25" t="inlineStr">
        <is>
          <t>The Jammu &amp; Kashmir Bank Limited</t>
        </is>
      </c>
      <c r="E10" s="25" t="inlineStr">
        <is>
          <t>bank</t>
        </is>
      </c>
      <c r="F10" s="25" t="inlineStr">
        <is>
          <t>banks - private sector</t>
        </is>
      </c>
      <c r="G10" s="25" t="inlineStr">
        <is>
          <t>midcap</t>
        </is>
      </c>
      <c r="H10" s="26" t="n">
        <v>15611.46</v>
      </c>
      <c r="I10" s="26" t="n">
        <v>141.92</v>
      </c>
      <c r="J10" s="26" t="n">
        <v>0.11</v>
      </c>
      <c r="K10" s="26" t="n">
        <v>2547071</v>
      </c>
      <c r="L10" s="26" t="n">
        <v>66.95</v>
      </c>
      <c r="M10" s="26" t="n">
        <v>47.84</v>
      </c>
      <c r="N10" s="26" t="n">
        <v>112.33</v>
      </c>
      <c r="O10" s="25" t="inlineStr">
        <is>
          <t>Near 52W High Breakout</t>
        </is>
      </c>
      <c r="P10" s="25" t="inlineStr">
        <is>
          <t>Growing Industry</t>
        </is>
      </c>
      <c r="Q10" s="25">
        <f>IF(P10="Growing Industry",10,IF(P10="Cyclical in an Upturn",5,0))</f>
        <v/>
      </c>
      <c r="R10" s="25" t="inlineStr">
        <is>
          <t>Fragmented with High ROE</t>
        </is>
      </c>
      <c r="S10" s="25">
        <f>IF(R10="Fragmented with Low ROE",-5,IF(R10="Fragmented with High ROE",10,IF(R10= "highly cyclical",5,0)))</f>
        <v/>
      </c>
      <c r="T10" s="25" t="inlineStr">
        <is>
          <t>Yes</t>
        </is>
      </c>
      <c r="U10" s="25">
        <f>IF(T10="No",5,0)</f>
        <v/>
      </c>
      <c r="V10" s="25" t="inlineStr">
        <is>
          <t>Tailwind</t>
        </is>
      </c>
      <c r="W10" s="25">
        <f>IF(V10="Tailwind",10,0)</f>
        <v/>
      </c>
      <c r="X10" s="25" t="inlineStr">
        <is>
          <t>Structural (10 Years Consistency)</t>
        </is>
      </c>
      <c r="Y10" s="25">
        <f>IF(X10="Structural (10 Years Consistency)",15,IF(X10="Shallow Cyclical (2 to 3 years growth)",10,IF(X10 = "Cyclical in an Uptick",5,IF(X10 = "Cyclical in an Downtick",-10,0))))</f>
        <v/>
      </c>
      <c r="Z10" s="25" t="inlineStr">
        <is>
          <t>Yes</t>
        </is>
      </c>
      <c r="AA10" s="25">
        <f>IF(Z10="Yes",10,0)</f>
        <v/>
      </c>
      <c r="AB10" s="25" t="inlineStr">
        <is>
          <t>Yes</t>
        </is>
      </c>
      <c r="AC10" s="25">
        <f>IF(AB10="Yes",10,0)</f>
        <v/>
      </c>
      <c r="AD10" s="25" t="n"/>
      <c r="AE10" s="25">
        <f>IF(AD10="No",10,0)</f>
        <v/>
      </c>
      <c r="AF10" s="25" t="inlineStr">
        <is>
          <t>Yes</t>
        </is>
      </c>
      <c r="AG10" s="25">
        <f>IF(AF10="Yes",10,0)</f>
        <v/>
      </c>
      <c r="AH10" s="25" t="inlineStr">
        <is>
          <t>Yes</t>
        </is>
      </c>
      <c r="AI10" s="25">
        <f>IF(AH10="Yes",10,0)</f>
        <v/>
      </c>
      <c r="AJ10" s="25" t="inlineStr">
        <is>
          <t>Yes</t>
        </is>
      </c>
      <c r="AK10" s="25">
        <f>IF(AJ10="Yes",5,0)</f>
        <v/>
      </c>
      <c r="AL10" s="25" t="inlineStr">
        <is>
          <t>No</t>
        </is>
      </c>
      <c r="AM10" s="25">
        <f>IF(AL10="No",10,IF(AL10="Yes",-10,0))</f>
        <v/>
      </c>
      <c r="AN10" s="25" t="inlineStr">
        <is>
          <t>No</t>
        </is>
      </c>
      <c r="AO10" s="25">
        <f>IF(AN10="No",10,0)</f>
        <v/>
      </c>
      <c r="AP10" s="25" t="inlineStr">
        <is>
          <t>No</t>
        </is>
      </c>
      <c r="AQ10" s="25">
        <f>IF(AP10="No",10,IF(AP10= "Yes CEO Resignation",-5,0))</f>
        <v/>
      </c>
      <c r="AR10" s="25" t="inlineStr">
        <is>
          <t>No</t>
        </is>
      </c>
      <c r="AS10" s="25">
        <f>IF(AR10="No",10,IF(AR10="Yes",-5,0))</f>
        <v/>
      </c>
      <c r="AT10" s="25" t="inlineStr">
        <is>
          <t>No</t>
        </is>
      </c>
      <c r="AU10" s="25">
        <f>IF(AT10="No",5,IF(AT10="Yes",-5,0))</f>
        <v/>
      </c>
      <c r="AV10" s="25" t="inlineStr">
        <is>
          <t>Yes</t>
        </is>
      </c>
      <c r="AW10" s="25">
        <f>IF(AV10="Yes",10,0)</f>
        <v/>
      </c>
      <c r="AX10" s="25" t="inlineStr">
        <is>
          <t>Yes</t>
        </is>
      </c>
      <c r="AY10" s="25">
        <f>IF(AX10="Yes",10,0)</f>
        <v/>
      </c>
      <c r="AZ10" s="25" t="inlineStr">
        <is>
          <t>Yes</t>
        </is>
      </c>
      <c r="BA10" s="25">
        <f>IF(AZ10="Yes",10,0)</f>
        <v/>
      </c>
      <c r="BB10" s="25" t="inlineStr">
        <is>
          <t>P/BV less than 2.5x and Growth less than 20%</t>
        </is>
      </c>
      <c r="BC10" s="25">
        <f>IF(BB10="P/BV less than 2.5x and Growth more than 20%",20,IF(BB10 = "P/BV less than 2.5x and Growth less than 20%",5,IF(BB10="P/BV between 2.5x to 5x and Growth more than 20%",10,IF(BB10= "P/BV between 2.5x to 5x and Growth less than 20%",-5,IF(BB10= "P/BV above 5x",-5,0)))))</f>
        <v/>
      </c>
      <c r="BD10" s="25" t="inlineStr">
        <is>
          <t>Above 40</t>
        </is>
      </c>
      <c r="BE10" s="25">
        <f>IF(BD10="Above 40",20,IF(BD10="20 to 40",10,IF(BD10="0 to 20",-5,0)))</f>
        <v/>
      </c>
      <c r="BF10" s="25" t="inlineStr">
        <is>
          <t>Between 50 to 75</t>
        </is>
      </c>
      <c r="BG10" s="25">
        <f>IF(BF10="Between 50 to 75",10,IF(BF10="Above 75",0,0))</f>
        <v/>
      </c>
      <c r="BH10" s="25" t="inlineStr">
        <is>
          <t>Stage 2</t>
        </is>
      </c>
      <c r="BI10" s="25">
        <f>IF(BH10="Stage 2",20,IF(BH10="Stage 1",0,IF(BH10="Stage 3",5,IF(BH10="Stage 4",-5,0))))</f>
        <v/>
      </c>
      <c r="BJ10" s="25" t="inlineStr">
        <is>
          <t>Positive Trend</t>
        </is>
      </c>
      <c r="BK10" s="25">
        <f>IF(BJ10="Positive Trend",20,IF(BJ10="Negative Trend",-10,0))</f>
        <v/>
      </c>
      <c r="BL10" s="25" t="inlineStr">
        <is>
          <t>Uptrend</t>
        </is>
      </c>
      <c r="BM10" s="25">
        <f>IF(BL10="Uptrend",10,IF(BL10="Sideways",5,0))</f>
        <v/>
      </c>
      <c r="BN10" s="25" t="inlineStr">
        <is>
          <t>Uptrend</t>
        </is>
      </c>
      <c r="BO10" s="25">
        <f>IF(BN10="Uptrend",10,IF(BN10="Sideways",5,0))</f>
        <v/>
      </c>
      <c r="BP10" s="25" t="inlineStr">
        <is>
          <t>Blue sky scenario</t>
        </is>
      </c>
      <c r="BQ10" s="25">
        <f>IF(BP10="Overhead supply in last 2 years in last 2 years",-5,IF(BP10="Close to 52 week high or retracement",5,IF(BP10="Blue sky scenario",10,IF(BP10="Long term Downtrend",-10,0))))</f>
        <v/>
      </c>
      <c r="BR10" s="25" t="inlineStr">
        <is>
          <t>Yes</t>
        </is>
      </c>
      <c r="BS10" s="25">
        <f>IF(BR10="Yes",10,0)</f>
        <v/>
      </c>
    </row>
    <row r="11">
      <c r="A11" s="25">
        <f>IF(B11=0,"",RANK(B11,$B$2:$B$33,0))</f>
        <v/>
      </c>
      <c r="B11" s="26">
        <f>SUM(Q11,S11,U11,W11,Y11,AA11,AC11,AE11,AG11,AI11,AK11,AM11,AO11,AQ11,AS11,AU11,AW11,AY11,BA11,BC11,BE11,BG11,BI11,BK11,BM11,BO11,BQ11,BS11)</f>
        <v/>
      </c>
      <c r="C11" s="25" t="inlineStr">
        <is>
          <t>SATIN</t>
        </is>
      </c>
      <c r="D11" s="25" t="inlineStr">
        <is>
          <t>Satin Creditcare Network Limited</t>
        </is>
      </c>
      <c r="E11" s="25" t="inlineStr">
        <is>
          <t>financials</t>
        </is>
      </c>
      <c r="F11" s="25" t="inlineStr">
        <is>
          <t>finance &amp; investments</t>
        </is>
      </c>
      <c r="G11" s="25" t="inlineStr">
        <is>
          <t>smallcap</t>
        </is>
      </c>
      <c r="H11" s="26" t="n">
        <v>2447.04</v>
      </c>
      <c r="I11" s="26" t="n">
        <v>231.12</v>
      </c>
      <c r="J11" s="26" t="n">
        <v>4.34</v>
      </c>
      <c r="K11" s="26" t="n">
        <v>702219</v>
      </c>
      <c r="L11" s="26" t="n">
        <v>75.20999999999999</v>
      </c>
      <c r="M11" s="26" t="n">
        <v>36.86</v>
      </c>
      <c r="N11" s="26" t="n">
        <v>181.94</v>
      </c>
      <c r="O11" s="25" t="inlineStr">
        <is>
          <t>Near 52W High Breakout</t>
        </is>
      </c>
      <c r="P11" s="25" t="inlineStr">
        <is>
          <t>Growing Industry</t>
        </is>
      </c>
      <c r="Q11" s="25">
        <f>IF(P11="Growing Industry",10,IF(P11="Cyclical in an Upturn",5,0))</f>
        <v/>
      </c>
      <c r="R11" s="25" t="inlineStr">
        <is>
          <t>Fragmented with High ROE</t>
        </is>
      </c>
      <c r="S11" s="25">
        <f>IF(R11="Fragmented with Low ROE",-5,IF(R11="Fragmented with High ROE",10,IF(R11= "highly cyclical",5,0)))</f>
        <v/>
      </c>
      <c r="T11" s="25" t="inlineStr">
        <is>
          <t>Yes</t>
        </is>
      </c>
      <c r="U11" s="25">
        <f>IF(T11="No",5,0)</f>
        <v/>
      </c>
      <c r="V11" s="25" t="inlineStr">
        <is>
          <t>Tailwind</t>
        </is>
      </c>
      <c r="W11" s="25">
        <f>IF(V11="Tailwind",10,0)</f>
        <v/>
      </c>
      <c r="X11" s="25" t="inlineStr">
        <is>
          <t>Structural (10 Years Consistency)</t>
        </is>
      </c>
      <c r="Y11" s="25">
        <f>IF(X11="Structural (10 Years Consistency)",15,IF(X11="Shallow Cyclical (2 to 3 years growth)",10,IF(X11 = "Cyclical in an Uptick",5,IF(X11 = "Cyclical in an Downtick",-10,0))))</f>
        <v/>
      </c>
      <c r="Z11" s="25" t="inlineStr">
        <is>
          <t>Yes</t>
        </is>
      </c>
      <c r="AA11" s="25">
        <f>IF(Z11="Yes",10,0)</f>
        <v/>
      </c>
      <c r="AB11" s="25" t="inlineStr">
        <is>
          <t>Yes</t>
        </is>
      </c>
      <c r="AC11" s="25">
        <f>IF(AB11="Yes",10,0)</f>
        <v/>
      </c>
      <c r="AD11" s="25" t="n"/>
      <c r="AE11" s="25">
        <f>IF(AD11="No",10,0)</f>
        <v/>
      </c>
      <c r="AF11" s="25" t="inlineStr">
        <is>
          <t>Yes</t>
        </is>
      </c>
      <c r="AG11" s="25">
        <f>IF(AF11="Yes",10,0)</f>
        <v/>
      </c>
      <c r="AH11" s="25" t="inlineStr">
        <is>
          <t>Yes</t>
        </is>
      </c>
      <c r="AI11" s="25">
        <f>IF(AH11="Yes",10,0)</f>
        <v/>
      </c>
      <c r="AJ11" s="25" t="inlineStr">
        <is>
          <t>Yes</t>
        </is>
      </c>
      <c r="AK11" s="25">
        <f>IF(AJ11="Yes",5,0)</f>
        <v/>
      </c>
      <c r="AL11" s="25" t="inlineStr">
        <is>
          <t>No</t>
        </is>
      </c>
      <c r="AM11" s="25">
        <f>IF(AL11="No",10,IF(AL11="Yes",-10,0))</f>
        <v/>
      </c>
      <c r="AN11" s="25" t="inlineStr">
        <is>
          <t>No</t>
        </is>
      </c>
      <c r="AO11" s="25">
        <f>IF(AN11="No",10,0)</f>
        <v/>
      </c>
      <c r="AP11" s="25" t="inlineStr">
        <is>
          <t>No</t>
        </is>
      </c>
      <c r="AQ11" s="25">
        <f>IF(AP11="No",10,IF(AP11= "Yes CEO Resignation",-5,0))</f>
        <v/>
      </c>
      <c r="AR11" s="25" t="inlineStr">
        <is>
          <t>No</t>
        </is>
      </c>
      <c r="AS11" s="25">
        <f>IF(AR11="No",10,IF(AR11="Yes",-5,0))</f>
        <v/>
      </c>
      <c r="AT11" s="25" t="inlineStr">
        <is>
          <t>No</t>
        </is>
      </c>
      <c r="AU11" s="25">
        <f>IF(AT11="No",5,IF(AT11="Yes",-5,0))</f>
        <v/>
      </c>
      <c r="AV11" s="25" t="inlineStr">
        <is>
          <t>Yes</t>
        </is>
      </c>
      <c r="AW11" s="25">
        <f>IF(AV11="Yes",10,0)</f>
        <v/>
      </c>
      <c r="AX11" s="25" t="inlineStr">
        <is>
          <t>Yes</t>
        </is>
      </c>
      <c r="AY11" s="25">
        <f>IF(AX11="Yes",10,0)</f>
        <v/>
      </c>
      <c r="AZ11" s="25" t="inlineStr">
        <is>
          <t>Yes</t>
        </is>
      </c>
      <c r="BA11" s="25">
        <f>IF(AZ11="Yes",10,0)</f>
        <v/>
      </c>
      <c r="BB11" s="25" t="inlineStr">
        <is>
          <t>P/BV less than 2.5x and Growth more than 20%</t>
        </is>
      </c>
      <c r="BC11" s="25">
        <f>IF(BB11="P/BV less than 2.5x and Growth more than 20%",20,IF(BB11 = "P/BV less than 2.5x and Growth less than 20%",5,IF(BB11="P/BV between 2.5x to 5x and Growth more than 20%",10,IF(BB11= "P/BV between 2.5x to 5x and Growth less than 20%",-5,IF(BB11= "P/BV above 5x",-5,0)))))</f>
        <v/>
      </c>
      <c r="BD11" s="25" t="inlineStr">
        <is>
          <t>20 to 40</t>
        </is>
      </c>
      <c r="BE11" s="25">
        <f>IF(BD11="Above 40",20,IF(BD11="20 to 40",10,IF(BD11="0 to 20",-5,0)))</f>
        <v/>
      </c>
      <c r="BF11" s="25" t="inlineStr">
        <is>
          <t>Above 75</t>
        </is>
      </c>
      <c r="BG11" s="25">
        <f>IF(BF11="Between 50 to 75",10,IF(BF11="Above 75",0,0))</f>
        <v/>
      </c>
      <c r="BH11" s="25" t="inlineStr">
        <is>
          <t>Stage 2</t>
        </is>
      </c>
      <c r="BI11" s="25">
        <f>IF(BH11="Stage 2",20,IF(BH11="Stage 1",0,IF(BH11="Stage 3",5,IF(BH11="Stage 4",-5,0))))</f>
        <v/>
      </c>
      <c r="BJ11" s="25" t="inlineStr">
        <is>
          <t>Positive Trend</t>
        </is>
      </c>
      <c r="BK11" s="25">
        <f>IF(BJ11="Positive Trend",20,IF(BJ11="Negative Trend",-10,0))</f>
        <v/>
      </c>
      <c r="BL11" s="25" t="inlineStr">
        <is>
          <t>Uptrend</t>
        </is>
      </c>
      <c r="BM11" s="25">
        <f>IF(BL11="Uptrend",10,IF(BL11="Sideways",5,0))</f>
        <v/>
      </c>
      <c r="BN11" s="25" t="inlineStr">
        <is>
          <t>Uptrend</t>
        </is>
      </c>
      <c r="BO11" s="25">
        <f>IF(BN11="Uptrend",10,IF(BN11="Sideways",5,0))</f>
        <v/>
      </c>
      <c r="BP11" s="25" t="inlineStr">
        <is>
          <t>Blue sky scenario</t>
        </is>
      </c>
      <c r="BQ11" s="25">
        <f>IF(BP11="Overhead supply in last 2 years in last 2 years",-5,IF(BP11="Close to 52 week high or retracement",5,IF(BP11="Blue sky scenario",10,IF(BP11="Long term Downtrend",-10,0))))</f>
        <v/>
      </c>
      <c r="BR11" s="25" t="inlineStr">
        <is>
          <t>Yes</t>
        </is>
      </c>
      <c r="BS11" s="25">
        <f>IF(BR11="Yes",10,0)</f>
        <v/>
      </c>
    </row>
    <row r="12">
      <c r="A12" s="25">
        <f>IF(B12=0,"",RANK(B12,$B$2:$B$33,0))</f>
        <v/>
      </c>
      <c r="B12" s="26">
        <f>SUM(Q12,S12,U12,W12,Y12,AA12,AC12,AE12,AG12,AI12,AK12,AM12,AO12,AQ12,AS12,AU12,AW12,AY12,BA12,BC12,BE12,BG12,BI12,BK12,BM12,BO12,BQ12,BS12)</f>
        <v/>
      </c>
      <c r="C12" s="25" t="inlineStr">
        <is>
          <t>RANEHOLDIN</t>
        </is>
      </c>
      <c r="D12" s="25" t="inlineStr">
        <is>
          <t>Rane Holdings Limited</t>
        </is>
      </c>
      <c r="E12" s="25" t="inlineStr">
        <is>
          <t>financials</t>
        </is>
      </c>
      <c r="F12" s="25" t="inlineStr">
        <is>
          <t>finance &amp; investments</t>
        </is>
      </c>
      <c r="G12" s="25" t="inlineStr">
        <is>
          <t>smallcap</t>
        </is>
      </c>
      <c r="H12" s="26" t="n">
        <v>2053.86</v>
      </c>
      <c r="I12" s="26" t="n">
        <v>1462</v>
      </c>
      <c r="J12" s="26" t="n">
        <v>1.63</v>
      </c>
      <c r="K12" s="26" t="n">
        <v>10304</v>
      </c>
      <c r="L12" s="26" t="n">
        <v>61.78</v>
      </c>
      <c r="M12" s="26" t="n">
        <v>24.28</v>
      </c>
      <c r="N12" s="26" t="n">
        <v>1075.95</v>
      </c>
      <c r="O12" s="25" t="inlineStr">
        <is>
          <t>Earnings / Momentum Support</t>
        </is>
      </c>
      <c r="P12" s="25" t="inlineStr">
        <is>
          <t>Growing Industry</t>
        </is>
      </c>
      <c r="Q12" s="25">
        <f>IF(P12="Growing Industry",10,IF(P12="Cyclical in an Upturn",5,0))</f>
        <v/>
      </c>
      <c r="R12" s="25" t="inlineStr">
        <is>
          <t>Fragmented with High ROE</t>
        </is>
      </c>
      <c r="S12" s="25">
        <f>IF(R12="Fragmented with Low ROE",-5,IF(R12="Fragmented with High ROE",10,IF(R12= "highly cyclical",5,0)))</f>
        <v/>
      </c>
      <c r="T12" s="25" t="inlineStr">
        <is>
          <t>Yes</t>
        </is>
      </c>
      <c r="U12" s="25">
        <f>IF(T12="No",5,0)</f>
        <v/>
      </c>
      <c r="V12" s="25" t="inlineStr">
        <is>
          <t>Tailwind</t>
        </is>
      </c>
      <c r="W12" s="25">
        <f>IF(V12="Tailwind",10,0)</f>
        <v/>
      </c>
      <c r="X12" s="25" t="inlineStr">
        <is>
          <t>Structural (10 Years Consistency)</t>
        </is>
      </c>
      <c r="Y12" s="25">
        <f>IF(X12="Structural (10 Years Consistency)",15,IF(X12="Shallow Cyclical (2 to 3 years growth)",10,IF(X12 = "Cyclical in an Uptick",5,IF(X12 = "Cyclical in an Downtick",-10,0))))</f>
        <v/>
      </c>
      <c r="Z12" s="25" t="inlineStr">
        <is>
          <t>Yes</t>
        </is>
      </c>
      <c r="AA12" s="25">
        <f>IF(Z12="Yes",10,0)</f>
        <v/>
      </c>
      <c r="AB12" s="25" t="inlineStr">
        <is>
          <t>Yes</t>
        </is>
      </c>
      <c r="AC12" s="25">
        <f>IF(AB12="Yes",10,0)</f>
        <v/>
      </c>
      <c r="AD12" s="25" t="n"/>
      <c r="AE12" s="25">
        <f>IF(AD12="No",10,0)</f>
        <v/>
      </c>
      <c r="AF12" s="25" t="inlineStr">
        <is>
          <t>Yes</t>
        </is>
      </c>
      <c r="AG12" s="25">
        <f>IF(AF12="Yes",10,0)</f>
        <v/>
      </c>
      <c r="AH12" s="25" t="inlineStr">
        <is>
          <t>No</t>
        </is>
      </c>
      <c r="AI12" s="25">
        <f>IF(AH12="Yes",10,0)</f>
        <v/>
      </c>
      <c r="AJ12" s="25" t="inlineStr">
        <is>
          <t>Yes</t>
        </is>
      </c>
      <c r="AK12" s="25">
        <f>IF(AJ12="Yes",5,0)</f>
        <v/>
      </c>
      <c r="AL12" s="25" t="inlineStr">
        <is>
          <t>No</t>
        </is>
      </c>
      <c r="AM12" s="25">
        <f>IF(AL12="No",10,IF(AL12="Yes",-10,0))</f>
        <v/>
      </c>
      <c r="AN12" s="25" t="inlineStr">
        <is>
          <t>No</t>
        </is>
      </c>
      <c r="AO12" s="25">
        <f>IF(AN12="No",10,0)</f>
        <v/>
      </c>
      <c r="AP12" s="25" t="inlineStr">
        <is>
          <t>No</t>
        </is>
      </c>
      <c r="AQ12" s="25">
        <f>IF(AP12="No",10,IF(AP12= "Yes CEO Resignation",-5,0))</f>
        <v/>
      </c>
      <c r="AR12" s="25" t="inlineStr">
        <is>
          <t>No</t>
        </is>
      </c>
      <c r="AS12" s="25">
        <f>IF(AR12="No",10,IF(AR12="Yes",-5,0))</f>
        <v/>
      </c>
      <c r="AT12" s="25" t="inlineStr">
        <is>
          <t>No</t>
        </is>
      </c>
      <c r="AU12" s="25">
        <f>IF(AT12="No",5,IF(AT12="Yes",-5,0))</f>
        <v/>
      </c>
      <c r="AV12" s="25" t="inlineStr">
        <is>
          <t>Yes</t>
        </is>
      </c>
      <c r="AW12" s="25">
        <f>IF(AV12="Yes",10,0)</f>
        <v/>
      </c>
      <c r="AX12" s="25" t="inlineStr">
        <is>
          <t>Yes</t>
        </is>
      </c>
      <c r="AY12" s="25">
        <f>IF(AX12="Yes",10,0)</f>
        <v/>
      </c>
      <c r="AZ12" s="25" t="inlineStr">
        <is>
          <t>Yes</t>
        </is>
      </c>
      <c r="BA12" s="25">
        <f>IF(AZ12="Yes",10,0)</f>
        <v/>
      </c>
      <c r="BB12" s="25" t="inlineStr">
        <is>
          <t>P/BV less than 2.5x and Growth more than 20%</t>
        </is>
      </c>
      <c r="BC12" s="25">
        <f>IF(BB12="P/BV less than 2.5x and Growth more than 20%",20,IF(BB12 = "P/BV less than 2.5x and Growth less than 20%",5,IF(BB12="P/BV between 2.5x to 5x and Growth more than 20%",10,IF(BB12= "P/BV between 2.5x to 5x and Growth less than 20%",-5,IF(BB12= "P/BV above 5x",-5,0)))))</f>
        <v/>
      </c>
      <c r="BD12" s="25" t="inlineStr">
        <is>
          <t>20 to 40</t>
        </is>
      </c>
      <c r="BE12" s="25">
        <f>IF(BD12="Above 40",20,IF(BD12="20 to 40",10,IF(BD12="0 to 20",-5,0)))</f>
        <v/>
      </c>
      <c r="BF12" s="25" t="inlineStr">
        <is>
          <t>Between 50 to 75</t>
        </is>
      </c>
      <c r="BG12" s="25">
        <f>IF(BF12="Between 50 to 75",10,IF(BF12="Above 75",0,0))</f>
        <v/>
      </c>
      <c r="BH12" s="25" t="inlineStr">
        <is>
          <t>Stage 2</t>
        </is>
      </c>
      <c r="BI12" s="25">
        <f>IF(BH12="Stage 2",20,IF(BH12="Stage 1",0,IF(BH12="Stage 3",5,IF(BH12="Stage 4",-5,0))))</f>
        <v/>
      </c>
      <c r="BJ12" s="25" t="inlineStr">
        <is>
          <t>Positive Trend</t>
        </is>
      </c>
      <c r="BK12" s="25">
        <f>IF(BJ12="Positive Trend",20,IF(BJ12="Negative Trend",-10,0))</f>
        <v/>
      </c>
      <c r="BL12" s="25" t="inlineStr">
        <is>
          <t>Uptrend</t>
        </is>
      </c>
      <c r="BM12" s="25">
        <f>IF(BL12="Uptrend",10,IF(BL12="Sideways",5,0))</f>
        <v/>
      </c>
      <c r="BN12" s="25" t="inlineStr">
        <is>
          <t>Uptrend</t>
        </is>
      </c>
      <c r="BO12" s="25">
        <f>IF(BN12="Uptrend",10,IF(BN12="Sideways",5,0))</f>
        <v/>
      </c>
      <c r="BP12" s="25" t="inlineStr">
        <is>
          <t>Close to 52 week high or retracement</t>
        </is>
      </c>
      <c r="BQ12" s="25">
        <f>IF(BP12="Overhead supply in last 2 years in last 2 years",-5,IF(BP12="Close to 52 week high or retracement",5,IF(BP12="Blue sky scenario",10,IF(BP12="Long term Downtrend",-10,0))))</f>
        <v/>
      </c>
      <c r="BR12" s="25" t="inlineStr">
        <is>
          <t>Yes</t>
        </is>
      </c>
      <c r="BS12" s="25">
        <f>IF(BR12="Yes",10,0)</f>
        <v/>
      </c>
    </row>
    <row r="13">
      <c r="A13" s="25">
        <f>IF(B13=0,"",RANK(B13,$B$2:$B$33,0))</f>
        <v/>
      </c>
      <c r="B13" s="26">
        <f>SUM(Q13,S13,U13,W13,Y13,AA13,AC13,AE13,AG13,AI13,AK13,AM13,AO13,AQ13,AS13,AU13,AW13,AY13,BA13,BC13,BE13,BG13,BI13,BK13,BM13,BO13,BQ13,BS13)</f>
        <v/>
      </c>
      <c r="C13" s="25" t="inlineStr">
        <is>
          <t>CONSOFINVT</t>
        </is>
      </c>
      <c r="D13" s="25" t="inlineStr">
        <is>
          <t>Consolidated Finvest &amp; Holdings Limited</t>
        </is>
      </c>
      <c r="E13" s="25" t="inlineStr">
        <is>
          <t>financials</t>
        </is>
      </c>
      <c r="F13" s="25" t="inlineStr">
        <is>
          <t>finance &amp; investments</t>
        </is>
      </c>
      <c r="G13" s="25" t="inlineStr">
        <is>
          <t>smallcap</t>
        </is>
      </c>
      <c r="H13" s="26" t="n">
        <v>774.38</v>
      </c>
      <c r="I13" s="26" t="n">
        <v>240.97</v>
      </c>
      <c r="J13" s="26" t="n">
        <v>0.59</v>
      </c>
      <c r="K13" s="26" t="n">
        <v>18897</v>
      </c>
      <c r="L13" s="26" t="n">
        <v>66.39</v>
      </c>
      <c r="M13" s="26" t="n">
        <v>23.2</v>
      </c>
      <c r="N13" s="26" t="n">
        <v>189.82</v>
      </c>
      <c r="O13" s="25" t="inlineStr">
        <is>
          <t>Volume Spike &amp; Near 52W High Breakout</t>
        </is>
      </c>
      <c r="P13" s="25" t="inlineStr">
        <is>
          <t>Growing Industry</t>
        </is>
      </c>
      <c r="Q13" s="25">
        <f>IF(P13="Growing Industry",10,IF(P13="Cyclical in an Upturn",5,0))</f>
        <v/>
      </c>
      <c r="R13" s="25" t="inlineStr">
        <is>
          <t>Fragmented with High ROE</t>
        </is>
      </c>
      <c r="S13" s="25">
        <f>IF(R13="Fragmented with Low ROE",-5,IF(R13="Fragmented with High ROE",10,IF(R13= "highly cyclical",5,0)))</f>
        <v/>
      </c>
      <c r="T13" s="25" t="inlineStr">
        <is>
          <t>Yes</t>
        </is>
      </c>
      <c r="U13" s="25">
        <f>IF(T13="No",5,0)</f>
        <v/>
      </c>
      <c r="V13" s="25" t="inlineStr">
        <is>
          <t>Tailwind</t>
        </is>
      </c>
      <c r="W13" s="25">
        <f>IF(V13="Tailwind",10,0)</f>
        <v/>
      </c>
      <c r="X13" s="25" t="inlineStr">
        <is>
          <t>Structural (10 Years Consistency)</t>
        </is>
      </c>
      <c r="Y13" s="25">
        <f>IF(X13="Structural (10 Years Consistency)",15,IF(X13="Shallow Cyclical (2 to 3 years growth)",10,IF(X13 = "Cyclical in an Uptick",5,IF(X13 = "Cyclical in an Downtick",-10,0))))</f>
        <v/>
      </c>
      <c r="Z13" s="25" t="inlineStr">
        <is>
          <t>Yes</t>
        </is>
      </c>
      <c r="AA13" s="25">
        <f>IF(Z13="Yes",10,0)</f>
        <v/>
      </c>
      <c r="AB13" s="25" t="inlineStr">
        <is>
          <t>Yes</t>
        </is>
      </c>
      <c r="AC13" s="25">
        <f>IF(AB13="Yes",10,0)</f>
        <v/>
      </c>
      <c r="AD13" s="25" t="n"/>
      <c r="AE13" s="25">
        <f>IF(AD13="No",10,0)</f>
        <v/>
      </c>
      <c r="AF13" s="25" t="inlineStr">
        <is>
          <t>Yes</t>
        </is>
      </c>
      <c r="AG13" s="25">
        <f>IF(AF13="Yes",10,0)</f>
        <v/>
      </c>
      <c r="AH13" s="25" t="inlineStr">
        <is>
          <t>Yes</t>
        </is>
      </c>
      <c r="AI13" s="25">
        <f>IF(AH13="Yes",10,0)</f>
        <v/>
      </c>
      <c r="AJ13" s="25" t="inlineStr">
        <is>
          <t>Yes</t>
        </is>
      </c>
      <c r="AK13" s="25">
        <f>IF(AJ13="Yes",5,0)</f>
        <v/>
      </c>
      <c r="AL13" s="25" t="inlineStr">
        <is>
          <t>No</t>
        </is>
      </c>
      <c r="AM13" s="25">
        <f>IF(AL13="No",10,IF(AL13="Yes",-10,0))</f>
        <v/>
      </c>
      <c r="AN13" s="25" t="inlineStr">
        <is>
          <t>No</t>
        </is>
      </c>
      <c r="AO13" s="25">
        <f>IF(AN13="No",10,0)</f>
        <v/>
      </c>
      <c r="AP13" s="25" t="inlineStr">
        <is>
          <t>No</t>
        </is>
      </c>
      <c r="AQ13" s="25">
        <f>IF(AP13="No",10,IF(AP13= "Yes CEO Resignation",-5,0))</f>
        <v/>
      </c>
      <c r="AR13" s="25" t="inlineStr">
        <is>
          <t>No</t>
        </is>
      </c>
      <c r="AS13" s="25">
        <f>IF(AR13="No",10,IF(AR13="Yes",-5,0))</f>
        <v/>
      </c>
      <c r="AT13" s="25" t="inlineStr">
        <is>
          <t>No</t>
        </is>
      </c>
      <c r="AU13" s="25">
        <f>IF(AT13="No",5,IF(AT13="Yes",-5,0))</f>
        <v/>
      </c>
      <c r="AV13" s="25" t="inlineStr">
        <is>
          <t>Yes</t>
        </is>
      </c>
      <c r="AW13" s="25">
        <f>IF(AV13="Yes",10,0)</f>
        <v/>
      </c>
      <c r="AX13" s="25" t="inlineStr">
        <is>
          <t>Yes</t>
        </is>
      </c>
      <c r="AY13" s="25">
        <f>IF(AX13="Yes",10,0)</f>
        <v/>
      </c>
      <c r="AZ13" s="25" t="inlineStr">
        <is>
          <t>Yes</t>
        </is>
      </c>
      <c r="BA13" s="25">
        <f>IF(AZ13="Yes",10,0)</f>
        <v/>
      </c>
      <c r="BB13" s="25" t="inlineStr">
        <is>
          <t>P/BV less than 2.5x and Growth less than 20%</t>
        </is>
      </c>
      <c r="BC13" s="25">
        <f>IF(BB13="P/BV less than 2.5x and Growth more than 20%",20,IF(BB13 = "P/BV less than 2.5x and Growth less than 20%",5,IF(BB13="P/BV between 2.5x to 5x and Growth more than 20%",10,IF(BB13= "P/BV between 2.5x to 5x and Growth less than 20%",-5,IF(BB13= "P/BV above 5x",-5,0)))))</f>
        <v/>
      </c>
      <c r="BD13" s="25" t="inlineStr">
        <is>
          <t>20 to 40</t>
        </is>
      </c>
      <c r="BE13" s="25">
        <f>IF(BD13="Above 40",20,IF(BD13="20 to 40",10,IF(BD13="0 to 20",-5,0)))</f>
        <v/>
      </c>
      <c r="BF13" s="25" t="inlineStr">
        <is>
          <t>Between 50 to 75</t>
        </is>
      </c>
      <c r="BG13" s="25">
        <f>IF(BF13="Between 50 to 75",10,IF(BF13="Above 75",0,0))</f>
        <v/>
      </c>
      <c r="BH13" s="25" t="inlineStr">
        <is>
          <t>Stage 2</t>
        </is>
      </c>
      <c r="BI13" s="25">
        <f>IF(BH13="Stage 2",20,IF(BH13="Stage 1",0,IF(BH13="Stage 3",5,IF(BH13="Stage 4",-5,0))))</f>
        <v/>
      </c>
      <c r="BJ13" s="25" t="inlineStr">
        <is>
          <t>Positive Trend</t>
        </is>
      </c>
      <c r="BK13" s="25">
        <f>IF(BJ13="Positive Trend",20,IF(BJ13="Negative Trend",-10,0))</f>
        <v/>
      </c>
      <c r="BL13" s="25" t="inlineStr">
        <is>
          <t>Uptrend</t>
        </is>
      </c>
      <c r="BM13" s="25">
        <f>IF(BL13="Uptrend",10,IF(BL13="Sideways",5,0))</f>
        <v/>
      </c>
      <c r="BN13" s="25" t="inlineStr">
        <is>
          <t>Uptrend</t>
        </is>
      </c>
      <c r="BO13" s="25">
        <f>IF(BN13="Uptrend",10,IF(BN13="Sideways",5,0))</f>
        <v/>
      </c>
      <c r="BP13" s="25" t="inlineStr">
        <is>
          <t>Blue sky scenario</t>
        </is>
      </c>
      <c r="BQ13" s="25">
        <f>IF(BP13="Overhead supply in last 2 years in last 2 years",-5,IF(BP13="Close to 52 week high or retracement",5,IF(BP13="Blue sky scenario",10,IF(BP13="Long term Downtrend",-10,0))))</f>
        <v/>
      </c>
      <c r="BR13" s="25" t="inlineStr">
        <is>
          <t>Yes</t>
        </is>
      </c>
      <c r="BS13" s="25">
        <f>IF(BR13="Yes",10,0)</f>
        <v/>
      </c>
    </row>
    <row r="14">
      <c r="A14" s="25">
        <f>IF(B14=0,"",RANK(B14,$B$2:$B$33,0))</f>
        <v/>
      </c>
      <c r="B14" s="26">
        <f>SUM(Q14,S14,U14,W14,Y14,AA14,AC14,AE14,AG14,AI14,AK14,AM14,AO14,AQ14,AS14,AU14,AW14,AY14,BA14,BC14,BE14,BG14,BI14,BK14,BM14,BO14,BQ14,BS14)</f>
        <v/>
      </c>
      <c r="C14" s="25" t="inlineStr">
        <is>
          <t>STARHEALTH</t>
        </is>
      </c>
      <c r="D14" s="25" t="inlineStr">
        <is>
          <t>Star Health &amp; Allied Insurance Company Ltd</t>
        </is>
      </c>
      <c r="E14" s="25" t="inlineStr">
        <is>
          <t>financials</t>
        </is>
      </c>
      <c r="F14" s="25" t="inlineStr">
        <is>
          <t>finance &amp; investments</t>
        </is>
      </c>
      <c r="G14" s="25" t="inlineStr">
        <is>
          <t>largecap</t>
        </is>
      </c>
      <c r="H14" s="26" t="n">
        <v>31358.96</v>
      </c>
      <c r="I14" s="26" t="n">
        <v>533.7</v>
      </c>
      <c r="J14" s="26" t="n">
        <v>0.14</v>
      </c>
      <c r="K14" s="26" t="n">
        <v>740259</v>
      </c>
      <c r="L14" s="26" t="n">
        <v>64.45999999999999</v>
      </c>
      <c r="M14" s="26" t="n">
        <v>23.71</v>
      </c>
      <c r="N14" s="26" t="n">
        <v>440.28</v>
      </c>
      <c r="O14" s="25" t="inlineStr">
        <is>
          <t>Near 52W High Breakout</t>
        </is>
      </c>
      <c r="P14" s="25" t="inlineStr">
        <is>
          <t>Growing Industry</t>
        </is>
      </c>
      <c r="Q14" s="25">
        <f>IF(P14="Growing Industry",10,IF(P14="Cyclical in an Upturn",5,0))</f>
        <v/>
      </c>
      <c r="R14" s="25" t="inlineStr">
        <is>
          <t>Fragmented with High ROE</t>
        </is>
      </c>
      <c r="S14" s="25">
        <f>IF(R14="Fragmented with Low ROE",-5,IF(R14="Fragmented with High ROE",10,IF(R14= "highly cyclical",5,0)))</f>
        <v/>
      </c>
      <c r="T14" s="25" t="inlineStr">
        <is>
          <t>Yes</t>
        </is>
      </c>
      <c r="U14" s="25">
        <f>IF(T14="No",5,0)</f>
        <v/>
      </c>
      <c r="V14" s="25" t="inlineStr">
        <is>
          <t>Tailwind</t>
        </is>
      </c>
      <c r="W14" s="25">
        <f>IF(V14="Tailwind",10,0)</f>
        <v/>
      </c>
      <c r="X14" s="25" t="inlineStr">
        <is>
          <t>Structural (10 Years Consistency)</t>
        </is>
      </c>
      <c r="Y14" s="25">
        <f>IF(X14="Structural (10 Years Consistency)",15,IF(X14="Shallow Cyclical (2 to 3 years growth)",10,IF(X14 = "Cyclical in an Uptick",5,IF(X14 = "Cyclical in an Downtick",-10,0))))</f>
        <v/>
      </c>
      <c r="Z14" s="25" t="inlineStr">
        <is>
          <t>Yes</t>
        </is>
      </c>
      <c r="AA14" s="25">
        <f>IF(Z14="Yes",10,0)</f>
        <v/>
      </c>
      <c r="AB14" s="25" t="inlineStr">
        <is>
          <t>Yes</t>
        </is>
      </c>
      <c r="AC14" s="25">
        <f>IF(AB14="Yes",10,0)</f>
        <v/>
      </c>
      <c r="AD14" s="25" t="n"/>
      <c r="AE14" s="25">
        <f>IF(AD14="No",10,0)</f>
        <v/>
      </c>
      <c r="AF14" s="25" t="inlineStr">
        <is>
          <t>Yes</t>
        </is>
      </c>
      <c r="AG14" s="25">
        <f>IF(AF14="Yes",10,0)</f>
        <v/>
      </c>
      <c r="AH14" s="25" t="inlineStr">
        <is>
          <t>Yes</t>
        </is>
      </c>
      <c r="AI14" s="25">
        <f>IF(AH14="Yes",10,0)</f>
        <v/>
      </c>
      <c r="AJ14" s="25" t="inlineStr">
        <is>
          <t>Yes</t>
        </is>
      </c>
      <c r="AK14" s="25">
        <f>IF(AJ14="Yes",5,0)</f>
        <v/>
      </c>
      <c r="AL14" s="25" t="inlineStr">
        <is>
          <t>No</t>
        </is>
      </c>
      <c r="AM14" s="25">
        <f>IF(AL14="No",10,IF(AL14="Yes",-10,0))</f>
        <v/>
      </c>
      <c r="AN14" s="25" t="inlineStr">
        <is>
          <t>No</t>
        </is>
      </c>
      <c r="AO14" s="25">
        <f>IF(AN14="No",10,0)</f>
        <v/>
      </c>
      <c r="AP14" s="25" t="inlineStr">
        <is>
          <t>No</t>
        </is>
      </c>
      <c r="AQ14" s="25">
        <f>IF(AP14="No",10,IF(AP14= "Yes CEO Resignation",-5,0))</f>
        <v/>
      </c>
      <c r="AR14" s="25" t="inlineStr">
        <is>
          <t>No</t>
        </is>
      </c>
      <c r="AS14" s="25">
        <f>IF(AR14="No",10,IF(AR14="Yes",-5,0))</f>
        <v/>
      </c>
      <c r="AT14" s="25" t="inlineStr">
        <is>
          <t>No</t>
        </is>
      </c>
      <c r="AU14" s="25">
        <f>IF(AT14="No",5,IF(AT14="Yes",-5,0))</f>
        <v/>
      </c>
      <c r="AV14" s="25" t="inlineStr">
        <is>
          <t>Yes</t>
        </is>
      </c>
      <c r="AW14" s="25">
        <f>IF(AV14="Yes",10,0)</f>
        <v/>
      </c>
      <c r="AX14" s="25" t="inlineStr">
        <is>
          <t>Yes</t>
        </is>
      </c>
      <c r="AY14" s="25">
        <f>IF(AX14="Yes",10,0)</f>
        <v/>
      </c>
      <c r="AZ14" s="25" t="inlineStr">
        <is>
          <t>Yes</t>
        </is>
      </c>
      <c r="BA14" s="25">
        <f>IF(AZ14="Yes",10,0)</f>
        <v/>
      </c>
      <c r="BB14" s="25" t="inlineStr">
        <is>
          <t>P/BV between 2.5x to 5x and Growth more than 20%</t>
        </is>
      </c>
      <c r="BC14" s="25">
        <f>IF(BB14="P/BV less than 2.5x and Growth more than 20%",20,IF(BB14 = "P/BV less than 2.5x and Growth less than 20%",5,IF(BB14="P/BV between 2.5x to 5x and Growth more than 20%",10,IF(BB14= "P/BV between 2.5x to 5x and Growth less than 20%",-5,IF(BB14= "P/BV above 5x",-5,0)))))</f>
        <v/>
      </c>
      <c r="BD14" s="25" t="inlineStr">
        <is>
          <t>20 to 40</t>
        </is>
      </c>
      <c r="BE14" s="25">
        <f>IF(BD14="Above 40",20,IF(BD14="20 to 40",10,IF(BD14="0 to 20",-5,0)))</f>
        <v/>
      </c>
      <c r="BF14" s="25" t="inlineStr">
        <is>
          <t>Between 50 to 75</t>
        </is>
      </c>
      <c r="BG14" s="25">
        <f>IF(BF14="Between 50 to 75",10,IF(BF14="Above 75",0,0))</f>
        <v/>
      </c>
      <c r="BH14" s="25" t="inlineStr">
        <is>
          <t>Stage 2</t>
        </is>
      </c>
      <c r="BI14" s="25">
        <f>IF(BH14="Stage 2",20,IF(BH14="Stage 1",0,IF(BH14="Stage 3",5,IF(BH14="Stage 4",-5,0))))</f>
        <v/>
      </c>
      <c r="BJ14" s="25" t="inlineStr">
        <is>
          <t>Positive Trend</t>
        </is>
      </c>
      <c r="BK14" s="25">
        <f>IF(BJ14="Positive Trend",20,IF(BJ14="Negative Trend",-10,0))</f>
        <v/>
      </c>
      <c r="BL14" s="25" t="inlineStr">
        <is>
          <t>Uptrend</t>
        </is>
      </c>
      <c r="BM14" s="25">
        <f>IF(BL14="Uptrend",10,IF(BL14="Sideways",5,0))</f>
        <v/>
      </c>
      <c r="BN14" s="25" t="inlineStr">
        <is>
          <t>Uptrend</t>
        </is>
      </c>
      <c r="BO14" s="25">
        <f>IF(BN14="Uptrend",10,IF(BN14="Sideways",5,0))</f>
        <v/>
      </c>
      <c r="BP14" s="25" t="inlineStr">
        <is>
          <t>Close to 52 week high or retracement</t>
        </is>
      </c>
      <c r="BQ14" s="25">
        <f>IF(BP14="Overhead supply in last 2 years in last 2 years",-5,IF(BP14="Close to 52 week high or retracement",5,IF(BP14="Blue sky scenario",10,IF(BP14="Long term Downtrend",-10,0))))</f>
        <v/>
      </c>
      <c r="BR14" s="25" t="inlineStr">
        <is>
          <t>Yes</t>
        </is>
      </c>
      <c r="BS14" s="25">
        <f>IF(BR14="Yes",10,0)</f>
        <v/>
      </c>
    </row>
    <row r="15">
      <c r="A15" s="25">
        <f>IF(B15=0,"",RANK(B15,$B$2:$B$33,0))</f>
        <v/>
      </c>
      <c r="B15" s="26">
        <f>SUM(Q15,S15,U15,W15,Y15,AA15,AC15,AE15,AG15,AI15,AK15,AM15,AO15,AQ15,AS15,AU15,AW15,AY15,BA15,BC15,BE15,BG15,BI15,BK15,BM15,BO15,BQ15,BS15)</f>
        <v/>
      </c>
      <c r="C15" s="25" t="inlineStr">
        <is>
          <t>JSFB</t>
        </is>
      </c>
      <c r="D15" s="25" t="inlineStr">
        <is>
          <t>Jana Small Finance Bank Ltd</t>
        </is>
      </c>
      <c r="E15" s="25" t="inlineStr">
        <is>
          <t>bank</t>
        </is>
      </c>
      <c r="F15" s="25" t="inlineStr">
        <is>
          <t>banks - private sector</t>
        </is>
      </c>
      <c r="G15" s="25" t="inlineStr">
        <is>
          <t>midcap</t>
        </is>
      </c>
      <c r="H15" s="26" t="n">
        <v>5101.39</v>
      </c>
      <c r="I15" s="26" t="n">
        <v>490.75</v>
      </c>
      <c r="J15" s="26" t="n">
        <v>1.32</v>
      </c>
      <c r="K15" s="26" t="n">
        <v>2467966</v>
      </c>
      <c r="L15" s="26" t="n">
        <v>62.8</v>
      </c>
      <c r="M15" s="26" t="n">
        <v>25.86</v>
      </c>
      <c r="N15" s="26" t="n">
        <v>371.25</v>
      </c>
      <c r="O15" s="25" t="inlineStr">
        <is>
          <t>Near 52W High Breakout</t>
        </is>
      </c>
      <c r="P15" s="25" t="inlineStr">
        <is>
          <t>Growing Industry</t>
        </is>
      </c>
      <c r="Q15" s="25">
        <f>IF(P15="Growing Industry",10,IF(P15="Cyclical in an Upturn",5,0))</f>
        <v/>
      </c>
      <c r="R15" s="25" t="inlineStr">
        <is>
          <t>Fragmented with High ROE</t>
        </is>
      </c>
      <c r="S15" s="25">
        <f>IF(R15="Fragmented with Low ROE",-5,IF(R15="Fragmented with High ROE",10,IF(R15= "highly cyclical",5,0)))</f>
        <v/>
      </c>
      <c r="T15" s="25" t="inlineStr">
        <is>
          <t>Yes</t>
        </is>
      </c>
      <c r="U15" s="25">
        <f>IF(T15="No",5,0)</f>
        <v/>
      </c>
      <c r="V15" s="25" t="inlineStr">
        <is>
          <t>Tailwind</t>
        </is>
      </c>
      <c r="W15" s="25">
        <f>IF(V15="Tailwind",10,0)</f>
        <v/>
      </c>
      <c r="X15" s="25" t="inlineStr">
        <is>
          <t>Structural (10 Years Consistency)</t>
        </is>
      </c>
      <c r="Y15" s="25">
        <f>IF(X15="Structural (10 Years Consistency)",15,IF(X15="Shallow Cyclical (2 to 3 years growth)",10,IF(X15 = "Cyclical in an Uptick",5,IF(X15 = "Cyclical in an Downtick",-10,0))))</f>
        <v/>
      </c>
      <c r="Z15" s="25" t="inlineStr">
        <is>
          <t>Yes</t>
        </is>
      </c>
      <c r="AA15" s="25">
        <f>IF(Z15="Yes",10,0)</f>
        <v/>
      </c>
      <c r="AB15" s="25" t="inlineStr">
        <is>
          <t>Yes</t>
        </is>
      </c>
      <c r="AC15" s="25">
        <f>IF(AB15="Yes",10,0)</f>
        <v/>
      </c>
      <c r="AD15" s="25" t="n"/>
      <c r="AE15" s="25">
        <f>IF(AD15="No",10,0)</f>
        <v/>
      </c>
      <c r="AF15" s="25" t="inlineStr">
        <is>
          <t>Yes</t>
        </is>
      </c>
      <c r="AG15" s="25">
        <f>IF(AF15="Yes",10,0)</f>
        <v/>
      </c>
      <c r="AH15" s="25" t="inlineStr">
        <is>
          <t>Yes</t>
        </is>
      </c>
      <c r="AI15" s="25">
        <f>IF(AH15="Yes",10,0)</f>
        <v/>
      </c>
      <c r="AJ15" s="25" t="inlineStr">
        <is>
          <t>Yes</t>
        </is>
      </c>
      <c r="AK15" s="25">
        <f>IF(AJ15="Yes",5,0)</f>
        <v/>
      </c>
      <c r="AL15" s="25" t="inlineStr">
        <is>
          <t>No</t>
        </is>
      </c>
      <c r="AM15" s="25">
        <f>IF(AL15="No",10,IF(AL15="Yes",-10,0))</f>
        <v/>
      </c>
      <c r="AN15" s="25" t="inlineStr">
        <is>
          <t>No</t>
        </is>
      </c>
      <c r="AO15" s="25">
        <f>IF(AN15="No",10,0)</f>
        <v/>
      </c>
      <c r="AP15" s="25" t="inlineStr">
        <is>
          <t>No</t>
        </is>
      </c>
      <c r="AQ15" s="25">
        <f>IF(AP15="No",10,IF(AP15= "Yes CEO Resignation",-5,0))</f>
        <v/>
      </c>
      <c r="AR15" s="25" t="inlineStr">
        <is>
          <t>No</t>
        </is>
      </c>
      <c r="AS15" s="25">
        <f>IF(AR15="No",10,IF(AR15="Yes",-5,0))</f>
        <v/>
      </c>
      <c r="AT15" s="25" t="inlineStr">
        <is>
          <t>No</t>
        </is>
      </c>
      <c r="AU15" s="25">
        <f>IF(AT15="No",5,IF(AT15="Yes",-5,0))</f>
        <v/>
      </c>
      <c r="AV15" s="25" t="inlineStr">
        <is>
          <t>Yes</t>
        </is>
      </c>
      <c r="AW15" s="25">
        <f>IF(AV15="Yes",10,0)</f>
        <v/>
      </c>
      <c r="AX15" s="25" t="inlineStr">
        <is>
          <t>Yes</t>
        </is>
      </c>
      <c r="AY15" s="25">
        <f>IF(AX15="Yes",10,0)</f>
        <v/>
      </c>
      <c r="AZ15" s="25" t="inlineStr">
        <is>
          <t>Yes</t>
        </is>
      </c>
      <c r="BA15" s="25">
        <f>IF(AZ15="Yes",10,0)</f>
        <v/>
      </c>
      <c r="BB15" s="25" t="inlineStr">
        <is>
          <t>P/BV less than 2.5x and Growth less than 20%</t>
        </is>
      </c>
      <c r="BC15" s="25">
        <f>IF(BB15="P/BV less than 2.5x and Growth more than 20%",20,IF(BB15 = "P/BV less than 2.5x and Growth less than 20%",5,IF(BB15="P/BV between 2.5x to 5x and Growth more than 20%",10,IF(BB15= "P/BV between 2.5x to 5x and Growth less than 20%",-5,IF(BB15= "P/BV above 5x",-5,0)))))</f>
        <v/>
      </c>
      <c r="BD15" s="25" t="inlineStr">
        <is>
          <t>20 to 40</t>
        </is>
      </c>
      <c r="BE15" s="25">
        <f>IF(BD15="Above 40",20,IF(BD15="20 to 40",10,IF(BD15="0 to 20",-5,0)))</f>
        <v/>
      </c>
      <c r="BF15" s="25" t="inlineStr">
        <is>
          <t>Between 50 to 75</t>
        </is>
      </c>
      <c r="BG15" s="25">
        <f>IF(BF15="Between 50 to 75",10,IF(BF15="Above 75",0,0))</f>
        <v/>
      </c>
      <c r="BH15" s="25" t="inlineStr">
        <is>
          <t>Stage 2</t>
        </is>
      </c>
      <c r="BI15" s="25">
        <f>IF(BH15="Stage 2",20,IF(BH15="Stage 1",0,IF(BH15="Stage 3",5,IF(BH15="Stage 4",-5,0))))</f>
        <v/>
      </c>
      <c r="BJ15" s="25" t="inlineStr">
        <is>
          <t>Positive Trend</t>
        </is>
      </c>
      <c r="BK15" s="25">
        <f>IF(BJ15="Positive Trend",20,IF(BJ15="Negative Trend",-10,0))</f>
        <v/>
      </c>
      <c r="BL15" s="25" t="inlineStr">
        <is>
          <t>Uptrend</t>
        </is>
      </c>
      <c r="BM15" s="25">
        <f>IF(BL15="Uptrend",10,IF(BL15="Sideways",5,0))</f>
        <v/>
      </c>
      <c r="BN15" s="25" t="inlineStr">
        <is>
          <t>Uptrend</t>
        </is>
      </c>
      <c r="BO15" s="25">
        <f>IF(BN15="Uptrend",10,IF(BN15="Sideways",5,0))</f>
        <v/>
      </c>
      <c r="BP15" s="25" t="inlineStr">
        <is>
          <t>Close to 52 week high or retracement</t>
        </is>
      </c>
      <c r="BQ15" s="25">
        <f>IF(BP15="Overhead supply in last 2 years in last 2 years",-5,IF(BP15="Close to 52 week high or retracement",5,IF(BP15="Blue sky scenario",10,IF(BP15="Long term Downtrend",-10,0))))</f>
        <v/>
      </c>
      <c r="BR15" s="25" t="inlineStr">
        <is>
          <t>Yes</t>
        </is>
      </c>
      <c r="BS15" s="25">
        <f>IF(BR15="Yes",10,0)</f>
        <v/>
      </c>
    </row>
    <row r="16">
      <c r="A16" s="25">
        <f>IF(B16=0,"",RANK(B16,$B$2:$B$33,0))</f>
        <v/>
      </c>
      <c r="B16" s="26">
        <f>SUM(Q16,S16,U16,W16,Y16,AA16,AC16,AE16,AG16,AI16,AK16,AM16,AO16,AQ16,AS16,AU16,AW16,AY16,BA16,BC16,BE16,BG16,BI16,BK16,BM16,BO16,BQ16,BS16)</f>
        <v/>
      </c>
      <c r="C16" s="25" t="inlineStr">
        <is>
          <t>MONARCH</t>
        </is>
      </c>
      <c r="D16" s="25" t="inlineStr">
        <is>
          <t>Monarch Networth Capital Ltd</t>
        </is>
      </c>
      <c r="E16" s="25" t="inlineStr">
        <is>
          <t>financials</t>
        </is>
      </c>
      <c r="F16" s="25" t="inlineStr">
        <is>
          <t>finance &amp; investments</t>
        </is>
      </c>
      <c r="G16" s="25" t="inlineStr">
        <is>
          <t>smallcap</t>
        </is>
      </c>
      <c r="H16" s="26" t="n">
        <v>2614.27</v>
      </c>
      <c r="I16" s="26" t="n">
        <v>340.4</v>
      </c>
      <c r="J16" s="26" t="n">
        <v>3.21</v>
      </c>
      <c r="K16" s="26" t="n">
        <v>85150</v>
      </c>
      <c r="L16" s="26" t="n">
        <v>63.29</v>
      </c>
      <c r="M16" s="26" t="n">
        <v>20.84</v>
      </c>
      <c r="N16" s="26" t="n">
        <v>268.81</v>
      </c>
      <c r="O16" s="25" t="inlineStr">
        <is>
          <t>Earnings / Momentum Support</t>
        </is>
      </c>
      <c r="P16" s="25" t="inlineStr">
        <is>
          <t>Growing Industry</t>
        </is>
      </c>
      <c r="Q16" s="25">
        <f>IF(P16="Growing Industry",10,IF(P16="Cyclical in an Upturn",5,0))</f>
        <v/>
      </c>
      <c r="R16" s="25" t="inlineStr">
        <is>
          <t>Fragmented with High ROE</t>
        </is>
      </c>
      <c r="S16" s="25">
        <f>IF(R16="Fragmented with Low ROE",-5,IF(R16="Fragmented with High ROE",10,IF(R16= "highly cyclical",5,0)))</f>
        <v/>
      </c>
      <c r="T16" s="25" t="inlineStr">
        <is>
          <t>Yes</t>
        </is>
      </c>
      <c r="U16" s="25">
        <f>IF(T16="No",5,0)</f>
        <v/>
      </c>
      <c r="V16" s="25" t="inlineStr">
        <is>
          <t>Tailwind</t>
        </is>
      </c>
      <c r="W16" s="25">
        <f>IF(V16="Tailwind",10,0)</f>
        <v/>
      </c>
      <c r="X16" s="25" t="inlineStr">
        <is>
          <t>Structural (10 Years Consistency)</t>
        </is>
      </c>
      <c r="Y16" s="25">
        <f>IF(X16="Structural (10 Years Consistency)",15,IF(X16="Shallow Cyclical (2 to 3 years growth)",10,IF(X16 = "Cyclical in an Uptick",5,IF(X16 = "Cyclical in an Downtick",-10,0))))</f>
        <v/>
      </c>
      <c r="Z16" s="25" t="inlineStr">
        <is>
          <t>Yes</t>
        </is>
      </c>
      <c r="AA16" s="25">
        <f>IF(Z16="Yes",10,0)</f>
        <v/>
      </c>
      <c r="AB16" s="25" t="inlineStr">
        <is>
          <t>Yes</t>
        </is>
      </c>
      <c r="AC16" s="25">
        <f>IF(AB16="Yes",10,0)</f>
        <v/>
      </c>
      <c r="AD16" s="25" t="n"/>
      <c r="AE16" s="25">
        <f>IF(AD16="No",10,0)</f>
        <v/>
      </c>
      <c r="AF16" s="25" t="inlineStr">
        <is>
          <t>Yes</t>
        </is>
      </c>
      <c r="AG16" s="25">
        <f>IF(AF16="Yes",10,0)</f>
        <v/>
      </c>
      <c r="AH16" s="25" t="inlineStr">
        <is>
          <t>No</t>
        </is>
      </c>
      <c r="AI16" s="25">
        <f>IF(AH16="Yes",10,0)</f>
        <v/>
      </c>
      <c r="AJ16" s="25" t="inlineStr">
        <is>
          <t>Yes</t>
        </is>
      </c>
      <c r="AK16" s="25">
        <f>IF(AJ16="Yes",5,0)</f>
        <v/>
      </c>
      <c r="AL16" s="25" t="inlineStr">
        <is>
          <t>No</t>
        </is>
      </c>
      <c r="AM16" s="25">
        <f>IF(AL16="No",10,IF(AL16="Yes",-10,0))</f>
        <v/>
      </c>
      <c r="AN16" s="25" t="inlineStr">
        <is>
          <t>No</t>
        </is>
      </c>
      <c r="AO16" s="25">
        <f>IF(AN16="No",10,0)</f>
        <v/>
      </c>
      <c r="AP16" s="25" t="inlineStr">
        <is>
          <t>No</t>
        </is>
      </c>
      <c r="AQ16" s="25">
        <f>IF(AP16="No",10,IF(AP16= "Yes CEO Resignation",-5,0))</f>
        <v/>
      </c>
      <c r="AR16" s="25" t="inlineStr">
        <is>
          <t>No</t>
        </is>
      </c>
      <c r="AS16" s="25">
        <f>IF(AR16="No",10,IF(AR16="Yes",-5,0))</f>
        <v/>
      </c>
      <c r="AT16" s="25" t="inlineStr">
        <is>
          <t>No</t>
        </is>
      </c>
      <c r="AU16" s="25">
        <f>IF(AT16="No",5,IF(AT16="Yes",-5,0))</f>
        <v/>
      </c>
      <c r="AV16" s="25" t="inlineStr">
        <is>
          <t>Yes</t>
        </is>
      </c>
      <c r="AW16" s="25">
        <f>IF(AV16="Yes",10,0)</f>
        <v/>
      </c>
      <c r="AX16" s="25" t="inlineStr">
        <is>
          <t>Yes</t>
        </is>
      </c>
      <c r="AY16" s="25">
        <f>IF(AX16="Yes",10,0)</f>
        <v/>
      </c>
      <c r="AZ16" s="25" t="inlineStr">
        <is>
          <t>Yes</t>
        </is>
      </c>
      <c r="BA16" s="25">
        <f>IF(AZ16="Yes",10,0)</f>
        <v/>
      </c>
      <c r="BB16" s="25" t="inlineStr">
        <is>
          <t>P/BV between 2.5x to 5x and Growth more than 20%</t>
        </is>
      </c>
      <c r="BC16" s="25">
        <f>IF(BB16="P/BV less than 2.5x and Growth more than 20%",20,IF(BB16 = "P/BV less than 2.5x and Growth less than 20%",5,IF(BB16="P/BV between 2.5x to 5x and Growth more than 20%",10,IF(BB16= "P/BV between 2.5x to 5x and Growth less than 20%",-5,IF(BB16= "P/BV above 5x",-5,0)))))</f>
        <v/>
      </c>
      <c r="BD16" s="25" t="inlineStr">
        <is>
          <t>20 to 40</t>
        </is>
      </c>
      <c r="BE16" s="25">
        <f>IF(BD16="Above 40",20,IF(BD16="20 to 40",10,IF(BD16="0 to 20",-5,0)))</f>
        <v/>
      </c>
      <c r="BF16" s="25" t="inlineStr">
        <is>
          <t>Between 50 to 75</t>
        </is>
      </c>
      <c r="BG16" s="25">
        <f>IF(BF16="Between 50 to 75",10,IF(BF16="Above 75",0,0))</f>
        <v/>
      </c>
      <c r="BH16" s="25" t="inlineStr">
        <is>
          <t>Stage 2</t>
        </is>
      </c>
      <c r="BI16" s="25">
        <f>IF(BH16="Stage 2",20,IF(BH16="Stage 1",0,IF(BH16="Stage 3",5,IF(BH16="Stage 4",-5,0))))</f>
        <v/>
      </c>
      <c r="BJ16" s="25" t="inlineStr">
        <is>
          <t>Positive Trend</t>
        </is>
      </c>
      <c r="BK16" s="25">
        <f>IF(BJ16="Positive Trend",20,IF(BJ16="Negative Trend",-10,0))</f>
        <v/>
      </c>
      <c r="BL16" s="25" t="inlineStr">
        <is>
          <t>Uptrend</t>
        </is>
      </c>
      <c r="BM16" s="25">
        <f>IF(BL16="Uptrend",10,IF(BL16="Sideways",5,0))</f>
        <v/>
      </c>
      <c r="BN16" s="25" t="inlineStr">
        <is>
          <t>Uptrend</t>
        </is>
      </c>
      <c r="BO16" s="25">
        <f>IF(BN16="Uptrend",10,IF(BN16="Sideways",5,0))</f>
        <v/>
      </c>
      <c r="BP16" s="25" t="inlineStr">
        <is>
          <t>Close to 52 week high or retracement</t>
        </is>
      </c>
      <c r="BQ16" s="25">
        <f>IF(BP16="Overhead supply in last 2 years in last 2 years",-5,IF(BP16="Close to 52 week high or retracement",5,IF(BP16="Blue sky scenario",10,IF(BP16="Long term Downtrend",-10,0))))</f>
        <v/>
      </c>
      <c r="BR16" s="25" t="inlineStr">
        <is>
          <t>Yes</t>
        </is>
      </c>
      <c r="BS16" s="25">
        <f>IF(BR16="Yes",10,0)</f>
        <v/>
      </c>
    </row>
    <row r="17">
      <c r="A17" s="25">
        <f>IF(B17=0,"",RANK(B17,$B$2:$B$33,0))</f>
        <v/>
      </c>
      <c r="B17" s="26">
        <f>SUM(Q17,S17,U17,W17,Y17,AA17,AC17,AE17,AG17,AI17,AK17,AM17,AO17,AQ17,AS17,AU17,AW17,AY17,BA17,BC17,BE17,BG17,BI17,BK17,BM17,BO17,BQ17,BS17)</f>
        <v/>
      </c>
      <c r="C17" s="25" t="inlineStr">
        <is>
          <t>ANGELONE</t>
        </is>
      </c>
      <c r="D17" s="25" t="inlineStr">
        <is>
          <t>Angel One Ltd</t>
        </is>
      </c>
      <c r="E17" s="25" t="inlineStr">
        <is>
          <t>financials</t>
        </is>
      </c>
      <c r="F17" s="25" t="inlineStr">
        <is>
          <t>finance &amp; investments</t>
        </is>
      </c>
      <c r="G17" s="25" t="inlineStr">
        <is>
          <t>largecap</t>
        </is>
      </c>
      <c r="H17" s="26" t="n">
        <v>30568.44</v>
      </c>
      <c r="I17" s="26" t="n">
        <v>342.65</v>
      </c>
      <c r="J17" s="26" t="n">
        <v>2.1</v>
      </c>
      <c r="K17" s="26" t="n">
        <v>6132413</v>
      </c>
      <c r="L17" s="26" t="n">
        <v>65.98</v>
      </c>
      <c r="M17" s="26" t="n">
        <v>26.87</v>
      </c>
      <c r="N17" s="26" t="n">
        <v>263.75</v>
      </c>
      <c r="O17" s="25" t="inlineStr">
        <is>
          <t>Near 52W High Breakout</t>
        </is>
      </c>
      <c r="P17" s="25" t="inlineStr">
        <is>
          <t>Growing Industry</t>
        </is>
      </c>
      <c r="Q17" s="25">
        <f>IF(P17="Growing Industry",10,IF(P17="Cyclical in an Upturn",5,0))</f>
        <v/>
      </c>
      <c r="R17" s="25" t="inlineStr">
        <is>
          <t>Fragmented with High ROE</t>
        </is>
      </c>
      <c r="S17" s="25">
        <f>IF(R17="Fragmented with Low ROE",-5,IF(R17="Fragmented with High ROE",10,IF(R17= "highly cyclical",5,0)))</f>
        <v/>
      </c>
      <c r="T17" s="25" t="inlineStr">
        <is>
          <t>Yes</t>
        </is>
      </c>
      <c r="U17" s="25">
        <f>IF(T17="No",5,0)</f>
        <v/>
      </c>
      <c r="V17" s="25" t="inlineStr">
        <is>
          <t>Tailwind</t>
        </is>
      </c>
      <c r="W17" s="25">
        <f>IF(V17="Tailwind",10,0)</f>
        <v/>
      </c>
      <c r="X17" s="25" t="inlineStr">
        <is>
          <t>Structural (10 Years Consistency)</t>
        </is>
      </c>
      <c r="Y17" s="25">
        <f>IF(X17="Structural (10 Years Consistency)",15,IF(X17="Shallow Cyclical (2 to 3 years growth)",10,IF(X17 = "Cyclical in an Uptick",5,IF(X17 = "Cyclical in an Downtick",-10,0))))</f>
        <v/>
      </c>
      <c r="Z17" s="25" t="inlineStr">
        <is>
          <t>Yes</t>
        </is>
      </c>
      <c r="AA17" s="25">
        <f>IF(Z17="Yes",10,0)</f>
        <v/>
      </c>
      <c r="AB17" s="25" t="inlineStr">
        <is>
          <t>Yes</t>
        </is>
      </c>
      <c r="AC17" s="25">
        <f>IF(AB17="Yes",10,0)</f>
        <v/>
      </c>
      <c r="AD17" s="25" t="n"/>
      <c r="AE17" s="25">
        <f>IF(AD17="No",10,0)</f>
        <v/>
      </c>
      <c r="AF17" s="25" t="inlineStr">
        <is>
          <t>Yes</t>
        </is>
      </c>
      <c r="AG17" s="25">
        <f>IF(AF17="Yes",10,0)</f>
        <v/>
      </c>
      <c r="AH17" s="25" t="inlineStr">
        <is>
          <t>Yes</t>
        </is>
      </c>
      <c r="AI17" s="25">
        <f>IF(AH17="Yes",10,0)</f>
        <v/>
      </c>
      <c r="AJ17" s="25" t="inlineStr">
        <is>
          <t>Yes</t>
        </is>
      </c>
      <c r="AK17" s="25">
        <f>IF(AJ17="Yes",5,0)</f>
        <v/>
      </c>
      <c r="AL17" s="25" t="inlineStr">
        <is>
          <t>No</t>
        </is>
      </c>
      <c r="AM17" s="25">
        <f>IF(AL17="No",10,IF(AL17="Yes",-10,0))</f>
        <v/>
      </c>
      <c r="AN17" s="25" t="inlineStr">
        <is>
          <t>No</t>
        </is>
      </c>
      <c r="AO17" s="25">
        <f>IF(AN17="No",10,0)</f>
        <v/>
      </c>
      <c r="AP17" s="25" t="inlineStr">
        <is>
          <t>No</t>
        </is>
      </c>
      <c r="AQ17" s="25">
        <f>IF(AP17="No",10,IF(AP17= "Yes CEO Resignation",-5,0))</f>
        <v/>
      </c>
      <c r="AR17" s="25" t="inlineStr">
        <is>
          <t>No</t>
        </is>
      </c>
      <c r="AS17" s="25">
        <f>IF(AR17="No",10,IF(AR17="Yes",-5,0))</f>
        <v/>
      </c>
      <c r="AT17" s="25" t="inlineStr">
        <is>
          <t>No</t>
        </is>
      </c>
      <c r="AU17" s="25">
        <f>IF(AT17="No",5,IF(AT17="Yes",-5,0))</f>
        <v/>
      </c>
      <c r="AV17" s="25" t="inlineStr">
        <is>
          <t>Yes</t>
        </is>
      </c>
      <c r="AW17" s="25">
        <f>IF(AV17="Yes",10,0)</f>
        <v/>
      </c>
      <c r="AX17" s="25" t="inlineStr">
        <is>
          <t>Yes</t>
        </is>
      </c>
      <c r="AY17" s="25">
        <f>IF(AX17="Yes",10,0)</f>
        <v/>
      </c>
      <c r="AZ17" s="25" t="inlineStr">
        <is>
          <t>Yes</t>
        </is>
      </c>
      <c r="BA17" s="25">
        <f>IF(AZ17="Yes",10,0)</f>
        <v/>
      </c>
      <c r="BB17" s="25" t="inlineStr">
        <is>
          <t>P/BV above 5x</t>
        </is>
      </c>
      <c r="BC17" s="25">
        <f>IF(BB17="P/BV less than 2.5x and Growth more than 20%",20,IF(BB17 = "P/BV less than 2.5x and Growth less than 20%",5,IF(BB17="P/BV between 2.5x to 5x and Growth more than 20%",10,IF(BB17= "P/BV between 2.5x to 5x and Growth less than 20%",-5,IF(BB17= "P/BV above 5x",-5,0)))))</f>
        <v/>
      </c>
      <c r="BD17" s="25" t="inlineStr">
        <is>
          <t>20 to 40</t>
        </is>
      </c>
      <c r="BE17" s="25">
        <f>IF(BD17="Above 40",20,IF(BD17="20 to 40",10,IF(BD17="0 to 20",-5,0)))</f>
        <v/>
      </c>
      <c r="BF17" s="25" t="inlineStr">
        <is>
          <t>Between 50 to 75</t>
        </is>
      </c>
      <c r="BG17" s="25">
        <f>IF(BF17="Between 50 to 75",10,IF(BF17="Above 75",0,0))</f>
        <v/>
      </c>
      <c r="BH17" s="25" t="inlineStr">
        <is>
          <t>Stage 2</t>
        </is>
      </c>
      <c r="BI17" s="25">
        <f>IF(BH17="Stage 2",20,IF(BH17="Stage 1",0,IF(BH17="Stage 3",5,IF(BH17="Stage 4",-5,0))))</f>
        <v/>
      </c>
      <c r="BJ17" s="25" t="inlineStr">
        <is>
          <t>Positive Trend</t>
        </is>
      </c>
      <c r="BK17" s="25">
        <f>IF(BJ17="Positive Trend",20,IF(BJ17="Negative Trend",-10,0))</f>
        <v/>
      </c>
      <c r="BL17" s="25" t="inlineStr">
        <is>
          <t>Uptrend</t>
        </is>
      </c>
      <c r="BM17" s="25">
        <f>IF(BL17="Uptrend",10,IF(BL17="Sideways",5,0))</f>
        <v/>
      </c>
      <c r="BN17" s="25" t="inlineStr">
        <is>
          <t>Uptrend</t>
        </is>
      </c>
      <c r="BO17" s="25">
        <f>IF(BN17="Uptrend",10,IF(BN17="Sideways",5,0))</f>
        <v/>
      </c>
      <c r="BP17" s="25" t="inlineStr">
        <is>
          <t>Blue sky scenario</t>
        </is>
      </c>
      <c r="BQ17" s="25">
        <f>IF(BP17="Overhead supply in last 2 years in last 2 years",-5,IF(BP17="Close to 52 week high or retracement",5,IF(BP17="Blue sky scenario",10,IF(BP17="Long term Downtrend",-10,0))))</f>
        <v/>
      </c>
      <c r="BR17" s="25" t="inlineStr">
        <is>
          <t>Yes</t>
        </is>
      </c>
      <c r="BS17" s="25">
        <f>IF(BR17="Yes",10,0)</f>
        <v/>
      </c>
    </row>
    <row r="18">
      <c r="A18" s="25">
        <f>IF(B18=0,"",RANK(B18,$B$2:$B$33,0))</f>
        <v/>
      </c>
      <c r="B18" s="26">
        <f>SUM(Q18,S18,U18,W18,Y18,AA18,AC18,AE18,AG18,AI18,AK18,AM18,AO18,AQ18,AS18,AU18,AW18,AY18,BA18,BC18,BE18,BG18,BI18,BK18,BM18,BO18,BQ18,BS18)</f>
        <v/>
      </c>
      <c r="C18" s="25" t="inlineStr">
        <is>
          <t>OFSS</t>
        </is>
      </c>
      <c r="D18" s="25" t="inlineStr">
        <is>
          <t>Oracle Financial Services Software Limited</t>
        </is>
      </c>
      <c r="E18" s="25" t="inlineStr">
        <is>
          <t>i.t</t>
        </is>
      </c>
      <c r="F18" s="25" t="inlineStr">
        <is>
          <t>computers - software - large</t>
        </is>
      </c>
      <c r="G18" s="25" t="inlineStr">
        <is>
          <t>largecap</t>
        </is>
      </c>
      <c r="H18" s="26" t="n">
        <v>88697.5</v>
      </c>
      <c r="I18" s="26" t="n">
        <v>10344.5</v>
      </c>
      <c r="J18" s="26" t="n">
        <v>1.51</v>
      </c>
      <c r="K18" s="26" t="n">
        <v>528415</v>
      </c>
      <c r="L18" s="26" t="n">
        <v>74.18000000000001</v>
      </c>
      <c r="M18" s="26" t="n">
        <v>36.84</v>
      </c>
      <c r="N18" s="26" t="n">
        <v>8415.290000000001</v>
      </c>
      <c r="O18" s="25" t="inlineStr">
        <is>
          <t>Near 52W High Breakout</t>
        </is>
      </c>
      <c r="P18" s="25" t="inlineStr">
        <is>
          <t>Growing Industry</t>
        </is>
      </c>
      <c r="Q18" s="25">
        <f>IF(P18="Growing Industry",10,IF(P18="Cyclical in an Upturn",5,0))</f>
        <v/>
      </c>
      <c r="R18" s="25" t="inlineStr">
        <is>
          <t>Fragmented with High ROE</t>
        </is>
      </c>
      <c r="S18" s="25">
        <f>IF(R18="Fragmented with Low ROE",-5,IF(R18="Fragmented with High ROE",10,IF(R18= "highly cyclical",5,0)))</f>
        <v/>
      </c>
      <c r="T18" s="25" t="inlineStr">
        <is>
          <t>No</t>
        </is>
      </c>
      <c r="U18" s="25">
        <f>IF(T18="No",5,0)</f>
        <v/>
      </c>
      <c r="V18" s="25" t="inlineStr">
        <is>
          <t>Tailwind</t>
        </is>
      </c>
      <c r="W18" s="25">
        <f>IF(V18="Tailwind",10,0)</f>
        <v/>
      </c>
      <c r="X18" s="25" t="inlineStr">
        <is>
          <t>Structural (10 Years Consistency)</t>
        </is>
      </c>
      <c r="Y18" s="25">
        <f>IF(X18="Structural (10 Years Consistency)",15,IF(X18="Shallow Cyclical (2 to 3 years growth)",10,IF(X18 = "Cyclical in an Uptick",5,IF(X18 = "Cyclical in an Downtick",-10,0))))</f>
        <v/>
      </c>
      <c r="Z18" s="25" t="inlineStr">
        <is>
          <t>Yes</t>
        </is>
      </c>
      <c r="AA18" s="25">
        <f>IF(Z18="Yes",10,0)</f>
        <v/>
      </c>
      <c r="AB18" s="25" t="inlineStr">
        <is>
          <t>Yes</t>
        </is>
      </c>
      <c r="AC18" s="25">
        <f>IF(AB18="Yes",10,0)</f>
        <v/>
      </c>
      <c r="AD18" s="25" t="n"/>
      <c r="AE18" s="25">
        <f>IF(AD18="No",10,0)</f>
        <v/>
      </c>
      <c r="AF18" s="25" t="inlineStr">
        <is>
          <t>Yes</t>
        </is>
      </c>
      <c r="AG18" s="25">
        <f>IF(AF18="Yes",10,0)</f>
        <v/>
      </c>
      <c r="AH18" s="25" t="inlineStr">
        <is>
          <t>Yes</t>
        </is>
      </c>
      <c r="AI18" s="25">
        <f>IF(AH18="Yes",10,0)</f>
        <v/>
      </c>
      <c r="AJ18" s="25" t="inlineStr">
        <is>
          <t>Yes</t>
        </is>
      </c>
      <c r="AK18" s="25">
        <f>IF(AJ18="Yes",5,0)</f>
        <v/>
      </c>
      <c r="AL18" s="25" t="inlineStr">
        <is>
          <t>No</t>
        </is>
      </c>
      <c r="AM18" s="25">
        <f>IF(AL18="No",10,IF(AL18="Yes",-10,0))</f>
        <v/>
      </c>
      <c r="AN18" s="25" t="inlineStr">
        <is>
          <t>No</t>
        </is>
      </c>
      <c r="AO18" s="25">
        <f>IF(AN18="No",10,0)</f>
        <v/>
      </c>
      <c r="AP18" s="25" t="inlineStr">
        <is>
          <t>No</t>
        </is>
      </c>
      <c r="AQ18" s="25">
        <f>IF(AP18="No",10,IF(AP18= "Yes CEO Resignation",-5,0))</f>
        <v/>
      </c>
      <c r="AR18" s="25" t="inlineStr">
        <is>
          <t>No</t>
        </is>
      </c>
      <c r="AS18" s="25">
        <f>IF(AR18="No",10,IF(AR18="Yes",-5,0))</f>
        <v/>
      </c>
      <c r="AT18" s="25" t="inlineStr">
        <is>
          <t>No</t>
        </is>
      </c>
      <c r="AU18" s="25">
        <f>IF(AT18="No",5,IF(AT18="Yes",-5,0))</f>
        <v/>
      </c>
      <c r="AV18" s="25" t="inlineStr">
        <is>
          <t>Yes</t>
        </is>
      </c>
      <c r="AW18" s="25">
        <f>IF(AV18="Yes",10,0)</f>
        <v/>
      </c>
      <c r="AX18" s="25" t="inlineStr">
        <is>
          <t>Yes</t>
        </is>
      </c>
      <c r="AY18" s="25">
        <f>IF(AX18="Yes",10,0)</f>
        <v/>
      </c>
      <c r="AZ18" s="25" t="inlineStr">
        <is>
          <t>Yes</t>
        </is>
      </c>
      <c r="BA18" s="25">
        <f>IF(AZ18="Yes",10,0)</f>
        <v/>
      </c>
      <c r="BB18" s="25" t="inlineStr">
        <is>
          <t>P/BV above 5x</t>
        </is>
      </c>
      <c r="BC18" s="25">
        <f>IF(BB18="P/BV less than 2.5x and Growth more than 20%",20,IF(BB18 = "P/BV less than 2.5x and Growth less than 20%",5,IF(BB18="P/BV between 2.5x to 5x and Growth more than 20%",10,IF(BB18= "P/BV between 2.5x to 5x and Growth less than 20%",-5,IF(BB18= "P/BV above 5x",-5,0)))))</f>
        <v/>
      </c>
      <c r="BD18" s="25" t="inlineStr">
        <is>
          <t>20 to 40</t>
        </is>
      </c>
      <c r="BE18" s="25">
        <f>IF(BD18="Above 40",20,IF(BD18="20 to 40",10,IF(BD18="0 to 20",-5,0)))</f>
        <v/>
      </c>
      <c r="BF18" s="25" t="inlineStr">
        <is>
          <t>Between 50 to 75</t>
        </is>
      </c>
      <c r="BG18" s="25">
        <f>IF(BF18="Between 50 to 75",10,IF(BF18="Above 75",0,0))</f>
        <v/>
      </c>
      <c r="BH18" s="25" t="inlineStr">
        <is>
          <t>Stage 2</t>
        </is>
      </c>
      <c r="BI18" s="25">
        <f>IF(BH18="Stage 2",20,IF(BH18="Stage 1",0,IF(BH18="Stage 3",5,IF(BH18="Stage 4",-5,0))))</f>
        <v/>
      </c>
      <c r="BJ18" s="25" t="inlineStr">
        <is>
          <t>Positive Trend</t>
        </is>
      </c>
      <c r="BK18" s="25">
        <f>IF(BJ18="Positive Trend",20,IF(BJ18="Negative Trend",-10,0))</f>
        <v/>
      </c>
      <c r="BL18" s="25" t="inlineStr">
        <is>
          <t>Uptrend</t>
        </is>
      </c>
      <c r="BM18" s="25">
        <f>IF(BL18="Uptrend",10,IF(BL18="Sideways",5,0))</f>
        <v/>
      </c>
      <c r="BN18" s="25" t="inlineStr">
        <is>
          <t>Uptrend</t>
        </is>
      </c>
      <c r="BO18" s="25">
        <f>IF(BN18="Uptrend",10,IF(BN18="Sideways",5,0))</f>
        <v/>
      </c>
      <c r="BP18" s="25" t="inlineStr">
        <is>
          <t>Close to 52 week high or retracement</t>
        </is>
      </c>
      <c r="BQ18" s="25">
        <f>IF(BP18="Overhead supply in last 2 years in last 2 years",-5,IF(BP18="Close to 52 week high or retracement",5,IF(BP18="Blue sky scenario",10,IF(BP18="Long term Downtrend",-10,0))))</f>
        <v/>
      </c>
      <c r="BR18" s="25" t="inlineStr">
        <is>
          <t>Yes</t>
        </is>
      </c>
      <c r="BS18" s="25">
        <f>IF(BR18="Yes",10,0)</f>
        <v/>
      </c>
    </row>
    <row r="19">
      <c r="A19" s="25">
        <f>IF(B19=0,"",RANK(B19,$B$2:$B$33,0))</f>
        <v/>
      </c>
      <c r="B19" s="26">
        <f>SUM(Q19,S19,U19,W19,Y19,AA19,AC19,AE19,AG19,AI19,AK19,AM19,AO19,AQ19,AS19,AU19,AW19,AY19,BA19,BC19,BE19,BG19,BI19,BK19,BM19,BO19,BQ19,BS19)</f>
        <v/>
      </c>
      <c r="C19" s="25" t="inlineStr">
        <is>
          <t>NIVABUPA</t>
        </is>
      </c>
      <c r="D19" s="25" t="inlineStr">
        <is>
          <t>Niva Bupa Health Insurance Company Ltd</t>
        </is>
      </c>
      <c r="E19" s="25" t="inlineStr">
        <is>
          <t>financials</t>
        </is>
      </c>
      <c r="F19" s="25" t="inlineStr">
        <is>
          <t>finance &amp; investments</t>
        </is>
      </c>
      <c r="G19" s="25" t="inlineStr">
        <is>
          <t>midcap</t>
        </is>
      </c>
      <c r="H19" s="26" t="n">
        <v>15611.01</v>
      </c>
      <c r="I19" s="26" t="n">
        <v>84.03</v>
      </c>
      <c r="J19" s="26" t="n">
        <v>-0.5600000000000001</v>
      </c>
      <c r="K19" s="26" t="n">
        <v>2197963</v>
      </c>
      <c r="L19" s="26" t="n">
        <v>60.39</v>
      </c>
      <c r="M19" s="26" t="n">
        <v>23</v>
      </c>
      <c r="N19" s="26" t="n">
        <v>70.83</v>
      </c>
      <c r="O19" s="25" t="inlineStr">
        <is>
          <t>Earnings / Momentum Support</t>
        </is>
      </c>
      <c r="P19" s="25" t="inlineStr">
        <is>
          <t>Growing Industry</t>
        </is>
      </c>
      <c r="Q19" s="25">
        <f>IF(P19="Growing Industry",10,IF(P19="Cyclical in an Upturn",5,0))</f>
        <v/>
      </c>
      <c r="R19" s="25" t="inlineStr">
        <is>
          <t>Fragmented with High ROE</t>
        </is>
      </c>
      <c r="S19" s="25">
        <f>IF(R19="Fragmented with Low ROE",-5,IF(R19="Fragmented with High ROE",10,IF(R19= "highly cyclical",5,0)))</f>
        <v/>
      </c>
      <c r="T19" s="25" t="inlineStr">
        <is>
          <t>Yes</t>
        </is>
      </c>
      <c r="U19" s="25">
        <f>IF(T19="No",5,0)</f>
        <v/>
      </c>
      <c r="V19" s="25" t="inlineStr">
        <is>
          <t>Tailwind</t>
        </is>
      </c>
      <c r="W19" s="25">
        <f>IF(V19="Tailwind",10,0)</f>
        <v/>
      </c>
      <c r="X19" s="25" t="inlineStr">
        <is>
          <t>Structural (10 Years Consistency)</t>
        </is>
      </c>
      <c r="Y19" s="25">
        <f>IF(X19="Structural (10 Years Consistency)",15,IF(X19="Shallow Cyclical (2 to 3 years growth)",10,IF(X19 = "Cyclical in an Uptick",5,IF(X19 = "Cyclical in an Downtick",-10,0))))</f>
        <v/>
      </c>
      <c r="Z19" s="25" t="inlineStr">
        <is>
          <t>Yes</t>
        </is>
      </c>
      <c r="AA19" s="25">
        <f>IF(Z19="Yes",10,0)</f>
        <v/>
      </c>
      <c r="AB19" s="25" t="inlineStr">
        <is>
          <t>Yes</t>
        </is>
      </c>
      <c r="AC19" s="25">
        <f>IF(AB19="Yes",10,0)</f>
        <v/>
      </c>
      <c r="AD19" s="25" t="n"/>
      <c r="AE19" s="25">
        <f>IF(AD19="No",10,0)</f>
        <v/>
      </c>
      <c r="AF19" s="25" t="inlineStr">
        <is>
          <t>Yes</t>
        </is>
      </c>
      <c r="AG19" s="25">
        <f>IF(AF19="Yes",10,0)</f>
        <v/>
      </c>
      <c r="AH19" s="25" t="inlineStr">
        <is>
          <t>No</t>
        </is>
      </c>
      <c r="AI19" s="25">
        <f>IF(AH19="Yes",10,0)</f>
        <v/>
      </c>
      <c r="AJ19" s="25" t="inlineStr">
        <is>
          <t>Yes</t>
        </is>
      </c>
      <c r="AK19" s="25">
        <f>IF(AJ19="Yes",5,0)</f>
        <v/>
      </c>
      <c r="AL19" s="25" t="inlineStr">
        <is>
          <t>No</t>
        </is>
      </c>
      <c r="AM19" s="25">
        <f>IF(AL19="No",10,IF(AL19="Yes",-10,0))</f>
        <v/>
      </c>
      <c r="AN19" s="25" t="inlineStr">
        <is>
          <t>No</t>
        </is>
      </c>
      <c r="AO19" s="25">
        <f>IF(AN19="No",10,0)</f>
        <v/>
      </c>
      <c r="AP19" s="25" t="inlineStr">
        <is>
          <t>No</t>
        </is>
      </c>
      <c r="AQ19" s="25">
        <f>IF(AP19="No",10,IF(AP19= "Yes CEO Resignation",-5,0))</f>
        <v/>
      </c>
      <c r="AR19" s="25" t="inlineStr">
        <is>
          <t>No</t>
        </is>
      </c>
      <c r="AS19" s="25">
        <f>IF(AR19="No",10,IF(AR19="Yes",-5,0))</f>
        <v/>
      </c>
      <c r="AT19" s="25" t="inlineStr">
        <is>
          <t>No</t>
        </is>
      </c>
      <c r="AU19" s="25">
        <f>IF(AT19="No",5,IF(AT19="Yes",-5,0))</f>
        <v/>
      </c>
      <c r="AV19" s="25" t="inlineStr">
        <is>
          <t>Yes</t>
        </is>
      </c>
      <c r="AW19" s="25">
        <f>IF(AV19="Yes",10,0)</f>
        <v/>
      </c>
      <c r="AX19" s="25" t="inlineStr">
        <is>
          <t>Yes</t>
        </is>
      </c>
      <c r="AY19" s="25">
        <f>IF(AX19="Yes",10,0)</f>
        <v/>
      </c>
      <c r="AZ19" s="25" t="inlineStr">
        <is>
          <t>Yes</t>
        </is>
      </c>
      <c r="BA19" s="25">
        <f>IF(AZ19="Yes",10,0)</f>
        <v/>
      </c>
      <c r="BB19" s="25" t="inlineStr">
        <is>
          <t>P/BV between 2.5x to 5x and Growth more than 20%</t>
        </is>
      </c>
      <c r="BC19" s="25">
        <f>IF(BB19="P/BV less than 2.5x and Growth more than 20%",20,IF(BB19 = "P/BV less than 2.5x and Growth less than 20%",5,IF(BB19="P/BV between 2.5x to 5x and Growth more than 20%",10,IF(BB19= "P/BV between 2.5x to 5x and Growth less than 20%",-5,IF(BB19= "P/BV above 5x",-5,0)))))</f>
        <v/>
      </c>
      <c r="BD19" s="25" t="inlineStr">
        <is>
          <t>20 to 40</t>
        </is>
      </c>
      <c r="BE19" s="25">
        <f>IF(BD19="Above 40",20,IF(BD19="20 to 40",10,IF(BD19="0 to 20",-5,0)))</f>
        <v/>
      </c>
      <c r="BF19" s="25" t="inlineStr">
        <is>
          <t>Between 50 to 75</t>
        </is>
      </c>
      <c r="BG19" s="25">
        <f>IF(BF19="Between 50 to 75",10,IF(BF19="Above 75",0,0))</f>
        <v/>
      </c>
      <c r="BH19" s="25" t="inlineStr">
        <is>
          <t>Stage 2</t>
        </is>
      </c>
      <c r="BI19" s="25">
        <f>IF(BH19="Stage 2",20,IF(BH19="Stage 1",0,IF(BH19="Stage 3",5,IF(BH19="Stage 4",-5,0))))</f>
        <v/>
      </c>
      <c r="BJ19" s="25" t="inlineStr">
        <is>
          <t>Positive Trend</t>
        </is>
      </c>
      <c r="BK19" s="25">
        <f>IF(BJ19="Positive Trend",20,IF(BJ19="Negative Trend",-10,0))</f>
        <v/>
      </c>
      <c r="BL19" s="25" t="inlineStr">
        <is>
          <t>Uptrend</t>
        </is>
      </c>
      <c r="BM19" s="25">
        <f>IF(BL19="Uptrend",10,IF(BL19="Sideways",5,0))</f>
        <v/>
      </c>
      <c r="BN19" s="25" t="inlineStr">
        <is>
          <t>Uptrend</t>
        </is>
      </c>
      <c r="BO19" s="25">
        <f>IF(BN19="Uptrend",10,IF(BN19="Sideways",5,0))</f>
        <v/>
      </c>
      <c r="BP19" s="25" t="inlineStr">
        <is>
          <t>Close to 52 week high or retracement</t>
        </is>
      </c>
      <c r="BQ19" s="25">
        <f>IF(BP19="Overhead supply in last 2 years in last 2 years",-5,IF(BP19="Close to 52 week high or retracement",5,IF(BP19="Blue sky scenario",10,IF(BP19="Long term Downtrend",-10,0))))</f>
        <v/>
      </c>
      <c r="BR19" s="25" t="inlineStr">
        <is>
          <t>Yes</t>
        </is>
      </c>
      <c r="BS19" s="25">
        <f>IF(BR19="Yes",10,0)</f>
        <v/>
      </c>
    </row>
    <row r="20">
      <c r="A20" s="25">
        <f>IF(B20=0,"",RANK(B20,$B$2:$B$33,0))</f>
        <v/>
      </c>
      <c r="B20" s="26">
        <f>SUM(Q20,S20,U20,W20,Y20,AA20,AC20,AE20,AG20,AI20,AK20,AM20,AO20,AQ20,AS20,AU20,AW20,AY20,BA20,BC20,BE20,BG20,BI20,BK20,BM20,BO20,BQ20,BS20)</f>
        <v/>
      </c>
      <c r="C20" s="25" t="inlineStr">
        <is>
          <t>EQUITASBNK</t>
        </is>
      </c>
      <c r="D20" s="25" t="inlineStr">
        <is>
          <t>Equitas Small Finance Bank Ltd</t>
        </is>
      </c>
      <c r="E20" s="25" t="inlineStr">
        <is>
          <t>bank</t>
        </is>
      </c>
      <c r="F20" s="25" t="inlineStr">
        <is>
          <t>banks - private sector</t>
        </is>
      </c>
      <c r="G20" s="25" t="inlineStr">
        <is>
          <t>midcap</t>
        </is>
      </c>
      <c r="H20" s="26" t="n">
        <v>7919.98</v>
      </c>
      <c r="I20" s="26" t="n">
        <v>69.76000000000001</v>
      </c>
      <c r="J20" s="26" t="n">
        <v>0.5</v>
      </c>
      <c r="K20" s="26" t="n">
        <v>2734512</v>
      </c>
      <c r="L20" s="26" t="n">
        <v>57.77</v>
      </c>
      <c r="M20" s="26" t="n">
        <v>19.34</v>
      </c>
      <c r="N20" s="26" t="n">
        <v>57.56</v>
      </c>
      <c r="O20" s="25" t="inlineStr">
        <is>
          <t>Near 52W High Breakout</t>
        </is>
      </c>
      <c r="P20" s="25" t="inlineStr">
        <is>
          <t>Cyclical in an Upturn</t>
        </is>
      </c>
      <c r="Q20" s="25">
        <f>IF(P20="Growing Industry",10,IF(P20="Cyclical in an Upturn",5,0))</f>
        <v/>
      </c>
      <c r="R20" s="25" t="inlineStr">
        <is>
          <t>Fragmented with High ROE</t>
        </is>
      </c>
      <c r="S20" s="25">
        <f>IF(R20="Fragmented with Low ROE",-5,IF(R20="Fragmented with High ROE",10,IF(R20= "highly cyclical",5,0)))</f>
        <v/>
      </c>
      <c r="T20" s="25" t="inlineStr">
        <is>
          <t>No</t>
        </is>
      </c>
      <c r="U20" s="25">
        <f>IF(T20="No",5,0)</f>
        <v/>
      </c>
      <c r="V20" s="25" t="inlineStr">
        <is>
          <t>Tailwind</t>
        </is>
      </c>
      <c r="W20" s="25">
        <f>IF(V20="Tailwind",10,0)</f>
        <v/>
      </c>
      <c r="X20" s="25" t="inlineStr">
        <is>
          <t>Cyclical in an Uptick</t>
        </is>
      </c>
      <c r="Y20" s="25">
        <f>IF(X20="Structural (10 Years Consistency)",15,IF(X20="Shallow Cyclical (2 to 3 years growth)",10,IF(X20 = "Cyclical in an Uptick",5,IF(X20 = "Cyclical in an Downtick",-10,0))))</f>
        <v/>
      </c>
      <c r="Z20" s="25" t="inlineStr">
        <is>
          <t>Yes</t>
        </is>
      </c>
      <c r="AA20" s="25">
        <f>IF(Z20="Yes",10,0)</f>
        <v/>
      </c>
      <c r="AB20" s="25" t="inlineStr">
        <is>
          <t>Yes</t>
        </is>
      </c>
      <c r="AC20" s="25">
        <f>IF(AB20="Yes",10,0)</f>
        <v/>
      </c>
      <c r="AD20" s="25" t="inlineStr">
        <is>
          <t>Yes</t>
        </is>
      </c>
      <c r="AE20" s="25">
        <f>IF(AD20="No",10,0)</f>
        <v/>
      </c>
      <c r="AF20" s="25" t="inlineStr">
        <is>
          <t>Yes</t>
        </is>
      </c>
      <c r="AG20" s="25">
        <f>IF(AF20="Yes",10,0)</f>
        <v/>
      </c>
      <c r="AH20" s="25" t="inlineStr">
        <is>
          <t>Yes</t>
        </is>
      </c>
      <c r="AI20" s="25">
        <f>IF(AH20="Yes",10,0)</f>
        <v/>
      </c>
      <c r="AJ20" s="25" t="inlineStr">
        <is>
          <t>No</t>
        </is>
      </c>
      <c r="AK20" s="25">
        <f>IF(AJ20="Yes",5,0)</f>
        <v/>
      </c>
      <c r="AL20" s="25" t="inlineStr">
        <is>
          <t>No</t>
        </is>
      </c>
      <c r="AM20" s="25">
        <f>IF(AL20="No",10,IF(AL20="Yes",-10,0))</f>
        <v/>
      </c>
      <c r="AN20" s="25" t="inlineStr">
        <is>
          <t>No</t>
        </is>
      </c>
      <c r="AO20" s="25">
        <f>IF(AN20="No",10,0)</f>
        <v/>
      </c>
      <c r="AP20" s="25" t="inlineStr">
        <is>
          <t>No</t>
        </is>
      </c>
      <c r="AQ20" s="25">
        <f>IF(AP20="No",10,IF(AP20= "Yes CEO Resignation",-5,0))</f>
        <v/>
      </c>
      <c r="AR20" s="25" t="inlineStr">
        <is>
          <t>No</t>
        </is>
      </c>
      <c r="AS20" s="25">
        <f>IF(AR20="No",10,IF(AR20="Yes",-5,0))</f>
        <v/>
      </c>
      <c r="AT20" s="25" t="inlineStr">
        <is>
          <t>No</t>
        </is>
      </c>
      <c r="AU20" s="25">
        <f>IF(AT20="No",5,IF(AT20="Yes",-5,0))</f>
        <v/>
      </c>
      <c r="AV20" s="25" t="inlineStr">
        <is>
          <t>Yes</t>
        </is>
      </c>
      <c r="AW20" s="25">
        <f>IF(AV20="Yes",10,0)</f>
        <v/>
      </c>
      <c r="AX20" s="25" t="inlineStr">
        <is>
          <t>No</t>
        </is>
      </c>
      <c r="AY20" s="25">
        <f>IF(AX20="Yes",10,0)</f>
        <v/>
      </c>
      <c r="AZ20" s="25" t="inlineStr">
        <is>
          <t>Yes</t>
        </is>
      </c>
      <c r="BA20" s="25">
        <f>IF(AZ20="Yes",10,0)</f>
        <v/>
      </c>
      <c r="BB20" s="25" t="inlineStr">
        <is>
          <t>P/BV less than 2.5x and Growth more than 20%</t>
        </is>
      </c>
      <c r="BC20" s="25">
        <f>IF(BB20="P/BV less than 2.5x and Growth more than 20%",20,IF(BB20 = "P/BV less than 2.5x and Growth less than 20%",5,IF(BB20="P/BV between 2.5x to 5x and Growth more than 20%",10,IF(BB20= "P/BV between 2.5x to 5x and Growth less than 20%",-5,IF(BB20= "P/BV above 5x",-5,0)))))</f>
        <v/>
      </c>
      <c r="BD20" s="25" t="inlineStr">
        <is>
          <t>20 to 40</t>
        </is>
      </c>
      <c r="BE20" s="25">
        <f>IF(BD20="Above 40",20,IF(BD20="20 to 40",10,IF(BD20="0 to 20",-5,0)))</f>
        <v/>
      </c>
      <c r="BF20" s="25" t="inlineStr">
        <is>
          <t>Between 50 to 75</t>
        </is>
      </c>
      <c r="BG20" s="25">
        <f>IF(BF20="Between 50 to 75",10,IF(BF20="Above 75",0,0))</f>
        <v/>
      </c>
      <c r="BH20" s="25" t="inlineStr">
        <is>
          <t>Stage 2</t>
        </is>
      </c>
      <c r="BI20" s="25">
        <f>IF(BH20="Stage 2",20,IF(BH20="Stage 1",0,IF(BH20="Stage 3",5,IF(BH20="Stage 4",-5,0))))</f>
        <v/>
      </c>
      <c r="BJ20" s="25" t="inlineStr">
        <is>
          <t>Positive Trend</t>
        </is>
      </c>
      <c r="BK20" s="25">
        <f>IF(BJ20="Positive Trend",20,IF(BJ20="Negative Trend",-10,0))</f>
        <v/>
      </c>
      <c r="BL20" s="25" t="inlineStr">
        <is>
          <t>Uptrend</t>
        </is>
      </c>
      <c r="BM20" s="25">
        <f>IF(BL20="Uptrend",10,IF(BL20="Sideways",5,0))</f>
        <v/>
      </c>
      <c r="BN20" s="25" t="inlineStr">
        <is>
          <t>Uptrend</t>
        </is>
      </c>
      <c r="BO20" s="25">
        <f>IF(BN20="Uptrend",10,IF(BN20="Sideways",5,0))</f>
        <v/>
      </c>
      <c r="BP20" s="25" t="inlineStr">
        <is>
          <t>Close to 52 week high or retracement</t>
        </is>
      </c>
      <c r="BQ20" s="25">
        <f>IF(BP20="Overhead supply in last 2 years in last 2 years",-5,IF(BP20="Close to 52 week high or retracement",5,IF(BP20="Blue sky scenario",10,IF(BP20="Long term Downtrend",-10,0))))</f>
        <v/>
      </c>
      <c r="BR20" s="25" t="inlineStr">
        <is>
          <t>Yes</t>
        </is>
      </c>
      <c r="BS20" s="25">
        <f>IF(BR20="Yes",10,0)</f>
        <v/>
      </c>
    </row>
    <row r="21">
      <c r="A21" s="25">
        <f>IF(B21=0,"",RANK(B21,$B$2:$B$33,0))</f>
        <v/>
      </c>
      <c r="B21" s="26">
        <f>SUM(Q21,S21,U21,W21,Y21,AA21,AC21,AE21,AG21,AI21,AK21,AM21,AO21,AQ21,AS21,AU21,AW21,AY21,BA21,BC21,BE21,BG21,BI21,BK21,BM21,BO21,BQ21,BS21)</f>
        <v/>
      </c>
      <c r="C21" s="25" t="inlineStr">
        <is>
          <t>CGCL</t>
        </is>
      </c>
      <c r="D21" s="25" t="inlineStr">
        <is>
          <t>Capri Global Capital Limited</t>
        </is>
      </c>
      <c r="E21" s="25" t="inlineStr">
        <is>
          <t>financials</t>
        </is>
      </c>
      <c r="F21" s="25" t="inlineStr">
        <is>
          <t>finance &amp; investments</t>
        </is>
      </c>
      <c r="G21" s="25" t="inlineStr">
        <is>
          <t>midcap</t>
        </is>
      </c>
      <c r="H21" s="26" t="n">
        <v>19053.53</v>
      </c>
      <c r="I21" s="26" t="n">
        <v>198.77</v>
      </c>
      <c r="J21" s="26" t="n">
        <v>0.37</v>
      </c>
      <c r="K21" s="26" t="n">
        <v>2013593</v>
      </c>
      <c r="L21" s="26" t="n">
        <v>61.12</v>
      </c>
      <c r="M21" s="26" t="n">
        <v>17.1</v>
      </c>
      <c r="N21" s="26" t="n">
        <v>159.11</v>
      </c>
      <c r="O21" s="25" t="inlineStr">
        <is>
          <t>Near 52W High Breakout</t>
        </is>
      </c>
      <c r="P21" s="25" t="inlineStr">
        <is>
          <t>Growing Industry</t>
        </is>
      </c>
      <c r="Q21" s="25">
        <f>IF(P21="Growing Industry",10,IF(P21="Cyclical in an Upturn",5,0))</f>
        <v/>
      </c>
      <c r="R21" s="25" t="inlineStr">
        <is>
          <t>Fragmented with High ROE</t>
        </is>
      </c>
      <c r="S21" s="25">
        <f>IF(R21="Fragmented with Low ROE",-5,IF(R21="Fragmented with High ROE",10,IF(R21= "highly cyclical",5,0)))</f>
        <v/>
      </c>
      <c r="T21" s="25" t="inlineStr">
        <is>
          <t>Yes</t>
        </is>
      </c>
      <c r="U21" s="25">
        <f>IF(T21="No",5,0)</f>
        <v/>
      </c>
      <c r="V21" s="25" t="inlineStr">
        <is>
          <t>Tailwind</t>
        </is>
      </c>
      <c r="W21" s="25">
        <f>IF(V21="Tailwind",10,0)</f>
        <v/>
      </c>
      <c r="X21" s="25" t="inlineStr">
        <is>
          <t>Structural (10 Years Consistency)</t>
        </is>
      </c>
      <c r="Y21" s="25">
        <f>IF(X21="Structural (10 Years Consistency)",15,IF(X21="Shallow Cyclical (2 to 3 years growth)",10,IF(X21 = "Cyclical in an Uptick",5,IF(X21 = "Cyclical in an Downtick",-10,0))))</f>
        <v/>
      </c>
      <c r="Z21" s="25" t="inlineStr">
        <is>
          <t>Yes</t>
        </is>
      </c>
      <c r="AA21" s="25">
        <f>IF(Z21="Yes",10,0)</f>
        <v/>
      </c>
      <c r="AB21" s="25" t="inlineStr">
        <is>
          <t>Yes</t>
        </is>
      </c>
      <c r="AC21" s="25">
        <f>IF(AB21="Yes",10,0)</f>
        <v/>
      </c>
      <c r="AD21" s="25" t="n"/>
      <c r="AE21" s="25">
        <f>IF(AD21="No",10,0)</f>
        <v/>
      </c>
      <c r="AF21" s="25" t="inlineStr">
        <is>
          <t>Yes</t>
        </is>
      </c>
      <c r="AG21" s="25">
        <f>IF(AF21="Yes",10,0)</f>
        <v/>
      </c>
      <c r="AH21" s="25" t="inlineStr">
        <is>
          <t>Yes</t>
        </is>
      </c>
      <c r="AI21" s="25">
        <f>IF(AH21="Yes",10,0)</f>
        <v/>
      </c>
      <c r="AJ21" s="25" t="inlineStr">
        <is>
          <t>Yes</t>
        </is>
      </c>
      <c r="AK21" s="25">
        <f>IF(AJ21="Yes",5,0)</f>
        <v/>
      </c>
      <c r="AL21" s="25" t="inlineStr">
        <is>
          <t>No</t>
        </is>
      </c>
      <c r="AM21" s="25">
        <f>IF(AL21="No",10,IF(AL21="Yes",-10,0))</f>
        <v/>
      </c>
      <c r="AN21" s="25" t="inlineStr">
        <is>
          <t>No</t>
        </is>
      </c>
      <c r="AO21" s="25">
        <f>IF(AN21="No",10,0)</f>
        <v/>
      </c>
      <c r="AP21" s="25" t="inlineStr">
        <is>
          <t>No</t>
        </is>
      </c>
      <c r="AQ21" s="25">
        <f>IF(AP21="No",10,IF(AP21= "Yes CEO Resignation",-5,0))</f>
        <v/>
      </c>
      <c r="AR21" s="25" t="inlineStr">
        <is>
          <t>No</t>
        </is>
      </c>
      <c r="AS21" s="25">
        <f>IF(AR21="No",10,IF(AR21="Yes",-5,0))</f>
        <v/>
      </c>
      <c r="AT21" s="25" t="inlineStr">
        <is>
          <t>No</t>
        </is>
      </c>
      <c r="AU21" s="25">
        <f>IF(AT21="No",5,IF(AT21="Yes",-5,0))</f>
        <v/>
      </c>
      <c r="AV21" s="25" t="inlineStr">
        <is>
          <t>Yes</t>
        </is>
      </c>
      <c r="AW21" s="25">
        <f>IF(AV21="Yes",10,0)</f>
        <v/>
      </c>
      <c r="AX21" s="25" t="inlineStr">
        <is>
          <t>Yes</t>
        </is>
      </c>
      <c r="AY21" s="25">
        <f>IF(AX21="Yes",10,0)</f>
        <v/>
      </c>
      <c r="AZ21" s="25" t="inlineStr">
        <is>
          <t>Yes</t>
        </is>
      </c>
      <c r="BA21" s="25">
        <f>IF(AZ21="Yes",10,0)</f>
        <v/>
      </c>
      <c r="BB21" s="25" t="inlineStr">
        <is>
          <t>P/BV between 2.5x to 5x and Growth more than 20%</t>
        </is>
      </c>
      <c r="BC21" s="25">
        <f>IF(BB21="P/BV less than 2.5x and Growth more than 20%",20,IF(BB21 = "P/BV less than 2.5x and Growth less than 20%",5,IF(BB21="P/BV between 2.5x to 5x and Growth more than 20%",10,IF(BB21= "P/BV between 2.5x to 5x and Growth less than 20%",-5,IF(BB21= "P/BV above 5x",-5,0)))))</f>
        <v/>
      </c>
      <c r="BD21" s="25" t="inlineStr">
        <is>
          <t>0 to 20</t>
        </is>
      </c>
      <c r="BE21" s="25">
        <f>IF(BD21="Above 40",20,IF(BD21="20 to 40",10,IF(BD21="0 to 20",-5,0)))</f>
        <v/>
      </c>
      <c r="BF21" s="25" t="inlineStr">
        <is>
          <t>Between 50 to 75</t>
        </is>
      </c>
      <c r="BG21" s="25">
        <f>IF(BF21="Between 50 to 75",10,IF(BF21="Above 75",0,0))</f>
        <v/>
      </c>
      <c r="BH21" s="25" t="inlineStr">
        <is>
          <t>Stage 2</t>
        </is>
      </c>
      <c r="BI21" s="25">
        <f>IF(BH21="Stage 2",20,IF(BH21="Stage 1",0,IF(BH21="Stage 3",5,IF(BH21="Stage 4",-5,0))))</f>
        <v/>
      </c>
      <c r="BJ21" s="25" t="inlineStr">
        <is>
          <t>Positive Trend</t>
        </is>
      </c>
      <c r="BK21" s="25">
        <f>IF(BJ21="Positive Trend",20,IF(BJ21="Negative Trend",-10,0))</f>
        <v/>
      </c>
      <c r="BL21" s="25" t="inlineStr">
        <is>
          <t>Uptrend</t>
        </is>
      </c>
      <c r="BM21" s="25">
        <f>IF(BL21="Uptrend",10,IF(BL21="Sideways",5,0))</f>
        <v/>
      </c>
      <c r="BN21" s="25" t="inlineStr">
        <is>
          <t>Uptrend</t>
        </is>
      </c>
      <c r="BO21" s="25">
        <f>IF(BN21="Uptrend",10,IF(BN21="Sideways",5,0))</f>
        <v/>
      </c>
      <c r="BP21" s="25" t="inlineStr">
        <is>
          <t>Close to 52 week high or retracement</t>
        </is>
      </c>
      <c r="BQ21" s="25">
        <f>IF(BP21="Overhead supply in last 2 years in last 2 years",-5,IF(BP21="Close to 52 week high or retracement",5,IF(BP21="Blue sky scenario",10,IF(BP21="Long term Downtrend",-10,0))))</f>
        <v/>
      </c>
      <c r="BR21" s="25" t="inlineStr">
        <is>
          <t>Yes</t>
        </is>
      </c>
      <c r="BS21" s="25">
        <f>IF(BR21="Yes",10,0)</f>
        <v/>
      </c>
    </row>
    <row r="22">
      <c r="A22" s="25">
        <f>IF(B22=0,"",RANK(B22,$B$2:$B$33,0))</f>
        <v/>
      </c>
      <c r="B22" s="26">
        <f>SUM(Q22,S22,U22,W22,Y22,AA22,AC22,AE22,AG22,AI22,AK22,AM22,AO22,AQ22,AS22,AU22,AW22,AY22,BA22,BC22,BE22,BG22,BI22,BK22,BM22,BO22,BQ22,BS22)</f>
        <v/>
      </c>
      <c r="C22" s="25" t="inlineStr">
        <is>
          <t>HEALTHX</t>
        </is>
      </c>
      <c r="D22" s="25" t="inlineStr">
        <is>
          <t>Health X Platform Ltd</t>
        </is>
      </c>
      <c r="E22" s="25" t="inlineStr">
        <is>
          <t>financials</t>
        </is>
      </c>
      <c r="F22" s="25" t="inlineStr">
        <is>
          <t>finance &amp; investments</t>
        </is>
      </c>
      <c r="G22" s="25" t="inlineStr">
        <is>
          <t>smallcap</t>
        </is>
      </c>
      <c r="H22" s="26" t="n">
        <v>958.9299999999999</v>
      </c>
      <c r="I22" s="26" t="n">
        <v>301.45</v>
      </c>
      <c r="J22" s="26" t="n">
        <v>0</v>
      </c>
      <c r="K22" s="26" t="n">
        <v>4767</v>
      </c>
      <c r="L22" s="26" t="n">
        <v>55.38</v>
      </c>
      <c r="M22" s="26" t="n">
        <v>14.77</v>
      </c>
      <c r="N22" s="26" t="n">
        <v>234.7</v>
      </c>
      <c r="O22" s="25" t="inlineStr">
        <is>
          <t>Earnings / Momentum Support</t>
        </is>
      </c>
      <c r="P22" s="25" t="inlineStr">
        <is>
          <t>Growing Industry</t>
        </is>
      </c>
      <c r="Q22" s="25">
        <f>IF(P22="Growing Industry",10,IF(P22="Cyclical in an Upturn",5,0))</f>
        <v/>
      </c>
      <c r="R22" s="25" t="inlineStr">
        <is>
          <t>Fragmented with High ROE</t>
        </is>
      </c>
      <c r="S22" s="25">
        <f>IF(R22="Fragmented with Low ROE",-5,IF(R22="Fragmented with High ROE",10,IF(R22= "highly cyclical",5,0)))</f>
        <v/>
      </c>
      <c r="T22" s="25" t="inlineStr">
        <is>
          <t>Yes</t>
        </is>
      </c>
      <c r="U22" s="25">
        <f>IF(T22="No",5,0)</f>
        <v/>
      </c>
      <c r="V22" s="25" t="inlineStr">
        <is>
          <t>Tailwind</t>
        </is>
      </c>
      <c r="W22" s="25">
        <f>IF(V22="Tailwind",10,0)</f>
        <v/>
      </c>
      <c r="X22" s="25" t="inlineStr">
        <is>
          <t>Structural (10 Years Consistency)</t>
        </is>
      </c>
      <c r="Y22" s="25">
        <f>IF(X22="Structural (10 Years Consistency)",15,IF(X22="Shallow Cyclical (2 to 3 years growth)",10,IF(X22 = "Cyclical in an Uptick",5,IF(X22 = "Cyclical in an Downtick",-10,0))))</f>
        <v/>
      </c>
      <c r="Z22" s="25" t="inlineStr">
        <is>
          <t>Yes</t>
        </is>
      </c>
      <c r="AA22" s="25">
        <f>IF(Z22="Yes",10,0)</f>
        <v/>
      </c>
      <c r="AB22" s="25" t="inlineStr">
        <is>
          <t>Yes</t>
        </is>
      </c>
      <c r="AC22" s="25">
        <f>IF(AB22="Yes",10,0)</f>
        <v/>
      </c>
      <c r="AD22" s="25" t="n"/>
      <c r="AE22" s="25">
        <f>IF(AD22="No",10,0)</f>
        <v/>
      </c>
      <c r="AF22" s="25" t="inlineStr">
        <is>
          <t>Yes</t>
        </is>
      </c>
      <c r="AG22" s="25">
        <f>IF(AF22="Yes",10,0)</f>
        <v/>
      </c>
      <c r="AH22" s="25" t="inlineStr">
        <is>
          <t>No</t>
        </is>
      </c>
      <c r="AI22" s="25">
        <f>IF(AH22="Yes",10,0)</f>
        <v/>
      </c>
      <c r="AJ22" s="25" t="inlineStr">
        <is>
          <t>Yes</t>
        </is>
      </c>
      <c r="AK22" s="25">
        <f>IF(AJ22="Yes",5,0)</f>
        <v/>
      </c>
      <c r="AL22" s="25" t="inlineStr">
        <is>
          <t>No</t>
        </is>
      </c>
      <c r="AM22" s="25">
        <f>IF(AL22="No",10,IF(AL22="Yes",-10,0))</f>
        <v/>
      </c>
      <c r="AN22" s="25" t="inlineStr">
        <is>
          <t>No</t>
        </is>
      </c>
      <c r="AO22" s="25">
        <f>IF(AN22="No",10,0)</f>
        <v/>
      </c>
      <c r="AP22" s="25" t="inlineStr">
        <is>
          <t>No</t>
        </is>
      </c>
      <c r="AQ22" s="25">
        <f>IF(AP22="No",10,IF(AP22= "Yes CEO Resignation",-5,0))</f>
        <v/>
      </c>
      <c r="AR22" s="25" t="inlineStr">
        <is>
          <t>No</t>
        </is>
      </c>
      <c r="AS22" s="25">
        <f>IF(AR22="No",10,IF(AR22="Yes",-5,0))</f>
        <v/>
      </c>
      <c r="AT22" s="25" t="inlineStr">
        <is>
          <t>No</t>
        </is>
      </c>
      <c r="AU22" s="25">
        <f>IF(AT22="No",5,IF(AT22="Yes",-5,0))</f>
        <v/>
      </c>
      <c r="AV22" s="25" t="inlineStr">
        <is>
          <t>Yes</t>
        </is>
      </c>
      <c r="AW22" s="25">
        <f>IF(AV22="Yes",10,0)</f>
        <v/>
      </c>
      <c r="AX22" s="25" t="inlineStr">
        <is>
          <t>Yes</t>
        </is>
      </c>
      <c r="AY22" s="25">
        <f>IF(AX22="Yes",10,0)</f>
        <v/>
      </c>
      <c r="AZ22" s="25" t="inlineStr">
        <is>
          <t>Yes</t>
        </is>
      </c>
      <c r="BA22" s="25">
        <f>IF(AZ22="Yes",10,0)</f>
        <v/>
      </c>
      <c r="BB22" s="25" t="inlineStr">
        <is>
          <t>P/BV less than 2.5x and Growth more than 20%</t>
        </is>
      </c>
      <c r="BC22" s="25">
        <f>IF(BB22="P/BV less than 2.5x and Growth more than 20%",20,IF(BB22 = "P/BV less than 2.5x and Growth less than 20%",5,IF(BB22="P/BV between 2.5x to 5x and Growth more than 20%",10,IF(BB22= "P/BV between 2.5x to 5x and Growth less than 20%",-5,IF(BB22= "P/BV above 5x",-5,0)))))</f>
        <v/>
      </c>
      <c r="BD22" s="25" t="inlineStr">
        <is>
          <t>0 to 20</t>
        </is>
      </c>
      <c r="BE22" s="25">
        <f>IF(BD22="Above 40",20,IF(BD22="20 to 40",10,IF(BD22="0 to 20",-5,0)))</f>
        <v/>
      </c>
      <c r="BF22" s="25" t="inlineStr">
        <is>
          <t>Between 50 to 75</t>
        </is>
      </c>
      <c r="BG22" s="25">
        <f>IF(BF22="Between 50 to 75",10,IF(BF22="Above 75",0,0))</f>
        <v/>
      </c>
      <c r="BH22" s="25" t="inlineStr">
        <is>
          <t>Stage 2</t>
        </is>
      </c>
      <c r="BI22" s="25">
        <f>IF(BH22="Stage 2",20,IF(BH22="Stage 1",0,IF(BH22="Stage 3",5,IF(BH22="Stage 4",-5,0))))</f>
        <v/>
      </c>
      <c r="BJ22" s="25" t="inlineStr">
        <is>
          <t>Positive Trend</t>
        </is>
      </c>
      <c r="BK22" s="25">
        <f>IF(BJ22="Positive Trend",20,IF(BJ22="Negative Trend",-10,0))</f>
        <v/>
      </c>
      <c r="BL22" s="25" t="inlineStr">
        <is>
          <t>Uptrend</t>
        </is>
      </c>
      <c r="BM22" s="25">
        <f>IF(BL22="Uptrend",10,IF(BL22="Sideways",5,0))</f>
        <v/>
      </c>
      <c r="BN22" s="25" t="inlineStr">
        <is>
          <t>Uptrend</t>
        </is>
      </c>
      <c r="BO22" s="25">
        <f>IF(BN22="Uptrend",10,IF(BN22="Sideways",5,0))</f>
        <v/>
      </c>
      <c r="BP22" s="25" t="inlineStr">
        <is>
          <t>Close to 52 week high or retracement</t>
        </is>
      </c>
      <c r="BQ22" s="25">
        <f>IF(BP22="Overhead supply in last 2 years in last 2 years",-5,IF(BP22="Close to 52 week high or retracement",5,IF(BP22="Blue sky scenario",10,IF(BP22="Long term Downtrend",-10,0))))</f>
        <v/>
      </c>
      <c r="BR22" s="25" t="inlineStr">
        <is>
          <t>Yes</t>
        </is>
      </c>
      <c r="BS22" s="25">
        <f>IF(BR22="Yes",10,0)</f>
        <v/>
      </c>
    </row>
    <row r="23">
      <c r="A23" s="25">
        <f>IF(B23=0,"",RANK(B23,$B$2:$B$33,0))</f>
        <v/>
      </c>
      <c r="B23" s="26">
        <f>SUM(Q23,S23,U23,W23,Y23,AA23,AC23,AE23,AG23,AI23,AK23,AM23,AO23,AQ23,AS23,AU23,AW23,AY23,BA23,BC23,BE23,BG23,BI23,BK23,BM23,BO23,BQ23,BS23)</f>
        <v/>
      </c>
      <c r="C23" s="25" t="inlineStr">
        <is>
          <t>PAISALO</t>
        </is>
      </c>
      <c r="D23" s="25" t="inlineStr">
        <is>
          <t>Paisalo Digital Ltd</t>
        </is>
      </c>
      <c r="E23" s="25" t="inlineStr">
        <is>
          <t>financials</t>
        </is>
      </c>
      <c r="F23" s="25" t="inlineStr">
        <is>
          <t>finance &amp; investments</t>
        </is>
      </c>
      <c r="G23" s="25" t="inlineStr">
        <is>
          <t>smallcap</t>
        </is>
      </c>
      <c r="H23" s="26" t="n">
        <v>4807.73</v>
      </c>
      <c r="I23" s="26" t="n">
        <v>52.69</v>
      </c>
      <c r="J23" s="26" t="n">
        <v>-0.32</v>
      </c>
      <c r="K23" s="26" t="n">
        <v>12520625</v>
      </c>
      <c r="L23" s="26" t="n">
        <v>71.88</v>
      </c>
      <c r="M23" s="26" t="n">
        <v>28.81</v>
      </c>
      <c r="N23" s="26" t="n">
        <v>40.52</v>
      </c>
      <c r="O23" s="25" t="inlineStr">
        <is>
          <t>Near 52W High Breakout</t>
        </is>
      </c>
      <c r="P23" s="25" t="inlineStr">
        <is>
          <t>Growing Industry</t>
        </is>
      </c>
      <c r="Q23" s="25">
        <f>IF(P23="Growing Industry",10,IF(P23="Cyclical in an Upturn",5,0))</f>
        <v/>
      </c>
      <c r="R23" s="25" t="inlineStr">
        <is>
          <t>Fragmented with High ROE</t>
        </is>
      </c>
      <c r="S23" s="25">
        <f>IF(R23="Fragmented with Low ROE",-5,IF(R23="Fragmented with High ROE",10,IF(R23= "highly cyclical",5,0)))</f>
        <v/>
      </c>
      <c r="T23" s="25" t="inlineStr">
        <is>
          <t>Yes</t>
        </is>
      </c>
      <c r="U23" s="25">
        <f>IF(T23="No",5,0)</f>
        <v/>
      </c>
      <c r="V23" s="25" t="inlineStr">
        <is>
          <t>Tailwind</t>
        </is>
      </c>
      <c r="W23" s="25">
        <f>IF(V23="Tailwind",10,0)</f>
        <v/>
      </c>
      <c r="X23" s="25" t="inlineStr">
        <is>
          <t>Structural (10 Years Consistency)</t>
        </is>
      </c>
      <c r="Y23" s="25">
        <f>IF(X23="Structural (10 Years Consistency)",15,IF(X23="Shallow Cyclical (2 to 3 years growth)",10,IF(X23 = "Cyclical in an Uptick",5,IF(X23 = "Cyclical in an Downtick",-10,0))))</f>
        <v/>
      </c>
      <c r="Z23" s="25" t="inlineStr">
        <is>
          <t>Yes</t>
        </is>
      </c>
      <c r="AA23" s="25">
        <f>IF(Z23="Yes",10,0)</f>
        <v/>
      </c>
      <c r="AB23" s="25" t="inlineStr">
        <is>
          <t>Yes</t>
        </is>
      </c>
      <c r="AC23" s="25">
        <f>IF(AB23="Yes",10,0)</f>
        <v/>
      </c>
      <c r="AD23" s="25" t="n"/>
      <c r="AE23" s="25">
        <f>IF(AD23="No",10,0)</f>
        <v/>
      </c>
      <c r="AF23" s="25" t="inlineStr">
        <is>
          <t>Yes</t>
        </is>
      </c>
      <c r="AG23" s="25">
        <f>IF(AF23="Yes",10,0)</f>
        <v/>
      </c>
      <c r="AH23" s="25" t="inlineStr">
        <is>
          <t>Yes</t>
        </is>
      </c>
      <c r="AI23" s="25">
        <f>IF(AH23="Yes",10,0)</f>
        <v/>
      </c>
      <c r="AJ23" s="25" t="inlineStr">
        <is>
          <t>Yes</t>
        </is>
      </c>
      <c r="AK23" s="25">
        <f>IF(AJ23="Yes",5,0)</f>
        <v/>
      </c>
      <c r="AL23" s="25" t="inlineStr">
        <is>
          <t>No</t>
        </is>
      </c>
      <c r="AM23" s="25">
        <f>IF(AL23="No",10,IF(AL23="Yes",-10,0))</f>
        <v/>
      </c>
      <c r="AN23" s="25" t="inlineStr">
        <is>
          <t>No</t>
        </is>
      </c>
      <c r="AO23" s="25">
        <f>IF(AN23="No",10,0)</f>
        <v/>
      </c>
      <c r="AP23" s="25" t="inlineStr">
        <is>
          <t>No</t>
        </is>
      </c>
      <c r="AQ23" s="25">
        <f>IF(AP23="No",10,IF(AP23= "Yes CEO Resignation",-5,0))</f>
        <v/>
      </c>
      <c r="AR23" s="25" t="inlineStr">
        <is>
          <t>No</t>
        </is>
      </c>
      <c r="AS23" s="25">
        <f>IF(AR23="No",10,IF(AR23="Yes",-5,0))</f>
        <v/>
      </c>
      <c r="AT23" s="25" t="inlineStr">
        <is>
          <t>No</t>
        </is>
      </c>
      <c r="AU23" s="25">
        <f>IF(AT23="No",5,IF(AT23="Yes",-5,0))</f>
        <v/>
      </c>
      <c r="AV23" s="25" t="inlineStr">
        <is>
          <t>Yes</t>
        </is>
      </c>
      <c r="AW23" s="25">
        <f>IF(AV23="Yes",10,0)</f>
        <v/>
      </c>
      <c r="AX23" s="25" t="inlineStr">
        <is>
          <t>Yes</t>
        </is>
      </c>
      <c r="AY23" s="25">
        <f>IF(AX23="Yes",10,0)</f>
        <v/>
      </c>
      <c r="AZ23" s="25" t="inlineStr">
        <is>
          <t>Yes</t>
        </is>
      </c>
      <c r="BA23" s="25">
        <f>IF(AZ23="Yes",10,0)</f>
        <v/>
      </c>
      <c r="BB23" s="25" t="inlineStr">
        <is>
          <t>P/BV between 2.5x to 5x and Growth less than 20%</t>
        </is>
      </c>
      <c r="BC23" s="25">
        <f>IF(BB23="P/BV less than 2.5x and Growth more than 20%",20,IF(BB23 = "P/BV less than 2.5x and Growth less than 20%",5,IF(BB23="P/BV between 2.5x to 5x and Growth more than 20%",10,IF(BB23= "P/BV between 2.5x to 5x and Growth less than 20%",-5,IF(BB23= "P/BV above 5x",-5,0)))))</f>
        <v/>
      </c>
      <c r="BD23" s="25" t="inlineStr">
        <is>
          <t>20 to 40</t>
        </is>
      </c>
      <c r="BE23" s="25">
        <f>IF(BD23="Above 40",20,IF(BD23="20 to 40",10,IF(BD23="0 to 20",-5,0)))</f>
        <v/>
      </c>
      <c r="BF23" s="25" t="inlineStr">
        <is>
          <t>Between 50 to 75</t>
        </is>
      </c>
      <c r="BG23" s="25">
        <f>IF(BF23="Between 50 to 75",10,IF(BF23="Above 75",0,0))</f>
        <v/>
      </c>
      <c r="BH23" s="25" t="inlineStr">
        <is>
          <t>Stage 2</t>
        </is>
      </c>
      <c r="BI23" s="25">
        <f>IF(BH23="Stage 2",20,IF(BH23="Stage 1",0,IF(BH23="Stage 3",5,IF(BH23="Stage 4",-5,0))))</f>
        <v/>
      </c>
      <c r="BJ23" s="25" t="inlineStr">
        <is>
          <t>Positive Trend</t>
        </is>
      </c>
      <c r="BK23" s="25">
        <f>IF(BJ23="Positive Trend",20,IF(BJ23="Negative Trend",-10,0))</f>
        <v/>
      </c>
      <c r="BL23" s="25" t="inlineStr">
        <is>
          <t>Uptrend</t>
        </is>
      </c>
      <c r="BM23" s="25">
        <f>IF(BL23="Uptrend",10,IF(BL23="Sideways",5,0))</f>
        <v/>
      </c>
      <c r="BN23" s="25" t="inlineStr">
        <is>
          <t>Uptrend</t>
        </is>
      </c>
      <c r="BO23" s="25">
        <f>IF(BN23="Uptrend",10,IF(BN23="Sideways",5,0))</f>
        <v/>
      </c>
      <c r="BP23" s="25" t="inlineStr">
        <is>
          <t>Close to 52 week high or retracement</t>
        </is>
      </c>
      <c r="BQ23" s="25">
        <f>IF(BP23="Overhead supply in last 2 years in last 2 years",-5,IF(BP23="Close to 52 week high or retracement",5,IF(BP23="Blue sky scenario",10,IF(BP23="Long term Downtrend",-10,0))))</f>
        <v/>
      </c>
      <c r="BR23" s="25" t="inlineStr">
        <is>
          <t>Yes</t>
        </is>
      </c>
      <c r="BS23" s="25">
        <f>IF(BR23="Yes",10,0)</f>
        <v/>
      </c>
    </row>
    <row r="24">
      <c r="A24" s="25">
        <f>IF(B24=0,"",RANK(B24,$B$2:$B$33,0))</f>
        <v/>
      </c>
      <c r="B24" s="26">
        <f>SUM(Q24,S24,U24,W24,Y24,AA24,AC24,AE24,AG24,AI24,AK24,AM24,AO24,AQ24,AS24,AU24,AW24,AY24,BA24,BC24,BE24,BG24,BI24,BK24,BM24,BO24,BQ24,BS24)</f>
        <v/>
      </c>
      <c r="C24" s="25" t="inlineStr">
        <is>
          <t>IFCI</t>
        </is>
      </c>
      <c r="D24" s="25" t="inlineStr">
        <is>
          <t>Ifci Limited</t>
        </is>
      </c>
      <c r="E24" s="25" t="inlineStr">
        <is>
          <t>financials</t>
        </is>
      </c>
      <c r="F24" s="25" t="inlineStr">
        <is>
          <t>finance - term-lending institutions</t>
        </is>
      </c>
      <c r="G24" s="25" t="inlineStr">
        <is>
          <t>midcap</t>
        </is>
      </c>
      <c r="H24" s="26" t="n">
        <v>18111.18</v>
      </c>
      <c r="I24" s="26" t="n">
        <v>71.64</v>
      </c>
      <c r="J24" s="26" t="n">
        <v>6.58</v>
      </c>
      <c r="K24" s="26" t="n">
        <v>105743147</v>
      </c>
      <c r="L24" s="26" t="n">
        <v>64.8</v>
      </c>
      <c r="M24" s="26" t="n">
        <v>18.98</v>
      </c>
      <c r="N24" s="26" t="n">
        <v>53.48</v>
      </c>
      <c r="O24" s="25" t="inlineStr">
        <is>
          <t>Near 52W High Breakout</t>
        </is>
      </c>
      <c r="P24" s="25" t="inlineStr">
        <is>
          <t>Growing Industry</t>
        </is>
      </c>
      <c r="Q24" s="25">
        <f>IF(P24="Growing Industry",10,IF(P24="Cyclical in an Upturn",5,0))</f>
        <v/>
      </c>
      <c r="R24" s="25" t="inlineStr">
        <is>
          <t>Fragmented with High ROE</t>
        </is>
      </c>
      <c r="S24" s="25">
        <f>IF(R24="Fragmented with Low ROE",-5,IF(R24="Fragmented with High ROE",10,IF(R24= "highly cyclical",5,0)))</f>
        <v/>
      </c>
      <c r="T24" s="25" t="inlineStr">
        <is>
          <t>Yes</t>
        </is>
      </c>
      <c r="U24" s="25">
        <f>IF(T24="No",5,0)</f>
        <v/>
      </c>
      <c r="V24" s="25" t="inlineStr">
        <is>
          <t>Tailwind</t>
        </is>
      </c>
      <c r="W24" s="25">
        <f>IF(V24="Tailwind",10,0)</f>
        <v/>
      </c>
      <c r="X24" s="25" t="inlineStr">
        <is>
          <t>Structural (10 Years Consistency)</t>
        </is>
      </c>
      <c r="Y24" s="25">
        <f>IF(X24="Structural (10 Years Consistency)",15,IF(X24="Shallow Cyclical (2 to 3 years growth)",10,IF(X24 = "Cyclical in an Uptick",5,IF(X24 = "Cyclical in an Downtick",-10,0))))</f>
        <v/>
      </c>
      <c r="Z24" s="25" t="inlineStr">
        <is>
          <t>Yes</t>
        </is>
      </c>
      <c r="AA24" s="25">
        <f>IF(Z24="Yes",10,0)</f>
        <v/>
      </c>
      <c r="AB24" s="25" t="inlineStr">
        <is>
          <t>Yes</t>
        </is>
      </c>
      <c r="AC24" s="25">
        <f>IF(AB24="Yes",10,0)</f>
        <v/>
      </c>
      <c r="AD24" s="25" t="n"/>
      <c r="AE24" s="25">
        <f>IF(AD24="No",10,0)</f>
        <v/>
      </c>
      <c r="AF24" s="25" t="inlineStr">
        <is>
          <t>Yes</t>
        </is>
      </c>
      <c r="AG24" s="25">
        <f>IF(AF24="Yes",10,0)</f>
        <v/>
      </c>
      <c r="AH24" s="25" t="inlineStr">
        <is>
          <t>Yes</t>
        </is>
      </c>
      <c r="AI24" s="25">
        <f>IF(AH24="Yes",10,0)</f>
        <v/>
      </c>
      <c r="AJ24" s="25" t="inlineStr">
        <is>
          <t>Yes</t>
        </is>
      </c>
      <c r="AK24" s="25">
        <f>IF(AJ24="Yes",5,0)</f>
        <v/>
      </c>
      <c r="AL24" s="25" t="inlineStr">
        <is>
          <t>No</t>
        </is>
      </c>
      <c r="AM24" s="25">
        <f>IF(AL24="No",10,IF(AL24="Yes",-10,0))</f>
        <v/>
      </c>
      <c r="AN24" s="25" t="inlineStr">
        <is>
          <t>No</t>
        </is>
      </c>
      <c r="AO24" s="25">
        <f>IF(AN24="No",10,0)</f>
        <v/>
      </c>
      <c r="AP24" s="25" t="inlineStr">
        <is>
          <t>No</t>
        </is>
      </c>
      <c r="AQ24" s="25">
        <f>IF(AP24="No",10,IF(AP24= "Yes CEO Resignation",-5,0))</f>
        <v/>
      </c>
      <c r="AR24" s="25" t="inlineStr">
        <is>
          <t>No</t>
        </is>
      </c>
      <c r="AS24" s="25">
        <f>IF(AR24="No",10,IF(AR24="Yes",-5,0))</f>
        <v/>
      </c>
      <c r="AT24" s="25" t="inlineStr">
        <is>
          <t>No</t>
        </is>
      </c>
      <c r="AU24" s="25">
        <f>IF(AT24="No",5,IF(AT24="Yes",-5,0))</f>
        <v/>
      </c>
      <c r="AV24" s="25" t="inlineStr">
        <is>
          <t>Yes</t>
        </is>
      </c>
      <c r="AW24" s="25">
        <f>IF(AV24="Yes",10,0)</f>
        <v/>
      </c>
      <c r="AX24" s="25" t="inlineStr">
        <is>
          <t>Yes</t>
        </is>
      </c>
      <c r="AY24" s="25">
        <f>IF(AX24="Yes",10,0)</f>
        <v/>
      </c>
      <c r="AZ24" s="25" t="inlineStr">
        <is>
          <t>Yes</t>
        </is>
      </c>
      <c r="BA24" s="25">
        <f>IF(AZ24="Yes",10,0)</f>
        <v/>
      </c>
      <c r="BB24" s="25" t="inlineStr">
        <is>
          <t>P/BV less than 2.5x and Growth less than 20%</t>
        </is>
      </c>
      <c r="BC24" s="25">
        <f>IF(BB24="P/BV less than 2.5x and Growth more than 20%",20,IF(BB24 = "P/BV less than 2.5x and Growth less than 20%",5,IF(BB24="P/BV between 2.5x to 5x and Growth more than 20%",10,IF(BB24= "P/BV between 2.5x to 5x and Growth less than 20%",-5,IF(BB24= "P/BV above 5x",-5,0)))))</f>
        <v/>
      </c>
      <c r="BD24" s="25" t="inlineStr">
        <is>
          <t>0 to 20</t>
        </is>
      </c>
      <c r="BE24" s="25">
        <f>IF(BD24="Above 40",20,IF(BD24="20 to 40",10,IF(BD24="0 to 20",-5,0)))</f>
        <v/>
      </c>
      <c r="BF24" s="25" t="inlineStr">
        <is>
          <t>Between 50 to 75</t>
        </is>
      </c>
      <c r="BG24" s="25">
        <f>IF(BF24="Between 50 to 75",10,IF(BF24="Above 75",0,0))</f>
        <v/>
      </c>
      <c r="BH24" s="25" t="inlineStr">
        <is>
          <t>Stage 2</t>
        </is>
      </c>
      <c r="BI24" s="25">
        <f>IF(BH24="Stage 2",20,IF(BH24="Stage 1",0,IF(BH24="Stage 3",5,IF(BH24="Stage 4",-5,0))))</f>
        <v/>
      </c>
      <c r="BJ24" s="25" t="inlineStr">
        <is>
          <t>Positive Trend</t>
        </is>
      </c>
      <c r="BK24" s="25">
        <f>IF(BJ24="Positive Trend",20,IF(BJ24="Negative Trend",-10,0))</f>
        <v/>
      </c>
      <c r="BL24" s="25" t="inlineStr">
        <is>
          <t>Uptrend</t>
        </is>
      </c>
      <c r="BM24" s="25">
        <f>IF(BL24="Uptrend",10,IF(BL24="Sideways",5,0))</f>
        <v/>
      </c>
      <c r="BN24" s="25" t="inlineStr">
        <is>
          <t>Uptrend</t>
        </is>
      </c>
      <c r="BO24" s="25">
        <f>IF(BN24="Uptrend",10,IF(BN24="Sideways",5,0))</f>
        <v/>
      </c>
      <c r="BP24" s="25" t="inlineStr">
        <is>
          <t>Close to 52 week high or retracement</t>
        </is>
      </c>
      <c r="BQ24" s="25">
        <f>IF(BP24="Overhead supply in last 2 years in last 2 years",-5,IF(BP24="Close to 52 week high or retracement",5,IF(BP24="Blue sky scenario",10,IF(BP24="Long term Downtrend",-10,0))))</f>
        <v/>
      </c>
      <c r="BR24" s="25" t="inlineStr">
        <is>
          <t>Yes</t>
        </is>
      </c>
      <c r="BS24" s="25">
        <f>IF(BR24="Yes",10,0)</f>
        <v/>
      </c>
    </row>
    <row r="25">
      <c r="A25" s="25">
        <f>IF(B25=0,"",RANK(B25,$B$2:$B$33,0))</f>
        <v/>
      </c>
      <c r="B25" s="26">
        <f>SUM(Q25,S25,U25,W25,Y25,AA25,AC25,AE25,AG25,AI25,AK25,AM25,AO25,AQ25,AS25,AU25,AW25,AY25,BA25,BC25,BE25,BG25,BI25,BK25,BM25,BO25,BQ25,BS25)</f>
        <v/>
      </c>
      <c r="C25" s="25" t="inlineStr">
        <is>
          <t>SURYODAY</t>
        </is>
      </c>
      <c r="D25" s="25" t="inlineStr">
        <is>
          <t>Suryoday Small Finance Bank Ltd</t>
        </is>
      </c>
      <c r="E25" s="25" t="inlineStr">
        <is>
          <t>bank</t>
        </is>
      </c>
      <c r="F25" s="25" t="inlineStr">
        <is>
          <t>banks - private sector</t>
        </is>
      </c>
      <c r="G25" s="25" t="inlineStr">
        <is>
          <t>smallcap</t>
        </is>
      </c>
      <c r="H25" s="26" t="n">
        <v>1733.06</v>
      </c>
      <c r="I25" s="26" t="n">
        <v>168.92</v>
      </c>
      <c r="J25" s="26" t="n">
        <v>3.6</v>
      </c>
      <c r="K25" s="26" t="n">
        <v>381208</v>
      </c>
      <c r="L25" s="26" t="n">
        <v>62.79</v>
      </c>
      <c r="M25" s="26" t="n">
        <v>27.44</v>
      </c>
      <c r="N25" s="26" t="n">
        <v>139.48</v>
      </c>
      <c r="O25" s="25" t="inlineStr">
        <is>
          <t>Earnings / Momentum Support</t>
        </is>
      </c>
      <c r="P25" s="25" t="inlineStr">
        <is>
          <t>Growing Industry</t>
        </is>
      </c>
      <c r="Q25" s="25">
        <f>IF(P25="Growing Industry",10,IF(P25="Cyclical in an Upturn",5,0))</f>
        <v/>
      </c>
      <c r="R25" s="25" t="inlineStr">
        <is>
          <t>Fragmented with High ROE</t>
        </is>
      </c>
      <c r="S25" s="25">
        <f>IF(R25="Fragmented with Low ROE",-5,IF(R25="Fragmented with High ROE",10,IF(R25= "highly cyclical",5,0)))</f>
        <v/>
      </c>
      <c r="T25" s="25" t="inlineStr">
        <is>
          <t>Yes</t>
        </is>
      </c>
      <c r="U25" s="25">
        <f>IF(T25="No",5,0)</f>
        <v/>
      </c>
      <c r="V25" s="25" t="inlineStr">
        <is>
          <t>Tailwind</t>
        </is>
      </c>
      <c r="W25" s="25">
        <f>IF(V25="Tailwind",10,0)</f>
        <v/>
      </c>
      <c r="X25" s="25" t="inlineStr">
        <is>
          <t>Structural (10 Years Consistency)</t>
        </is>
      </c>
      <c r="Y25" s="25">
        <f>IF(X25="Structural (10 Years Consistency)",15,IF(X25="Shallow Cyclical (2 to 3 years growth)",10,IF(X25 = "Cyclical in an Uptick",5,IF(X25 = "Cyclical in an Downtick",-10,0))))</f>
        <v/>
      </c>
      <c r="Z25" s="25" t="inlineStr">
        <is>
          <t>Yes</t>
        </is>
      </c>
      <c r="AA25" s="25">
        <f>IF(Z25="Yes",10,0)</f>
        <v/>
      </c>
      <c r="AB25" s="25" t="inlineStr">
        <is>
          <t>Yes</t>
        </is>
      </c>
      <c r="AC25" s="25">
        <f>IF(AB25="Yes",10,0)</f>
        <v/>
      </c>
      <c r="AD25" s="25" t="n"/>
      <c r="AE25" s="25">
        <f>IF(AD25="No",10,0)</f>
        <v/>
      </c>
      <c r="AF25" s="25" t="inlineStr">
        <is>
          <t>Yes</t>
        </is>
      </c>
      <c r="AG25" s="25">
        <f>IF(AF25="Yes",10,0)</f>
        <v/>
      </c>
      <c r="AH25" s="25" t="inlineStr">
        <is>
          <t>No</t>
        </is>
      </c>
      <c r="AI25" s="25">
        <f>IF(AH25="Yes",10,0)</f>
        <v/>
      </c>
      <c r="AJ25" s="25" t="inlineStr">
        <is>
          <t>Yes</t>
        </is>
      </c>
      <c r="AK25" s="25">
        <f>IF(AJ25="Yes",5,0)</f>
        <v/>
      </c>
      <c r="AL25" s="25" t="inlineStr">
        <is>
          <t>No</t>
        </is>
      </c>
      <c r="AM25" s="25">
        <f>IF(AL25="No",10,IF(AL25="Yes",-10,0))</f>
        <v/>
      </c>
      <c r="AN25" s="25" t="inlineStr">
        <is>
          <t>No</t>
        </is>
      </c>
      <c r="AO25" s="25">
        <f>IF(AN25="No",10,0)</f>
        <v/>
      </c>
      <c r="AP25" s="25" t="inlineStr">
        <is>
          <t>No</t>
        </is>
      </c>
      <c r="AQ25" s="25">
        <f>IF(AP25="No",10,IF(AP25= "Yes CEO Resignation",-5,0))</f>
        <v/>
      </c>
      <c r="AR25" s="25" t="inlineStr">
        <is>
          <t>No</t>
        </is>
      </c>
      <c r="AS25" s="25">
        <f>IF(AR25="No",10,IF(AR25="Yes",-5,0))</f>
        <v/>
      </c>
      <c r="AT25" s="25" t="inlineStr">
        <is>
          <t>No</t>
        </is>
      </c>
      <c r="AU25" s="25">
        <f>IF(AT25="No",5,IF(AT25="Yes",-5,0))</f>
        <v/>
      </c>
      <c r="AV25" s="25" t="inlineStr">
        <is>
          <t>Yes</t>
        </is>
      </c>
      <c r="AW25" s="25">
        <f>IF(AV25="Yes",10,0)</f>
        <v/>
      </c>
      <c r="AX25" s="25" t="inlineStr">
        <is>
          <t>Yes</t>
        </is>
      </c>
      <c r="AY25" s="25">
        <f>IF(AX25="Yes",10,0)</f>
        <v/>
      </c>
      <c r="AZ25" s="25" t="inlineStr">
        <is>
          <t>Yes</t>
        </is>
      </c>
      <c r="BA25" s="25">
        <f>IF(AZ25="Yes",10,0)</f>
        <v/>
      </c>
      <c r="BB25" s="25" t="inlineStr">
        <is>
          <t>P/BV less than 2.5x and Growth more than 20%</t>
        </is>
      </c>
      <c r="BC25" s="25">
        <f>IF(BB25="P/BV less than 2.5x and Growth more than 20%",20,IF(BB25 = "P/BV less than 2.5x and Growth less than 20%",5,IF(BB25="P/BV between 2.5x to 5x and Growth more than 20%",10,IF(BB25= "P/BV between 2.5x to 5x and Growth less than 20%",-5,IF(BB25= "P/BV above 5x",-5,0)))))</f>
        <v/>
      </c>
      <c r="BD25" s="25" t="inlineStr">
        <is>
          <t>20 to 40</t>
        </is>
      </c>
      <c r="BE25" s="25">
        <f>IF(BD25="Above 40",20,IF(BD25="20 to 40",10,IF(BD25="0 to 20",-5,0)))</f>
        <v/>
      </c>
      <c r="BF25" s="25" t="inlineStr">
        <is>
          <t>Between 50 to 75</t>
        </is>
      </c>
      <c r="BG25" s="25">
        <f>IF(BF25="Between 50 to 75",10,IF(BF25="Above 75",0,0))</f>
        <v/>
      </c>
      <c r="BH25" s="25" t="inlineStr">
        <is>
          <t>Stage 2</t>
        </is>
      </c>
      <c r="BI25" s="25">
        <f>IF(BH25="Stage 2",20,IF(BH25="Stage 1",0,IF(BH25="Stage 3",5,IF(BH25="Stage 4",-5,0))))</f>
        <v/>
      </c>
      <c r="BJ25" s="25" t="inlineStr">
        <is>
          <t>Negative Trend</t>
        </is>
      </c>
      <c r="BK25" s="25">
        <f>IF(BJ25="Positive Trend",20,IF(BJ25="Negative Trend",-10,0))</f>
        <v/>
      </c>
      <c r="BL25" s="25" t="inlineStr">
        <is>
          <t>Uptrend</t>
        </is>
      </c>
      <c r="BM25" s="25">
        <f>IF(BL25="Uptrend",10,IF(BL25="Sideways",5,0))</f>
        <v/>
      </c>
      <c r="BN25" s="25" t="inlineStr">
        <is>
          <t>Uptrend</t>
        </is>
      </c>
      <c r="BO25" s="25">
        <f>IF(BN25="Uptrend",10,IF(BN25="Sideways",5,0))</f>
        <v/>
      </c>
      <c r="BP25" s="25" t="inlineStr">
        <is>
          <t>Close to 52 week high or retracement</t>
        </is>
      </c>
      <c r="BQ25" s="25">
        <f>IF(BP25="Overhead supply in last 2 years in last 2 years",-5,IF(BP25="Close to 52 week high or retracement",5,IF(BP25="Blue sky scenario",10,IF(BP25="Long term Downtrend",-10,0))))</f>
        <v/>
      </c>
      <c r="BR25" s="25" t="inlineStr">
        <is>
          <t>Yes</t>
        </is>
      </c>
      <c r="BS25" s="25">
        <f>IF(BR25="Yes",10,0)</f>
        <v/>
      </c>
    </row>
    <row r="26">
      <c r="A26" s="25">
        <f>IF(B26=0,"",RANK(B26,$B$2:$B$33,0))</f>
        <v/>
      </c>
      <c r="B26" s="26">
        <f>SUM(Q26,S26,U26,W26,Y26,AA26,AC26,AE26,AG26,AI26,AK26,AM26,AO26,AQ26,AS26,AU26,AW26,AY26,BA26,BC26,BE26,BG26,BI26,BK26,BM26,BO26,BQ26,BS26)</f>
        <v/>
      </c>
      <c r="C26" s="25" t="inlineStr">
        <is>
          <t>SOUTHBANK</t>
        </is>
      </c>
      <c r="D26" s="25" t="inlineStr">
        <is>
          <t>The South Indian Bank Limited</t>
        </is>
      </c>
      <c r="E26" s="25" t="inlineStr">
        <is>
          <t>bank</t>
        </is>
      </c>
      <c r="F26" s="25" t="inlineStr">
        <is>
          <t>banks - private sector</t>
        </is>
      </c>
      <c r="G26" s="25" t="inlineStr">
        <is>
          <t>midcap</t>
        </is>
      </c>
      <c r="H26" s="26" t="n">
        <v>10747.73</v>
      </c>
      <c r="I26" s="26" t="n">
        <v>42.08</v>
      </c>
      <c r="J26" s="26" t="n">
        <v>2.48</v>
      </c>
      <c r="K26" s="26" t="n">
        <v>18833837</v>
      </c>
      <c r="L26" s="26" t="n">
        <v>59.61</v>
      </c>
      <c r="M26" s="26" t="n">
        <v>10.45</v>
      </c>
      <c r="N26" s="26" t="n">
        <v>33.09</v>
      </c>
      <c r="O26" s="25" t="inlineStr">
        <is>
          <t>Earnings / Momentum Support</t>
        </is>
      </c>
      <c r="P26" s="25" t="inlineStr">
        <is>
          <t>Growing Industry</t>
        </is>
      </c>
      <c r="Q26" s="25">
        <f>IF(P26="Growing Industry",10,IF(P26="Cyclical in an Upturn",5,0))</f>
        <v/>
      </c>
      <c r="R26" s="25" t="inlineStr">
        <is>
          <t>Fragmented with High ROE</t>
        </is>
      </c>
      <c r="S26" s="25">
        <f>IF(R26="Fragmented with Low ROE",-5,IF(R26="Fragmented with High ROE",10,IF(R26= "highly cyclical",5,0)))</f>
        <v/>
      </c>
      <c r="T26" s="25" t="inlineStr">
        <is>
          <t>Yes</t>
        </is>
      </c>
      <c r="U26" s="25">
        <f>IF(T26="No",5,0)</f>
        <v/>
      </c>
      <c r="V26" s="25" t="inlineStr">
        <is>
          <t>Tailwind</t>
        </is>
      </c>
      <c r="W26" s="25">
        <f>IF(V26="Tailwind",10,0)</f>
        <v/>
      </c>
      <c r="X26" s="25" t="inlineStr">
        <is>
          <t>Structural (10 Years Consistency)</t>
        </is>
      </c>
      <c r="Y26" s="25">
        <f>IF(X26="Structural (10 Years Consistency)",15,IF(X26="Shallow Cyclical (2 to 3 years growth)",10,IF(X26 = "Cyclical in an Uptick",5,IF(X26 = "Cyclical in an Downtick",-10,0))))</f>
        <v/>
      </c>
      <c r="Z26" s="25" t="inlineStr">
        <is>
          <t>Yes</t>
        </is>
      </c>
      <c r="AA26" s="25">
        <f>IF(Z26="Yes",10,0)</f>
        <v/>
      </c>
      <c r="AB26" s="25" t="inlineStr">
        <is>
          <t>Yes</t>
        </is>
      </c>
      <c r="AC26" s="25">
        <f>IF(AB26="Yes",10,0)</f>
        <v/>
      </c>
      <c r="AD26" s="25" t="n"/>
      <c r="AE26" s="25">
        <f>IF(AD26="No",10,0)</f>
        <v/>
      </c>
      <c r="AF26" s="25" t="inlineStr">
        <is>
          <t>Yes</t>
        </is>
      </c>
      <c r="AG26" s="25">
        <f>IF(AF26="Yes",10,0)</f>
        <v/>
      </c>
      <c r="AH26" s="25" t="inlineStr">
        <is>
          <t>No</t>
        </is>
      </c>
      <c r="AI26" s="25">
        <f>IF(AH26="Yes",10,0)</f>
        <v/>
      </c>
      <c r="AJ26" s="25" t="inlineStr">
        <is>
          <t>Yes</t>
        </is>
      </c>
      <c r="AK26" s="25">
        <f>IF(AJ26="Yes",5,0)</f>
        <v/>
      </c>
      <c r="AL26" s="25" t="inlineStr">
        <is>
          <t>No</t>
        </is>
      </c>
      <c r="AM26" s="25">
        <f>IF(AL26="No",10,IF(AL26="Yes",-10,0))</f>
        <v/>
      </c>
      <c r="AN26" s="25" t="inlineStr">
        <is>
          <t>No</t>
        </is>
      </c>
      <c r="AO26" s="25">
        <f>IF(AN26="No",10,0)</f>
        <v/>
      </c>
      <c r="AP26" s="25" t="inlineStr">
        <is>
          <t>No</t>
        </is>
      </c>
      <c r="AQ26" s="25">
        <f>IF(AP26="No",10,IF(AP26= "Yes CEO Resignation",-5,0))</f>
        <v/>
      </c>
      <c r="AR26" s="25" t="inlineStr">
        <is>
          <t>No</t>
        </is>
      </c>
      <c r="AS26" s="25">
        <f>IF(AR26="No",10,IF(AR26="Yes",-5,0))</f>
        <v/>
      </c>
      <c r="AT26" s="25" t="inlineStr">
        <is>
          <t>No</t>
        </is>
      </c>
      <c r="AU26" s="25">
        <f>IF(AT26="No",5,IF(AT26="Yes",-5,0))</f>
        <v/>
      </c>
      <c r="AV26" s="25" t="inlineStr">
        <is>
          <t>Yes</t>
        </is>
      </c>
      <c r="AW26" s="25">
        <f>IF(AV26="Yes",10,0)</f>
        <v/>
      </c>
      <c r="AX26" s="25" t="inlineStr">
        <is>
          <t>Yes</t>
        </is>
      </c>
      <c r="AY26" s="25">
        <f>IF(AX26="Yes",10,0)</f>
        <v/>
      </c>
      <c r="AZ26" s="25" t="inlineStr">
        <is>
          <t>Yes</t>
        </is>
      </c>
      <c r="BA26" s="25">
        <f>IF(AZ26="Yes",10,0)</f>
        <v/>
      </c>
      <c r="BB26" s="25" t="inlineStr">
        <is>
          <t>P/BV less than 2.5x and Growth less than 20%</t>
        </is>
      </c>
      <c r="BC26" s="25">
        <f>IF(BB26="P/BV less than 2.5x and Growth more than 20%",20,IF(BB26 = "P/BV less than 2.5x and Growth less than 20%",5,IF(BB26="P/BV between 2.5x to 5x and Growth more than 20%",10,IF(BB26= "P/BV between 2.5x to 5x and Growth less than 20%",-5,IF(BB26= "P/BV above 5x",-5,0)))))</f>
        <v/>
      </c>
      <c r="BD26" s="25" t="inlineStr">
        <is>
          <t>0 to 20</t>
        </is>
      </c>
      <c r="BE26" s="25">
        <f>IF(BD26="Above 40",20,IF(BD26="20 to 40",10,IF(BD26="0 to 20",-5,0)))</f>
        <v/>
      </c>
      <c r="BF26" s="25" t="inlineStr">
        <is>
          <t>Between 50 to 75</t>
        </is>
      </c>
      <c r="BG26" s="25">
        <f>IF(BF26="Between 50 to 75",10,IF(BF26="Above 75",0,0))</f>
        <v/>
      </c>
      <c r="BH26" s="25" t="inlineStr">
        <is>
          <t>Stage 2</t>
        </is>
      </c>
      <c r="BI26" s="25">
        <f>IF(BH26="Stage 2",20,IF(BH26="Stage 1",0,IF(BH26="Stage 3",5,IF(BH26="Stage 4",-5,0))))</f>
        <v/>
      </c>
      <c r="BJ26" s="25" t="inlineStr">
        <is>
          <t>Positive Trend</t>
        </is>
      </c>
      <c r="BK26" s="25">
        <f>IF(BJ26="Positive Trend",20,IF(BJ26="Negative Trend",-10,0))</f>
        <v/>
      </c>
      <c r="BL26" s="25" t="inlineStr">
        <is>
          <t>Uptrend</t>
        </is>
      </c>
      <c r="BM26" s="25">
        <f>IF(BL26="Uptrend",10,IF(BL26="Sideways",5,0))</f>
        <v/>
      </c>
      <c r="BN26" s="25" t="inlineStr">
        <is>
          <t>Uptrend</t>
        </is>
      </c>
      <c r="BO26" s="25">
        <f>IF(BN26="Uptrend",10,IF(BN26="Sideways",5,0))</f>
        <v/>
      </c>
      <c r="BP26" s="25" t="inlineStr">
        <is>
          <t>Close to 52 week high or retracement</t>
        </is>
      </c>
      <c r="BQ26" s="25">
        <f>IF(BP26="Overhead supply in last 2 years in last 2 years",-5,IF(BP26="Close to 52 week high or retracement",5,IF(BP26="Blue sky scenario",10,IF(BP26="Long term Downtrend",-10,0))))</f>
        <v/>
      </c>
      <c r="BR26" s="25" t="inlineStr">
        <is>
          <t>Yes</t>
        </is>
      </c>
      <c r="BS26" s="25">
        <f>IF(BR26="Yes",10,0)</f>
        <v/>
      </c>
    </row>
    <row r="27">
      <c r="A27" s="25">
        <f>IF(B27=0,"",RANK(B27,$B$2:$B$33,0))</f>
        <v/>
      </c>
      <c r="B27" s="26">
        <f>SUM(Q27,S27,U27,W27,Y27,AA27,AC27,AE27,AG27,AI27,AK27,AM27,AO27,AQ27,AS27,AU27,AW27,AY27,BA27,BC27,BE27,BG27,BI27,BK27,BM27,BO27,BQ27,BS27)</f>
        <v/>
      </c>
      <c r="C27" s="25" t="inlineStr">
        <is>
          <t>FEDERALBNK</t>
        </is>
      </c>
      <c r="D27" s="25" t="inlineStr">
        <is>
          <t>The Federal Bank  Limited</t>
        </is>
      </c>
      <c r="E27" s="25" t="inlineStr">
        <is>
          <t>bank</t>
        </is>
      </c>
      <c r="F27" s="25" t="inlineStr">
        <is>
          <t>banks - private sector</t>
        </is>
      </c>
      <c r="G27" s="25" t="inlineStr">
        <is>
          <t>largecap</t>
        </is>
      </c>
      <c r="H27" s="26" t="n">
        <v>71020.62</v>
      </c>
      <c r="I27" s="26" t="n">
        <v>293.05</v>
      </c>
      <c r="J27" s="26" t="n">
        <v>1.68</v>
      </c>
      <c r="K27" s="26" t="n">
        <v>5900487</v>
      </c>
      <c r="L27" s="26" t="n">
        <v>60.25</v>
      </c>
      <c r="M27" s="26" t="n">
        <v>18.85</v>
      </c>
      <c r="N27" s="26" t="n">
        <v>252.82</v>
      </c>
      <c r="O27" s="25" t="inlineStr">
        <is>
          <t>Near 52W High Breakout</t>
        </is>
      </c>
      <c r="P27" s="25" t="inlineStr">
        <is>
          <t>Growing Industry</t>
        </is>
      </c>
      <c r="Q27" s="25">
        <f>IF(P27="Growing Industry",10,IF(P27="Cyclical in an Upturn",5,0))</f>
        <v/>
      </c>
      <c r="R27" s="25" t="inlineStr">
        <is>
          <t>Fragmented with High ROE</t>
        </is>
      </c>
      <c r="S27" s="25">
        <f>IF(R27="Fragmented with Low ROE",-5,IF(R27="Fragmented with High ROE",10,IF(R27= "highly cyclical",5,0)))</f>
        <v/>
      </c>
      <c r="T27" s="25" t="inlineStr">
        <is>
          <t>Yes</t>
        </is>
      </c>
      <c r="U27" s="25">
        <f>IF(T27="No",5,0)</f>
        <v/>
      </c>
      <c r="V27" s="25" t="inlineStr">
        <is>
          <t>Tailwind</t>
        </is>
      </c>
      <c r="W27" s="25">
        <f>IF(V27="Tailwind",10,0)</f>
        <v/>
      </c>
      <c r="X27" s="25" t="inlineStr">
        <is>
          <t>Structural (10 Years Consistency)</t>
        </is>
      </c>
      <c r="Y27" s="25">
        <f>IF(X27="Structural (10 Years Consistency)",15,IF(X27="Shallow Cyclical (2 to 3 years growth)",10,IF(X27 = "Cyclical in an Uptick",5,IF(X27 = "Cyclical in an Downtick",-10,0))))</f>
        <v/>
      </c>
      <c r="Z27" s="25" t="inlineStr">
        <is>
          <t>Yes</t>
        </is>
      </c>
      <c r="AA27" s="25">
        <f>IF(Z27="Yes",10,0)</f>
        <v/>
      </c>
      <c r="AB27" s="25" t="inlineStr">
        <is>
          <t>Yes</t>
        </is>
      </c>
      <c r="AC27" s="25">
        <f>IF(AB27="Yes",10,0)</f>
        <v/>
      </c>
      <c r="AD27" s="25" t="n"/>
      <c r="AE27" s="25">
        <f>IF(AD27="No",10,0)</f>
        <v/>
      </c>
      <c r="AF27" s="25" t="inlineStr">
        <is>
          <t>Yes</t>
        </is>
      </c>
      <c r="AG27" s="25">
        <f>IF(AF27="Yes",10,0)</f>
        <v/>
      </c>
      <c r="AH27" s="25" t="inlineStr">
        <is>
          <t>Yes</t>
        </is>
      </c>
      <c r="AI27" s="25">
        <f>IF(AH27="Yes",10,0)</f>
        <v/>
      </c>
      <c r="AJ27" s="25" t="inlineStr">
        <is>
          <t>Yes</t>
        </is>
      </c>
      <c r="AK27" s="25">
        <f>IF(AJ27="Yes",5,0)</f>
        <v/>
      </c>
      <c r="AL27" s="25" t="inlineStr">
        <is>
          <t>No</t>
        </is>
      </c>
      <c r="AM27" s="25">
        <f>IF(AL27="No",10,IF(AL27="Yes",-10,0))</f>
        <v/>
      </c>
      <c r="AN27" s="25" t="inlineStr">
        <is>
          <t>No</t>
        </is>
      </c>
      <c r="AO27" s="25">
        <f>IF(AN27="No",10,0)</f>
        <v/>
      </c>
      <c r="AP27" s="25" t="inlineStr">
        <is>
          <t>No</t>
        </is>
      </c>
      <c r="AQ27" s="25">
        <f>IF(AP27="No",10,IF(AP27= "Yes CEO Resignation",-5,0))</f>
        <v/>
      </c>
      <c r="AR27" s="25" t="inlineStr">
        <is>
          <t>No</t>
        </is>
      </c>
      <c r="AS27" s="25">
        <f>IF(AR27="No",10,IF(AR27="Yes",-5,0))</f>
        <v/>
      </c>
      <c r="AT27" s="25" t="inlineStr">
        <is>
          <t>No</t>
        </is>
      </c>
      <c r="AU27" s="25">
        <f>IF(AT27="No",5,IF(AT27="Yes",-5,0))</f>
        <v/>
      </c>
      <c r="AV27" s="25" t="inlineStr">
        <is>
          <t>Yes</t>
        </is>
      </c>
      <c r="AW27" s="25">
        <f>IF(AV27="Yes",10,0)</f>
        <v/>
      </c>
      <c r="AX27" s="25" t="inlineStr">
        <is>
          <t>Yes</t>
        </is>
      </c>
      <c r="AY27" s="25">
        <f>IF(AX27="Yes",10,0)</f>
        <v/>
      </c>
      <c r="AZ27" s="25" t="inlineStr">
        <is>
          <t>Yes</t>
        </is>
      </c>
      <c r="BA27" s="25">
        <f>IF(AZ27="Yes",10,0)</f>
        <v/>
      </c>
      <c r="BB27" s="25" t="inlineStr">
        <is>
          <t>P/BV less than 2.5x and Growth more than 20%</t>
        </is>
      </c>
      <c r="BC27" s="25">
        <f>IF(BB27="P/BV less than 2.5x and Growth more than 20%",20,IF(BB27 = "P/BV less than 2.5x and Growth less than 20%",5,IF(BB27="P/BV between 2.5x to 5x and Growth more than 20%",10,IF(BB27= "P/BV between 2.5x to 5x and Growth less than 20%",-5,IF(BB27= "P/BV above 5x",-5,0)))))</f>
        <v/>
      </c>
      <c r="BD27" s="25" t="inlineStr">
        <is>
          <t>0 to 20</t>
        </is>
      </c>
      <c r="BE27" s="25">
        <f>IF(BD27="Above 40",20,IF(BD27="20 to 40",10,IF(BD27="0 to 20",-5,0)))</f>
        <v/>
      </c>
      <c r="BF27" s="25" t="inlineStr">
        <is>
          <t>Between 50 to 75</t>
        </is>
      </c>
      <c r="BG27" s="25">
        <f>IF(BF27="Between 50 to 75",10,IF(BF27="Above 75",0,0))</f>
        <v/>
      </c>
      <c r="BH27" s="25" t="inlineStr">
        <is>
          <t>Stage 2</t>
        </is>
      </c>
      <c r="BI27" s="25">
        <f>IF(BH27="Stage 2",20,IF(BH27="Stage 1",0,IF(BH27="Stage 3",5,IF(BH27="Stage 4",-5,0))))</f>
        <v/>
      </c>
      <c r="BJ27" s="25" t="inlineStr">
        <is>
          <t>Negative Trend</t>
        </is>
      </c>
      <c r="BK27" s="25">
        <f>IF(BJ27="Positive Trend",20,IF(BJ27="Negative Trend",-10,0))</f>
        <v/>
      </c>
      <c r="BL27" s="25" t="inlineStr">
        <is>
          <t>Uptrend</t>
        </is>
      </c>
      <c r="BM27" s="25">
        <f>IF(BL27="Uptrend",10,IF(BL27="Sideways",5,0))</f>
        <v/>
      </c>
      <c r="BN27" s="25" t="inlineStr">
        <is>
          <t>Uptrend</t>
        </is>
      </c>
      <c r="BO27" s="25">
        <f>IF(BN27="Uptrend",10,IF(BN27="Sideways",5,0))</f>
        <v/>
      </c>
      <c r="BP27" s="25" t="inlineStr">
        <is>
          <t>Blue sky scenario</t>
        </is>
      </c>
      <c r="BQ27" s="25">
        <f>IF(BP27="Overhead supply in last 2 years in last 2 years",-5,IF(BP27="Close to 52 week high or retracement",5,IF(BP27="Blue sky scenario",10,IF(BP27="Long term Downtrend",-10,0))))</f>
        <v/>
      </c>
      <c r="BR27" s="25" t="inlineStr">
        <is>
          <t>Yes</t>
        </is>
      </c>
      <c r="BS27" s="25">
        <f>IF(BR27="Yes",10,0)</f>
        <v/>
      </c>
    </row>
    <row r="28">
      <c r="A28" s="25">
        <f>IF(B28=0,"",RANK(B28,$B$2:$B$33,0))</f>
        <v/>
      </c>
      <c r="B28" s="26">
        <f>SUM(Q28,S28,U28,W28,Y28,AA28,AC28,AE28,AG28,AI28,AK28,AM28,AO28,AQ28,AS28,AU28,AW28,AY28,BA28,BC28,BE28,BG28,BI28,BK28,BM28,BO28,BQ28,BS28)</f>
        <v/>
      </c>
      <c r="C28" s="25" t="inlineStr">
        <is>
          <t>MUFIN</t>
        </is>
      </c>
      <c r="D28" s="25" t="inlineStr">
        <is>
          <t>Mufin Green Finance Ltd</t>
        </is>
      </c>
      <c r="E28" s="25" t="inlineStr">
        <is>
          <t>financials</t>
        </is>
      </c>
      <c r="F28" s="25" t="inlineStr">
        <is>
          <t>finance &amp; investments</t>
        </is>
      </c>
      <c r="G28" s="25" t="inlineStr">
        <is>
          <t>smallcap</t>
        </is>
      </c>
      <c r="H28" s="26" t="n">
        <v>2394</v>
      </c>
      <c r="I28" s="26" t="n">
        <v>122.5</v>
      </c>
      <c r="J28" s="26" t="n">
        <v>1.4</v>
      </c>
      <c r="K28" s="26" t="n">
        <v>1337679</v>
      </c>
      <c r="L28" s="26" t="n">
        <v>61.82</v>
      </c>
      <c r="M28" s="26" t="n">
        <v>15.5</v>
      </c>
      <c r="N28" s="26" t="n">
        <v>97.33</v>
      </c>
      <c r="O28" s="25" t="inlineStr">
        <is>
          <t>Near 52W High Breakout</t>
        </is>
      </c>
      <c r="P28" s="25" t="inlineStr">
        <is>
          <t>Growing Industry</t>
        </is>
      </c>
      <c r="Q28" s="25">
        <f>IF(P28="Growing Industry",10,IF(P28="Cyclical in an Upturn",5,0))</f>
        <v/>
      </c>
      <c r="R28" s="25" t="inlineStr">
        <is>
          <t>Fragmented with High ROE</t>
        </is>
      </c>
      <c r="S28" s="25">
        <f>IF(R28="Fragmented with Low ROE",-5,IF(R28="Fragmented with High ROE",10,IF(R28= "highly cyclical",5,0)))</f>
        <v/>
      </c>
      <c r="T28" s="25" t="inlineStr">
        <is>
          <t>Yes</t>
        </is>
      </c>
      <c r="U28" s="25">
        <f>IF(T28="No",5,0)</f>
        <v/>
      </c>
      <c r="V28" s="25" t="inlineStr">
        <is>
          <t>Tailwind</t>
        </is>
      </c>
      <c r="W28" s="25">
        <f>IF(V28="Tailwind",10,0)</f>
        <v/>
      </c>
      <c r="X28" s="25" t="inlineStr">
        <is>
          <t>Structural (10 Years Consistency)</t>
        </is>
      </c>
      <c r="Y28" s="25">
        <f>IF(X28="Structural (10 Years Consistency)",15,IF(X28="Shallow Cyclical (2 to 3 years growth)",10,IF(X28 = "Cyclical in an Uptick",5,IF(X28 = "Cyclical in an Downtick",-10,0))))</f>
        <v/>
      </c>
      <c r="Z28" s="25" t="inlineStr">
        <is>
          <t>Yes</t>
        </is>
      </c>
      <c r="AA28" s="25">
        <f>IF(Z28="Yes",10,0)</f>
        <v/>
      </c>
      <c r="AB28" s="25" t="inlineStr">
        <is>
          <t>Yes</t>
        </is>
      </c>
      <c r="AC28" s="25">
        <f>IF(AB28="Yes",10,0)</f>
        <v/>
      </c>
      <c r="AD28" s="25" t="n"/>
      <c r="AE28" s="25">
        <f>IF(AD28="No",10,0)</f>
        <v/>
      </c>
      <c r="AF28" s="25" t="inlineStr">
        <is>
          <t>Yes</t>
        </is>
      </c>
      <c r="AG28" s="25">
        <f>IF(AF28="Yes",10,0)</f>
        <v/>
      </c>
      <c r="AH28" s="25" t="inlineStr">
        <is>
          <t>Yes</t>
        </is>
      </c>
      <c r="AI28" s="25">
        <f>IF(AH28="Yes",10,0)</f>
        <v/>
      </c>
      <c r="AJ28" s="25" t="inlineStr">
        <is>
          <t>Yes</t>
        </is>
      </c>
      <c r="AK28" s="25">
        <f>IF(AJ28="Yes",5,0)</f>
        <v/>
      </c>
      <c r="AL28" s="25" t="inlineStr">
        <is>
          <t>No</t>
        </is>
      </c>
      <c r="AM28" s="25">
        <f>IF(AL28="No",10,IF(AL28="Yes",-10,0))</f>
        <v/>
      </c>
      <c r="AN28" s="25" t="inlineStr">
        <is>
          <t>No</t>
        </is>
      </c>
      <c r="AO28" s="25">
        <f>IF(AN28="No",10,0)</f>
        <v/>
      </c>
      <c r="AP28" s="25" t="inlineStr">
        <is>
          <t>No</t>
        </is>
      </c>
      <c r="AQ28" s="25">
        <f>IF(AP28="No",10,IF(AP28= "Yes CEO Resignation",-5,0))</f>
        <v/>
      </c>
      <c r="AR28" s="25" t="inlineStr">
        <is>
          <t>No</t>
        </is>
      </c>
      <c r="AS28" s="25">
        <f>IF(AR28="No",10,IF(AR28="Yes",-5,0))</f>
        <v/>
      </c>
      <c r="AT28" s="25" t="inlineStr">
        <is>
          <t>No</t>
        </is>
      </c>
      <c r="AU28" s="25">
        <f>IF(AT28="No",5,IF(AT28="Yes",-5,0))</f>
        <v/>
      </c>
      <c r="AV28" s="25" t="inlineStr">
        <is>
          <t>Yes</t>
        </is>
      </c>
      <c r="AW28" s="25">
        <f>IF(AV28="Yes",10,0)</f>
        <v/>
      </c>
      <c r="AX28" s="25" t="inlineStr">
        <is>
          <t>Yes</t>
        </is>
      </c>
      <c r="AY28" s="25">
        <f>IF(AX28="Yes",10,0)</f>
        <v/>
      </c>
      <c r="AZ28" s="25" t="inlineStr">
        <is>
          <t>Yes</t>
        </is>
      </c>
      <c r="BA28" s="25">
        <f>IF(AZ28="Yes",10,0)</f>
        <v/>
      </c>
      <c r="BB28" s="25" t="inlineStr">
        <is>
          <t>P/BV above 5x</t>
        </is>
      </c>
      <c r="BC28" s="25">
        <f>IF(BB28="P/BV less than 2.5x and Growth more than 20%",20,IF(BB28 = "P/BV less than 2.5x and Growth less than 20%",5,IF(BB28="P/BV between 2.5x to 5x and Growth more than 20%",10,IF(BB28= "P/BV between 2.5x to 5x and Growth less than 20%",-5,IF(BB28= "P/BV above 5x",-5,0)))))</f>
        <v/>
      </c>
      <c r="BD28" s="25" t="inlineStr">
        <is>
          <t>0 to 20</t>
        </is>
      </c>
      <c r="BE28" s="25">
        <f>IF(BD28="Above 40",20,IF(BD28="20 to 40",10,IF(BD28="0 to 20",-5,0)))</f>
        <v/>
      </c>
      <c r="BF28" s="25" t="inlineStr">
        <is>
          <t>Between 50 to 75</t>
        </is>
      </c>
      <c r="BG28" s="25">
        <f>IF(BF28="Between 50 to 75",10,IF(BF28="Above 75",0,0))</f>
        <v/>
      </c>
      <c r="BH28" s="25" t="inlineStr">
        <is>
          <t>Stage 2</t>
        </is>
      </c>
      <c r="BI28" s="25">
        <f>IF(BH28="Stage 2",20,IF(BH28="Stage 1",0,IF(BH28="Stage 3",5,IF(BH28="Stage 4",-5,0))))</f>
        <v/>
      </c>
      <c r="BJ28" s="25" t="inlineStr">
        <is>
          <t>Positive Trend</t>
        </is>
      </c>
      <c r="BK28" s="25">
        <f>IF(BJ28="Positive Trend",20,IF(BJ28="Negative Trend",-10,0))</f>
        <v/>
      </c>
      <c r="BL28" s="25" t="inlineStr">
        <is>
          <t>Uptrend</t>
        </is>
      </c>
      <c r="BM28" s="25">
        <f>IF(BL28="Uptrend",10,IF(BL28="Sideways",5,0))</f>
        <v/>
      </c>
      <c r="BN28" s="25" t="inlineStr">
        <is>
          <t>Uptrend</t>
        </is>
      </c>
      <c r="BO28" s="25">
        <f>IF(BN28="Uptrend",10,IF(BN28="Sideways",5,0))</f>
        <v/>
      </c>
      <c r="BP28" s="25" t="inlineStr">
        <is>
          <t>Close to 52 week high or retracement</t>
        </is>
      </c>
      <c r="BQ28" s="25">
        <f>IF(BP28="Overhead supply in last 2 years in last 2 years",-5,IF(BP28="Close to 52 week high or retracement",5,IF(BP28="Blue sky scenario",10,IF(BP28="Long term Downtrend",-10,0))))</f>
        <v/>
      </c>
      <c r="BR28" s="25" t="inlineStr">
        <is>
          <t>Yes</t>
        </is>
      </c>
      <c r="BS28" s="25">
        <f>IF(BR28="Yes",10,0)</f>
        <v/>
      </c>
    </row>
    <row r="29">
      <c r="A29" s="25">
        <f>IF(B29=0,"",RANK(B29,$B$2:$B$33,0))</f>
        <v/>
      </c>
      <c r="B29" s="26">
        <f>SUM(Q29,S29,U29,W29,Y29,AA29,AC29,AE29,AG29,AI29,AK29,AM29,AO29,AQ29,AS29,AU29,AW29,AY29,BA29,BC29,BE29,BG29,BI29,BK29,BM29,BO29,BQ29,BS29)</f>
        <v/>
      </c>
      <c r="C29" s="25" t="inlineStr">
        <is>
          <t>SAMMAANCAP</t>
        </is>
      </c>
      <c r="D29" s="25" t="inlineStr">
        <is>
          <t>Sammaan Capital Ltd</t>
        </is>
      </c>
      <c r="E29" s="25" t="inlineStr">
        <is>
          <t>financials</t>
        </is>
      </c>
      <c r="F29" s="25" t="inlineStr">
        <is>
          <t>finance - housing</t>
        </is>
      </c>
      <c r="G29" s="25" t="inlineStr">
        <is>
          <t>largecap</t>
        </is>
      </c>
      <c r="H29" s="26" t="n">
        <v>20602.46</v>
      </c>
      <c r="I29" s="26" t="n">
        <v>178.91</v>
      </c>
      <c r="J29" s="26" t="n">
        <v>0.88</v>
      </c>
      <c r="K29" s="26" t="n">
        <v>13620177</v>
      </c>
      <c r="L29" s="26" t="n">
        <v>65.52</v>
      </c>
      <c r="M29" s="26" t="n">
        <v>15.72</v>
      </c>
      <c r="N29" s="26" t="n">
        <v>140.12</v>
      </c>
      <c r="O29" s="25" t="inlineStr">
        <is>
          <t>Earnings / Momentum Support</t>
        </is>
      </c>
      <c r="P29" s="25" t="inlineStr">
        <is>
          <t>Growing Industry</t>
        </is>
      </c>
      <c r="Q29" s="25">
        <f>IF(P29="Growing Industry",10,IF(P29="Cyclical in an Upturn",5,0))</f>
        <v/>
      </c>
      <c r="R29" s="25" t="inlineStr">
        <is>
          <t>Fragmented with High ROE</t>
        </is>
      </c>
      <c r="S29" s="25">
        <f>IF(R29="Fragmented with Low ROE",-5,IF(R29="Fragmented with High ROE",10,IF(R29= "highly cyclical",5,0)))</f>
        <v/>
      </c>
      <c r="T29" s="25" t="inlineStr">
        <is>
          <t>Yes</t>
        </is>
      </c>
      <c r="U29" s="25">
        <f>IF(T29="No",5,0)</f>
        <v/>
      </c>
      <c r="V29" s="25" t="inlineStr">
        <is>
          <t>Tailwind</t>
        </is>
      </c>
      <c r="W29" s="25">
        <f>IF(V29="Tailwind",10,0)</f>
        <v/>
      </c>
      <c r="X29" s="25" t="inlineStr">
        <is>
          <t>Structural (10 Years Consistency)</t>
        </is>
      </c>
      <c r="Y29" s="25">
        <f>IF(X29="Structural (10 Years Consistency)",15,IF(X29="Shallow Cyclical (2 to 3 years growth)",10,IF(X29 = "Cyclical in an Uptick",5,IF(X29 = "Cyclical in an Downtick",-10,0))))</f>
        <v/>
      </c>
      <c r="Z29" s="25" t="inlineStr">
        <is>
          <t>Yes</t>
        </is>
      </c>
      <c r="AA29" s="25">
        <f>IF(Z29="Yes",10,0)</f>
        <v/>
      </c>
      <c r="AB29" s="25" t="inlineStr">
        <is>
          <t>Yes</t>
        </is>
      </c>
      <c r="AC29" s="25">
        <f>IF(AB29="Yes",10,0)</f>
        <v/>
      </c>
      <c r="AD29" s="25" t="n"/>
      <c r="AE29" s="25">
        <f>IF(AD29="No",10,0)</f>
        <v/>
      </c>
      <c r="AF29" s="25" t="inlineStr">
        <is>
          <t>Yes</t>
        </is>
      </c>
      <c r="AG29" s="25">
        <f>IF(AF29="Yes",10,0)</f>
        <v/>
      </c>
      <c r="AH29" s="25" t="inlineStr">
        <is>
          <t>No</t>
        </is>
      </c>
      <c r="AI29" s="25">
        <f>IF(AH29="Yes",10,0)</f>
        <v/>
      </c>
      <c r="AJ29" s="25" t="inlineStr">
        <is>
          <t>Yes</t>
        </is>
      </c>
      <c r="AK29" s="25">
        <f>IF(AJ29="Yes",5,0)</f>
        <v/>
      </c>
      <c r="AL29" s="25" t="inlineStr">
        <is>
          <t>No</t>
        </is>
      </c>
      <c r="AM29" s="25">
        <f>IF(AL29="No",10,IF(AL29="Yes",-10,0))</f>
        <v/>
      </c>
      <c r="AN29" s="25" t="inlineStr">
        <is>
          <t>No</t>
        </is>
      </c>
      <c r="AO29" s="25">
        <f>IF(AN29="No",10,0)</f>
        <v/>
      </c>
      <c r="AP29" s="25" t="inlineStr">
        <is>
          <t>No</t>
        </is>
      </c>
      <c r="AQ29" s="25">
        <f>IF(AP29="No",10,IF(AP29= "Yes CEO Resignation",-5,0))</f>
        <v/>
      </c>
      <c r="AR29" s="25" t="inlineStr">
        <is>
          <t>No</t>
        </is>
      </c>
      <c r="AS29" s="25">
        <f>IF(AR29="No",10,IF(AR29="Yes",-5,0))</f>
        <v/>
      </c>
      <c r="AT29" s="25" t="inlineStr">
        <is>
          <t>No</t>
        </is>
      </c>
      <c r="AU29" s="25">
        <f>IF(AT29="No",5,IF(AT29="Yes",-5,0))</f>
        <v/>
      </c>
      <c r="AV29" s="25" t="inlineStr">
        <is>
          <t>Yes</t>
        </is>
      </c>
      <c r="AW29" s="25">
        <f>IF(AV29="Yes",10,0)</f>
        <v/>
      </c>
      <c r="AX29" s="25" t="inlineStr">
        <is>
          <t>Yes</t>
        </is>
      </c>
      <c r="AY29" s="25">
        <f>IF(AX29="Yes",10,0)</f>
        <v/>
      </c>
      <c r="AZ29" s="25" t="inlineStr">
        <is>
          <t>Yes</t>
        </is>
      </c>
      <c r="BA29" s="25">
        <f>IF(AZ29="Yes",10,0)</f>
        <v/>
      </c>
      <c r="BB29" s="25" t="inlineStr">
        <is>
          <t>P/BV less than 2.5x and Growth less than 20%</t>
        </is>
      </c>
      <c r="BC29" s="25">
        <f>IF(BB29="P/BV less than 2.5x and Growth more than 20%",20,IF(BB29 = "P/BV less than 2.5x and Growth less than 20%",5,IF(BB29="P/BV between 2.5x to 5x and Growth more than 20%",10,IF(BB29= "P/BV between 2.5x to 5x and Growth less than 20%",-5,IF(BB29= "P/BV above 5x",-5,0)))))</f>
        <v/>
      </c>
      <c r="BD29" s="25" t="inlineStr">
        <is>
          <t>0 to 20</t>
        </is>
      </c>
      <c r="BE29" s="25">
        <f>IF(BD29="Above 40",20,IF(BD29="20 to 40",10,IF(BD29="0 to 20",-5,0)))</f>
        <v/>
      </c>
      <c r="BF29" s="25" t="inlineStr">
        <is>
          <t>Between 50 to 75</t>
        </is>
      </c>
      <c r="BG29" s="25">
        <f>IF(BF29="Between 50 to 75",10,IF(BF29="Above 75",0,0))</f>
        <v/>
      </c>
      <c r="BH29" s="25" t="inlineStr">
        <is>
          <t>Stage 2</t>
        </is>
      </c>
      <c r="BI29" s="25">
        <f>IF(BH29="Stage 2",20,IF(BH29="Stage 1",0,IF(BH29="Stage 3",5,IF(BH29="Stage 4",-5,0))))</f>
        <v/>
      </c>
      <c r="BJ29" s="25" t="inlineStr">
        <is>
          <t>Positive Trend</t>
        </is>
      </c>
      <c r="BK29" s="25">
        <f>IF(BJ29="Positive Trend",20,IF(BJ29="Negative Trend",-10,0))</f>
        <v/>
      </c>
      <c r="BL29" s="25" t="inlineStr">
        <is>
          <t>Uptrend</t>
        </is>
      </c>
      <c r="BM29" s="25">
        <f>IF(BL29="Uptrend",10,IF(BL29="Sideways",5,0))</f>
        <v/>
      </c>
      <c r="BN29" s="25" t="inlineStr">
        <is>
          <t>Uptrend</t>
        </is>
      </c>
      <c r="BO29" s="25">
        <f>IF(BN29="Uptrend",10,IF(BN29="Sideways",5,0))</f>
        <v/>
      </c>
      <c r="BP29" s="25" t="inlineStr">
        <is>
          <t>Close to 52 week high or retracement</t>
        </is>
      </c>
      <c r="BQ29" s="25">
        <f>IF(BP29="Overhead supply in last 2 years in last 2 years",-5,IF(BP29="Close to 52 week high or retracement",5,IF(BP29="Blue sky scenario",10,IF(BP29="Long term Downtrend",-10,0))))</f>
        <v/>
      </c>
      <c r="BR29" s="25" t="inlineStr">
        <is>
          <t>Yes</t>
        </is>
      </c>
      <c r="BS29" s="25">
        <f>IF(BR29="Yes",10,0)</f>
        <v/>
      </c>
    </row>
    <row r="30">
      <c r="A30" s="25">
        <f>IF(B30=0,"",RANK(B30,$B$2:$B$33,0))</f>
        <v/>
      </c>
      <c r="B30" s="26">
        <f>SUM(Q30,S30,U30,W30,Y30,AA30,AC30,AE30,AG30,AI30,AK30,AM30,AO30,AQ30,AS30,AU30,AW30,AY30,BA30,BC30,BE30,BG30,BI30,BK30,BM30,BO30,BQ30,BS30)</f>
        <v/>
      </c>
      <c r="C30" s="25" t="inlineStr">
        <is>
          <t>YESBANK</t>
        </is>
      </c>
      <c r="D30" s="25" t="inlineStr">
        <is>
          <t>Yes Bank Limited</t>
        </is>
      </c>
      <c r="E30" s="25" t="inlineStr">
        <is>
          <t>bank</t>
        </is>
      </c>
      <c r="F30" s="25" t="inlineStr">
        <is>
          <t>banks - private sector</t>
        </is>
      </c>
      <c r="G30" s="25" t="inlineStr">
        <is>
          <t>largecap</t>
        </is>
      </c>
      <c r="H30" s="26" t="n">
        <v>72201.8</v>
      </c>
      <c r="I30" s="26" t="n">
        <v>22.83</v>
      </c>
      <c r="J30" s="26" t="n">
        <v>-0.78</v>
      </c>
      <c r="K30" s="26" t="n">
        <v>165063885</v>
      </c>
      <c r="L30" s="26" t="n">
        <v>59.44</v>
      </c>
      <c r="M30" s="26" t="n">
        <v>20.62</v>
      </c>
      <c r="N30" s="26" t="n">
        <v>19.18</v>
      </c>
      <c r="O30" s="25" t="inlineStr">
        <is>
          <t>Near 52W High Breakout</t>
        </is>
      </c>
      <c r="P30" s="25" t="inlineStr">
        <is>
          <t>Growing Industry</t>
        </is>
      </c>
      <c r="Q30" s="25">
        <f>IF(P30="Growing Industry",10,IF(P30="Cyclical in an Upturn",5,0))</f>
        <v/>
      </c>
      <c r="R30" s="25" t="inlineStr">
        <is>
          <t>Fragmented with High ROE</t>
        </is>
      </c>
      <c r="S30" s="25">
        <f>IF(R30="Fragmented with Low ROE",-5,IF(R30="Fragmented with High ROE",10,IF(R30= "highly cyclical",5,0)))</f>
        <v/>
      </c>
      <c r="T30" s="25" t="inlineStr">
        <is>
          <t>Yes</t>
        </is>
      </c>
      <c r="U30" s="25">
        <f>IF(T30="No",5,0)</f>
        <v/>
      </c>
      <c r="V30" s="25" t="inlineStr">
        <is>
          <t>Tailwind</t>
        </is>
      </c>
      <c r="W30" s="25">
        <f>IF(V30="Tailwind",10,0)</f>
        <v/>
      </c>
      <c r="X30" s="25" t="inlineStr">
        <is>
          <t>Structural (10 Years Consistency)</t>
        </is>
      </c>
      <c r="Y30" s="25">
        <f>IF(X30="Structural (10 Years Consistency)",15,IF(X30="Shallow Cyclical (2 to 3 years growth)",10,IF(X30 = "Cyclical in an Uptick",5,IF(X30 = "Cyclical in an Downtick",-10,0))))</f>
        <v/>
      </c>
      <c r="Z30" s="25" t="inlineStr">
        <is>
          <t>Yes</t>
        </is>
      </c>
      <c r="AA30" s="25">
        <f>IF(Z30="Yes",10,0)</f>
        <v/>
      </c>
      <c r="AB30" s="25" t="inlineStr">
        <is>
          <t>Yes</t>
        </is>
      </c>
      <c r="AC30" s="25">
        <f>IF(AB30="Yes",10,0)</f>
        <v/>
      </c>
      <c r="AD30" s="25" t="n"/>
      <c r="AE30" s="25">
        <f>IF(AD30="No",10,0)</f>
        <v/>
      </c>
      <c r="AF30" s="25" t="inlineStr">
        <is>
          <t>Yes</t>
        </is>
      </c>
      <c r="AG30" s="25">
        <f>IF(AF30="Yes",10,0)</f>
        <v/>
      </c>
      <c r="AH30" s="25" t="inlineStr">
        <is>
          <t>Yes</t>
        </is>
      </c>
      <c r="AI30" s="25">
        <f>IF(AH30="Yes",10,0)</f>
        <v/>
      </c>
      <c r="AJ30" s="25" t="inlineStr">
        <is>
          <t>Yes</t>
        </is>
      </c>
      <c r="AK30" s="25">
        <f>IF(AJ30="Yes",5,0)</f>
        <v/>
      </c>
      <c r="AL30" s="25" t="inlineStr">
        <is>
          <t>No</t>
        </is>
      </c>
      <c r="AM30" s="25">
        <f>IF(AL30="No",10,IF(AL30="Yes",-10,0))</f>
        <v/>
      </c>
      <c r="AN30" s="25" t="inlineStr">
        <is>
          <t>No</t>
        </is>
      </c>
      <c r="AO30" s="25">
        <f>IF(AN30="No",10,0)</f>
        <v/>
      </c>
      <c r="AP30" s="25" t="inlineStr">
        <is>
          <t>No</t>
        </is>
      </c>
      <c r="AQ30" s="25">
        <f>IF(AP30="No",10,IF(AP30= "Yes CEO Resignation",-5,0))</f>
        <v/>
      </c>
      <c r="AR30" s="25" t="inlineStr">
        <is>
          <t>No</t>
        </is>
      </c>
      <c r="AS30" s="25">
        <f>IF(AR30="No",10,IF(AR30="Yes",-5,0))</f>
        <v/>
      </c>
      <c r="AT30" s="25" t="inlineStr">
        <is>
          <t>No</t>
        </is>
      </c>
      <c r="AU30" s="25">
        <f>IF(AT30="No",5,IF(AT30="Yes",-5,0))</f>
        <v/>
      </c>
      <c r="AV30" s="25" t="inlineStr">
        <is>
          <t>Yes</t>
        </is>
      </c>
      <c r="AW30" s="25">
        <f>IF(AV30="Yes",10,0)</f>
        <v/>
      </c>
      <c r="AX30" s="25" t="inlineStr">
        <is>
          <t>Yes</t>
        </is>
      </c>
      <c r="AY30" s="25">
        <f>IF(AX30="Yes",10,0)</f>
        <v/>
      </c>
      <c r="AZ30" s="25" t="inlineStr">
        <is>
          <t>Yes</t>
        </is>
      </c>
      <c r="BA30" s="25">
        <f>IF(AZ30="Yes",10,0)</f>
        <v/>
      </c>
      <c r="BB30" s="25" t="inlineStr">
        <is>
          <t>P/BV less than 2.5x and Growth less than 20%</t>
        </is>
      </c>
      <c r="BC30" s="25">
        <f>IF(BB30="P/BV less than 2.5x and Growth more than 20%",20,IF(BB30 = "P/BV less than 2.5x and Growth less than 20%",5,IF(BB30="P/BV between 2.5x to 5x and Growth more than 20%",10,IF(BB30= "P/BV between 2.5x to 5x and Growth less than 20%",-5,IF(BB30= "P/BV above 5x",-5,0)))))</f>
        <v/>
      </c>
      <c r="BD30" s="25" t="inlineStr">
        <is>
          <t>20 to 40</t>
        </is>
      </c>
      <c r="BE30" s="25">
        <f>IF(BD30="Above 40",20,IF(BD30="20 to 40",10,IF(BD30="0 to 20",-5,0)))</f>
        <v/>
      </c>
      <c r="BF30" s="25" t="inlineStr">
        <is>
          <t>Between 50 to 75</t>
        </is>
      </c>
      <c r="BG30" s="25">
        <f>IF(BF30="Between 50 to 75",10,IF(BF30="Above 75",0,0))</f>
        <v/>
      </c>
      <c r="BH30" s="25" t="inlineStr">
        <is>
          <t>Stage 2</t>
        </is>
      </c>
      <c r="BI30" s="25">
        <f>IF(BH30="Stage 2",20,IF(BH30="Stage 1",0,IF(BH30="Stage 3",5,IF(BH30="Stage 4",-5,0))))</f>
        <v/>
      </c>
      <c r="BJ30" s="25" t="inlineStr">
        <is>
          <t>Negative Trend</t>
        </is>
      </c>
      <c r="BK30" s="25">
        <f>IF(BJ30="Positive Trend",20,IF(BJ30="Negative Trend",-10,0))</f>
        <v/>
      </c>
      <c r="BL30" s="25" t="inlineStr">
        <is>
          <t>Uptrend</t>
        </is>
      </c>
      <c r="BM30" s="25">
        <f>IF(BL30="Uptrend",10,IF(BL30="Sideways",5,0))</f>
        <v/>
      </c>
      <c r="BN30" s="25" t="inlineStr">
        <is>
          <t>Uptrend</t>
        </is>
      </c>
      <c r="BO30" s="25">
        <f>IF(BN30="Uptrend",10,IF(BN30="Sideways",5,0))</f>
        <v/>
      </c>
      <c r="BP30" s="25" t="inlineStr">
        <is>
          <t>Close to 52 week high or retracement</t>
        </is>
      </c>
      <c r="BQ30" s="25">
        <f>IF(BP30="Overhead supply in last 2 years in last 2 years",-5,IF(BP30="Close to 52 week high or retracement",5,IF(BP30="Blue sky scenario",10,IF(BP30="Long term Downtrend",-10,0))))</f>
        <v/>
      </c>
      <c r="BR30" s="25" t="inlineStr">
        <is>
          <t>Yes</t>
        </is>
      </c>
      <c r="BS30" s="25">
        <f>IF(BR30="Yes",10,0)</f>
        <v/>
      </c>
    </row>
    <row r="31">
      <c r="A31" s="25">
        <f>IF(B31=0,"",RANK(B31,$B$2:$B$33,0))</f>
        <v/>
      </c>
      <c r="B31" s="26">
        <f>SUM(Q31,S31,U31,W31,Y31,AA31,AC31,AE31,AG31,AI31,AK31,AM31,AO31,AQ31,AS31,AU31,AW31,AY31,BA31,BC31,BE31,BG31,BI31,BK31,BM31,BO31,BQ31,BS31)</f>
        <v/>
      </c>
      <c r="C31" s="25" t="inlineStr">
        <is>
          <t>NUVAMA</t>
        </is>
      </c>
      <c r="D31" s="25" t="inlineStr">
        <is>
          <t>Nuvama Wealth Management Ltd</t>
        </is>
      </c>
      <c r="E31" s="25" t="inlineStr">
        <is>
          <t>financials</t>
        </is>
      </c>
      <c r="F31" s="25" t="inlineStr">
        <is>
          <t>finance &amp; investments</t>
        </is>
      </c>
      <c r="G31" s="25" t="inlineStr">
        <is>
          <t>largecap</t>
        </is>
      </c>
      <c r="H31" s="26" t="n">
        <v>28343.86</v>
      </c>
      <c r="I31" s="26" t="n">
        <v>1573.4</v>
      </c>
      <c r="J31" s="26" t="n">
        <v>1.05</v>
      </c>
      <c r="K31" s="26" t="n">
        <v>627948</v>
      </c>
      <c r="L31" s="26" t="n">
        <v>60.32</v>
      </c>
      <c r="M31" s="26" t="n">
        <v>28.92</v>
      </c>
      <c r="N31" s="26" t="n">
        <v>1260.03</v>
      </c>
      <c r="O31" s="25" t="inlineStr">
        <is>
          <t>Near 52W High Breakout</t>
        </is>
      </c>
      <c r="P31" s="25" t="inlineStr">
        <is>
          <t>Growing Industry</t>
        </is>
      </c>
      <c r="Q31" s="25">
        <f>IF(P31="Growing Industry",10,IF(P31="Cyclical in an Upturn",5,0))</f>
        <v/>
      </c>
      <c r="R31" s="25" t="inlineStr">
        <is>
          <t>Fragmented with High ROE</t>
        </is>
      </c>
      <c r="S31" s="25">
        <f>IF(R31="Fragmented with Low ROE",-5,IF(R31="Fragmented with High ROE",10,IF(R31= "highly cyclical",5,0)))</f>
        <v/>
      </c>
      <c r="T31" s="25" t="inlineStr">
        <is>
          <t>Yes</t>
        </is>
      </c>
      <c r="U31" s="25">
        <f>IF(T31="No",5,0)</f>
        <v/>
      </c>
      <c r="V31" s="25" t="inlineStr">
        <is>
          <t>Tailwind</t>
        </is>
      </c>
      <c r="W31" s="25">
        <f>IF(V31="Tailwind",10,0)</f>
        <v/>
      </c>
      <c r="X31" s="25" t="inlineStr">
        <is>
          <t>Structural (10 Years Consistency)</t>
        </is>
      </c>
      <c r="Y31" s="25">
        <f>IF(X31="Structural (10 Years Consistency)",15,IF(X31="Shallow Cyclical (2 to 3 years growth)",10,IF(X31 = "Cyclical in an Uptick",5,IF(X31 = "Cyclical in an Downtick",-10,0))))</f>
        <v/>
      </c>
      <c r="Z31" s="25" t="inlineStr">
        <is>
          <t>Yes</t>
        </is>
      </c>
      <c r="AA31" s="25">
        <f>IF(Z31="Yes",10,0)</f>
        <v/>
      </c>
      <c r="AB31" s="25" t="inlineStr">
        <is>
          <t>Yes</t>
        </is>
      </c>
      <c r="AC31" s="25">
        <f>IF(AB31="Yes",10,0)</f>
        <v/>
      </c>
      <c r="AD31" s="25" t="n"/>
      <c r="AE31" s="25">
        <f>IF(AD31="No",10,0)</f>
        <v/>
      </c>
      <c r="AF31" s="25" t="inlineStr">
        <is>
          <t>Yes</t>
        </is>
      </c>
      <c r="AG31" s="25">
        <f>IF(AF31="Yes",10,0)</f>
        <v/>
      </c>
      <c r="AH31" s="25" t="inlineStr">
        <is>
          <t>Yes</t>
        </is>
      </c>
      <c r="AI31" s="25">
        <f>IF(AH31="Yes",10,0)</f>
        <v/>
      </c>
      <c r="AJ31" s="25" t="inlineStr">
        <is>
          <t>Yes</t>
        </is>
      </c>
      <c r="AK31" s="25">
        <f>IF(AJ31="Yes",5,0)</f>
        <v/>
      </c>
      <c r="AL31" s="25" t="inlineStr">
        <is>
          <t>No</t>
        </is>
      </c>
      <c r="AM31" s="25">
        <f>IF(AL31="No",10,IF(AL31="Yes",-10,0))</f>
        <v/>
      </c>
      <c r="AN31" s="25" t="inlineStr">
        <is>
          <t>No</t>
        </is>
      </c>
      <c r="AO31" s="25">
        <f>IF(AN31="No",10,0)</f>
        <v/>
      </c>
      <c r="AP31" s="25" t="inlineStr">
        <is>
          <t>No</t>
        </is>
      </c>
      <c r="AQ31" s="25">
        <f>IF(AP31="No",10,IF(AP31= "Yes CEO Resignation",-5,0))</f>
        <v/>
      </c>
      <c r="AR31" s="25" t="inlineStr">
        <is>
          <t>No</t>
        </is>
      </c>
      <c r="AS31" s="25">
        <f>IF(AR31="No",10,IF(AR31="Yes",-5,0))</f>
        <v/>
      </c>
      <c r="AT31" s="25" t="inlineStr">
        <is>
          <t>No</t>
        </is>
      </c>
      <c r="AU31" s="25">
        <f>IF(AT31="No",5,IF(AT31="Yes",-5,0))</f>
        <v/>
      </c>
      <c r="AV31" s="25" t="inlineStr">
        <is>
          <t>Yes</t>
        </is>
      </c>
      <c r="AW31" s="25">
        <f>IF(AV31="Yes",10,0)</f>
        <v/>
      </c>
      <c r="AX31" s="25" t="inlineStr">
        <is>
          <t>Yes</t>
        </is>
      </c>
      <c r="AY31" s="25">
        <f>IF(AX31="Yes",10,0)</f>
        <v/>
      </c>
      <c r="AZ31" s="25" t="inlineStr">
        <is>
          <t>Yes</t>
        </is>
      </c>
      <c r="BA31" s="25">
        <f>IF(AZ31="Yes",10,0)</f>
        <v/>
      </c>
      <c r="BB31" s="25" t="inlineStr">
        <is>
          <t>P/BV above 5x</t>
        </is>
      </c>
      <c r="BC31" s="25">
        <f>IF(BB31="P/BV less than 2.5x and Growth more than 20%",20,IF(BB31 = "P/BV less than 2.5x and Growth less than 20%",5,IF(BB31="P/BV between 2.5x to 5x and Growth more than 20%",10,IF(BB31= "P/BV between 2.5x to 5x and Growth less than 20%",-5,IF(BB31= "P/BV above 5x",-5,0)))))</f>
        <v/>
      </c>
      <c r="BD31" s="25" t="inlineStr">
        <is>
          <t>20 to 40</t>
        </is>
      </c>
      <c r="BE31" s="25">
        <f>IF(BD31="Above 40",20,IF(BD31="20 to 40",10,IF(BD31="0 to 20",-5,0)))</f>
        <v/>
      </c>
      <c r="BF31" s="25" t="inlineStr">
        <is>
          <t>Between 50 to 75</t>
        </is>
      </c>
      <c r="BG31" s="25">
        <f>IF(BF31="Between 50 to 75",10,IF(BF31="Above 75",0,0))</f>
        <v/>
      </c>
      <c r="BH31" s="25" t="inlineStr">
        <is>
          <t>Stage 2</t>
        </is>
      </c>
      <c r="BI31" s="25">
        <f>IF(BH31="Stage 2",20,IF(BH31="Stage 1",0,IF(BH31="Stage 3",5,IF(BH31="Stage 4",-5,0))))</f>
        <v/>
      </c>
      <c r="BJ31" s="25" t="inlineStr">
        <is>
          <t>Negative Trend</t>
        </is>
      </c>
      <c r="BK31" s="25">
        <f>IF(BJ31="Positive Trend",20,IF(BJ31="Negative Trend",-10,0))</f>
        <v/>
      </c>
      <c r="BL31" s="25" t="inlineStr">
        <is>
          <t>Uptrend</t>
        </is>
      </c>
      <c r="BM31" s="25">
        <f>IF(BL31="Uptrend",10,IF(BL31="Sideways",5,0))</f>
        <v/>
      </c>
      <c r="BN31" s="25" t="inlineStr">
        <is>
          <t>Uptrend</t>
        </is>
      </c>
      <c r="BO31" s="25">
        <f>IF(BN31="Uptrend",10,IF(BN31="Sideways",5,0))</f>
        <v/>
      </c>
      <c r="BP31" s="25" t="inlineStr">
        <is>
          <t>Blue sky scenario</t>
        </is>
      </c>
      <c r="BQ31" s="25">
        <f>IF(BP31="Overhead supply in last 2 years in last 2 years",-5,IF(BP31="Close to 52 week high or retracement",5,IF(BP31="Blue sky scenario",10,IF(BP31="Long term Downtrend",-10,0))))</f>
        <v/>
      </c>
      <c r="BR31" s="25" t="inlineStr">
        <is>
          <t>Yes</t>
        </is>
      </c>
      <c r="BS31" s="25">
        <f>IF(BR31="Yes",10,0)</f>
        <v/>
      </c>
    </row>
    <row r="32">
      <c r="A32" s="25">
        <f>IF(B32=0,"",RANK(B32,$B$2:$B$33,0))</f>
        <v/>
      </c>
      <c r="B32" s="26">
        <f>SUM(Q32,S32,U32,W32,Y32,AA32,AC32,AE32,AG32,AI32,AK32,AM32,AO32,AQ32,AS32,AU32,AW32,AY32,BA32,BC32,BE32,BG32,BI32,BK32,BM32,BO32,BQ32,BS32)</f>
        <v/>
      </c>
      <c r="C32" s="25" t="inlineStr">
        <is>
          <t>NAM-INDIA</t>
        </is>
      </c>
      <c r="D32" s="25" t="inlineStr">
        <is>
          <t>Nippon Life India Asset Management Ltd</t>
        </is>
      </c>
      <c r="E32" s="25" t="inlineStr">
        <is>
          <t>financials</t>
        </is>
      </c>
      <c r="F32" s="25" t="inlineStr">
        <is>
          <t>finance &amp; investments</t>
        </is>
      </c>
      <c r="G32" s="25" t="inlineStr">
        <is>
          <t>largecap</t>
        </is>
      </c>
      <c r="H32" s="26" t="n">
        <v>69739.7</v>
      </c>
      <c r="I32" s="26" t="n">
        <v>1089.9</v>
      </c>
      <c r="J32" s="26" t="n">
        <v>-0.27</v>
      </c>
      <c r="K32" s="26" t="n">
        <v>1153544</v>
      </c>
      <c r="L32" s="26" t="n">
        <v>65.84</v>
      </c>
      <c r="M32" s="26" t="n">
        <v>25.61</v>
      </c>
      <c r="N32" s="26" t="n">
        <v>871.4299999999999</v>
      </c>
      <c r="O32" s="25" t="inlineStr">
        <is>
          <t>Near 52W High Breakout</t>
        </is>
      </c>
      <c r="P32" s="25" t="inlineStr">
        <is>
          <t>Growing Industry</t>
        </is>
      </c>
      <c r="Q32" s="25">
        <f>IF(P32="Growing Industry",10,IF(P32="Cyclical in an Upturn",5,0))</f>
        <v/>
      </c>
      <c r="R32" s="25" t="inlineStr">
        <is>
          <t>Fragmented with High ROE</t>
        </is>
      </c>
      <c r="S32" s="25">
        <f>IF(R32="Fragmented with Low ROE",-5,IF(R32="Fragmented with High ROE",10,IF(R32= "highly cyclical",5,0)))</f>
        <v/>
      </c>
      <c r="T32" s="25" t="inlineStr">
        <is>
          <t>Yes</t>
        </is>
      </c>
      <c r="U32" s="25">
        <f>IF(T32="No",5,0)</f>
        <v/>
      </c>
      <c r="V32" s="25" t="inlineStr">
        <is>
          <t>Tailwind</t>
        </is>
      </c>
      <c r="W32" s="25">
        <f>IF(V32="Tailwind",10,0)</f>
        <v/>
      </c>
      <c r="X32" s="25" t="inlineStr">
        <is>
          <t>Structural (10 Years Consistency)</t>
        </is>
      </c>
      <c r="Y32" s="25">
        <f>IF(X32="Structural (10 Years Consistency)",15,IF(X32="Shallow Cyclical (2 to 3 years growth)",10,IF(X32 = "Cyclical in an Uptick",5,IF(X32 = "Cyclical in an Downtick",-10,0))))</f>
        <v/>
      </c>
      <c r="Z32" s="25" t="inlineStr">
        <is>
          <t>Yes</t>
        </is>
      </c>
      <c r="AA32" s="25">
        <f>IF(Z32="Yes",10,0)</f>
        <v/>
      </c>
      <c r="AB32" s="25" t="inlineStr">
        <is>
          <t>Yes</t>
        </is>
      </c>
      <c r="AC32" s="25">
        <f>IF(AB32="Yes",10,0)</f>
        <v/>
      </c>
      <c r="AD32" s="25" t="n"/>
      <c r="AE32" s="25">
        <f>IF(AD32="No",10,0)</f>
        <v/>
      </c>
      <c r="AF32" s="25" t="inlineStr">
        <is>
          <t>Yes</t>
        </is>
      </c>
      <c r="AG32" s="25">
        <f>IF(AF32="Yes",10,0)</f>
        <v/>
      </c>
      <c r="AH32" s="25" t="inlineStr">
        <is>
          <t>Yes</t>
        </is>
      </c>
      <c r="AI32" s="25">
        <f>IF(AH32="Yes",10,0)</f>
        <v/>
      </c>
      <c r="AJ32" s="25" t="inlineStr">
        <is>
          <t>Yes</t>
        </is>
      </c>
      <c r="AK32" s="25">
        <f>IF(AJ32="Yes",5,0)</f>
        <v/>
      </c>
      <c r="AL32" s="25" t="inlineStr">
        <is>
          <t>No</t>
        </is>
      </c>
      <c r="AM32" s="25">
        <f>IF(AL32="No",10,IF(AL32="Yes",-10,0))</f>
        <v/>
      </c>
      <c r="AN32" s="25" t="inlineStr">
        <is>
          <t>No</t>
        </is>
      </c>
      <c r="AO32" s="25">
        <f>IF(AN32="No",10,0)</f>
        <v/>
      </c>
      <c r="AP32" s="25" t="inlineStr">
        <is>
          <t>No</t>
        </is>
      </c>
      <c r="AQ32" s="25">
        <f>IF(AP32="No",10,IF(AP32= "Yes CEO Resignation",-5,0))</f>
        <v/>
      </c>
      <c r="AR32" s="25" t="inlineStr">
        <is>
          <t>No</t>
        </is>
      </c>
      <c r="AS32" s="25">
        <f>IF(AR32="No",10,IF(AR32="Yes",-5,0))</f>
        <v/>
      </c>
      <c r="AT32" s="25" t="inlineStr">
        <is>
          <t>No</t>
        </is>
      </c>
      <c r="AU32" s="25">
        <f>IF(AT32="No",5,IF(AT32="Yes",-5,0))</f>
        <v/>
      </c>
      <c r="AV32" s="25" t="inlineStr">
        <is>
          <t>Yes</t>
        </is>
      </c>
      <c r="AW32" s="25">
        <f>IF(AV32="Yes",10,0)</f>
        <v/>
      </c>
      <c r="AX32" s="25" t="inlineStr">
        <is>
          <t>Yes</t>
        </is>
      </c>
      <c r="AY32" s="25">
        <f>IF(AX32="Yes",10,0)</f>
        <v/>
      </c>
      <c r="AZ32" s="25" t="inlineStr">
        <is>
          <t>Yes</t>
        </is>
      </c>
      <c r="BA32" s="25">
        <f>IF(AZ32="Yes",10,0)</f>
        <v/>
      </c>
      <c r="BB32" s="25" t="inlineStr">
        <is>
          <t>P/BV above 5x</t>
        </is>
      </c>
      <c r="BC32" s="25">
        <f>IF(BB32="P/BV less than 2.5x and Growth more than 20%",20,IF(BB32 = "P/BV less than 2.5x and Growth less than 20%",5,IF(BB32="P/BV between 2.5x to 5x and Growth more than 20%",10,IF(BB32= "P/BV between 2.5x to 5x and Growth less than 20%",-5,IF(BB32= "P/BV above 5x",-5,0)))))</f>
        <v/>
      </c>
      <c r="BD32" s="25" t="inlineStr">
        <is>
          <t>20 to 40</t>
        </is>
      </c>
      <c r="BE32" s="25">
        <f>IF(BD32="Above 40",20,IF(BD32="20 to 40",10,IF(BD32="0 to 20",-5,0)))</f>
        <v/>
      </c>
      <c r="BF32" s="25" t="inlineStr">
        <is>
          <t>Between 50 to 75</t>
        </is>
      </c>
      <c r="BG32" s="25">
        <f>IF(BF32="Between 50 to 75",10,IF(BF32="Above 75",0,0))</f>
        <v/>
      </c>
      <c r="BH32" s="25" t="inlineStr">
        <is>
          <t>Stage 2</t>
        </is>
      </c>
      <c r="BI32" s="25">
        <f>IF(BH32="Stage 2",20,IF(BH32="Stage 1",0,IF(BH32="Stage 3",5,IF(BH32="Stage 4",-5,0))))</f>
        <v/>
      </c>
      <c r="BJ32" s="25" t="inlineStr">
        <is>
          <t>Negative Trend</t>
        </is>
      </c>
      <c r="BK32" s="25">
        <f>IF(BJ32="Positive Trend",20,IF(BJ32="Negative Trend",-10,0))</f>
        <v/>
      </c>
      <c r="BL32" s="25" t="inlineStr">
        <is>
          <t>Uptrend</t>
        </is>
      </c>
      <c r="BM32" s="25">
        <f>IF(BL32="Uptrend",10,IF(BL32="Sideways",5,0))</f>
        <v/>
      </c>
      <c r="BN32" s="25" t="inlineStr">
        <is>
          <t>Uptrend</t>
        </is>
      </c>
      <c r="BO32" s="25">
        <f>IF(BN32="Uptrend",10,IF(BN32="Sideways",5,0))</f>
        <v/>
      </c>
      <c r="BP32" s="25" t="inlineStr">
        <is>
          <t>Blue sky scenario</t>
        </is>
      </c>
      <c r="BQ32" s="25">
        <f>IF(BP32="Overhead supply in last 2 years in last 2 years",-5,IF(BP32="Close to 52 week high or retracement",5,IF(BP32="Blue sky scenario",10,IF(BP32="Long term Downtrend",-10,0))))</f>
        <v/>
      </c>
      <c r="BR32" s="25" t="inlineStr">
        <is>
          <t>Yes</t>
        </is>
      </c>
      <c r="BS32" s="25">
        <f>IF(BR32="Yes",10,0)</f>
        <v/>
      </c>
    </row>
    <row r="33">
      <c r="A33" s="25">
        <f>IF(B33=0,"",RANK(B33,$B$2:$B$33,0))</f>
        <v/>
      </c>
      <c r="B33" s="26">
        <f>SUM(Q33,S33,U33,W33,Y33,AA33,AC33,AE33,AG33,AI33,AK33,AM33,AO33,AQ33,AS33,AU33,AW33,AY33,BA33,BC33,BE33,BG33,BI33,BK33,BM33,BO33,BQ33,BS33)</f>
        <v/>
      </c>
      <c r="C33" s="25" t="inlineStr">
        <is>
          <t>BFINVEST</t>
        </is>
      </c>
      <c r="D33" s="25" t="inlineStr">
        <is>
          <t>Bf Investment Limited</t>
        </is>
      </c>
      <c r="E33" s="25" t="inlineStr">
        <is>
          <t>financials</t>
        </is>
      </c>
      <c r="F33" s="25" t="inlineStr">
        <is>
          <t>finance &amp; investments</t>
        </is>
      </c>
      <c r="G33" s="25" t="inlineStr">
        <is>
          <t>smallcap</t>
        </is>
      </c>
      <c r="H33" s="26" t="n">
        <v>1625.73</v>
      </c>
      <c r="I33" s="26" t="n">
        <v>435.75</v>
      </c>
      <c r="J33" s="26" t="n">
        <v>0.96</v>
      </c>
      <c r="K33" s="26" t="n">
        <v>32681</v>
      </c>
      <c r="L33" s="26" t="n">
        <v>55.19</v>
      </c>
      <c r="M33" s="26" t="n">
        <v>19.15</v>
      </c>
      <c r="N33" s="26" t="n">
        <v>341.93</v>
      </c>
      <c r="O33" s="25" t="inlineStr">
        <is>
          <t>Earnings / Momentum Support</t>
        </is>
      </c>
      <c r="P33" s="25" t="inlineStr">
        <is>
          <t>Growing Industry</t>
        </is>
      </c>
      <c r="Q33" s="25">
        <f>IF(P33="Growing Industry",10,IF(P33="Cyclical in an Upturn",5,0))</f>
        <v/>
      </c>
      <c r="R33" s="25" t="inlineStr">
        <is>
          <t>Fragmented with High ROE</t>
        </is>
      </c>
      <c r="S33" s="25">
        <f>IF(R33="Fragmented with Low ROE",-5,IF(R33="Fragmented with High ROE",10,IF(R33= "highly cyclical",5,0)))</f>
        <v/>
      </c>
      <c r="T33" s="25" t="inlineStr">
        <is>
          <t>Yes</t>
        </is>
      </c>
      <c r="U33" s="25">
        <f>IF(T33="No",5,0)</f>
        <v/>
      </c>
      <c r="V33" s="25" t="inlineStr">
        <is>
          <t>Tailwind</t>
        </is>
      </c>
      <c r="W33" s="25">
        <f>IF(V33="Tailwind",10,0)</f>
        <v/>
      </c>
      <c r="X33" s="25" t="inlineStr">
        <is>
          <t>Structural (10 Years Consistency)</t>
        </is>
      </c>
      <c r="Y33" s="25">
        <f>IF(X33="Structural (10 Years Consistency)",15,IF(X33="Shallow Cyclical (2 to 3 years growth)",10,IF(X33 = "Cyclical in an Uptick",5,IF(X33 = "Cyclical in an Downtick",-10,0))))</f>
        <v/>
      </c>
      <c r="Z33" s="25" t="inlineStr">
        <is>
          <t>Yes</t>
        </is>
      </c>
      <c r="AA33" s="25">
        <f>IF(Z33="Yes",10,0)</f>
        <v/>
      </c>
      <c r="AB33" s="25" t="inlineStr">
        <is>
          <t>Yes</t>
        </is>
      </c>
      <c r="AC33" s="25">
        <f>IF(AB33="Yes",10,0)</f>
        <v/>
      </c>
      <c r="AD33" s="25" t="n"/>
      <c r="AE33" s="25">
        <f>IF(AD33="No",10,0)</f>
        <v/>
      </c>
      <c r="AF33" s="25" t="inlineStr">
        <is>
          <t>Yes</t>
        </is>
      </c>
      <c r="AG33" s="25">
        <f>IF(AF33="Yes",10,0)</f>
        <v/>
      </c>
      <c r="AH33" s="25" t="inlineStr">
        <is>
          <t>No</t>
        </is>
      </c>
      <c r="AI33" s="25">
        <f>IF(AH33="Yes",10,0)</f>
        <v/>
      </c>
      <c r="AJ33" s="25" t="inlineStr">
        <is>
          <t>Yes</t>
        </is>
      </c>
      <c r="AK33" s="25">
        <f>IF(AJ33="Yes",5,0)</f>
        <v/>
      </c>
      <c r="AL33" s="25" t="inlineStr">
        <is>
          <t>No</t>
        </is>
      </c>
      <c r="AM33" s="25">
        <f>IF(AL33="No",10,IF(AL33="Yes",-10,0))</f>
        <v/>
      </c>
      <c r="AN33" s="25" t="inlineStr">
        <is>
          <t>No</t>
        </is>
      </c>
      <c r="AO33" s="25">
        <f>IF(AN33="No",10,0)</f>
        <v/>
      </c>
      <c r="AP33" s="25" t="inlineStr">
        <is>
          <t>No</t>
        </is>
      </c>
      <c r="AQ33" s="25">
        <f>IF(AP33="No",10,IF(AP33= "Yes CEO Resignation",-5,0))</f>
        <v/>
      </c>
      <c r="AR33" s="25" t="inlineStr">
        <is>
          <t>No</t>
        </is>
      </c>
      <c r="AS33" s="25">
        <f>IF(AR33="No",10,IF(AR33="Yes",-5,0))</f>
        <v/>
      </c>
      <c r="AT33" s="25" t="inlineStr">
        <is>
          <t>No</t>
        </is>
      </c>
      <c r="AU33" s="25">
        <f>IF(AT33="No",5,IF(AT33="Yes",-5,0))</f>
        <v/>
      </c>
      <c r="AV33" s="25" t="inlineStr">
        <is>
          <t>Yes</t>
        </is>
      </c>
      <c r="AW33" s="25">
        <f>IF(AV33="Yes",10,0)</f>
        <v/>
      </c>
      <c r="AX33" s="25" t="inlineStr">
        <is>
          <t>Yes</t>
        </is>
      </c>
      <c r="AY33" s="25">
        <f>IF(AX33="Yes",10,0)</f>
        <v/>
      </c>
      <c r="AZ33" s="25" t="inlineStr">
        <is>
          <t>Yes</t>
        </is>
      </c>
      <c r="BA33" s="25">
        <f>IF(AZ33="Yes",10,0)</f>
        <v/>
      </c>
      <c r="BB33" s="25" t="inlineStr">
        <is>
          <t>P/BV less than 2.5x and Growth more than 20%</t>
        </is>
      </c>
      <c r="BC33" s="25">
        <f>IF(BB33="P/BV less than 2.5x and Growth more than 20%",20,IF(BB33 = "P/BV less than 2.5x and Growth less than 20%",5,IF(BB33="P/BV between 2.5x to 5x and Growth more than 20%",10,IF(BB33= "P/BV between 2.5x to 5x and Growth less than 20%",-5,IF(BB33= "P/BV above 5x",-5,0)))))</f>
        <v/>
      </c>
      <c r="BD33" s="25" t="inlineStr">
        <is>
          <t>0 to 20</t>
        </is>
      </c>
      <c r="BE33" s="25">
        <f>IF(BD33="Above 40",20,IF(BD33="20 to 40",10,IF(BD33="0 to 20",-5,0)))</f>
        <v/>
      </c>
      <c r="BF33" s="25" t="inlineStr">
        <is>
          <t>Between 50 to 75</t>
        </is>
      </c>
      <c r="BG33" s="25">
        <f>IF(BF33="Between 50 to 75",10,IF(BF33="Above 75",0,0))</f>
        <v/>
      </c>
      <c r="BH33" s="25" t="inlineStr">
        <is>
          <t>Stage 1</t>
        </is>
      </c>
      <c r="BI33" s="25">
        <f>IF(BH33="Stage 2",20,IF(BH33="Stage 1",0,IF(BH33="Stage 3",5,IF(BH33="Stage 4",-5,0))))</f>
        <v/>
      </c>
      <c r="BJ33" s="25" t="inlineStr">
        <is>
          <t>Negative Trend</t>
        </is>
      </c>
      <c r="BK33" s="25">
        <f>IF(BJ33="Positive Trend",20,IF(BJ33="Negative Trend",-10,0))</f>
        <v/>
      </c>
      <c r="BL33" s="25" t="inlineStr">
        <is>
          <t>Uptrend</t>
        </is>
      </c>
      <c r="BM33" s="25">
        <f>IF(BL33="Uptrend",10,IF(BL33="Sideways",5,0))</f>
        <v/>
      </c>
      <c r="BN33" s="25" t="inlineStr">
        <is>
          <t>Uptrend</t>
        </is>
      </c>
      <c r="BO33" s="25">
        <f>IF(BN33="Uptrend",10,IF(BN33="Sideways",5,0))</f>
        <v/>
      </c>
      <c r="BP33" s="25" t="inlineStr">
        <is>
          <t>Close to 52 week high or retracement</t>
        </is>
      </c>
      <c r="BQ33" s="25">
        <f>IF(BP33="Overhead supply in last 2 years in last 2 years",-5,IF(BP33="Close to 52 week high or retracement",5,IF(BP33="Blue sky scenario",10,IF(BP33="Long term Downtrend",-10,0))))</f>
        <v/>
      </c>
      <c r="BR33" s="25" t="inlineStr">
        <is>
          <t>Yes</t>
        </is>
      </c>
      <c r="BS33" s="25">
        <f>IF(BR33="Yes",10,0)</f>
        <v/>
      </c>
    </row>
  </sheetData>
  <autoFilter ref="A1:BS33"/>
  <conditionalFormatting sqref="B2:B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P2:P33" showDropDown="0" showInputMessage="0" showErrorMessage="0" allowBlank="1" type="list">
      <formula1>"Growing Industry,Stagnant Industry,Cyclical in an Upturn"</formula1>
    </dataValidation>
    <dataValidation sqref="R2:R33" showDropDown="0" showInputMessage="0" showErrorMessage="0" allowBlank="1" type="list">
      <formula1>"Fragmented with Low ROE,Fragmented with High ROE,Highly Cyclical"</formula1>
    </dataValidation>
    <dataValidation sqref="T2:T33" showDropDown="0" showInputMessage="0" showErrorMessage="0" allowBlank="1" type="list">
      <formula1>"Yes,No"</formula1>
    </dataValidation>
    <dataValidation sqref="V2:V33" showDropDown="0" showInputMessage="0" showErrorMessage="0" allowBlank="1" type="list">
      <formula1>"Tailwind,Headwind"</formula1>
    </dataValidation>
    <dataValidation sqref="X2:X3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Z2:Z33" showDropDown="0" showInputMessage="0" showErrorMessage="0" allowBlank="1" type="list">
      <formula1>"Yes,No"</formula1>
    </dataValidation>
    <dataValidation sqref="AB2:AB33" showDropDown="0" showInputMessage="0" showErrorMessage="0" allowBlank="1" type="list">
      <formula1>"Yes,No,Not Applicable"</formula1>
    </dataValidation>
    <dataValidation sqref="AD2:AD33" showDropDown="0" showInputMessage="0" showErrorMessage="0" allowBlank="1" type="list">
      <formula1>"Yes,No"</formula1>
    </dataValidation>
    <dataValidation sqref="AF2:AF33" showDropDown="0" showInputMessage="0" showErrorMessage="0" allowBlank="1" type="list">
      <formula1>"Yes,No"</formula1>
    </dataValidation>
    <dataValidation sqref="AH2:AH33" showDropDown="0" showInputMessage="0" showErrorMessage="0" allowBlank="1" type="list">
      <formula1>"Yes,No"</formula1>
    </dataValidation>
    <dataValidation sqref="AJ2:AJ33" showDropDown="0" showInputMessage="0" showErrorMessage="0" allowBlank="1" type="list">
      <formula1>"Yes,No"</formula1>
    </dataValidation>
    <dataValidation sqref="AL2:AL33" showDropDown="0" showInputMessage="0" showErrorMessage="0" allowBlank="1" type="list">
      <formula1>"No,Yes"</formula1>
    </dataValidation>
    <dataValidation sqref="AN2:AN33" showDropDown="0" showInputMessage="0" showErrorMessage="0" allowBlank="1" type="list">
      <formula1>"No,Yes"</formula1>
    </dataValidation>
    <dataValidation sqref="AP2:AP33" showDropDown="0" showInputMessage="0" showErrorMessage="0" allowBlank="1" type="list">
      <formula1>"No,Yes CEO Resignation,Yes CEO Retirement"</formula1>
    </dataValidation>
    <dataValidation sqref="AR2:AR33" showDropDown="0" showInputMessage="0" showErrorMessage="0" allowBlank="1" type="list">
      <formula1>"No,Yes"</formula1>
    </dataValidation>
    <dataValidation sqref="AT2:AT33" showDropDown="0" showInputMessage="0" showErrorMessage="0" allowBlank="1" type="list">
      <formula1>"No,Yes"</formula1>
    </dataValidation>
    <dataValidation sqref="AV2:AV33" showDropDown="0" showInputMessage="0" showErrorMessage="0" allowBlank="1" type="list">
      <formula1>"Yes,No"</formula1>
    </dataValidation>
    <dataValidation sqref="AX2:AX33" showDropDown="0" showInputMessage="0" showErrorMessage="0" allowBlank="1" type="list">
      <formula1>"Yes,No"</formula1>
    </dataValidation>
    <dataValidation sqref="AZ2:AZ33" showDropDown="0" showInputMessage="0" showErrorMessage="0" allowBlank="1" type="list">
      <formula1>"Yes,No"</formula1>
    </dataValidation>
    <dataValidation sqref="BB2:BB3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D2:BD33" showDropDown="0" showInputMessage="0" showErrorMessage="0" allowBlank="1" type="list">
      <formula1>"Above 40,20 to 40,0 to 20"</formula1>
    </dataValidation>
    <dataValidation sqref="BF2:BF33" showDropDown="0" showInputMessage="0" showErrorMessage="0" allowBlank="1" type="list">
      <formula1>"Between 50 to 75,Above 75,Below 45"</formula1>
    </dataValidation>
    <dataValidation sqref="BH2:BH33" showDropDown="0" showInputMessage="0" showErrorMessage="0" allowBlank="1" type="list">
      <formula1>"Stage 1,Stage 2,Stage 3,Stage 4"</formula1>
    </dataValidation>
    <dataValidation sqref="BJ2:BJ33" showDropDown="0" showInputMessage="0" showErrorMessage="0" allowBlank="1" type="list">
      <formula1>"Positive Trend,Negative Trend"</formula1>
    </dataValidation>
    <dataValidation sqref="BL2:BL33" showDropDown="0" showInputMessage="0" showErrorMessage="0" allowBlank="1" type="list">
      <formula1>"Uptrend,Sideways,Downtrend"</formula1>
    </dataValidation>
    <dataValidation sqref="BN2:BN33" showDropDown="0" showInputMessage="0" showErrorMessage="0" allowBlank="1" type="list">
      <formula1>"Uptrend,Sideways,Downtrend"</formula1>
    </dataValidation>
    <dataValidation sqref="BP2:BP3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R2:BR3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3"/>
  <sheetViews>
    <sheetView showGridLines="0"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3" customWidth="1" min="17" max="17"/>
    <col width="23" customWidth="1" min="18" max="18"/>
    <col width="26" customWidth="1" min="19" max="19"/>
    <col width="32" customWidth="1" min="20" max="20"/>
    <col width="19" customWidth="1" min="21" max="21"/>
    <col width="25" customWidth="1" min="22" max="22"/>
    <col width="19" customWidth="1" min="23" max="23"/>
    <col width="25" customWidth="1" min="24" max="24"/>
    <col width="14" customWidth="1" min="25" max="25"/>
    <col width="20" customWidth="1" min="26" max="26"/>
    <col width="29" customWidth="1" min="27" max="27"/>
    <col width="34" customWidth="1" min="28" max="28"/>
    <col width="17" customWidth="1" min="29" max="29"/>
    <col width="23" customWidth="1" min="30" max="30"/>
    <col width="12" customWidth="1" min="31" max="31"/>
    <col width="17" customWidth="1" min="32" max="32"/>
    <col width="21" customWidth="1" min="33" max="33"/>
    <col width="27" customWidth="1" min="34" max="34"/>
    <col width="12" customWidth="1" min="35" max="35"/>
    <col width="16" customWidth="1" min="36" max="36"/>
    <col width="17" customWidth="1" min="37" max="37"/>
    <col width="23" customWidth="1" min="38" max="38"/>
    <col width="22" customWidth="1" min="39" max="39"/>
    <col width="28" customWidth="1" min="40" max="40"/>
    <col width="19" customWidth="1" min="41" max="41"/>
    <col width="25" customWidth="1" min="42" max="42"/>
    <col width="22" customWidth="1" min="43" max="43"/>
    <col width="28" customWidth="1" min="44" max="44"/>
    <col width="22" customWidth="1" min="45" max="45"/>
    <col width="28" customWidth="1" min="46" max="46"/>
    <col width="12" customWidth="1" min="47" max="47"/>
    <col width="13" customWidth="1" min="48" max="48"/>
    <col width="12" customWidth="1" min="49" max="49"/>
    <col width="13" customWidth="1" min="50" max="50"/>
    <col width="18" customWidth="1" min="51" max="51"/>
    <col width="24" customWidth="1" min="52" max="52"/>
    <col width="23" customWidth="1" min="53" max="53"/>
    <col width="29" customWidth="1" min="54" max="54"/>
    <col width="19" customWidth="1" min="55" max="55"/>
    <col width="25" customWidth="1" min="56" max="56"/>
    <col width="17" customWidth="1" min="57" max="57"/>
    <col width="23" customWidth="1" min="58" max="58"/>
    <col width="14" customWidth="1" min="59" max="59"/>
    <col width="20" customWidth="1" min="60" max="60"/>
    <col width="12" customWidth="1" min="61" max="61"/>
    <col width="16" customWidth="1" min="62" max="62"/>
    <col width="14" customWidth="1" min="63" max="63"/>
    <col width="20" customWidth="1" min="64" max="64"/>
    <col width="17" customWidth="1" min="65" max="65"/>
    <col width="23" customWidth="1" min="66" max="66"/>
    <col width="12" customWidth="1" min="67" max="67"/>
    <col width="18" customWidth="1" min="68" max="68"/>
    <col width="13" customWidth="1" min="69" max="69"/>
    <col width="19" customWidth="1" min="70" max="70"/>
    <col width="17" customWidth="1" min="71" max="71"/>
    <col width="23" customWidth="1" min="72" max="72"/>
    <col width="18" customWidth="1" min="73" max="73"/>
    <col width="24" customWidth="1" min="74" max="74"/>
    <col width="23" customWidth="1" min="75" max="75"/>
    <col width="29" customWidth="1" min="76" max="76"/>
    <col width="24" customWidth="1" min="77" max="77"/>
    <col width="30" customWidth="1" min="78" max="78"/>
    <col width="12" customWidth="1" min="79" max="79"/>
    <col width="18" customWidth="1" min="80" max="80"/>
  </cols>
  <sheetData>
    <row r="1">
      <c r="A1" s="24" t="inlineStr">
        <is>
          <t>Rank (Non Financial)</t>
        </is>
      </c>
      <c r="B1" s="24" t="inlineStr">
        <is>
          <t>Total Score</t>
        </is>
      </c>
      <c r="C1" s="24" t="inlineStr">
        <is>
          <t>Entry</t>
        </is>
      </c>
      <c r="D1" s="24" t="inlineStr">
        <is>
          <t>Entry Score</t>
        </is>
      </c>
      <c r="E1" s="24" t="inlineStr">
        <is>
          <t>Allocation %</t>
        </is>
      </c>
      <c r="F1" s="24" t="inlineStr">
        <is>
          <t>Allocation (₹)</t>
        </is>
      </c>
      <c r="G1" s="24" t="inlineStr">
        <is>
          <t>Quantity</t>
        </is>
      </c>
      <c r="H1" s="24" t="inlineStr">
        <is>
          <t>Symbol</t>
        </is>
      </c>
      <c r="I1" s="24" t="inlineStr">
        <is>
          <t>Company</t>
        </is>
      </c>
      <c r="J1" s="24" t="inlineStr">
        <is>
          <t>Sector</t>
        </is>
      </c>
      <c r="K1" s="24" t="inlineStr">
        <is>
          <t>Industry</t>
        </is>
      </c>
      <c r="L1" s="24" t="inlineStr">
        <is>
          <t>Market Cap Bucket</t>
        </is>
      </c>
      <c r="M1" s="24" t="inlineStr">
        <is>
          <t>Market Cap Cr</t>
        </is>
      </c>
      <c r="N1" s="24" t="inlineStr">
        <is>
          <t>Close</t>
        </is>
      </c>
      <c r="O1" s="24" t="inlineStr">
        <is>
          <t>Today Return %</t>
        </is>
      </c>
      <c r="P1" s="24" t="inlineStr">
        <is>
          <t>Volume</t>
        </is>
      </c>
      <c r="Q1" s="24" t="inlineStr">
        <is>
          <t>Calculated RSI (14)</t>
        </is>
      </c>
      <c r="R1" s="24" t="inlineStr">
        <is>
          <t>Calculated ADX (14)</t>
        </is>
      </c>
      <c r="S1" s="24" t="inlineStr">
        <is>
          <t>Calculated V-stop Line</t>
        </is>
      </c>
      <c r="T1" s="24" t="inlineStr">
        <is>
          <t>Calculated Near-term Trigger</t>
        </is>
      </c>
      <c r="U1" s="24" t="inlineStr">
        <is>
          <t>Industry Growth</t>
        </is>
      </c>
      <c r="V1" s="24" t="inlineStr">
        <is>
          <t>Industry Growth Score</t>
        </is>
      </c>
      <c r="W1" s="24" t="inlineStr">
        <is>
          <t>Competitiveness</t>
        </is>
      </c>
      <c r="X1" s="24" t="inlineStr">
        <is>
          <t>Competitiveness Score</t>
        </is>
      </c>
      <c r="Y1" s="24" t="inlineStr">
        <is>
          <t>Regulation</t>
        </is>
      </c>
      <c r="Z1" s="24" t="inlineStr">
        <is>
          <t>Regulation Score</t>
        </is>
      </c>
      <c r="AA1" s="24" t="inlineStr">
        <is>
          <t>Sector Headwinds/Tailwind</t>
        </is>
      </c>
      <c r="AB1" s="24" t="inlineStr">
        <is>
          <t>Sector Headwinds/Tailwind Score</t>
        </is>
      </c>
      <c r="AC1" s="24" t="inlineStr">
        <is>
          <t>Industry Type</t>
        </is>
      </c>
      <c r="AD1" s="24" t="inlineStr">
        <is>
          <t>Industry Type Score</t>
        </is>
      </c>
      <c r="AE1" s="24" t="inlineStr">
        <is>
          <t>Margins</t>
        </is>
      </c>
      <c r="AF1" s="24" t="inlineStr">
        <is>
          <t>Margins Score</t>
        </is>
      </c>
      <c r="AG1" s="24" t="inlineStr">
        <is>
          <t>Margins Stability</t>
        </is>
      </c>
      <c r="AH1" s="24" t="inlineStr">
        <is>
          <t>Margins Stability Score</t>
        </is>
      </c>
      <c r="AI1" s="24" t="inlineStr">
        <is>
          <t>Growth</t>
        </is>
      </c>
      <c r="AJ1" s="24" t="inlineStr">
        <is>
          <t>Growth Score</t>
        </is>
      </c>
      <c r="AK1" s="24" t="inlineStr">
        <is>
          <t>Business Type</t>
        </is>
      </c>
      <c r="AL1" s="24" t="inlineStr">
        <is>
          <t>Business Type Score</t>
        </is>
      </c>
      <c r="AM1" s="24" t="inlineStr">
        <is>
          <t>Near term triggers</t>
        </is>
      </c>
      <c r="AN1" s="24" t="inlineStr">
        <is>
          <t>Near term triggers Score</t>
        </is>
      </c>
      <c r="AO1" s="24" t="inlineStr">
        <is>
          <t>Type of Revenue</t>
        </is>
      </c>
      <c r="AP1" s="24" t="inlineStr">
        <is>
          <t>Type of Revenue Score</t>
        </is>
      </c>
      <c r="AQ1" s="24" t="inlineStr">
        <is>
          <t>Capital Allocation</t>
        </is>
      </c>
      <c r="AR1" s="24" t="inlineStr">
        <is>
          <t>Capital Allocation Score</t>
        </is>
      </c>
      <c r="AS1" s="24" t="inlineStr">
        <is>
          <t>Medium term Growth</t>
        </is>
      </c>
      <c r="AT1" s="24" t="inlineStr">
        <is>
          <t>Medium term Growth Score</t>
        </is>
      </c>
      <c r="AU1" s="24" t="inlineStr">
        <is>
          <t>ADX</t>
        </is>
      </c>
      <c r="AV1" s="24" t="inlineStr">
        <is>
          <t>ADX Score</t>
        </is>
      </c>
      <c r="AW1" s="24" t="inlineStr">
        <is>
          <t>RSI</t>
        </is>
      </c>
      <c r="AX1" s="24" t="inlineStr">
        <is>
          <t>RSI Score</t>
        </is>
      </c>
      <c r="AY1" s="24" t="inlineStr">
        <is>
          <t>Stage Analysis</t>
        </is>
      </c>
      <c r="AZ1" s="24" t="inlineStr">
        <is>
          <t>Stage Analysis Score</t>
        </is>
      </c>
      <c r="BA1" s="24" t="inlineStr">
        <is>
          <t>Price Volume Action</t>
        </is>
      </c>
      <c r="BB1" s="24" t="inlineStr">
        <is>
          <t>Price Volume Action Score</t>
        </is>
      </c>
      <c r="BC1" s="24" t="inlineStr">
        <is>
          <t>Secondary Trend</t>
        </is>
      </c>
      <c r="BD1" s="24" t="inlineStr">
        <is>
          <t>Secondary Trend Score</t>
        </is>
      </c>
      <c r="BE1" s="24" t="inlineStr">
        <is>
          <t>Primary Trend</t>
        </is>
      </c>
      <c r="BF1" s="24" t="inlineStr">
        <is>
          <t>Primary Trend Score</t>
        </is>
      </c>
      <c r="BG1" s="24" t="inlineStr">
        <is>
          <t>Resistance</t>
        </is>
      </c>
      <c r="BH1" s="24" t="inlineStr">
        <is>
          <t>Resistance Score</t>
        </is>
      </c>
      <c r="BI1" s="24" t="inlineStr">
        <is>
          <t>V-stop</t>
        </is>
      </c>
      <c r="BJ1" s="24" t="inlineStr">
        <is>
          <t>V-stop Score</t>
        </is>
      </c>
      <c r="BK1" s="24" t="inlineStr">
        <is>
          <t>PAT Growth</t>
        </is>
      </c>
      <c r="BL1" s="24" t="inlineStr">
        <is>
          <t>PAT Growth Score</t>
        </is>
      </c>
      <c r="BM1" s="24" t="inlineStr">
        <is>
          <t>Stock History</t>
        </is>
      </c>
      <c r="BN1" s="24" t="inlineStr">
        <is>
          <t>Stock History Score</t>
        </is>
      </c>
      <c r="BO1" s="24" t="inlineStr">
        <is>
          <t>PE Ratio</t>
        </is>
      </c>
      <c r="BP1" s="24" t="inlineStr">
        <is>
          <t>PE Ratio Score</t>
        </is>
      </c>
      <c r="BQ1" s="24" t="inlineStr">
        <is>
          <t>PEG Ratio</t>
        </is>
      </c>
      <c r="BR1" s="24" t="inlineStr">
        <is>
          <t>PEG Ratio Score</t>
        </is>
      </c>
      <c r="BS1" s="24" t="inlineStr">
        <is>
          <t>CFO to EBITDA</t>
        </is>
      </c>
      <c r="BT1" s="24" t="inlineStr">
        <is>
          <t>CFO to EBITDA Score</t>
        </is>
      </c>
      <c r="BU1" s="24" t="inlineStr">
        <is>
          <t>Debt to Equity</t>
        </is>
      </c>
      <c r="BV1" s="24" t="inlineStr">
        <is>
          <t>Debt to Equity Score</t>
        </is>
      </c>
      <c r="BW1" s="24" t="inlineStr">
        <is>
          <t>Auditor Resignation</t>
        </is>
      </c>
      <c r="BX1" s="24" t="inlineStr">
        <is>
          <t>Auditor Resignation Score</t>
        </is>
      </c>
      <c r="BY1" s="24" t="inlineStr">
        <is>
          <t>Contingent Liability</t>
        </is>
      </c>
      <c r="BZ1" s="24" t="inlineStr">
        <is>
          <t>Contingent Liability Score</t>
        </is>
      </c>
      <c r="CA1" s="24" t="inlineStr">
        <is>
          <t>Pledging</t>
        </is>
      </c>
      <c r="CB1" s="24" t="inlineStr">
        <is>
          <t>Pledging Score</t>
        </is>
      </c>
    </row>
    <row r="2">
      <c r="A2" s="25">
        <f>IF(B2=0,"",RANK(B2,$B$2:$B$23,0))</f>
        <v/>
      </c>
      <c r="B2" s="26">
        <f>SUM(V2,X2,Z2,AB2,AD2,AF2,AH2,AJ2,AL2,AN2,AP2,AR2,AT2,AV2,AX2,AZ2,BB2,BD2,BF2,BH2,BJ2,BL2,BN2,BP2,BR2,BT2,BV2,BX2,BZ2,CB2)</f>
        <v/>
      </c>
      <c r="C2" s="25" t="inlineStr">
        <is>
          <t>52W Breakout</t>
        </is>
      </c>
      <c r="D2" s="26" t="n">
        <v>137.1</v>
      </c>
      <c r="E2" s="25" t="inlineStr">
        <is>
          <t>5%</t>
        </is>
      </c>
      <c r="F2" s="26" t="n">
        <v>50000</v>
      </c>
      <c r="G2" s="26" t="n">
        <v>10</v>
      </c>
      <c r="H2" s="25" t="inlineStr">
        <is>
          <t>NETWEB</t>
        </is>
      </c>
      <c r="I2" s="25" t="inlineStr">
        <is>
          <t>Netweb Technologies India Ltd</t>
        </is>
      </c>
      <c r="J2" s="25" t="inlineStr">
        <is>
          <t>i.t</t>
        </is>
      </c>
      <c r="K2" s="25" t="inlineStr">
        <is>
          <t>computers - hardware</t>
        </is>
      </c>
      <c r="L2" s="25" t="inlineStr">
        <is>
          <t>largecap</t>
        </is>
      </c>
      <c r="M2" s="26" t="n">
        <v>26307.17</v>
      </c>
      <c r="N2" s="26" t="n">
        <v>4782.8</v>
      </c>
      <c r="O2" s="26" t="n">
        <v>3.52</v>
      </c>
      <c r="P2" s="26" t="n">
        <v>4220022</v>
      </c>
      <c r="Q2" s="26" t="n">
        <v>67.29000000000001</v>
      </c>
      <c r="R2" s="26" t="n">
        <v>43.56</v>
      </c>
      <c r="S2" s="26" t="n">
        <v>3380.61</v>
      </c>
      <c r="T2" s="25" t="inlineStr">
        <is>
          <t>Near 52W High Breakout</t>
        </is>
      </c>
      <c r="U2" s="25" t="inlineStr">
        <is>
          <t>Growing Industry</t>
        </is>
      </c>
      <c r="V2" s="25">
        <f>IF(U2="Growing Industry",10,IF(U2="Cyclical in an Upturn",5,0))</f>
        <v/>
      </c>
      <c r="W2" s="25" t="inlineStr">
        <is>
          <t>Too Many Players with High ROCE</t>
        </is>
      </c>
      <c r="X2" s="25">
        <f>IF(W2="Monopoly",10,IF(W2="Oligopoly",5,IF(W2="Duopoly that cooperate",10,IF(W2="Duopoly that compete",5,IF(W2="Too many players with High ROCE",5,0)))))</f>
        <v/>
      </c>
      <c r="Y2" s="25" t="inlineStr">
        <is>
          <t>No</t>
        </is>
      </c>
      <c r="Z2" s="25">
        <f>IF(Y2="No",5,0)</f>
        <v/>
      </c>
      <c r="AA2" s="25" t="inlineStr">
        <is>
          <t>Tailwind</t>
        </is>
      </c>
      <c r="AB2" s="25">
        <f>IF(AA2="Tailwind",10,0)</f>
        <v/>
      </c>
      <c r="AC2" s="25" t="inlineStr">
        <is>
          <t>Structural (10 Years Consistency)</t>
        </is>
      </c>
      <c r="AD2" s="25">
        <f>IF(AC2="Structural (10 Years Consistency)",10,IF(AC2="Shallow Cyclical (2 to 3 years growth)",5,0))</f>
        <v/>
      </c>
      <c r="AE2" s="25" t="inlineStr">
        <is>
          <t>No</t>
        </is>
      </c>
      <c r="AF2" s="25">
        <f>IF(AE2="Yes due to Product Mix change or Operating Leverage",10,IF(AE2="Yes, these are peak margins",-5,IF(AE2="No",5,0)))</f>
        <v/>
      </c>
      <c r="AG2" s="25" t="inlineStr">
        <is>
          <t>Stable</t>
        </is>
      </c>
      <c r="AH2" s="25">
        <f>IF(AG2="Stable",10,0)</f>
        <v/>
      </c>
      <c r="AI2" s="25" t="inlineStr">
        <is>
          <t>Yes</t>
        </is>
      </c>
      <c r="AJ2" s="25">
        <f>IF(AI2="Yes",10,0)</f>
        <v/>
      </c>
      <c r="AK2" s="25" t="inlineStr">
        <is>
          <t>B2B</t>
        </is>
      </c>
      <c r="AL2" s="25">
        <f>IF(AK2="B2C",10,IF(AK2="B2B",5,0))</f>
        <v/>
      </c>
      <c r="AM2" s="25" t="inlineStr">
        <is>
          <t>Yes</t>
        </is>
      </c>
      <c r="AN2" s="25">
        <f>IF(AM2="Yes",10,0)</f>
        <v/>
      </c>
      <c r="AO2" s="25" t="inlineStr">
        <is>
          <t>Higher One Time, Lower Annuity</t>
        </is>
      </c>
      <c r="AP2" s="25">
        <f>IF(AO2="Fully Annuity",10,IF(AO2="Higher Annuity, Lower One Time",5,IF(AO2="Higher One Time, Lower Annuity",3,0)))</f>
        <v/>
      </c>
      <c r="AQ2" s="25" t="inlineStr">
        <is>
          <t>Good</t>
        </is>
      </c>
      <c r="AR2" s="25">
        <f>IF(AQ2="Good",10,0)</f>
        <v/>
      </c>
      <c r="AS2" s="25" t="inlineStr">
        <is>
          <t>Yes for more than 2 years</t>
        </is>
      </c>
      <c r="AT2" s="25">
        <f>IF(AS2="Yes for more than 2 years",10,IF(AS2="Yes only for next 1 to 2 years",5,0))</f>
        <v/>
      </c>
      <c r="AU2" s="25" t="inlineStr">
        <is>
          <t>Above 40</t>
        </is>
      </c>
      <c r="AV2" s="25">
        <f>IF(AU2="Above 40",20,IF(AU2="20 to 40",10,IF(AU2="0 to 20",-5,0)))</f>
        <v/>
      </c>
      <c r="AW2" s="25" t="inlineStr">
        <is>
          <t>Between 50 to 75</t>
        </is>
      </c>
      <c r="AX2" s="25">
        <f>IF(AW2="Between 50 to 75",10,IF(AW2="Above 75",0,0))</f>
        <v/>
      </c>
      <c r="AY2" s="25" t="inlineStr">
        <is>
          <t>Stage 2</t>
        </is>
      </c>
      <c r="AZ2" s="25">
        <f>IF(AY2="Stage 2",20,IF(AY2="Stage 1",0,IF(AY2="Stage 3",5,IF(AY2="Stage 4",-5,0))))</f>
        <v/>
      </c>
      <c r="BA2" s="25" t="inlineStr">
        <is>
          <t>Positive Trend</t>
        </is>
      </c>
      <c r="BB2" s="25">
        <f>IF(BA2="Positive Trend",20,IF(BA2="Negative Trend",-10,0))</f>
        <v/>
      </c>
      <c r="BC2" s="25" t="inlineStr">
        <is>
          <t>Uptrend</t>
        </is>
      </c>
      <c r="BD2" s="25">
        <f>IF(BC2="Uptrend",10,IF(BC2="Sideways",5,0))</f>
        <v/>
      </c>
      <c r="BE2" s="25" t="inlineStr">
        <is>
          <t>Uptrend</t>
        </is>
      </c>
      <c r="BF2" s="25">
        <f>IF(BE2="Uptrend",10,IF(BE2="Sideways",5,0))</f>
        <v/>
      </c>
      <c r="BG2" s="25" t="inlineStr">
        <is>
          <t>Blue sky scenario</t>
        </is>
      </c>
      <c r="BH2" s="25">
        <f>IF(BG2="Overhead supply in last 2 years in last 2 years",-5,IF(BG2="Close to 52 week high or retracement",5,IF(BG2="Blue sky scenario",10,IF(BG2="Long term Downtrend",-10,0))))</f>
        <v/>
      </c>
      <c r="BI2" s="25" t="inlineStr">
        <is>
          <t>Yes</t>
        </is>
      </c>
      <c r="BJ2" s="25">
        <f>IF(BI2="Yes",10,0)</f>
        <v/>
      </c>
      <c r="BK2" s="25" t="inlineStr">
        <is>
          <t>More than 20%</t>
        </is>
      </c>
      <c r="BL2" s="25">
        <f>IF(BK2="More than 20%",10,IF(BK2="Between 12 to 20%",5,IF(BK2="Less than 12%",0,0)))</f>
        <v/>
      </c>
      <c r="BM2" s="25" t="inlineStr">
        <is>
          <t>No</t>
        </is>
      </c>
      <c r="BN2" s="25">
        <f>IF(BM2="No",10,0)</f>
        <v/>
      </c>
      <c r="BO2" s="25" t="inlineStr">
        <is>
          <t>Yes</t>
        </is>
      </c>
      <c r="BP2" s="25">
        <f>IF(BO2="NO",5,0)</f>
        <v/>
      </c>
      <c r="BQ2" s="25" t="inlineStr">
        <is>
          <t>Less than 1.5</t>
        </is>
      </c>
      <c r="BR2" s="25">
        <f>IF(BQ2="Above 2",0,IF(BQ2="Between 1.5 to 2",5,IF(BQ2="Less than 1.5",10,0)))</f>
        <v/>
      </c>
      <c r="BS2" s="25" t="inlineStr">
        <is>
          <t>Between 50% to 70%</t>
        </is>
      </c>
      <c r="BT2" s="25">
        <f>IF(BS2="Above 70%",10,IF(BS2="Between 50% to 70%",5,IF(BS2="Less than 50%",0,IF(BS2="Negative",-10,IF(BS2="Less than 50% and Borrowings are increasing",-5,0)))))</f>
        <v/>
      </c>
      <c r="BU2" s="25" t="inlineStr">
        <is>
          <t>Less than 0.7</t>
        </is>
      </c>
      <c r="BV2" s="25">
        <f>IF(BU2="More than 1.2",-10,IF(BU2="Between 0.7 to 1.2",0,IF(BU2="Less than 0.7",10,0)))</f>
        <v/>
      </c>
      <c r="BW2" s="25" t="inlineStr">
        <is>
          <t>No</t>
        </is>
      </c>
      <c r="BX2" s="25">
        <f>IF(BW2="Yes",-10,0)</f>
        <v/>
      </c>
      <c r="BY2" s="25" t="inlineStr">
        <is>
          <t>Less than 15%</t>
        </is>
      </c>
      <c r="BZ2" s="25">
        <f>IF(BY2="More than 15%",-10,IF(BY2="Less than 15%",10,0))</f>
        <v/>
      </c>
      <c r="CA2" s="25" t="inlineStr">
        <is>
          <t>No</t>
        </is>
      </c>
      <c r="CB2" s="25">
        <f>IF(CA2="Yes, more than 10%",-10,IF(CA2="No",10,0))</f>
        <v/>
      </c>
    </row>
    <row r="3">
      <c r="A3" s="25">
        <f>IF(B3=0,"",RANK(B3,$B$2:$B$23,0))</f>
        <v/>
      </c>
      <c r="B3" s="26">
        <f>SUM(V3,X3,Z3,AB3,AD3,AF3,AH3,AJ3,AL3,AN3,AP3,AR3,AT3,AV3,AX3,AZ3,BB3,BD3,BF3,BH3,BJ3,BL3,BN3,BP3,BR3,BT3,BV3,BX3,BZ3,CB3)</f>
        <v/>
      </c>
      <c r="C3" s="25" t="inlineStr">
        <is>
          <t>52W Breakout</t>
        </is>
      </c>
      <c r="D3" s="26" t="n">
        <v>136.9</v>
      </c>
      <c r="E3" s="25" t="inlineStr">
        <is>
          <t>5%</t>
        </is>
      </c>
      <c r="F3" s="26" t="n">
        <v>50000</v>
      </c>
      <c r="G3" s="26" t="n">
        <v>144</v>
      </c>
      <c r="H3" s="25" t="inlineStr">
        <is>
          <t>INDOBORAX</t>
        </is>
      </c>
      <c r="I3" s="25" t="inlineStr">
        <is>
          <t>Indo Borax &amp; Chemicals Ltd</t>
        </is>
      </c>
      <c r="J3" s="25" t="inlineStr">
        <is>
          <t>chemicals</t>
        </is>
      </c>
      <c r="K3" s="25" t="inlineStr">
        <is>
          <t>chemicals</t>
        </is>
      </c>
      <c r="L3" s="25" t="inlineStr">
        <is>
          <t>smallcap</t>
        </is>
      </c>
      <c r="M3" s="26" t="n">
        <v>1101.65</v>
      </c>
      <c r="N3" s="26" t="n">
        <v>345.9</v>
      </c>
      <c r="O3" s="26" t="n">
        <v>0.76</v>
      </c>
      <c r="P3" s="26" t="n">
        <v>183066</v>
      </c>
      <c r="Q3" s="26" t="n">
        <v>78.97</v>
      </c>
      <c r="R3" s="26" t="n">
        <v>45.65</v>
      </c>
      <c r="S3" s="26" t="n">
        <v>273.22</v>
      </c>
      <c r="T3" s="25" t="inlineStr">
        <is>
          <t>Near 52W High Breakout</t>
        </is>
      </c>
      <c r="U3" s="25" t="inlineStr">
        <is>
          <t>Growing Industry</t>
        </is>
      </c>
      <c r="V3" s="25">
        <f>IF(U3="Growing Industry",10,IF(U3="Cyclical in an Upturn",5,0))</f>
        <v/>
      </c>
      <c r="W3" s="25" t="inlineStr">
        <is>
          <t>Too Many Players with High ROCE</t>
        </is>
      </c>
      <c r="X3" s="25">
        <f>IF(W3="Monopoly",10,IF(W3="Oligopoly",5,IF(W3="Duopoly that cooperate",10,IF(W3="Duopoly that compete",5,IF(W3="Too many players with High ROCE",5,0)))))</f>
        <v/>
      </c>
      <c r="Y3" s="25" t="inlineStr">
        <is>
          <t>No</t>
        </is>
      </c>
      <c r="Z3" s="25">
        <f>IF(Y3="No",5,0)</f>
        <v/>
      </c>
      <c r="AA3" s="25" t="inlineStr">
        <is>
          <t>Tailwind</t>
        </is>
      </c>
      <c r="AB3" s="25">
        <f>IF(AA3="Tailwind",10,0)</f>
        <v/>
      </c>
      <c r="AC3" s="25" t="inlineStr">
        <is>
          <t>Structural (10 Years Consistency)</t>
        </is>
      </c>
      <c r="AD3" s="25">
        <f>IF(AC3="Structural (10 Years Consistency)",10,IF(AC3="Shallow Cyclical (2 to 3 years growth)",5,0))</f>
        <v/>
      </c>
      <c r="AE3" s="25" t="inlineStr">
        <is>
          <t>No</t>
        </is>
      </c>
      <c r="AF3" s="25">
        <f>IF(AE3="Yes due to Product Mix change or Operating Leverage",10,IF(AE3="Yes, these are peak margins",-5,IF(AE3="No",5,0)))</f>
        <v/>
      </c>
      <c r="AG3" s="25" t="inlineStr">
        <is>
          <t>Stable</t>
        </is>
      </c>
      <c r="AH3" s="25">
        <f>IF(AG3="Stable",10,0)</f>
        <v/>
      </c>
      <c r="AI3" s="25" t="inlineStr">
        <is>
          <t>Yes</t>
        </is>
      </c>
      <c r="AJ3" s="25">
        <f>IF(AI3="Yes",10,0)</f>
        <v/>
      </c>
      <c r="AK3" s="25" t="inlineStr">
        <is>
          <t>B2B</t>
        </is>
      </c>
      <c r="AL3" s="25">
        <f>IF(AK3="B2C",10,IF(AK3="B2B",5,0))</f>
        <v/>
      </c>
      <c r="AM3" s="25" t="inlineStr">
        <is>
          <t>Yes</t>
        </is>
      </c>
      <c r="AN3" s="25">
        <f>IF(AM3="Yes",10,0)</f>
        <v/>
      </c>
      <c r="AO3" s="25" t="inlineStr">
        <is>
          <t>Higher One Time, Lower Annuity</t>
        </is>
      </c>
      <c r="AP3" s="25">
        <f>IF(AO3="Fully Annuity",10,IF(AO3="Higher Annuity, Lower One Time",5,IF(AO3="Higher One Time, Lower Annuity",3,0)))</f>
        <v/>
      </c>
      <c r="AQ3" s="25" t="inlineStr">
        <is>
          <t>Good</t>
        </is>
      </c>
      <c r="AR3" s="25">
        <f>IF(AQ3="Good",10,0)</f>
        <v/>
      </c>
      <c r="AS3" s="25" t="inlineStr">
        <is>
          <t>Yes for more than 2 years</t>
        </is>
      </c>
      <c r="AT3" s="25">
        <f>IF(AS3="Yes for more than 2 years",10,IF(AS3="Yes only for next 1 to 2 years",5,0))</f>
        <v/>
      </c>
      <c r="AU3" s="25" t="inlineStr">
        <is>
          <t>Above 40</t>
        </is>
      </c>
      <c r="AV3" s="25">
        <f>IF(AU3="Above 40",20,IF(AU3="20 to 40",10,IF(AU3="0 to 20",-5,0)))</f>
        <v/>
      </c>
      <c r="AW3" s="25" t="inlineStr">
        <is>
          <t>Above 75</t>
        </is>
      </c>
      <c r="AX3" s="25">
        <f>IF(AW3="Between 50 to 75",10,IF(AW3="Above 75",0,0))</f>
        <v/>
      </c>
      <c r="AY3" s="25" t="inlineStr">
        <is>
          <t>Stage 2</t>
        </is>
      </c>
      <c r="AZ3" s="25">
        <f>IF(AY3="Stage 2",20,IF(AY3="Stage 1",0,IF(AY3="Stage 3",5,IF(AY3="Stage 4",-5,0))))</f>
        <v/>
      </c>
      <c r="BA3" s="25" t="inlineStr">
        <is>
          <t>Positive Trend</t>
        </is>
      </c>
      <c r="BB3" s="25">
        <f>IF(BA3="Positive Trend",20,IF(BA3="Negative Trend",-10,0))</f>
        <v/>
      </c>
      <c r="BC3" s="25" t="inlineStr">
        <is>
          <t>Uptrend</t>
        </is>
      </c>
      <c r="BD3" s="25">
        <f>IF(BC3="Uptrend",10,IF(BC3="Sideways",5,0))</f>
        <v/>
      </c>
      <c r="BE3" s="25" t="inlineStr">
        <is>
          <t>Uptrend</t>
        </is>
      </c>
      <c r="BF3" s="25">
        <f>IF(BE3="Uptrend",10,IF(BE3="Sideways",5,0))</f>
        <v/>
      </c>
      <c r="BG3" s="25" t="inlineStr">
        <is>
          <t>Blue sky scenario</t>
        </is>
      </c>
      <c r="BH3" s="25">
        <f>IF(BG3="Overhead supply in last 2 years in last 2 years",-5,IF(BG3="Close to 52 week high or retracement",5,IF(BG3="Blue sky scenario",10,IF(BG3="Long term Downtrend",-10,0))))</f>
        <v/>
      </c>
      <c r="BI3" s="25" t="inlineStr">
        <is>
          <t>Yes</t>
        </is>
      </c>
      <c r="BJ3" s="25">
        <f>IF(BI3="Yes",10,0)</f>
        <v/>
      </c>
      <c r="BK3" s="25" t="inlineStr">
        <is>
          <t>More than 20%</t>
        </is>
      </c>
      <c r="BL3" s="25">
        <f>IF(BK3="More than 20%",10,IF(BK3="Between 12 to 20%",5,IF(BK3="Less than 12%",0,0)))</f>
        <v/>
      </c>
      <c r="BM3" s="25" t="inlineStr">
        <is>
          <t>No</t>
        </is>
      </c>
      <c r="BN3" s="25">
        <f>IF(BM3="No",10,0)</f>
        <v/>
      </c>
      <c r="BO3" s="25" t="inlineStr">
        <is>
          <t>No</t>
        </is>
      </c>
      <c r="BP3" s="25">
        <f>IF(BO3="NO",5,0)</f>
        <v/>
      </c>
      <c r="BQ3" s="25" t="inlineStr">
        <is>
          <t>Less than 1.5</t>
        </is>
      </c>
      <c r="BR3" s="25">
        <f>IF(BQ3="Above 2",0,IF(BQ3="Between 1.5 to 2",5,IF(BQ3="Less than 1.5",10,0)))</f>
        <v/>
      </c>
      <c r="BS3" s="25" t="inlineStr">
        <is>
          <t>Above 70%</t>
        </is>
      </c>
      <c r="BT3" s="25">
        <f>IF(BS3="Above 70%",10,IF(BS3="Between 50% to 70%",5,IF(BS3="Less than 50%",0,IF(BS3="Negative",-10,IF(BS3="Less than 50% and Borrowings are increasing",-5,0)))))</f>
        <v/>
      </c>
      <c r="BU3" s="25" t="inlineStr">
        <is>
          <t>Less than 0.7</t>
        </is>
      </c>
      <c r="BV3" s="25">
        <f>IF(BU3="More than 1.2",-10,IF(BU3="Between 0.7 to 1.2",0,IF(BU3="Less than 0.7",10,0)))</f>
        <v/>
      </c>
      <c r="BW3" s="25" t="inlineStr">
        <is>
          <t>No</t>
        </is>
      </c>
      <c r="BX3" s="25">
        <f>IF(BW3="Yes",-10,0)</f>
        <v/>
      </c>
      <c r="BY3" s="25" t="inlineStr">
        <is>
          <t>Less than 15%</t>
        </is>
      </c>
      <c r="BZ3" s="25">
        <f>IF(BY3="More than 15%",-10,IF(BY3="Less than 15%",10,0))</f>
        <v/>
      </c>
      <c r="CA3" s="25" t="inlineStr">
        <is>
          <t>No</t>
        </is>
      </c>
      <c r="CB3" s="25">
        <f>IF(CA3="Yes, more than 10%",-10,IF(CA3="No",10,0))</f>
        <v/>
      </c>
    </row>
    <row r="4">
      <c r="A4" s="25">
        <f>IF(B4=0,"",RANK(B4,$B$2:$B$23,0))</f>
        <v/>
      </c>
      <c r="B4" s="26">
        <f>SUM(V4,X4,Z4,AB4,AD4,AF4,AH4,AJ4,AL4,AN4,AP4,AR4,AT4,AV4,AX4,AZ4,BB4,BD4,BF4,BH4,BJ4,BL4,BN4,BP4,BR4,BT4,BV4,BX4,BZ4,CB4)</f>
        <v/>
      </c>
      <c r="C4" s="25" t="inlineStr">
        <is>
          <t>52W Breakout</t>
        </is>
      </c>
      <c r="D4" s="26" t="n">
        <v>140</v>
      </c>
      <c r="E4" s="25" t="inlineStr">
        <is>
          <t>5%</t>
        </is>
      </c>
      <c r="F4" s="26" t="n">
        <v>50000</v>
      </c>
      <c r="G4" s="26" t="n">
        <v>35</v>
      </c>
      <c r="H4" s="25" t="inlineStr">
        <is>
          <t>VENUSREM</t>
        </is>
      </c>
      <c r="I4" s="25" t="inlineStr">
        <is>
          <t>Venus Remedies Limited</t>
        </is>
      </c>
      <c r="J4" s="25" t="inlineStr">
        <is>
          <t>healthcare</t>
        </is>
      </c>
      <c r="K4" s="25" t="inlineStr">
        <is>
          <t>pharmaceuticals - indian - formulations</t>
        </is>
      </c>
      <c r="L4" s="25" t="inlineStr">
        <is>
          <t>smallcap</t>
        </is>
      </c>
      <c r="M4" s="26" t="n">
        <v>1796.66</v>
      </c>
      <c r="N4" s="26" t="n">
        <v>1411.3</v>
      </c>
      <c r="O4" s="26" t="n">
        <v>5</v>
      </c>
      <c r="P4" s="26" t="n">
        <v>244773</v>
      </c>
      <c r="Q4" s="26" t="n">
        <v>76.2</v>
      </c>
      <c r="R4" s="26" t="n">
        <v>45.27</v>
      </c>
      <c r="S4" s="26" t="n">
        <v>1059.67</v>
      </c>
      <c r="T4" s="25" t="inlineStr">
        <is>
          <t>Near 52W High Breakout</t>
        </is>
      </c>
      <c r="U4" s="25" t="inlineStr">
        <is>
          <t>Growing Industry</t>
        </is>
      </c>
      <c r="V4" s="25">
        <f>IF(U4="Growing Industry",10,IF(U4="Cyclical in an Upturn",5,0))</f>
        <v/>
      </c>
      <c r="W4" s="25" t="inlineStr">
        <is>
          <t>Too Many Players with High ROCE</t>
        </is>
      </c>
      <c r="X4" s="25">
        <f>IF(W4="Monopoly",10,IF(W4="Oligopoly",5,IF(W4="Duopoly that cooperate",10,IF(W4="Duopoly that compete",5,IF(W4="Too many players with High ROCE",5,0)))))</f>
        <v/>
      </c>
      <c r="Y4" s="25" t="inlineStr">
        <is>
          <t>Yes</t>
        </is>
      </c>
      <c r="Z4" s="25">
        <f>IF(Y4="No",5,0)</f>
        <v/>
      </c>
      <c r="AA4" s="25" t="inlineStr">
        <is>
          <t>Tailwind</t>
        </is>
      </c>
      <c r="AB4" s="25">
        <f>IF(AA4="Tailwind",10,0)</f>
        <v/>
      </c>
      <c r="AC4" s="25" t="inlineStr">
        <is>
          <t>Structural (10 Years Consistency)</t>
        </is>
      </c>
      <c r="AD4" s="25">
        <f>IF(AC4="Structural (10 Years Consistency)",10,IF(AC4="Shallow Cyclical (2 to 3 years growth)",5,0))</f>
        <v/>
      </c>
      <c r="AE4" s="25" t="inlineStr">
        <is>
          <t>No</t>
        </is>
      </c>
      <c r="AF4" s="25">
        <f>IF(AE4="Yes due to Product Mix change or Operating Leverage",10,IF(AE4="Yes, these are peak margins",-5,IF(AE4="No",5,0)))</f>
        <v/>
      </c>
      <c r="AG4" s="25" t="inlineStr">
        <is>
          <t>Stable</t>
        </is>
      </c>
      <c r="AH4" s="25">
        <f>IF(AG4="Stable",10,0)</f>
        <v/>
      </c>
      <c r="AI4" s="25" t="inlineStr">
        <is>
          <t>Yes</t>
        </is>
      </c>
      <c r="AJ4" s="25">
        <f>IF(AI4="Yes",10,0)</f>
        <v/>
      </c>
      <c r="AK4" s="25" t="inlineStr">
        <is>
          <t>B2B</t>
        </is>
      </c>
      <c r="AL4" s="25">
        <f>IF(AK4="B2C",10,IF(AK4="B2B",5,0))</f>
        <v/>
      </c>
      <c r="AM4" s="25" t="inlineStr">
        <is>
          <t>Yes</t>
        </is>
      </c>
      <c r="AN4" s="25">
        <f>IF(AM4="Yes",10,0)</f>
        <v/>
      </c>
      <c r="AO4" s="25" t="inlineStr">
        <is>
          <t>Higher Annuity, Lower One Time</t>
        </is>
      </c>
      <c r="AP4" s="25">
        <f>IF(AO4="Fully Annuity",10,IF(AO4="Higher Annuity, Lower One Time",5,IF(AO4="Higher One Time, Lower Annuity",3,0)))</f>
        <v/>
      </c>
      <c r="AQ4" s="25" t="inlineStr">
        <is>
          <t>Good</t>
        </is>
      </c>
      <c r="AR4" s="25">
        <f>IF(AQ4="Good",10,0)</f>
        <v/>
      </c>
      <c r="AS4" s="25" t="inlineStr">
        <is>
          <t>Yes for more than 2 years</t>
        </is>
      </c>
      <c r="AT4" s="25">
        <f>IF(AS4="Yes for more than 2 years",10,IF(AS4="Yes only for next 1 to 2 years",5,0))</f>
        <v/>
      </c>
      <c r="AU4" s="25" t="inlineStr">
        <is>
          <t>Above 40</t>
        </is>
      </c>
      <c r="AV4" s="25">
        <f>IF(AU4="Above 40",20,IF(AU4="20 to 40",10,IF(AU4="0 to 20",-5,0)))</f>
        <v/>
      </c>
      <c r="AW4" s="25" t="inlineStr">
        <is>
          <t>Above 75</t>
        </is>
      </c>
      <c r="AX4" s="25">
        <f>IF(AW4="Between 50 to 75",10,IF(AW4="Above 75",0,0))</f>
        <v/>
      </c>
      <c r="AY4" s="25" t="inlineStr">
        <is>
          <t>Stage 2</t>
        </is>
      </c>
      <c r="AZ4" s="25">
        <f>IF(AY4="Stage 2",20,IF(AY4="Stage 1",0,IF(AY4="Stage 3",5,IF(AY4="Stage 4",-5,0))))</f>
        <v/>
      </c>
      <c r="BA4" s="25" t="inlineStr">
        <is>
          <t>Positive Trend</t>
        </is>
      </c>
      <c r="BB4" s="25">
        <f>IF(BA4="Positive Trend",20,IF(BA4="Negative Trend",-10,0))</f>
        <v/>
      </c>
      <c r="BC4" s="25" t="inlineStr">
        <is>
          <t>Uptrend</t>
        </is>
      </c>
      <c r="BD4" s="25">
        <f>IF(BC4="Uptrend",10,IF(BC4="Sideways",5,0))</f>
        <v/>
      </c>
      <c r="BE4" s="25" t="inlineStr">
        <is>
          <t>Uptrend</t>
        </is>
      </c>
      <c r="BF4" s="25">
        <f>IF(BE4="Uptrend",10,IF(BE4="Sideways",5,0))</f>
        <v/>
      </c>
      <c r="BG4" s="25" t="inlineStr">
        <is>
          <t>Blue sky scenario</t>
        </is>
      </c>
      <c r="BH4" s="25">
        <f>IF(BG4="Overhead supply in last 2 years in last 2 years",-5,IF(BG4="Close to 52 week high or retracement",5,IF(BG4="Blue sky scenario",10,IF(BG4="Long term Downtrend",-10,0))))</f>
        <v/>
      </c>
      <c r="BI4" s="25" t="inlineStr">
        <is>
          <t>Yes</t>
        </is>
      </c>
      <c r="BJ4" s="25">
        <f>IF(BI4="Yes",10,0)</f>
        <v/>
      </c>
      <c r="BK4" s="25" t="inlineStr">
        <is>
          <t>More than 20%</t>
        </is>
      </c>
      <c r="BL4" s="25">
        <f>IF(BK4="More than 20%",10,IF(BK4="Between 12 to 20%",5,IF(BK4="Less than 12%",0,0)))</f>
        <v/>
      </c>
      <c r="BM4" s="25" t="inlineStr">
        <is>
          <t>No</t>
        </is>
      </c>
      <c r="BN4" s="25">
        <f>IF(BM4="No",10,0)</f>
        <v/>
      </c>
      <c r="BO4" s="25" t="inlineStr">
        <is>
          <t>No</t>
        </is>
      </c>
      <c r="BP4" s="25">
        <f>IF(BO4="NO",5,0)</f>
        <v/>
      </c>
      <c r="BQ4" s="25" t="inlineStr">
        <is>
          <t>Less than 1.5</t>
        </is>
      </c>
      <c r="BR4" s="25">
        <f>IF(BQ4="Above 2",0,IF(BQ4="Between 1.5 to 2",5,IF(BQ4="Less than 1.5",10,0)))</f>
        <v/>
      </c>
      <c r="BS4" s="25" t="inlineStr">
        <is>
          <t>Above 70%</t>
        </is>
      </c>
      <c r="BT4" s="25">
        <f>IF(BS4="Above 70%",10,IF(BS4="Between 50% to 70%",5,IF(BS4="Less than 50%",0,IF(BS4="Negative",-10,IF(BS4="Less than 50% and Borrowings are increasing",-5,0)))))</f>
        <v/>
      </c>
      <c r="BU4" s="25" t="inlineStr">
        <is>
          <t>Less than 0.7</t>
        </is>
      </c>
      <c r="BV4" s="25">
        <f>IF(BU4="More than 1.2",-10,IF(BU4="Between 0.7 to 1.2",0,IF(BU4="Less than 0.7",10,0)))</f>
        <v/>
      </c>
      <c r="BW4" s="25" t="inlineStr">
        <is>
          <t>No</t>
        </is>
      </c>
      <c r="BX4" s="25">
        <f>IF(BW4="Yes",-10,0)</f>
        <v/>
      </c>
      <c r="BY4" s="25" t="inlineStr">
        <is>
          <t>Less than 15%</t>
        </is>
      </c>
      <c r="BZ4" s="25">
        <f>IF(BY4="More than 15%",-10,IF(BY4="Less than 15%",10,0))</f>
        <v/>
      </c>
      <c r="CA4" s="25" t="inlineStr">
        <is>
          <t>No</t>
        </is>
      </c>
      <c r="CB4" s="25">
        <f>IF(CA4="Yes, more than 10%",-10,IF(CA4="No",10,0))</f>
        <v/>
      </c>
    </row>
    <row r="5">
      <c r="A5" s="25">
        <f>IF(B5=0,"",RANK(B5,$B$2:$B$23,0))</f>
        <v/>
      </c>
      <c r="B5" s="26">
        <f>SUM(V5,X5,Z5,AB5,AD5,AF5,AH5,AJ5,AL5,AN5,AP5,AR5,AT5,AV5,AX5,AZ5,BB5,BD5,BF5,BH5,BJ5,BL5,BN5,BP5,BR5,BT5,BV5,BX5,BZ5,CB5)</f>
        <v/>
      </c>
      <c r="C5" s="25" t="inlineStr">
        <is>
          <t>52W Breakout</t>
        </is>
      </c>
      <c r="D5" s="26" t="n">
        <v>140</v>
      </c>
      <c r="E5" s="25" t="inlineStr">
        <is>
          <t>5%</t>
        </is>
      </c>
      <c r="F5" s="26" t="n">
        <v>50000</v>
      </c>
      <c r="G5" s="26" t="n">
        <v>2157</v>
      </c>
      <c r="H5" s="25" t="inlineStr">
        <is>
          <t>IBULLSLTD</t>
        </is>
      </c>
      <c r="I5" s="25" t="inlineStr">
        <is>
          <t>Indiabulls Limited</t>
        </is>
      </c>
      <c r="J5" s="25" t="inlineStr">
        <is>
          <t>miscellaneous</t>
        </is>
      </c>
      <c r="K5" s="25" t="inlineStr">
        <is>
          <t>diversified - medium / small</t>
        </is>
      </c>
      <c r="L5" s="25" t="inlineStr">
        <is>
          <t>midcap</t>
        </is>
      </c>
      <c r="M5" s="26" t="n">
        <v>5132.24</v>
      </c>
      <c r="N5" s="26" t="n">
        <v>23.18</v>
      </c>
      <c r="O5" s="26" t="n">
        <v>4.98</v>
      </c>
      <c r="P5" s="26" t="n">
        <v>14303450</v>
      </c>
      <c r="Q5" s="26" t="n">
        <v>71.52</v>
      </c>
      <c r="R5" s="26" t="n">
        <v>35.52</v>
      </c>
      <c r="S5" s="26" t="n">
        <v>16.53</v>
      </c>
      <c r="T5" s="25" t="inlineStr">
        <is>
          <t>Near 52W High Breakout</t>
        </is>
      </c>
      <c r="U5" s="25" t="inlineStr">
        <is>
          <t>Growing Industry</t>
        </is>
      </c>
      <c r="V5" s="25">
        <f>IF(U5="Growing Industry",10,IF(U5="Cyclical in an Upturn",5,0))</f>
        <v/>
      </c>
      <c r="W5" s="25" t="inlineStr">
        <is>
          <t>Too Many Players with High ROCE</t>
        </is>
      </c>
      <c r="X5" s="25">
        <f>IF(W5="Monopoly",10,IF(W5="Oligopoly",5,IF(W5="Duopoly that cooperate",10,IF(W5="Duopoly that compete",5,IF(W5="Too many players with High ROCE",5,0)))))</f>
        <v/>
      </c>
      <c r="Y5" s="25" t="inlineStr">
        <is>
          <t>No</t>
        </is>
      </c>
      <c r="Z5" s="25">
        <f>IF(Y5="No",5,0)</f>
        <v/>
      </c>
      <c r="AA5" s="25" t="inlineStr">
        <is>
          <t>Tailwind</t>
        </is>
      </c>
      <c r="AB5" s="25">
        <f>IF(AA5="Tailwind",10,0)</f>
        <v/>
      </c>
      <c r="AC5" s="25" t="inlineStr">
        <is>
          <t>Structural (10 Years Consistency)</t>
        </is>
      </c>
      <c r="AD5" s="25">
        <f>IF(AC5="Structural (10 Years Consistency)",10,IF(AC5="Shallow Cyclical (2 to 3 years growth)",5,0))</f>
        <v/>
      </c>
      <c r="AE5" s="25" t="inlineStr">
        <is>
          <t>No</t>
        </is>
      </c>
      <c r="AF5" s="25">
        <f>IF(AE5="Yes due to Product Mix change or Operating Leverage",10,IF(AE5="Yes, these are peak margins",-5,IF(AE5="No",5,0)))</f>
        <v/>
      </c>
      <c r="AG5" s="25" t="inlineStr">
        <is>
          <t>Stable</t>
        </is>
      </c>
      <c r="AH5" s="25">
        <f>IF(AG5="Stable",10,0)</f>
        <v/>
      </c>
      <c r="AI5" s="25" t="inlineStr">
        <is>
          <t>Yes</t>
        </is>
      </c>
      <c r="AJ5" s="25">
        <f>IF(AI5="Yes",10,0)</f>
        <v/>
      </c>
      <c r="AK5" s="25" t="inlineStr">
        <is>
          <t>B2B</t>
        </is>
      </c>
      <c r="AL5" s="25">
        <f>IF(AK5="B2C",10,IF(AK5="B2B",5,0))</f>
        <v/>
      </c>
      <c r="AM5" s="25" t="inlineStr">
        <is>
          <t>Yes</t>
        </is>
      </c>
      <c r="AN5" s="25">
        <f>IF(AM5="Yes",10,0)</f>
        <v/>
      </c>
      <c r="AO5" s="25" t="inlineStr">
        <is>
          <t>Higher One Time, Lower Annuity</t>
        </is>
      </c>
      <c r="AP5" s="25">
        <f>IF(AO5="Fully Annuity",10,IF(AO5="Higher Annuity, Lower One Time",5,IF(AO5="Higher One Time, Lower Annuity",3,0)))</f>
        <v/>
      </c>
      <c r="AQ5" s="25" t="inlineStr">
        <is>
          <t>Good</t>
        </is>
      </c>
      <c r="AR5" s="25">
        <f>IF(AQ5="Good",10,0)</f>
        <v/>
      </c>
      <c r="AS5" s="25" t="inlineStr">
        <is>
          <t>Yes for more than 2 years</t>
        </is>
      </c>
      <c r="AT5" s="25">
        <f>IF(AS5="Yes for more than 2 years",10,IF(AS5="Yes only for next 1 to 2 years",5,0))</f>
        <v/>
      </c>
      <c r="AU5" s="25" t="inlineStr">
        <is>
          <t>20 to 40</t>
        </is>
      </c>
      <c r="AV5" s="25">
        <f>IF(AU5="Above 40",20,IF(AU5="20 to 40",10,IF(AU5="0 to 20",-5,0)))</f>
        <v/>
      </c>
      <c r="AW5" s="25" t="inlineStr">
        <is>
          <t>Between 50 to 75</t>
        </is>
      </c>
      <c r="AX5" s="25">
        <f>IF(AW5="Between 50 to 75",10,IF(AW5="Above 75",0,0))</f>
        <v/>
      </c>
      <c r="AY5" s="25" t="inlineStr">
        <is>
          <t>Stage 2</t>
        </is>
      </c>
      <c r="AZ5" s="25">
        <f>IF(AY5="Stage 2",20,IF(AY5="Stage 1",0,IF(AY5="Stage 3",5,IF(AY5="Stage 4",-5,0))))</f>
        <v/>
      </c>
      <c r="BA5" s="25" t="inlineStr">
        <is>
          <t>Positive Trend</t>
        </is>
      </c>
      <c r="BB5" s="25">
        <f>IF(BA5="Positive Trend",20,IF(BA5="Negative Trend",-10,0))</f>
        <v/>
      </c>
      <c r="BC5" s="25" t="inlineStr">
        <is>
          <t>Uptrend</t>
        </is>
      </c>
      <c r="BD5" s="25">
        <f>IF(BC5="Uptrend",10,IF(BC5="Sideways",5,0))</f>
        <v/>
      </c>
      <c r="BE5" s="25" t="inlineStr">
        <is>
          <t>Uptrend</t>
        </is>
      </c>
      <c r="BF5" s="25">
        <f>IF(BE5="Uptrend",10,IF(BE5="Sideways",5,0))</f>
        <v/>
      </c>
      <c r="BG5" s="25" t="inlineStr">
        <is>
          <t>Blue sky scenario</t>
        </is>
      </c>
      <c r="BH5" s="25">
        <f>IF(BG5="Overhead supply in last 2 years in last 2 years",-5,IF(BG5="Close to 52 week high or retracement",5,IF(BG5="Blue sky scenario",10,IF(BG5="Long term Downtrend",-10,0))))</f>
        <v/>
      </c>
      <c r="BI5" s="25" t="inlineStr">
        <is>
          <t>Yes</t>
        </is>
      </c>
      <c r="BJ5" s="25">
        <f>IF(BI5="Yes",10,0)</f>
        <v/>
      </c>
      <c r="BK5" s="25" t="inlineStr">
        <is>
          <t>More than 20%</t>
        </is>
      </c>
      <c r="BL5" s="25">
        <f>IF(BK5="More than 20%",10,IF(BK5="Between 12 to 20%",5,IF(BK5="Less than 12%",0,0)))</f>
        <v/>
      </c>
      <c r="BM5" s="25" t="inlineStr">
        <is>
          <t>No</t>
        </is>
      </c>
      <c r="BN5" s="25">
        <f>IF(BM5="No",10,0)</f>
        <v/>
      </c>
      <c r="BO5" s="25" t="inlineStr">
        <is>
          <t>No</t>
        </is>
      </c>
      <c r="BP5" s="25">
        <f>IF(BO5="NO",5,0)</f>
        <v/>
      </c>
      <c r="BQ5" s="25" t="inlineStr">
        <is>
          <t>Less than 1.5</t>
        </is>
      </c>
      <c r="BR5" s="25">
        <f>IF(BQ5="Above 2",0,IF(BQ5="Between 1.5 to 2",5,IF(BQ5="Less than 1.5",10,0)))</f>
        <v/>
      </c>
      <c r="BS5" s="25" t="inlineStr">
        <is>
          <t>Between 50% to 70%</t>
        </is>
      </c>
      <c r="BT5" s="25">
        <f>IF(BS5="Above 70%",10,IF(BS5="Between 50% to 70%",5,IF(BS5="Less than 50%",0,IF(BS5="Negative",-10,IF(BS5="Less than 50% and Borrowings are increasing",-5,0)))))</f>
        <v/>
      </c>
      <c r="BU5" s="25" t="inlineStr">
        <is>
          <t>Less than 0.7</t>
        </is>
      </c>
      <c r="BV5" s="25">
        <f>IF(BU5="More than 1.2",-10,IF(BU5="Between 0.7 to 1.2",0,IF(BU5="Less than 0.7",10,0)))</f>
        <v/>
      </c>
      <c r="BW5" s="25" t="inlineStr">
        <is>
          <t>No</t>
        </is>
      </c>
      <c r="BX5" s="25">
        <f>IF(BW5="Yes",-10,0)</f>
        <v/>
      </c>
      <c r="BY5" s="25" t="inlineStr">
        <is>
          <t>Less than 15%</t>
        </is>
      </c>
      <c r="BZ5" s="25">
        <f>IF(BY5="More than 15%",-10,IF(BY5="Less than 15%",10,0))</f>
        <v/>
      </c>
      <c r="CA5" s="25" t="inlineStr">
        <is>
          <t>No</t>
        </is>
      </c>
      <c r="CB5" s="25">
        <f>IF(CA5="Yes, more than 10%",-10,IF(CA5="No",10,0))</f>
        <v/>
      </c>
    </row>
    <row r="6">
      <c r="A6" s="25">
        <f>IF(B6=0,"",RANK(B6,$B$2:$B$23,0))</f>
        <v/>
      </c>
      <c r="B6" s="26">
        <f>SUM(V6,X6,Z6,AB6,AD6,AF6,AH6,AJ6,AL6,AN6,AP6,AR6,AT6,AV6,AX6,AZ6,BB6,BD6,BF6,BH6,BJ6,BL6,BN6,BP6,BR6,BT6,BV6,BX6,BZ6,CB6)</f>
        <v/>
      </c>
      <c r="C6" s="25" t="inlineStr">
        <is>
          <t>52W Breakout</t>
        </is>
      </c>
      <c r="D6" s="26" t="n">
        <v>139.2</v>
      </c>
      <c r="E6" s="25" t="inlineStr">
        <is>
          <t>5%</t>
        </is>
      </c>
      <c r="F6" s="26" t="n">
        <v>50000</v>
      </c>
      <c r="G6" s="26" t="n">
        <v>10</v>
      </c>
      <c r="H6" s="25" t="inlineStr">
        <is>
          <t>THANGAMAYL</t>
        </is>
      </c>
      <c r="I6" s="25" t="inlineStr">
        <is>
          <t>Thangamayil Jewellery Limited</t>
        </is>
      </c>
      <c r="J6" s="25" t="inlineStr">
        <is>
          <t>consumer discretionary</t>
        </is>
      </c>
      <c r="K6" s="25" t="inlineStr">
        <is>
          <t>diamond cutting / jewellery</t>
        </is>
      </c>
      <c r="L6" s="25" t="inlineStr">
        <is>
          <t>midcap</t>
        </is>
      </c>
      <c r="M6" s="26" t="n">
        <v>13315.85</v>
      </c>
      <c r="N6" s="26" t="n">
        <v>4590.7</v>
      </c>
      <c r="O6" s="26" t="n">
        <v>7.16</v>
      </c>
      <c r="P6" s="26" t="n">
        <v>304885</v>
      </c>
      <c r="Q6" s="26" t="n">
        <v>64.17</v>
      </c>
      <c r="R6" s="26" t="n">
        <v>38.43</v>
      </c>
      <c r="S6" s="26" t="n">
        <v>3298.34</v>
      </c>
      <c r="T6" s="25" t="inlineStr">
        <is>
          <t>Near 52W High Breakout</t>
        </is>
      </c>
      <c r="U6" s="25" t="inlineStr">
        <is>
          <t>Growing Industry</t>
        </is>
      </c>
      <c r="V6" s="25">
        <f>IF(U6="Growing Industry",10,IF(U6="Cyclical in an Upturn",5,0))</f>
        <v/>
      </c>
      <c r="W6" s="25" t="inlineStr">
        <is>
          <t>Too Many Players with High ROCE</t>
        </is>
      </c>
      <c r="X6" s="25">
        <f>IF(W6="Monopoly",10,IF(W6="Oligopoly",5,IF(W6="Duopoly that cooperate",10,IF(W6="Duopoly that compete",5,IF(W6="Too many players with High ROCE",5,0)))))</f>
        <v/>
      </c>
      <c r="Y6" s="25" t="inlineStr">
        <is>
          <t>No</t>
        </is>
      </c>
      <c r="Z6" s="25">
        <f>IF(Y6="No",5,0)</f>
        <v/>
      </c>
      <c r="AA6" s="25" t="inlineStr">
        <is>
          <t>Tailwind</t>
        </is>
      </c>
      <c r="AB6" s="25">
        <f>IF(AA6="Tailwind",10,0)</f>
        <v/>
      </c>
      <c r="AC6" s="25" t="inlineStr">
        <is>
          <t>Structural (10 Years Consistency)</t>
        </is>
      </c>
      <c r="AD6" s="25">
        <f>IF(AC6="Structural (10 Years Consistency)",10,IF(AC6="Shallow Cyclical (2 to 3 years growth)",5,0))</f>
        <v/>
      </c>
      <c r="AE6" s="25" t="inlineStr">
        <is>
          <t>No</t>
        </is>
      </c>
      <c r="AF6" s="25">
        <f>IF(AE6="Yes due to Product Mix change or Operating Leverage",10,IF(AE6="Yes, these are peak margins",-5,IF(AE6="No",5,0)))</f>
        <v/>
      </c>
      <c r="AG6" s="25" t="inlineStr">
        <is>
          <t>Stable</t>
        </is>
      </c>
      <c r="AH6" s="25">
        <f>IF(AG6="Stable",10,0)</f>
        <v/>
      </c>
      <c r="AI6" s="25" t="inlineStr">
        <is>
          <t>Yes</t>
        </is>
      </c>
      <c r="AJ6" s="25">
        <f>IF(AI6="Yes",10,0)</f>
        <v/>
      </c>
      <c r="AK6" s="25" t="inlineStr">
        <is>
          <t>B2B</t>
        </is>
      </c>
      <c r="AL6" s="25">
        <f>IF(AK6="B2C",10,IF(AK6="B2B",5,0))</f>
        <v/>
      </c>
      <c r="AM6" s="25" t="inlineStr">
        <is>
          <t>Yes</t>
        </is>
      </c>
      <c r="AN6" s="25">
        <f>IF(AM6="Yes",10,0)</f>
        <v/>
      </c>
      <c r="AO6" s="25" t="inlineStr">
        <is>
          <t>Higher One Time, Lower Annuity</t>
        </is>
      </c>
      <c r="AP6" s="25">
        <f>IF(AO6="Fully Annuity",10,IF(AO6="Higher Annuity, Lower One Time",5,IF(AO6="Higher One Time, Lower Annuity",3,0)))</f>
        <v/>
      </c>
      <c r="AQ6" s="25" t="inlineStr">
        <is>
          <t>Good</t>
        </is>
      </c>
      <c r="AR6" s="25">
        <f>IF(AQ6="Good",10,0)</f>
        <v/>
      </c>
      <c r="AS6" s="25" t="inlineStr">
        <is>
          <t>Yes for more than 2 years</t>
        </is>
      </c>
      <c r="AT6" s="25">
        <f>IF(AS6="Yes for more than 2 years",10,IF(AS6="Yes only for next 1 to 2 years",5,0))</f>
        <v/>
      </c>
      <c r="AU6" s="25" t="inlineStr">
        <is>
          <t>20 to 40</t>
        </is>
      </c>
      <c r="AV6" s="25">
        <f>IF(AU6="Above 40",20,IF(AU6="20 to 40",10,IF(AU6="0 to 20",-5,0)))</f>
        <v/>
      </c>
      <c r="AW6" s="25" t="inlineStr">
        <is>
          <t>Between 50 to 75</t>
        </is>
      </c>
      <c r="AX6" s="25">
        <f>IF(AW6="Between 50 to 75",10,IF(AW6="Above 75",0,0))</f>
        <v/>
      </c>
      <c r="AY6" s="25" t="inlineStr">
        <is>
          <t>Stage 2</t>
        </is>
      </c>
      <c r="AZ6" s="25">
        <f>IF(AY6="Stage 2",20,IF(AY6="Stage 1",0,IF(AY6="Stage 3",5,IF(AY6="Stage 4",-5,0))))</f>
        <v/>
      </c>
      <c r="BA6" s="25" t="inlineStr">
        <is>
          <t>Positive Trend</t>
        </is>
      </c>
      <c r="BB6" s="25">
        <f>IF(BA6="Positive Trend",20,IF(BA6="Negative Trend",-10,0))</f>
        <v/>
      </c>
      <c r="BC6" s="25" t="inlineStr">
        <is>
          <t>Uptrend</t>
        </is>
      </c>
      <c r="BD6" s="25">
        <f>IF(BC6="Uptrend",10,IF(BC6="Sideways",5,0))</f>
        <v/>
      </c>
      <c r="BE6" s="25" t="inlineStr">
        <is>
          <t>Uptrend</t>
        </is>
      </c>
      <c r="BF6" s="25">
        <f>IF(BE6="Uptrend",10,IF(BE6="Sideways",5,0))</f>
        <v/>
      </c>
      <c r="BG6" s="25" t="inlineStr">
        <is>
          <t>Blue sky scenario</t>
        </is>
      </c>
      <c r="BH6" s="25">
        <f>IF(BG6="Overhead supply in last 2 years in last 2 years",-5,IF(BG6="Close to 52 week high or retracement",5,IF(BG6="Blue sky scenario",10,IF(BG6="Long term Downtrend",-10,0))))</f>
        <v/>
      </c>
      <c r="BI6" s="25" t="inlineStr">
        <is>
          <t>Yes</t>
        </is>
      </c>
      <c r="BJ6" s="25">
        <f>IF(BI6="Yes",10,0)</f>
        <v/>
      </c>
      <c r="BK6" s="25" t="inlineStr">
        <is>
          <t>More than 20%</t>
        </is>
      </c>
      <c r="BL6" s="25">
        <f>IF(BK6="More than 20%",10,IF(BK6="Between 12 to 20%",5,IF(BK6="Less than 12%",0,0)))</f>
        <v/>
      </c>
      <c r="BM6" s="25" t="inlineStr">
        <is>
          <t>No</t>
        </is>
      </c>
      <c r="BN6" s="25">
        <f>IF(BM6="No",10,0)</f>
        <v/>
      </c>
      <c r="BO6" s="25" t="inlineStr">
        <is>
          <t>Yes</t>
        </is>
      </c>
      <c r="BP6" s="25">
        <f>IF(BO6="NO",5,0)</f>
        <v/>
      </c>
      <c r="BQ6" s="25" t="inlineStr">
        <is>
          <t>Less than 1.5</t>
        </is>
      </c>
      <c r="BR6" s="25">
        <f>IF(BQ6="Above 2",0,IF(BQ6="Between 1.5 to 2",5,IF(BQ6="Less than 1.5",10,0)))</f>
        <v/>
      </c>
      <c r="BS6" s="25" t="inlineStr">
        <is>
          <t>Between 50% to 70%</t>
        </is>
      </c>
      <c r="BT6" s="25">
        <f>IF(BS6="Above 70%",10,IF(BS6="Between 50% to 70%",5,IF(BS6="Less than 50%",0,IF(BS6="Negative",-10,IF(BS6="Less than 50% and Borrowings are increasing",-5,0)))))</f>
        <v/>
      </c>
      <c r="BU6" s="25" t="inlineStr">
        <is>
          <t>Less than 0.7</t>
        </is>
      </c>
      <c r="BV6" s="25">
        <f>IF(BU6="More than 1.2",-10,IF(BU6="Between 0.7 to 1.2",0,IF(BU6="Less than 0.7",10,0)))</f>
        <v/>
      </c>
      <c r="BW6" s="25" t="inlineStr">
        <is>
          <t>No</t>
        </is>
      </c>
      <c r="BX6" s="25">
        <f>IF(BW6="Yes",-10,0)</f>
        <v/>
      </c>
      <c r="BY6" s="25" t="inlineStr">
        <is>
          <t>Less than 15%</t>
        </is>
      </c>
      <c r="BZ6" s="25">
        <f>IF(BY6="More than 15%",-10,IF(BY6="Less than 15%",10,0))</f>
        <v/>
      </c>
      <c r="CA6" s="25" t="inlineStr">
        <is>
          <t>No</t>
        </is>
      </c>
      <c r="CB6" s="25">
        <f>IF(CA6="Yes, more than 10%",-10,IF(CA6="No",10,0))</f>
        <v/>
      </c>
    </row>
    <row r="7">
      <c r="A7" s="25">
        <f>IF(B7=0,"",RANK(B7,$B$2:$B$23,0))</f>
        <v/>
      </c>
      <c r="B7" s="26">
        <f>SUM(V7,X7,Z7,AB7,AD7,AF7,AH7,AJ7,AL7,AN7,AP7,AR7,AT7,AV7,AX7,AZ7,BB7,BD7,BF7,BH7,BJ7,BL7,BN7,BP7,BR7,BT7,BV7,BX7,BZ7,CB7)</f>
        <v/>
      </c>
      <c r="C7" s="25" t="inlineStr">
        <is>
          <t>52W Breakout</t>
        </is>
      </c>
      <c r="D7" s="26" t="n">
        <v>138.7</v>
      </c>
      <c r="E7" s="25" t="inlineStr">
        <is>
          <t>5%</t>
        </is>
      </c>
      <c r="F7" s="26" t="n">
        <v>50000</v>
      </c>
      <c r="G7" s="26" t="n">
        <v>16</v>
      </c>
      <c r="H7" s="25" t="inlineStr">
        <is>
          <t>SANSERA</t>
        </is>
      </c>
      <c r="I7" s="25" t="inlineStr">
        <is>
          <t>Sansera Engineering Ltd</t>
        </is>
      </c>
      <c r="J7" s="25" t="inlineStr">
        <is>
          <t>auto</t>
        </is>
      </c>
      <c r="K7" s="25" t="inlineStr">
        <is>
          <t>auto ancillaries</t>
        </is>
      </c>
      <c r="L7" s="25" t="inlineStr">
        <is>
          <t>midcap</t>
        </is>
      </c>
      <c r="M7" s="26" t="n">
        <v>17492.24</v>
      </c>
      <c r="N7" s="26" t="n">
        <v>2953.3</v>
      </c>
      <c r="O7" s="26" t="n">
        <v>5.24</v>
      </c>
      <c r="P7" s="26" t="n">
        <v>453791</v>
      </c>
      <c r="Q7" s="26" t="n">
        <v>74.87</v>
      </c>
      <c r="R7" s="26" t="n">
        <v>39.79</v>
      </c>
      <c r="S7" s="26" t="n">
        <v>2285.3</v>
      </c>
      <c r="T7" s="25" t="inlineStr">
        <is>
          <t>Near 52W High Breakout</t>
        </is>
      </c>
      <c r="U7" s="25" t="inlineStr">
        <is>
          <t>Growing Industry</t>
        </is>
      </c>
      <c r="V7" s="25">
        <f>IF(U7="Growing Industry",10,IF(U7="Cyclical in an Upturn",5,0))</f>
        <v/>
      </c>
      <c r="W7" s="25" t="inlineStr">
        <is>
          <t>Too Many Players with High ROCE</t>
        </is>
      </c>
      <c r="X7" s="25">
        <f>IF(W7="Monopoly",10,IF(W7="Oligopoly",5,IF(W7="Duopoly that cooperate",10,IF(W7="Duopoly that compete",5,IF(W7="Too many players with High ROCE",5,0)))))</f>
        <v/>
      </c>
      <c r="Y7" s="25" t="inlineStr">
        <is>
          <t>No</t>
        </is>
      </c>
      <c r="Z7" s="25">
        <f>IF(Y7="No",5,0)</f>
        <v/>
      </c>
      <c r="AA7" s="25" t="inlineStr">
        <is>
          <t>Tailwind</t>
        </is>
      </c>
      <c r="AB7" s="25">
        <f>IF(AA7="Tailwind",10,0)</f>
        <v/>
      </c>
      <c r="AC7" s="25" t="inlineStr">
        <is>
          <t>Structural (10 Years Consistency)</t>
        </is>
      </c>
      <c r="AD7" s="25">
        <f>IF(AC7="Structural (10 Years Consistency)",10,IF(AC7="Shallow Cyclical (2 to 3 years growth)",5,0))</f>
        <v/>
      </c>
      <c r="AE7" s="25" t="inlineStr">
        <is>
          <t>No</t>
        </is>
      </c>
      <c r="AF7" s="25">
        <f>IF(AE7="Yes due to Product Mix change or Operating Leverage",10,IF(AE7="Yes, these are peak margins",-5,IF(AE7="No",5,0)))</f>
        <v/>
      </c>
      <c r="AG7" s="25" t="inlineStr">
        <is>
          <t>Stable</t>
        </is>
      </c>
      <c r="AH7" s="25">
        <f>IF(AG7="Stable",10,0)</f>
        <v/>
      </c>
      <c r="AI7" s="25" t="inlineStr">
        <is>
          <t>Yes</t>
        </is>
      </c>
      <c r="AJ7" s="25">
        <f>IF(AI7="Yes",10,0)</f>
        <v/>
      </c>
      <c r="AK7" s="25" t="inlineStr">
        <is>
          <t>B2B</t>
        </is>
      </c>
      <c r="AL7" s="25">
        <f>IF(AK7="B2C",10,IF(AK7="B2B",5,0))</f>
        <v/>
      </c>
      <c r="AM7" s="25" t="inlineStr">
        <is>
          <t>Yes</t>
        </is>
      </c>
      <c r="AN7" s="25">
        <f>IF(AM7="Yes",10,0)</f>
        <v/>
      </c>
      <c r="AO7" s="25" t="inlineStr">
        <is>
          <t>Higher One Time, Lower Annuity</t>
        </is>
      </c>
      <c r="AP7" s="25">
        <f>IF(AO7="Fully Annuity",10,IF(AO7="Higher Annuity, Lower One Time",5,IF(AO7="Higher One Time, Lower Annuity",3,0)))</f>
        <v/>
      </c>
      <c r="AQ7" s="25" t="inlineStr">
        <is>
          <t>Good</t>
        </is>
      </c>
      <c r="AR7" s="25">
        <f>IF(AQ7="Good",10,0)</f>
        <v/>
      </c>
      <c r="AS7" s="25" t="inlineStr">
        <is>
          <t>Yes for more than 2 years</t>
        </is>
      </c>
      <c r="AT7" s="25">
        <f>IF(AS7="Yes for more than 2 years",10,IF(AS7="Yes only for next 1 to 2 years",5,0))</f>
        <v/>
      </c>
      <c r="AU7" s="25" t="inlineStr">
        <is>
          <t>20 to 40</t>
        </is>
      </c>
      <c r="AV7" s="25">
        <f>IF(AU7="Above 40",20,IF(AU7="20 to 40",10,IF(AU7="0 to 20",-5,0)))</f>
        <v/>
      </c>
      <c r="AW7" s="25" t="inlineStr">
        <is>
          <t>Between 50 to 75</t>
        </is>
      </c>
      <c r="AX7" s="25">
        <f>IF(AW7="Between 50 to 75",10,IF(AW7="Above 75",0,0))</f>
        <v/>
      </c>
      <c r="AY7" s="25" t="inlineStr">
        <is>
          <t>Stage 2</t>
        </is>
      </c>
      <c r="AZ7" s="25">
        <f>IF(AY7="Stage 2",20,IF(AY7="Stage 1",0,IF(AY7="Stage 3",5,IF(AY7="Stage 4",-5,0))))</f>
        <v/>
      </c>
      <c r="BA7" s="25" t="inlineStr">
        <is>
          <t>Positive Trend</t>
        </is>
      </c>
      <c r="BB7" s="25">
        <f>IF(BA7="Positive Trend",20,IF(BA7="Negative Trend",-10,0))</f>
        <v/>
      </c>
      <c r="BC7" s="25" t="inlineStr">
        <is>
          <t>Uptrend</t>
        </is>
      </c>
      <c r="BD7" s="25">
        <f>IF(BC7="Uptrend",10,IF(BC7="Sideways",5,0))</f>
        <v/>
      </c>
      <c r="BE7" s="25" t="inlineStr">
        <is>
          <t>Uptrend</t>
        </is>
      </c>
      <c r="BF7" s="25">
        <f>IF(BE7="Uptrend",10,IF(BE7="Sideways",5,0))</f>
        <v/>
      </c>
      <c r="BG7" s="25" t="inlineStr">
        <is>
          <t>Blue sky scenario</t>
        </is>
      </c>
      <c r="BH7" s="25">
        <f>IF(BG7="Overhead supply in last 2 years in last 2 years",-5,IF(BG7="Close to 52 week high or retracement",5,IF(BG7="Blue sky scenario",10,IF(BG7="Long term Downtrend",-10,0))))</f>
        <v/>
      </c>
      <c r="BI7" s="25" t="inlineStr">
        <is>
          <t>Yes</t>
        </is>
      </c>
      <c r="BJ7" s="25">
        <f>IF(BI7="Yes",10,0)</f>
        <v/>
      </c>
      <c r="BK7" s="25" t="inlineStr">
        <is>
          <t>More than 20%</t>
        </is>
      </c>
      <c r="BL7" s="25">
        <f>IF(BK7="More than 20%",10,IF(BK7="Between 12 to 20%",5,IF(BK7="Less than 12%",0,0)))</f>
        <v/>
      </c>
      <c r="BM7" s="25" t="inlineStr">
        <is>
          <t>No</t>
        </is>
      </c>
      <c r="BN7" s="25">
        <f>IF(BM7="No",10,0)</f>
        <v/>
      </c>
      <c r="BO7" s="25" t="inlineStr">
        <is>
          <t>Yes</t>
        </is>
      </c>
      <c r="BP7" s="25">
        <f>IF(BO7="NO",5,0)</f>
        <v/>
      </c>
      <c r="BQ7" s="25" t="inlineStr">
        <is>
          <t>Less than 1.5</t>
        </is>
      </c>
      <c r="BR7" s="25">
        <f>IF(BQ7="Above 2",0,IF(BQ7="Between 1.5 to 2",5,IF(BQ7="Less than 1.5",10,0)))</f>
        <v/>
      </c>
      <c r="BS7" s="25" t="inlineStr">
        <is>
          <t>Between 50% to 70%</t>
        </is>
      </c>
      <c r="BT7" s="25">
        <f>IF(BS7="Above 70%",10,IF(BS7="Between 50% to 70%",5,IF(BS7="Less than 50%",0,IF(BS7="Negative",-10,IF(BS7="Less than 50% and Borrowings are increasing",-5,0)))))</f>
        <v/>
      </c>
      <c r="BU7" s="25" t="inlineStr">
        <is>
          <t>Less than 0.7</t>
        </is>
      </c>
      <c r="BV7" s="25">
        <f>IF(BU7="More than 1.2",-10,IF(BU7="Between 0.7 to 1.2",0,IF(BU7="Less than 0.7",10,0)))</f>
        <v/>
      </c>
      <c r="BW7" s="25" t="inlineStr">
        <is>
          <t>No</t>
        </is>
      </c>
      <c r="BX7" s="25">
        <f>IF(BW7="Yes",-10,0)</f>
        <v/>
      </c>
      <c r="BY7" s="25" t="inlineStr">
        <is>
          <t>Less than 15%</t>
        </is>
      </c>
      <c r="BZ7" s="25">
        <f>IF(BY7="More than 15%",-10,IF(BY7="Less than 15%",10,0))</f>
        <v/>
      </c>
      <c r="CA7" s="25" t="inlineStr">
        <is>
          <t>No</t>
        </is>
      </c>
      <c r="CB7" s="25">
        <f>IF(CA7="Yes, more than 10%",-10,IF(CA7="No",10,0))</f>
        <v/>
      </c>
    </row>
    <row r="8">
      <c r="A8" s="25">
        <f>IF(B8=0,"",RANK(B8,$B$2:$B$23,0))</f>
        <v/>
      </c>
      <c r="B8" s="26">
        <f>SUM(V8,X8,Z8,AB8,AD8,AF8,AH8,AJ8,AL8,AN8,AP8,AR8,AT8,AV8,AX8,AZ8,BB8,BD8,BF8,BH8,BJ8,BL8,BN8,BP8,BR8,BT8,BV8,BX8,BZ8,CB8)</f>
        <v/>
      </c>
      <c r="C8" s="25" t="inlineStr">
        <is>
          <t>52W Breakout</t>
        </is>
      </c>
      <c r="D8" s="26" t="n">
        <v>138.2</v>
      </c>
      <c r="E8" s="25" t="inlineStr">
        <is>
          <t>5%</t>
        </is>
      </c>
      <c r="F8" s="26" t="n">
        <v>50000</v>
      </c>
      <c r="G8" s="26" t="n">
        <v>42</v>
      </c>
      <c r="H8" s="25" t="inlineStr">
        <is>
          <t>SYRMA</t>
        </is>
      </c>
      <c r="I8" s="25" t="inlineStr">
        <is>
          <t>Syrma SGS Technology Ltd</t>
        </is>
      </c>
      <c r="J8" s="25" t="inlineStr">
        <is>
          <t>consumer discretionary</t>
        </is>
      </c>
      <c r="K8" s="25" t="inlineStr">
        <is>
          <t>electronics - components</t>
        </is>
      </c>
      <c r="L8" s="25" t="inlineStr">
        <is>
          <t>largecap</t>
        </is>
      </c>
      <c r="M8" s="26" t="n">
        <v>21352.12</v>
      </c>
      <c r="N8" s="26" t="n">
        <v>1166.8</v>
      </c>
      <c r="O8" s="26" t="n">
        <v>5.37</v>
      </c>
      <c r="P8" s="26" t="n">
        <v>2269095</v>
      </c>
      <c r="Q8" s="26" t="n">
        <v>70.7</v>
      </c>
      <c r="R8" s="26" t="n">
        <v>29.09</v>
      </c>
      <c r="S8" s="26" t="n">
        <v>895.27</v>
      </c>
      <c r="T8" s="25" t="inlineStr">
        <is>
          <t>Near 52W High Breakout</t>
        </is>
      </c>
      <c r="U8" s="25" t="inlineStr">
        <is>
          <t>Growing Industry</t>
        </is>
      </c>
      <c r="V8" s="25">
        <f>IF(U8="Growing Industry",10,IF(U8="Cyclical in an Upturn",5,0))</f>
        <v/>
      </c>
      <c r="W8" s="25" t="inlineStr">
        <is>
          <t>Too Many Players with High ROCE</t>
        </is>
      </c>
      <c r="X8" s="25">
        <f>IF(W8="Monopoly",10,IF(W8="Oligopoly",5,IF(W8="Duopoly that cooperate",10,IF(W8="Duopoly that compete",5,IF(W8="Too many players with High ROCE",5,0)))))</f>
        <v/>
      </c>
      <c r="Y8" s="25" t="inlineStr">
        <is>
          <t>No</t>
        </is>
      </c>
      <c r="Z8" s="25">
        <f>IF(Y8="No",5,0)</f>
        <v/>
      </c>
      <c r="AA8" s="25" t="inlineStr">
        <is>
          <t>Tailwind</t>
        </is>
      </c>
      <c r="AB8" s="25">
        <f>IF(AA8="Tailwind",10,0)</f>
        <v/>
      </c>
      <c r="AC8" s="25" t="inlineStr">
        <is>
          <t>Structural (10 Years Consistency)</t>
        </is>
      </c>
      <c r="AD8" s="25">
        <f>IF(AC8="Structural (10 Years Consistency)",10,IF(AC8="Shallow Cyclical (2 to 3 years growth)",5,0))</f>
        <v/>
      </c>
      <c r="AE8" s="25" t="inlineStr">
        <is>
          <t>No</t>
        </is>
      </c>
      <c r="AF8" s="25">
        <f>IF(AE8="Yes due to Product Mix change or Operating Leverage",10,IF(AE8="Yes, these are peak margins",-5,IF(AE8="No",5,0)))</f>
        <v/>
      </c>
      <c r="AG8" s="25" t="inlineStr">
        <is>
          <t>Stable</t>
        </is>
      </c>
      <c r="AH8" s="25">
        <f>IF(AG8="Stable",10,0)</f>
        <v/>
      </c>
      <c r="AI8" s="25" t="inlineStr">
        <is>
          <t>Yes</t>
        </is>
      </c>
      <c r="AJ8" s="25">
        <f>IF(AI8="Yes",10,0)</f>
        <v/>
      </c>
      <c r="AK8" s="25" t="inlineStr">
        <is>
          <t>B2B</t>
        </is>
      </c>
      <c r="AL8" s="25">
        <f>IF(AK8="B2C",10,IF(AK8="B2B",5,0))</f>
        <v/>
      </c>
      <c r="AM8" s="25" t="inlineStr">
        <is>
          <t>Yes</t>
        </is>
      </c>
      <c r="AN8" s="25">
        <f>IF(AM8="Yes",10,0)</f>
        <v/>
      </c>
      <c r="AO8" s="25" t="inlineStr">
        <is>
          <t>Higher One Time, Lower Annuity</t>
        </is>
      </c>
      <c r="AP8" s="25">
        <f>IF(AO8="Fully Annuity",10,IF(AO8="Higher Annuity, Lower One Time",5,IF(AO8="Higher One Time, Lower Annuity",3,0)))</f>
        <v/>
      </c>
      <c r="AQ8" s="25" t="inlineStr">
        <is>
          <t>Good</t>
        </is>
      </c>
      <c r="AR8" s="25">
        <f>IF(AQ8="Good",10,0)</f>
        <v/>
      </c>
      <c r="AS8" s="25" t="inlineStr">
        <is>
          <t>Yes for more than 2 years</t>
        </is>
      </c>
      <c r="AT8" s="25">
        <f>IF(AS8="Yes for more than 2 years",10,IF(AS8="Yes only for next 1 to 2 years",5,0))</f>
        <v/>
      </c>
      <c r="AU8" s="25" t="inlineStr">
        <is>
          <t>20 to 40</t>
        </is>
      </c>
      <c r="AV8" s="25">
        <f>IF(AU8="Above 40",20,IF(AU8="20 to 40",10,IF(AU8="0 to 20",-5,0)))</f>
        <v/>
      </c>
      <c r="AW8" s="25" t="inlineStr">
        <is>
          <t>Between 50 to 75</t>
        </is>
      </c>
      <c r="AX8" s="25">
        <f>IF(AW8="Between 50 to 75",10,IF(AW8="Above 75",0,0))</f>
        <v/>
      </c>
      <c r="AY8" s="25" t="inlineStr">
        <is>
          <t>Stage 2</t>
        </is>
      </c>
      <c r="AZ8" s="25">
        <f>IF(AY8="Stage 2",20,IF(AY8="Stage 1",0,IF(AY8="Stage 3",5,IF(AY8="Stage 4",-5,0))))</f>
        <v/>
      </c>
      <c r="BA8" s="25" t="inlineStr">
        <is>
          <t>Positive Trend</t>
        </is>
      </c>
      <c r="BB8" s="25">
        <f>IF(BA8="Positive Trend",20,IF(BA8="Negative Trend",-10,0))</f>
        <v/>
      </c>
      <c r="BC8" s="25" t="inlineStr">
        <is>
          <t>Uptrend</t>
        </is>
      </c>
      <c r="BD8" s="25">
        <f>IF(BC8="Uptrend",10,IF(BC8="Sideways",5,0))</f>
        <v/>
      </c>
      <c r="BE8" s="25" t="inlineStr">
        <is>
          <t>Uptrend</t>
        </is>
      </c>
      <c r="BF8" s="25">
        <f>IF(BE8="Uptrend",10,IF(BE8="Sideways",5,0))</f>
        <v/>
      </c>
      <c r="BG8" s="25" t="inlineStr">
        <is>
          <t>Blue sky scenario</t>
        </is>
      </c>
      <c r="BH8" s="25">
        <f>IF(BG8="Overhead supply in last 2 years in last 2 years",-5,IF(BG8="Close to 52 week high or retracement",5,IF(BG8="Blue sky scenario",10,IF(BG8="Long term Downtrend",-10,0))))</f>
        <v/>
      </c>
      <c r="BI8" s="25" t="inlineStr">
        <is>
          <t>Yes</t>
        </is>
      </c>
      <c r="BJ8" s="25">
        <f>IF(BI8="Yes",10,0)</f>
        <v/>
      </c>
      <c r="BK8" s="25" t="inlineStr">
        <is>
          <t>More than 20%</t>
        </is>
      </c>
      <c r="BL8" s="25">
        <f>IF(BK8="More than 20%",10,IF(BK8="Between 12 to 20%",5,IF(BK8="Less than 12%",0,0)))</f>
        <v/>
      </c>
      <c r="BM8" s="25" t="inlineStr">
        <is>
          <t>No</t>
        </is>
      </c>
      <c r="BN8" s="25">
        <f>IF(BM8="No",10,0)</f>
        <v/>
      </c>
      <c r="BO8" s="25" t="inlineStr">
        <is>
          <t>Yes</t>
        </is>
      </c>
      <c r="BP8" s="25">
        <f>IF(BO8="NO",5,0)</f>
        <v/>
      </c>
      <c r="BQ8" s="25" t="inlineStr">
        <is>
          <t>Less than 1.5</t>
        </is>
      </c>
      <c r="BR8" s="25">
        <f>IF(BQ8="Above 2",0,IF(BQ8="Between 1.5 to 2",5,IF(BQ8="Less than 1.5",10,0)))</f>
        <v/>
      </c>
      <c r="BS8" s="25" t="inlineStr">
        <is>
          <t>Between 50% to 70%</t>
        </is>
      </c>
      <c r="BT8" s="25">
        <f>IF(BS8="Above 70%",10,IF(BS8="Between 50% to 70%",5,IF(BS8="Less than 50%",0,IF(BS8="Negative",-10,IF(BS8="Less than 50% and Borrowings are increasing",-5,0)))))</f>
        <v/>
      </c>
      <c r="BU8" s="25" t="inlineStr">
        <is>
          <t>Less than 0.7</t>
        </is>
      </c>
      <c r="BV8" s="25">
        <f>IF(BU8="More than 1.2",-10,IF(BU8="Between 0.7 to 1.2",0,IF(BU8="Less than 0.7",10,0)))</f>
        <v/>
      </c>
      <c r="BW8" s="25" t="inlineStr">
        <is>
          <t>No</t>
        </is>
      </c>
      <c r="BX8" s="25">
        <f>IF(BW8="Yes",-10,0)</f>
        <v/>
      </c>
      <c r="BY8" s="25" t="inlineStr">
        <is>
          <t>Less than 15%</t>
        </is>
      </c>
      <c r="BZ8" s="25">
        <f>IF(BY8="More than 15%",-10,IF(BY8="Less than 15%",10,0))</f>
        <v/>
      </c>
      <c r="CA8" s="25" t="inlineStr">
        <is>
          <t>No</t>
        </is>
      </c>
      <c r="CB8" s="25">
        <f>IF(CA8="Yes, more than 10%",-10,IF(CA8="No",10,0))</f>
        <v/>
      </c>
    </row>
    <row r="9">
      <c r="A9" s="25">
        <f>IF(B9=0,"",RANK(B9,$B$2:$B$23,0))</f>
        <v/>
      </c>
      <c r="B9" s="26">
        <f>SUM(V9,X9,Z9,AB9,AD9,AF9,AH9,AJ9,AL9,AN9,AP9,AR9,AT9,AV9,AX9,AZ9,BB9,BD9,BF9,BH9,BJ9,BL9,BN9,BP9,BR9,BT9,BV9,BX9,BZ9,CB9)</f>
        <v/>
      </c>
      <c r="C9" s="25" t="inlineStr">
        <is>
          <t>52W Breakout</t>
        </is>
      </c>
      <c r="D9" s="26" t="n">
        <v>140</v>
      </c>
      <c r="E9" s="25" t="inlineStr">
        <is>
          <t>5%</t>
        </is>
      </c>
      <c r="F9" s="26" t="n">
        <v>50000</v>
      </c>
      <c r="G9" s="26" t="n">
        <v>159</v>
      </c>
      <c r="H9" s="25" t="inlineStr">
        <is>
          <t>MODISONLTD</t>
        </is>
      </c>
      <c r="I9" s="25" t="inlineStr">
        <is>
          <t>Modison Ltd</t>
        </is>
      </c>
      <c r="J9" s="25" t="inlineStr">
        <is>
          <t>industrials</t>
        </is>
      </c>
      <c r="K9" s="25" t="inlineStr">
        <is>
          <t>electric equipment</t>
        </is>
      </c>
      <c r="L9" s="25" t="inlineStr">
        <is>
          <t>smallcap</t>
        </is>
      </c>
      <c r="M9" s="26" t="n">
        <v>969.61</v>
      </c>
      <c r="N9" s="26" t="n">
        <v>313.7</v>
      </c>
      <c r="O9" s="26" t="n">
        <v>4.99</v>
      </c>
      <c r="P9" s="26" t="n">
        <v>121688</v>
      </c>
      <c r="Q9" s="26" t="n">
        <v>84.61</v>
      </c>
      <c r="R9" s="26" t="n">
        <v>28.7</v>
      </c>
      <c r="S9" s="26" t="n">
        <v>240.93</v>
      </c>
      <c r="T9" s="25" t="inlineStr">
        <is>
          <t>Near 52W High Breakout</t>
        </is>
      </c>
      <c r="U9" s="25" t="inlineStr">
        <is>
          <t>Cyclical in an Upturn</t>
        </is>
      </c>
      <c r="V9" s="25">
        <f>IF(U9="Growing Industry",10,IF(U9="Cyclical in an Upturn",5,0))</f>
        <v/>
      </c>
      <c r="W9" s="25" t="inlineStr">
        <is>
          <t>Too Many Players with High ROCE</t>
        </is>
      </c>
      <c r="X9" s="25">
        <f>IF(W9="Monopoly",10,IF(W9="Oligopoly",5,IF(W9="Duopoly that cooperate",10,IF(W9="Duopoly that compete",5,IF(W9="Too many players with High ROCE",5,0)))))</f>
        <v/>
      </c>
      <c r="Y9" s="25" t="inlineStr">
        <is>
          <t>No</t>
        </is>
      </c>
      <c r="Z9" s="25">
        <f>IF(Y9="No",5,0)</f>
        <v/>
      </c>
      <c r="AA9" s="25" t="inlineStr">
        <is>
          <t>Tailwind</t>
        </is>
      </c>
      <c r="AB9" s="25">
        <f>IF(AA9="Tailwind",10,0)</f>
        <v/>
      </c>
      <c r="AC9" s="25" t="inlineStr">
        <is>
          <t>Structural (10 Years Consistency)</t>
        </is>
      </c>
      <c r="AD9" s="25">
        <f>IF(AC9="Structural (10 Years Consistency)",10,IF(AC9="Shallow Cyclical (2 to 3 years growth)",5,0))</f>
        <v/>
      </c>
      <c r="AE9" s="25" t="inlineStr">
        <is>
          <t>No</t>
        </is>
      </c>
      <c r="AF9" s="25">
        <f>IF(AE9="Yes due to Product Mix change or Operating Leverage",10,IF(AE9="Yes, these are peak margins",-5,IF(AE9="No",5,0)))</f>
        <v/>
      </c>
      <c r="AG9" s="25" t="inlineStr">
        <is>
          <t>Stable</t>
        </is>
      </c>
      <c r="AH9" s="25">
        <f>IF(AG9="Stable",10,0)</f>
        <v/>
      </c>
      <c r="AI9" s="25" t="inlineStr">
        <is>
          <t>Yes</t>
        </is>
      </c>
      <c r="AJ9" s="25">
        <f>IF(AI9="Yes",10,0)</f>
        <v/>
      </c>
      <c r="AK9" s="25" t="inlineStr">
        <is>
          <t>B2B</t>
        </is>
      </c>
      <c r="AL9" s="25">
        <f>IF(AK9="B2C",10,IF(AK9="B2B",5,0))</f>
        <v/>
      </c>
      <c r="AM9" s="25" t="inlineStr">
        <is>
          <t>Yes</t>
        </is>
      </c>
      <c r="AN9" s="25">
        <f>IF(AM9="Yes",10,0)</f>
        <v/>
      </c>
      <c r="AO9" s="25" t="inlineStr">
        <is>
          <t>Higher One Time, Lower Annuity</t>
        </is>
      </c>
      <c r="AP9" s="25">
        <f>IF(AO9="Fully Annuity",10,IF(AO9="Higher Annuity, Lower One Time",5,IF(AO9="Higher One Time, Lower Annuity",3,0)))</f>
        <v/>
      </c>
      <c r="AQ9" s="25" t="inlineStr">
        <is>
          <t>Good</t>
        </is>
      </c>
      <c r="AR9" s="25">
        <f>IF(AQ9="Good",10,0)</f>
        <v/>
      </c>
      <c r="AS9" s="25" t="inlineStr">
        <is>
          <t>Yes for more than 2 years</t>
        </is>
      </c>
      <c r="AT9" s="25">
        <f>IF(AS9="Yes for more than 2 years",10,IF(AS9="Yes only for next 1 to 2 years",5,0))</f>
        <v/>
      </c>
      <c r="AU9" s="25" t="inlineStr">
        <is>
          <t>20 to 40</t>
        </is>
      </c>
      <c r="AV9" s="25">
        <f>IF(AU9="Above 40",20,IF(AU9="20 to 40",10,IF(AU9="0 to 20",-5,0)))</f>
        <v/>
      </c>
      <c r="AW9" s="25" t="inlineStr">
        <is>
          <t>Above 75</t>
        </is>
      </c>
      <c r="AX9" s="25">
        <f>IF(AW9="Between 50 to 75",10,IF(AW9="Above 75",0,0))</f>
        <v/>
      </c>
      <c r="AY9" s="25" t="inlineStr">
        <is>
          <t>Stage 2</t>
        </is>
      </c>
      <c r="AZ9" s="25">
        <f>IF(AY9="Stage 2",20,IF(AY9="Stage 1",0,IF(AY9="Stage 3",5,IF(AY9="Stage 4",-5,0))))</f>
        <v/>
      </c>
      <c r="BA9" s="25" t="inlineStr">
        <is>
          <t>Positive Trend</t>
        </is>
      </c>
      <c r="BB9" s="25">
        <f>IF(BA9="Positive Trend",20,IF(BA9="Negative Trend",-10,0))</f>
        <v/>
      </c>
      <c r="BC9" s="25" t="inlineStr">
        <is>
          <t>Uptrend</t>
        </is>
      </c>
      <c r="BD9" s="25">
        <f>IF(BC9="Uptrend",10,IF(BC9="Sideways",5,0))</f>
        <v/>
      </c>
      <c r="BE9" s="25" t="inlineStr">
        <is>
          <t>Uptrend</t>
        </is>
      </c>
      <c r="BF9" s="25">
        <f>IF(BE9="Uptrend",10,IF(BE9="Sideways",5,0))</f>
        <v/>
      </c>
      <c r="BG9" s="25" t="inlineStr">
        <is>
          <t>Blue sky scenario</t>
        </is>
      </c>
      <c r="BH9" s="25">
        <f>IF(BG9="Overhead supply in last 2 years in last 2 years",-5,IF(BG9="Close to 52 week high or retracement",5,IF(BG9="Blue sky scenario",10,IF(BG9="Long term Downtrend",-10,0))))</f>
        <v/>
      </c>
      <c r="BI9" s="25" t="inlineStr">
        <is>
          <t>Yes</t>
        </is>
      </c>
      <c r="BJ9" s="25">
        <f>IF(BI9="Yes",10,0)</f>
        <v/>
      </c>
      <c r="BK9" s="25" t="inlineStr">
        <is>
          <t>More than 20%</t>
        </is>
      </c>
      <c r="BL9" s="25">
        <f>IF(BK9="More than 20%",10,IF(BK9="Between 12 to 20%",5,IF(BK9="Less than 12%",0,0)))</f>
        <v/>
      </c>
      <c r="BM9" s="25" t="inlineStr">
        <is>
          <t>No</t>
        </is>
      </c>
      <c r="BN9" s="25">
        <f>IF(BM9="No",10,0)</f>
        <v/>
      </c>
      <c r="BO9" s="25" t="inlineStr">
        <is>
          <t>No</t>
        </is>
      </c>
      <c r="BP9" s="25">
        <f>IF(BO9="NO",5,0)</f>
        <v/>
      </c>
      <c r="BQ9" s="25" t="inlineStr">
        <is>
          <t>Less than 1.5</t>
        </is>
      </c>
      <c r="BR9" s="25">
        <f>IF(BQ9="Above 2",0,IF(BQ9="Between 1.5 to 2",5,IF(BQ9="Less than 1.5",10,0)))</f>
        <v/>
      </c>
      <c r="BS9" s="25" t="inlineStr">
        <is>
          <t>Above 70%</t>
        </is>
      </c>
      <c r="BT9" s="25">
        <f>IF(BS9="Above 70%",10,IF(BS9="Between 50% to 70%",5,IF(BS9="Less than 50%",0,IF(BS9="Negative",-10,IF(BS9="Less than 50% and Borrowings are increasing",-5,0)))))</f>
        <v/>
      </c>
      <c r="BU9" s="25" t="inlineStr">
        <is>
          <t>Less than 0.7</t>
        </is>
      </c>
      <c r="BV9" s="25">
        <f>IF(BU9="More than 1.2",-10,IF(BU9="Between 0.7 to 1.2",0,IF(BU9="Less than 0.7",10,0)))</f>
        <v/>
      </c>
      <c r="BW9" s="25" t="inlineStr">
        <is>
          <t>No</t>
        </is>
      </c>
      <c r="BX9" s="25">
        <f>IF(BW9="Yes",-10,0)</f>
        <v/>
      </c>
      <c r="BY9" s="25" t="inlineStr">
        <is>
          <t>Less than 15%</t>
        </is>
      </c>
      <c r="BZ9" s="25">
        <f>IF(BY9="More than 15%",-10,IF(BY9="Less than 15%",10,0))</f>
        <v/>
      </c>
      <c r="CA9" s="25" t="inlineStr">
        <is>
          <t>No</t>
        </is>
      </c>
      <c r="CB9" s="25">
        <f>IF(CA9="Yes, more than 10%",-10,IF(CA9="No",10,0))</f>
        <v/>
      </c>
    </row>
    <row r="10">
      <c r="A10" s="25">
        <f>IF(B10=0,"",RANK(B10,$B$2:$B$23,0))</f>
        <v/>
      </c>
      <c r="B10" s="26">
        <f>SUM(V10,X10,Z10,AB10,AD10,AF10,AH10,AJ10,AL10,AN10,AP10,AR10,AT10,AV10,AX10,AZ10,BB10,BD10,BF10,BH10,BJ10,BL10,BN10,BP10,BR10,BT10,BV10,BX10,BZ10,CB10)</f>
        <v/>
      </c>
      <c r="C10" s="25" t="inlineStr">
        <is>
          <t>52W Breakout</t>
        </is>
      </c>
      <c r="D10" s="26" t="n">
        <v>137.8</v>
      </c>
      <c r="E10" s="25" t="inlineStr">
        <is>
          <t>5%</t>
        </is>
      </c>
      <c r="F10" s="26" t="n">
        <v>50000</v>
      </c>
      <c r="G10" s="26" t="n">
        <v>214</v>
      </c>
      <c r="H10" s="25" t="inlineStr">
        <is>
          <t>SKMEGGPROD</t>
        </is>
      </c>
      <c r="I10" s="25" t="inlineStr">
        <is>
          <t>Skm Egg Products Export (india) Limited</t>
        </is>
      </c>
      <c r="J10" s="25" t="inlineStr">
        <is>
          <t>fmcg</t>
        </is>
      </c>
      <c r="K10" s="25" t="inlineStr">
        <is>
          <t>food - processing - indian</t>
        </is>
      </c>
      <c r="L10" s="25" t="inlineStr">
        <is>
          <t>smallcap</t>
        </is>
      </c>
      <c r="M10" s="26" t="n">
        <v>1085.74</v>
      </c>
      <c r="N10" s="26" t="n">
        <v>232.77</v>
      </c>
      <c r="O10" s="26" t="n">
        <v>12.9</v>
      </c>
      <c r="P10" s="26" t="n">
        <v>9987648</v>
      </c>
      <c r="Q10" s="26" t="n">
        <v>68.95</v>
      </c>
      <c r="R10" s="26" t="n">
        <v>15.58</v>
      </c>
      <c r="S10" s="26" t="n">
        <v>161.26</v>
      </c>
      <c r="T10" s="25" t="inlineStr">
        <is>
          <t>Volume Spike &amp; Near 52W High Breakout</t>
        </is>
      </c>
      <c r="U10" s="25" t="inlineStr">
        <is>
          <t>Growing Industry</t>
        </is>
      </c>
      <c r="V10" s="25">
        <f>IF(U10="Growing Industry",10,IF(U10="Cyclical in an Upturn",5,0))</f>
        <v/>
      </c>
      <c r="W10" s="25" t="inlineStr">
        <is>
          <t>Too Many Players with High ROCE</t>
        </is>
      </c>
      <c r="X10" s="25">
        <f>IF(W10="Monopoly",10,IF(W10="Oligopoly",5,IF(W10="Duopoly that cooperate",10,IF(W10="Duopoly that compete",5,IF(W10="Too many players with High ROCE",5,0)))))</f>
        <v/>
      </c>
      <c r="Y10" s="25" t="inlineStr">
        <is>
          <t>No</t>
        </is>
      </c>
      <c r="Z10" s="25">
        <f>IF(Y10="No",5,0)</f>
        <v/>
      </c>
      <c r="AA10" s="25" t="inlineStr">
        <is>
          <t>Tailwind</t>
        </is>
      </c>
      <c r="AB10" s="25">
        <f>IF(AA10="Tailwind",10,0)</f>
        <v/>
      </c>
      <c r="AC10" s="25" t="inlineStr">
        <is>
          <t>Structural (10 Years Consistency)</t>
        </is>
      </c>
      <c r="AD10" s="25">
        <f>IF(AC10="Structural (10 Years Consistency)",10,IF(AC10="Shallow Cyclical (2 to 3 years growth)",5,0))</f>
        <v/>
      </c>
      <c r="AE10" s="25" t="inlineStr">
        <is>
          <t>No</t>
        </is>
      </c>
      <c r="AF10" s="25">
        <f>IF(AE10="Yes due to Product Mix change or Operating Leverage",10,IF(AE10="Yes, these are peak margins",-5,IF(AE10="No",5,0)))</f>
        <v/>
      </c>
      <c r="AG10" s="25" t="inlineStr">
        <is>
          <t>Stable</t>
        </is>
      </c>
      <c r="AH10" s="25">
        <f>IF(AG10="Stable",10,0)</f>
        <v/>
      </c>
      <c r="AI10" s="25" t="inlineStr">
        <is>
          <t>Yes</t>
        </is>
      </c>
      <c r="AJ10" s="25">
        <f>IF(AI10="Yes",10,0)</f>
        <v/>
      </c>
      <c r="AK10" s="25" t="inlineStr">
        <is>
          <t>B2C</t>
        </is>
      </c>
      <c r="AL10" s="25">
        <f>IF(AK10="B2C",10,IF(AK10="B2B",5,0))</f>
        <v/>
      </c>
      <c r="AM10" s="25" t="inlineStr">
        <is>
          <t>Yes</t>
        </is>
      </c>
      <c r="AN10" s="25">
        <f>IF(AM10="Yes",10,0)</f>
        <v/>
      </c>
      <c r="AO10" s="25" t="inlineStr">
        <is>
          <t>Higher Annuity, Lower One Time</t>
        </is>
      </c>
      <c r="AP10" s="25">
        <f>IF(AO10="Fully Annuity",10,IF(AO10="Higher Annuity, Lower One Time",5,IF(AO10="Higher One Time, Lower Annuity",3,0)))</f>
        <v/>
      </c>
      <c r="AQ10" s="25" t="inlineStr">
        <is>
          <t>Good</t>
        </is>
      </c>
      <c r="AR10" s="25">
        <f>IF(AQ10="Good",10,0)</f>
        <v/>
      </c>
      <c r="AS10" s="25" t="inlineStr">
        <is>
          <t>Yes for more than 2 years</t>
        </is>
      </c>
      <c r="AT10" s="25">
        <f>IF(AS10="Yes for more than 2 years",10,IF(AS10="Yes only for next 1 to 2 years",5,0))</f>
        <v/>
      </c>
      <c r="AU10" s="25" t="inlineStr">
        <is>
          <t>0 to 20</t>
        </is>
      </c>
      <c r="AV10" s="25">
        <f>IF(AU10="Above 40",20,IF(AU10="20 to 40",10,IF(AU10="0 to 20",-5,0)))</f>
        <v/>
      </c>
      <c r="AW10" s="25" t="inlineStr">
        <is>
          <t>Between 50 to 75</t>
        </is>
      </c>
      <c r="AX10" s="25">
        <f>IF(AW10="Between 50 to 75",10,IF(AW10="Above 75",0,0))</f>
        <v/>
      </c>
      <c r="AY10" s="25" t="inlineStr">
        <is>
          <t>Stage 2</t>
        </is>
      </c>
      <c r="AZ10" s="25">
        <f>IF(AY10="Stage 2",20,IF(AY10="Stage 1",0,IF(AY10="Stage 3",5,IF(AY10="Stage 4",-5,0))))</f>
        <v/>
      </c>
      <c r="BA10" s="25" t="inlineStr">
        <is>
          <t>Positive Trend</t>
        </is>
      </c>
      <c r="BB10" s="25">
        <f>IF(BA10="Positive Trend",20,IF(BA10="Negative Trend",-10,0))</f>
        <v/>
      </c>
      <c r="BC10" s="25" t="inlineStr">
        <is>
          <t>Uptrend</t>
        </is>
      </c>
      <c r="BD10" s="25">
        <f>IF(BC10="Uptrend",10,IF(BC10="Sideways",5,0))</f>
        <v/>
      </c>
      <c r="BE10" s="25" t="inlineStr">
        <is>
          <t>Uptrend</t>
        </is>
      </c>
      <c r="BF10" s="25">
        <f>IF(BE10="Uptrend",10,IF(BE10="Sideways",5,0))</f>
        <v/>
      </c>
      <c r="BG10" s="25" t="inlineStr">
        <is>
          <t>Blue sky scenario</t>
        </is>
      </c>
      <c r="BH10" s="25">
        <f>IF(BG10="Overhead supply in last 2 years in last 2 years",-5,IF(BG10="Close to 52 week high or retracement",5,IF(BG10="Blue sky scenario",10,IF(BG10="Long term Downtrend",-10,0))))</f>
        <v/>
      </c>
      <c r="BI10" s="25" t="inlineStr">
        <is>
          <t>Yes</t>
        </is>
      </c>
      <c r="BJ10" s="25">
        <f>IF(BI10="Yes",10,0)</f>
        <v/>
      </c>
      <c r="BK10" s="25" t="inlineStr">
        <is>
          <t>More than 20%</t>
        </is>
      </c>
      <c r="BL10" s="25">
        <f>IF(BK10="More than 20%",10,IF(BK10="Between 12 to 20%",5,IF(BK10="Less than 12%",0,0)))</f>
        <v/>
      </c>
      <c r="BM10" s="25" t="inlineStr">
        <is>
          <t>No</t>
        </is>
      </c>
      <c r="BN10" s="25">
        <f>IF(BM10="No",10,0)</f>
        <v/>
      </c>
      <c r="BO10" s="25" t="inlineStr">
        <is>
          <t>No</t>
        </is>
      </c>
      <c r="BP10" s="25">
        <f>IF(BO10="NO",5,0)</f>
        <v/>
      </c>
      <c r="BQ10" s="25" t="inlineStr">
        <is>
          <t>Less than 1.5</t>
        </is>
      </c>
      <c r="BR10" s="25">
        <f>IF(BQ10="Above 2",0,IF(BQ10="Between 1.5 to 2",5,IF(BQ10="Less than 1.5",10,0)))</f>
        <v/>
      </c>
      <c r="BS10" s="25" t="inlineStr">
        <is>
          <t>Less than 50%</t>
        </is>
      </c>
      <c r="BT10" s="25">
        <f>IF(BS10="Above 70%",10,IF(BS10="Between 50% to 70%",5,IF(BS10="Less than 50%",0,IF(BS10="Negative",-10,IF(BS10="Less than 50% and Borrowings are increasing",-5,0)))))</f>
        <v/>
      </c>
      <c r="BU10" s="25" t="inlineStr">
        <is>
          <t>Less than 0.7</t>
        </is>
      </c>
      <c r="BV10" s="25">
        <f>IF(BU10="More than 1.2",-10,IF(BU10="Between 0.7 to 1.2",0,IF(BU10="Less than 0.7",10,0)))</f>
        <v/>
      </c>
      <c r="BW10" s="25" t="inlineStr">
        <is>
          <t>No</t>
        </is>
      </c>
      <c r="BX10" s="25">
        <f>IF(BW10="Yes",-10,0)</f>
        <v/>
      </c>
      <c r="BY10" s="25" t="inlineStr">
        <is>
          <t>Less than 15%</t>
        </is>
      </c>
      <c r="BZ10" s="25">
        <f>IF(BY10="More than 15%",-10,IF(BY10="Less than 15%",10,0))</f>
        <v/>
      </c>
      <c r="CA10" s="25" t="inlineStr">
        <is>
          <t>No</t>
        </is>
      </c>
      <c r="CB10" s="25">
        <f>IF(CA10="Yes, more than 10%",-10,IF(CA10="No",10,0))</f>
        <v/>
      </c>
    </row>
    <row r="11">
      <c r="A11" s="25">
        <f>IF(B11=0,"",RANK(B11,$B$2:$B$23,0))</f>
        <v/>
      </c>
      <c r="B11" s="26">
        <f>SUM(V11,X11,Z11,AB11,AD11,AF11,AH11,AJ11,AL11,AN11,AP11,AR11,AT11,AV11,AX11,AZ11,BB11,BD11,BF11,BH11,BJ11,BL11,BN11,BP11,BR11,BT11,BV11,BX11,BZ11,CB11)</f>
        <v/>
      </c>
      <c r="C11" s="25" t="inlineStr">
        <is>
          <t>52W Breakout</t>
        </is>
      </c>
      <c r="D11" s="26" t="n">
        <v>137.7</v>
      </c>
      <c r="E11" s="25" t="inlineStr">
        <is>
          <t>5%</t>
        </is>
      </c>
      <c r="F11" s="26" t="n">
        <v>50000</v>
      </c>
      <c r="G11" s="26" t="n">
        <v>96</v>
      </c>
      <c r="H11" s="25" t="inlineStr">
        <is>
          <t>SHILPAMED</t>
        </is>
      </c>
      <c r="I11" s="25" t="inlineStr">
        <is>
          <t>Shilpa Medicare Limited</t>
        </is>
      </c>
      <c r="J11" s="25" t="inlineStr">
        <is>
          <t>healthcare</t>
        </is>
      </c>
      <c r="K11" s="25" t="inlineStr">
        <is>
          <t>pharmaceuticals - indian - formulations</t>
        </is>
      </c>
      <c r="L11" s="25" t="inlineStr">
        <is>
          <t>midcap</t>
        </is>
      </c>
      <c r="M11" s="26" t="n">
        <v>9764.42</v>
      </c>
      <c r="N11" s="26" t="n">
        <v>517.35</v>
      </c>
      <c r="O11" s="26" t="n">
        <v>3.63</v>
      </c>
      <c r="P11" s="26" t="n">
        <v>2867786</v>
      </c>
      <c r="Q11" s="26" t="n">
        <v>76.92</v>
      </c>
      <c r="R11" s="26" t="n">
        <v>39.55</v>
      </c>
      <c r="S11" s="26" t="n">
        <v>401.23</v>
      </c>
      <c r="T11" s="25" t="inlineStr">
        <is>
          <t>Near 52W High Breakout</t>
        </is>
      </c>
      <c r="U11" s="25" t="inlineStr">
        <is>
          <t>Growing Industry</t>
        </is>
      </c>
      <c r="V11" s="25">
        <f>IF(U11="Growing Industry",10,IF(U11="Cyclical in an Upturn",5,0))</f>
        <v/>
      </c>
      <c r="W11" s="25" t="inlineStr">
        <is>
          <t>Too Many Players with High ROCE</t>
        </is>
      </c>
      <c r="X11" s="25">
        <f>IF(W11="Monopoly",10,IF(W11="Oligopoly",5,IF(W11="Duopoly that cooperate",10,IF(W11="Duopoly that compete",5,IF(W11="Too many players with High ROCE",5,0)))))</f>
        <v/>
      </c>
      <c r="Y11" s="25" t="inlineStr">
        <is>
          <t>Yes</t>
        </is>
      </c>
      <c r="Z11" s="25">
        <f>IF(Y11="No",5,0)</f>
        <v/>
      </c>
      <c r="AA11" s="25" t="inlineStr">
        <is>
          <t>Tailwind</t>
        </is>
      </c>
      <c r="AB11" s="25">
        <f>IF(AA11="Tailwind",10,0)</f>
        <v/>
      </c>
      <c r="AC11" s="25" t="inlineStr">
        <is>
          <t>Structural (10 Years Consistency)</t>
        </is>
      </c>
      <c r="AD11" s="25">
        <f>IF(AC11="Structural (10 Years Consistency)",10,IF(AC11="Shallow Cyclical (2 to 3 years growth)",5,0))</f>
        <v/>
      </c>
      <c r="AE11" s="25" t="inlineStr">
        <is>
          <t>No</t>
        </is>
      </c>
      <c r="AF11" s="25">
        <f>IF(AE11="Yes due to Product Mix change or Operating Leverage",10,IF(AE11="Yes, these are peak margins",-5,IF(AE11="No",5,0)))</f>
        <v/>
      </c>
      <c r="AG11" s="25" t="inlineStr">
        <is>
          <t>Stable</t>
        </is>
      </c>
      <c r="AH11" s="25">
        <f>IF(AG11="Stable",10,0)</f>
        <v/>
      </c>
      <c r="AI11" s="25" t="inlineStr">
        <is>
          <t>Yes</t>
        </is>
      </c>
      <c r="AJ11" s="25">
        <f>IF(AI11="Yes",10,0)</f>
        <v/>
      </c>
      <c r="AK11" s="25" t="inlineStr">
        <is>
          <t>B2B</t>
        </is>
      </c>
      <c r="AL11" s="25">
        <f>IF(AK11="B2C",10,IF(AK11="B2B",5,0))</f>
        <v/>
      </c>
      <c r="AM11" s="25" t="inlineStr">
        <is>
          <t>Yes</t>
        </is>
      </c>
      <c r="AN11" s="25">
        <f>IF(AM11="Yes",10,0)</f>
        <v/>
      </c>
      <c r="AO11" s="25" t="inlineStr">
        <is>
          <t>Higher Annuity, Lower One Time</t>
        </is>
      </c>
      <c r="AP11" s="25">
        <f>IF(AO11="Fully Annuity",10,IF(AO11="Higher Annuity, Lower One Time",5,IF(AO11="Higher One Time, Lower Annuity",3,0)))</f>
        <v/>
      </c>
      <c r="AQ11" s="25" t="inlineStr">
        <is>
          <t>Good</t>
        </is>
      </c>
      <c r="AR11" s="25">
        <f>IF(AQ11="Good",10,0)</f>
        <v/>
      </c>
      <c r="AS11" s="25" t="inlineStr">
        <is>
          <t>Yes for more than 2 years</t>
        </is>
      </c>
      <c r="AT11" s="25">
        <f>IF(AS11="Yes for more than 2 years",10,IF(AS11="Yes only for next 1 to 2 years",5,0))</f>
        <v/>
      </c>
      <c r="AU11" s="25" t="inlineStr">
        <is>
          <t>20 to 40</t>
        </is>
      </c>
      <c r="AV11" s="25">
        <f>IF(AU11="Above 40",20,IF(AU11="20 to 40",10,IF(AU11="0 to 20",-5,0)))</f>
        <v/>
      </c>
      <c r="AW11" s="25" t="inlineStr">
        <is>
          <t>Above 75</t>
        </is>
      </c>
      <c r="AX11" s="25">
        <f>IF(AW11="Between 50 to 75",10,IF(AW11="Above 75",0,0))</f>
        <v/>
      </c>
      <c r="AY11" s="25" t="inlineStr">
        <is>
          <t>Stage 2</t>
        </is>
      </c>
      <c r="AZ11" s="25">
        <f>IF(AY11="Stage 2",20,IF(AY11="Stage 1",0,IF(AY11="Stage 3",5,IF(AY11="Stage 4",-5,0))))</f>
        <v/>
      </c>
      <c r="BA11" s="25" t="inlineStr">
        <is>
          <t>Positive Trend</t>
        </is>
      </c>
      <c r="BB11" s="25">
        <f>IF(BA11="Positive Trend",20,IF(BA11="Negative Trend",-10,0))</f>
        <v/>
      </c>
      <c r="BC11" s="25" t="inlineStr">
        <is>
          <t>Uptrend</t>
        </is>
      </c>
      <c r="BD11" s="25">
        <f>IF(BC11="Uptrend",10,IF(BC11="Sideways",5,0))</f>
        <v/>
      </c>
      <c r="BE11" s="25" t="inlineStr">
        <is>
          <t>Uptrend</t>
        </is>
      </c>
      <c r="BF11" s="25">
        <f>IF(BE11="Uptrend",10,IF(BE11="Sideways",5,0))</f>
        <v/>
      </c>
      <c r="BG11" s="25" t="inlineStr">
        <is>
          <t>Blue sky scenario</t>
        </is>
      </c>
      <c r="BH11" s="25">
        <f>IF(BG11="Overhead supply in last 2 years in last 2 years",-5,IF(BG11="Close to 52 week high or retracement",5,IF(BG11="Blue sky scenario",10,IF(BG11="Long term Downtrend",-10,0))))</f>
        <v/>
      </c>
      <c r="BI11" s="25" t="inlineStr">
        <is>
          <t>Yes</t>
        </is>
      </c>
      <c r="BJ11" s="25">
        <f>IF(BI11="Yes",10,0)</f>
        <v/>
      </c>
      <c r="BK11" s="25" t="inlineStr">
        <is>
          <t>More than 20%</t>
        </is>
      </c>
      <c r="BL11" s="25">
        <f>IF(BK11="More than 20%",10,IF(BK11="Between 12 to 20%",5,IF(BK11="Less than 12%",0,0)))</f>
        <v/>
      </c>
      <c r="BM11" s="25" t="inlineStr">
        <is>
          <t>No</t>
        </is>
      </c>
      <c r="BN11" s="25">
        <f>IF(BM11="No",10,0)</f>
        <v/>
      </c>
      <c r="BO11" s="25" t="inlineStr">
        <is>
          <t>Yes</t>
        </is>
      </c>
      <c r="BP11" s="25">
        <f>IF(BO11="NO",5,0)</f>
        <v/>
      </c>
      <c r="BQ11" s="25" t="inlineStr">
        <is>
          <t>Less than 1.5</t>
        </is>
      </c>
      <c r="BR11" s="25">
        <f>IF(BQ11="Above 2",0,IF(BQ11="Between 1.5 to 2",5,IF(BQ11="Less than 1.5",10,0)))</f>
        <v/>
      </c>
      <c r="BS11" s="25" t="inlineStr">
        <is>
          <t>Above 70%</t>
        </is>
      </c>
      <c r="BT11" s="25">
        <f>IF(BS11="Above 70%",10,IF(BS11="Between 50% to 70%",5,IF(BS11="Less than 50%",0,IF(BS11="Negative",-10,IF(BS11="Less than 50% and Borrowings are increasing",-5,0)))))</f>
        <v/>
      </c>
      <c r="BU11" s="25" t="inlineStr">
        <is>
          <t>Less than 0.7</t>
        </is>
      </c>
      <c r="BV11" s="25">
        <f>IF(BU11="More than 1.2",-10,IF(BU11="Between 0.7 to 1.2",0,IF(BU11="Less than 0.7",10,0)))</f>
        <v/>
      </c>
      <c r="BW11" s="25" t="inlineStr">
        <is>
          <t>No</t>
        </is>
      </c>
      <c r="BX11" s="25">
        <f>IF(BW11="Yes",-10,0)</f>
        <v/>
      </c>
      <c r="BY11" s="25" t="inlineStr">
        <is>
          <t>Less than 15%</t>
        </is>
      </c>
      <c r="BZ11" s="25">
        <f>IF(BY11="More than 15%",-10,IF(BY11="Less than 15%",10,0))</f>
        <v/>
      </c>
      <c r="CA11" s="25" t="inlineStr">
        <is>
          <t>No</t>
        </is>
      </c>
      <c r="CB11" s="25">
        <f>IF(CA11="Yes, more than 10%",-10,IF(CA11="No",10,0))</f>
        <v/>
      </c>
    </row>
    <row r="12">
      <c r="A12" s="25">
        <f>IF(B12=0,"",RANK(B12,$B$2:$B$23,0))</f>
        <v/>
      </c>
      <c r="B12" s="26">
        <f>SUM(V12,X12,Z12,AB12,AD12,AF12,AH12,AJ12,AL12,AN12,AP12,AR12,AT12,AV12,AX12,AZ12,BB12,BD12,BF12,BH12,BJ12,BL12,BN12,BP12,BR12,BT12,BV12,BX12,BZ12,CB12)</f>
        <v/>
      </c>
      <c r="C12" s="25" t="inlineStr">
        <is>
          <t>52W Breakout</t>
        </is>
      </c>
      <c r="D12" s="26" t="n">
        <v>140</v>
      </c>
      <c r="E12" s="25" t="inlineStr">
        <is>
          <t>5%</t>
        </is>
      </c>
      <c r="F12" s="26" t="n">
        <v>50000</v>
      </c>
      <c r="G12" s="26" t="n">
        <v>84</v>
      </c>
      <c r="H12" s="25" t="inlineStr">
        <is>
          <t>STLTECH</t>
        </is>
      </c>
      <c r="I12" s="25" t="inlineStr">
        <is>
          <t>Sterlite Technologies Limited</t>
        </is>
      </c>
      <c r="J12" s="25" t="inlineStr">
        <is>
          <t>industrials</t>
        </is>
      </c>
      <c r="K12" s="25" t="inlineStr">
        <is>
          <t>cables - telephone</t>
        </is>
      </c>
      <c r="L12" s="25" t="inlineStr">
        <is>
          <t>largecap</t>
        </is>
      </c>
      <c r="M12" s="26" t="n">
        <v>27479.42</v>
      </c>
      <c r="N12" s="26" t="n">
        <v>591.05</v>
      </c>
      <c r="O12" s="26" t="n">
        <v>4.99</v>
      </c>
      <c r="P12" s="26" t="n">
        <v>7891383</v>
      </c>
      <c r="Q12" s="26" t="n">
        <v>95.78</v>
      </c>
      <c r="R12" s="26" t="n">
        <v>76.40000000000001</v>
      </c>
      <c r="S12" s="26" t="n">
        <v>475.05</v>
      </c>
      <c r="T12" s="25" t="inlineStr">
        <is>
          <t>Near 52W High Breakout</t>
        </is>
      </c>
      <c r="U12" s="25" t="inlineStr">
        <is>
          <t>Cyclical in an Upturn</t>
        </is>
      </c>
      <c r="V12" s="25">
        <f>IF(U12="Growing Industry",10,IF(U12="Cyclical in an Upturn",5,0))</f>
        <v/>
      </c>
      <c r="W12" s="25" t="inlineStr">
        <is>
          <t>Too Many Players with High ROCE</t>
        </is>
      </c>
      <c r="X12" s="25">
        <f>IF(W12="Monopoly",10,IF(W12="Oligopoly",5,IF(W12="Duopoly that cooperate",10,IF(W12="Duopoly that compete",5,IF(W12="Too many players with High ROCE",5,0)))))</f>
        <v/>
      </c>
      <c r="Y12" s="25" t="inlineStr">
        <is>
          <t>No</t>
        </is>
      </c>
      <c r="Z12" s="25">
        <f>IF(Y12="No",5,0)</f>
        <v/>
      </c>
      <c r="AA12" s="25" t="inlineStr">
        <is>
          <t>Tailwind</t>
        </is>
      </c>
      <c r="AB12" s="25">
        <f>IF(AA12="Tailwind",10,0)</f>
        <v/>
      </c>
      <c r="AC12" s="25" t="inlineStr">
        <is>
          <t>Structural (10 Years Consistency)</t>
        </is>
      </c>
      <c r="AD12" s="25">
        <f>IF(AC12="Structural (10 Years Consistency)",10,IF(AC12="Shallow Cyclical (2 to 3 years growth)",5,0))</f>
        <v/>
      </c>
      <c r="AE12" s="25" t="inlineStr">
        <is>
          <t>No</t>
        </is>
      </c>
      <c r="AF12" s="25">
        <f>IF(AE12="Yes due to Product Mix change or Operating Leverage",10,IF(AE12="Yes, these are peak margins",-5,IF(AE12="No",5,0)))</f>
        <v/>
      </c>
      <c r="AG12" s="25" t="inlineStr">
        <is>
          <t>Stable</t>
        </is>
      </c>
      <c r="AH12" s="25">
        <f>IF(AG12="Stable",10,0)</f>
        <v/>
      </c>
      <c r="AI12" s="25" t="inlineStr">
        <is>
          <t>Yes</t>
        </is>
      </c>
      <c r="AJ12" s="25">
        <f>IF(AI12="Yes",10,0)</f>
        <v/>
      </c>
      <c r="AK12" s="25" t="inlineStr">
        <is>
          <t>B2B</t>
        </is>
      </c>
      <c r="AL12" s="25">
        <f>IF(AK12="B2C",10,IF(AK12="B2B",5,0))</f>
        <v/>
      </c>
      <c r="AM12" s="25" t="inlineStr">
        <is>
          <t>Yes</t>
        </is>
      </c>
      <c r="AN12" s="25">
        <f>IF(AM12="Yes",10,0)</f>
        <v/>
      </c>
      <c r="AO12" s="25" t="inlineStr">
        <is>
          <t>Higher One Time, Lower Annuity</t>
        </is>
      </c>
      <c r="AP12" s="25">
        <f>IF(AO12="Fully Annuity",10,IF(AO12="Higher Annuity, Lower One Time",5,IF(AO12="Higher One Time, Lower Annuity",3,0)))</f>
        <v/>
      </c>
      <c r="AQ12" s="25" t="inlineStr">
        <is>
          <t>Good</t>
        </is>
      </c>
      <c r="AR12" s="25">
        <f>IF(AQ12="Good",10,0)</f>
        <v/>
      </c>
      <c r="AS12" s="25" t="inlineStr">
        <is>
          <t>Yes for more than 2 years</t>
        </is>
      </c>
      <c r="AT12" s="25">
        <f>IF(AS12="Yes for more than 2 years",10,IF(AS12="Yes only for next 1 to 2 years",5,0))</f>
        <v/>
      </c>
      <c r="AU12" s="25" t="inlineStr">
        <is>
          <t>Above 40</t>
        </is>
      </c>
      <c r="AV12" s="25">
        <f>IF(AU12="Above 40",20,IF(AU12="20 to 40",10,IF(AU12="0 to 20",-5,0)))</f>
        <v/>
      </c>
      <c r="AW12" s="25" t="inlineStr">
        <is>
          <t>Above 75</t>
        </is>
      </c>
      <c r="AX12" s="25">
        <f>IF(AW12="Between 50 to 75",10,IF(AW12="Above 75",0,0))</f>
        <v/>
      </c>
      <c r="AY12" s="25" t="inlineStr">
        <is>
          <t>Stage 2</t>
        </is>
      </c>
      <c r="AZ12" s="25">
        <f>IF(AY12="Stage 2",20,IF(AY12="Stage 1",0,IF(AY12="Stage 3",5,IF(AY12="Stage 4",-5,0))))</f>
        <v/>
      </c>
      <c r="BA12" s="25" t="inlineStr">
        <is>
          <t>Positive Trend</t>
        </is>
      </c>
      <c r="BB12" s="25">
        <f>IF(BA12="Positive Trend",20,IF(BA12="Negative Trend",-10,0))</f>
        <v/>
      </c>
      <c r="BC12" s="25" t="inlineStr">
        <is>
          <t>Uptrend</t>
        </is>
      </c>
      <c r="BD12" s="25">
        <f>IF(BC12="Uptrend",10,IF(BC12="Sideways",5,0))</f>
        <v/>
      </c>
      <c r="BE12" s="25" t="inlineStr">
        <is>
          <t>Uptrend</t>
        </is>
      </c>
      <c r="BF12" s="25">
        <f>IF(BE12="Uptrend",10,IF(BE12="Sideways",5,0))</f>
        <v/>
      </c>
      <c r="BG12" s="25" t="inlineStr">
        <is>
          <t>Blue sky scenario</t>
        </is>
      </c>
      <c r="BH12" s="25">
        <f>IF(BG12="Overhead supply in last 2 years in last 2 years",-5,IF(BG12="Close to 52 week high or retracement",5,IF(BG12="Blue sky scenario",10,IF(BG12="Long term Downtrend",-10,0))))</f>
        <v/>
      </c>
      <c r="BI12" s="25" t="inlineStr">
        <is>
          <t>Yes</t>
        </is>
      </c>
      <c r="BJ12" s="25">
        <f>IF(BI12="Yes",10,0)</f>
        <v/>
      </c>
      <c r="BK12" s="25" t="inlineStr">
        <is>
          <t>More than 20%</t>
        </is>
      </c>
      <c r="BL12" s="25">
        <f>IF(BK12="More than 20%",10,IF(BK12="Between 12 to 20%",5,IF(BK12="Less than 12%",0,0)))</f>
        <v/>
      </c>
      <c r="BM12" s="25" t="inlineStr">
        <is>
          <t>No</t>
        </is>
      </c>
      <c r="BN12" s="25">
        <f>IF(BM12="No",10,0)</f>
        <v/>
      </c>
      <c r="BO12" s="25" t="inlineStr">
        <is>
          <t>Yes</t>
        </is>
      </c>
      <c r="BP12" s="25">
        <f>IF(BO12="NO",5,0)</f>
        <v/>
      </c>
      <c r="BQ12" s="25" t="inlineStr">
        <is>
          <t>Less than 1.5</t>
        </is>
      </c>
      <c r="BR12" s="25">
        <f>IF(BQ12="Above 2",0,IF(BQ12="Between 1.5 to 2",5,IF(BQ12="Less than 1.5",10,0)))</f>
        <v/>
      </c>
      <c r="BS12" s="25" t="inlineStr">
        <is>
          <t>Above 70%</t>
        </is>
      </c>
      <c r="BT12" s="25">
        <f>IF(BS12="Above 70%",10,IF(BS12="Between 50% to 70%",5,IF(BS12="Less than 50%",0,IF(BS12="Negative",-10,IF(BS12="Less than 50% and Borrowings are increasing",-5,0)))))</f>
        <v/>
      </c>
      <c r="BU12" s="25" t="inlineStr">
        <is>
          <t>Between 0.7 to 1.2</t>
        </is>
      </c>
      <c r="BV12" s="25">
        <f>IF(BU12="More than 1.2",-10,IF(BU12="Between 0.7 to 1.2",0,IF(BU12="Less than 0.7",10,0)))</f>
        <v/>
      </c>
      <c r="BW12" s="25" t="inlineStr">
        <is>
          <t>No</t>
        </is>
      </c>
      <c r="BX12" s="25">
        <f>IF(BW12="Yes",-10,0)</f>
        <v/>
      </c>
      <c r="BY12" s="25" t="inlineStr">
        <is>
          <t>Less than 15%</t>
        </is>
      </c>
      <c r="BZ12" s="25">
        <f>IF(BY12="More than 15%",-10,IF(BY12="Less than 15%",10,0))</f>
        <v/>
      </c>
      <c r="CA12" s="25" t="inlineStr">
        <is>
          <t>No</t>
        </is>
      </c>
      <c r="CB12" s="25">
        <f>IF(CA12="Yes, more than 10%",-10,IF(CA12="No",10,0))</f>
        <v/>
      </c>
    </row>
    <row r="13">
      <c r="A13" s="25">
        <f>IF(B13=0,"",RANK(B13,$B$2:$B$23,0))</f>
        <v/>
      </c>
      <c r="B13" s="26">
        <f>SUM(V13,X13,Z13,AB13,AD13,AF13,AH13,AJ13,AL13,AN13,AP13,AR13,AT13,AV13,AX13,AZ13,BB13,BD13,BF13,BH13,BJ13,BL13,BN13,BP13,BR13,BT13,BV13,BX13,BZ13,CB13)</f>
        <v/>
      </c>
      <c r="C13" s="25" t="inlineStr">
        <is>
          <t>52W Breakout</t>
        </is>
      </c>
      <c r="D13" s="26" t="n">
        <v>139.6</v>
      </c>
      <c r="E13" s="25" t="inlineStr">
        <is>
          <t>5%</t>
        </is>
      </c>
      <c r="F13" s="26" t="n">
        <v>50000</v>
      </c>
      <c r="G13" s="26" t="n">
        <v>99</v>
      </c>
      <c r="H13" s="25" t="inlineStr">
        <is>
          <t>ARVIND</t>
        </is>
      </c>
      <c r="I13" s="25" t="inlineStr">
        <is>
          <t>Arvind Limited</t>
        </is>
      </c>
      <c r="J13" s="25" t="inlineStr">
        <is>
          <t>textiles</t>
        </is>
      </c>
      <c r="K13" s="25" t="inlineStr">
        <is>
          <t>textiles - cotton/blended</t>
        </is>
      </c>
      <c r="L13" s="25" t="inlineStr">
        <is>
          <t>midcap</t>
        </is>
      </c>
      <c r="M13" s="26" t="n">
        <v>12559.22</v>
      </c>
      <c r="N13" s="26" t="n">
        <v>500.65</v>
      </c>
      <c r="O13" s="26" t="n">
        <v>4.49</v>
      </c>
      <c r="P13" s="26" t="n">
        <v>1476167</v>
      </c>
      <c r="Q13" s="26" t="n">
        <v>77.08</v>
      </c>
      <c r="R13" s="26" t="n">
        <v>33.68</v>
      </c>
      <c r="S13" s="26" t="n">
        <v>401.9</v>
      </c>
      <c r="T13" s="25" t="inlineStr">
        <is>
          <t>Near 52W High Breakout</t>
        </is>
      </c>
      <c r="U13" s="25" t="inlineStr">
        <is>
          <t>Growing Industry</t>
        </is>
      </c>
      <c r="V13" s="25">
        <f>IF(U13="Growing Industry",10,IF(U13="Cyclical in an Upturn",5,0))</f>
        <v/>
      </c>
      <c r="W13" s="25" t="inlineStr">
        <is>
          <t>Too Many Players with High ROCE</t>
        </is>
      </c>
      <c r="X13" s="25">
        <f>IF(W13="Monopoly",10,IF(W13="Oligopoly",5,IF(W13="Duopoly that cooperate",10,IF(W13="Duopoly that compete",5,IF(W13="Too many players with High ROCE",5,0)))))</f>
        <v/>
      </c>
      <c r="Y13" s="25" t="inlineStr">
        <is>
          <t>No</t>
        </is>
      </c>
      <c r="Z13" s="25">
        <f>IF(Y13="No",5,0)</f>
        <v/>
      </c>
      <c r="AA13" s="25" t="inlineStr">
        <is>
          <t>Tailwind</t>
        </is>
      </c>
      <c r="AB13" s="25">
        <f>IF(AA13="Tailwind",10,0)</f>
        <v/>
      </c>
      <c r="AC13" s="25" t="inlineStr">
        <is>
          <t>Structural (10 Years Consistency)</t>
        </is>
      </c>
      <c r="AD13" s="25">
        <f>IF(AC13="Structural (10 Years Consistency)",10,IF(AC13="Shallow Cyclical (2 to 3 years growth)",5,0))</f>
        <v/>
      </c>
      <c r="AE13" s="25" t="inlineStr">
        <is>
          <t>No</t>
        </is>
      </c>
      <c r="AF13" s="25">
        <f>IF(AE13="Yes due to Product Mix change or Operating Leverage",10,IF(AE13="Yes, these are peak margins",-5,IF(AE13="No",5,0)))</f>
        <v/>
      </c>
      <c r="AG13" s="25" t="inlineStr">
        <is>
          <t>Stable</t>
        </is>
      </c>
      <c r="AH13" s="25">
        <f>IF(AG13="Stable",10,0)</f>
        <v/>
      </c>
      <c r="AI13" s="25" t="inlineStr">
        <is>
          <t>Yes</t>
        </is>
      </c>
      <c r="AJ13" s="25">
        <f>IF(AI13="Yes",10,0)</f>
        <v/>
      </c>
      <c r="AK13" s="25" t="inlineStr">
        <is>
          <t>B2B</t>
        </is>
      </c>
      <c r="AL13" s="25">
        <f>IF(AK13="B2C",10,IF(AK13="B2B",5,0))</f>
        <v/>
      </c>
      <c r="AM13" s="25" t="inlineStr">
        <is>
          <t>Yes</t>
        </is>
      </c>
      <c r="AN13" s="25">
        <f>IF(AM13="Yes",10,0)</f>
        <v/>
      </c>
      <c r="AO13" s="25" t="inlineStr">
        <is>
          <t>Higher One Time, Lower Annuity</t>
        </is>
      </c>
      <c r="AP13" s="25">
        <f>IF(AO13="Fully Annuity",10,IF(AO13="Higher Annuity, Lower One Time",5,IF(AO13="Higher One Time, Lower Annuity",3,0)))</f>
        <v/>
      </c>
      <c r="AQ13" s="25" t="inlineStr">
        <is>
          <t>Good</t>
        </is>
      </c>
      <c r="AR13" s="25">
        <f>IF(AQ13="Good",10,0)</f>
        <v/>
      </c>
      <c r="AS13" s="25" t="inlineStr">
        <is>
          <t>Yes for more than 2 years</t>
        </is>
      </c>
      <c r="AT13" s="25">
        <f>IF(AS13="Yes for more than 2 years",10,IF(AS13="Yes only for next 1 to 2 years",5,0))</f>
        <v/>
      </c>
      <c r="AU13" s="25" t="inlineStr">
        <is>
          <t>20 to 40</t>
        </is>
      </c>
      <c r="AV13" s="25">
        <f>IF(AU13="Above 40",20,IF(AU13="20 to 40",10,IF(AU13="0 to 20",-5,0)))</f>
        <v/>
      </c>
      <c r="AW13" s="25" t="inlineStr">
        <is>
          <t>Above 75</t>
        </is>
      </c>
      <c r="AX13" s="25">
        <f>IF(AW13="Between 50 to 75",10,IF(AW13="Above 75",0,0))</f>
        <v/>
      </c>
      <c r="AY13" s="25" t="inlineStr">
        <is>
          <t>Stage 2</t>
        </is>
      </c>
      <c r="AZ13" s="25">
        <f>IF(AY13="Stage 2",20,IF(AY13="Stage 1",0,IF(AY13="Stage 3",5,IF(AY13="Stage 4",-5,0))))</f>
        <v/>
      </c>
      <c r="BA13" s="25" t="inlineStr">
        <is>
          <t>Positive Trend</t>
        </is>
      </c>
      <c r="BB13" s="25">
        <f>IF(BA13="Positive Trend",20,IF(BA13="Negative Trend",-10,0))</f>
        <v/>
      </c>
      <c r="BC13" s="25" t="inlineStr">
        <is>
          <t>Uptrend</t>
        </is>
      </c>
      <c r="BD13" s="25">
        <f>IF(BC13="Uptrend",10,IF(BC13="Sideways",5,0))</f>
        <v/>
      </c>
      <c r="BE13" s="25" t="inlineStr">
        <is>
          <t>Uptrend</t>
        </is>
      </c>
      <c r="BF13" s="25">
        <f>IF(BE13="Uptrend",10,IF(BE13="Sideways",5,0))</f>
        <v/>
      </c>
      <c r="BG13" s="25" t="inlineStr">
        <is>
          <t>Blue sky scenario</t>
        </is>
      </c>
      <c r="BH13" s="25">
        <f>IF(BG13="Overhead supply in last 2 years in last 2 years",-5,IF(BG13="Close to 52 week high or retracement",5,IF(BG13="Blue sky scenario",10,IF(BG13="Long term Downtrend",-10,0))))</f>
        <v/>
      </c>
      <c r="BI13" s="25" t="inlineStr">
        <is>
          <t>Yes</t>
        </is>
      </c>
      <c r="BJ13" s="25">
        <f>IF(BI13="Yes",10,0)</f>
        <v/>
      </c>
      <c r="BK13" s="25" t="inlineStr">
        <is>
          <t>Less than 12%</t>
        </is>
      </c>
      <c r="BL13" s="25">
        <f>IF(BK13="More than 20%",10,IF(BK13="Between 12 to 20%",5,IF(BK13="Less than 12%",0,0)))</f>
        <v/>
      </c>
      <c r="BM13" s="25" t="inlineStr">
        <is>
          <t>No</t>
        </is>
      </c>
      <c r="BN13" s="25">
        <f>IF(BM13="No",10,0)</f>
        <v/>
      </c>
      <c r="BO13" s="25" t="inlineStr">
        <is>
          <t>No</t>
        </is>
      </c>
      <c r="BP13" s="25">
        <f>IF(BO13="NO",5,0)</f>
        <v/>
      </c>
      <c r="BQ13" s="25" t="inlineStr">
        <is>
          <t>Less than 1.5</t>
        </is>
      </c>
      <c r="BR13" s="25">
        <f>IF(BQ13="Above 2",0,IF(BQ13="Between 1.5 to 2",5,IF(BQ13="Less than 1.5",10,0)))</f>
        <v/>
      </c>
      <c r="BS13" s="25" t="inlineStr">
        <is>
          <t>Above 70%</t>
        </is>
      </c>
      <c r="BT13" s="25">
        <f>IF(BS13="Above 70%",10,IF(BS13="Between 50% to 70%",5,IF(BS13="Less than 50%",0,IF(BS13="Negative",-10,IF(BS13="Less than 50% and Borrowings are increasing",-5,0)))))</f>
        <v/>
      </c>
      <c r="BU13" s="25" t="inlineStr">
        <is>
          <t>Less than 0.7</t>
        </is>
      </c>
      <c r="BV13" s="25">
        <f>IF(BU13="More than 1.2",-10,IF(BU13="Between 0.7 to 1.2",0,IF(BU13="Less than 0.7",10,0)))</f>
        <v/>
      </c>
      <c r="BW13" s="25" t="inlineStr">
        <is>
          <t>No</t>
        </is>
      </c>
      <c r="BX13" s="25">
        <f>IF(BW13="Yes",-10,0)</f>
        <v/>
      </c>
      <c r="BY13" s="25" t="inlineStr">
        <is>
          <t>Less than 15%</t>
        </is>
      </c>
      <c r="BZ13" s="25">
        <f>IF(BY13="More than 15%",-10,IF(BY13="Less than 15%",10,0))</f>
        <v/>
      </c>
      <c r="CA13" s="25" t="inlineStr">
        <is>
          <t>No</t>
        </is>
      </c>
      <c r="CB13" s="25">
        <f>IF(CA13="Yes, more than 10%",-10,IF(CA13="No",10,0))</f>
        <v/>
      </c>
    </row>
    <row r="14">
      <c r="A14" s="25">
        <f>IF(B14=0,"",RANK(B14,$B$2:$B$23,0))</f>
        <v/>
      </c>
      <c r="B14" s="26">
        <f>SUM(V14,X14,Z14,AB14,AD14,AF14,AH14,AJ14,AL14,AN14,AP14,AR14,AT14,AV14,AX14,AZ14,BB14,BD14,BF14,BH14,BJ14,BL14,BN14,BP14,BR14,BT14,BV14,BX14,BZ14,CB14)</f>
        <v/>
      </c>
      <c r="C14" s="25" t="inlineStr">
        <is>
          <t>52W Breakout</t>
        </is>
      </c>
      <c r="D14" s="26" t="n">
        <v>137</v>
      </c>
      <c r="E14" s="25" t="inlineStr">
        <is>
          <t>5%</t>
        </is>
      </c>
      <c r="F14" s="26" t="n">
        <v>50000</v>
      </c>
      <c r="G14" s="26" t="n">
        <v>79</v>
      </c>
      <c r="H14" s="25" t="inlineStr">
        <is>
          <t>MINDACORP</t>
        </is>
      </c>
      <c r="I14" s="25" t="inlineStr">
        <is>
          <t>Minda Corporation Limited</t>
        </is>
      </c>
      <c r="J14" s="25" t="inlineStr">
        <is>
          <t>auto</t>
        </is>
      </c>
      <c r="K14" s="25" t="inlineStr">
        <is>
          <t>auto ancillaries</t>
        </is>
      </c>
      <c r="L14" s="25" t="inlineStr">
        <is>
          <t>midcap</t>
        </is>
      </c>
      <c r="M14" s="26" t="n">
        <v>14794.24</v>
      </c>
      <c r="N14" s="26" t="n">
        <v>629.85</v>
      </c>
      <c r="O14" s="26" t="n">
        <v>1.79</v>
      </c>
      <c r="P14" s="26" t="n">
        <v>572134</v>
      </c>
      <c r="Q14" s="26" t="n">
        <v>63.99</v>
      </c>
      <c r="R14" s="26" t="n">
        <v>19.13</v>
      </c>
      <c r="S14" s="26" t="n">
        <v>502.48</v>
      </c>
      <c r="T14" s="25" t="inlineStr">
        <is>
          <t>Near 52W High Breakout</t>
        </is>
      </c>
      <c r="U14" s="25" t="inlineStr">
        <is>
          <t>Growing Industry</t>
        </is>
      </c>
      <c r="V14" s="25">
        <f>IF(U14="Growing Industry",10,IF(U14="Cyclical in an Upturn",5,0))</f>
        <v/>
      </c>
      <c r="W14" s="25" t="inlineStr">
        <is>
          <t>Too Many Players with High ROCE</t>
        </is>
      </c>
      <c r="X14" s="25">
        <f>IF(W14="Monopoly",10,IF(W14="Oligopoly",5,IF(W14="Duopoly that cooperate",10,IF(W14="Duopoly that compete",5,IF(W14="Too many players with High ROCE",5,0)))))</f>
        <v/>
      </c>
      <c r="Y14" s="25" t="inlineStr">
        <is>
          <t>No</t>
        </is>
      </c>
      <c r="Z14" s="25">
        <f>IF(Y14="No",5,0)</f>
        <v/>
      </c>
      <c r="AA14" s="25" t="inlineStr">
        <is>
          <t>Tailwind</t>
        </is>
      </c>
      <c r="AB14" s="25">
        <f>IF(AA14="Tailwind",10,0)</f>
        <v/>
      </c>
      <c r="AC14" s="25" t="inlineStr">
        <is>
          <t>Structural (10 Years Consistency)</t>
        </is>
      </c>
      <c r="AD14" s="25">
        <f>IF(AC14="Structural (10 Years Consistency)",10,IF(AC14="Shallow Cyclical (2 to 3 years growth)",5,0))</f>
        <v/>
      </c>
      <c r="AE14" s="25" t="inlineStr">
        <is>
          <t>No</t>
        </is>
      </c>
      <c r="AF14" s="25">
        <f>IF(AE14="Yes due to Product Mix change or Operating Leverage",10,IF(AE14="Yes, these are peak margins",-5,IF(AE14="No",5,0)))</f>
        <v/>
      </c>
      <c r="AG14" s="25" t="inlineStr">
        <is>
          <t>Stable</t>
        </is>
      </c>
      <c r="AH14" s="25">
        <f>IF(AG14="Stable",10,0)</f>
        <v/>
      </c>
      <c r="AI14" s="25" t="inlineStr">
        <is>
          <t>Yes</t>
        </is>
      </c>
      <c r="AJ14" s="25">
        <f>IF(AI14="Yes",10,0)</f>
        <v/>
      </c>
      <c r="AK14" s="25" t="inlineStr">
        <is>
          <t>B2B</t>
        </is>
      </c>
      <c r="AL14" s="25">
        <f>IF(AK14="B2C",10,IF(AK14="B2B",5,0))</f>
        <v/>
      </c>
      <c r="AM14" s="25" t="inlineStr">
        <is>
          <t>Yes</t>
        </is>
      </c>
      <c r="AN14" s="25">
        <f>IF(AM14="Yes",10,0)</f>
        <v/>
      </c>
      <c r="AO14" s="25" t="inlineStr">
        <is>
          <t>Higher One Time, Lower Annuity</t>
        </is>
      </c>
      <c r="AP14" s="25">
        <f>IF(AO14="Fully Annuity",10,IF(AO14="Higher Annuity, Lower One Time",5,IF(AO14="Higher One Time, Lower Annuity",3,0)))</f>
        <v/>
      </c>
      <c r="AQ14" s="25" t="inlineStr">
        <is>
          <t>Good</t>
        </is>
      </c>
      <c r="AR14" s="25">
        <f>IF(AQ14="Good",10,0)</f>
        <v/>
      </c>
      <c r="AS14" s="25" t="inlineStr">
        <is>
          <t>Yes for more than 2 years</t>
        </is>
      </c>
      <c r="AT14" s="25">
        <f>IF(AS14="Yes for more than 2 years",10,IF(AS14="Yes only for next 1 to 2 years",5,0))</f>
        <v/>
      </c>
      <c r="AU14" s="25" t="inlineStr">
        <is>
          <t>0 to 20</t>
        </is>
      </c>
      <c r="AV14" s="25">
        <f>IF(AU14="Above 40",20,IF(AU14="20 to 40",10,IF(AU14="0 to 20",-5,0)))</f>
        <v/>
      </c>
      <c r="AW14" s="25" t="inlineStr">
        <is>
          <t>Between 50 to 75</t>
        </is>
      </c>
      <c r="AX14" s="25">
        <f>IF(AW14="Between 50 to 75",10,IF(AW14="Above 75",0,0))</f>
        <v/>
      </c>
      <c r="AY14" s="25" t="inlineStr">
        <is>
          <t>Stage 2</t>
        </is>
      </c>
      <c r="AZ14" s="25">
        <f>IF(AY14="Stage 2",20,IF(AY14="Stage 1",0,IF(AY14="Stage 3",5,IF(AY14="Stage 4",-5,0))))</f>
        <v/>
      </c>
      <c r="BA14" s="25" t="inlineStr">
        <is>
          <t>Positive Trend</t>
        </is>
      </c>
      <c r="BB14" s="25">
        <f>IF(BA14="Positive Trend",20,IF(BA14="Negative Trend",-10,0))</f>
        <v/>
      </c>
      <c r="BC14" s="25" t="inlineStr">
        <is>
          <t>Uptrend</t>
        </is>
      </c>
      <c r="BD14" s="25">
        <f>IF(BC14="Uptrend",10,IF(BC14="Sideways",5,0))</f>
        <v/>
      </c>
      <c r="BE14" s="25" t="inlineStr">
        <is>
          <t>Uptrend</t>
        </is>
      </c>
      <c r="BF14" s="25">
        <f>IF(BE14="Uptrend",10,IF(BE14="Sideways",5,0))</f>
        <v/>
      </c>
      <c r="BG14" s="25" t="inlineStr">
        <is>
          <t>Blue sky scenario</t>
        </is>
      </c>
      <c r="BH14" s="25">
        <f>IF(BG14="Overhead supply in last 2 years in last 2 years",-5,IF(BG14="Close to 52 week high or retracement",5,IF(BG14="Blue sky scenario",10,IF(BG14="Long term Downtrend",-10,0))))</f>
        <v/>
      </c>
      <c r="BI14" s="25" t="inlineStr">
        <is>
          <t>Yes</t>
        </is>
      </c>
      <c r="BJ14" s="25">
        <f>IF(BI14="Yes",10,0)</f>
        <v/>
      </c>
      <c r="BK14" s="25" t="inlineStr">
        <is>
          <t>More than 20%</t>
        </is>
      </c>
      <c r="BL14" s="25">
        <f>IF(BK14="More than 20%",10,IF(BK14="Between 12 to 20%",5,IF(BK14="Less than 12%",0,0)))</f>
        <v/>
      </c>
      <c r="BM14" s="25" t="inlineStr">
        <is>
          <t>No</t>
        </is>
      </c>
      <c r="BN14" s="25">
        <f>IF(BM14="No",10,0)</f>
        <v/>
      </c>
      <c r="BO14" s="25" t="inlineStr">
        <is>
          <t>Yes</t>
        </is>
      </c>
      <c r="BP14" s="25">
        <f>IF(BO14="NO",5,0)</f>
        <v/>
      </c>
      <c r="BQ14" s="25" t="inlineStr">
        <is>
          <t>Less than 1.5</t>
        </is>
      </c>
      <c r="BR14" s="25">
        <f>IF(BQ14="Above 2",0,IF(BQ14="Between 1.5 to 2",5,IF(BQ14="Less than 1.5",10,0)))</f>
        <v/>
      </c>
      <c r="BS14" s="25" t="inlineStr">
        <is>
          <t>Above 70%</t>
        </is>
      </c>
      <c r="BT14" s="25">
        <f>IF(BS14="Above 70%",10,IF(BS14="Between 50% to 70%",5,IF(BS14="Less than 50%",0,IF(BS14="Negative",-10,IF(BS14="Less than 50% and Borrowings are increasing",-5,0)))))</f>
        <v/>
      </c>
      <c r="BU14" s="25" t="inlineStr">
        <is>
          <t>Less than 0.7</t>
        </is>
      </c>
      <c r="BV14" s="25">
        <f>IF(BU14="More than 1.2",-10,IF(BU14="Between 0.7 to 1.2",0,IF(BU14="Less than 0.7",10,0)))</f>
        <v/>
      </c>
      <c r="BW14" s="25" t="inlineStr">
        <is>
          <t>No</t>
        </is>
      </c>
      <c r="BX14" s="25">
        <f>IF(BW14="Yes",-10,0)</f>
        <v/>
      </c>
      <c r="BY14" s="25" t="inlineStr">
        <is>
          <t>Less than 15%</t>
        </is>
      </c>
      <c r="BZ14" s="25">
        <f>IF(BY14="More than 15%",-10,IF(BY14="Less than 15%",10,0))</f>
        <v/>
      </c>
      <c r="CA14" s="25" t="inlineStr">
        <is>
          <t>No</t>
        </is>
      </c>
      <c r="CB14" s="25">
        <f>IF(CA14="Yes, more than 10%",-10,IF(CA14="No",10,0))</f>
        <v/>
      </c>
    </row>
    <row r="15">
      <c r="A15" s="25">
        <f>IF(B15=0,"",RANK(B15,$B$2:$B$23,0))</f>
        <v/>
      </c>
      <c r="B15" s="26">
        <f>SUM(V15,X15,Z15,AB15,AD15,AF15,AH15,AJ15,AL15,AN15,AP15,AR15,AT15,AV15,AX15,AZ15,BB15,BD15,BF15,BH15,BJ15,BL15,BN15,BP15,BR15,BT15,BV15,BX15,BZ15,CB15)</f>
        <v/>
      </c>
      <c r="C15" s="25" t="inlineStr">
        <is>
          <t>52W Breakout</t>
        </is>
      </c>
      <c r="D15" s="26" t="n">
        <v>140</v>
      </c>
      <c r="E15" s="25" t="inlineStr">
        <is>
          <t>5%</t>
        </is>
      </c>
      <c r="F15" s="26" t="n">
        <v>50000</v>
      </c>
      <c r="G15" s="26" t="n">
        <v>396</v>
      </c>
      <c r="H15" s="25" t="inlineStr">
        <is>
          <t>JAYBARMARU</t>
        </is>
      </c>
      <c r="I15" s="25" t="inlineStr">
        <is>
          <t>Jay Bharat Maruti Limited</t>
        </is>
      </c>
      <c r="J15" s="25" t="inlineStr">
        <is>
          <t>auto</t>
        </is>
      </c>
      <c r="K15" s="25" t="inlineStr">
        <is>
          <t>auto ancillaries</t>
        </is>
      </c>
      <c r="L15" s="25" t="inlineStr">
        <is>
          <t>smallcap</t>
        </is>
      </c>
      <c r="M15" s="26" t="n">
        <v>1241.41</v>
      </c>
      <c r="N15" s="26" t="n">
        <v>126.14</v>
      </c>
      <c r="O15" s="26" t="n">
        <v>9.99</v>
      </c>
      <c r="P15" s="26" t="n">
        <v>1586981</v>
      </c>
      <c r="Q15" s="26" t="n">
        <v>64.84999999999999</v>
      </c>
      <c r="R15" s="26" t="n">
        <v>15.02</v>
      </c>
      <c r="S15" s="26" t="n">
        <v>89.67</v>
      </c>
      <c r="T15" s="25" t="inlineStr">
        <is>
          <t>Near 52W High Breakout</t>
        </is>
      </c>
      <c r="U15" s="25" t="inlineStr">
        <is>
          <t>Growing Industry</t>
        </is>
      </c>
      <c r="V15" s="25">
        <f>IF(U15="Growing Industry",10,IF(U15="Cyclical in an Upturn",5,0))</f>
        <v/>
      </c>
      <c r="W15" s="25" t="inlineStr">
        <is>
          <t>Too Many Players with High ROCE</t>
        </is>
      </c>
      <c r="X15" s="25">
        <f>IF(W15="Monopoly",10,IF(W15="Oligopoly",5,IF(W15="Duopoly that cooperate",10,IF(W15="Duopoly that compete",5,IF(W15="Too many players with High ROCE",5,0)))))</f>
        <v/>
      </c>
      <c r="Y15" s="25" t="inlineStr">
        <is>
          <t>No</t>
        </is>
      </c>
      <c r="Z15" s="25">
        <f>IF(Y15="No",5,0)</f>
        <v/>
      </c>
      <c r="AA15" s="25" t="inlineStr">
        <is>
          <t>Tailwind</t>
        </is>
      </c>
      <c r="AB15" s="25">
        <f>IF(AA15="Tailwind",10,0)</f>
        <v/>
      </c>
      <c r="AC15" s="25" t="inlineStr">
        <is>
          <t>Structural (10 Years Consistency)</t>
        </is>
      </c>
      <c r="AD15" s="25">
        <f>IF(AC15="Structural (10 Years Consistency)",10,IF(AC15="Shallow Cyclical (2 to 3 years growth)",5,0))</f>
        <v/>
      </c>
      <c r="AE15" s="25" t="inlineStr">
        <is>
          <t>No</t>
        </is>
      </c>
      <c r="AF15" s="25">
        <f>IF(AE15="Yes due to Product Mix change or Operating Leverage",10,IF(AE15="Yes, these are peak margins",-5,IF(AE15="No",5,0)))</f>
        <v/>
      </c>
      <c r="AG15" s="25" t="inlineStr">
        <is>
          <t>Stable</t>
        </is>
      </c>
      <c r="AH15" s="25">
        <f>IF(AG15="Stable",10,0)</f>
        <v/>
      </c>
      <c r="AI15" s="25" t="inlineStr">
        <is>
          <t>Yes</t>
        </is>
      </c>
      <c r="AJ15" s="25">
        <f>IF(AI15="Yes",10,0)</f>
        <v/>
      </c>
      <c r="AK15" s="25" t="inlineStr">
        <is>
          <t>B2B</t>
        </is>
      </c>
      <c r="AL15" s="25">
        <f>IF(AK15="B2C",10,IF(AK15="B2B",5,0))</f>
        <v/>
      </c>
      <c r="AM15" s="25" t="inlineStr">
        <is>
          <t>Yes</t>
        </is>
      </c>
      <c r="AN15" s="25">
        <f>IF(AM15="Yes",10,0)</f>
        <v/>
      </c>
      <c r="AO15" s="25" t="inlineStr">
        <is>
          <t>Higher One Time, Lower Annuity</t>
        </is>
      </c>
      <c r="AP15" s="25">
        <f>IF(AO15="Fully Annuity",10,IF(AO15="Higher Annuity, Lower One Time",5,IF(AO15="Higher One Time, Lower Annuity",3,0)))</f>
        <v/>
      </c>
      <c r="AQ15" s="25" t="inlineStr">
        <is>
          <t>Good</t>
        </is>
      </c>
      <c r="AR15" s="25">
        <f>IF(AQ15="Good",10,0)</f>
        <v/>
      </c>
      <c r="AS15" s="25" t="inlineStr">
        <is>
          <t>Yes for more than 2 years</t>
        </is>
      </c>
      <c r="AT15" s="25">
        <f>IF(AS15="Yes for more than 2 years",10,IF(AS15="Yes only for next 1 to 2 years",5,0))</f>
        <v/>
      </c>
      <c r="AU15" s="25" t="inlineStr">
        <is>
          <t>0 to 20</t>
        </is>
      </c>
      <c r="AV15" s="25">
        <f>IF(AU15="Above 40",20,IF(AU15="20 to 40",10,IF(AU15="0 to 20",-5,0)))</f>
        <v/>
      </c>
      <c r="AW15" s="25" t="inlineStr">
        <is>
          <t>Between 50 to 75</t>
        </is>
      </c>
      <c r="AX15" s="25">
        <f>IF(AW15="Between 50 to 75",10,IF(AW15="Above 75",0,0))</f>
        <v/>
      </c>
      <c r="AY15" s="25" t="inlineStr">
        <is>
          <t>Stage 2</t>
        </is>
      </c>
      <c r="AZ15" s="25">
        <f>IF(AY15="Stage 2",20,IF(AY15="Stage 1",0,IF(AY15="Stage 3",5,IF(AY15="Stage 4",-5,0))))</f>
        <v/>
      </c>
      <c r="BA15" s="25" t="inlineStr">
        <is>
          <t>Positive Trend</t>
        </is>
      </c>
      <c r="BB15" s="25">
        <f>IF(BA15="Positive Trend",20,IF(BA15="Negative Trend",-10,0))</f>
        <v/>
      </c>
      <c r="BC15" s="25" t="inlineStr">
        <is>
          <t>Uptrend</t>
        </is>
      </c>
      <c r="BD15" s="25">
        <f>IF(BC15="Uptrend",10,IF(BC15="Sideways",5,0))</f>
        <v/>
      </c>
      <c r="BE15" s="25" t="inlineStr">
        <is>
          <t>Uptrend</t>
        </is>
      </c>
      <c r="BF15" s="25">
        <f>IF(BE15="Uptrend",10,IF(BE15="Sideways",5,0))</f>
        <v/>
      </c>
      <c r="BG15" s="25" t="inlineStr">
        <is>
          <t>Blue sky scenario</t>
        </is>
      </c>
      <c r="BH15" s="25">
        <f>IF(BG15="Overhead supply in last 2 years in last 2 years",-5,IF(BG15="Close to 52 week high or retracement",5,IF(BG15="Blue sky scenario",10,IF(BG15="Long term Downtrend",-10,0))))</f>
        <v/>
      </c>
      <c r="BI15" s="25" t="inlineStr">
        <is>
          <t>Yes</t>
        </is>
      </c>
      <c r="BJ15" s="25">
        <f>IF(BI15="Yes",10,0)</f>
        <v/>
      </c>
      <c r="BK15" s="25" t="inlineStr">
        <is>
          <t>More than 20%</t>
        </is>
      </c>
      <c r="BL15" s="25">
        <f>IF(BK15="More than 20%",10,IF(BK15="Between 12 to 20%",5,IF(BK15="Less than 12%",0,0)))</f>
        <v/>
      </c>
      <c r="BM15" s="25" t="inlineStr">
        <is>
          <t>No</t>
        </is>
      </c>
      <c r="BN15" s="25">
        <f>IF(BM15="No",10,0)</f>
        <v/>
      </c>
      <c r="BO15" s="25" t="inlineStr">
        <is>
          <t>No</t>
        </is>
      </c>
      <c r="BP15" s="25">
        <f>IF(BO15="NO",5,0)</f>
        <v/>
      </c>
      <c r="BQ15" s="25" t="inlineStr">
        <is>
          <t>Less than 1.5</t>
        </is>
      </c>
      <c r="BR15" s="25">
        <f>IF(BQ15="Above 2",0,IF(BQ15="Between 1.5 to 2",5,IF(BQ15="Less than 1.5",10,0)))</f>
        <v/>
      </c>
      <c r="BS15" s="25" t="inlineStr">
        <is>
          <t>Between 50% to 70%</t>
        </is>
      </c>
      <c r="BT15" s="25">
        <f>IF(BS15="Above 70%",10,IF(BS15="Between 50% to 70%",5,IF(BS15="Less than 50%",0,IF(BS15="Negative",-10,IF(BS15="Less than 50% and Borrowings are increasing",-5,0)))))</f>
        <v/>
      </c>
      <c r="BU15" s="25" t="inlineStr">
        <is>
          <t>Between 0.7 to 1.2</t>
        </is>
      </c>
      <c r="BV15" s="25">
        <f>IF(BU15="More than 1.2",-10,IF(BU15="Between 0.7 to 1.2",0,IF(BU15="Less than 0.7",10,0)))</f>
        <v/>
      </c>
      <c r="BW15" s="25" t="inlineStr">
        <is>
          <t>No</t>
        </is>
      </c>
      <c r="BX15" s="25">
        <f>IF(BW15="Yes",-10,0)</f>
        <v/>
      </c>
      <c r="BY15" s="25" t="inlineStr">
        <is>
          <t>Less than 15%</t>
        </is>
      </c>
      <c r="BZ15" s="25">
        <f>IF(BY15="More than 15%",-10,IF(BY15="Less than 15%",10,0))</f>
        <v/>
      </c>
      <c r="CA15" s="25" t="inlineStr">
        <is>
          <t>No</t>
        </is>
      </c>
      <c r="CB15" s="25">
        <f>IF(CA15="Yes, more than 10%",-10,IF(CA15="No",10,0))</f>
        <v/>
      </c>
    </row>
    <row r="16">
      <c r="A16" s="25">
        <f>IF(B16=0,"",RANK(B16,$B$2:$B$23,0))</f>
        <v/>
      </c>
      <c r="B16" s="26">
        <f>SUM(V16,X16,Z16,AB16,AD16,AF16,AH16,AJ16,AL16,AN16,AP16,AR16,AT16,AV16,AX16,AZ16,BB16,BD16,BF16,BH16,BJ16,BL16,BN16,BP16,BR16,BT16,BV16,BX16,BZ16,CB16)</f>
        <v/>
      </c>
      <c r="C16" s="25" t="inlineStr">
        <is>
          <t>52W Breakout</t>
        </is>
      </c>
      <c r="D16" s="26" t="n">
        <v>139.2</v>
      </c>
      <c r="E16" s="25" t="inlineStr">
        <is>
          <t>5%</t>
        </is>
      </c>
      <c r="F16" s="26" t="n">
        <v>50000</v>
      </c>
      <c r="G16" s="26" t="n">
        <v>263</v>
      </c>
      <c r="H16" s="25" t="inlineStr">
        <is>
          <t>HFCL</t>
        </is>
      </c>
      <c r="I16" s="25" t="inlineStr">
        <is>
          <t>HFCL Ltd</t>
        </is>
      </c>
      <c r="J16" s="25" t="inlineStr">
        <is>
          <t>telecom</t>
        </is>
      </c>
      <c r="K16" s="25" t="inlineStr">
        <is>
          <t>cables - telephone</t>
        </is>
      </c>
      <c r="L16" s="25" t="inlineStr">
        <is>
          <t>largecap</t>
        </is>
      </c>
      <c r="M16" s="26" t="n">
        <v>27899.82</v>
      </c>
      <c r="N16" s="26" t="n">
        <v>189.94</v>
      </c>
      <c r="O16" s="26" t="n">
        <v>4.2</v>
      </c>
      <c r="P16" s="26" t="n">
        <v>64857457</v>
      </c>
      <c r="Q16" s="26" t="n">
        <v>91.89</v>
      </c>
      <c r="R16" s="26" t="n">
        <v>43.85</v>
      </c>
      <c r="S16" s="26" t="n">
        <v>149.9</v>
      </c>
      <c r="T16" s="25" t="inlineStr">
        <is>
          <t>Near 52W High Breakout</t>
        </is>
      </c>
      <c r="U16" s="25" t="inlineStr">
        <is>
          <t>Growing Industry</t>
        </is>
      </c>
      <c r="V16" s="25">
        <f>IF(U16="Growing Industry",10,IF(U16="Cyclical in an Upturn",5,0))</f>
        <v/>
      </c>
      <c r="W16" s="25" t="inlineStr">
        <is>
          <t>Oligopoly</t>
        </is>
      </c>
      <c r="X16" s="25">
        <f>IF(W16="Monopoly",10,IF(W16="Oligopoly",5,IF(W16="Duopoly that cooperate",10,IF(W16="Duopoly that compete",5,IF(W16="Too many players with High ROCE",5,0)))))</f>
        <v/>
      </c>
      <c r="Y16" s="25" t="inlineStr">
        <is>
          <t>Yes</t>
        </is>
      </c>
      <c r="Z16" s="25">
        <f>IF(Y16="No",5,0)</f>
        <v/>
      </c>
      <c r="AA16" s="25" t="inlineStr">
        <is>
          <t>Tailwind</t>
        </is>
      </c>
      <c r="AB16" s="25">
        <f>IF(AA16="Tailwind",10,0)</f>
        <v/>
      </c>
      <c r="AC16" s="25" t="inlineStr">
        <is>
          <t>Structural (10 Years Consistency)</t>
        </is>
      </c>
      <c r="AD16" s="25">
        <f>IF(AC16="Structural (10 Years Consistency)",10,IF(AC16="Shallow Cyclical (2 to 3 years growth)",5,0))</f>
        <v/>
      </c>
      <c r="AE16" s="25" t="inlineStr">
        <is>
          <t>No</t>
        </is>
      </c>
      <c r="AF16" s="25">
        <f>IF(AE16="Yes due to Product Mix change or Operating Leverage",10,IF(AE16="Yes, these are peak margins",-5,IF(AE16="No",5,0)))</f>
        <v/>
      </c>
      <c r="AG16" s="25" t="inlineStr">
        <is>
          <t>Stable</t>
        </is>
      </c>
      <c r="AH16" s="25">
        <f>IF(AG16="Stable",10,0)</f>
        <v/>
      </c>
      <c r="AI16" s="25" t="inlineStr">
        <is>
          <t>Yes</t>
        </is>
      </c>
      <c r="AJ16" s="25">
        <f>IF(AI16="Yes",10,0)</f>
        <v/>
      </c>
      <c r="AK16" s="25" t="inlineStr">
        <is>
          <t>B2B</t>
        </is>
      </c>
      <c r="AL16" s="25">
        <f>IF(AK16="B2C",10,IF(AK16="B2B",5,0))</f>
        <v/>
      </c>
      <c r="AM16" s="25" t="inlineStr">
        <is>
          <t>Yes</t>
        </is>
      </c>
      <c r="AN16" s="25">
        <f>IF(AM16="Yes",10,0)</f>
        <v/>
      </c>
      <c r="AO16" s="25" t="inlineStr">
        <is>
          <t>Higher One Time, Lower Annuity</t>
        </is>
      </c>
      <c r="AP16" s="25">
        <f>IF(AO16="Fully Annuity",10,IF(AO16="Higher Annuity, Lower One Time",5,IF(AO16="Higher One Time, Lower Annuity",3,0)))</f>
        <v/>
      </c>
      <c r="AQ16" s="25" t="inlineStr">
        <is>
          <t>Good</t>
        </is>
      </c>
      <c r="AR16" s="25">
        <f>IF(AQ16="Good",10,0)</f>
        <v/>
      </c>
      <c r="AS16" s="25" t="inlineStr">
        <is>
          <t>Yes for more than 2 years</t>
        </is>
      </c>
      <c r="AT16" s="25">
        <f>IF(AS16="Yes for more than 2 years",10,IF(AS16="Yes only for next 1 to 2 years",5,0))</f>
        <v/>
      </c>
      <c r="AU16" s="25" t="inlineStr">
        <is>
          <t>Above 40</t>
        </is>
      </c>
      <c r="AV16" s="25">
        <f>IF(AU16="Above 40",20,IF(AU16="20 to 40",10,IF(AU16="0 to 20",-5,0)))</f>
        <v/>
      </c>
      <c r="AW16" s="25" t="inlineStr">
        <is>
          <t>Above 75</t>
        </is>
      </c>
      <c r="AX16" s="25">
        <f>IF(AW16="Between 50 to 75",10,IF(AW16="Above 75",0,0))</f>
        <v/>
      </c>
      <c r="AY16" s="25" t="inlineStr">
        <is>
          <t>Stage 2</t>
        </is>
      </c>
      <c r="AZ16" s="25">
        <f>IF(AY16="Stage 2",20,IF(AY16="Stage 1",0,IF(AY16="Stage 3",5,IF(AY16="Stage 4",-5,0))))</f>
        <v/>
      </c>
      <c r="BA16" s="25" t="inlineStr">
        <is>
          <t>Positive Trend</t>
        </is>
      </c>
      <c r="BB16" s="25">
        <f>IF(BA16="Positive Trend",20,IF(BA16="Negative Trend",-10,0))</f>
        <v/>
      </c>
      <c r="BC16" s="25" t="inlineStr">
        <is>
          <t>Uptrend</t>
        </is>
      </c>
      <c r="BD16" s="25">
        <f>IF(BC16="Uptrend",10,IF(BC16="Sideways",5,0))</f>
        <v/>
      </c>
      <c r="BE16" s="25" t="inlineStr">
        <is>
          <t>Uptrend</t>
        </is>
      </c>
      <c r="BF16" s="25">
        <f>IF(BE16="Uptrend",10,IF(BE16="Sideways",5,0))</f>
        <v/>
      </c>
      <c r="BG16" s="25" t="inlineStr">
        <is>
          <t>Blue sky scenario</t>
        </is>
      </c>
      <c r="BH16" s="25">
        <f>IF(BG16="Overhead supply in last 2 years in last 2 years",-5,IF(BG16="Close to 52 week high or retracement",5,IF(BG16="Blue sky scenario",10,IF(BG16="Long term Downtrend",-10,0))))</f>
        <v/>
      </c>
      <c r="BI16" s="25" t="inlineStr">
        <is>
          <t>Yes</t>
        </is>
      </c>
      <c r="BJ16" s="25">
        <f>IF(BI16="Yes",10,0)</f>
        <v/>
      </c>
      <c r="BK16" s="25" t="inlineStr">
        <is>
          <t>More than 20%</t>
        </is>
      </c>
      <c r="BL16" s="25">
        <f>IF(BK16="More than 20%",10,IF(BK16="Between 12 to 20%",5,IF(BK16="Less than 12%",0,0)))</f>
        <v/>
      </c>
      <c r="BM16" s="25" t="inlineStr">
        <is>
          <t>No</t>
        </is>
      </c>
      <c r="BN16" s="25">
        <f>IF(BM16="No",10,0)</f>
        <v/>
      </c>
      <c r="BO16" s="25" t="inlineStr">
        <is>
          <t>Yes</t>
        </is>
      </c>
      <c r="BP16" s="25">
        <f>IF(BO16="NO",5,0)</f>
        <v/>
      </c>
      <c r="BQ16" s="25" t="inlineStr">
        <is>
          <t>Less than 1.5</t>
        </is>
      </c>
      <c r="BR16" s="25">
        <f>IF(BQ16="Above 2",0,IF(BQ16="Between 1.5 to 2",5,IF(BQ16="Less than 1.5",10,0)))</f>
        <v/>
      </c>
      <c r="BS16" s="25" t="inlineStr">
        <is>
          <t>Negative</t>
        </is>
      </c>
      <c r="BT16" s="25">
        <f>IF(BS16="Above 70%",10,IF(BS16="Between 50% to 70%",5,IF(BS16="Less than 50%",0,IF(BS16="Negative",-10,IF(BS16="Less than 50% and Borrowings are increasing",-5,0)))))</f>
        <v/>
      </c>
      <c r="BU16" s="25" t="inlineStr">
        <is>
          <t>Less than 0.7</t>
        </is>
      </c>
      <c r="BV16" s="25">
        <f>IF(BU16="More than 1.2",-10,IF(BU16="Between 0.7 to 1.2",0,IF(BU16="Less than 0.7",10,0)))</f>
        <v/>
      </c>
      <c r="BW16" s="25" t="inlineStr">
        <is>
          <t>No</t>
        </is>
      </c>
      <c r="BX16" s="25">
        <f>IF(BW16="Yes",-10,0)</f>
        <v/>
      </c>
      <c r="BY16" s="25" t="inlineStr">
        <is>
          <t>Less than 15%</t>
        </is>
      </c>
      <c r="BZ16" s="25">
        <f>IF(BY16="More than 15%",-10,IF(BY16="Less than 15%",10,0))</f>
        <v/>
      </c>
      <c r="CA16" s="25" t="inlineStr">
        <is>
          <t>No</t>
        </is>
      </c>
      <c r="CB16" s="25">
        <f>IF(CA16="Yes, more than 10%",-10,IF(CA16="No",10,0))</f>
        <v/>
      </c>
    </row>
    <row r="17">
      <c r="A17" s="25">
        <f>IF(B17=0,"",RANK(B17,$B$2:$B$23,0))</f>
        <v/>
      </c>
      <c r="B17" s="26">
        <f>SUM(V17,X17,Z17,AB17,AD17,AF17,AH17,AJ17,AL17,AN17,AP17,AR17,AT17,AV17,AX17,AZ17,BB17,BD17,BF17,BH17,BJ17,BL17,BN17,BP17,BR17,BT17,BV17,BX17,BZ17,CB17)</f>
        <v/>
      </c>
      <c r="C17" s="25" t="inlineStr">
        <is>
          <t>52W Breakout</t>
        </is>
      </c>
      <c r="D17" s="26" t="n">
        <v>138.7</v>
      </c>
      <c r="E17" s="25" t="inlineStr">
        <is>
          <t>5%</t>
        </is>
      </c>
      <c r="F17" s="26" t="n">
        <v>50000</v>
      </c>
      <c r="G17" s="26" t="n">
        <v>89</v>
      </c>
      <c r="H17" s="25" t="inlineStr">
        <is>
          <t>SKYGOLD</t>
        </is>
      </c>
      <c r="I17" s="25" t="inlineStr">
        <is>
          <t>Sky Gold Ltd</t>
        </is>
      </c>
      <c r="J17" s="25" t="inlineStr">
        <is>
          <t>consumer discretionary</t>
        </is>
      </c>
      <c r="K17" s="25" t="inlineStr">
        <is>
          <t>diamond cutting / jewellery</t>
        </is>
      </c>
      <c r="L17" s="25" t="inlineStr">
        <is>
          <t>midcap</t>
        </is>
      </c>
      <c r="M17" s="26" t="n">
        <v>8084.42</v>
      </c>
      <c r="N17" s="26" t="n">
        <v>559.7</v>
      </c>
      <c r="O17" s="26" t="n">
        <v>7.22</v>
      </c>
      <c r="P17" s="26" t="n">
        <v>3085263</v>
      </c>
      <c r="Q17" s="26" t="n">
        <v>69.42</v>
      </c>
      <c r="R17" s="26" t="n">
        <v>31.12</v>
      </c>
      <c r="S17" s="26" t="n">
        <v>407.73</v>
      </c>
      <c r="T17" s="25" t="inlineStr">
        <is>
          <t>Near 52W High Breakout</t>
        </is>
      </c>
      <c r="U17" s="25" t="inlineStr">
        <is>
          <t>Growing Industry</t>
        </is>
      </c>
      <c r="V17" s="25">
        <f>IF(U17="Growing Industry",10,IF(U17="Cyclical in an Upturn",5,0))</f>
        <v/>
      </c>
      <c r="W17" s="25" t="inlineStr">
        <is>
          <t>Too Many Players with High ROCE</t>
        </is>
      </c>
      <c r="X17" s="25">
        <f>IF(W17="Monopoly",10,IF(W17="Oligopoly",5,IF(W17="Duopoly that cooperate",10,IF(W17="Duopoly that compete",5,IF(W17="Too many players with High ROCE",5,0)))))</f>
        <v/>
      </c>
      <c r="Y17" s="25" t="inlineStr">
        <is>
          <t>No</t>
        </is>
      </c>
      <c r="Z17" s="25">
        <f>IF(Y17="No",5,0)</f>
        <v/>
      </c>
      <c r="AA17" s="25" t="inlineStr">
        <is>
          <t>Tailwind</t>
        </is>
      </c>
      <c r="AB17" s="25">
        <f>IF(AA17="Tailwind",10,0)</f>
        <v/>
      </c>
      <c r="AC17" s="25" t="inlineStr">
        <is>
          <t>Structural (10 Years Consistency)</t>
        </is>
      </c>
      <c r="AD17" s="25">
        <f>IF(AC17="Structural (10 Years Consistency)",10,IF(AC17="Shallow Cyclical (2 to 3 years growth)",5,0))</f>
        <v/>
      </c>
      <c r="AE17" s="25" t="inlineStr">
        <is>
          <t>No</t>
        </is>
      </c>
      <c r="AF17" s="25">
        <f>IF(AE17="Yes due to Product Mix change or Operating Leverage",10,IF(AE17="Yes, these are peak margins",-5,IF(AE17="No",5,0)))</f>
        <v/>
      </c>
      <c r="AG17" s="25" t="inlineStr">
        <is>
          <t>Stable</t>
        </is>
      </c>
      <c r="AH17" s="25">
        <f>IF(AG17="Stable",10,0)</f>
        <v/>
      </c>
      <c r="AI17" s="25" t="inlineStr">
        <is>
          <t>Yes</t>
        </is>
      </c>
      <c r="AJ17" s="25">
        <f>IF(AI17="Yes",10,0)</f>
        <v/>
      </c>
      <c r="AK17" s="25" t="inlineStr">
        <is>
          <t>B2B</t>
        </is>
      </c>
      <c r="AL17" s="25">
        <f>IF(AK17="B2C",10,IF(AK17="B2B",5,0))</f>
        <v/>
      </c>
      <c r="AM17" s="25" t="inlineStr">
        <is>
          <t>Yes</t>
        </is>
      </c>
      <c r="AN17" s="25">
        <f>IF(AM17="Yes",10,0)</f>
        <v/>
      </c>
      <c r="AO17" s="25" t="inlineStr">
        <is>
          <t>Higher One Time, Lower Annuity</t>
        </is>
      </c>
      <c r="AP17" s="25">
        <f>IF(AO17="Fully Annuity",10,IF(AO17="Higher Annuity, Lower One Time",5,IF(AO17="Higher One Time, Lower Annuity",3,0)))</f>
        <v/>
      </c>
      <c r="AQ17" s="25" t="inlineStr">
        <is>
          <t>Good</t>
        </is>
      </c>
      <c r="AR17" s="25">
        <f>IF(AQ17="Good",10,0)</f>
        <v/>
      </c>
      <c r="AS17" s="25" t="inlineStr">
        <is>
          <t>Yes for more than 2 years</t>
        </is>
      </c>
      <c r="AT17" s="25">
        <f>IF(AS17="Yes for more than 2 years",10,IF(AS17="Yes only for next 1 to 2 years",5,0))</f>
        <v/>
      </c>
      <c r="AU17" s="25" t="inlineStr">
        <is>
          <t>20 to 40</t>
        </is>
      </c>
      <c r="AV17" s="25">
        <f>IF(AU17="Above 40",20,IF(AU17="20 to 40",10,IF(AU17="0 to 20",-5,0)))</f>
        <v/>
      </c>
      <c r="AW17" s="25" t="inlineStr">
        <is>
          <t>Between 50 to 75</t>
        </is>
      </c>
      <c r="AX17" s="25">
        <f>IF(AW17="Between 50 to 75",10,IF(AW17="Above 75",0,0))</f>
        <v/>
      </c>
      <c r="AY17" s="25" t="inlineStr">
        <is>
          <t>Stage 2</t>
        </is>
      </c>
      <c r="AZ17" s="25">
        <f>IF(AY17="Stage 2",20,IF(AY17="Stage 1",0,IF(AY17="Stage 3",5,IF(AY17="Stage 4",-5,0))))</f>
        <v/>
      </c>
      <c r="BA17" s="25" t="inlineStr">
        <is>
          <t>Positive Trend</t>
        </is>
      </c>
      <c r="BB17" s="25">
        <f>IF(BA17="Positive Trend",20,IF(BA17="Negative Trend",-10,0))</f>
        <v/>
      </c>
      <c r="BC17" s="25" t="inlineStr">
        <is>
          <t>Uptrend</t>
        </is>
      </c>
      <c r="BD17" s="25">
        <f>IF(BC17="Uptrend",10,IF(BC17="Sideways",5,0))</f>
        <v/>
      </c>
      <c r="BE17" s="25" t="inlineStr">
        <is>
          <t>Uptrend</t>
        </is>
      </c>
      <c r="BF17" s="25">
        <f>IF(BE17="Uptrend",10,IF(BE17="Sideways",5,0))</f>
        <v/>
      </c>
      <c r="BG17" s="25" t="inlineStr">
        <is>
          <t>Blue sky scenario</t>
        </is>
      </c>
      <c r="BH17" s="25">
        <f>IF(BG17="Overhead supply in last 2 years in last 2 years",-5,IF(BG17="Close to 52 week high or retracement",5,IF(BG17="Blue sky scenario",10,IF(BG17="Long term Downtrend",-10,0))))</f>
        <v/>
      </c>
      <c r="BI17" s="25" t="inlineStr">
        <is>
          <t>Yes</t>
        </is>
      </c>
      <c r="BJ17" s="25">
        <f>IF(BI17="Yes",10,0)</f>
        <v/>
      </c>
      <c r="BK17" s="25" t="inlineStr">
        <is>
          <t>More than 20%</t>
        </is>
      </c>
      <c r="BL17" s="25">
        <f>IF(BK17="More than 20%",10,IF(BK17="Between 12 to 20%",5,IF(BK17="Less than 12%",0,0)))</f>
        <v/>
      </c>
      <c r="BM17" s="25" t="inlineStr">
        <is>
          <t>No</t>
        </is>
      </c>
      <c r="BN17" s="25">
        <f>IF(BM17="No",10,0)</f>
        <v/>
      </c>
      <c r="BO17" s="25" t="inlineStr">
        <is>
          <t>No</t>
        </is>
      </c>
      <c r="BP17" s="25">
        <f>IF(BO17="NO",5,0)</f>
        <v/>
      </c>
      <c r="BQ17" s="25" t="inlineStr">
        <is>
          <t>Less than 1.5</t>
        </is>
      </c>
      <c r="BR17" s="25">
        <f>IF(BQ17="Above 2",0,IF(BQ17="Between 1.5 to 2",5,IF(BQ17="Less than 1.5",10,0)))</f>
        <v/>
      </c>
      <c r="BS17" s="25" t="inlineStr">
        <is>
          <t>Negative</t>
        </is>
      </c>
      <c r="BT17" s="25">
        <f>IF(BS17="Above 70%",10,IF(BS17="Between 50% to 70%",5,IF(BS17="Less than 50%",0,IF(BS17="Negative",-10,IF(BS17="Less than 50% and Borrowings are increasing",-5,0)))))</f>
        <v/>
      </c>
      <c r="BU17" s="25" t="inlineStr">
        <is>
          <t>Between 0.7 to 1.2</t>
        </is>
      </c>
      <c r="BV17" s="25">
        <f>IF(BU17="More than 1.2",-10,IF(BU17="Between 0.7 to 1.2",0,IF(BU17="Less than 0.7",10,0)))</f>
        <v/>
      </c>
      <c r="BW17" s="25" t="inlineStr">
        <is>
          <t>No</t>
        </is>
      </c>
      <c r="BX17" s="25">
        <f>IF(BW17="Yes",-10,0)</f>
        <v/>
      </c>
      <c r="BY17" s="25" t="inlineStr">
        <is>
          <t>Less than 15%</t>
        </is>
      </c>
      <c r="BZ17" s="25">
        <f>IF(BY17="More than 15%",-10,IF(BY17="Less than 15%",10,0))</f>
        <v/>
      </c>
      <c r="CA17" s="25" t="inlineStr">
        <is>
          <t>No</t>
        </is>
      </c>
      <c r="CB17" s="25">
        <f>IF(CA17="Yes, more than 10%",-10,IF(CA17="No",10,0))</f>
        <v/>
      </c>
    </row>
    <row r="18">
      <c r="A18" s="25">
        <f>IF(B18=0,"",RANK(B18,$B$2:$B$23,0))</f>
        <v/>
      </c>
      <c r="B18" s="26">
        <f>SUM(V18,X18,Z18,AB18,AD18,AF18,AH18,AJ18,AL18,AN18,AP18,AR18,AT18,AV18,AX18,AZ18,BB18,BD18,BF18,BH18,BJ18,BL18,BN18,BP18,BR18,BT18,BV18,BX18,BZ18,CB18)</f>
        <v/>
      </c>
      <c r="C18" s="25" t="inlineStr">
        <is>
          <t>52W Breakout</t>
        </is>
      </c>
      <c r="D18" s="26" t="n">
        <v>137.1</v>
      </c>
      <c r="E18" s="25" t="inlineStr">
        <is>
          <t>5%</t>
        </is>
      </c>
      <c r="F18" s="26" t="n">
        <v>50000</v>
      </c>
      <c r="G18" s="26" t="n">
        <v>1180</v>
      </c>
      <c r="H18" s="25" t="inlineStr">
        <is>
          <t>FCL</t>
        </is>
      </c>
      <c r="I18" s="25" t="inlineStr">
        <is>
          <t>Fineotex Chemical Limited</t>
        </is>
      </c>
      <c r="J18" s="25" t="inlineStr">
        <is>
          <t>chemicals</t>
        </is>
      </c>
      <c r="K18" s="25" t="inlineStr">
        <is>
          <t>chemicals</t>
        </is>
      </c>
      <c r="L18" s="25" t="inlineStr">
        <is>
          <t>smallcap</t>
        </is>
      </c>
      <c r="M18" s="26" t="n">
        <v>4761.64</v>
      </c>
      <c r="N18" s="26" t="n">
        <v>42.36</v>
      </c>
      <c r="O18" s="26" t="n">
        <v>3.6</v>
      </c>
      <c r="P18" s="26" t="n">
        <v>31485151</v>
      </c>
      <c r="Q18" s="26" t="n">
        <v>77.95999999999999</v>
      </c>
      <c r="R18" s="26" t="n">
        <v>27.63</v>
      </c>
      <c r="S18" s="26" t="n">
        <v>32.1</v>
      </c>
      <c r="T18" s="25" t="inlineStr">
        <is>
          <t>Near 52W High Breakout</t>
        </is>
      </c>
      <c r="U18" s="25" t="inlineStr">
        <is>
          <t>Growing Industry</t>
        </is>
      </c>
      <c r="V18" s="25">
        <f>IF(U18="Growing Industry",10,IF(U18="Cyclical in an Upturn",5,0))</f>
        <v/>
      </c>
      <c r="W18" s="25" t="inlineStr">
        <is>
          <t>Too Many Players with High ROCE</t>
        </is>
      </c>
      <c r="X18" s="25">
        <f>IF(W18="Monopoly",10,IF(W18="Oligopoly",5,IF(W18="Duopoly that cooperate",10,IF(W18="Duopoly that compete",5,IF(W18="Too many players with High ROCE",5,0)))))</f>
        <v/>
      </c>
      <c r="Y18" s="25" t="inlineStr">
        <is>
          <t>No</t>
        </is>
      </c>
      <c r="Z18" s="25">
        <f>IF(Y18="No",5,0)</f>
        <v/>
      </c>
      <c r="AA18" s="25" t="inlineStr">
        <is>
          <t>Tailwind</t>
        </is>
      </c>
      <c r="AB18" s="25">
        <f>IF(AA18="Tailwind",10,0)</f>
        <v/>
      </c>
      <c r="AC18" s="25" t="inlineStr">
        <is>
          <t>Structural (10 Years Consistency)</t>
        </is>
      </c>
      <c r="AD18" s="25">
        <f>IF(AC18="Structural (10 Years Consistency)",10,IF(AC18="Shallow Cyclical (2 to 3 years growth)",5,0))</f>
        <v/>
      </c>
      <c r="AE18" s="25" t="inlineStr">
        <is>
          <t>No</t>
        </is>
      </c>
      <c r="AF18" s="25">
        <f>IF(AE18="Yes due to Product Mix change or Operating Leverage",10,IF(AE18="Yes, these are peak margins",-5,IF(AE18="No",5,0)))</f>
        <v/>
      </c>
      <c r="AG18" s="25" t="inlineStr">
        <is>
          <t>Stable</t>
        </is>
      </c>
      <c r="AH18" s="25">
        <f>IF(AG18="Stable",10,0)</f>
        <v/>
      </c>
      <c r="AI18" s="25" t="inlineStr">
        <is>
          <t>Yes</t>
        </is>
      </c>
      <c r="AJ18" s="25">
        <f>IF(AI18="Yes",10,0)</f>
        <v/>
      </c>
      <c r="AK18" s="25" t="inlineStr">
        <is>
          <t>B2B</t>
        </is>
      </c>
      <c r="AL18" s="25">
        <f>IF(AK18="B2C",10,IF(AK18="B2B",5,0))</f>
        <v/>
      </c>
      <c r="AM18" s="25" t="inlineStr">
        <is>
          <t>Yes</t>
        </is>
      </c>
      <c r="AN18" s="25">
        <f>IF(AM18="Yes",10,0)</f>
        <v/>
      </c>
      <c r="AO18" s="25" t="inlineStr">
        <is>
          <t>Higher One Time, Lower Annuity</t>
        </is>
      </c>
      <c r="AP18" s="25">
        <f>IF(AO18="Fully Annuity",10,IF(AO18="Higher Annuity, Lower One Time",5,IF(AO18="Higher One Time, Lower Annuity",3,0)))</f>
        <v/>
      </c>
      <c r="AQ18" s="25" t="inlineStr">
        <is>
          <t>Good</t>
        </is>
      </c>
      <c r="AR18" s="25">
        <f>IF(AQ18="Good",10,0)</f>
        <v/>
      </c>
      <c r="AS18" s="25" t="inlineStr">
        <is>
          <t>Yes for more than 2 years</t>
        </is>
      </c>
      <c r="AT18" s="25">
        <f>IF(AS18="Yes for more than 2 years",10,IF(AS18="Yes only for next 1 to 2 years",5,0))</f>
        <v/>
      </c>
      <c r="AU18" s="25" t="inlineStr">
        <is>
          <t>20 to 40</t>
        </is>
      </c>
      <c r="AV18" s="25">
        <f>IF(AU18="Above 40",20,IF(AU18="20 to 40",10,IF(AU18="0 to 20",-5,0)))</f>
        <v/>
      </c>
      <c r="AW18" s="25" t="inlineStr">
        <is>
          <t>Above 75</t>
        </is>
      </c>
      <c r="AX18" s="25">
        <f>IF(AW18="Between 50 to 75",10,IF(AW18="Above 75",0,0))</f>
        <v/>
      </c>
      <c r="AY18" s="25" t="inlineStr">
        <is>
          <t>Stage 2</t>
        </is>
      </c>
      <c r="AZ18" s="25">
        <f>IF(AY18="Stage 2",20,IF(AY18="Stage 1",0,IF(AY18="Stage 3",5,IF(AY18="Stage 4",-5,0))))</f>
        <v/>
      </c>
      <c r="BA18" s="25" t="inlineStr">
        <is>
          <t>Positive Trend</t>
        </is>
      </c>
      <c r="BB18" s="25">
        <f>IF(BA18="Positive Trend",20,IF(BA18="Negative Trend",-10,0))</f>
        <v/>
      </c>
      <c r="BC18" s="25" t="inlineStr">
        <is>
          <t>Uptrend</t>
        </is>
      </c>
      <c r="BD18" s="25">
        <f>IF(BC18="Uptrend",10,IF(BC18="Sideways",5,0))</f>
        <v/>
      </c>
      <c r="BE18" s="25" t="inlineStr">
        <is>
          <t>Uptrend</t>
        </is>
      </c>
      <c r="BF18" s="25">
        <f>IF(BE18="Uptrend",10,IF(BE18="Sideways",5,0))</f>
        <v/>
      </c>
      <c r="BG18" s="25" t="inlineStr">
        <is>
          <t>Blue sky scenario</t>
        </is>
      </c>
      <c r="BH18" s="25">
        <f>IF(BG18="Overhead supply in last 2 years in last 2 years",-5,IF(BG18="Close to 52 week high or retracement",5,IF(BG18="Blue sky scenario",10,IF(BG18="Long term Downtrend",-10,0))))</f>
        <v/>
      </c>
      <c r="BI18" s="25" t="inlineStr">
        <is>
          <t>Yes</t>
        </is>
      </c>
      <c r="BJ18" s="25">
        <f>IF(BI18="Yes",10,0)</f>
        <v/>
      </c>
      <c r="BK18" s="25" t="inlineStr">
        <is>
          <t>More than 20%</t>
        </is>
      </c>
      <c r="BL18" s="25">
        <f>IF(BK18="More than 20%",10,IF(BK18="Between 12 to 20%",5,IF(BK18="Less than 12%",0,0)))</f>
        <v/>
      </c>
      <c r="BM18" s="25" t="inlineStr">
        <is>
          <t>No</t>
        </is>
      </c>
      <c r="BN18" s="25">
        <f>IF(BM18="No",10,0)</f>
        <v/>
      </c>
      <c r="BO18" s="25" t="inlineStr">
        <is>
          <t>No</t>
        </is>
      </c>
      <c r="BP18" s="25">
        <f>IF(BO18="NO",5,0)</f>
        <v/>
      </c>
      <c r="BQ18" s="25" t="inlineStr">
        <is>
          <t>Less than 1.5</t>
        </is>
      </c>
      <c r="BR18" s="25">
        <f>IF(BQ18="Above 2",0,IF(BQ18="Between 1.5 to 2",5,IF(BQ18="Less than 1.5",10,0)))</f>
        <v/>
      </c>
      <c r="BS18" s="25" t="inlineStr">
        <is>
          <t>Negative</t>
        </is>
      </c>
      <c r="BT18" s="25">
        <f>IF(BS18="Above 70%",10,IF(BS18="Between 50% to 70%",5,IF(BS18="Less than 50%",0,IF(BS18="Negative",-10,IF(BS18="Less than 50% and Borrowings are increasing",-5,0)))))</f>
        <v/>
      </c>
      <c r="BU18" s="25" t="inlineStr">
        <is>
          <t>Less than 0.7</t>
        </is>
      </c>
      <c r="BV18" s="25">
        <f>IF(BU18="More than 1.2",-10,IF(BU18="Between 0.7 to 1.2",0,IF(BU18="Less than 0.7",10,0)))</f>
        <v/>
      </c>
      <c r="BW18" s="25" t="inlineStr">
        <is>
          <t>No</t>
        </is>
      </c>
      <c r="BX18" s="25">
        <f>IF(BW18="Yes",-10,0)</f>
        <v/>
      </c>
      <c r="BY18" s="25" t="inlineStr">
        <is>
          <t>Less than 15%</t>
        </is>
      </c>
      <c r="BZ18" s="25">
        <f>IF(BY18="More than 15%",-10,IF(BY18="Less than 15%",10,0))</f>
        <v/>
      </c>
      <c r="CA18" s="25" t="inlineStr">
        <is>
          <t>No</t>
        </is>
      </c>
      <c r="CB18" s="25">
        <f>IF(CA18="Yes, more than 10%",-10,IF(CA18="No",10,0))</f>
        <v/>
      </c>
    </row>
    <row r="19">
      <c r="A19" s="25">
        <f>IF(B19=0,"",RANK(B19,$B$2:$B$23,0))</f>
        <v/>
      </c>
      <c r="B19" s="26">
        <f>SUM(V19,X19,Z19,AB19,AD19,AF19,AH19,AJ19,AL19,AN19,AP19,AR19,AT19,AV19,AX19,AZ19,BB19,BD19,BF19,BH19,BJ19,BL19,BN19,BP19,BR19,BT19,BV19,BX19,BZ19,CB19)</f>
        <v/>
      </c>
      <c r="C19" s="25" t="inlineStr">
        <is>
          <t>52W Breakout</t>
        </is>
      </c>
      <c r="D19" s="26" t="n">
        <v>138.7</v>
      </c>
      <c r="E19" s="25" t="inlineStr">
        <is>
          <t>5%</t>
        </is>
      </c>
      <c r="F19" s="26" t="n">
        <v>50000</v>
      </c>
      <c r="G19" s="26" t="n">
        <v>38</v>
      </c>
      <c r="H19" s="25" t="inlineStr">
        <is>
          <t>JSWSTEEL</t>
        </is>
      </c>
      <c r="I19" s="25" t="inlineStr">
        <is>
          <t>Jsw Steel Limited</t>
        </is>
      </c>
      <c r="J19" s="25" t="inlineStr">
        <is>
          <t>metals &amp; mining</t>
        </is>
      </c>
      <c r="K19" s="25" t="inlineStr">
        <is>
          <t>steel - large</t>
        </is>
      </c>
      <c r="L19" s="25" t="inlineStr">
        <is>
          <t>largecap</t>
        </is>
      </c>
      <c r="M19" s="26" t="n">
        <v>317762.29</v>
      </c>
      <c r="N19" s="26" t="n">
        <v>1310.8</v>
      </c>
      <c r="O19" s="26" t="n">
        <v>0.88</v>
      </c>
      <c r="P19" s="26" t="n">
        <v>1602109</v>
      </c>
      <c r="Q19" s="26" t="n">
        <v>64.95</v>
      </c>
      <c r="R19" s="26" t="n">
        <v>24.39</v>
      </c>
      <c r="S19" s="26" t="n">
        <v>1133.9</v>
      </c>
      <c r="T19" s="25" t="inlineStr">
        <is>
          <t>Near 52W High Breakout</t>
        </is>
      </c>
      <c r="U19" s="25" t="inlineStr">
        <is>
          <t>Cyclical in an Upturn</t>
        </is>
      </c>
      <c r="V19" s="25">
        <f>IF(U19="Growing Industry",10,IF(U19="Cyclical in an Upturn",5,0))</f>
        <v/>
      </c>
      <c r="W19" s="25" t="inlineStr">
        <is>
          <t>Too Many Players with High ROCE</t>
        </is>
      </c>
      <c r="X19" s="25">
        <f>IF(W19="Monopoly",10,IF(W19="Oligopoly",5,IF(W19="Duopoly that cooperate",10,IF(W19="Duopoly that compete",5,IF(W19="Too many players with High ROCE",5,0)))))</f>
        <v/>
      </c>
      <c r="Y19" s="25" t="inlineStr">
        <is>
          <t>No</t>
        </is>
      </c>
      <c r="Z19" s="25">
        <f>IF(Y19="No",5,0)</f>
        <v/>
      </c>
      <c r="AA19" s="25" t="inlineStr">
        <is>
          <t>Tailwind</t>
        </is>
      </c>
      <c r="AB19" s="25">
        <f>IF(AA19="Tailwind",10,0)</f>
        <v/>
      </c>
      <c r="AC19" s="25" t="inlineStr">
        <is>
          <t>Cyclical</t>
        </is>
      </c>
      <c r="AD19" s="25">
        <f>IF(AC19="Structural (10 Years Consistency)",10,IF(AC19="Shallow Cyclical (2 to 3 years growth)",5,0))</f>
        <v/>
      </c>
      <c r="AE19" s="25" t="inlineStr">
        <is>
          <t>No</t>
        </is>
      </c>
      <c r="AF19" s="25">
        <f>IF(AE19="Yes due to Product Mix change or Operating Leverage",10,IF(AE19="Yes, these are peak margins",-5,IF(AE19="No",5,0)))</f>
        <v/>
      </c>
      <c r="AG19" s="25" t="inlineStr">
        <is>
          <t>Volatile</t>
        </is>
      </c>
      <c r="AH19" s="25">
        <f>IF(AG19="Stable",10,0)</f>
        <v/>
      </c>
      <c r="AI19" s="25" t="inlineStr">
        <is>
          <t>Yes</t>
        </is>
      </c>
      <c r="AJ19" s="25">
        <f>IF(AI19="Yes",10,0)</f>
        <v/>
      </c>
      <c r="AK19" s="25" t="inlineStr">
        <is>
          <t>B2B</t>
        </is>
      </c>
      <c r="AL19" s="25">
        <f>IF(AK19="B2C",10,IF(AK19="B2B",5,0))</f>
        <v/>
      </c>
      <c r="AM19" s="25" t="inlineStr">
        <is>
          <t>Yes</t>
        </is>
      </c>
      <c r="AN19" s="25">
        <f>IF(AM19="Yes",10,0)</f>
        <v/>
      </c>
      <c r="AO19" s="25" t="inlineStr">
        <is>
          <t>Higher One Time, Lower Annuity</t>
        </is>
      </c>
      <c r="AP19" s="25">
        <f>IF(AO19="Fully Annuity",10,IF(AO19="Higher Annuity, Lower One Time",5,IF(AO19="Higher One Time, Lower Annuity",3,0)))</f>
        <v/>
      </c>
      <c r="AQ19" s="25" t="inlineStr">
        <is>
          <t>Good</t>
        </is>
      </c>
      <c r="AR19" s="25">
        <f>IF(AQ19="Good",10,0)</f>
        <v/>
      </c>
      <c r="AS19" s="25" t="inlineStr">
        <is>
          <t>Yes for more than 2 years</t>
        </is>
      </c>
      <c r="AT19" s="25">
        <f>IF(AS19="Yes for more than 2 years",10,IF(AS19="Yes only for next 1 to 2 years",5,0))</f>
        <v/>
      </c>
      <c r="AU19" s="25" t="inlineStr">
        <is>
          <t>20 to 40</t>
        </is>
      </c>
      <c r="AV19" s="25">
        <f>IF(AU19="Above 40",20,IF(AU19="20 to 40",10,IF(AU19="0 to 20",-5,0)))</f>
        <v/>
      </c>
      <c r="AW19" s="25" t="inlineStr">
        <is>
          <t>Between 50 to 75</t>
        </is>
      </c>
      <c r="AX19" s="25">
        <f>IF(AW19="Between 50 to 75",10,IF(AW19="Above 75",0,0))</f>
        <v/>
      </c>
      <c r="AY19" s="25" t="inlineStr">
        <is>
          <t>Stage 2</t>
        </is>
      </c>
      <c r="AZ19" s="25">
        <f>IF(AY19="Stage 2",20,IF(AY19="Stage 1",0,IF(AY19="Stage 3",5,IF(AY19="Stage 4",-5,0))))</f>
        <v/>
      </c>
      <c r="BA19" s="25" t="inlineStr">
        <is>
          <t>Positive Trend</t>
        </is>
      </c>
      <c r="BB19" s="25">
        <f>IF(BA19="Positive Trend",20,IF(BA19="Negative Trend",-10,0))</f>
        <v/>
      </c>
      <c r="BC19" s="25" t="inlineStr">
        <is>
          <t>Uptrend</t>
        </is>
      </c>
      <c r="BD19" s="25">
        <f>IF(BC19="Uptrend",10,IF(BC19="Sideways",5,0))</f>
        <v/>
      </c>
      <c r="BE19" s="25" t="inlineStr">
        <is>
          <t>Uptrend</t>
        </is>
      </c>
      <c r="BF19" s="25">
        <f>IF(BE19="Uptrend",10,IF(BE19="Sideways",5,0))</f>
        <v/>
      </c>
      <c r="BG19" s="25" t="inlineStr">
        <is>
          <t>Blue sky scenario</t>
        </is>
      </c>
      <c r="BH19" s="25">
        <f>IF(BG19="Overhead supply in last 2 years in last 2 years",-5,IF(BG19="Close to 52 week high or retracement",5,IF(BG19="Blue sky scenario",10,IF(BG19="Long term Downtrend",-10,0))))</f>
        <v/>
      </c>
      <c r="BI19" s="25" t="inlineStr">
        <is>
          <t>Yes</t>
        </is>
      </c>
      <c r="BJ19" s="25">
        <f>IF(BI19="Yes",10,0)</f>
        <v/>
      </c>
      <c r="BK19" s="25" t="inlineStr">
        <is>
          <t>More than 20%</t>
        </is>
      </c>
      <c r="BL19" s="25">
        <f>IF(BK19="More than 20%",10,IF(BK19="Between 12 to 20%",5,IF(BK19="Less than 12%",0,0)))</f>
        <v/>
      </c>
      <c r="BM19" s="25" t="inlineStr">
        <is>
          <t>No</t>
        </is>
      </c>
      <c r="BN19" s="25">
        <f>IF(BM19="No",10,0)</f>
        <v/>
      </c>
      <c r="BO19" s="25" t="inlineStr">
        <is>
          <t>No</t>
        </is>
      </c>
      <c r="BP19" s="25">
        <f>IF(BO19="NO",5,0)</f>
        <v/>
      </c>
      <c r="BQ19" s="25" t="inlineStr">
        <is>
          <t>Less than 1.5</t>
        </is>
      </c>
      <c r="BR19" s="25">
        <f>IF(BQ19="Above 2",0,IF(BQ19="Between 1.5 to 2",5,IF(BQ19="Less than 1.5",10,0)))</f>
        <v/>
      </c>
      <c r="BS19" s="25" t="inlineStr">
        <is>
          <t>Above 70%</t>
        </is>
      </c>
      <c r="BT19" s="25">
        <f>IF(BS19="Above 70%",10,IF(BS19="Between 50% to 70%",5,IF(BS19="Less than 50%",0,IF(BS19="Negative",-10,IF(BS19="Less than 50% and Borrowings are increasing",-5,0)))))</f>
        <v/>
      </c>
      <c r="BU19" s="25" t="inlineStr">
        <is>
          <t>Between 0.7 to 1.2</t>
        </is>
      </c>
      <c r="BV19" s="25">
        <f>IF(BU19="More than 1.2",-10,IF(BU19="Between 0.7 to 1.2",0,IF(BU19="Less than 0.7",10,0)))</f>
        <v/>
      </c>
      <c r="BW19" s="25" t="inlineStr">
        <is>
          <t>No</t>
        </is>
      </c>
      <c r="BX19" s="25">
        <f>IF(BW19="Yes",-10,0)</f>
        <v/>
      </c>
      <c r="BY19" s="25" t="inlineStr">
        <is>
          <t>Less than 15%</t>
        </is>
      </c>
      <c r="BZ19" s="25">
        <f>IF(BY19="More than 15%",-10,IF(BY19="Less than 15%",10,0))</f>
        <v/>
      </c>
      <c r="CA19" s="25" t="inlineStr">
        <is>
          <t>No</t>
        </is>
      </c>
      <c r="CB19" s="25">
        <f>IF(CA19="Yes, more than 10%",-10,IF(CA19="No",10,0))</f>
        <v/>
      </c>
    </row>
    <row r="20">
      <c r="A20" s="25">
        <f>IF(B20=0,"",RANK(B20,$B$2:$B$23,0))</f>
        <v/>
      </c>
      <c r="B20" s="26">
        <f>SUM(V20,X20,Z20,AB20,AD20,AF20,AH20,AJ20,AL20,AN20,AP20,AR20,AT20,AV20,AX20,AZ20,BB20,BD20,BF20,BH20,BJ20,BL20,BN20,BP20,BR20,BT20,BV20,BX20,BZ20,CB20)</f>
        <v/>
      </c>
      <c r="C20" s="25" t="inlineStr">
        <is>
          <t>52W Breakout</t>
        </is>
      </c>
      <c r="D20" s="26" t="n">
        <v>138.2</v>
      </c>
      <c r="E20" s="25" t="inlineStr">
        <is>
          <t>5%</t>
        </is>
      </c>
      <c r="F20" s="26" t="n">
        <v>50000</v>
      </c>
      <c r="G20" s="26" t="n">
        <v>252</v>
      </c>
      <c r="H20" s="25" t="inlineStr">
        <is>
          <t>RAIN</t>
        </is>
      </c>
      <c r="I20" s="25" t="inlineStr">
        <is>
          <t>Rain Industries Limited</t>
        </is>
      </c>
      <c r="J20" s="25" t="inlineStr">
        <is>
          <t>miscellaneous</t>
        </is>
      </c>
      <c r="K20" s="25" t="inlineStr">
        <is>
          <t>miscellaneous</t>
        </is>
      </c>
      <c r="L20" s="25" t="inlineStr">
        <is>
          <t>midcap</t>
        </is>
      </c>
      <c r="M20" s="26" t="n">
        <v>6414.11</v>
      </c>
      <c r="N20" s="26" t="n">
        <v>197.9</v>
      </c>
      <c r="O20" s="26" t="n">
        <v>3.78</v>
      </c>
      <c r="P20" s="26" t="n">
        <v>10442480</v>
      </c>
      <c r="Q20" s="26" t="n">
        <v>72.68000000000001</v>
      </c>
      <c r="R20" s="26" t="n">
        <v>18.71</v>
      </c>
      <c r="S20" s="26" t="n">
        <v>149.03</v>
      </c>
      <c r="T20" s="25" t="inlineStr">
        <is>
          <t>Near 52W High Breakout</t>
        </is>
      </c>
      <c r="U20" s="25" t="inlineStr">
        <is>
          <t>Growing Industry</t>
        </is>
      </c>
      <c r="V20" s="25">
        <f>IF(U20="Growing Industry",10,IF(U20="Cyclical in an Upturn",5,0))</f>
        <v/>
      </c>
      <c r="W20" s="25" t="inlineStr">
        <is>
          <t>Too Many Players with High ROCE</t>
        </is>
      </c>
      <c r="X20" s="25">
        <f>IF(W20="Monopoly",10,IF(W20="Oligopoly",5,IF(W20="Duopoly that cooperate",10,IF(W20="Duopoly that compete",5,IF(W20="Too many players with High ROCE",5,0)))))</f>
        <v/>
      </c>
      <c r="Y20" s="25" t="inlineStr">
        <is>
          <t>No</t>
        </is>
      </c>
      <c r="Z20" s="25">
        <f>IF(Y20="No",5,0)</f>
        <v/>
      </c>
      <c r="AA20" s="25" t="inlineStr">
        <is>
          <t>Tailwind</t>
        </is>
      </c>
      <c r="AB20" s="25">
        <f>IF(AA20="Tailwind",10,0)</f>
        <v/>
      </c>
      <c r="AC20" s="25" t="inlineStr">
        <is>
          <t>Structural (10 Years Consistency)</t>
        </is>
      </c>
      <c r="AD20" s="25">
        <f>IF(AC20="Structural (10 Years Consistency)",10,IF(AC20="Shallow Cyclical (2 to 3 years growth)",5,0))</f>
        <v/>
      </c>
      <c r="AE20" s="25" t="inlineStr">
        <is>
          <t>No</t>
        </is>
      </c>
      <c r="AF20" s="25">
        <f>IF(AE20="Yes due to Product Mix change or Operating Leverage",10,IF(AE20="Yes, these are peak margins",-5,IF(AE20="No",5,0)))</f>
        <v/>
      </c>
      <c r="AG20" s="25" t="inlineStr">
        <is>
          <t>Stable</t>
        </is>
      </c>
      <c r="AH20" s="25">
        <f>IF(AG20="Stable",10,0)</f>
        <v/>
      </c>
      <c r="AI20" s="25" t="inlineStr">
        <is>
          <t>Yes</t>
        </is>
      </c>
      <c r="AJ20" s="25">
        <f>IF(AI20="Yes",10,0)</f>
        <v/>
      </c>
      <c r="AK20" s="25" t="inlineStr">
        <is>
          <t>B2B</t>
        </is>
      </c>
      <c r="AL20" s="25">
        <f>IF(AK20="B2C",10,IF(AK20="B2B",5,0))</f>
        <v/>
      </c>
      <c r="AM20" s="25" t="inlineStr">
        <is>
          <t>Yes</t>
        </is>
      </c>
      <c r="AN20" s="25">
        <f>IF(AM20="Yes",10,0)</f>
        <v/>
      </c>
      <c r="AO20" s="25" t="inlineStr">
        <is>
          <t>Higher One Time, Lower Annuity</t>
        </is>
      </c>
      <c r="AP20" s="25">
        <f>IF(AO20="Fully Annuity",10,IF(AO20="Higher Annuity, Lower One Time",5,IF(AO20="Higher One Time, Lower Annuity",3,0)))</f>
        <v/>
      </c>
      <c r="AQ20" s="25" t="inlineStr">
        <is>
          <t>Good</t>
        </is>
      </c>
      <c r="AR20" s="25">
        <f>IF(AQ20="Good",10,0)</f>
        <v/>
      </c>
      <c r="AS20" s="25" t="inlineStr">
        <is>
          <t>Yes for more than 2 years</t>
        </is>
      </c>
      <c r="AT20" s="25">
        <f>IF(AS20="Yes for more than 2 years",10,IF(AS20="Yes only for next 1 to 2 years",5,0))</f>
        <v/>
      </c>
      <c r="AU20" s="25" t="inlineStr">
        <is>
          <t>0 to 20</t>
        </is>
      </c>
      <c r="AV20" s="25">
        <f>IF(AU20="Above 40",20,IF(AU20="20 to 40",10,IF(AU20="0 to 20",-5,0)))</f>
        <v/>
      </c>
      <c r="AW20" s="25" t="inlineStr">
        <is>
          <t>Between 50 to 75</t>
        </is>
      </c>
      <c r="AX20" s="25">
        <f>IF(AW20="Between 50 to 75",10,IF(AW20="Above 75",0,0))</f>
        <v/>
      </c>
      <c r="AY20" s="25" t="inlineStr">
        <is>
          <t>Stage 2</t>
        </is>
      </c>
      <c r="AZ20" s="25">
        <f>IF(AY20="Stage 2",20,IF(AY20="Stage 1",0,IF(AY20="Stage 3",5,IF(AY20="Stage 4",-5,0))))</f>
        <v/>
      </c>
      <c r="BA20" s="25" t="inlineStr">
        <is>
          <t>Positive Trend</t>
        </is>
      </c>
      <c r="BB20" s="25">
        <f>IF(BA20="Positive Trend",20,IF(BA20="Negative Trend",-10,0))</f>
        <v/>
      </c>
      <c r="BC20" s="25" t="inlineStr">
        <is>
          <t>Uptrend</t>
        </is>
      </c>
      <c r="BD20" s="25">
        <f>IF(BC20="Uptrend",10,IF(BC20="Sideways",5,0))</f>
        <v/>
      </c>
      <c r="BE20" s="25" t="inlineStr">
        <is>
          <t>Uptrend</t>
        </is>
      </c>
      <c r="BF20" s="25">
        <f>IF(BE20="Uptrend",10,IF(BE20="Sideways",5,0))</f>
        <v/>
      </c>
      <c r="BG20" s="25" t="inlineStr">
        <is>
          <t>Blue sky scenario</t>
        </is>
      </c>
      <c r="BH20" s="25">
        <f>IF(BG20="Overhead supply in last 2 years in last 2 years",-5,IF(BG20="Close to 52 week high or retracement",5,IF(BG20="Blue sky scenario",10,IF(BG20="Long term Downtrend",-10,0))))</f>
        <v/>
      </c>
      <c r="BI20" s="25" t="inlineStr">
        <is>
          <t>Yes</t>
        </is>
      </c>
      <c r="BJ20" s="25">
        <f>IF(BI20="Yes",10,0)</f>
        <v/>
      </c>
      <c r="BK20" s="25" t="inlineStr">
        <is>
          <t>More than 20%</t>
        </is>
      </c>
      <c r="BL20" s="25">
        <f>IF(BK20="More than 20%",10,IF(BK20="Between 12 to 20%",5,IF(BK20="Less than 12%",0,0)))</f>
        <v/>
      </c>
      <c r="BM20" s="25" t="inlineStr">
        <is>
          <t>No</t>
        </is>
      </c>
      <c r="BN20" s="25">
        <f>IF(BM20="No",10,0)</f>
        <v/>
      </c>
      <c r="BO20" s="25" t="inlineStr">
        <is>
          <t>No</t>
        </is>
      </c>
      <c r="BP20" s="25">
        <f>IF(BO20="NO",5,0)</f>
        <v/>
      </c>
      <c r="BQ20" s="25" t="inlineStr">
        <is>
          <t>Less than 1.5</t>
        </is>
      </c>
      <c r="BR20" s="25">
        <f>IF(BQ20="Above 2",0,IF(BQ20="Between 1.5 to 2",5,IF(BQ20="Less than 1.5",10,0)))</f>
        <v/>
      </c>
      <c r="BS20" s="25" t="inlineStr">
        <is>
          <t>Above 70%</t>
        </is>
      </c>
      <c r="BT20" s="25">
        <f>IF(BS20="Above 70%",10,IF(BS20="Between 50% to 70%",5,IF(BS20="Less than 50%",0,IF(BS20="Negative",-10,IF(BS20="Less than 50% and Borrowings are increasing",-5,0)))))</f>
        <v/>
      </c>
      <c r="BU20" s="25" t="inlineStr">
        <is>
          <t>More than 1.2</t>
        </is>
      </c>
      <c r="BV20" s="25">
        <f>IF(BU20="More than 1.2",-10,IF(BU20="Between 0.7 to 1.2",0,IF(BU20="Less than 0.7",10,0)))</f>
        <v/>
      </c>
      <c r="BW20" s="25" t="inlineStr">
        <is>
          <t>No</t>
        </is>
      </c>
      <c r="BX20" s="25">
        <f>IF(BW20="Yes",-10,0)</f>
        <v/>
      </c>
      <c r="BY20" s="25" t="inlineStr">
        <is>
          <t>Less than 15%</t>
        </is>
      </c>
      <c r="BZ20" s="25">
        <f>IF(BY20="More than 15%",-10,IF(BY20="Less than 15%",10,0))</f>
        <v/>
      </c>
      <c r="CA20" s="25" t="inlineStr">
        <is>
          <t>No</t>
        </is>
      </c>
      <c r="CB20" s="25">
        <f>IF(CA20="Yes, more than 10%",-10,IF(CA20="No",10,0))</f>
        <v/>
      </c>
    </row>
    <row r="21">
      <c r="A21" s="25">
        <f>IF(B21=0,"",RANK(B21,$B$2:$B$23,0))</f>
        <v/>
      </c>
      <c r="B21" s="26">
        <f>SUM(V21,X21,Z21,AB21,AD21,AF21,AH21,AJ21,AL21,AN21,AP21,AR21,AT21,AV21,AX21,AZ21,BB21,BD21,BF21,BH21,BJ21,BL21,BN21,BP21,BR21,BT21,BV21,BX21,BZ21,CB21)</f>
        <v/>
      </c>
      <c r="C21" s="25" t="inlineStr">
        <is>
          <t>52W Breakout</t>
        </is>
      </c>
      <c r="D21" s="26" t="n">
        <v>138.9</v>
      </c>
      <c r="E21" s="25" t="inlineStr">
        <is>
          <t>5%</t>
        </is>
      </c>
      <c r="F21" s="26" t="n">
        <v>50000</v>
      </c>
      <c r="G21" s="26" t="n">
        <v>114</v>
      </c>
      <c r="H21" s="25" t="inlineStr">
        <is>
          <t>APOLLO</t>
        </is>
      </c>
      <c r="I21" s="25" t="inlineStr">
        <is>
          <t>Apollo Micro Systems Ltd</t>
        </is>
      </c>
      <c r="J21" s="25" t="inlineStr">
        <is>
          <t>aerospace &amp; defence</t>
        </is>
      </c>
      <c r="K21" s="25" t="inlineStr">
        <is>
          <t>electronics - components</t>
        </is>
      </c>
      <c r="L21" s="25" t="inlineStr">
        <is>
          <t>midcap</t>
        </is>
      </c>
      <c r="M21" s="26" t="n">
        <v>14439.97</v>
      </c>
      <c r="N21" s="26" t="n">
        <v>437</v>
      </c>
      <c r="O21" s="26" t="n">
        <v>8.130000000000001</v>
      </c>
      <c r="P21" s="26" t="n">
        <v>42775590</v>
      </c>
      <c r="Q21" s="26" t="n">
        <v>76.04000000000001</v>
      </c>
      <c r="R21" s="26" t="n">
        <v>30.34</v>
      </c>
      <c r="S21" s="26" t="n">
        <v>318.2</v>
      </c>
      <c r="T21" s="25" t="inlineStr">
        <is>
          <t>Near 52W High Breakout</t>
        </is>
      </c>
      <c r="U21" s="25" t="inlineStr">
        <is>
          <t>Cyclical in an Upturn</t>
        </is>
      </c>
      <c r="V21" s="25">
        <f>IF(U21="Growing Industry",10,IF(U21="Cyclical in an Upturn",5,0))</f>
        <v/>
      </c>
      <c r="W21" s="25" t="inlineStr">
        <is>
          <t>Oligopoly</t>
        </is>
      </c>
      <c r="X21" s="25">
        <f>IF(W21="Monopoly",10,IF(W21="Oligopoly",5,IF(W21="Duopoly that cooperate",10,IF(W21="Duopoly that compete",5,IF(W21="Too many players with High ROCE",5,0)))))</f>
        <v/>
      </c>
      <c r="Y21" s="25" t="inlineStr">
        <is>
          <t>No</t>
        </is>
      </c>
      <c r="Z21" s="25">
        <f>IF(Y21="No",5,0)</f>
        <v/>
      </c>
      <c r="AA21" s="25" t="inlineStr">
        <is>
          <t>Tailwind</t>
        </is>
      </c>
      <c r="AB21" s="25">
        <f>IF(AA21="Tailwind",10,0)</f>
        <v/>
      </c>
      <c r="AC21" s="25" t="inlineStr">
        <is>
          <t>Cyclical</t>
        </is>
      </c>
      <c r="AD21" s="25">
        <f>IF(AC21="Structural (10 Years Consistency)",10,IF(AC21="Shallow Cyclical (2 to 3 years growth)",5,0))</f>
        <v/>
      </c>
      <c r="AE21" s="25" t="inlineStr">
        <is>
          <t>No</t>
        </is>
      </c>
      <c r="AF21" s="25">
        <f>IF(AE21="Yes due to Product Mix change or Operating Leverage",10,IF(AE21="Yes, these are peak margins",-5,IF(AE21="No",5,0)))</f>
        <v/>
      </c>
      <c r="AG21" s="25" t="inlineStr">
        <is>
          <t>Stable</t>
        </is>
      </c>
      <c r="AH21" s="25">
        <f>IF(AG21="Stable",10,0)</f>
        <v/>
      </c>
      <c r="AI21" s="25" t="inlineStr">
        <is>
          <t>Yes</t>
        </is>
      </c>
      <c r="AJ21" s="25">
        <f>IF(AI21="Yes",10,0)</f>
        <v/>
      </c>
      <c r="AK21" s="25" t="inlineStr">
        <is>
          <t>B2C</t>
        </is>
      </c>
      <c r="AL21" s="25">
        <f>IF(AK21="B2C",10,IF(AK21="B2B",5,0))</f>
        <v/>
      </c>
      <c r="AM21" s="25" t="inlineStr">
        <is>
          <t>Yes</t>
        </is>
      </c>
      <c r="AN21" s="25">
        <f>IF(AM21="Yes",10,0)</f>
        <v/>
      </c>
      <c r="AO21" s="25" t="inlineStr">
        <is>
          <t>Fully One Time</t>
        </is>
      </c>
      <c r="AP21" s="25">
        <f>IF(AO21="Fully Annuity",10,IF(AO21="Higher Annuity, Lower One Time",5,IF(AO21="Higher One Time, Lower Annuity",3,0)))</f>
        <v/>
      </c>
      <c r="AQ21" s="25" t="inlineStr">
        <is>
          <t>Good</t>
        </is>
      </c>
      <c r="AR21" s="25">
        <f>IF(AQ21="Good",10,0)</f>
        <v/>
      </c>
      <c r="AS21" s="25" t="inlineStr">
        <is>
          <t>Yes for more than 2 years</t>
        </is>
      </c>
      <c r="AT21" s="25">
        <f>IF(AS21="Yes for more than 2 years",10,IF(AS21="Yes only for next 1 to 2 years",5,0))</f>
        <v/>
      </c>
      <c r="AU21" s="25" t="inlineStr">
        <is>
          <t>Above 40</t>
        </is>
      </c>
      <c r="AV21" s="25">
        <f>IF(AU21="Above 40",20,IF(AU21="20 to 40",10,IF(AU21="0 to 20",-5,0)))</f>
        <v/>
      </c>
      <c r="AW21" s="25" t="inlineStr">
        <is>
          <t>Above 75</t>
        </is>
      </c>
      <c r="AX21" s="25">
        <f>IF(AW21="Between 50 to 75",10,IF(AW21="Above 75",0,0))</f>
        <v/>
      </c>
      <c r="AY21" s="25" t="inlineStr">
        <is>
          <t>Stage 2</t>
        </is>
      </c>
      <c r="AZ21" s="25">
        <f>IF(AY21="Stage 2",20,IF(AY21="Stage 1",0,IF(AY21="Stage 3",5,IF(AY21="Stage 4",-5,0))))</f>
        <v/>
      </c>
      <c r="BA21" s="25" t="inlineStr">
        <is>
          <t>Positive Trend</t>
        </is>
      </c>
      <c r="BB21" s="25">
        <f>IF(BA21="Positive Trend",20,IF(BA21="Negative Trend",-10,0))</f>
        <v/>
      </c>
      <c r="BC21" s="25" t="inlineStr">
        <is>
          <t>Uptrend</t>
        </is>
      </c>
      <c r="BD21" s="25">
        <f>IF(BC21="Uptrend",10,IF(BC21="Sideways",5,0))</f>
        <v/>
      </c>
      <c r="BE21" s="25" t="inlineStr">
        <is>
          <t>Uptrend</t>
        </is>
      </c>
      <c r="BF21" s="25">
        <f>IF(BE21="Uptrend",10,IF(BE21="Sideways",5,0))</f>
        <v/>
      </c>
      <c r="BG21" s="25" t="inlineStr">
        <is>
          <t>Close to 52 week high or retracement</t>
        </is>
      </c>
      <c r="BH21" s="25">
        <f>IF(BG21="Overhead supply in last 2 years in last 2 years",-5,IF(BG21="Close to 52 week high or retracement",5,IF(BG21="Blue sky scenario",10,IF(BG21="Long term Downtrend",-10,0))))</f>
        <v/>
      </c>
      <c r="BI21" s="25" t="inlineStr">
        <is>
          <t>Yes</t>
        </is>
      </c>
      <c r="BJ21" s="25">
        <f>IF(BI21="Yes",10,0)</f>
        <v/>
      </c>
      <c r="BK21" s="25" t="inlineStr">
        <is>
          <t>More than 20%</t>
        </is>
      </c>
      <c r="BL21" s="25">
        <f>IF(BK21="More than 20%",10,IF(BK21="Between 12 to 20%",5,IF(BK21="Less than 12%",0,0)))</f>
        <v/>
      </c>
      <c r="BM21" s="25" t="inlineStr">
        <is>
          <t>Yes</t>
        </is>
      </c>
      <c r="BN21" s="25">
        <f>IF(BM21="No",10,0)</f>
        <v/>
      </c>
      <c r="BO21" s="25" t="inlineStr">
        <is>
          <t>Yes</t>
        </is>
      </c>
      <c r="BP21" s="25">
        <f>IF(BO21="NO",5,0)</f>
        <v/>
      </c>
      <c r="BQ21" s="25" t="inlineStr">
        <is>
          <t>Between 1.5 to 2</t>
        </is>
      </c>
      <c r="BR21" s="25">
        <f>IF(BQ21="Above 2",0,IF(BQ21="Between 1.5 to 2",5,IF(BQ21="Less than 1.5",10,0)))</f>
        <v/>
      </c>
      <c r="BS21" s="25" t="inlineStr">
        <is>
          <t>Above 70%</t>
        </is>
      </c>
      <c r="BT21" s="25">
        <f>IF(BS21="Above 70%",10,IF(BS21="Between 50% to 70%",5,IF(BS21="Less than 50%",0,IF(BS21="Negative",-10,IF(BS21="Less than 50% and Borrowings are increasing",-5,0)))))</f>
        <v/>
      </c>
      <c r="BU21" s="25" t="inlineStr">
        <is>
          <t>Less than 0.7</t>
        </is>
      </c>
      <c r="BV21" s="25">
        <f>IF(BU21="More than 1.2",-10,IF(BU21="Between 0.7 to 1.2",0,IF(BU21="Less than 0.7",10,0)))</f>
        <v/>
      </c>
      <c r="BW21" s="25" t="inlineStr">
        <is>
          <t>No</t>
        </is>
      </c>
      <c r="BX21" s="25">
        <f>IF(BW21="Yes",-10,0)</f>
        <v/>
      </c>
      <c r="BY21" s="25" t="inlineStr">
        <is>
          <t>Less than 15%</t>
        </is>
      </c>
      <c r="BZ21" s="25">
        <f>IF(BY21="More than 15%",-10,IF(BY21="Less than 15%",10,0))</f>
        <v/>
      </c>
      <c r="CA21" s="25" t="inlineStr">
        <is>
          <t>No</t>
        </is>
      </c>
      <c r="CB21" s="25">
        <f>IF(CA21="Yes, more than 10%",-10,IF(CA21="No",10,0))</f>
        <v/>
      </c>
    </row>
    <row r="22">
      <c r="A22" s="25">
        <f>IF(B22=0,"",RANK(B22,$B$2:$B$23,0))</f>
        <v/>
      </c>
      <c r="B22" s="26">
        <f>SUM(V22,X22,Z22,AB22,AD22,AF22,AH22,AJ22,AL22,AN22,AP22,AR22,AT22,AV22,AX22,AZ22,BB22,BD22,BF22,BH22,BJ22,BL22,BN22,BP22,BR22,BT22,BV22,BX22,BZ22,CB22)</f>
        <v/>
      </c>
      <c r="C22" s="25" t="inlineStr">
        <is>
          <t>52W Breakout</t>
        </is>
      </c>
      <c r="D22" s="26" t="n">
        <v>139.1</v>
      </c>
      <c r="E22" s="25" t="inlineStr">
        <is>
          <t>5%</t>
        </is>
      </c>
      <c r="F22" s="26" t="n">
        <v>50000</v>
      </c>
      <c r="G22" s="26" t="n">
        <v>149</v>
      </c>
      <c r="H22" s="25" t="inlineStr">
        <is>
          <t>ACMESOLAR</t>
        </is>
      </c>
      <c r="I22" s="25" t="inlineStr">
        <is>
          <t>ACME Solar Holdings Ltd</t>
        </is>
      </c>
      <c r="J22" s="25" t="inlineStr">
        <is>
          <t>realty</t>
        </is>
      </c>
      <c r="K22" s="25" t="inlineStr">
        <is>
          <t>engineering - turnkey services</t>
        </is>
      </c>
      <c r="L22" s="25" t="inlineStr">
        <is>
          <t>midcap</t>
        </is>
      </c>
      <c r="M22" s="26" t="n">
        <v>18615.45</v>
      </c>
      <c r="N22" s="26" t="n">
        <v>334.75</v>
      </c>
      <c r="O22" s="26" t="n">
        <v>8.970000000000001</v>
      </c>
      <c r="P22" s="26" t="n">
        <v>12451703</v>
      </c>
      <c r="Q22" s="26" t="n">
        <v>68.67</v>
      </c>
      <c r="R22" s="26" t="n">
        <v>18.1</v>
      </c>
      <c r="S22" s="26" t="n">
        <v>258.16</v>
      </c>
      <c r="T22" s="25" t="inlineStr">
        <is>
          <t>Volume Spike &amp; Near 52W High Breakout</t>
        </is>
      </c>
      <c r="U22" s="25" t="inlineStr">
        <is>
          <t>Growing Industry</t>
        </is>
      </c>
      <c r="V22" s="25">
        <f>IF(U22="Growing Industry",10,IF(U22="Cyclical in an Upturn",5,0))</f>
        <v/>
      </c>
      <c r="W22" s="25" t="inlineStr">
        <is>
          <t>Too Many Players with High ROCE</t>
        </is>
      </c>
      <c r="X22" s="25">
        <f>IF(W22="Monopoly",10,IF(W22="Oligopoly",5,IF(W22="Duopoly that cooperate",10,IF(W22="Duopoly that compete",5,IF(W22="Too many players with High ROCE",5,0)))))</f>
        <v/>
      </c>
      <c r="Y22" s="25" t="inlineStr">
        <is>
          <t>No</t>
        </is>
      </c>
      <c r="Z22" s="25">
        <f>IF(Y22="No",5,0)</f>
        <v/>
      </c>
      <c r="AA22" s="25" t="inlineStr">
        <is>
          <t>Tailwind</t>
        </is>
      </c>
      <c r="AB22" s="25">
        <f>IF(AA22="Tailwind",10,0)</f>
        <v/>
      </c>
      <c r="AC22" s="25" t="inlineStr">
        <is>
          <t>Structural (10 Years Consistency)</t>
        </is>
      </c>
      <c r="AD22" s="25">
        <f>IF(AC22="Structural (10 Years Consistency)",10,IF(AC22="Shallow Cyclical (2 to 3 years growth)",5,0))</f>
        <v/>
      </c>
      <c r="AE22" s="25" t="inlineStr">
        <is>
          <t>No</t>
        </is>
      </c>
      <c r="AF22" s="25">
        <f>IF(AE22="Yes due to Product Mix change or Operating Leverage",10,IF(AE22="Yes, these are peak margins",-5,IF(AE22="No",5,0)))</f>
        <v/>
      </c>
      <c r="AG22" s="25" t="inlineStr">
        <is>
          <t>Stable</t>
        </is>
      </c>
      <c r="AH22" s="25">
        <f>IF(AG22="Stable",10,0)</f>
        <v/>
      </c>
      <c r="AI22" s="25" t="inlineStr">
        <is>
          <t>Yes</t>
        </is>
      </c>
      <c r="AJ22" s="25">
        <f>IF(AI22="Yes",10,0)</f>
        <v/>
      </c>
      <c r="AK22" s="25" t="inlineStr">
        <is>
          <t>B2B</t>
        </is>
      </c>
      <c r="AL22" s="25">
        <f>IF(AK22="B2C",10,IF(AK22="B2B",5,0))</f>
        <v/>
      </c>
      <c r="AM22" s="25" t="inlineStr">
        <is>
          <t>Yes</t>
        </is>
      </c>
      <c r="AN22" s="25">
        <f>IF(AM22="Yes",10,0)</f>
        <v/>
      </c>
      <c r="AO22" s="25" t="inlineStr">
        <is>
          <t>Higher One Time, Lower Annuity</t>
        </is>
      </c>
      <c r="AP22" s="25">
        <f>IF(AO22="Fully Annuity",10,IF(AO22="Higher Annuity, Lower One Time",5,IF(AO22="Higher One Time, Lower Annuity",3,0)))</f>
        <v/>
      </c>
      <c r="AQ22" s="25" t="inlineStr">
        <is>
          <t>Good</t>
        </is>
      </c>
      <c r="AR22" s="25">
        <f>IF(AQ22="Good",10,0)</f>
        <v/>
      </c>
      <c r="AS22" s="25" t="inlineStr">
        <is>
          <t>Yes for more than 2 years</t>
        </is>
      </c>
      <c r="AT22" s="25">
        <f>IF(AS22="Yes for more than 2 years",10,IF(AS22="Yes only for next 1 to 2 years",5,0))</f>
        <v/>
      </c>
      <c r="AU22" s="25" t="inlineStr">
        <is>
          <t>0 to 20</t>
        </is>
      </c>
      <c r="AV22" s="25">
        <f>IF(AU22="Above 40",20,IF(AU22="20 to 40",10,IF(AU22="0 to 20",-5,0)))</f>
        <v/>
      </c>
      <c r="AW22" s="25" t="inlineStr">
        <is>
          <t>Between 50 to 75</t>
        </is>
      </c>
      <c r="AX22" s="25">
        <f>IF(AW22="Between 50 to 75",10,IF(AW22="Above 75",0,0))</f>
        <v/>
      </c>
      <c r="AY22" s="25" t="inlineStr">
        <is>
          <t>Stage 2</t>
        </is>
      </c>
      <c r="AZ22" s="25">
        <f>IF(AY22="Stage 2",20,IF(AY22="Stage 1",0,IF(AY22="Stage 3",5,IF(AY22="Stage 4",-5,0))))</f>
        <v/>
      </c>
      <c r="BA22" s="25" t="inlineStr">
        <is>
          <t>Positive Trend</t>
        </is>
      </c>
      <c r="BB22" s="25">
        <f>IF(BA22="Positive Trend",20,IF(BA22="Negative Trend",-10,0))</f>
        <v/>
      </c>
      <c r="BC22" s="25" t="inlineStr">
        <is>
          <t>Uptrend</t>
        </is>
      </c>
      <c r="BD22" s="25">
        <f>IF(BC22="Uptrend",10,IF(BC22="Sideways",5,0))</f>
        <v/>
      </c>
      <c r="BE22" s="25" t="inlineStr">
        <is>
          <t>Uptrend</t>
        </is>
      </c>
      <c r="BF22" s="25">
        <f>IF(BE22="Uptrend",10,IF(BE22="Sideways",5,0))</f>
        <v/>
      </c>
      <c r="BG22" s="25" t="inlineStr">
        <is>
          <t>Blue sky scenario</t>
        </is>
      </c>
      <c r="BH22" s="25">
        <f>IF(BG22="Overhead supply in last 2 years in last 2 years",-5,IF(BG22="Close to 52 week high or retracement",5,IF(BG22="Blue sky scenario",10,IF(BG22="Long term Downtrend",-10,0))))</f>
        <v/>
      </c>
      <c r="BI22" s="25" t="inlineStr">
        <is>
          <t>Yes</t>
        </is>
      </c>
      <c r="BJ22" s="25">
        <f>IF(BI22="Yes",10,0)</f>
        <v/>
      </c>
      <c r="BK22" s="25" t="inlineStr">
        <is>
          <t>Less than 12%</t>
        </is>
      </c>
      <c r="BL22" s="25">
        <f>IF(BK22="More than 20%",10,IF(BK22="Between 12 to 20%",5,IF(BK22="Less than 12%",0,0)))</f>
        <v/>
      </c>
      <c r="BM22" s="25" t="inlineStr">
        <is>
          <t>No</t>
        </is>
      </c>
      <c r="BN22" s="25">
        <f>IF(BM22="No",10,0)</f>
        <v/>
      </c>
      <c r="BO22" s="25" t="inlineStr">
        <is>
          <t>Yes</t>
        </is>
      </c>
      <c r="BP22" s="25">
        <f>IF(BO22="NO",5,0)</f>
        <v/>
      </c>
      <c r="BQ22" s="25" t="inlineStr">
        <is>
          <t>Less than 1.5</t>
        </is>
      </c>
      <c r="BR22" s="25">
        <f>IF(BQ22="Above 2",0,IF(BQ22="Between 1.5 to 2",5,IF(BQ22="Less than 1.5",10,0)))</f>
        <v/>
      </c>
      <c r="BS22" s="25" t="inlineStr">
        <is>
          <t>Between 50% to 70%</t>
        </is>
      </c>
      <c r="BT22" s="25">
        <f>IF(BS22="Above 70%",10,IF(BS22="Between 50% to 70%",5,IF(BS22="Less than 50%",0,IF(BS22="Negative",-10,IF(BS22="Less than 50% and Borrowings are increasing",-5,0)))))</f>
        <v/>
      </c>
      <c r="BU22" s="25" t="inlineStr">
        <is>
          <t>More than 1.2</t>
        </is>
      </c>
      <c r="BV22" s="25">
        <f>IF(BU22="More than 1.2",-10,IF(BU22="Between 0.7 to 1.2",0,IF(BU22="Less than 0.7",10,0)))</f>
        <v/>
      </c>
      <c r="BW22" s="25" t="inlineStr">
        <is>
          <t>No</t>
        </is>
      </c>
      <c r="BX22" s="25">
        <f>IF(BW22="Yes",-10,0)</f>
        <v/>
      </c>
      <c r="BY22" s="25" t="inlineStr">
        <is>
          <t>Less than 15%</t>
        </is>
      </c>
      <c r="BZ22" s="25">
        <f>IF(BY22="More than 15%",-10,IF(BY22="Less than 15%",10,0))</f>
        <v/>
      </c>
      <c r="CA22" s="25" t="inlineStr">
        <is>
          <t>No</t>
        </is>
      </c>
      <c r="CB22" s="25">
        <f>IF(CA22="Yes, more than 10%",-10,IF(CA22="No",10,0))</f>
        <v/>
      </c>
    </row>
    <row r="23">
      <c r="A23" s="25">
        <f>IF(B23=0,"",RANK(B23,$B$2:$B$23,0))</f>
        <v/>
      </c>
      <c r="B23" s="26">
        <f>SUM(V23,X23,Z23,AB23,AD23,AF23,AH23,AJ23,AL23,AN23,AP23,AR23,AT23,AV23,AX23,AZ23,BB23,BD23,BF23,BH23,BJ23,BL23,BN23,BP23,BR23,BT23,BV23,BX23,BZ23,CB23)</f>
        <v/>
      </c>
      <c r="C23" s="25" t="inlineStr">
        <is>
          <t>52W Breakout</t>
        </is>
      </c>
      <c r="D23" s="26" t="n">
        <v>140</v>
      </c>
      <c r="E23" s="25" t="inlineStr">
        <is>
          <t>5%</t>
        </is>
      </c>
      <c r="F23" s="26" t="n">
        <v>50000</v>
      </c>
      <c r="G23" s="26" t="n">
        <v>76</v>
      </c>
      <c r="H23" s="25" t="inlineStr">
        <is>
          <t>DEEDEV</t>
        </is>
      </c>
      <c r="I23" s="25" t="inlineStr">
        <is>
          <t>DEE Development Engineers Ltd</t>
        </is>
      </c>
      <c r="J23" s="25" t="inlineStr">
        <is>
          <t>metals &amp; mining</t>
        </is>
      </c>
      <c r="K23" s="25" t="inlineStr">
        <is>
          <t>steel - medium / small</t>
        </is>
      </c>
      <c r="L23" s="25" t="inlineStr">
        <is>
          <t>smallcap</t>
        </is>
      </c>
      <c r="M23" s="26" t="n">
        <v>4315.45</v>
      </c>
      <c r="N23" s="26" t="n">
        <v>654.2</v>
      </c>
      <c r="O23" s="26" t="n">
        <v>5</v>
      </c>
      <c r="P23" s="26" t="n">
        <v>408158</v>
      </c>
      <c r="Q23" s="26" t="n">
        <v>86.94</v>
      </c>
      <c r="R23" s="26" t="n">
        <v>58.27</v>
      </c>
      <c r="S23" s="26" t="n">
        <v>507.58</v>
      </c>
      <c r="T23" s="25" t="inlineStr">
        <is>
          <t>Near 52W High Breakout</t>
        </is>
      </c>
      <c r="U23" s="25" t="inlineStr">
        <is>
          <t>Cyclical in an Upturn</t>
        </is>
      </c>
      <c r="V23" s="25">
        <f>IF(U23="Growing Industry",10,IF(U23="Cyclical in an Upturn",5,0))</f>
        <v/>
      </c>
      <c r="W23" s="25" t="inlineStr">
        <is>
          <t>Too Many Players with High ROCE</t>
        </is>
      </c>
      <c r="X23" s="25">
        <f>IF(W23="Monopoly",10,IF(W23="Oligopoly",5,IF(W23="Duopoly that cooperate",10,IF(W23="Duopoly that compete",5,IF(W23="Too many players with High ROCE",5,0)))))</f>
        <v/>
      </c>
      <c r="Y23" s="25" t="inlineStr">
        <is>
          <t>No</t>
        </is>
      </c>
      <c r="Z23" s="25">
        <f>IF(Y23="No",5,0)</f>
        <v/>
      </c>
      <c r="AA23" s="25" t="inlineStr">
        <is>
          <t>Tailwind</t>
        </is>
      </c>
      <c r="AB23" s="25">
        <f>IF(AA23="Tailwind",10,0)</f>
        <v/>
      </c>
      <c r="AC23" s="25" t="inlineStr">
        <is>
          <t>Cyclical</t>
        </is>
      </c>
      <c r="AD23" s="25">
        <f>IF(AC23="Structural (10 Years Consistency)",10,IF(AC23="Shallow Cyclical (2 to 3 years growth)",5,0))</f>
        <v/>
      </c>
      <c r="AE23" s="25" t="inlineStr">
        <is>
          <t>No</t>
        </is>
      </c>
      <c r="AF23" s="25">
        <f>IF(AE23="Yes due to Product Mix change or Operating Leverage",10,IF(AE23="Yes, these are peak margins",-5,IF(AE23="No",5,0)))</f>
        <v/>
      </c>
      <c r="AG23" s="25" t="inlineStr">
        <is>
          <t>Volatile</t>
        </is>
      </c>
      <c r="AH23" s="25">
        <f>IF(AG23="Stable",10,0)</f>
        <v/>
      </c>
      <c r="AI23" s="25" t="inlineStr">
        <is>
          <t>Yes</t>
        </is>
      </c>
      <c r="AJ23" s="25">
        <f>IF(AI23="Yes",10,0)</f>
        <v/>
      </c>
      <c r="AK23" s="25" t="inlineStr">
        <is>
          <t>B2B</t>
        </is>
      </c>
      <c r="AL23" s="25">
        <f>IF(AK23="B2C",10,IF(AK23="B2B",5,0))</f>
        <v/>
      </c>
      <c r="AM23" s="25" t="inlineStr">
        <is>
          <t>Yes</t>
        </is>
      </c>
      <c r="AN23" s="25">
        <f>IF(AM23="Yes",10,0)</f>
        <v/>
      </c>
      <c r="AO23" s="25" t="inlineStr">
        <is>
          <t>Higher One Time, Lower Annuity</t>
        </is>
      </c>
      <c r="AP23" s="25">
        <f>IF(AO23="Fully Annuity",10,IF(AO23="Higher Annuity, Lower One Time",5,IF(AO23="Higher One Time, Lower Annuity",3,0)))</f>
        <v/>
      </c>
      <c r="AQ23" s="25" t="inlineStr">
        <is>
          <t>Good</t>
        </is>
      </c>
      <c r="AR23" s="25">
        <f>IF(AQ23="Good",10,0)</f>
        <v/>
      </c>
      <c r="AS23" s="25" t="inlineStr">
        <is>
          <t>Yes for more than 2 years</t>
        </is>
      </c>
      <c r="AT23" s="25">
        <f>IF(AS23="Yes for more than 2 years",10,IF(AS23="Yes only for next 1 to 2 years",5,0))</f>
        <v/>
      </c>
      <c r="AU23" s="25" t="inlineStr">
        <is>
          <t>Above 40</t>
        </is>
      </c>
      <c r="AV23" s="25">
        <f>IF(AU23="Above 40",20,IF(AU23="20 to 40",10,IF(AU23="0 to 20",-5,0)))</f>
        <v/>
      </c>
      <c r="AW23" s="25" t="inlineStr">
        <is>
          <t>Above 75</t>
        </is>
      </c>
      <c r="AX23" s="25">
        <f>IF(AW23="Between 50 to 75",10,IF(AW23="Above 75",0,0))</f>
        <v/>
      </c>
      <c r="AY23" s="25" t="inlineStr">
        <is>
          <t>Stage 2</t>
        </is>
      </c>
      <c r="AZ23" s="25">
        <f>IF(AY23="Stage 2",20,IF(AY23="Stage 1",0,IF(AY23="Stage 3",5,IF(AY23="Stage 4",-5,0))))</f>
        <v/>
      </c>
      <c r="BA23" s="25" t="inlineStr">
        <is>
          <t>Positive Trend</t>
        </is>
      </c>
      <c r="BB23" s="25">
        <f>IF(BA23="Positive Trend",20,IF(BA23="Negative Trend",-10,0))</f>
        <v/>
      </c>
      <c r="BC23" s="25" t="inlineStr">
        <is>
          <t>Uptrend</t>
        </is>
      </c>
      <c r="BD23" s="25">
        <f>IF(BC23="Uptrend",10,IF(BC23="Sideways",5,0))</f>
        <v/>
      </c>
      <c r="BE23" s="25" t="inlineStr">
        <is>
          <t>Uptrend</t>
        </is>
      </c>
      <c r="BF23" s="25">
        <f>IF(BE23="Uptrend",10,IF(BE23="Sideways",5,0))</f>
        <v/>
      </c>
      <c r="BG23" s="25" t="inlineStr">
        <is>
          <t>Blue sky scenario</t>
        </is>
      </c>
      <c r="BH23" s="25">
        <f>IF(BG23="Overhead supply in last 2 years in last 2 years",-5,IF(BG23="Close to 52 week high or retracement",5,IF(BG23="Blue sky scenario",10,IF(BG23="Long term Downtrend",-10,0))))</f>
        <v/>
      </c>
      <c r="BI23" s="25" t="inlineStr">
        <is>
          <t>Yes</t>
        </is>
      </c>
      <c r="BJ23" s="25">
        <f>IF(BI23="Yes",10,0)</f>
        <v/>
      </c>
      <c r="BK23" s="25" t="inlineStr">
        <is>
          <t>Less than 12%</t>
        </is>
      </c>
      <c r="BL23" s="25">
        <f>IF(BK23="More than 20%",10,IF(BK23="Between 12 to 20%",5,IF(BK23="Less than 12%",0,0)))</f>
        <v/>
      </c>
      <c r="BM23" s="25" t="inlineStr">
        <is>
          <t>No</t>
        </is>
      </c>
      <c r="BN23" s="25">
        <f>IF(BM23="No",10,0)</f>
        <v/>
      </c>
      <c r="BO23" s="25" t="inlineStr">
        <is>
          <t>Yes</t>
        </is>
      </c>
      <c r="BP23" s="25">
        <f>IF(BO23="NO",5,0)</f>
        <v/>
      </c>
      <c r="BQ23" s="25" t="inlineStr">
        <is>
          <t>Less than 1.5</t>
        </is>
      </c>
      <c r="BR23" s="25">
        <f>IF(BQ23="Above 2",0,IF(BQ23="Between 1.5 to 2",5,IF(BQ23="Less than 1.5",10,0)))</f>
        <v/>
      </c>
      <c r="BS23" s="25" t="inlineStr">
        <is>
          <t>Less than 50%</t>
        </is>
      </c>
      <c r="BT23" s="25">
        <f>IF(BS23="Above 70%",10,IF(BS23="Between 50% to 70%",5,IF(BS23="Less than 50%",0,IF(BS23="Negative",-10,IF(BS23="Less than 50% and Borrowings are increasing",-5,0)))))</f>
        <v/>
      </c>
      <c r="BU23" s="25" t="inlineStr">
        <is>
          <t>Between 0.7 to 1.2</t>
        </is>
      </c>
      <c r="BV23" s="25">
        <f>IF(BU23="More than 1.2",-10,IF(BU23="Between 0.7 to 1.2",0,IF(BU23="Less than 0.7",10,0)))</f>
        <v/>
      </c>
      <c r="BW23" s="25" t="inlineStr">
        <is>
          <t>No</t>
        </is>
      </c>
      <c r="BX23" s="25">
        <f>IF(BW23="Yes",-10,0)</f>
        <v/>
      </c>
      <c r="BY23" s="25" t="inlineStr">
        <is>
          <t>Less than 15%</t>
        </is>
      </c>
      <c r="BZ23" s="25">
        <f>IF(BY23="More than 15%",-10,IF(BY23="Less than 15%",10,0))</f>
        <v/>
      </c>
      <c r="CA23" s="25" t="inlineStr">
        <is>
          <t>No</t>
        </is>
      </c>
      <c r="CB23" s="25">
        <f>IF(CA23="Yes, more than 10%",-10,IF(CA23="No",10,0))</f>
        <v/>
      </c>
    </row>
  </sheetData>
  <autoFilter ref="A1:CB23"/>
  <conditionalFormatting sqref="B2:B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2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2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2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30">
    <dataValidation sqref="U2:U23" showDropDown="0" showInputMessage="0" showErrorMessage="0" allowBlank="1" type="list">
      <formula1>"Growing Industry,Stagnant Industry,Cyclical in an Upturn"</formula1>
    </dataValidation>
    <dataValidation sqref="W2:W2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Y2:Y23" showDropDown="0" showInputMessage="0" showErrorMessage="0" allowBlank="1" type="list">
      <formula1>"Yes,No"</formula1>
    </dataValidation>
    <dataValidation sqref="AA2:AA23" showDropDown="0" showInputMessage="0" showErrorMessage="0" allowBlank="1" type="list">
      <formula1>"Tailwind,Headwind"</formula1>
    </dataValidation>
    <dataValidation sqref="AC2:AC23" showDropDown="0" showInputMessage="0" showErrorMessage="0" allowBlank="1" type="list">
      <formula1>"Structural (10 Years Consistency),Shallow Cyclical (2 to 3 Years Growth),Cyclical"</formula1>
    </dataValidation>
    <dataValidation sqref="AE2:AE23" showDropDown="0" showInputMessage="0" showErrorMessage="0" allowBlank="1" type="list">
      <formula1>"Yes due to Product Mix change or Operating Leverage,Yes, these are peak margins,No"</formula1>
    </dataValidation>
    <dataValidation sqref="AG2:AG23" showDropDown="0" showInputMessage="0" showErrorMessage="0" allowBlank="1" type="list">
      <formula1>"Stable,Volatile"</formula1>
    </dataValidation>
    <dataValidation sqref="AI2:AI23" showDropDown="0" showInputMessage="0" showErrorMessage="0" allowBlank="1" type="list">
      <formula1>"Yes,No"</formula1>
    </dataValidation>
    <dataValidation sqref="AK2:AK23" showDropDown="0" showInputMessage="0" showErrorMessage="0" allowBlank="1" type="list">
      <formula1>"B2C,B2B,B2G"</formula1>
    </dataValidation>
    <dataValidation sqref="AM2:AM23" showDropDown="0" showInputMessage="0" showErrorMessage="0" allowBlank="1" type="list">
      <formula1>"Yes,No"</formula1>
    </dataValidation>
    <dataValidation sqref="AO2:AO23" showDropDown="0" showInputMessage="0" showErrorMessage="0" allowBlank="1" type="list">
      <formula1>"Fully Annuity,Higher Annuity, Lower One time,Higher One Time, Lower Annuity,Fully One Time"</formula1>
    </dataValidation>
    <dataValidation sqref="AQ2:AQ23" showDropDown="0" showInputMessage="0" showErrorMessage="0" allowBlank="1" type="list">
      <formula1>"Good,Allocated capital in Non-core Areas"</formula1>
    </dataValidation>
    <dataValidation sqref="AS2:AS23" showDropDown="0" showInputMessage="0" showErrorMessage="0" allowBlank="1" type="list">
      <formula1>"Yes for more than 2 years,Yes only for next 1 to 2 years,No"</formula1>
    </dataValidation>
    <dataValidation sqref="AU2:AU23" showDropDown="0" showInputMessage="0" showErrorMessage="0" allowBlank="1" type="list">
      <formula1>"Above 40,20 to 40,0 to 20"</formula1>
    </dataValidation>
    <dataValidation sqref="AW2:AW23" showDropDown="0" showInputMessage="0" showErrorMessage="0" allowBlank="1" type="list">
      <formula1>"Between 50 to 75,Above 75,Below 45"</formula1>
    </dataValidation>
    <dataValidation sqref="AY2:AY23" showDropDown="0" showInputMessage="0" showErrorMessage="0" allowBlank="1" type="list">
      <formula1>"Stage 1,Stage 2,Stage 3,Stage 4"</formula1>
    </dataValidation>
    <dataValidation sqref="BA2:BA23" showDropDown="0" showInputMessage="0" showErrorMessage="0" allowBlank="1" type="list">
      <formula1>"Positive Trend,Negative Trend"</formula1>
    </dataValidation>
    <dataValidation sqref="BC2:BC23" showDropDown="0" showInputMessage="0" showErrorMessage="0" allowBlank="1" type="list">
      <formula1>"Uptrend,Sideways,Downtrend"</formula1>
    </dataValidation>
    <dataValidation sqref="BE2:BE23" showDropDown="0" showInputMessage="0" showErrorMessage="0" allowBlank="1" type="list">
      <formula1>"Uptrend,Sideways,Downtrend"</formula1>
    </dataValidation>
    <dataValidation sqref="BG2:BG2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I2:BI23" showDropDown="0" showInputMessage="0" showErrorMessage="0" allowBlank="1" type="list">
      <formula1>"Yes,No"</formula1>
    </dataValidation>
    <dataValidation sqref="BK2:BK23" showDropDown="0" showInputMessage="0" showErrorMessage="0" allowBlank="1" type="list">
      <formula1>"More than 20%,Between 12 to 20%,Less than 12%"</formula1>
    </dataValidation>
    <dataValidation sqref="BM2:BM23" showDropDown="0" showInputMessage="0" showErrorMessage="0" allowBlank="1" type="list">
      <formula1>"Yes,No"</formula1>
    </dataValidation>
    <dataValidation sqref="BO2:BO23" showDropDown="0" showInputMessage="0" showErrorMessage="0" allowBlank="1" type="list">
      <formula1>"Yes,No"</formula1>
    </dataValidation>
    <dataValidation sqref="BQ2:BQ23" showDropDown="0" showInputMessage="0" showErrorMessage="0" allowBlank="1" type="list">
      <formula1>"Above 2,Between 1.5 to 2,Less than 1.5"</formula1>
    </dataValidation>
    <dataValidation sqref="BS2:BS23" showDropDown="0" showInputMessage="0" showErrorMessage="0" allowBlank="1" type="list">
      <formula1>"Above 70%,Between 50% to 70%,Less than 50%,Less than 50% and Borrowings are increasing,Negative"</formula1>
    </dataValidation>
    <dataValidation sqref="BU2:BU23" showDropDown="0" showInputMessage="0" showErrorMessage="0" allowBlank="1" type="list">
      <formula1>"More than 1.2,Between 0.7 to 1.2,Less than 0.7"</formula1>
    </dataValidation>
    <dataValidation sqref="BW2:BW23" showDropDown="0" showInputMessage="0" showErrorMessage="0" allowBlank="1" type="list">
      <formula1>"Yes,No"</formula1>
    </dataValidation>
    <dataValidation sqref="BY2:BY23" showDropDown="0" showInputMessage="0" showErrorMessage="0" allowBlank="1" type="list">
      <formula1>"More than 15%,Less than 15%"</formula1>
    </dataValidation>
    <dataValidation sqref="CA2:CA2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X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3" customWidth="1" min="17" max="17"/>
    <col width="23" customWidth="1" min="18" max="18"/>
    <col width="26" customWidth="1" min="19" max="19"/>
    <col width="32" customWidth="1" min="20" max="20"/>
    <col width="19" customWidth="1" min="21" max="21"/>
    <col width="25" customWidth="1" min="22" max="22"/>
    <col width="19" customWidth="1" min="23" max="23"/>
    <col width="25" customWidth="1" min="24" max="24"/>
    <col width="14" customWidth="1" min="25" max="25"/>
    <col width="20" customWidth="1" min="26" max="26"/>
    <col width="29" customWidth="1" min="27" max="27"/>
    <col width="34" customWidth="1" min="28" max="28"/>
    <col width="17" customWidth="1" min="29" max="29"/>
    <col width="23" customWidth="1" min="30" max="30"/>
    <col width="12" customWidth="1" min="31" max="31"/>
    <col width="13" customWidth="1" min="32" max="32"/>
    <col width="14" customWidth="1" min="33" max="33"/>
    <col width="20" customWidth="1" min="34" max="34"/>
    <col width="22" customWidth="1" min="35" max="35"/>
    <col width="28" customWidth="1" min="36" max="36"/>
    <col width="13" customWidth="1" min="37" max="37"/>
    <col width="19" customWidth="1" min="38" max="38"/>
    <col width="22" customWidth="1" min="39" max="39"/>
    <col width="28" customWidth="1" min="40" max="40"/>
    <col width="13" customWidth="1" min="41" max="41"/>
    <col width="19" customWidth="1" min="42" max="42"/>
    <col width="28" customWidth="1" min="43" max="43"/>
    <col width="34" customWidth="1" min="44" max="44"/>
    <col width="17" customWidth="1" min="45" max="45"/>
    <col width="23" customWidth="1" min="46" max="46"/>
    <col width="19" customWidth="1" min="47" max="47"/>
    <col width="25" customWidth="1" min="48" max="48"/>
    <col width="12" customWidth="1" min="49" max="49"/>
    <col width="14" customWidth="1" min="50" max="50"/>
    <col width="19" customWidth="1" min="51" max="51"/>
    <col width="25" customWidth="1" min="52" max="52"/>
    <col width="20" customWidth="1" min="53" max="53"/>
    <col width="26" customWidth="1" min="54" max="54"/>
    <col width="20" customWidth="1" min="55" max="55"/>
    <col width="26" customWidth="1" min="56" max="56"/>
    <col width="14" customWidth="1" min="57" max="57"/>
    <col width="20" customWidth="1" min="58" max="58"/>
    <col width="23" customWidth="1" min="59" max="59"/>
    <col width="29" customWidth="1" min="60" max="60"/>
    <col width="12" customWidth="1" min="61" max="61"/>
    <col width="13" customWidth="1" min="62" max="62"/>
    <col width="12" customWidth="1" min="63" max="63"/>
    <col width="13" customWidth="1" min="64" max="64"/>
    <col width="18" customWidth="1" min="65" max="65"/>
    <col width="24" customWidth="1" min="66" max="66"/>
    <col width="23" customWidth="1" min="67" max="67"/>
    <col width="29" customWidth="1" min="68" max="68"/>
    <col width="19" customWidth="1" min="69" max="69"/>
    <col width="25" customWidth="1" min="70" max="70"/>
    <col width="17" customWidth="1" min="71" max="71"/>
    <col width="23" customWidth="1" min="72" max="72"/>
    <col width="14" customWidth="1" min="73" max="73"/>
    <col width="20" customWidth="1" min="74" max="74"/>
    <col width="12" customWidth="1" min="75" max="75"/>
    <col width="16" customWidth="1" min="76" max="76"/>
  </cols>
  <sheetData>
    <row r="1">
      <c r="A1" s="24" t="inlineStr">
        <is>
          <t>Rank (Banks &amp; NBFC)</t>
        </is>
      </c>
      <c r="B1" s="24" t="inlineStr">
        <is>
          <t>Total Score</t>
        </is>
      </c>
      <c r="C1" s="24" t="inlineStr">
        <is>
          <t>Entry</t>
        </is>
      </c>
      <c r="D1" s="24" t="inlineStr">
        <is>
          <t>Entry Score</t>
        </is>
      </c>
      <c r="E1" s="24" t="inlineStr">
        <is>
          <t>Allocation %</t>
        </is>
      </c>
      <c r="F1" s="24" t="inlineStr">
        <is>
          <t>Allocation (₹)</t>
        </is>
      </c>
      <c r="G1" s="24" t="inlineStr">
        <is>
          <t>Quantity</t>
        </is>
      </c>
      <c r="H1" s="24" t="inlineStr">
        <is>
          <t>Symbol</t>
        </is>
      </c>
      <c r="I1" s="24" t="inlineStr">
        <is>
          <t>Company</t>
        </is>
      </c>
      <c r="J1" s="24" t="inlineStr">
        <is>
          <t>Sector</t>
        </is>
      </c>
      <c r="K1" s="24" t="inlineStr">
        <is>
          <t>Industry</t>
        </is>
      </c>
      <c r="L1" s="24" t="inlineStr">
        <is>
          <t>Market Cap Bucket</t>
        </is>
      </c>
      <c r="M1" s="24" t="inlineStr">
        <is>
          <t>Market Cap Cr</t>
        </is>
      </c>
      <c r="N1" s="24" t="inlineStr">
        <is>
          <t>Close</t>
        </is>
      </c>
      <c r="O1" s="24" t="inlineStr">
        <is>
          <t>Today Return %</t>
        </is>
      </c>
      <c r="P1" s="24" t="inlineStr">
        <is>
          <t>Volume</t>
        </is>
      </c>
      <c r="Q1" s="24" t="inlineStr">
        <is>
          <t>Calculated RSI (14)</t>
        </is>
      </c>
      <c r="R1" s="24" t="inlineStr">
        <is>
          <t>Calculated ADX (14)</t>
        </is>
      </c>
      <c r="S1" s="24" t="inlineStr">
        <is>
          <t>Calculated V-stop Line</t>
        </is>
      </c>
      <c r="T1" s="24" t="inlineStr">
        <is>
          <t>Calculated Near-term Trigger</t>
        </is>
      </c>
      <c r="U1" s="24" t="inlineStr">
        <is>
          <t>Industry Growth</t>
        </is>
      </c>
      <c r="V1" s="24" t="inlineStr">
        <is>
          <t>Industry Growth Score</t>
        </is>
      </c>
      <c r="W1" s="24" t="inlineStr">
        <is>
          <t>Competitiveness</t>
        </is>
      </c>
      <c r="X1" s="24" t="inlineStr">
        <is>
          <t>Competitiveness Score</t>
        </is>
      </c>
      <c r="Y1" s="24" t="inlineStr">
        <is>
          <t>Regulation</t>
        </is>
      </c>
      <c r="Z1" s="24" t="inlineStr">
        <is>
          <t>Regulation Score</t>
        </is>
      </c>
      <c r="AA1" s="24" t="inlineStr">
        <is>
          <t>Sector Headwinds/Tailwind</t>
        </is>
      </c>
      <c r="AB1" s="24" t="inlineStr">
        <is>
          <t>Sector Headwinds/Tailwind Score</t>
        </is>
      </c>
      <c r="AC1" s="24" t="inlineStr">
        <is>
          <t>Industry Type</t>
        </is>
      </c>
      <c r="AD1" s="24" t="inlineStr">
        <is>
          <t>Industry Type Score</t>
        </is>
      </c>
      <c r="AE1" s="24" t="inlineStr">
        <is>
          <t>NIM</t>
        </is>
      </c>
      <c r="AF1" s="24" t="inlineStr">
        <is>
          <t>NIM Score</t>
        </is>
      </c>
      <c r="AG1" s="24" t="inlineStr">
        <is>
          <t>CASA Ratio</t>
        </is>
      </c>
      <c r="AH1" s="24" t="inlineStr">
        <is>
          <t>CASA Ratio Score</t>
        </is>
      </c>
      <c r="AI1" s="24" t="inlineStr">
        <is>
          <t>Profit cyclicality</t>
        </is>
      </c>
      <c r="AJ1" s="24" t="inlineStr">
        <is>
          <t>Profit cyclicality Score</t>
        </is>
      </c>
      <c r="AK1" s="24" t="inlineStr">
        <is>
          <t>CAR Ratio</t>
        </is>
      </c>
      <c r="AL1" s="24" t="inlineStr">
        <is>
          <t>CAR Ratio Score</t>
        </is>
      </c>
      <c r="AM1" s="24" t="inlineStr">
        <is>
          <t>Near term triggers</t>
        </is>
      </c>
      <c r="AN1" s="24" t="inlineStr">
        <is>
          <t>Near term triggers Score</t>
        </is>
      </c>
      <c r="AO1" s="24" t="inlineStr">
        <is>
          <t>High P/BV</t>
        </is>
      </c>
      <c r="AP1" s="24" t="inlineStr">
        <is>
          <t>High P/BV Score</t>
        </is>
      </c>
      <c r="AQ1" s="24" t="inlineStr">
        <is>
          <t>Asset Quality Divergence</t>
        </is>
      </c>
      <c r="AR1" s="24" t="inlineStr">
        <is>
          <t>Asset Quality Divergence Score</t>
        </is>
      </c>
      <c r="AS1" s="24" t="inlineStr">
        <is>
          <t>Reported loss</t>
        </is>
      </c>
      <c r="AT1" s="24" t="inlineStr">
        <is>
          <t>Reported loss Score</t>
        </is>
      </c>
      <c r="AU1" s="24" t="inlineStr">
        <is>
          <t>CEO Resignation</t>
        </is>
      </c>
      <c r="AV1" s="24" t="inlineStr">
        <is>
          <t>CEO Resignation Score</t>
        </is>
      </c>
      <c r="AW1" s="24" t="inlineStr">
        <is>
          <t>GNPA</t>
        </is>
      </c>
      <c r="AX1" s="24" t="inlineStr">
        <is>
          <t>GNPA Score</t>
        </is>
      </c>
      <c r="AY1" s="24" t="inlineStr">
        <is>
          <t>KMP Resignation</t>
        </is>
      </c>
      <c r="AZ1" s="24" t="inlineStr">
        <is>
          <t>KMP Resignation Score</t>
        </is>
      </c>
      <c r="BA1" s="24" t="inlineStr">
        <is>
          <t>Return on Assets</t>
        </is>
      </c>
      <c r="BB1" s="24" t="inlineStr">
        <is>
          <t>Return on Assets Score</t>
        </is>
      </c>
      <c r="BC1" s="24" t="inlineStr">
        <is>
          <t>Return on Equity</t>
        </is>
      </c>
      <c r="BD1" s="24" t="inlineStr">
        <is>
          <t>Return on Equity Score</t>
        </is>
      </c>
      <c r="BE1" s="24" t="inlineStr">
        <is>
          <t>AUM Growth</t>
        </is>
      </c>
      <c r="BF1" s="24" t="inlineStr">
        <is>
          <t>AUM Growth Score</t>
        </is>
      </c>
      <c r="BG1" s="24" t="inlineStr">
        <is>
          <t>Price to Book Value</t>
        </is>
      </c>
      <c r="BH1" s="24" t="inlineStr">
        <is>
          <t>Price to Book Value Score</t>
        </is>
      </c>
      <c r="BI1" s="24" t="inlineStr">
        <is>
          <t>ADX</t>
        </is>
      </c>
      <c r="BJ1" s="24" t="inlineStr">
        <is>
          <t>ADX Score</t>
        </is>
      </c>
      <c r="BK1" s="24" t="inlineStr">
        <is>
          <t>RSI</t>
        </is>
      </c>
      <c r="BL1" s="24" t="inlineStr">
        <is>
          <t>RSI Score</t>
        </is>
      </c>
      <c r="BM1" s="24" t="inlineStr">
        <is>
          <t>Stage Analysis</t>
        </is>
      </c>
      <c r="BN1" s="24" t="inlineStr">
        <is>
          <t>Stage Analysis Score</t>
        </is>
      </c>
      <c r="BO1" s="24" t="inlineStr">
        <is>
          <t>Price Volume Action</t>
        </is>
      </c>
      <c r="BP1" s="24" t="inlineStr">
        <is>
          <t>Price Volume Action Score</t>
        </is>
      </c>
      <c r="BQ1" s="24" t="inlineStr">
        <is>
          <t>Secondary Trend</t>
        </is>
      </c>
      <c r="BR1" s="24" t="inlineStr">
        <is>
          <t>Secondary Trend Score</t>
        </is>
      </c>
      <c r="BS1" s="24" t="inlineStr">
        <is>
          <t>Primary Trend</t>
        </is>
      </c>
      <c r="BT1" s="24" t="inlineStr">
        <is>
          <t>Primary Trend Score</t>
        </is>
      </c>
      <c r="BU1" s="24" t="inlineStr">
        <is>
          <t>Resistance</t>
        </is>
      </c>
      <c r="BV1" s="24" t="inlineStr">
        <is>
          <t>Resistance Score</t>
        </is>
      </c>
      <c r="BW1" s="24" t="inlineStr">
        <is>
          <t>V-stop</t>
        </is>
      </c>
      <c r="BX1" s="24" t="inlineStr">
        <is>
          <t>V-stop Score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Y9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3" customWidth="1" min="12" max="12"/>
    <col width="23" customWidth="1" min="13" max="13"/>
    <col width="26" customWidth="1" min="14" max="14"/>
    <col width="32" customWidth="1" min="15" max="15"/>
    <col width="19" customWidth="1" min="16" max="16"/>
    <col width="25" customWidth="1" min="17" max="17"/>
    <col width="19" customWidth="1" min="18" max="18"/>
    <col width="25" customWidth="1" min="19" max="19"/>
    <col width="14" customWidth="1" min="20" max="20"/>
    <col width="20" customWidth="1" min="21" max="21"/>
    <col width="29" customWidth="1" min="22" max="22"/>
    <col width="34" customWidth="1" min="23" max="23"/>
    <col width="17" customWidth="1" min="24" max="24"/>
    <col width="23" customWidth="1" min="25" max="25"/>
    <col width="12" customWidth="1" min="26" max="26"/>
    <col width="17" customWidth="1" min="27" max="27"/>
    <col width="21" customWidth="1" min="28" max="28"/>
    <col width="27" customWidth="1" min="29" max="29"/>
    <col width="12" customWidth="1" min="30" max="30"/>
    <col width="16" customWidth="1" min="31" max="31"/>
    <col width="17" customWidth="1" min="32" max="32"/>
    <col width="23" customWidth="1" min="33" max="33"/>
    <col width="22" customWidth="1" min="34" max="34"/>
    <col width="28" customWidth="1" min="35" max="35"/>
    <col width="19" customWidth="1" min="36" max="36"/>
    <col width="25" customWidth="1" min="37" max="37"/>
    <col width="22" customWidth="1" min="38" max="38"/>
    <col width="28" customWidth="1" min="39" max="39"/>
    <col width="22" customWidth="1" min="40" max="40"/>
    <col width="28" customWidth="1" min="41" max="41"/>
    <col width="12" customWidth="1" min="42" max="42"/>
    <col width="13" customWidth="1" min="43" max="43"/>
    <col width="12" customWidth="1" min="44" max="44"/>
    <col width="13" customWidth="1" min="45" max="45"/>
    <col width="18" customWidth="1" min="46" max="46"/>
    <col width="24" customWidth="1" min="47" max="47"/>
    <col width="23" customWidth="1" min="48" max="48"/>
    <col width="29" customWidth="1" min="49" max="49"/>
    <col width="19" customWidth="1" min="50" max="50"/>
    <col width="25" customWidth="1" min="51" max="51"/>
    <col width="17" customWidth="1" min="52" max="52"/>
    <col width="23" customWidth="1" min="53" max="53"/>
    <col width="14" customWidth="1" min="54" max="54"/>
    <col width="20" customWidth="1" min="55" max="55"/>
    <col width="12" customWidth="1" min="56" max="56"/>
    <col width="16" customWidth="1" min="57" max="57"/>
    <col width="14" customWidth="1" min="58" max="58"/>
    <col width="20" customWidth="1" min="59" max="59"/>
    <col width="17" customWidth="1" min="60" max="60"/>
    <col width="23" customWidth="1" min="61" max="61"/>
    <col width="12" customWidth="1" min="62" max="62"/>
    <col width="18" customWidth="1" min="63" max="63"/>
    <col width="13" customWidth="1" min="64" max="64"/>
    <col width="19" customWidth="1" min="65" max="65"/>
    <col width="17" customWidth="1" min="66" max="66"/>
    <col width="23" customWidth="1" min="67" max="67"/>
    <col width="18" customWidth="1" min="68" max="68"/>
    <col width="24" customWidth="1" min="69" max="69"/>
    <col width="23" customWidth="1" min="70" max="70"/>
    <col width="29" customWidth="1" min="71" max="71"/>
    <col width="24" customWidth="1" min="72" max="72"/>
    <col width="30" customWidth="1" min="73" max="73"/>
    <col width="12" customWidth="1" min="74" max="74"/>
    <col width="18" customWidth="1" min="75" max="75"/>
    <col width="16" customWidth="1" min="76" max="76"/>
    <col width="22" customWidth="1" min="77" max="77"/>
  </cols>
  <sheetData>
    <row r="1">
      <c r="A1" s="24" t="inlineStr">
        <is>
          <t>Rank (Non Financial)</t>
        </is>
      </c>
      <c r="B1" s="24" t="inlineStr">
        <is>
          <t>Total Score</t>
        </is>
      </c>
      <c r="C1" s="24" t="inlineStr">
        <is>
          <t>Symbol</t>
        </is>
      </c>
      <c r="D1" s="24" t="inlineStr">
        <is>
          <t>Company</t>
        </is>
      </c>
      <c r="E1" s="24" t="inlineStr">
        <is>
          <t>Sector</t>
        </is>
      </c>
      <c r="F1" s="24" t="inlineStr">
        <is>
          <t>Industry</t>
        </is>
      </c>
      <c r="G1" s="24" t="inlineStr">
        <is>
          <t>Market Cap Bucket</t>
        </is>
      </c>
      <c r="H1" s="24" t="inlineStr">
        <is>
          <t>Market Cap Cr</t>
        </is>
      </c>
      <c r="I1" s="24" t="inlineStr">
        <is>
          <t>Close</t>
        </is>
      </c>
      <c r="J1" s="24" t="inlineStr">
        <is>
          <t>Today Return %</t>
        </is>
      </c>
      <c r="K1" s="24" t="inlineStr">
        <is>
          <t>Volume</t>
        </is>
      </c>
      <c r="L1" s="24" t="inlineStr">
        <is>
          <t>Calculated RSI (14)</t>
        </is>
      </c>
      <c r="M1" s="24" t="inlineStr">
        <is>
          <t>Calculated ADX (14)</t>
        </is>
      </c>
      <c r="N1" s="24" t="inlineStr">
        <is>
          <t>Calculated V-stop Line</t>
        </is>
      </c>
      <c r="O1" s="24" t="inlineStr">
        <is>
          <t>Calculated Near-term Trigger</t>
        </is>
      </c>
      <c r="P1" s="24" t="inlineStr">
        <is>
          <t>Industry Growth</t>
        </is>
      </c>
      <c r="Q1" s="24" t="inlineStr">
        <is>
          <t>Industry Growth Score</t>
        </is>
      </c>
      <c r="R1" s="24" t="inlineStr">
        <is>
          <t>Competitiveness</t>
        </is>
      </c>
      <c r="S1" s="24" t="inlineStr">
        <is>
          <t>Competitiveness Score</t>
        </is>
      </c>
      <c r="T1" s="24" t="inlineStr">
        <is>
          <t>Regulation</t>
        </is>
      </c>
      <c r="U1" s="24" t="inlineStr">
        <is>
          <t>Regulation Score</t>
        </is>
      </c>
      <c r="V1" s="24" t="inlineStr">
        <is>
          <t>Sector Headwinds/Tailwind</t>
        </is>
      </c>
      <c r="W1" s="24" t="inlineStr">
        <is>
          <t>Sector Headwinds/Tailwind Score</t>
        </is>
      </c>
      <c r="X1" s="24" t="inlineStr">
        <is>
          <t>Industry Type</t>
        </is>
      </c>
      <c r="Y1" s="24" t="inlineStr">
        <is>
          <t>Industry Type Score</t>
        </is>
      </c>
      <c r="Z1" s="24" t="inlineStr">
        <is>
          <t>Margins</t>
        </is>
      </c>
      <c r="AA1" s="24" t="inlineStr">
        <is>
          <t>Margins Score</t>
        </is>
      </c>
      <c r="AB1" s="24" t="inlineStr">
        <is>
          <t>Margins Stability</t>
        </is>
      </c>
      <c r="AC1" s="24" t="inlineStr">
        <is>
          <t>Margins Stability Score</t>
        </is>
      </c>
      <c r="AD1" s="24" t="inlineStr">
        <is>
          <t>Growth</t>
        </is>
      </c>
      <c r="AE1" s="24" t="inlineStr">
        <is>
          <t>Growth Score</t>
        </is>
      </c>
      <c r="AF1" s="24" t="inlineStr">
        <is>
          <t>Business Type</t>
        </is>
      </c>
      <c r="AG1" s="24" t="inlineStr">
        <is>
          <t>Business Type Score</t>
        </is>
      </c>
      <c r="AH1" s="24" t="inlineStr">
        <is>
          <t>Near term triggers</t>
        </is>
      </c>
      <c r="AI1" s="24" t="inlineStr">
        <is>
          <t>Near term triggers Score</t>
        </is>
      </c>
      <c r="AJ1" s="24" t="inlineStr">
        <is>
          <t>Type of Revenue</t>
        </is>
      </c>
      <c r="AK1" s="24" t="inlineStr">
        <is>
          <t>Type of Revenue Score</t>
        </is>
      </c>
      <c r="AL1" s="24" t="inlineStr">
        <is>
          <t>Capital Allocation</t>
        </is>
      </c>
      <c r="AM1" s="24" t="inlineStr">
        <is>
          <t>Capital Allocation Score</t>
        </is>
      </c>
      <c r="AN1" s="24" t="inlineStr">
        <is>
          <t>Medium term Growth</t>
        </is>
      </c>
      <c r="AO1" s="24" t="inlineStr">
        <is>
          <t>Medium term Growth Score</t>
        </is>
      </c>
      <c r="AP1" s="24" t="inlineStr">
        <is>
          <t>ADX</t>
        </is>
      </c>
      <c r="AQ1" s="24" t="inlineStr">
        <is>
          <t>ADX Score</t>
        </is>
      </c>
      <c r="AR1" s="24" t="inlineStr">
        <is>
          <t>RSI</t>
        </is>
      </c>
      <c r="AS1" s="24" t="inlineStr">
        <is>
          <t>RSI Score</t>
        </is>
      </c>
      <c r="AT1" s="24" t="inlineStr">
        <is>
          <t>Stage Analysis</t>
        </is>
      </c>
      <c r="AU1" s="24" t="inlineStr">
        <is>
          <t>Stage Analysis Score</t>
        </is>
      </c>
      <c r="AV1" s="24" t="inlineStr">
        <is>
          <t>Price Volume Action</t>
        </is>
      </c>
      <c r="AW1" s="24" t="inlineStr">
        <is>
          <t>Price Volume Action Score</t>
        </is>
      </c>
      <c r="AX1" s="24" t="inlineStr">
        <is>
          <t>Secondary Trend</t>
        </is>
      </c>
      <c r="AY1" s="24" t="inlineStr">
        <is>
          <t>Secondary Trend Score</t>
        </is>
      </c>
      <c r="AZ1" s="24" t="inlineStr">
        <is>
          <t>Primary Trend</t>
        </is>
      </c>
      <c r="BA1" s="24" t="inlineStr">
        <is>
          <t>Primary Trend Score</t>
        </is>
      </c>
      <c r="BB1" s="24" t="inlineStr">
        <is>
          <t>Resistance</t>
        </is>
      </c>
      <c r="BC1" s="24" t="inlineStr">
        <is>
          <t>Resistance Score</t>
        </is>
      </c>
      <c r="BD1" s="24" t="inlineStr">
        <is>
          <t>V-stop</t>
        </is>
      </c>
      <c r="BE1" s="24" t="inlineStr">
        <is>
          <t>V-stop Score</t>
        </is>
      </c>
      <c r="BF1" s="24" t="inlineStr">
        <is>
          <t>PAT Growth</t>
        </is>
      </c>
      <c r="BG1" s="24" t="inlineStr">
        <is>
          <t>PAT Growth Score</t>
        </is>
      </c>
      <c r="BH1" s="24" t="inlineStr">
        <is>
          <t>Stock History</t>
        </is>
      </c>
      <c r="BI1" s="24" t="inlineStr">
        <is>
          <t>Stock History Score</t>
        </is>
      </c>
      <c r="BJ1" s="24" t="inlineStr">
        <is>
          <t>PE Ratio</t>
        </is>
      </c>
      <c r="BK1" s="24" t="inlineStr">
        <is>
          <t>PE Ratio Score</t>
        </is>
      </c>
      <c r="BL1" s="24" t="inlineStr">
        <is>
          <t>PEG Ratio</t>
        </is>
      </c>
      <c r="BM1" s="24" t="inlineStr">
        <is>
          <t>PEG Ratio Score</t>
        </is>
      </c>
      <c r="BN1" s="24" t="inlineStr">
        <is>
          <t>CFO to EBITDA</t>
        </is>
      </c>
      <c r="BO1" s="24" t="inlineStr">
        <is>
          <t>CFO to EBITDA Score</t>
        </is>
      </c>
      <c r="BP1" s="24" t="inlineStr">
        <is>
          <t>Debt to Equity</t>
        </is>
      </c>
      <c r="BQ1" s="24" t="inlineStr">
        <is>
          <t>Debt to Equity Score</t>
        </is>
      </c>
      <c r="BR1" s="24" t="inlineStr">
        <is>
          <t>Auditor Resignation</t>
        </is>
      </c>
      <c r="BS1" s="24" t="inlineStr">
        <is>
          <t>Auditor Resignation Score</t>
        </is>
      </c>
      <c r="BT1" s="24" t="inlineStr">
        <is>
          <t>Contingent Liability</t>
        </is>
      </c>
      <c r="BU1" s="24" t="inlineStr">
        <is>
          <t>Contingent Liability Score</t>
        </is>
      </c>
      <c r="BV1" s="24" t="inlineStr">
        <is>
          <t>Pledging</t>
        </is>
      </c>
      <c r="BW1" s="24" t="inlineStr">
        <is>
          <t>Pledging Score</t>
        </is>
      </c>
      <c r="BX1" s="24" t="inlineStr">
        <is>
          <t>Scan Matches</t>
        </is>
      </c>
      <c r="BY1" s="24" t="inlineStr">
        <is>
          <t>Scan Matches Score</t>
        </is>
      </c>
    </row>
    <row r="2">
      <c r="A2" s="25">
        <f>IF(B2=0,"",RANK(B2,$B$2:$B$95,0))</f>
        <v/>
      </c>
      <c r="B2" s="26">
        <f>SUM(Q2,S2,U2,W2,Y2,AA2,AC2,AE2,AG2,AI2,AK2,AM2,AO2,AQ2,AS2,AU2,AW2,AY2,BA2,BC2,BE2,BG2,BI2,BK2,BM2,BO2,BQ2,BS2,BU2,BW2,BY2)</f>
        <v/>
      </c>
      <c r="C2" s="25" t="inlineStr">
        <is>
          <t>SEAMECLTD</t>
        </is>
      </c>
      <c r="D2" s="25" t="inlineStr">
        <is>
          <t>SEAMEC Ltd</t>
        </is>
      </c>
      <c r="E2" s="25" t="inlineStr">
        <is>
          <t>miscellaneous</t>
        </is>
      </c>
      <c r="F2" s="25" t="inlineStr">
        <is>
          <t>Shipping</t>
        </is>
      </c>
      <c r="G2" s="25" t="inlineStr">
        <is>
          <t>smallcap</t>
        </is>
      </c>
      <c r="H2" s="26" t="n">
        <v>4178.09</v>
      </c>
      <c r="I2" s="26" t="n">
        <v>1643.3</v>
      </c>
      <c r="J2" s="26" t="n">
        <v>1.16</v>
      </c>
      <c r="K2" s="26" t="n">
        <v>0</v>
      </c>
      <c r="L2" s="26" t="n">
        <v>74.40000000000001</v>
      </c>
      <c r="M2" s="26" t="n">
        <v>55.66</v>
      </c>
      <c r="N2" s="26" t="n">
        <v>1276.16</v>
      </c>
      <c r="O2" s="25" t="inlineStr">
        <is>
          <t>Near 52W High Breakout</t>
        </is>
      </c>
      <c r="P2" s="25" t="inlineStr">
        <is>
          <t>Growing Industry</t>
        </is>
      </c>
      <c r="Q2" s="25">
        <f>IF(P2="Growing Industry",10,IF(P2="Cyclical in an Upturn",5,0))</f>
        <v/>
      </c>
      <c r="R2" s="25" t="inlineStr">
        <is>
          <t>Too Many Players with High ROCE</t>
        </is>
      </c>
      <c r="S2" s="25">
        <f>IF(R2="Monopoly",10,IF(R2="Oligopoly",5,IF(R2="Duopoly that cooperate",10,IF(R2="Duopoly that compete",5,IF(R2="Too many players with High ROCE",5,0)))))</f>
        <v/>
      </c>
      <c r="T2" s="25" t="inlineStr">
        <is>
          <t>No</t>
        </is>
      </c>
      <c r="U2" s="25">
        <f>IF(T2="No",5,0)</f>
        <v/>
      </c>
      <c r="V2" s="25" t="inlineStr">
        <is>
          <t>Tailwind</t>
        </is>
      </c>
      <c r="W2" s="25">
        <f>IF(V2="Tailwind",10,0)</f>
        <v/>
      </c>
      <c r="X2" s="25" t="inlineStr">
        <is>
          <t>Structural (10 Years Consistency)</t>
        </is>
      </c>
      <c r="Y2" s="25">
        <f>IF(X2="Structural (10 Years Consistency)",10,IF(X2="Shallow Cyclical (2 to 3 years growth)",5,0))</f>
        <v/>
      </c>
      <c r="Z2" s="25" t="inlineStr">
        <is>
          <t>No</t>
        </is>
      </c>
      <c r="AA2" s="25">
        <f>IF(Z2="Yes due to Product Mix change or Operating Leverage",10,IF(Z2="Yes, these are peak margins",-5,IF(Z2="No",5,0)))</f>
        <v/>
      </c>
      <c r="AB2" s="25" t="inlineStr">
        <is>
          <t>Stable</t>
        </is>
      </c>
      <c r="AC2" s="25">
        <f>IF(AB2="Stable",10,0)</f>
        <v/>
      </c>
      <c r="AD2" s="25" t="inlineStr">
        <is>
          <t>Yes</t>
        </is>
      </c>
      <c r="AE2" s="25">
        <f>IF(AD2="Yes",10,0)</f>
        <v/>
      </c>
      <c r="AF2" s="25" t="inlineStr">
        <is>
          <t>B2B</t>
        </is>
      </c>
      <c r="AG2" s="25">
        <f>IF(AF2="B2C",10,IF(AF2="B2B",5,0))</f>
        <v/>
      </c>
      <c r="AH2" s="25" t="inlineStr">
        <is>
          <t>Yes</t>
        </is>
      </c>
      <c r="AI2" s="25">
        <f>IF(AH2="Yes",10,0)</f>
        <v/>
      </c>
      <c r="AJ2" s="25" t="inlineStr">
        <is>
          <t>Higher One Time, Lower Annuity</t>
        </is>
      </c>
      <c r="AK2" s="25">
        <f>IF(AJ2="Fully Annuity",10,IF(AJ2="Higher Annuity, Lower One Time",5,IF(AJ2="Higher One Time, Lower Annuity",3,0)))</f>
        <v/>
      </c>
      <c r="AL2" s="25" t="inlineStr">
        <is>
          <t>Good</t>
        </is>
      </c>
      <c r="AM2" s="25">
        <f>IF(AL2="Good",10,0)</f>
        <v/>
      </c>
      <c r="AN2" s="25" t="inlineStr">
        <is>
          <t>Yes for more than 2 years</t>
        </is>
      </c>
      <c r="AO2" s="25">
        <f>IF(AN2="Yes for more than 2 years",10,IF(AN2="Yes only for next 1 to 2 years",5,0))</f>
        <v/>
      </c>
      <c r="AP2" s="25" t="inlineStr">
        <is>
          <t>Above 40</t>
        </is>
      </c>
      <c r="AQ2" s="25">
        <f>IF(AP2="Above 40",20,IF(AP2="20 to 40",10,IF(AP2="0 to 20",-5,0)))</f>
        <v/>
      </c>
      <c r="AR2" s="25" t="inlineStr">
        <is>
          <t>Between 50 to 75</t>
        </is>
      </c>
      <c r="AS2" s="25">
        <f>IF(AR2="Between 50 to 75",10,IF(AR2="Above 75",0,0))</f>
        <v/>
      </c>
      <c r="AT2" s="25" t="inlineStr">
        <is>
          <t>Stage 2</t>
        </is>
      </c>
      <c r="AU2" s="25">
        <f>IF(AT2="Stage 2",20,IF(AT2="Stage 1",0,IF(AT2="Stage 3",5,IF(AT2="Stage 4",-5,0))))</f>
        <v/>
      </c>
      <c r="AV2" s="25" t="inlineStr">
        <is>
          <t>Positive Trend</t>
        </is>
      </c>
      <c r="AW2" s="25">
        <f>IF(AV2="Positive Trend",20,IF(AV2="Negative Trend",-10,0))</f>
        <v/>
      </c>
      <c r="AX2" s="25" t="inlineStr">
        <is>
          <t>Uptrend</t>
        </is>
      </c>
      <c r="AY2" s="25">
        <f>IF(AX2="Uptrend",10,IF(AX2="Sideways",5,0))</f>
        <v/>
      </c>
      <c r="AZ2" s="25" t="inlineStr">
        <is>
          <t>Uptrend</t>
        </is>
      </c>
      <c r="BA2" s="25">
        <f>IF(AZ2="Uptrend",10,IF(AZ2="Sideways",5,0))</f>
        <v/>
      </c>
      <c r="BB2" s="25" t="inlineStr">
        <is>
          <t>Blue sky scenario</t>
        </is>
      </c>
      <c r="BC2" s="25">
        <f>IF(BB2="Overhead supply in last 2 years in last 2 years",-5,IF(BB2="Close to 52 week high or retracement",5,IF(BB2="Blue sky scenario",10,IF(BB2="Long term Downtrend",-10,0))))</f>
        <v/>
      </c>
      <c r="BD2" s="25" t="inlineStr">
        <is>
          <t>Yes</t>
        </is>
      </c>
      <c r="BE2" s="25">
        <f>IF(BD2="Yes",10,0)</f>
        <v/>
      </c>
      <c r="BF2" s="25" t="inlineStr">
        <is>
          <t>More than 20%</t>
        </is>
      </c>
      <c r="BG2" s="25">
        <f>IF(BF2="More than 20%",10,IF(BF2="Between 12 to 20%",5,IF(BF2="Less than 12%",0,0)))</f>
        <v/>
      </c>
      <c r="BH2" s="25" t="inlineStr">
        <is>
          <t>No</t>
        </is>
      </c>
      <c r="BI2" s="25">
        <f>IF(BH2="No",10,0)</f>
        <v/>
      </c>
      <c r="BJ2" s="25" t="inlineStr">
        <is>
          <t>No</t>
        </is>
      </c>
      <c r="BK2" s="25">
        <f>IF(BJ2="NO",5,0)</f>
        <v/>
      </c>
      <c r="BL2" s="25" t="inlineStr">
        <is>
          <t>Less than 1.5</t>
        </is>
      </c>
      <c r="BM2" s="25">
        <f>IF(BL2="Above 2",0,IF(BL2="Between 1.5 to 2",5,IF(BL2="Less than 1.5",10,0)))</f>
        <v/>
      </c>
      <c r="BN2" s="25" t="inlineStr">
        <is>
          <t>Above 70%</t>
        </is>
      </c>
      <c r="BO2" s="25">
        <f>IF(BN2="Above 70%",10,IF(BN2="Between 50% to 70%",5,IF(BN2="Less than 50%",0,IF(BN2="Negative",-10,IF(BN2="Less than 50% and Borrowings are increasing",-5,0)))))</f>
        <v/>
      </c>
      <c r="BP2" s="25" t="inlineStr">
        <is>
          <t>Less than 0.7</t>
        </is>
      </c>
      <c r="BQ2" s="25">
        <f>IF(BP2="More than 1.2",-10,IF(BP2="Between 0.7 to 1.2",0,IF(BP2="Less than 0.7",10,0)))</f>
        <v/>
      </c>
      <c r="BR2" s="25" t="inlineStr">
        <is>
          <t>No</t>
        </is>
      </c>
      <c r="BS2" s="25">
        <f>IF(BR2="Yes",-10,0)</f>
        <v/>
      </c>
      <c r="BT2" s="25" t="inlineStr">
        <is>
          <t>Less than 15%</t>
        </is>
      </c>
      <c r="BU2" s="25">
        <f>IF(BT2="More than 15%",-10,IF(BT2="Less than 15%",10,0))</f>
        <v/>
      </c>
      <c r="BV2" s="25" t="inlineStr">
        <is>
          <t>No</t>
        </is>
      </c>
      <c r="BW2" s="25">
        <f>IF(BV2="Yes, more than 10%",-10,IF(BV2="No",10,0))</f>
        <v/>
      </c>
      <c r="BX2" s="25" t="inlineStr">
        <is>
          <t>25</t>
        </is>
      </c>
      <c r="BY2" s="25">
        <f>IF(BX2&gt;20,10,IF(BX2&gt;=10,5,2))</f>
        <v/>
      </c>
    </row>
    <row r="3">
      <c r="A3" s="25">
        <f>IF(B3=0,"",RANK(B3,$B$2:$B$95,0))</f>
        <v/>
      </c>
      <c r="B3" s="26">
        <f>SUM(Q3,S3,U3,W3,Y3,AA3,AC3,AE3,AG3,AI3,AK3,AM3,AO3,AQ3,AS3,AU3,AW3,AY3,BA3,BC3,BE3,BG3,BI3,BK3,BM3,BO3,BQ3,BS3,BU3,BW3,BY3)</f>
        <v/>
      </c>
      <c r="C3" s="25" t="inlineStr">
        <is>
          <t>BAJAJCON</t>
        </is>
      </c>
      <c r="D3" s="25" t="inlineStr">
        <is>
          <t>Bajaj Consumer Care Ltd</t>
        </is>
      </c>
      <c r="E3" s="25" t="inlineStr">
        <is>
          <t>fmcg</t>
        </is>
      </c>
      <c r="F3" s="25" t="inlineStr">
        <is>
          <t>FMCG - Personal Care</t>
        </is>
      </c>
      <c r="G3" s="25" t="inlineStr">
        <is>
          <t>midcap</t>
        </is>
      </c>
      <c r="H3" s="26" t="n">
        <v>7466.8</v>
      </c>
      <c r="I3" s="26" t="n">
        <v>571.65</v>
      </c>
      <c r="J3" s="26" t="n">
        <v>2.25</v>
      </c>
      <c r="K3" s="26" t="n">
        <v>0</v>
      </c>
      <c r="L3" s="26" t="n">
        <v>75.88</v>
      </c>
      <c r="M3" s="26" t="n">
        <v>51.77</v>
      </c>
      <c r="N3" s="26" t="n">
        <v>442.7</v>
      </c>
      <c r="O3" s="25" t="inlineStr">
        <is>
          <t>Near 52W High Breakout</t>
        </is>
      </c>
      <c r="P3" s="25" t="inlineStr">
        <is>
          <t>Growing Industry</t>
        </is>
      </c>
      <c r="Q3" s="25">
        <f>IF(P3="Growing Industry",10,IF(P3="Cyclical in an Upturn",5,0))</f>
        <v/>
      </c>
      <c r="R3" s="25" t="inlineStr">
        <is>
          <t>Too Many Players with High ROCE</t>
        </is>
      </c>
      <c r="S3" s="25">
        <f>IF(R3="Monopoly",10,IF(R3="Oligopoly",5,IF(R3="Duopoly that cooperate",10,IF(R3="Duopoly that compete",5,IF(R3="Too many players with High ROCE",5,0)))))</f>
        <v/>
      </c>
      <c r="T3" s="25" t="inlineStr">
        <is>
          <t>No</t>
        </is>
      </c>
      <c r="U3" s="25">
        <f>IF(T3="No",5,0)</f>
        <v/>
      </c>
      <c r="V3" s="25" t="inlineStr">
        <is>
          <t>Tailwind</t>
        </is>
      </c>
      <c r="W3" s="25">
        <f>IF(V3="Tailwind",10,0)</f>
        <v/>
      </c>
      <c r="X3" s="25" t="inlineStr">
        <is>
          <t>Structural (10 Years Consistency)</t>
        </is>
      </c>
      <c r="Y3" s="25">
        <f>IF(X3="Structural (10 Years Consistency)",10,IF(X3="Shallow Cyclical (2 to 3 years growth)",5,0))</f>
        <v/>
      </c>
      <c r="Z3" s="25" t="inlineStr">
        <is>
          <t>No</t>
        </is>
      </c>
      <c r="AA3" s="25">
        <f>IF(Z3="Yes due to Product Mix change or Operating Leverage",10,IF(Z3="Yes, these are peak margins",-5,IF(Z3="No",5,0)))</f>
        <v/>
      </c>
      <c r="AB3" s="25" t="inlineStr">
        <is>
          <t>Stable</t>
        </is>
      </c>
      <c r="AC3" s="25">
        <f>IF(AB3="Stable",10,0)</f>
        <v/>
      </c>
      <c r="AD3" s="25" t="inlineStr">
        <is>
          <t>Yes</t>
        </is>
      </c>
      <c r="AE3" s="25">
        <f>IF(AD3="Yes",10,0)</f>
        <v/>
      </c>
      <c r="AF3" s="25" t="inlineStr">
        <is>
          <t>B2C</t>
        </is>
      </c>
      <c r="AG3" s="25">
        <f>IF(AF3="B2C",10,IF(AF3="B2B",5,0))</f>
        <v/>
      </c>
      <c r="AH3" s="25" t="inlineStr">
        <is>
          <t>Yes</t>
        </is>
      </c>
      <c r="AI3" s="25">
        <f>IF(AH3="Yes",10,0)</f>
        <v/>
      </c>
      <c r="AJ3" s="25" t="inlineStr">
        <is>
          <t>Higher Annuity, Lower One Time</t>
        </is>
      </c>
      <c r="AK3" s="25">
        <f>IF(AJ3="Fully Annuity",10,IF(AJ3="Higher Annuity, Lower One Time",5,IF(AJ3="Higher One Time, Lower Annuity",3,0)))</f>
        <v/>
      </c>
      <c r="AL3" s="25" t="inlineStr">
        <is>
          <t>Good</t>
        </is>
      </c>
      <c r="AM3" s="25">
        <f>IF(AL3="Good",10,0)</f>
        <v/>
      </c>
      <c r="AN3" s="25" t="inlineStr">
        <is>
          <t>Yes for more than 2 years</t>
        </is>
      </c>
      <c r="AO3" s="25">
        <f>IF(AN3="Yes for more than 2 years",10,IF(AN3="Yes only for next 1 to 2 years",5,0))</f>
        <v/>
      </c>
      <c r="AP3" s="25" t="inlineStr">
        <is>
          <t>Above 40</t>
        </is>
      </c>
      <c r="AQ3" s="25">
        <f>IF(AP3="Above 40",20,IF(AP3="20 to 40",10,IF(AP3="0 to 20",-5,0)))</f>
        <v/>
      </c>
      <c r="AR3" s="25" t="inlineStr">
        <is>
          <t>Above 75</t>
        </is>
      </c>
      <c r="AS3" s="25">
        <f>IF(AR3="Between 50 to 75",10,IF(AR3="Above 75",0,0))</f>
        <v/>
      </c>
      <c r="AT3" s="25" t="inlineStr">
        <is>
          <t>Stage 2</t>
        </is>
      </c>
      <c r="AU3" s="25">
        <f>IF(AT3="Stage 2",20,IF(AT3="Stage 1",0,IF(AT3="Stage 3",5,IF(AT3="Stage 4",-5,0))))</f>
        <v/>
      </c>
      <c r="AV3" s="25" t="inlineStr">
        <is>
          <t>Positive Trend</t>
        </is>
      </c>
      <c r="AW3" s="25">
        <f>IF(AV3="Positive Trend",20,IF(AV3="Negative Trend",-10,0))</f>
        <v/>
      </c>
      <c r="AX3" s="25" t="inlineStr">
        <is>
          <t>Uptrend</t>
        </is>
      </c>
      <c r="AY3" s="25">
        <f>IF(AX3="Uptrend",10,IF(AX3="Sideways",5,0))</f>
        <v/>
      </c>
      <c r="AZ3" s="25" t="inlineStr">
        <is>
          <t>Uptrend</t>
        </is>
      </c>
      <c r="BA3" s="25">
        <f>IF(AZ3="Uptrend",10,IF(AZ3="Sideways",5,0))</f>
        <v/>
      </c>
      <c r="BB3" s="25" t="inlineStr">
        <is>
          <t>Blue sky scenario</t>
        </is>
      </c>
      <c r="BC3" s="25">
        <f>IF(BB3="Overhead supply in last 2 years in last 2 years",-5,IF(BB3="Close to 52 week high or retracement",5,IF(BB3="Blue sky scenario",10,IF(BB3="Long term Downtrend",-10,0))))</f>
        <v/>
      </c>
      <c r="BD3" s="25" t="inlineStr">
        <is>
          <t>Yes</t>
        </is>
      </c>
      <c r="BE3" s="25">
        <f>IF(BD3="Yes",10,0)</f>
        <v/>
      </c>
      <c r="BF3" s="25" t="inlineStr">
        <is>
          <t>More than 20%</t>
        </is>
      </c>
      <c r="BG3" s="25">
        <f>IF(BF3="More than 20%",10,IF(BF3="Between 12 to 20%",5,IF(BF3="Less than 12%",0,0)))</f>
        <v/>
      </c>
      <c r="BH3" s="25" t="inlineStr">
        <is>
          <t>No</t>
        </is>
      </c>
      <c r="BI3" s="25">
        <f>IF(BH3="No",10,0)</f>
        <v/>
      </c>
      <c r="BJ3" s="25" t="inlineStr">
        <is>
          <t>Yes</t>
        </is>
      </c>
      <c r="BK3" s="25">
        <f>IF(BJ3="NO",5,0)</f>
        <v/>
      </c>
      <c r="BL3" s="25" t="inlineStr">
        <is>
          <t>Less than 1.5</t>
        </is>
      </c>
      <c r="BM3" s="25">
        <f>IF(BL3="Above 2",0,IF(BL3="Between 1.5 to 2",5,IF(BL3="Less than 1.5",10,0)))</f>
        <v/>
      </c>
      <c r="BN3" s="25" t="inlineStr">
        <is>
          <t>Above 70%</t>
        </is>
      </c>
      <c r="BO3" s="25">
        <f>IF(BN3="Above 70%",10,IF(BN3="Between 50% to 70%",5,IF(BN3="Less than 50%",0,IF(BN3="Negative",-10,IF(BN3="Less than 50% and Borrowings are increasing",-5,0)))))</f>
        <v/>
      </c>
      <c r="BP3" s="25" t="inlineStr">
        <is>
          <t>Less than 0.7</t>
        </is>
      </c>
      <c r="BQ3" s="25">
        <f>IF(BP3="More than 1.2",-10,IF(BP3="Between 0.7 to 1.2",0,IF(BP3="Less than 0.7",10,0)))</f>
        <v/>
      </c>
      <c r="BR3" s="25" t="inlineStr">
        <is>
          <t>No</t>
        </is>
      </c>
      <c r="BS3" s="25">
        <f>IF(BR3="Yes",-10,0)</f>
        <v/>
      </c>
      <c r="BT3" s="25" t="inlineStr">
        <is>
          <t>Less than 15%</t>
        </is>
      </c>
      <c r="BU3" s="25">
        <f>IF(BT3="More than 15%",-10,IF(BT3="Less than 15%",10,0))</f>
        <v/>
      </c>
      <c r="BV3" s="25" t="inlineStr">
        <is>
          <t>No</t>
        </is>
      </c>
      <c r="BW3" s="25">
        <f>IF(BV3="Yes, more than 10%",-10,IF(BV3="No",10,0))</f>
        <v/>
      </c>
      <c r="BX3" s="25" t="inlineStr">
        <is>
          <t>25</t>
        </is>
      </c>
      <c r="BY3" s="25">
        <f>IF(BX3&gt;20,10,IF(BX3&gt;=10,5,2))</f>
        <v/>
      </c>
    </row>
    <row r="4">
      <c r="A4" s="25">
        <f>IF(B4=0,"",RANK(B4,$B$2:$B$95,0))</f>
        <v/>
      </c>
      <c r="B4" s="26">
        <f>SUM(Q4,S4,U4,W4,Y4,AA4,AC4,AE4,AG4,AI4,AK4,AM4,AO4,AQ4,AS4,AU4,AW4,AY4,BA4,BC4,BE4,BG4,BI4,BK4,BM4,BO4,BQ4,BS4,BU4,BW4,BY4)</f>
        <v/>
      </c>
      <c r="C4" s="25" t="inlineStr">
        <is>
          <t>NGLFINE</t>
        </is>
      </c>
      <c r="D4" s="25" t="inlineStr">
        <is>
          <t>NGL Fine Chem Ltd</t>
        </is>
      </c>
      <c r="E4" s="25" t="inlineStr">
        <is>
          <t>healthcare</t>
        </is>
      </c>
      <c r="F4" s="25" t="inlineStr">
        <is>
          <t>Pharma - Animal</t>
        </is>
      </c>
      <c r="G4" s="25" t="inlineStr">
        <is>
          <t>smallcap</t>
        </is>
      </c>
      <c r="H4" s="26" t="n">
        <v>1639.96</v>
      </c>
      <c r="I4" s="26" t="n">
        <v>2654.5</v>
      </c>
      <c r="J4" s="26" t="n">
        <v>-3.12</v>
      </c>
      <c r="K4" s="26" t="n">
        <v>0</v>
      </c>
      <c r="L4" s="26" t="n">
        <v>69.93000000000001</v>
      </c>
      <c r="M4" s="26" t="n">
        <v>67.22</v>
      </c>
      <c r="N4" s="26" t="n">
        <v>1834.93</v>
      </c>
      <c r="O4" s="25" t="inlineStr">
        <is>
          <t>Near 52W High Breakout</t>
        </is>
      </c>
      <c r="P4" s="25" t="inlineStr">
        <is>
          <t>Growing Industry</t>
        </is>
      </c>
      <c r="Q4" s="25">
        <f>IF(P4="Growing Industry",10,IF(P4="Cyclical in an Upturn",5,0))</f>
        <v/>
      </c>
      <c r="R4" s="25" t="inlineStr">
        <is>
          <t>Too Many Players with High ROCE</t>
        </is>
      </c>
      <c r="S4" s="25">
        <f>IF(R4="Monopoly",10,IF(R4="Oligopoly",5,IF(R4="Duopoly that cooperate",10,IF(R4="Duopoly that compete",5,IF(R4="Too many players with High ROCE",5,0)))))</f>
        <v/>
      </c>
      <c r="T4" s="25" t="inlineStr">
        <is>
          <t>Yes</t>
        </is>
      </c>
      <c r="U4" s="25">
        <f>IF(T4="No",5,0)</f>
        <v/>
      </c>
      <c r="V4" s="25" t="inlineStr">
        <is>
          <t>Tailwind</t>
        </is>
      </c>
      <c r="W4" s="25">
        <f>IF(V4="Tailwind",10,0)</f>
        <v/>
      </c>
      <c r="X4" s="25" t="inlineStr">
        <is>
          <t>Structural (10 Years Consistency)</t>
        </is>
      </c>
      <c r="Y4" s="25">
        <f>IF(X4="Structural (10 Years Consistency)",10,IF(X4="Shallow Cyclical (2 to 3 years growth)",5,0))</f>
        <v/>
      </c>
      <c r="Z4" s="25" t="inlineStr">
        <is>
          <t>No</t>
        </is>
      </c>
      <c r="AA4" s="25">
        <f>IF(Z4="Yes due to Product Mix change or Operating Leverage",10,IF(Z4="Yes, these are peak margins",-5,IF(Z4="No",5,0)))</f>
        <v/>
      </c>
      <c r="AB4" s="25" t="inlineStr">
        <is>
          <t>Stable</t>
        </is>
      </c>
      <c r="AC4" s="25">
        <f>IF(AB4="Stable",10,0)</f>
        <v/>
      </c>
      <c r="AD4" s="25" t="inlineStr">
        <is>
          <t>Yes</t>
        </is>
      </c>
      <c r="AE4" s="25">
        <f>IF(AD4="Yes",10,0)</f>
        <v/>
      </c>
      <c r="AF4" s="25" t="inlineStr">
        <is>
          <t>B2B</t>
        </is>
      </c>
      <c r="AG4" s="25">
        <f>IF(AF4="B2C",10,IF(AF4="B2B",5,0))</f>
        <v/>
      </c>
      <c r="AH4" s="25" t="inlineStr">
        <is>
          <t>Yes</t>
        </is>
      </c>
      <c r="AI4" s="25">
        <f>IF(AH4="Yes",10,0)</f>
        <v/>
      </c>
      <c r="AJ4" s="25" t="inlineStr">
        <is>
          <t>Higher Annuity, Lower One Time</t>
        </is>
      </c>
      <c r="AK4" s="25">
        <f>IF(AJ4="Fully Annuity",10,IF(AJ4="Higher Annuity, Lower One Time",5,IF(AJ4="Higher One Time, Lower Annuity",3,0)))</f>
        <v/>
      </c>
      <c r="AL4" s="25" t="inlineStr">
        <is>
          <t>Good</t>
        </is>
      </c>
      <c r="AM4" s="25">
        <f>IF(AL4="Good",10,0)</f>
        <v/>
      </c>
      <c r="AN4" s="25" t="inlineStr">
        <is>
          <t>Yes for more than 2 years</t>
        </is>
      </c>
      <c r="AO4" s="25">
        <f>IF(AN4="Yes for more than 2 years",10,IF(AN4="Yes only for next 1 to 2 years",5,0))</f>
        <v/>
      </c>
      <c r="AP4" s="25" t="inlineStr">
        <is>
          <t>Above 40</t>
        </is>
      </c>
      <c r="AQ4" s="25">
        <f>IF(AP4="Above 40",20,IF(AP4="20 to 40",10,IF(AP4="0 to 20",-5,0)))</f>
        <v/>
      </c>
      <c r="AR4" s="25" t="inlineStr">
        <is>
          <t>Between 50 to 75</t>
        </is>
      </c>
      <c r="AS4" s="25">
        <f>IF(AR4="Between 50 to 75",10,IF(AR4="Above 75",0,0))</f>
        <v/>
      </c>
      <c r="AT4" s="25" t="inlineStr">
        <is>
          <t>Stage 2</t>
        </is>
      </c>
      <c r="AU4" s="25">
        <f>IF(AT4="Stage 2",20,IF(AT4="Stage 1",0,IF(AT4="Stage 3",5,IF(AT4="Stage 4",-5,0))))</f>
        <v/>
      </c>
      <c r="AV4" s="25" t="inlineStr">
        <is>
          <t>Positive Trend</t>
        </is>
      </c>
      <c r="AW4" s="25">
        <f>IF(AV4="Positive Trend",20,IF(AV4="Negative Trend",-10,0))</f>
        <v/>
      </c>
      <c r="AX4" s="25" t="inlineStr">
        <is>
          <t>Uptrend</t>
        </is>
      </c>
      <c r="AY4" s="25">
        <f>IF(AX4="Uptrend",10,IF(AX4="Sideways",5,0))</f>
        <v/>
      </c>
      <c r="AZ4" s="25" t="inlineStr">
        <is>
          <t>Uptrend</t>
        </is>
      </c>
      <c r="BA4" s="25">
        <f>IF(AZ4="Uptrend",10,IF(AZ4="Sideways",5,0))</f>
        <v/>
      </c>
      <c r="BB4" s="25" t="inlineStr">
        <is>
          <t>Blue sky scenario</t>
        </is>
      </c>
      <c r="BC4" s="25">
        <f>IF(BB4="Overhead supply in last 2 years in last 2 years",-5,IF(BB4="Close to 52 week high or retracement",5,IF(BB4="Blue sky scenario",10,IF(BB4="Long term Downtrend",-10,0))))</f>
        <v/>
      </c>
      <c r="BD4" s="25" t="inlineStr">
        <is>
          <t>Yes</t>
        </is>
      </c>
      <c r="BE4" s="25">
        <f>IF(BD4="Yes",10,0)</f>
        <v/>
      </c>
      <c r="BF4" s="25" t="inlineStr">
        <is>
          <t>More than 20%</t>
        </is>
      </c>
      <c r="BG4" s="25">
        <f>IF(BF4="More than 20%",10,IF(BF4="Between 12 to 20%",5,IF(BF4="Less than 12%",0,0)))</f>
        <v/>
      </c>
      <c r="BH4" s="25" t="inlineStr">
        <is>
          <t>No</t>
        </is>
      </c>
      <c r="BI4" s="25">
        <f>IF(BH4="No",10,0)</f>
        <v/>
      </c>
      <c r="BJ4" s="25" t="inlineStr">
        <is>
          <t>No</t>
        </is>
      </c>
      <c r="BK4" s="25">
        <f>IF(BJ4="NO",5,0)</f>
        <v/>
      </c>
      <c r="BL4" s="25" t="inlineStr">
        <is>
          <t>Less than 1.5</t>
        </is>
      </c>
      <c r="BM4" s="25">
        <f>IF(BL4="Above 2",0,IF(BL4="Between 1.5 to 2",5,IF(BL4="Less than 1.5",10,0)))</f>
        <v/>
      </c>
      <c r="BN4" s="25" t="inlineStr">
        <is>
          <t>Between 50% to 70%</t>
        </is>
      </c>
      <c r="BO4" s="25">
        <f>IF(BN4="Above 70%",10,IF(BN4="Between 50% to 70%",5,IF(BN4="Less than 50%",0,IF(BN4="Negative",-10,IF(BN4="Less than 50% and Borrowings are increasing",-5,0)))))</f>
        <v/>
      </c>
      <c r="BP4" s="25" t="inlineStr">
        <is>
          <t>Less than 0.7</t>
        </is>
      </c>
      <c r="BQ4" s="25">
        <f>IF(BP4="More than 1.2",-10,IF(BP4="Between 0.7 to 1.2",0,IF(BP4="Less than 0.7",10,0)))</f>
        <v/>
      </c>
      <c r="BR4" s="25" t="inlineStr">
        <is>
          <t>No</t>
        </is>
      </c>
      <c r="BS4" s="25">
        <f>IF(BR4="Yes",-10,0)</f>
        <v/>
      </c>
      <c r="BT4" s="25" t="inlineStr">
        <is>
          <t>Less than 15%</t>
        </is>
      </c>
      <c r="BU4" s="25">
        <f>IF(BT4="More than 15%",-10,IF(BT4="Less than 15%",10,0))</f>
        <v/>
      </c>
      <c r="BV4" s="25" t="inlineStr">
        <is>
          <t>No</t>
        </is>
      </c>
      <c r="BW4" s="25">
        <f>IF(BV4="Yes, more than 10%",-10,IF(BV4="No",10,0))</f>
        <v/>
      </c>
      <c r="BX4" s="25" t="inlineStr">
        <is>
          <t>20</t>
        </is>
      </c>
      <c r="BY4" s="25">
        <f>IF(BX4&gt;20,10,IF(BX4&gt;=10,5,2))</f>
        <v/>
      </c>
    </row>
    <row r="5">
      <c r="A5" s="25">
        <f>IF(B5=0,"",RANK(B5,$B$2:$B$95,0))</f>
        <v/>
      </c>
      <c r="B5" s="26">
        <f>SUM(Q5,S5,U5,W5,Y5,AA5,AC5,AE5,AG5,AI5,AK5,AM5,AO5,AQ5,AS5,AU5,AW5,AY5,BA5,BC5,BE5,BG5,BI5,BK5,BM5,BO5,BQ5,BS5,BU5,BW5,BY5)</f>
        <v/>
      </c>
      <c r="C5" s="25" t="inlineStr">
        <is>
          <t>TIMEX</t>
        </is>
      </c>
      <c r="D5" s="25" t="inlineStr">
        <is>
          <t>Timex Group India Ltd</t>
        </is>
      </c>
      <c r="E5" s="25" t="inlineStr">
        <is>
          <t>Consumer Cyclical</t>
        </is>
      </c>
      <c r="F5" s="25" t="inlineStr">
        <is>
          <t>Watches</t>
        </is>
      </c>
      <c r="G5" s="25" t="inlineStr">
        <is>
          <t>smallcap</t>
        </is>
      </c>
      <c r="H5" s="26" t="n">
        <v>4395.36</v>
      </c>
      <c r="I5" s="26" t="n">
        <v>435.4</v>
      </c>
      <c r="J5" s="26" t="n">
        <v>-3.24</v>
      </c>
      <c r="K5" s="26" t="n">
        <v>0</v>
      </c>
      <c r="L5" s="26" t="n">
        <v>68.81</v>
      </c>
      <c r="M5" s="26" t="n">
        <v>25.86</v>
      </c>
      <c r="N5" s="26" t="n">
        <v>335.62</v>
      </c>
      <c r="O5" s="25" t="inlineStr">
        <is>
          <t>Near 52W High Breakout</t>
        </is>
      </c>
      <c r="P5" s="25" t="inlineStr">
        <is>
          <t>Growing Industry</t>
        </is>
      </c>
      <c r="Q5" s="25">
        <f>IF(P5="Growing Industry",10,IF(P5="Cyclical in an Upturn",5,0))</f>
        <v/>
      </c>
      <c r="R5" s="25" t="inlineStr">
        <is>
          <t>Too Many Players with High ROCE</t>
        </is>
      </c>
      <c r="S5" s="25">
        <f>IF(R5="Monopoly",10,IF(R5="Oligopoly",5,IF(R5="Duopoly that cooperate",10,IF(R5="Duopoly that compete",5,IF(R5="Too many players with High ROCE",5,0)))))</f>
        <v/>
      </c>
      <c r="T5" s="25" t="inlineStr">
        <is>
          <t>No</t>
        </is>
      </c>
      <c r="U5" s="25">
        <f>IF(T5="No",5,0)</f>
        <v/>
      </c>
      <c r="V5" s="25" t="inlineStr">
        <is>
          <t>Tailwind</t>
        </is>
      </c>
      <c r="W5" s="25">
        <f>IF(V5="Tailwind",10,0)</f>
        <v/>
      </c>
      <c r="X5" s="25" t="inlineStr">
        <is>
          <t>Structural (10 Years Consistency)</t>
        </is>
      </c>
      <c r="Y5" s="25">
        <f>IF(X5="Structural (10 Years Consistency)",10,IF(X5="Shallow Cyclical (2 to 3 years growth)",5,0))</f>
        <v/>
      </c>
      <c r="Z5" s="25" t="inlineStr">
        <is>
          <t>No</t>
        </is>
      </c>
      <c r="AA5" s="25">
        <f>IF(Z5="Yes due to Product Mix change or Operating Leverage",10,IF(Z5="Yes, these are peak margins",-5,IF(Z5="No",5,0)))</f>
        <v/>
      </c>
      <c r="AB5" s="25" t="inlineStr">
        <is>
          <t>Stable</t>
        </is>
      </c>
      <c r="AC5" s="25">
        <f>IF(AB5="Stable",10,0)</f>
        <v/>
      </c>
      <c r="AD5" s="25" t="inlineStr">
        <is>
          <t>Yes</t>
        </is>
      </c>
      <c r="AE5" s="25">
        <f>IF(AD5="Yes",10,0)</f>
        <v/>
      </c>
      <c r="AF5" s="25" t="inlineStr">
        <is>
          <t>B2C</t>
        </is>
      </c>
      <c r="AG5" s="25">
        <f>IF(AF5="B2C",10,IF(AF5="B2B",5,0))</f>
        <v/>
      </c>
      <c r="AH5" s="25" t="inlineStr">
        <is>
          <t>Yes</t>
        </is>
      </c>
      <c r="AI5" s="25">
        <f>IF(AH5="Yes",10,0)</f>
        <v/>
      </c>
      <c r="AJ5" s="25" t="inlineStr">
        <is>
          <t>Higher One Time, Lower Annuity</t>
        </is>
      </c>
      <c r="AK5" s="25">
        <f>IF(AJ5="Fully Annuity",10,IF(AJ5="Higher Annuity, Lower One Time",5,IF(AJ5="Higher One Time, Lower Annuity",3,0)))</f>
        <v/>
      </c>
      <c r="AL5" s="25" t="inlineStr">
        <is>
          <t>Good</t>
        </is>
      </c>
      <c r="AM5" s="25">
        <f>IF(AL5="Good",10,0)</f>
        <v/>
      </c>
      <c r="AN5" s="25" t="inlineStr">
        <is>
          <t>Yes for more than 2 years</t>
        </is>
      </c>
      <c r="AO5" s="25">
        <f>IF(AN5="Yes for more than 2 years",10,IF(AN5="Yes only for next 1 to 2 years",5,0))</f>
        <v/>
      </c>
      <c r="AP5" s="25" t="inlineStr">
        <is>
          <t>20 to 40</t>
        </is>
      </c>
      <c r="AQ5" s="25">
        <f>IF(AP5="Above 40",20,IF(AP5="20 to 40",10,IF(AP5="0 to 20",-5,0)))</f>
        <v/>
      </c>
      <c r="AR5" s="25" t="inlineStr">
        <is>
          <t>Between 50 to 75</t>
        </is>
      </c>
      <c r="AS5" s="25">
        <f>IF(AR5="Between 50 to 75",10,IF(AR5="Above 75",0,0))</f>
        <v/>
      </c>
      <c r="AT5" s="25" t="inlineStr">
        <is>
          <t>Stage 2</t>
        </is>
      </c>
      <c r="AU5" s="25">
        <f>IF(AT5="Stage 2",20,IF(AT5="Stage 1",0,IF(AT5="Stage 3",5,IF(AT5="Stage 4",-5,0))))</f>
        <v/>
      </c>
      <c r="AV5" s="25" t="inlineStr">
        <is>
          <t>Positive Trend</t>
        </is>
      </c>
      <c r="AW5" s="25">
        <f>IF(AV5="Positive Trend",20,IF(AV5="Negative Trend",-10,0))</f>
        <v/>
      </c>
      <c r="AX5" s="25" t="inlineStr">
        <is>
          <t>Uptrend</t>
        </is>
      </c>
      <c r="AY5" s="25">
        <f>IF(AX5="Uptrend",10,IF(AX5="Sideways",5,0))</f>
        <v/>
      </c>
      <c r="AZ5" s="25" t="inlineStr">
        <is>
          <t>Uptrend</t>
        </is>
      </c>
      <c r="BA5" s="25">
        <f>IF(AZ5="Uptrend",10,IF(AZ5="Sideways",5,0))</f>
        <v/>
      </c>
      <c r="BB5" s="25" t="inlineStr">
        <is>
          <t>Blue sky scenario</t>
        </is>
      </c>
      <c r="BC5" s="25">
        <f>IF(BB5="Overhead supply in last 2 years in last 2 years",-5,IF(BB5="Close to 52 week high or retracement",5,IF(BB5="Blue sky scenario",10,IF(BB5="Long term Downtrend",-10,0))))</f>
        <v/>
      </c>
      <c r="BD5" s="25" t="inlineStr">
        <is>
          <t>Yes</t>
        </is>
      </c>
      <c r="BE5" s="25">
        <f>IF(BD5="Yes",10,0)</f>
        <v/>
      </c>
      <c r="BF5" s="25" t="inlineStr">
        <is>
          <t>More than 20%</t>
        </is>
      </c>
      <c r="BG5" s="25">
        <f>IF(BF5="More than 20%",10,IF(BF5="Between 12 to 20%",5,IF(BF5="Less than 12%",0,0)))</f>
        <v/>
      </c>
      <c r="BH5" s="25" t="inlineStr">
        <is>
          <t>No</t>
        </is>
      </c>
      <c r="BI5" s="25">
        <f>IF(BH5="No",10,0)</f>
        <v/>
      </c>
      <c r="BJ5" s="25" t="inlineStr">
        <is>
          <t>Yes</t>
        </is>
      </c>
      <c r="BK5" s="25">
        <f>IF(BJ5="NO",5,0)</f>
        <v/>
      </c>
      <c r="BL5" s="25" t="inlineStr">
        <is>
          <t>Less than 1.5</t>
        </is>
      </c>
      <c r="BM5" s="25">
        <f>IF(BL5="Above 2",0,IF(BL5="Between 1.5 to 2",5,IF(BL5="Less than 1.5",10,0)))</f>
        <v/>
      </c>
      <c r="BN5" s="25" t="inlineStr">
        <is>
          <t>Above 70%</t>
        </is>
      </c>
      <c r="BO5" s="25">
        <f>IF(BN5="Above 70%",10,IF(BN5="Between 50% to 70%",5,IF(BN5="Less than 50%",0,IF(BN5="Negative",-10,IF(BN5="Less than 50% and Borrowings are increasing",-5,0)))))</f>
        <v/>
      </c>
      <c r="BP5" s="25" t="inlineStr">
        <is>
          <t>Less than 0.7</t>
        </is>
      </c>
      <c r="BQ5" s="25">
        <f>IF(BP5="More than 1.2",-10,IF(BP5="Between 0.7 to 1.2",0,IF(BP5="Less than 0.7",10,0)))</f>
        <v/>
      </c>
      <c r="BR5" s="25" t="inlineStr">
        <is>
          <t>No</t>
        </is>
      </c>
      <c r="BS5" s="25">
        <f>IF(BR5="Yes",-10,0)</f>
        <v/>
      </c>
      <c r="BT5" s="25" t="inlineStr">
        <is>
          <t>Less than 15%</t>
        </is>
      </c>
      <c r="BU5" s="25">
        <f>IF(BT5="More than 15%",-10,IF(BT5="Less than 15%",10,0))</f>
        <v/>
      </c>
      <c r="BV5" s="25" t="inlineStr">
        <is>
          <t>No</t>
        </is>
      </c>
      <c r="BW5" s="25">
        <f>IF(BV5="Yes, more than 10%",-10,IF(BV5="No",10,0))</f>
        <v/>
      </c>
      <c r="BX5" s="25" t="inlineStr">
        <is>
          <t>24</t>
        </is>
      </c>
      <c r="BY5" s="25">
        <f>IF(BX5&gt;20,10,IF(BX5&gt;=10,5,2))</f>
        <v/>
      </c>
    </row>
    <row r="6">
      <c r="A6" s="25">
        <f>IF(B6=0,"",RANK(B6,$B$2:$B$95,0))</f>
        <v/>
      </c>
      <c r="B6" s="26">
        <f>SUM(Q6,S6,U6,W6,Y6,AA6,AC6,AE6,AG6,AI6,AK6,AM6,AO6,AQ6,AS6,AU6,AW6,AY6,BA6,BC6,BE6,BG6,BI6,BK6,BM6,BO6,BQ6,BS6,BU6,BW6,BY6)</f>
        <v/>
      </c>
      <c r="C6" s="25" t="inlineStr">
        <is>
          <t>NETWEB</t>
        </is>
      </c>
      <c r="D6" s="25" t="inlineStr">
        <is>
          <t>Netweb Technologies India Ltd</t>
        </is>
      </c>
      <c r="E6" s="25" t="inlineStr">
        <is>
          <t>i.t</t>
        </is>
      </c>
      <c r="F6" s="25" t="inlineStr">
        <is>
          <t>Data Centre</t>
        </is>
      </c>
      <c r="G6" s="25" t="inlineStr">
        <is>
          <t>largecap</t>
        </is>
      </c>
      <c r="H6" s="26" t="n">
        <v>27233.59</v>
      </c>
      <c r="I6" s="26" t="n">
        <v>4782.8</v>
      </c>
      <c r="J6" s="26" t="n">
        <v>3.52</v>
      </c>
      <c r="K6" s="26" t="n">
        <v>0</v>
      </c>
      <c r="L6" s="26" t="n">
        <v>67.29000000000001</v>
      </c>
      <c r="M6" s="26" t="n">
        <v>43.56</v>
      </c>
      <c r="N6" s="26" t="n">
        <v>3380.61</v>
      </c>
      <c r="O6" s="25" t="inlineStr">
        <is>
          <t>Near 52W High Breakout</t>
        </is>
      </c>
      <c r="P6" s="25" t="inlineStr">
        <is>
          <t>Growing Industry</t>
        </is>
      </c>
      <c r="Q6" s="25">
        <f>IF(P6="Growing Industry",10,IF(P6="Cyclical in an Upturn",5,0))</f>
        <v/>
      </c>
      <c r="R6" s="25" t="inlineStr">
        <is>
          <t>Too Many Players with High ROCE</t>
        </is>
      </c>
      <c r="S6" s="25">
        <f>IF(R6="Monopoly",10,IF(R6="Oligopoly",5,IF(R6="Duopoly that cooperate",10,IF(R6="Duopoly that compete",5,IF(R6="Too many players with High ROCE",5,0)))))</f>
        <v/>
      </c>
      <c r="T6" s="25" t="inlineStr">
        <is>
          <t>No</t>
        </is>
      </c>
      <c r="U6" s="25">
        <f>IF(T6="No",5,0)</f>
        <v/>
      </c>
      <c r="V6" s="25" t="inlineStr">
        <is>
          <t>Tailwind</t>
        </is>
      </c>
      <c r="W6" s="25">
        <f>IF(V6="Tailwind",10,0)</f>
        <v/>
      </c>
      <c r="X6" s="25" t="inlineStr">
        <is>
          <t>Structural (10 Years Consistency)</t>
        </is>
      </c>
      <c r="Y6" s="25">
        <f>IF(X6="Structural (10 Years Consistency)",10,IF(X6="Shallow Cyclical (2 to 3 years growth)",5,0))</f>
        <v/>
      </c>
      <c r="Z6" s="25" t="inlineStr">
        <is>
          <t>No</t>
        </is>
      </c>
      <c r="AA6" s="25">
        <f>IF(Z6="Yes due to Product Mix change or Operating Leverage",10,IF(Z6="Yes, these are peak margins",-5,IF(Z6="No",5,0)))</f>
        <v/>
      </c>
      <c r="AB6" s="25" t="inlineStr">
        <is>
          <t>Stable</t>
        </is>
      </c>
      <c r="AC6" s="25">
        <f>IF(AB6="Stable",10,0)</f>
        <v/>
      </c>
      <c r="AD6" s="25" t="inlineStr">
        <is>
          <t>Yes</t>
        </is>
      </c>
      <c r="AE6" s="25">
        <f>IF(AD6="Yes",10,0)</f>
        <v/>
      </c>
      <c r="AF6" s="25" t="inlineStr">
        <is>
          <t>B2B</t>
        </is>
      </c>
      <c r="AG6" s="25">
        <f>IF(AF6="B2C",10,IF(AF6="B2B",5,0))</f>
        <v/>
      </c>
      <c r="AH6" s="25" t="inlineStr">
        <is>
          <t>Yes</t>
        </is>
      </c>
      <c r="AI6" s="25">
        <f>IF(AH6="Yes",10,0)</f>
        <v/>
      </c>
      <c r="AJ6" s="25" t="inlineStr">
        <is>
          <t>Higher One Time, Lower Annuity</t>
        </is>
      </c>
      <c r="AK6" s="25">
        <f>IF(AJ6="Fully Annuity",10,IF(AJ6="Higher Annuity, Lower One Time",5,IF(AJ6="Higher One Time, Lower Annuity",3,0)))</f>
        <v/>
      </c>
      <c r="AL6" s="25" t="inlineStr">
        <is>
          <t>Good</t>
        </is>
      </c>
      <c r="AM6" s="25">
        <f>IF(AL6="Good",10,0)</f>
        <v/>
      </c>
      <c r="AN6" s="25" t="inlineStr">
        <is>
          <t>Yes for more than 2 years</t>
        </is>
      </c>
      <c r="AO6" s="25">
        <f>IF(AN6="Yes for more than 2 years",10,IF(AN6="Yes only for next 1 to 2 years",5,0))</f>
        <v/>
      </c>
      <c r="AP6" s="25" t="inlineStr">
        <is>
          <t>Above 40</t>
        </is>
      </c>
      <c r="AQ6" s="25">
        <f>IF(AP6="Above 40",20,IF(AP6="20 to 40",10,IF(AP6="0 to 20",-5,0)))</f>
        <v/>
      </c>
      <c r="AR6" s="25" t="inlineStr">
        <is>
          <t>Between 50 to 75</t>
        </is>
      </c>
      <c r="AS6" s="25">
        <f>IF(AR6="Between 50 to 75",10,IF(AR6="Above 75",0,0))</f>
        <v/>
      </c>
      <c r="AT6" s="25" t="inlineStr">
        <is>
          <t>Stage 2</t>
        </is>
      </c>
      <c r="AU6" s="25">
        <f>IF(AT6="Stage 2",20,IF(AT6="Stage 1",0,IF(AT6="Stage 3",5,IF(AT6="Stage 4",-5,0))))</f>
        <v/>
      </c>
      <c r="AV6" s="25" t="inlineStr">
        <is>
          <t>Positive Trend</t>
        </is>
      </c>
      <c r="AW6" s="25">
        <f>IF(AV6="Positive Trend",20,IF(AV6="Negative Trend",-10,0))</f>
        <v/>
      </c>
      <c r="AX6" s="25" t="inlineStr">
        <is>
          <t>Uptrend</t>
        </is>
      </c>
      <c r="AY6" s="25">
        <f>IF(AX6="Uptrend",10,IF(AX6="Sideways",5,0))</f>
        <v/>
      </c>
      <c r="AZ6" s="25" t="inlineStr">
        <is>
          <t>Uptrend</t>
        </is>
      </c>
      <c r="BA6" s="25">
        <f>IF(AZ6="Uptrend",10,IF(AZ6="Sideways",5,0))</f>
        <v/>
      </c>
      <c r="BB6" s="25" t="inlineStr">
        <is>
          <t>Blue sky scenario</t>
        </is>
      </c>
      <c r="BC6" s="25">
        <f>IF(BB6="Overhead supply in last 2 years in last 2 years",-5,IF(BB6="Close to 52 week high or retracement",5,IF(BB6="Blue sky scenario",10,IF(BB6="Long term Downtrend",-10,0))))</f>
        <v/>
      </c>
      <c r="BD6" s="25" t="inlineStr">
        <is>
          <t>Yes</t>
        </is>
      </c>
      <c r="BE6" s="25">
        <f>IF(BD6="Yes",10,0)</f>
        <v/>
      </c>
      <c r="BF6" s="25" t="inlineStr">
        <is>
          <t>More than 20%</t>
        </is>
      </c>
      <c r="BG6" s="25">
        <f>IF(BF6="More than 20%",10,IF(BF6="Between 12 to 20%",5,IF(BF6="Less than 12%",0,0)))</f>
        <v/>
      </c>
      <c r="BH6" s="25" t="inlineStr">
        <is>
          <t>No</t>
        </is>
      </c>
      <c r="BI6" s="25">
        <f>IF(BH6="No",10,0)</f>
        <v/>
      </c>
      <c r="BJ6" s="25" t="inlineStr">
        <is>
          <t>Yes</t>
        </is>
      </c>
      <c r="BK6" s="25">
        <f>IF(BJ6="NO",5,0)</f>
        <v/>
      </c>
      <c r="BL6" s="25" t="inlineStr">
        <is>
          <t>Less than 1.5</t>
        </is>
      </c>
      <c r="BM6" s="25">
        <f>IF(BL6="Above 2",0,IF(BL6="Between 1.5 to 2",5,IF(BL6="Less than 1.5",10,0)))</f>
        <v/>
      </c>
      <c r="BN6" s="25" t="inlineStr">
        <is>
          <t>Between 50% to 70%</t>
        </is>
      </c>
      <c r="BO6" s="25">
        <f>IF(BN6="Above 70%",10,IF(BN6="Between 50% to 70%",5,IF(BN6="Less than 50%",0,IF(BN6="Negative",-10,IF(BN6="Less than 50% and Borrowings are increasing",-5,0)))))</f>
        <v/>
      </c>
      <c r="BP6" s="25" t="inlineStr">
        <is>
          <t>Less than 0.7</t>
        </is>
      </c>
      <c r="BQ6" s="25">
        <f>IF(BP6="More than 1.2",-10,IF(BP6="Between 0.7 to 1.2",0,IF(BP6="Less than 0.7",10,0)))</f>
        <v/>
      </c>
      <c r="BR6" s="25" t="inlineStr">
        <is>
          <t>No</t>
        </is>
      </c>
      <c r="BS6" s="25">
        <f>IF(BR6="Yes",-10,0)</f>
        <v/>
      </c>
      <c r="BT6" s="25" t="inlineStr">
        <is>
          <t>Less than 15%</t>
        </is>
      </c>
      <c r="BU6" s="25">
        <f>IF(BT6="More than 15%",-10,IF(BT6="Less than 15%",10,0))</f>
        <v/>
      </c>
      <c r="BV6" s="25" t="inlineStr">
        <is>
          <t>No</t>
        </is>
      </c>
      <c r="BW6" s="25">
        <f>IF(BV6="Yes, more than 10%",-10,IF(BV6="No",10,0))</f>
        <v/>
      </c>
      <c r="BX6" s="25" t="inlineStr">
        <is>
          <t>21</t>
        </is>
      </c>
      <c r="BY6" s="25">
        <f>IF(BX6&gt;20,10,IF(BX6&gt;=10,5,2))</f>
        <v/>
      </c>
    </row>
    <row r="7">
      <c r="A7" s="25">
        <f>IF(B7=0,"",RANK(B7,$B$2:$B$95,0))</f>
        <v/>
      </c>
      <c r="B7" s="26">
        <f>SUM(Q7,S7,U7,W7,Y7,AA7,AC7,AE7,AG7,AI7,AK7,AM7,AO7,AQ7,AS7,AU7,AW7,AY7,BA7,BC7,BE7,BG7,BI7,BK7,BM7,BO7,BQ7,BS7,BU7,BW7,BY7)</f>
        <v/>
      </c>
      <c r="C7" s="25" t="inlineStr">
        <is>
          <t>INDOBORAX</t>
        </is>
      </c>
      <c r="D7" s="25" t="inlineStr">
        <is>
          <t>Indo Borax &amp; Chemicals Ltd</t>
        </is>
      </c>
      <c r="E7" s="25" t="inlineStr">
        <is>
          <t>chemicals</t>
        </is>
      </c>
      <c r="F7" s="25" t="inlineStr">
        <is>
          <t>Chemicals - Inorganic</t>
        </is>
      </c>
      <c r="G7" s="25" t="inlineStr">
        <is>
          <t>smallcap</t>
        </is>
      </c>
      <c r="H7" s="26" t="n">
        <v>1109.99</v>
      </c>
      <c r="I7" s="26" t="n">
        <v>345.9</v>
      </c>
      <c r="J7" s="26" t="n">
        <v>0.76</v>
      </c>
      <c r="K7" s="26" t="n">
        <v>0</v>
      </c>
      <c r="L7" s="26" t="n">
        <v>78.97</v>
      </c>
      <c r="M7" s="26" t="n">
        <v>45.65</v>
      </c>
      <c r="N7" s="26" t="n">
        <v>273.22</v>
      </c>
      <c r="O7" s="25" t="inlineStr">
        <is>
          <t>Near 52W High Breakout</t>
        </is>
      </c>
      <c r="P7" s="25" t="inlineStr">
        <is>
          <t>Growing Industry</t>
        </is>
      </c>
      <c r="Q7" s="25">
        <f>IF(P7="Growing Industry",10,IF(P7="Cyclical in an Upturn",5,0))</f>
        <v/>
      </c>
      <c r="R7" s="25" t="inlineStr">
        <is>
          <t>Too Many Players with High ROCE</t>
        </is>
      </c>
      <c r="S7" s="25">
        <f>IF(R7="Monopoly",10,IF(R7="Oligopoly",5,IF(R7="Duopoly that cooperate",10,IF(R7="Duopoly that compete",5,IF(R7="Too many players with High ROCE",5,0)))))</f>
        <v/>
      </c>
      <c r="T7" s="25" t="inlineStr">
        <is>
          <t>No</t>
        </is>
      </c>
      <c r="U7" s="25">
        <f>IF(T7="No",5,0)</f>
        <v/>
      </c>
      <c r="V7" s="25" t="inlineStr">
        <is>
          <t>Tailwind</t>
        </is>
      </c>
      <c r="W7" s="25">
        <f>IF(V7="Tailwind",10,0)</f>
        <v/>
      </c>
      <c r="X7" s="25" t="inlineStr">
        <is>
          <t>Structural (10 Years Consistency)</t>
        </is>
      </c>
      <c r="Y7" s="25">
        <f>IF(X7="Structural (10 Years Consistency)",10,IF(X7="Shallow Cyclical (2 to 3 years growth)",5,0))</f>
        <v/>
      </c>
      <c r="Z7" s="25" t="inlineStr">
        <is>
          <t>No</t>
        </is>
      </c>
      <c r="AA7" s="25">
        <f>IF(Z7="Yes due to Product Mix change or Operating Leverage",10,IF(Z7="Yes, these are peak margins",-5,IF(Z7="No",5,0)))</f>
        <v/>
      </c>
      <c r="AB7" s="25" t="inlineStr">
        <is>
          <t>Stable</t>
        </is>
      </c>
      <c r="AC7" s="25">
        <f>IF(AB7="Stable",10,0)</f>
        <v/>
      </c>
      <c r="AD7" s="25" t="inlineStr">
        <is>
          <t>Yes</t>
        </is>
      </c>
      <c r="AE7" s="25">
        <f>IF(AD7="Yes",10,0)</f>
        <v/>
      </c>
      <c r="AF7" s="25" t="inlineStr">
        <is>
          <t>B2B</t>
        </is>
      </c>
      <c r="AG7" s="25">
        <f>IF(AF7="B2C",10,IF(AF7="B2B",5,0))</f>
        <v/>
      </c>
      <c r="AH7" s="25" t="inlineStr">
        <is>
          <t>Yes</t>
        </is>
      </c>
      <c r="AI7" s="25">
        <f>IF(AH7="Yes",10,0)</f>
        <v/>
      </c>
      <c r="AJ7" s="25" t="inlineStr">
        <is>
          <t>Higher One Time, Lower Annuity</t>
        </is>
      </c>
      <c r="AK7" s="25">
        <f>IF(AJ7="Fully Annuity",10,IF(AJ7="Higher Annuity, Lower One Time",5,IF(AJ7="Higher One Time, Lower Annuity",3,0)))</f>
        <v/>
      </c>
      <c r="AL7" s="25" t="inlineStr">
        <is>
          <t>Good</t>
        </is>
      </c>
      <c r="AM7" s="25">
        <f>IF(AL7="Good",10,0)</f>
        <v/>
      </c>
      <c r="AN7" s="25" t="inlineStr">
        <is>
          <t>Yes for more than 2 years</t>
        </is>
      </c>
      <c r="AO7" s="25">
        <f>IF(AN7="Yes for more than 2 years",10,IF(AN7="Yes only for next 1 to 2 years",5,0))</f>
        <v/>
      </c>
      <c r="AP7" s="25" t="inlineStr">
        <is>
          <t>Above 40</t>
        </is>
      </c>
      <c r="AQ7" s="25">
        <f>IF(AP7="Above 40",20,IF(AP7="20 to 40",10,IF(AP7="0 to 20",-5,0)))</f>
        <v/>
      </c>
      <c r="AR7" s="25" t="inlineStr">
        <is>
          <t>Above 75</t>
        </is>
      </c>
      <c r="AS7" s="25">
        <f>IF(AR7="Between 50 to 75",10,IF(AR7="Above 75",0,0))</f>
        <v/>
      </c>
      <c r="AT7" s="25" t="inlineStr">
        <is>
          <t>Stage 2</t>
        </is>
      </c>
      <c r="AU7" s="25">
        <f>IF(AT7="Stage 2",20,IF(AT7="Stage 1",0,IF(AT7="Stage 3",5,IF(AT7="Stage 4",-5,0))))</f>
        <v/>
      </c>
      <c r="AV7" s="25" t="inlineStr">
        <is>
          <t>Positive Trend</t>
        </is>
      </c>
      <c r="AW7" s="25">
        <f>IF(AV7="Positive Trend",20,IF(AV7="Negative Trend",-10,0))</f>
        <v/>
      </c>
      <c r="AX7" s="25" t="inlineStr">
        <is>
          <t>Uptrend</t>
        </is>
      </c>
      <c r="AY7" s="25">
        <f>IF(AX7="Uptrend",10,IF(AX7="Sideways",5,0))</f>
        <v/>
      </c>
      <c r="AZ7" s="25" t="inlineStr">
        <is>
          <t>Uptrend</t>
        </is>
      </c>
      <c r="BA7" s="25">
        <f>IF(AZ7="Uptrend",10,IF(AZ7="Sideways",5,0))</f>
        <v/>
      </c>
      <c r="BB7" s="25" t="inlineStr">
        <is>
          <t>Blue sky scenario</t>
        </is>
      </c>
      <c r="BC7" s="25">
        <f>IF(BB7="Overhead supply in last 2 years in last 2 years",-5,IF(BB7="Close to 52 week high or retracement",5,IF(BB7="Blue sky scenario",10,IF(BB7="Long term Downtrend",-10,0))))</f>
        <v/>
      </c>
      <c r="BD7" s="25" t="inlineStr">
        <is>
          <t>Yes</t>
        </is>
      </c>
      <c r="BE7" s="25">
        <f>IF(BD7="Yes",10,0)</f>
        <v/>
      </c>
      <c r="BF7" s="25" t="inlineStr">
        <is>
          <t>More than 20%</t>
        </is>
      </c>
      <c r="BG7" s="25">
        <f>IF(BF7="More than 20%",10,IF(BF7="Between 12 to 20%",5,IF(BF7="Less than 12%",0,0)))</f>
        <v/>
      </c>
      <c r="BH7" s="25" t="inlineStr">
        <is>
          <t>No</t>
        </is>
      </c>
      <c r="BI7" s="25">
        <f>IF(BH7="No",10,0)</f>
        <v/>
      </c>
      <c r="BJ7" s="25" t="inlineStr">
        <is>
          <t>No</t>
        </is>
      </c>
      <c r="BK7" s="25">
        <f>IF(BJ7="NO",5,0)</f>
        <v/>
      </c>
      <c r="BL7" s="25" t="inlineStr">
        <is>
          <t>Less than 1.5</t>
        </is>
      </c>
      <c r="BM7" s="25">
        <f>IF(BL7="Above 2",0,IF(BL7="Between 1.5 to 2",5,IF(BL7="Less than 1.5",10,0)))</f>
        <v/>
      </c>
      <c r="BN7" s="25" t="inlineStr">
        <is>
          <t>Above 70%</t>
        </is>
      </c>
      <c r="BO7" s="25">
        <f>IF(BN7="Above 70%",10,IF(BN7="Between 50% to 70%",5,IF(BN7="Less than 50%",0,IF(BN7="Negative",-10,IF(BN7="Less than 50% and Borrowings are increasing",-5,0)))))</f>
        <v/>
      </c>
      <c r="BP7" s="25" t="inlineStr">
        <is>
          <t>Less than 0.7</t>
        </is>
      </c>
      <c r="BQ7" s="25">
        <f>IF(BP7="More than 1.2",-10,IF(BP7="Between 0.7 to 1.2",0,IF(BP7="Less than 0.7",10,0)))</f>
        <v/>
      </c>
      <c r="BR7" s="25" t="inlineStr">
        <is>
          <t>No</t>
        </is>
      </c>
      <c r="BS7" s="25">
        <f>IF(BR7="Yes",-10,0)</f>
        <v/>
      </c>
      <c r="BT7" s="25" t="inlineStr">
        <is>
          <t>Less than 15%</t>
        </is>
      </c>
      <c r="BU7" s="25">
        <f>IF(BT7="More than 15%",-10,IF(BT7="Less than 15%",10,0))</f>
        <v/>
      </c>
      <c r="BV7" s="25" t="inlineStr">
        <is>
          <t>No</t>
        </is>
      </c>
      <c r="BW7" s="25">
        <f>IF(BV7="Yes, more than 10%",-10,IF(BV7="No",10,0))</f>
        <v/>
      </c>
      <c r="BX7" s="25" t="inlineStr">
        <is>
          <t>20</t>
        </is>
      </c>
      <c r="BY7" s="25">
        <f>IF(BX7&gt;20,10,IF(BX7&gt;=10,5,2))</f>
        <v/>
      </c>
    </row>
    <row r="8">
      <c r="A8" s="25">
        <f>IF(B8=0,"",RANK(B8,$B$2:$B$95,0))</f>
        <v/>
      </c>
      <c r="B8" s="26">
        <f>SUM(Q8,S8,U8,W8,Y8,AA8,AC8,AE8,AG8,AI8,AK8,AM8,AO8,AQ8,AS8,AU8,AW8,AY8,BA8,BC8,BE8,BG8,BI8,BK8,BM8,BO8,BQ8,BS8,BU8,BW8,BY8)</f>
        <v/>
      </c>
      <c r="C8" s="25" t="inlineStr">
        <is>
          <t>VENUSREM</t>
        </is>
      </c>
      <c r="D8" s="25" t="inlineStr">
        <is>
          <t>Venus Remedies Ltd</t>
        </is>
      </c>
      <c r="E8" s="25" t="inlineStr">
        <is>
          <t>healthcare</t>
        </is>
      </c>
      <c r="F8" s="25" t="inlineStr">
        <is>
          <t>Pharmaceuticals - I V Fluids</t>
        </is>
      </c>
      <c r="G8" s="25" t="inlineStr">
        <is>
          <t>smallcap</t>
        </is>
      </c>
      <c r="H8" s="26" t="n">
        <v>1886.48</v>
      </c>
      <c r="I8" s="26" t="n">
        <v>1411.3</v>
      </c>
      <c r="J8" s="26" t="n">
        <v>5</v>
      </c>
      <c r="K8" s="26" t="n">
        <v>0</v>
      </c>
      <c r="L8" s="26" t="n">
        <v>76.2</v>
      </c>
      <c r="M8" s="26" t="n">
        <v>45.27</v>
      </c>
      <c r="N8" s="26" t="n">
        <v>1059.67</v>
      </c>
      <c r="O8" s="25" t="inlineStr">
        <is>
          <t>Near 52W High Breakout</t>
        </is>
      </c>
      <c r="P8" s="25" t="inlineStr">
        <is>
          <t>Growing Industry</t>
        </is>
      </c>
      <c r="Q8" s="25">
        <f>IF(P8="Growing Industry",10,IF(P8="Cyclical in an Upturn",5,0))</f>
        <v/>
      </c>
      <c r="R8" s="25" t="inlineStr">
        <is>
          <t>Too Many Players with High ROCE</t>
        </is>
      </c>
      <c r="S8" s="25">
        <f>IF(R8="Monopoly",10,IF(R8="Oligopoly",5,IF(R8="Duopoly that cooperate",10,IF(R8="Duopoly that compete",5,IF(R8="Too many players with High ROCE",5,0)))))</f>
        <v/>
      </c>
      <c r="T8" s="25" t="inlineStr">
        <is>
          <t>Yes</t>
        </is>
      </c>
      <c r="U8" s="25">
        <f>IF(T8="No",5,0)</f>
        <v/>
      </c>
      <c r="V8" s="25" t="inlineStr">
        <is>
          <t>Tailwind</t>
        </is>
      </c>
      <c r="W8" s="25">
        <f>IF(V8="Tailwind",10,0)</f>
        <v/>
      </c>
      <c r="X8" s="25" t="inlineStr">
        <is>
          <t>Structural (10 Years Consistency)</t>
        </is>
      </c>
      <c r="Y8" s="25">
        <f>IF(X8="Structural (10 Years Consistency)",10,IF(X8="Shallow Cyclical (2 to 3 years growth)",5,0))</f>
        <v/>
      </c>
      <c r="Z8" s="25" t="inlineStr">
        <is>
          <t>No</t>
        </is>
      </c>
      <c r="AA8" s="25">
        <f>IF(Z8="Yes due to Product Mix change or Operating Leverage",10,IF(Z8="Yes, these are peak margins",-5,IF(Z8="No",5,0)))</f>
        <v/>
      </c>
      <c r="AB8" s="25" t="inlineStr">
        <is>
          <t>Stable</t>
        </is>
      </c>
      <c r="AC8" s="25">
        <f>IF(AB8="Stable",10,0)</f>
        <v/>
      </c>
      <c r="AD8" s="25" t="inlineStr">
        <is>
          <t>Yes</t>
        </is>
      </c>
      <c r="AE8" s="25">
        <f>IF(AD8="Yes",10,0)</f>
        <v/>
      </c>
      <c r="AF8" s="25" t="inlineStr">
        <is>
          <t>B2B</t>
        </is>
      </c>
      <c r="AG8" s="25">
        <f>IF(AF8="B2C",10,IF(AF8="B2B",5,0))</f>
        <v/>
      </c>
      <c r="AH8" s="25" t="inlineStr">
        <is>
          <t>Yes</t>
        </is>
      </c>
      <c r="AI8" s="25">
        <f>IF(AH8="Yes",10,0)</f>
        <v/>
      </c>
      <c r="AJ8" s="25" t="inlineStr">
        <is>
          <t>Higher Annuity, Lower One Time</t>
        </is>
      </c>
      <c r="AK8" s="25">
        <f>IF(AJ8="Fully Annuity",10,IF(AJ8="Higher Annuity, Lower One Time",5,IF(AJ8="Higher One Time, Lower Annuity",3,0)))</f>
        <v/>
      </c>
      <c r="AL8" s="25" t="inlineStr">
        <is>
          <t>Good</t>
        </is>
      </c>
      <c r="AM8" s="25">
        <f>IF(AL8="Good",10,0)</f>
        <v/>
      </c>
      <c r="AN8" s="25" t="inlineStr">
        <is>
          <t>Yes for more than 2 years</t>
        </is>
      </c>
      <c r="AO8" s="25">
        <f>IF(AN8="Yes for more than 2 years",10,IF(AN8="Yes only for next 1 to 2 years",5,0))</f>
        <v/>
      </c>
      <c r="AP8" s="25" t="inlineStr">
        <is>
          <t>Above 40</t>
        </is>
      </c>
      <c r="AQ8" s="25">
        <f>IF(AP8="Above 40",20,IF(AP8="20 to 40",10,IF(AP8="0 to 20",-5,0)))</f>
        <v/>
      </c>
      <c r="AR8" s="25" t="inlineStr">
        <is>
          <t>Above 75</t>
        </is>
      </c>
      <c r="AS8" s="25">
        <f>IF(AR8="Between 50 to 75",10,IF(AR8="Above 75",0,0))</f>
        <v/>
      </c>
      <c r="AT8" s="25" t="inlineStr">
        <is>
          <t>Stage 2</t>
        </is>
      </c>
      <c r="AU8" s="25">
        <f>IF(AT8="Stage 2",20,IF(AT8="Stage 1",0,IF(AT8="Stage 3",5,IF(AT8="Stage 4",-5,0))))</f>
        <v/>
      </c>
      <c r="AV8" s="25" t="inlineStr">
        <is>
          <t>Positive Trend</t>
        </is>
      </c>
      <c r="AW8" s="25">
        <f>IF(AV8="Positive Trend",20,IF(AV8="Negative Trend",-10,0))</f>
        <v/>
      </c>
      <c r="AX8" s="25" t="inlineStr">
        <is>
          <t>Uptrend</t>
        </is>
      </c>
      <c r="AY8" s="25">
        <f>IF(AX8="Uptrend",10,IF(AX8="Sideways",5,0))</f>
        <v/>
      </c>
      <c r="AZ8" s="25" t="inlineStr">
        <is>
          <t>Uptrend</t>
        </is>
      </c>
      <c r="BA8" s="25">
        <f>IF(AZ8="Uptrend",10,IF(AZ8="Sideways",5,0))</f>
        <v/>
      </c>
      <c r="BB8" s="25" t="inlineStr">
        <is>
          <t>Blue sky scenario</t>
        </is>
      </c>
      <c r="BC8" s="25">
        <f>IF(BB8="Overhead supply in last 2 years in last 2 years",-5,IF(BB8="Close to 52 week high or retracement",5,IF(BB8="Blue sky scenario",10,IF(BB8="Long term Downtrend",-10,0))))</f>
        <v/>
      </c>
      <c r="BD8" s="25" t="inlineStr">
        <is>
          <t>Yes</t>
        </is>
      </c>
      <c r="BE8" s="25">
        <f>IF(BD8="Yes",10,0)</f>
        <v/>
      </c>
      <c r="BF8" s="25" t="inlineStr">
        <is>
          <t>More than 20%</t>
        </is>
      </c>
      <c r="BG8" s="25">
        <f>IF(BF8="More than 20%",10,IF(BF8="Between 12 to 20%",5,IF(BF8="Less than 12%",0,0)))</f>
        <v/>
      </c>
      <c r="BH8" s="25" t="inlineStr">
        <is>
          <t>No</t>
        </is>
      </c>
      <c r="BI8" s="25">
        <f>IF(BH8="No",10,0)</f>
        <v/>
      </c>
      <c r="BJ8" s="25" t="inlineStr">
        <is>
          <t>No</t>
        </is>
      </c>
      <c r="BK8" s="25">
        <f>IF(BJ8="NO",5,0)</f>
        <v/>
      </c>
      <c r="BL8" s="25" t="inlineStr">
        <is>
          <t>Less than 1.5</t>
        </is>
      </c>
      <c r="BM8" s="25">
        <f>IF(BL8="Above 2",0,IF(BL8="Between 1.5 to 2",5,IF(BL8="Less than 1.5",10,0)))</f>
        <v/>
      </c>
      <c r="BN8" s="25" t="inlineStr">
        <is>
          <t>Above 70%</t>
        </is>
      </c>
      <c r="BO8" s="25">
        <f>IF(BN8="Above 70%",10,IF(BN8="Between 50% to 70%",5,IF(BN8="Less than 50%",0,IF(BN8="Negative",-10,IF(BN8="Less than 50% and Borrowings are increasing",-5,0)))))</f>
        <v/>
      </c>
      <c r="BP8" s="25" t="inlineStr">
        <is>
          <t>Less than 0.7</t>
        </is>
      </c>
      <c r="BQ8" s="25">
        <f>IF(BP8="More than 1.2",-10,IF(BP8="Between 0.7 to 1.2",0,IF(BP8="Less than 0.7",10,0)))</f>
        <v/>
      </c>
      <c r="BR8" s="25" t="inlineStr">
        <is>
          <t>No</t>
        </is>
      </c>
      <c r="BS8" s="25">
        <f>IF(BR8="Yes",-10,0)</f>
        <v/>
      </c>
      <c r="BT8" s="25" t="inlineStr">
        <is>
          <t>Less than 15%</t>
        </is>
      </c>
      <c r="BU8" s="25">
        <f>IF(BT8="More than 15%",-10,IF(BT8="Less than 15%",10,0))</f>
        <v/>
      </c>
      <c r="BV8" s="25" t="inlineStr">
        <is>
          <t>No</t>
        </is>
      </c>
      <c r="BW8" s="25">
        <f>IF(BV8="Yes, more than 10%",-10,IF(BV8="No",10,0))</f>
        <v/>
      </c>
      <c r="BX8" s="25" t="inlineStr">
        <is>
          <t>26</t>
        </is>
      </c>
      <c r="BY8" s="25">
        <f>IF(BX8&gt;20,10,IF(BX8&gt;=10,5,2))</f>
        <v/>
      </c>
    </row>
    <row r="9">
      <c r="A9" s="25">
        <f>IF(B9=0,"",RANK(B9,$B$2:$B$95,0))</f>
        <v/>
      </c>
      <c r="B9" s="26">
        <f>SUM(Q9,S9,U9,W9,Y9,AA9,AC9,AE9,AG9,AI9,AK9,AM9,AO9,AQ9,AS9,AU9,AW9,AY9,BA9,BC9,BE9,BG9,BI9,BK9,BM9,BO9,BQ9,BS9,BU9,BW9,BY9)</f>
        <v/>
      </c>
      <c r="C9" s="25" t="inlineStr">
        <is>
          <t>ACUTAAS</t>
        </is>
      </c>
      <c r="D9" s="25" t="inlineStr">
        <is>
          <t>Acutaas Chemicals Ltd</t>
        </is>
      </c>
      <c r="E9" s="25" t="inlineStr">
        <is>
          <t>healthcare</t>
        </is>
      </c>
      <c r="F9" s="25" t="inlineStr">
        <is>
          <t>Pharma - API &amp; CRAMS</t>
        </is>
      </c>
      <c r="G9" s="25" t="inlineStr">
        <is>
          <t>largecap</t>
        </is>
      </c>
      <c r="H9" s="26" t="n">
        <v>24869.17</v>
      </c>
      <c r="I9" s="26" t="n">
        <v>3037.6</v>
      </c>
      <c r="J9" s="26" t="n">
        <v>0.62</v>
      </c>
      <c r="K9" s="26" t="n">
        <v>0</v>
      </c>
      <c r="L9" s="26" t="n">
        <v>72.77</v>
      </c>
      <c r="M9" s="26" t="n">
        <v>64.17</v>
      </c>
      <c r="N9" s="26" t="n">
        <v>2442.12</v>
      </c>
      <c r="O9" s="25" t="inlineStr">
        <is>
          <t>Near 52W High Breakout</t>
        </is>
      </c>
      <c r="P9" s="25" t="inlineStr">
        <is>
          <t>Growing Industry</t>
        </is>
      </c>
      <c r="Q9" s="25">
        <f>IF(P9="Growing Industry",10,IF(P9="Cyclical in an Upturn",5,0))</f>
        <v/>
      </c>
      <c r="R9" s="25" t="inlineStr">
        <is>
          <t>Too Many Players with High ROCE</t>
        </is>
      </c>
      <c r="S9" s="25">
        <f>IF(R9="Monopoly",10,IF(R9="Oligopoly",5,IF(R9="Duopoly that cooperate",10,IF(R9="Duopoly that compete",5,IF(R9="Too many players with High ROCE",5,0)))))</f>
        <v/>
      </c>
      <c r="T9" s="25" t="inlineStr">
        <is>
          <t>Yes</t>
        </is>
      </c>
      <c r="U9" s="25">
        <f>IF(T9="No",5,0)</f>
        <v/>
      </c>
      <c r="V9" s="25" t="inlineStr">
        <is>
          <t>Tailwind</t>
        </is>
      </c>
      <c r="W9" s="25">
        <f>IF(V9="Tailwind",10,0)</f>
        <v/>
      </c>
      <c r="X9" s="25" t="inlineStr">
        <is>
          <t>Structural (10 Years Consistency)</t>
        </is>
      </c>
      <c r="Y9" s="25">
        <f>IF(X9="Structural (10 Years Consistency)",10,IF(X9="Shallow Cyclical (2 to 3 years growth)",5,0))</f>
        <v/>
      </c>
      <c r="Z9" s="25" t="inlineStr">
        <is>
          <t>No</t>
        </is>
      </c>
      <c r="AA9" s="25">
        <f>IF(Z9="Yes due to Product Mix change or Operating Leverage",10,IF(Z9="Yes, these are peak margins",-5,IF(Z9="No",5,0)))</f>
        <v/>
      </c>
      <c r="AB9" s="25" t="inlineStr">
        <is>
          <t>Stable</t>
        </is>
      </c>
      <c r="AC9" s="25">
        <f>IF(AB9="Stable",10,0)</f>
        <v/>
      </c>
      <c r="AD9" s="25" t="inlineStr">
        <is>
          <t>Yes</t>
        </is>
      </c>
      <c r="AE9" s="25">
        <f>IF(AD9="Yes",10,0)</f>
        <v/>
      </c>
      <c r="AF9" s="25" t="inlineStr">
        <is>
          <t>B2B</t>
        </is>
      </c>
      <c r="AG9" s="25">
        <f>IF(AF9="B2C",10,IF(AF9="B2B",5,0))</f>
        <v/>
      </c>
      <c r="AH9" s="25" t="inlineStr">
        <is>
          <t>Yes</t>
        </is>
      </c>
      <c r="AI9" s="25">
        <f>IF(AH9="Yes",10,0)</f>
        <v/>
      </c>
      <c r="AJ9" s="25" t="inlineStr">
        <is>
          <t>Higher Annuity, Lower One Time</t>
        </is>
      </c>
      <c r="AK9" s="25">
        <f>IF(AJ9="Fully Annuity",10,IF(AJ9="Higher Annuity, Lower One Time",5,IF(AJ9="Higher One Time, Lower Annuity",3,0)))</f>
        <v/>
      </c>
      <c r="AL9" s="25" t="inlineStr">
        <is>
          <t>Good</t>
        </is>
      </c>
      <c r="AM9" s="25">
        <f>IF(AL9="Good",10,0)</f>
        <v/>
      </c>
      <c r="AN9" s="25" t="inlineStr">
        <is>
          <t>Yes for more than 2 years</t>
        </is>
      </c>
      <c r="AO9" s="25">
        <f>IF(AN9="Yes for more than 2 years",10,IF(AN9="Yes only for next 1 to 2 years",5,0))</f>
        <v/>
      </c>
      <c r="AP9" s="25" t="inlineStr">
        <is>
          <t>Above 40</t>
        </is>
      </c>
      <c r="AQ9" s="25">
        <f>IF(AP9="Above 40",20,IF(AP9="20 to 40",10,IF(AP9="0 to 20",-5,0)))</f>
        <v/>
      </c>
      <c r="AR9" s="25" t="inlineStr">
        <is>
          <t>Between 50 to 75</t>
        </is>
      </c>
      <c r="AS9" s="25">
        <f>IF(AR9="Between 50 to 75",10,IF(AR9="Above 75",0,0))</f>
        <v/>
      </c>
      <c r="AT9" s="25" t="inlineStr">
        <is>
          <t>Stage 2</t>
        </is>
      </c>
      <c r="AU9" s="25">
        <f>IF(AT9="Stage 2",20,IF(AT9="Stage 1",0,IF(AT9="Stage 3",5,IF(AT9="Stage 4",-5,0))))</f>
        <v/>
      </c>
      <c r="AV9" s="25" t="inlineStr">
        <is>
          <t>Positive Trend</t>
        </is>
      </c>
      <c r="AW9" s="25">
        <f>IF(AV9="Positive Trend",20,IF(AV9="Negative Trend",-10,0))</f>
        <v/>
      </c>
      <c r="AX9" s="25" t="inlineStr">
        <is>
          <t>Uptrend</t>
        </is>
      </c>
      <c r="AY9" s="25">
        <f>IF(AX9="Uptrend",10,IF(AX9="Sideways",5,0))</f>
        <v/>
      </c>
      <c r="AZ9" s="25" t="inlineStr">
        <is>
          <t>Uptrend</t>
        </is>
      </c>
      <c r="BA9" s="25">
        <f>IF(AZ9="Uptrend",10,IF(AZ9="Sideways",5,0))</f>
        <v/>
      </c>
      <c r="BB9" s="25" t="inlineStr">
        <is>
          <t>Blue sky scenario</t>
        </is>
      </c>
      <c r="BC9" s="25">
        <f>IF(BB9="Overhead supply in last 2 years in last 2 years",-5,IF(BB9="Close to 52 week high or retracement",5,IF(BB9="Blue sky scenario",10,IF(BB9="Long term Downtrend",-10,0))))</f>
        <v/>
      </c>
      <c r="BD9" s="25" t="inlineStr">
        <is>
          <t>Yes</t>
        </is>
      </c>
      <c r="BE9" s="25">
        <f>IF(BD9="Yes",10,0)</f>
        <v/>
      </c>
      <c r="BF9" s="25" t="inlineStr">
        <is>
          <t>More than 20%</t>
        </is>
      </c>
      <c r="BG9" s="25">
        <f>IF(BF9="More than 20%",10,IF(BF9="Between 12 to 20%",5,IF(BF9="Less than 12%",0,0)))</f>
        <v/>
      </c>
      <c r="BH9" s="25" t="inlineStr">
        <is>
          <t>No</t>
        </is>
      </c>
      <c r="BI9" s="25">
        <f>IF(BH9="No",10,0)</f>
        <v/>
      </c>
      <c r="BJ9" s="25" t="inlineStr">
        <is>
          <t>Yes</t>
        </is>
      </c>
      <c r="BK9" s="25">
        <f>IF(BJ9="NO",5,0)</f>
        <v/>
      </c>
      <c r="BL9" s="25" t="inlineStr">
        <is>
          <t>Less than 1.5</t>
        </is>
      </c>
      <c r="BM9" s="25">
        <f>IF(BL9="Above 2",0,IF(BL9="Between 1.5 to 2",5,IF(BL9="Less than 1.5",10,0)))</f>
        <v/>
      </c>
      <c r="BN9" s="25" t="inlineStr">
        <is>
          <t>Between 50% to 70%</t>
        </is>
      </c>
      <c r="BO9" s="25">
        <f>IF(BN9="Above 70%",10,IF(BN9="Between 50% to 70%",5,IF(BN9="Less than 50%",0,IF(BN9="Negative",-10,IF(BN9="Less than 50% and Borrowings are increasing",-5,0)))))</f>
        <v/>
      </c>
      <c r="BP9" s="25" t="inlineStr">
        <is>
          <t>Less than 0.7</t>
        </is>
      </c>
      <c r="BQ9" s="25">
        <f>IF(BP9="More than 1.2",-10,IF(BP9="Between 0.7 to 1.2",0,IF(BP9="Less than 0.7",10,0)))</f>
        <v/>
      </c>
      <c r="BR9" s="25" t="inlineStr">
        <is>
          <t>No</t>
        </is>
      </c>
      <c r="BS9" s="25">
        <f>IF(BR9="Yes",-10,0)</f>
        <v/>
      </c>
      <c r="BT9" s="25" t="inlineStr">
        <is>
          <t>Less than 15%</t>
        </is>
      </c>
      <c r="BU9" s="25">
        <f>IF(BT9="More than 15%",-10,IF(BT9="Less than 15%",10,0))</f>
        <v/>
      </c>
      <c r="BV9" s="25" t="inlineStr">
        <is>
          <t>No</t>
        </is>
      </c>
      <c r="BW9" s="25">
        <f>IF(BV9="Yes, more than 10%",-10,IF(BV9="No",10,0))</f>
        <v/>
      </c>
      <c r="BX9" s="25" t="inlineStr">
        <is>
          <t>26</t>
        </is>
      </c>
      <c r="BY9" s="25">
        <f>IF(BX9&gt;20,10,IF(BX9&gt;=10,5,2))</f>
        <v/>
      </c>
    </row>
    <row r="10">
      <c r="A10" s="25">
        <f>IF(B10=0,"",RANK(B10,$B$2:$B$95,0))</f>
        <v/>
      </c>
      <c r="B10" s="26">
        <f>SUM(Q10,S10,U10,W10,Y10,AA10,AC10,AE10,AG10,AI10,AK10,AM10,AO10,AQ10,AS10,AU10,AW10,AY10,BA10,BC10,BE10,BG10,BI10,BK10,BM10,BO10,BQ10,BS10,BU10,BW10,BY10)</f>
        <v/>
      </c>
      <c r="C10" s="25" t="inlineStr">
        <is>
          <t>MODINSU</t>
        </is>
      </c>
      <c r="D10" s="25" t="inlineStr">
        <is>
          <t>Modern Insulators Ltd</t>
        </is>
      </c>
      <c r="E10" s="25" t="inlineStr">
        <is>
          <t>Technology</t>
        </is>
      </c>
      <c r="F10" s="25" t="inlineStr">
        <is>
          <t>Capital Goods - Electric General</t>
        </is>
      </c>
      <c r="G10" s="25" t="inlineStr">
        <is>
          <t>smallcap</t>
        </is>
      </c>
      <c r="H10" s="26" t="n">
        <v>1921.35</v>
      </c>
      <c r="I10" s="26" t="n">
        <v>407.55</v>
      </c>
      <c r="J10" s="26" t="n">
        <v>-5</v>
      </c>
      <c r="K10" s="26" t="n">
        <v>0</v>
      </c>
      <c r="L10" s="26" t="n">
        <v>70.54000000000001</v>
      </c>
      <c r="M10" s="26" t="n">
        <v>43.13</v>
      </c>
      <c r="N10" s="26" t="n">
        <v>332.12</v>
      </c>
      <c r="O10" s="25" t="inlineStr">
        <is>
          <t>Earnings / Momentum Support</t>
        </is>
      </c>
      <c r="P10" s="25" t="inlineStr">
        <is>
          <t>Growing Industry</t>
        </is>
      </c>
      <c r="Q10" s="25">
        <f>IF(P10="Growing Industry",10,IF(P10="Cyclical in an Upturn",5,0))</f>
        <v/>
      </c>
      <c r="R10" s="25" t="inlineStr">
        <is>
          <t>Too Many Players with High ROCE</t>
        </is>
      </c>
      <c r="S10" s="25">
        <f>IF(R10="Monopoly",10,IF(R10="Oligopoly",5,IF(R10="Duopoly that cooperate",10,IF(R10="Duopoly that compete",5,IF(R10="Too many players with High ROCE",5,0)))))</f>
        <v/>
      </c>
      <c r="T10" s="25" t="inlineStr">
        <is>
          <t>No</t>
        </is>
      </c>
      <c r="U10" s="25">
        <f>IF(T10="No",5,0)</f>
        <v/>
      </c>
      <c r="V10" s="25" t="inlineStr">
        <is>
          <t>Tailwind</t>
        </is>
      </c>
      <c r="W10" s="25">
        <f>IF(V10="Tailwind",10,0)</f>
        <v/>
      </c>
      <c r="X10" s="25" t="inlineStr">
        <is>
          <t>Structural (10 Years Consistency)</t>
        </is>
      </c>
      <c r="Y10" s="25">
        <f>IF(X10="Structural (10 Years Consistency)",10,IF(X10="Shallow Cyclical (2 to 3 years growth)",5,0))</f>
        <v/>
      </c>
      <c r="Z10" s="25" t="inlineStr">
        <is>
          <t>No</t>
        </is>
      </c>
      <c r="AA10" s="25">
        <f>IF(Z10="Yes due to Product Mix change or Operating Leverage",10,IF(Z10="Yes, these are peak margins",-5,IF(Z10="No",5,0)))</f>
        <v/>
      </c>
      <c r="AB10" s="25" t="inlineStr">
        <is>
          <t>Stable</t>
        </is>
      </c>
      <c r="AC10" s="25">
        <f>IF(AB10="Stable",10,0)</f>
        <v/>
      </c>
      <c r="AD10" s="25" t="inlineStr">
        <is>
          <t>Yes</t>
        </is>
      </c>
      <c r="AE10" s="25">
        <f>IF(AD10="Yes",10,0)</f>
        <v/>
      </c>
      <c r="AF10" s="25" t="inlineStr">
        <is>
          <t>B2B</t>
        </is>
      </c>
      <c r="AG10" s="25">
        <f>IF(AF10="B2C",10,IF(AF10="B2B",5,0))</f>
        <v/>
      </c>
      <c r="AH10" s="25" t="inlineStr">
        <is>
          <t>No</t>
        </is>
      </c>
      <c r="AI10" s="25">
        <f>IF(AH10="Yes",10,0)</f>
        <v/>
      </c>
      <c r="AJ10" s="25" t="inlineStr">
        <is>
          <t>Higher Annuity, Lower One Time</t>
        </is>
      </c>
      <c r="AK10" s="25">
        <f>IF(AJ10="Fully Annuity",10,IF(AJ10="Higher Annuity, Lower One Time",5,IF(AJ10="Higher One Time, Lower Annuity",3,0)))</f>
        <v/>
      </c>
      <c r="AL10" s="25" t="inlineStr">
        <is>
          <t>Good</t>
        </is>
      </c>
      <c r="AM10" s="25">
        <f>IF(AL10="Good",10,0)</f>
        <v/>
      </c>
      <c r="AN10" s="25" t="inlineStr">
        <is>
          <t>Yes for more than 2 years</t>
        </is>
      </c>
      <c r="AO10" s="25">
        <f>IF(AN10="Yes for more than 2 years",10,IF(AN10="Yes only for next 1 to 2 years",5,0))</f>
        <v/>
      </c>
      <c r="AP10" s="25" t="inlineStr">
        <is>
          <t>Above 40</t>
        </is>
      </c>
      <c r="AQ10" s="25">
        <f>IF(AP10="Above 40",20,IF(AP10="20 to 40",10,IF(AP10="0 to 20",-5,0)))</f>
        <v/>
      </c>
      <c r="AR10" s="25" t="inlineStr">
        <is>
          <t>Between 50 to 75</t>
        </is>
      </c>
      <c r="AS10" s="25">
        <f>IF(AR10="Between 50 to 75",10,IF(AR10="Above 75",0,0))</f>
        <v/>
      </c>
      <c r="AT10" s="25" t="inlineStr">
        <is>
          <t>Stage 2</t>
        </is>
      </c>
      <c r="AU10" s="25">
        <f>IF(AT10="Stage 2",20,IF(AT10="Stage 1",0,IF(AT10="Stage 3",5,IF(AT10="Stage 4",-5,0))))</f>
        <v/>
      </c>
      <c r="AV10" s="25" t="inlineStr">
        <is>
          <t>Positive Trend</t>
        </is>
      </c>
      <c r="AW10" s="25">
        <f>IF(AV10="Positive Trend",20,IF(AV10="Negative Trend",-10,0))</f>
        <v/>
      </c>
      <c r="AX10" s="25" t="inlineStr">
        <is>
          <t>Uptrend</t>
        </is>
      </c>
      <c r="AY10" s="25">
        <f>IF(AX10="Uptrend",10,IF(AX10="Sideways",5,0))</f>
        <v/>
      </c>
      <c r="AZ10" s="25" t="inlineStr">
        <is>
          <t>Uptrend</t>
        </is>
      </c>
      <c r="BA10" s="25">
        <f>IF(AZ10="Uptrend",10,IF(AZ10="Sideways",5,0))</f>
        <v/>
      </c>
      <c r="BB10" s="25" t="inlineStr">
        <is>
          <t>Close to 52 week high or retracement</t>
        </is>
      </c>
      <c r="BC10" s="25">
        <f>IF(BB10="Overhead supply in last 2 years in last 2 years",-5,IF(BB10="Close to 52 week high or retracement",5,IF(BB10="Blue sky scenario",10,IF(BB10="Long term Downtrend",-10,0))))</f>
        <v/>
      </c>
      <c r="BD10" s="25" t="inlineStr">
        <is>
          <t>Yes</t>
        </is>
      </c>
      <c r="BE10" s="25">
        <f>IF(BD10="Yes",10,0)</f>
        <v/>
      </c>
      <c r="BF10" s="25" t="inlineStr">
        <is>
          <t>More than 20%</t>
        </is>
      </c>
      <c r="BG10" s="25">
        <f>IF(BF10="More than 20%",10,IF(BF10="Between 12 to 20%",5,IF(BF10="Less than 12%",0,0)))</f>
        <v/>
      </c>
      <c r="BH10" s="25" t="inlineStr">
        <is>
          <t>No</t>
        </is>
      </c>
      <c r="BI10" s="25">
        <f>IF(BH10="No",10,0)</f>
        <v/>
      </c>
      <c r="BJ10" s="25" t="inlineStr">
        <is>
          <t>No</t>
        </is>
      </c>
      <c r="BK10" s="25">
        <f>IF(BJ10="NO",5,0)</f>
        <v/>
      </c>
      <c r="BL10" s="25" t="inlineStr">
        <is>
          <t>Less than 1.5</t>
        </is>
      </c>
      <c r="BM10" s="25">
        <f>IF(BL10="Above 2",0,IF(BL10="Between 1.5 to 2",5,IF(BL10="Less than 1.5",10,0)))</f>
        <v/>
      </c>
      <c r="BN10" s="25" t="inlineStr">
        <is>
          <t>Above 70%</t>
        </is>
      </c>
      <c r="BO10" s="25">
        <f>IF(BN10="Above 70%",10,IF(BN10="Between 50% to 70%",5,IF(BN10="Less than 50%",0,IF(BN10="Negative",-10,IF(BN10="Less than 50% and Borrowings are increasing",-5,0)))))</f>
        <v/>
      </c>
      <c r="BP10" s="25" t="inlineStr">
        <is>
          <t>Less than 0.7</t>
        </is>
      </c>
      <c r="BQ10" s="25">
        <f>IF(BP10="More than 1.2",-10,IF(BP10="Between 0.7 to 1.2",0,IF(BP10="Less than 0.7",10,0)))</f>
        <v/>
      </c>
      <c r="BR10" s="25" t="inlineStr">
        <is>
          <t>No</t>
        </is>
      </c>
      <c r="BS10" s="25">
        <f>IF(BR10="Yes",-10,0)</f>
        <v/>
      </c>
      <c r="BT10" s="25" t="inlineStr">
        <is>
          <t>Less than 15%</t>
        </is>
      </c>
      <c r="BU10" s="25">
        <f>IF(BT10="More than 15%",-10,IF(BT10="Less than 15%",10,0))</f>
        <v/>
      </c>
      <c r="BV10" s="25" t="inlineStr">
        <is>
          <t>No</t>
        </is>
      </c>
      <c r="BW10" s="25">
        <f>IF(BV10="Yes, more than 10%",-10,IF(BV10="No",10,0))</f>
        <v/>
      </c>
      <c r="BX10" s="25" t="inlineStr">
        <is>
          <t>21</t>
        </is>
      </c>
      <c r="BY10" s="25">
        <f>IF(BX10&gt;20,10,IF(BX10&gt;=10,5,2))</f>
        <v/>
      </c>
    </row>
    <row r="11">
      <c r="A11" s="25">
        <f>IF(B11=0,"",RANK(B11,$B$2:$B$95,0))</f>
        <v/>
      </c>
      <c r="B11" s="26">
        <f>SUM(Q11,S11,U11,W11,Y11,AA11,AC11,AE11,AG11,AI11,AK11,AM11,AO11,AQ11,AS11,AU11,AW11,AY11,BA11,BC11,BE11,BG11,BI11,BK11,BM11,BO11,BQ11,BS11,BU11,BW11,BY11)</f>
        <v/>
      </c>
      <c r="C11" s="25" t="inlineStr">
        <is>
          <t>PGHL</t>
        </is>
      </c>
      <c r="D11" s="25" t="inlineStr">
        <is>
          <t>Procter &amp; Gamble Health Ltd</t>
        </is>
      </c>
      <c r="E11" s="25" t="inlineStr">
        <is>
          <t>healthcare</t>
        </is>
      </c>
      <c r="F11" s="25" t="inlineStr">
        <is>
          <t>Pharma - MNC bulk Drugs</t>
        </is>
      </c>
      <c r="G11" s="25" t="inlineStr">
        <is>
          <t>midcap</t>
        </is>
      </c>
      <c r="H11" s="26" t="n">
        <v>10010.26</v>
      </c>
      <c r="I11" s="26" t="n">
        <v>6030.5</v>
      </c>
      <c r="J11" s="26" t="n">
        <v>-0.54</v>
      </c>
      <c r="K11" s="26" t="n">
        <v>0</v>
      </c>
      <c r="L11" s="26" t="n">
        <v>70.91</v>
      </c>
      <c r="M11" s="26" t="n">
        <v>29.9</v>
      </c>
      <c r="N11" s="26" t="n">
        <v>5085.71</v>
      </c>
      <c r="O11" s="25" t="inlineStr">
        <is>
          <t>Near 52W High Breakout</t>
        </is>
      </c>
      <c r="P11" s="25" t="inlineStr">
        <is>
          <t>Growing Industry</t>
        </is>
      </c>
      <c r="Q11" s="25">
        <f>IF(P11="Growing Industry",10,IF(P11="Cyclical in an Upturn",5,0))</f>
        <v/>
      </c>
      <c r="R11" s="25" t="inlineStr">
        <is>
          <t>Too Many Players with High ROCE</t>
        </is>
      </c>
      <c r="S11" s="25">
        <f>IF(R11="Monopoly",10,IF(R11="Oligopoly",5,IF(R11="Duopoly that cooperate",10,IF(R11="Duopoly that compete",5,IF(R11="Too many players with High ROCE",5,0)))))</f>
        <v/>
      </c>
      <c r="T11" s="25" t="inlineStr">
        <is>
          <t>Yes</t>
        </is>
      </c>
      <c r="U11" s="25">
        <f>IF(T11="No",5,0)</f>
        <v/>
      </c>
      <c r="V11" s="25" t="inlineStr">
        <is>
          <t>Tailwind</t>
        </is>
      </c>
      <c r="W11" s="25">
        <f>IF(V11="Tailwind",10,0)</f>
        <v/>
      </c>
      <c r="X11" s="25" t="inlineStr">
        <is>
          <t>Structural (10 Years Consistency)</t>
        </is>
      </c>
      <c r="Y11" s="25">
        <f>IF(X11="Structural (10 Years Consistency)",10,IF(X11="Shallow Cyclical (2 to 3 years growth)",5,0))</f>
        <v/>
      </c>
      <c r="Z11" s="25" t="inlineStr">
        <is>
          <t>No</t>
        </is>
      </c>
      <c r="AA11" s="25">
        <f>IF(Z11="Yes due to Product Mix change or Operating Leverage",10,IF(Z11="Yes, these are peak margins",-5,IF(Z11="No",5,0)))</f>
        <v/>
      </c>
      <c r="AB11" s="25" t="inlineStr">
        <is>
          <t>Stable</t>
        </is>
      </c>
      <c r="AC11" s="25">
        <f>IF(AB11="Stable",10,0)</f>
        <v/>
      </c>
      <c r="AD11" s="25" t="inlineStr">
        <is>
          <t>Yes</t>
        </is>
      </c>
      <c r="AE11" s="25">
        <f>IF(AD11="Yes",10,0)</f>
        <v/>
      </c>
      <c r="AF11" s="25" t="inlineStr">
        <is>
          <t>B2B</t>
        </is>
      </c>
      <c r="AG11" s="25">
        <f>IF(AF11="B2C",10,IF(AF11="B2B",5,0))</f>
        <v/>
      </c>
      <c r="AH11" s="25" t="inlineStr">
        <is>
          <t>Yes</t>
        </is>
      </c>
      <c r="AI11" s="25">
        <f>IF(AH11="Yes",10,0)</f>
        <v/>
      </c>
      <c r="AJ11" s="25" t="inlineStr">
        <is>
          <t>Higher Annuity, Lower One Time</t>
        </is>
      </c>
      <c r="AK11" s="25">
        <f>IF(AJ11="Fully Annuity",10,IF(AJ11="Higher Annuity, Lower One Time",5,IF(AJ11="Higher One Time, Lower Annuity",3,0)))</f>
        <v/>
      </c>
      <c r="AL11" s="25" t="inlineStr">
        <is>
          <t>Good</t>
        </is>
      </c>
      <c r="AM11" s="25">
        <f>IF(AL11="Good",10,0)</f>
        <v/>
      </c>
      <c r="AN11" s="25" t="inlineStr">
        <is>
          <t>Yes for more than 2 years</t>
        </is>
      </c>
      <c r="AO11" s="25">
        <f>IF(AN11="Yes for more than 2 years",10,IF(AN11="Yes only for next 1 to 2 years",5,0))</f>
        <v/>
      </c>
      <c r="AP11" s="25" t="inlineStr">
        <is>
          <t>20 to 40</t>
        </is>
      </c>
      <c r="AQ11" s="25">
        <f>IF(AP11="Above 40",20,IF(AP11="20 to 40",10,IF(AP11="0 to 20",-5,0)))</f>
        <v/>
      </c>
      <c r="AR11" s="25" t="inlineStr">
        <is>
          <t>Between 50 to 75</t>
        </is>
      </c>
      <c r="AS11" s="25">
        <f>IF(AR11="Between 50 to 75",10,IF(AR11="Above 75",0,0))</f>
        <v/>
      </c>
      <c r="AT11" s="25" t="inlineStr">
        <is>
          <t>Stage 2</t>
        </is>
      </c>
      <c r="AU11" s="25">
        <f>IF(AT11="Stage 2",20,IF(AT11="Stage 1",0,IF(AT11="Stage 3",5,IF(AT11="Stage 4",-5,0))))</f>
        <v/>
      </c>
      <c r="AV11" s="25" t="inlineStr">
        <is>
          <t>Positive Trend</t>
        </is>
      </c>
      <c r="AW11" s="25">
        <f>IF(AV11="Positive Trend",20,IF(AV11="Negative Trend",-10,0))</f>
        <v/>
      </c>
      <c r="AX11" s="25" t="inlineStr">
        <is>
          <t>Uptrend</t>
        </is>
      </c>
      <c r="AY11" s="25">
        <f>IF(AX11="Uptrend",10,IF(AX11="Sideways",5,0))</f>
        <v/>
      </c>
      <c r="AZ11" s="25" t="inlineStr">
        <is>
          <t>Uptrend</t>
        </is>
      </c>
      <c r="BA11" s="25">
        <f>IF(AZ11="Uptrend",10,IF(AZ11="Sideways",5,0))</f>
        <v/>
      </c>
      <c r="BB11" s="25" t="inlineStr">
        <is>
          <t>Blue sky scenario</t>
        </is>
      </c>
      <c r="BC11" s="25">
        <f>IF(BB11="Overhead supply in last 2 years in last 2 years",-5,IF(BB11="Close to 52 week high or retracement",5,IF(BB11="Blue sky scenario",10,IF(BB11="Long term Downtrend",-10,0))))</f>
        <v/>
      </c>
      <c r="BD11" s="25" t="inlineStr">
        <is>
          <t>Yes</t>
        </is>
      </c>
      <c r="BE11" s="25">
        <f>IF(BD11="Yes",10,0)</f>
        <v/>
      </c>
      <c r="BF11" s="25" t="inlineStr">
        <is>
          <t>More than 20%</t>
        </is>
      </c>
      <c r="BG11" s="25">
        <f>IF(BF11="More than 20%",10,IF(BF11="Between 12 to 20%",5,IF(BF11="Less than 12%",0,0)))</f>
        <v/>
      </c>
      <c r="BH11" s="25" t="inlineStr">
        <is>
          <t>No</t>
        </is>
      </c>
      <c r="BI11" s="25">
        <f>IF(BH11="No",10,0)</f>
        <v/>
      </c>
      <c r="BJ11" s="25" t="inlineStr">
        <is>
          <t>No</t>
        </is>
      </c>
      <c r="BK11" s="25">
        <f>IF(BJ11="NO",5,0)</f>
        <v/>
      </c>
      <c r="BL11" s="25" t="inlineStr">
        <is>
          <t>Less than 1.5</t>
        </is>
      </c>
      <c r="BM11" s="25">
        <f>IF(BL11="Above 2",0,IF(BL11="Between 1.5 to 2",5,IF(BL11="Less than 1.5",10,0)))</f>
        <v/>
      </c>
      <c r="BN11" s="25" t="inlineStr">
        <is>
          <t>Above 70%</t>
        </is>
      </c>
      <c r="BO11" s="25">
        <f>IF(BN11="Above 70%",10,IF(BN11="Between 50% to 70%",5,IF(BN11="Less than 50%",0,IF(BN11="Negative",-10,IF(BN11="Less than 50% and Borrowings are increasing",-5,0)))))</f>
        <v/>
      </c>
      <c r="BP11" s="25" t="inlineStr">
        <is>
          <t>Less than 0.7</t>
        </is>
      </c>
      <c r="BQ11" s="25">
        <f>IF(BP11="More than 1.2",-10,IF(BP11="Between 0.7 to 1.2",0,IF(BP11="Less than 0.7",10,0)))</f>
        <v/>
      </c>
      <c r="BR11" s="25" t="inlineStr">
        <is>
          <t>No</t>
        </is>
      </c>
      <c r="BS11" s="25">
        <f>IF(BR11="Yes",-10,0)</f>
        <v/>
      </c>
      <c r="BT11" s="25" t="inlineStr">
        <is>
          <t>Less than 15%</t>
        </is>
      </c>
      <c r="BU11" s="25">
        <f>IF(BT11="More than 15%",-10,IF(BT11="Less than 15%",10,0))</f>
        <v/>
      </c>
      <c r="BV11" s="25" t="inlineStr">
        <is>
          <t>No</t>
        </is>
      </c>
      <c r="BW11" s="25">
        <f>IF(BV11="Yes, more than 10%",-10,IF(BV11="No",10,0))</f>
        <v/>
      </c>
      <c r="BX11" s="25" t="inlineStr">
        <is>
          <t>19</t>
        </is>
      </c>
      <c r="BY11" s="25">
        <f>IF(BX11&gt;20,10,IF(BX11&gt;=10,5,2))</f>
        <v/>
      </c>
    </row>
    <row r="12">
      <c r="A12" s="25">
        <f>IF(B12=0,"",RANK(B12,$B$2:$B$95,0))</f>
        <v/>
      </c>
      <c r="B12" s="26">
        <f>SUM(Q12,S12,U12,W12,Y12,AA12,AC12,AE12,AG12,AI12,AK12,AM12,AO12,AQ12,AS12,AU12,AW12,AY12,BA12,BC12,BE12,BG12,BI12,BK12,BM12,BO12,BQ12,BS12,BU12,BW12,BY12)</f>
        <v/>
      </c>
      <c r="C12" s="25" t="inlineStr">
        <is>
          <t>UNIPARTS</t>
        </is>
      </c>
      <c r="D12" s="25" t="inlineStr">
        <is>
          <t>Uniparts India Ltd</t>
        </is>
      </c>
      <c r="E12" s="25" t="inlineStr">
        <is>
          <t>industrials</t>
        </is>
      </c>
      <c r="F12" s="25" t="inlineStr">
        <is>
          <t>Castings, Forgings &amp; Fastners</t>
        </is>
      </c>
      <c r="G12" s="25" t="inlineStr">
        <is>
          <t>smallcap</t>
        </is>
      </c>
      <c r="H12" s="26" t="n">
        <v>2704.98</v>
      </c>
      <c r="I12" s="26" t="n">
        <v>599.2</v>
      </c>
      <c r="J12" s="26" t="n">
        <v>1.06</v>
      </c>
      <c r="K12" s="26" t="n">
        <v>0</v>
      </c>
      <c r="L12" s="26" t="n">
        <v>68.11</v>
      </c>
      <c r="M12" s="26" t="n">
        <v>30.78</v>
      </c>
      <c r="N12" s="26" t="n">
        <v>461.17</v>
      </c>
      <c r="O12" s="25" t="inlineStr">
        <is>
          <t>Near 52W High Breakout</t>
        </is>
      </c>
      <c r="P12" s="25" t="inlineStr">
        <is>
          <t>Cyclical in an Upturn</t>
        </is>
      </c>
      <c r="Q12" s="25">
        <f>IF(P12="Growing Industry",10,IF(P12="Cyclical in an Upturn",5,0))</f>
        <v/>
      </c>
      <c r="R12" s="25" t="inlineStr">
        <is>
          <t>Too Many Players with High ROCE</t>
        </is>
      </c>
      <c r="S12" s="25">
        <f>IF(R12="Monopoly",10,IF(R12="Oligopoly",5,IF(R12="Duopoly that cooperate",10,IF(R12="Duopoly that compete",5,IF(R12="Too many players with High ROCE",5,0)))))</f>
        <v/>
      </c>
      <c r="T12" s="25" t="inlineStr">
        <is>
          <t>No</t>
        </is>
      </c>
      <c r="U12" s="25">
        <f>IF(T12="No",5,0)</f>
        <v/>
      </c>
      <c r="V12" s="25" t="inlineStr">
        <is>
          <t>Tailwind</t>
        </is>
      </c>
      <c r="W12" s="25">
        <f>IF(V12="Tailwind",10,0)</f>
        <v/>
      </c>
      <c r="X12" s="25" t="inlineStr">
        <is>
          <t>Structural (10 Years Consistency)</t>
        </is>
      </c>
      <c r="Y12" s="25">
        <f>IF(X12="Structural (10 Years Consistency)",10,IF(X12="Shallow Cyclical (2 to 3 years growth)",5,0))</f>
        <v/>
      </c>
      <c r="Z12" s="25" t="inlineStr">
        <is>
          <t>No</t>
        </is>
      </c>
      <c r="AA12" s="25">
        <f>IF(Z12="Yes due to Product Mix change or Operating Leverage",10,IF(Z12="Yes, these are peak margins",-5,IF(Z12="No",5,0)))</f>
        <v/>
      </c>
      <c r="AB12" s="25" t="inlineStr">
        <is>
          <t>Stable</t>
        </is>
      </c>
      <c r="AC12" s="25">
        <f>IF(AB12="Stable",10,0)</f>
        <v/>
      </c>
      <c r="AD12" s="25" t="inlineStr">
        <is>
          <t>Yes</t>
        </is>
      </c>
      <c r="AE12" s="25">
        <f>IF(AD12="Yes",10,0)</f>
        <v/>
      </c>
      <c r="AF12" s="25" t="inlineStr">
        <is>
          <t>B2B</t>
        </is>
      </c>
      <c r="AG12" s="25">
        <f>IF(AF12="B2C",10,IF(AF12="B2B",5,0))</f>
        <v/>
      </c>
      <c r="AH12" s="25" t="inlineStr">
        <is>
          <t>Yes</t>
        </is>
      </c>
      <c r="AI12" s="25">
        <f>IF(AH12="Yes",10,0)</f>
        <v/>
      </c>
      <c r="AJ12" s="25" t="inlineStr">
        <is>
          <t>Higher One Time, Lower Annuity</t>
        </is>
      </c>
      <c r="AK12" s="25">
        <f>IF(AJ12="Fully Annuity",10,IF(AJ12="Higher Annuity, Lower One Time",5,IF(AJ12="Higher One Time, Lower Annuity",3,0)))</f>
        <v/>
      </c>
      <c r="AL12" s="25" t="inlineStr">
        <is>
          <t>Good</t>
        </is>
      </c>
      <c r="AM12" s="25">
        <f>IF(AL12="Good",10,0)</f>
        <v/>
      </c>
      <c r="AN12" s="25" t="inlineStr">
        <is>
          <t>Yes for more than 2 years</t>
        </is>
      </c>
      <c r="AO12" s="25">
        <f>IF(AN12="Yes for more than 2 years",10,IF(AN12="Yes only for next 1 to 2 years",5,0))</f>
        <v/>
      </c>
      <c r="AP12" s="25" t="inlineStr">
        <is>
          <t>20 to 40</t>
        </is>
      </c>
      <c r="AQ12" s="25">
        <f>IF(AP12="Above 40",20,IF(AP12="20 to 40",10,IF(AP12="0 to 20",-5,0)))</f>
        <v/>
      </c>
      <c r="AR12" s="25" t="inlineStr">
        <is>
          <t>Between 50 to 75</t>
        </is>
      </c>
      <c r="AS12" s="25">
        <f>IF(AR12="Between 50 to 75",10,IF(AR12="Above 75",0,0))</f>
        <v/>
      </c>
      <c r="AT12" s="25" t="inlineStr">
        <is>
          <t>Stage 2</t>
        </is>
      </c>
      <c r="AU12" s="25">
        <f>IF(AT12="Stage 2",20,IF(AT12="Stage 1",0,IF(AT12="Stage 3",5,IF(AT12="Stage 4",-5,0))))</f>
        <v/>
      </c>
      <c r="AV12" s="25" t="inlineStr">
        <is>
          <t>Positive Trend</t>
        </is>
      </c>
      <c r="AW12" s="25">
        <f>IF(AV12="Positive Trend",20,IF(AV12="Negative Trend",-10,0))</f>
        <v/>
      </c>
      <c r="AX12" s="25" t="inlineStr">
        <is>
          <t>Uptrend</t>
        </is>
      </c>
      <c r="AY12" s="25">
        <f>IF(AX12="Uptrend",10,IF(AX12="Sideways",5,0))</f>
        <v/>
      </c>
      <c r="AZ12" s="25" t="inlineStr">
        <is>
          <t>Uptrend</t>
        </is>
      </c>
      <c r="BA12" s="25">
        <f>IF(AZ12="Uptrend",10,IF(AZ12="Sideways",5,0))</f>
        <v/>
      </c>
      <c r="BB12" s="25" t="inlineStr">
        <is>
          <t>Blue sky scenario</t>
        </is>
      </c>
      <c r="BC12" s="25">
        <f>IF(BB12="Overhead supply in last 2 years in last 2 years",-5,IF(BB12="Close to 52 week high or retracement",5,IF(BB12="Blue sky scenario",10,IF(BB12="Long term Downtrend",-10,0))))</f>
        <v/>
      </c>
      <c r="BD12" s="25" t="inlineStr">
        <is>
          <t>Yes</t>
        </is>
      </c>
      <c r="BE12" s="25">
        <f>IF(BD12="Yes",10,0)</f>
        <v/>
      </c>
      <c r="BF12" s="25" t="inlineStr">
        <is>
          <t>More than 20%</t>
        </is>
      </c>
      <c r="BG12" s="25">
        <f>IF(BF12="More than 20%",10,IF(BF12="Between 12 to 20%",5,IF(BF12="Less than 12%",0,0)))</f>
        <v/>
      </c>
      <c r="BH12" s="25" t="inlineStr">
        <is>
          <t>No</t>
        </is>
      </c>
      <c r="BI12" s="25">
        <f>IF(BH12="No",10,0)</f>
        <v/>
      </c>
      <c r="BJ12" s="25" t="inlineStr">
        <is>
          <t>No</t>
        </is>
      </c>
      <c r="BK12" s="25">
        <f>IF(BJ12="NO",5,0)</f>
        <v/>
      </c>
      <c r="BL12" s="25" t="inlineStr">
        <is>
          <t>Less than 1.5</t>
        </is>
      </c>
      <c r="BM12" s="25">
        <f>IF(BL12="Above 2",0,IF(BL12="Between 1.5 to 2",5,IF(BL12="Less than 1.5",10,0)))</f>
        <v/>
      </c>
      <c r="BN12" s="25" t="inlineStr">
        <is>
          <t>Above 70%</t>
        </is>
      </c>
      <c r="BO12" s="25">
        <f>IF(BN12="Above 70%",10,IF(BN12="Between 50% to 70%",5,IF(BN12="Less than 50%",0,IF(BN12="Negative",-10,IF(BN12="Less than 50% and Borrowings are increasing",-5,0)))))</f>
        <v/>
      </c>
      <c r="BP12" s="25" t="inlineStr">
        <is>
          <t>Less than 0.7</t>
        </is>
      </c>
      <c r="BQ12" s="25">
        <f>IF(BP12="More than 1.2",-10,IF(BP12="Between 0.7 to 1.2",0,IF(BP12="Less than 0.7",10,0)))</f>
        <v/>
      </c>
      <c r="BR12" s="25" t="inlineStr">
        <is>
          <t>No</t>
        </is>
      </c>
      <c r="BS12" s="25">
        <f>IF(BR12="Yes",-10,0)</f>
        <v/>
      </c>
      <c r="BT12" s="25" t="inlineStr">
        <is>
          <t>Less than 15%</t>
        </is>
      </c>
      <c r="BU12" s="25">
        <f>IF(BT12="More than 15%",-10,IF(BT12="Less than 15%",10,0))</f>
        <v/>
      </c>
      <c r="BV12" s="25" t="inlineStr">
        <is>
          <t>No</t>
        </is>
      </c>
      <c r="BW12" s="25">
        <f>IF(BV12="Yes, more than 10%",-10,IF(BV12="No",10,0))</f>
        <v/>
      </c>
      <c r="BX12" s="25" t="inlineStr">
        <is>
          <t>26</t>
        </is>
      </c>
      <c r="BY12" s="25">
        <f>IF(BX12&gt;20,10,IF(BX12&gt;=10,5,2))</f>
        <v/>
      </c>
    </row>
    <row r="13">
      <c r="A13" s="25">
        <f>IF(B13=0,"",RANK(B13,$B$2:$B$95,0))</f>
        <v/>
      </c>
      <c r="B13" s="26">
        <f>SUM(Q13,S13,U13,W13,Y13,AA13,AC13,AE13,AG13,AI13,AK13,AM13,AO13,AQ13,AS13,AU13,AW13,AY13,BA13,BC13,BE13,BG13,BI13,BK13,BM13,BO13,BQ13,BS13,BU13,BW13,BY13)</f>
        <v/>
      </c>
      <c r="C13" s="25" t="inlineStr">
        <is>
          <t>IBULLSLTD</t>
        </is>
      </c>
      <c r="D13" s="25" t="inlineStr">
        <is>
          <t>Indiabulls Limited</t>
        </is>
      </c>
      <c r="E13" s="25" t="inlineStr">
        <is>
          <t>miscellaneous</t>
        </is>
      </c>
      <c r="F13" s="25" t="inlineStr">
        <is>
          <t>Diversified</t>
        </is>
      </c>
      <c r="G13" s="25" t="inlineStr">
        <is>
          <t>midcap</t>
        </is>
      </c>
      <c r="H13" s="26" t="n">
        <v>5387.92</v>
      </c>
      <c r="I13" s="26" t="n">
        <v>23.18</v>
      </c>
      <c r="J13" s="26" t="n">
        <v>4.98</v>
      </c>
      <c r="K13" s="26" t="n">
        <v>0</v>
      </c>
      <c r="L13" s="26" t="n">
        <v>71.52</v>
      </c>
      <c r="M13" s="26" t="n">
        <v>35.52</v>
      </c>
      <c r="N13" s="26" t="n">
        <v>16.53</v>
      </c>
      <c r="O13" s="25" t="inlineStr">
        <is>
          <t>Near 52W High Breakout</t>
        </is>
      </c>
      <c r="P13" s="25" t="inlineStr">
        <is>
          <t>Growing Industry</t>
        </is>
      </c>
      <c r="Q13" s="25">
        <f>IF(P13="Growing Industry",10,IF(P13="Cyclical in an Upturn",5,0))</f>
        <v/>
      </c>
      <c r="R13" s="25" t="inlineStr">
        <is>
          <t>Too Many Players with High ROCE</t>
        </is>
      </c>
      <c r="S13" s="25">
        <f>IF(R13="Monopoly",10,IF(R13="Oligopoly",5,IF(R13="Duopoly that cooperate",10,IF(R13="Duopoly that compete",5,IF(R13="Too many players with High ROCE",5,0)))))</f>
        <v/>
      </c>
      <c r="T13" s="25" t="inlineStr">
        <is>
          <t>No</t>
        </is>
      </c>
      <c r="U13" s="25">
        <f>IF(T13="No",5,0)</f>
        <v/>
      </c>
      <c r="V13" s="25" t="inlineStr">
        <is>
          <t>Tailwind</t>
        </is>
      </c>
      <c r="W13" s="25">
        <f>IF(V13="Tailwind",10,0)</f>
        <v/>
      </c>
      <c r="X13" s="25" t="inlineStr">
        <is>
          <t>Structural (10 Years Consistency)</t>
        </is>
      </c>
      <c r="Y13" s="25">
        <f>IF(X13="Structural (10 Years Consistency)",10,IF(X13="Shallow Cyclical (2 to 3 years growth)",5,0))</f>
        <v/>
      </c>
      <c r="Z13" s="25" t="inlineStr">
        <is>
          <t>No</t>
        </is>
      </c>
      <c r="AA13" s="25">
        <f>IF(Z13="Yes due to Product Mix change or Operating Leverage",10,IF(Z13="Yes, these are peak margins",-5,IF(Z13="No",5,0)))</f>
        <v/>
      </c>
      <c r="AB13" s="25" t="inlineStr">
        <is>
          <t>Stable</t>
        </is>
      </c>
      <c r="AC13" s="25">
        <f>IF(AB13="Stable",10,0)</f>
        <v/>
      </c>
      <c r="AD13" s="25" t="inlineStr">
        <is>
          <t>Yes</t>
        </is>
      </c>
      <c r="AE13" s="25">
        <f>IF(AD13="Yes",10,0)</f>
        <v/>
      </c>
      <c r="AF13" s="25" t="inlineStr">
        <is>
          <t>B2B</t>
        </is>
      </c>
      <c r="AG13" s="25">
        <f>IF(AF13="B2C",10,IF(AF13="B2B",5,0))</f>
        <v/>
      </c>
      <c r="AH13" s="25" t="inlineStr">
        <is>
          <t>Yes</t>
        </is>
      </c>
      <c r="AI13" s="25">
        <f>IF(AH13="Yes",10,0)</f>
        <v/>
      </c>
      <c r="AJ13" s="25" t="inlineStr">
        <is>
          <t>Higher One Time, Lower Annuity</t>
        </is>
      </c>
      <c r="AK13" s="25">
        <f>IF(AJ13="Fully Annuity",10,IF(AJ13="Higher Annuity, Lower One Time",5,IF(AJ13="Higher One Time, Lower Annuity",3,0)))</f>
        <v/>
      </c>
      <c r="AL13" s="25" t="inlineStr">
        <is>
          <t>Good</t>
        </is>
      </c>
      <c r="AM13" s="25">
        <f>IF(AL13="Good",10,0)</f>
        <v/>
      </c>
      <c r="AN13" s="25" t="inlineStr">
        <is>
          <t>Yes for more than 2 years</t>
        </is>
      </c>
      <c r="AO13" s="25">
        <f>IF(AN13="Yes for more than 2 years",10,IF(AN13="Yes only for next 1 to 2 years",5,0))</f>
        <v/>
      </c>
      <c r="AP13" s="25" t="inlineStr">
        <is>
          <t>20 to 40</t>
        </is>
      </c>
      <c r="AQ13" s="25">
        <f>IF(AP13="Above 40",20,IF(AP13="20 to 40",10,IF(AP13="0 to 20",-5,0)))</f>
        <v/>
      </c>
      <c r="AR13" s="25" t="inlineStr">
        <is>
          <t>Between 50 to 75</t>
        </is>
      </c>
      <c r="AS13" s="25">
        <f>IF(AR13="Between 50 to 75",10,IF(AR13="Above 75",0,0))</f>
        <v/>
      </c>
      <c r="AT13" s="25" t="inlineStr">
        <is>
          <t>Stage 2</t>
        </is>
      </c>
      <c r="AU13" s="25">
        <f>IF(AT13="Stage 2",20,IF(AT13="Stage 1",0,IF(AT13="Stage 3",5,IF(AT13="Stage 4",-5,0))))</f>
        <v/>
      </c>
      <c r="AV13" s="25" t="inlineStr">
        <is>
          <t>Positive Trend</t>
        </is>
      </c>
      <c r="AW13" s="25">
        <f>IF(AV13="Positive Trend",20,IF(AV13="Negative Trend",-10,0))</f>
        <v/>
      </c>
      <c r="AX13" s="25" t="inlineStr">
        <is>
          <t>Uptrend</t>
        </is>
      </c>
      <c r="AY13" s="25">
        <f>IF(AX13="Uptrend",10,IF(AX13="Sideways",5,0))</f>
        <v/>
      </c>
      <c r="AZ13" s="25" t="inlineStr">
        <is>
          <t>Uptrend</t>
        </is>
      </c>
      <c r="BA13" s="25">
        <f>IF(AZ13="Uptrend",10,IF(AZ13="Sideways",5,0))</f>
        <v/>
      </c>
      <c r="BB13" s="25" t="inlineStr">
        <is>
          <t>Blue sky scenario</t>
        </is>
      </c>
      <c r="BC13" s="25">
        <f>IF(BB13="Overhead supply in last 2 years in last 2 years",-5,IF(BB13="Close to 52 week high or retracement",5,IF(BB13="Blue sky scenario",10,IF(BB13="Long term Downtrend",-10,0))))</f>
        <v/>
      </c>
      <c r="BD13" s="25" t="inlineStr">
        <is>
          <t>Yes</t>
        </is>
      </c>
      <c r="BE13" s="25">
        <f>IF(BD13="Yes",10,0)</f>
        <v/>
      </c>
      <c r="BF13" s="25" t="inlineStr">
        <is>
          <t>More than 20%</t>
        </is>
      </c>
      <c r="BG13" s="25">
        <f>IF(BF13="More than 20%",10,IF(BF13="Between 12 to 20%",5,IF(BF13="Less than 12%",0,0)))</f>
        <v/>
      </c>
      <c r="BH13" s="25" t="inlineStr">
        <is>
          <t>No</t>
        </is>
      </c>
      <c r="BI13" s="25">
        <f>IF(BH13="No",10,0)</f>
        <v/>
      </c>
      <c r="BJ13" s="25" t="inlineStr">
        <is>
          <t>No</t>
        </is>
      </c>
      <c r="BK13" s="25">
        <f>IF(BJ13="NO",5,0)</f>
        <v/>
      </c>
      <c r="BL13" s="25" t="inlineStr">
        <is>
          <t>Less than 1.5</t>
        </is>
      </c>
      <c r="BM13" s="25">
        <f>IF(BL13="Above 2",0,IF(BL13="Between 1.5 to 2",5,IF(BL13="Less than 1.5",10,0)))</f>
        <v/>
      </c>
      <c r="BN13" s="25" t="inlineStr">
        <is>
          <t>Between 50% to 70%</t>
        </is>
      </c>
      <c r="BO13" s="25">
        <f>IF(BN13="Above 70%",10,IF(BN13="Between 50% to 70%",5,IF(BN13="Less than 50%",0,IF(BN13="Negative",-10,IF(BN13="Less than 50% and Borrowings are increasing",-5,0)))))</f>
        <v/>
      </c>
      <c r="BP13" s="25" t="inlineStr">
        <is>
          <t>Less than 0.7</t>
        </is>
      </c>
      <c r="BQ13" s="25">
        <f>IF(BP13="More than 1.2",-10,IF(BP13="Between 0.7 to 1.2",0,IF(BP13="Less than 0.7",10,0)))</f>
        <v/>
      </c>
      <c r="BR13" s="25" t="inlineStr">
        <is>
          <t>No</t>
        </is>
      </c>
      <c r="BS13" s="25">
        <f>IF(BR13="Yes",-10,0)</f>
        <v/>
      </c>
      <c r="BT13" s="25" t="inlineStr">
        <is>
          <t>Less than 15%</t>
        </is>
      </c>
      <c r="BU13" s="25">
        <f>IF(BT13="More than 15%",-10,IF(BT13="Less than 15%",10,0))</f>
        <v/>
      </c>
      <c r="BV13" s="25" t="inlineStr">
        <is>
          <t>No</t>
        </is>
      </c>
      <c r="BW13" s="25">
        <f>IF(BV13="Yes, more than 10%",-10,IF(BV13="No",10,0))</f>
        <v/>
      </c>
      <c r="BX13" s="25" t="inlineStr">
        <is>
          <t>23</t>
        </is>
      </c>
      <c r="BY13" s="25">
        <f>IF(BX13&gt;20,10,IF(BX13&gt;=10,5,2))</f>
        <v/>
      </c>
    </row>
    <row r="14">
      <c r="A14" s="25">
        <f>IF(B14=0,"",RANK(B14,$B$2:$B$95,0))</f>
        <v/>
      </c>
      <c r="B14" s="26">
        <f>SUM(Q14,S14,U14,W14,Y14,AA14,AC14,AE14,AG14,AI14,AK14,AM14,AO14,AQ14,AS14,AU14,AW14,AY14,BA14,BC14,BE14,BG14,BI14,BK14,BM14,BO14,BQ14,BS14,BU14,BW14,BY14)</f>
        <v/>
      </c>
      <c r="C14" s="25" t="inlineStr">
        <is>
          <t>SEKURITIND</t>
        </is>
      </c>
      <c r="D14" s="25" t="inlineStr">
        <is>
          <t>Saint-Gobain Sekurit India Ltd</t>
        </is>
      </c>
      <c r="E14" s="25" t="inlineStr">
        <is>
          <t>Consumer Cyclical</t>
        </is>
      </c>
      <c r="F14" s="25" t="inlineStr">
        <is>
          <t>Glass &amp; Glass Products</t>
        </is>
      </c>
      <c r="G14" s="25" t="inlineStr">
        <is>
          <t>smallcap</t>
        </is>
      </c>
      <c r="H14" s="26" t="n">
        <v>1087.35</v>
      </c>
      <c r="I14" s="26" t="n">
        <v>119.35</v>
      </c>
      <c r="J14" s="26" t="n">
        <v>1.4</v>
      </c>
      <c r="K14" s="26" t="n">
        <v>0</v>
      </c>
      <c r="L14" s="26" t="n">
        <v>68.59</v>
      </c>
      <c r="M14" s="26" t="n">
        <v>28.3</v>
      </c>
      <c r="N14" s="26" t="n">
        <v>96.90000000000001</v>
      </c>
      <c r="O14" s="25" t="inlineStr">
        <is>
          <t>Near 52W High Breakout</t>
        </is>
      </c>
      <c r="P14" s="25" t="inlineStr">
        <is>
          <t>Growing Industry</t>
        </is>
      </c>
      <c r="Q14" s="25">
        <f>IF(P14="Growing Industry",10,IF(P14="Cyclical in an Upturn",5,0))</f>
        <v/>
      </c>
      <c r="R14" s="25" t="inlineStr">
        <is>
          <t>Too Many Players with High ROCE</t>
        </is>
      </c>
      <c r="S14" s="25">
        <f>IF(R14="Monopoly",10,IF(R14="Oligopoly",5,IF(R14="Duopoly that cooperate",10,IF(R14="Duopoly that compete",5,IF(R14="Too many players with High ROCE",5,0)))))</f>
        <v/>
      </c>
      <c r="T14" s="25" t="inlineStr">
        <is>
          <t>No</t>
        </is>
      </c>
      <c r="U14" s="25">
        <f>IF(T14="No",5,0)</f>
        <v/>
      </c>
      <c r="V14" s="25" t="inlineStr">
        <is>
          <t>Tailwind</t>
        </is>
      </c>
      <c r="W14" s="25">
        <f>IF(V14="Tailwind",10,0)</f>
        <v/>
      </c>
      <c r="X14" s="25" t="inlineStr">
        <is>
          <t>Structural (10 Years Consistency)</t>
        </is>
      </c>
      <c r="Y14" s="25">
        <f>IF(X14="Structural (10 Years Consistency)",10,IF(X14="Shallow Cyclical (2 to 3 years growth)",5,0))</f>
        <v/>
      </c>
      <c r="Z14" s="25" t="inlineStr">
        <is>
          <t>No</t>
        </is>
      </c>
      <c r="AA14" s="25">
        <f>IF(Z14="Yes due to Product Mix change or Operating Leverage",10,IF(Z14="Yes, these are peak margins",-5,IF(Z14="No",5,0)))</f>
        <v/>
      </c>
      <c r="AB14" s="25" t="inlineStr">
        <is>
          <t>Stable</t>
        </is>
      </c>
      <c r="AC14" s="25">
        <f>IF(AB14="Stable",10,0)</f>
        <v/>
      </c>
      <c r="AD14" s="25" t="inlineStr">
        <is>
          <t>Yes</t>
        </is>
      </c>
      <c r="AE14" s="25">
        <f>IF(AD14="Yes",10,0)</f>
        <v/>
      </c>
      <c r="AF14" s="25" t="inlineStr">
        <is>
          <t>B2C</t>
        </is>
      </c>
      <c r="AG14" s="25">
        <f>IF(AF14="B2C",10,IF(AF14="B2B",5,0))</f>
        <v/>
      </c>
      <c r="AH14" s="25" t="inlineStr">
        <is>
          <t>Yes</t>
        </is>
      </c>
      <c r="AI14" s="25">
        <f>IF(AH14="Yes",10,0)</f>
        <v/>
      </c>
      <c r="AJ14" s="25" t="inlineStr">
        <is>
          <t>Higher One Time, Lower Annuity</t>
        </is>
      </c>
      <c r="AK14" s="25">
        <f>IF(AJ14="Fully Annuity",10,IF(AJ14="Higher Annuity, Lower One Time",5,IF(AJ14="Higher One Time, Lower Annuity",3,0)))</f>
        <v/>
      </c>
      <c r="AL14" s="25" t="inlineStr">
        <is>
          <t>Good</t>
        </is>
      </c>
      <c r="AM14" s="25">
        <f>IF(AL14="Good",10,0)</f>
        <v/>
      </c>
      <c r="AN14" s="25" t="inlineStr">
        <is>
          <t>Yes for more than 2 years</t>
        </is>
      </c>
      <c r="AO14" s="25">
        <f>IF(AN14="Yes for more than 2 years",10,IF(AN14="Yes only for next 1 to 2 years",5,0))</f>
        <v/>
      </c>
      <c r="AP14" s="25" t="inlineStr">
        <is>
          <t>20 to 40</t>
        </is>
      </c>
      <c r="AQ14" s="25">
        <f>IF(AP14="Above 40",20,IF(AP14="20 to 40",10,IF(AP14="0 to 20",-5,0)))</f>
        <v/>
      </c>
      <c r="AR14" s="25" t="inlineStr">
        <is>
          <t>Between 50 to 75</t>
        </is>
      </c>
      <c r="AS14" s="25">
        <f>IF(AR14="Between 50 to 75",10,IF(AR14="Above 75",0,0))</f>
        <v/>
      </c>
      <c r="AT14" s="25" t="inlineStr">
        <is>
          <t>Stage 2</t>
        </is>
      </c>
      <c r="AU14" s="25">
        <f>IF(AT14="Stage 2",20,IF(AT14="Stage 1",0,IF(AT14="Stage 3",5,IF(AT14="Stage 4",-5,0))))</f>
        <v/>
      </c>
      <c r="AV14" s="25" t="inlineStr">
        <is>
          <t>Positive Trend</t>
        </is>
      </c>
      <c r="AW14" s="25">
        <f>IF(AV14="Positive Trend",20,IF(AV14="Negative Trend",-10,0))</f>
        <v/>
      </c>
      <c r="AX14" s="25" t="inlineStr">
        <is>
          <t>Uptrend</t>
        </is>
      </c>
      <c r="AY14" s="25">
        <f>IF(AX14="Uptrend",10,IF(AX14="Sideways",5,0))</f>
        <v/>
      </c>
      <c r="AZ14" s="25" t="inlineStr">
        <is>
          <t>Uptrend</t>
        </is>
      </c>
      <c r="BA14" s="25">
        <f>IF(AZ14="Uptrend",10,IF(AZ14="Sideways",5,0))</f>
        <v/>
      </c>
      <c r="BB14" s="25" t="inlineStr">
        <is>
          <t>Close to 52 week high or retracement</t>
        </is>
      </c>
      <c r="BC14" s="25">
        <f>IF(BB14="Overhead supply in last 2 years in last 2 years",-5,IF(BB14="Close to 52 week high or retracement",5,IF(BB14="Blue sky scenario",10,IF(BB14="Long term Downtrend",-10,0))))</f>
        <v/>
      </c>
      <c r="BD14" s="25" t="inlineStr">
        <is>
          <t>Yes</t>
        </is>
      </c>
      <c r="BE14" s="25">
        <f>IF(BD14="Yes",10,0)</f>
        <v/>
      </c>
      <c r="BF14" s="25" t="inlineStr">
        <is>
          <t>More than 20%</t>
        </is>
      </c>
      <c r="BG14" s="25">
        <f>IF(BF14="More than 20%",10,IF(BF14="Between 12 to 20%",5,IF(BF14="Less than 12%",0,0)))</f>
        <v/>
      </c>
      <c r="BH14" s="25" t="inlineStr">
        <is>
          <t>No</t>
        </is>
      </c>
      <c r="BI14" s="25">
        <f>IF(BH14="No",10,0)</f>
        <v/>
      </c>
      <c r="BJ14" s="25" t="inlineStr">
        <is>
          <t>No</t>
        </is>
      </c>
      <c r="BK14" s="25">
        <f>IF(BJ14="NO",5,0)</f>
        <v/>
      </c>
      <c r="BL14" s="25" t="inlineStr">
        <is>
          <t>Less than 1.5</t>
        </is>
      </c>
      <c r="BM14" s="25">
        <f>IF(BL14="Above 2",0,IF(BL14="Between 1.5 to 2",5,IF(BL14="Less than 1.5",10,0)))</f>
        <v/>
      </c>
      <c r="BN14" s="25" t="inlineStr">
        <is>
          <t>Between 50% to 70%</t>
        </is>
      </c>
      <c r="BO14" s="25">
        <f>IF(BN14="Above 70%",10,IF(BN14="Between 50% to 70%",5,IF(BN14="Less than 50%",0,IF(BN14="Negative",-10,IF(BN14="Less than 50% and Borrowings are increasing",-5,0)))))</f>
        <v/>
      </c>
      <c r="BP14" s="25" t="inlineStr">
        <is>
          <t>Less than 0.7</t>
        </is>
      </c>
      <c r="BQ14" s="25">
        <f>IF(BP14="More than 1.2",-10,IF(BP14="Between 0.7 to 1.2",0,IF(BP14="Less than 0.7",10,0)))</f>
        <v/>
      </c>
      <c r="BR14" s="25" t="inlineStr">
        <is>
          <t>No</t>
        </is>
      </c>
      <c r="BS14" s="25">
        <f>IF(BR14="Yes",-10,0)</f>
        <v/>
      </c>
      <c r="BT14" s="25" t="inlineStr">
        <is>
          <t>Less than 15%</t>
        </is>
      </c>
      <c r="BU14" s="25">
        <f>IF(BT14="More than 15%",-10,IF(BT14="Less than 15%",10,0))</f>
        <v/>
      </c>
      <c r="BV14" s="25" t="inlineStr">
        <is>
          <t>No</t>
        </is>
      </c>
      <c r="BW14" s="25">
        <f>IF(BV14="Yes, more than 10%",-10,IF(BV14="No",10,0))</f>
        <v/>
      </c>
      <c r="BX14" s="25" t="inlineStr">
        <is>
          <t>20</t>
        </is>
      </c>
      <c r="BY14" s="25">
        <f>IF(BX14&gt;20,10,IF(BX14&gt;=10,5,2))</f>
        <v/>
      </c>
    </row>
    <row r="15">
      <c r="A15" s="25">
        <f>IF(B15=0,"",RANK(B15,$B$2:$B$95,0))</f>
        <v/>
      </c>
      <c r="B15" s="26">
        <f>SUM(Q15,S15,U15,W15,Y15,AA15,AC15,AE15,AG15,AI15,AK15,AM15,AO15,AQ15,AS15,AU15,AW15,AY15,BA15,BC15,BE15,BG15,BI15,BK15,BM15,BO15,BQ15,BS15,BU15,BW15,BY15)</f>
        <v/>
      </c>
      <c r="C15" s="25" t="inlineStr">
        <is>
          <t>GOCLCORP</t>
        </is>
      </c>
      <c r="D15" s="25" t="inlineStr">
        <is>
          <t>GOCL Corporation Ltd</t>
        </is>
      </c>
      <c r="E15" s="25" t="inlineStr">
        <is>
          <t>miscellaneous</t>
        </is>
      </c>
      <c r="F15" s="25" t="inlineStr">
        <is>
          <t>Lubricants</t>
        </is>
      </c>
      <c r="G15" s="25" t="inlineStr">
        <is>
          <t>smallcap</t>
        </is>
      </c>
      <c r="H15" s="26" t="n">
        <v>1986.87</v>
      </c>
      <c r="I15" s="26" t="n">
        <v>400.8</v>
      </c>
      <c r="J15" s="26" t="n">
        <v>2.65</v>
      </c>
      <c r="K15" s="26" t="n">
        <v>0</v>
      </c>
      <c r="L15" s="26" t="n">
        <v>70.42</v>
      </c>
      <c r="M15" s="26" t="n">
        <v>24.69</v>
      </c>
      <c r="N15" s="26" t="n">
        <v>297.73</v>
      </c>
      <c r="O15" s="25" t="inlineStr">
        <is>
          <t>Near 52W High Breakout</t>
        </is>
      </c>
      <c r="P15" s="25" t="inlineStr">
        <is>
          <t>Growing Industry</t>
        </is>
      </c>
      <c r="Q15" s="25">
        <f>IF(P15="Growing Industry",10,IF(P15="Cyclical in an Upturn",5,0))</f>
        <v/>
      </c>
      <c r="R15" s="25" t="inlineStr">
        <is>
          <t>Too Many Players with High ROCE</t>
        </is>
      </c>
      <c r="S15" s="25">
        <f>IF(R15="Monopoly",10,IF(R15="Oligopoly",5,IF(R15="Duopoly that cooperate",10,IF(R15="Duopoly that compete",5,IF(R15="Too many players with High ROCE",5,0)))))</f>
        <v/>
      </c>
      <c r="T15" s="25" t="inlineStr">
        <is>
          <t>No</t>
        </is>
      </c>
      <c r="U15" s="25">
        <f>IF(T15="No",5,0)</f>
        <v/>
      </c>
      <c r="V15" s="25" t="inlineStr">
        <is>
          <t>Tailwind</t>
        </is>
      </c>
      <c r="W15" s="25">
        <f>IF(V15="Tailwind",10,0)</f>
        <v/>
      </c>
      <c r="X15" s="25" t="inlineStr">
        <is>
          <t>Structural (10 Years Consistency)</t>
        </is>
      </c>
      <c r="Y15" s="25">
        <f>IF(X15="Structural (10 Years Consistency)",10,IF(X15="Shallow Cyclical (2 to 3 years growth)",5,0))</f>
        <v/>
      </c>
      <c r="Z15" s="25" t="inlineStr">
        <is>
          <t>No</t>
        </is>
      </c>
      <c r="AA15" s="25">
        <f>IF(Z15="Yes due to Product Mix change or Operating Leverage",10,IF(Z15="Yes, these are peak margins",-5,IF(Z15="No",5,0)))</f>
        <v/>
      </c>
      <c r="AB15" s="25" t="inlineStr">
        <is>
          <t>Stable</t>
        </is>
      </c>
      <c r="AC15" s="25">
        <f>IF(AB15="Stable",10,0)</f>
        <v/>
      </c>
      <c r="AD15" s="25" t="inlineStr">
        <is>
          <t>Yes</t>
        </is>
      </c>
      <c r="AE15" s="25">
        <f>IF(AD15="Yes",10,0)</f>
        <v/>
      </c>
      <c r="AF15" s="25" t="inlineStr">
        <is>
          <t>B2B</t>
        </is>
      </c>
      <c r="AG15" s="25">
        <f>IF(AF15="B2C",10,IF(AF15="B2B",5,0))</f>
        <v/>
      </c>
      <c r="AH15" s="25" t="inlineStr">
        <is>
          <t>Yes</t>
        </is>
      </c>
      <c r="AI15" s="25">
        <f>IF(AH15="Yes",10,0)</f>
        <v/>
      </c>
      <c r="AJ15" s="25" t="inlineStr">
        <is>
          <t>Higher One Time, Lower Annuity</t>
        </is>
      </c>
      <c r="AK15" s="25">
        <f>IF(AJ15="Fully Annuity",10,IF(AJ15="Higher Annuity, Lower One Time",5,IF(AJ15="Higher One Time, Lower Annuity",3,0)))</f>
        <v/>
      </c>
      <c r="AL15" s="25" t="inlineStr">
        <is>
          <t>Good</t>
        </is>
      </c>
      <c r="AM15" s="25">
        <f>IF(AL15="Good",10,0)</f>
        <v/>
      </c>
      <c r="AN15" s="25" t="inlineStr">
        <is>
          <t>Yes for more than 2 years</t>
        </is>
      </c>
      <c r="AO15" s="25">
        <f>IF(AN15="Yes for more than 2 years",10,IF(AN15="Yes only for next 1 to 2 years",5,0))</f>
        <v/>
      </c>
      <c r="AP15" s="25" t="inlineStr">
        <is>
          <t>20 to 40</t>
        </is>
      </c>
      <c r="AQ15" s="25">
        <f>IF(AP15="Above 40",20,IF(AP15="20 to 40",10,IF(AP15="0 to 20",-5,0)))</f>
        <v/>
      </c>
      <c r="AR15" s="25" t="inlineStr">
        <is>
          <t>Between 50 to 75</t>
        </is>
      </c>
      <c r="AS15" s="25">
        <f>IF(AR15="Between 50 to 75",10,IF(AR15="Above 75",0,0))</f>
        <v/>
      </c>
      <c r="AT15" s="25" t="inlineStr">
        <is>
          <t>Stage 2</t>
        </is>
      </c>
      <c r="AU15" s="25">
        <f>IF(AT15="Stage 2",20,IF(AT15="Stage 1",0,IF(AT15="Stage 3",5,IF(AT15="Stage 4",-5,0))))</f>
        <v/>
      </c>
      <c r="AV15" s="25" t="inlineStr">
        <is>
          <t>Positive Trend</t>
        </is>
      </c>
      <c r="AW15" s="25">
        <f>IF(AV15="Positive Trend",20,IF(AV15="Negative Trend",-10,0))</f>
        <v/>
      </c>
      <c r="AX15" s="25" t="inlineStr">
        <is>
          <t>Uptrend</t>
        </is>
      </c>
      <c r="AY15" s="25">
        <f>IF(AX15="Uptrend",10,IF(AX15="Sideways",5,0))</f>
        <v/>
      </c>
      <c r="AZ15" s="25" t="inlineStr">
        <is>
          <t>Uptrend</t>
        </is>
      </c>
      <c r="BA15" s="25">
        <f>IF(AZ15="Uptrend",10,IF(AZ15="Sideways",5,0))</f>
        <v/>
      </c>
      <c r="BB15" s="25" t="inlineStr">
        <is>
          <t>Close to 52 week high or retracement</t>
        </is>
      </c>
      <c r="BC15" s="25">
        <f>IF(BB15="Overhead supply in last 2 years in last 2 years",-5,IF(BB15="Close to 52 week high or retracement",5,IF(BB15="Blue sky scenario",10,IF(BB15="Long term Downtrend",-10,0))))</f>
        <v/>
      </c>
      <c r="BD15" s="25" t="inlineStr">
        <is>
          <t>Yes</t>
        </is>
      </c>
      <c r="BE15" s="25">
        <f>IF(BD15="Yes",10,0)</f>
        <v/>
      </c>
      <c r="BF15" s="25" t="inlineStr">
        <is>
          <t>More than 20%</t>
        </is>
      </c>
      <c r="BG15" s="25">
        <f>IF(BF15="More than 20%",10,IF(BF15="Between 12 to 20%",5,IF(BF15="Less than 12%",0,0)))</f>
        <v/>
      </c>
      <c r="BH15" s="25" t="inlineStr">
        <is>
          <t>No</t>
        </is>
      </c>
      <c r="BI15" s="25">
        <f>IF(BH15="No",10,0)</f>
        <v/>
      </c>
      <c r="BJ15" s="25" t="inlineStr">
        <is>
          <t>No</t>
        </is>
      </c>
      <c r="BK15" s="25">
        <f>IF(BJ15="NO",5,0)</f>
        <v/>
      </c>
      <c r="BL15" s="25" t="inlineStr">
        <is>
          <t>Less than 1.5</t>
        </is>
      </c>
      <c r="BM15" s="25">
        <f>IF(BL15="Above 2",0,IF(BL15="Between 1.5 to 2",5,IF(BL15="Less than 1.5",10,0)))</f>
        <v/>
      </c>
      <c r="BN15" s="25" t="inlineStr">
        <is>
          <t>Above 70%</t>
        </is>
      </c>
      <c r="BO15" s="25">
        <f>IF(BN15="Above 70%",10,IF(BN15="Between 50% to 70%",5,IF(BN15="Less than 50%",0,IF(BN15="Negative",-10,IF(BN15="Less than 50% and Borrowings are increasing",-5,0)))))</f>
        <v/>
      </c>
      <c r="BP15" s="25" t="inlineStr">
        <is>
          <t>Less than 0.7</t>
        </is>
      </c>
      <c r="BQ15" s="25">
        <f>IF(BP15="More than 1.2",-10,IF(BP15="Between 0.7 to 1.2",0,IF(BP15="Less than 0.7",10,0)))</f>
        <v/>
      </c>
      <c r="BR15" s="25" t="inlineStr">
        <is>
          <t>No</t>
        </is>
      </c>
      <c r="BS15" s="25">
        <f>IF(BR15="Yes",-10,0)</f>
        <v/>
      </c>
      <c r="BT15" s="25" t="inlineStr">
        <is>
          <t>Less than 15%</t>
        </is>
      </c>
      <c r="BU15" s="25">
        <f>IF(BT15="More than 15%",-10,IF(BT15="Less than 15%",10,0))</f>
        <v/>
      </c>
      <c r="BV15" s="25" t="inlineStr">
        <is>
          <t>No</t>
        </is>
      </c>
      <c r="BW15" s="25">
        <f>IF(BV15="Yes, more than 10%",-10,IF(BV15="No",10,0))</f>
        <v/>
      </c>
      <c r="BX15" s="25" t="inlineStr">
        <is>
          <t>19</t>
        </is>
      </c>
      <c r="BY15" s="25">
        <f>IF(BX15&gt;20,10,IF(BX15&gt;=10,5,2))</f>
        <v/>
      </c>
    </row>
    <row r="16">
      <c r="A16" s="25">
        <f>IF(B16=0,"",RANK(B16,$B$2:$B$95,0))</f>
        <v/>
      </c>
      <c r="B16" s="26">
        <f>SUM(Q16,S16,U16,W16,Y16,AA16,AC16,AE16,AG16,AI16,AK16,AM16,AO16,AQ16,AS16,AU16,AW16,AY16,BA16,BC16,BE16,BG16,BI16,BK16,BM16,BO16,BQ16,BS16,BU16,BW16,BY16)</f>
        <v/>
      </c>
      <c r="C16" s="25" t="inlineStr">
        <is>
          <t>KMCSHIL</t>
        </is>
      </c>
      <c r="D16" s="25" t="inlineStr">
        <is>
          <t>KMC Speciality Hospitals (India) Ltd</t>
        </is>
      </c>
      <c r="E16" s="25" t="inlineStr">
        <is>
          <t>Healthcare</t>
        </is>
      </c>
      <c r="F16" s="25" t="inlineStr">
        <is>
          <t>Hospitals</t>
        </is>
      </c>
      <c r="G16" s="25" t="inlineStr">
        <is>
          <t>smallcap</t>
        </is>
      </c>
      <c r="H16" s="26" t="n">
        <v>1939.08</v>
      </c>
      <c r="I16" s="26" t="n">
        <v>118.9</v>
      </c>
      <c r="J16" s="26" t="n">
        <v>3.39</v>
      </c>
      <c r="K16" s="26" t="n">
        <v>0</v>
      </c>
      <c r="L16" s="26" t="n">
        <v>83.73999999999999</v>
      </c>
      <c r="M16" s="26" t="n">
        <v>49.43</v>
      </c>
      <c r="N16" s="26" t="n">
        <v>95.33</v>
      </c>
      <c r="O16" s="25" t="inlineStr">
        <is>
          <t>Volume Spike &amp; Near 52W High Breakout</t>
        </is>
      </c>
      <c r="P16" s="25" t="inlineStr">
        <is>
          <t>Growing Industry</t>
        </is>
      </c>
      <c r="Q16" s="25">
        <f>IF(P16="Growing Industry",10,IF(P16="Cyclical in an Upturn",5,0))</f>
        <v/>
      </c>
      <c r="R16" s="25" t="inlineStr">
        <is>
          <t>Too Many Players with High ROCE</t>
        </is>
      </c>
      <c r="S16" s="25">
        <f>IF(R16="Monopoly",10,IF(R16="Oligopoly",5,IF(R16="Duopoly that cooperate",10,IF(R16="Duopoly that compete",5,IF(R16="Too many players with High ROCE",5,0)))))</f>
        <v/>
      </c>
      <c r="T16" s="25" t="inlineStr">
        <is>
          <t>Yes</t>
        </is>
      </c>
      <c r="U16" s="25">
        <f>IF(T16="No",5,0)</f>
        <v/>
      </c>
      <c r="V16" s="25" t="inlineStr">
        <is>
          <t>Tailwind</t>
        </is>
      </c>
      <c r="W16" s="25">
        <f>IF(V16="Tailwind",10,0)</f>
        <v/>
      </c>
      <c r="X16" s="25" t="inlineStr">
        <is>
          <t>Structural (10 Years Consistency)</t>
        </is>
      </c>
      <c r="Y16" s="25">
        <f>IF(X16="Structural (10 Years Consistency)",10,IF(X16="Shallow Cyclical (2 to 3 years growth)",5,0))</f>
        <v/>
      </c>
      <c r="Z16" s="25" t="inlineStr">
        <is>
          <t>No</t>
        </is>
      </c>
      <c r="AA16" s="25">
        <f>IF(Z16="Yes due to Product Mix change or Operating Leverage",10,IF(Z16="Yes, these are peak margins",-5,IF(Z16="No",5,0)))</f>
        <v/>
      </c>
      <c r="AB16" s="25" t="inlineStr">
        <is>
          <t>Stable</t>
        </is>
      </c>
      <c r="AC16" s="25">
        <f>IF(AB16="Stable",10,0)</f>
        <v/>
      </c>
      <c r="AD16" s="25" t="inlineStr">
        <is>
          <t>Yes</t>
        </is>
      </c>
      <c r="AE16" s="25">
        <f>IF(AD16="Yes",10,0)</f>
        <v/>
      </c>
      <c r="AF16" s="25" t="inlineStr">
        <is>
          <t>B2B</t>
        </is>
      </c>
      <c r="AG16" s="25">
        <f>IF(AF16="B2C",10,IF(AF16="B2B",5,0))</f>
        <v/>
      </c>
      <c r="AH16" s="25" t="inlineStr">
        <is>
          <t>Yes</t>
        </is>
      </c>
      <c r="AI16" s="25">
        <f>IF(AH16="Yes",10,0)</f>
        <v/>
      </c>
      <c r="AJ16" s="25" t="inlineStr">
        <is>
          <t>Higher Annuity, Lower One Time</t>
        </is>
      </c>
      <c r="AK16" s="25">
        <f>IF(AJ16="Fully Annuity",10,IF(AJ16="Higher Annuity, Lower One Time",5,IF(AJ16="Higher One Time, Lower Annuity",3,0)))</f>
        <v/>
      </c>
      <c r="AL16" s="25" t="inlineStr">
        <is>
          <t>Good</t>
        </is>
      </c>
      <c r="AM16" s="25">
        <f>IF(AL16="Good",10,0)</f>
        <v/>
      </c>
      <c r="AN16" s="25" t="inlineStr">
        <is>
          <t>Yes for more than 2 years</t>
        </is>
      </c>
      <c r="AO16" s="25">
        <f>IF(AN16="Yes for more than 2 years",10,IF(AN16="Yes only for next 1 to 2 years",5,0))</f>
        <v/>
      </c>
      <c r="AP16" s="25" t="inlineStr">
        <is>
          <t>Above 40</t>
        </is>
      </c>
      <c r="AQ16" s="25">
        <f>IF(AP16="Above 40",20,IF(AP16="20 to 40",10,IF(AP16="0 to 20",-5,0)))</f>
        <v/>
      </c>
      <c r="AR16" s="25" t="inlineStr">
        <is>
          <t>Above 75</t>
        </is>
      </c>
      <c r="AS16" s="25">
        <f>IF(AR16="Between 50 to 75",10,IF(AR16="Above 75",0,0))</f>
        <v/>
      </c>
      <c r="AT16" s="25" t="inlineStr">
        <is>
          <t>Stage 2</t>
        </is>
      </c>
      <c r="AU16" s="25">
        <f>IF(AT16="Stage 2",20,IF(AT16="Stage 1",0,IF(AT16="Stage 3",5,IF(AT16="Stage 4",-5,0))))</f>
        <v/>
      </c>
      <c r="AV16" s="25" t="inlineStr">
        <is>
          <t>Positive Trend</t>
        </is>
      </c>
      <c r="AW16" s="25">
        <f>IF(AV16="Positive Trend",20,IF(AV16="Negative Trend",-10,0))</f>
        <v/>
      </c>
      <c r="AX16" s="25" t="inlineStr">
        <is>
          <t>Uptrend</t>
        </is>
      </c>
      <c r="AY16" s="25">
        <f>IF(AX16="Uptrend",10,IF(AX16="Sideways",5,0))</f>
        <v/>
      </c>
      <c r="AZ16" s="25" t="inlineStr">
        <is>
          <t>Uptrend</t>
        </is>
      </c>
      <c r="BA16" s="25">
        <f>IF(AZ16="Uptrend",10,IF(AZ16="Sideways",5,0))</f>
        <v/>
      </c>
      <c r="BB16" s="25" t="inlineStr">
        <is>
          <t>Blue sky scenario</t>
        </is>
      </c>
      <c r="BC16" s="25">
        <f>IF(BB16="Overhead supply in last 2 years in last 2 years",-5,IF(BB16="Close to 52 week high or retracement",5,IF(BB16="Blue sky scenario",10,IF(BB16="Long term Downtrend",-10,0))))</f>
        <v/>
      </c>
      <c r="BD16" s="25" t="inlineStr">
        <is>
          <t>Yes</t>
        </is>
      </c>
      <c r="BE16" s="25">
        <f>IF(BD16="Yes",10,0)</f>
        <v/>
      </c>
      <c r="BF16" s="25" t="inlineStr">
        <is>
          <t>More than 20%</t>
        </is>
      </c>
      <c r="BG16" s="25">
        <f>IF(BF16="More than 20%",10,IF(BF16="Between 12 to 20%",5,IF(BF16="Less than 12%",0,0)))</f>
        <v/>
      </c>
      <c r="BH16" s="25" t="inlineStr">
        <is>
          <t>No</t>
        </is>
      </c>
      <c r="BI16" s="25">
        <f>IF(BH16="No",10,0)</f>
        <v/>
      </c>
      <c r="BJ16" s="25" t="inlineStr">
        <is>
          <t>Yes</t>
        </is>
      </c>
      <c r="BK16" s="25">
        <f>IF(BJ16="NO",5,0)</f>
        <v/>
      </c>
      <c r="BL16" s="25" t="inlineStr">
        <is>
          <t>Less than 1.5</t>
        </is>
      </c>
      <c r="BM16" s="25">
        <f>IF(BL16="Above 2",0,IF(BL16="Between 1.5 to 2",5,IF(BL16="Less than 1.5",10,0)))</f>
        <v/>
      </c>
      <c r="BN16" s="25" t="inlineStr">
        <is>
          <t>Above 70%</t>
        </is>
      </c>
      <c r="BO16" s="25">
        <f>IF(BN16="Above 70%",10,IF(BN16="Between 50% to 70%",5,IF(BN16="Less than 50%",0,IF(BN16="Negative",-10,IF(BN16="Less than 50% and Borrowings are increasing",-5,0)))))</f>
        <v/>
      </c>
      <c r="BP16" s="25" t="inlineStr">
        <is>
          <t>Less than 0.7</t>
        </is>
      </c>
      <c r="BQ16" s="25">
        <f>IF(BP16="More than 1.2",-10,IF(BP16="Between 0.7 to 1.2",0,IF(BP16="Less than 0.7",10,0)))</f>
        <v/>
      </c>
      <c r="BR16" s="25" t="inlineStr">
        <is>
          <t>No</t>
        </is>
      </c>
      <c r="BS16" s="25">
        <f>IF(BR16="Yes",-10,0)</f>
        <v/>
      </c>
      <c r="BT16" s="25" t="inlineStr">
        <is>
          <t>Less than 15%</t>
        </is>
      </c>
      <c r="BU16" s="25">
        <f>IF(BT16="More than 15%",-10,IF(BT16="Less than 15%",10,0))</f>
        <v/>
      </c>
      <c r="BV16" s="25" t="inlineStr">
        <is>
          <t>No</t>
        </is>
      </c>
      <c r="BW16" s="25">
        <f>IF(BV16="Yes, more than 10%",-10,IF(BV16="No",10,0))</f>
        <v/>
      </c>
      <c r="BX16" s="25" t="inlineStr">
        <is>
          <t>29</t>
        </is>
      </c>
      <c r="BY16" s="25">
        <f>IF(BX16&gt;20,10,IF(BX16&gt;=10,5,2))</f>
        <v/>
      </c>
    </row>
    <row r="17">
      <c r="A17" s="25">
        <f>IF(B17=0,"",RANK(B17,$B$2:$B$95,0))</f>
        <v/>
      </c>
      <c r="B17" s="26">
        <f>SUM(Q17,S17,U17,W17,Y17,AA17,AC17,AE17,AG17,AI17,AK17,AM17,AO17,AQ17,AS17,AU17,AW17,AY17,BA17,BC17,BE17,BG17,BI17,BK17,BM17,BO17,BQ17,BS17,BU17,BW17,BY17)</f>
        <v/>
      </c>
      <c r="C17" s="25" t="inlineStr">
        <is>
          <t>GLAND</t>
        </is>
      </c>
      <c r="D17" s="25" t="inlineStr">
        <is>
          <t>Gland Pharma Ltd</t>
        </is>
      </c>
      <c r="E17" s="25" t="inlineStr">
        <is>
          <t>healthcare</t>
        </is>
      </c>
      <c r="F17" s="25" t="inlineStr">
        <is>
          <t>Pharma - API &amp; CRAMS</t>
        </is>
      </c>
      <c r="G17" s="25" t="inlineStr">
        <is>
          <t>largecap</t>
        </is>
      </c>
      <c r="H17" s="26" t="n">
        <v>37515.04</v>
      </c>
      <c r="I17" s="26" t="n">
        <v>2277</v>
      </c>
      <c r="J17" s="26" t="n">
        <v>-0.67</v>
      </c>
      <c r="K17" s="26" t="n">
        <v>0</v>
      </c>
      <c r="L17" s="26" t="n">
        <v>69.17</v>
      </c>
      <c r="M17" s="26" t="n">
        <v>26.21</v>
      </c>
      <c r="N17" s="26" t="n">
        <v>1891.13</v>
      </c>
      <c r="O17" s="25" t="inlineStr">
        <is>
          <t>Near 52W High Breakout</t>
        </is>
      </c>
      <c r="P17" s="25" t="inlineStr">
        <is>
          <t>Growing Industry</t>
        </is>
      </c>
      <c r="Q17" s="25">
        <f>IF(P17="Growing Industry",10,IF(P17="Cyclical in an Upturn",5,0))</f>
        <v/>
      </c>
      <c r="R17" s="25" t="inlineStr">
        <is>
          <t>Too Many Players with High ROCE</t>
        </is>
      </c>
      <c r="S17" s="25">
        <f>IF(R17="Monopoly",10,IF(R17="Oligopoly",5,IF(R17="Duopoly that cooperate",10,IF(R17="Duopoly that compete",5,IF(R17="Too many players with High ROCE",5,0)))))</f>
        <v/>
      </c>
      <c r="T17" s="25" t="inlineStr">
        <is>
          <t>Yes</t>
        </is>
      </c>
      <c r="U17" s="25">
        <f>IF(T17="No",5,0)</f>
        <v/>
      </c>
      <c r="V17" s="25" t="inlineStr">
        <is>
          <t>Tailwind</t>
        </is>
      </c>
      <c r="W17" s="25">
        <f>IF(V17="Tailwind",10,0)</f>
        <v/>
      </c>
      <c r="X17" s="25" t="inlineStr">
        <is>
          <t>Structural (10 Years Consistency)</t>
        </is>
      </c>
      <c r="Y17" s="25">
        <f>IF(X17="Structural (10 Years Consistency)",10,IF(X17="Shallow Cyclical (2 to 3 years growth)",5,0))</f>
        <v/>
      </c>
      <c r="Z17" s="25" t="inlineStr">
        <is>
          <t>No</t>
        </is>
      </c>
      <c r="AA17" s="25">
        <f>IF(Z17="Yes due to Product Mix change or Operating Leverage",10,IF(Z17="Yes, these are peak margins",-5,IF(Z17="No",5,0)))</f>
        <v/>
      </c>
      <c r="AB17" s="25" t="inlineStr">
        <is>
          <t>Stable</t>
        </is>
      </c>
      <c r="AC17" s="25">
        <f>IF(AB17="Stable",10,0)</f>
        <v/>
      </c>
      <c r="AD17" s="25" t="inlineStr">
        <is>
          <t>Yes</t>
        </is>
      </c>
      <c r="AE17" s="25">
        <f>IF(AD17="Yes",10,0)</f>
        <v/>
      </c>
      <c r="AF17" s="25" t="inlineStr">
        <is>
          <t>B2B</t>
        </is>
      </c>
      <c r="AG17" s="25">
        <f>IF(AF17="B2C",10,IF(AF17="B2B",5,0))</f>
        <v/>
      </c>
      <c r="AH17" s="25" t="inlineStr">
        <is>
          <t>Yes</t>
        </is>
      </c>
      <c r="AI17" s="25">
        <f>IF(AH17="Yes",10,0)</f>
        <v/>
      </c>
      <c r="AJ17" s="25" t="inlineStr">
        <is>
          <t>Higher Annuity, Lower One Time</t>
        </is>
      </c>
      <c r="AK17" s="25">
        <f>IF(AJ17="Fully Annuity",10,IF(AJ17="Higher Annuity, Lower One Time",5,IF(AJ17="Higher One Time, Lower Annuity",3,0)))</f>
        <v/>
      </c>
      <c r="AL17" s="25" t="inlineStr">
        <is>
          <t>Good</t>
        </is>
      </c>
      <c r="AM17" s="25">
        <f>IF(AL17="Good",10,0)</f>
        <v/>
      </c>
      <c r="AN17" s="25" t="inlineStr">
        <is>
          <t>Yes for more than 2 years</t>
        </is>
      </c>
      <c r="AO17" s="25">
        <f>IF(AN17="Yes for more than 2 years",10,IF(AN17="Yes only for next 1 to 2 years",5,0))</f>
        <v/>
      </c>
      <c r="AP17" s="25" t="inlineStr">
        <is>
          <t>20 to 40</t>
        </is>
      </c>
      <c r="AQ17" s="25">
        <f>IF(AP17="Above 40",20,IF(AP17="20 to 40",10,IF(AP17="0 to 20",-5,0)))</f>
        <v/>
      </c>
      <c r="AR17" s="25" t="inlineStr">
        <is>
          <t>Between 50 to 75</t>
        </is>
      </c>
      <c r="AS17" s="25">
        <f>IF(AR17="Between 50 to 75",10,IF(AR17="Above 75",0,0))</f>
        <v/>
      </c>
      <c r="AT17" s="25" t="inlineStr">
        <is>
          <t>Stage 2</t>
        </is>
      </c>
      <c r="AU17" s="25">
        <f>IF(AT17="Stage 2",20,IF(AT17="Stage 1",0,IF(AT17="Stage 3",5,IF(AT17="Stage 4",-5,0))))</f>
        <v/>
      </c>
      <c r="AV17" s="25" t="inlineStr">
        <is>
          <t>Positive Trend</t>
        </is>
      </c>
      <c r="AW17" s="25">
        <f>IF(AV17="Positive Trend",20,IF(AV17="Negative Trend",-10,0))</f>
        <v/>
      </c>
      <c r="AX17" s="25" t="inlineStr">
        <is>
          <t>Uptrend</t>
        </is>
      </c>
      <c r="AY17" s="25">
        <f>IF(AX17="Uptrend",10,IF(AX17="Sideways",5,0))</f>
        <v/>
      </c>
      <c r="AZ17" s="25" t="inlineStr">
        <is>
          <t>Uptrend</t>
        </is>
      </c>
      <c r="BA17" s="25">
        <f>IF(AZ17="Uptrend",10,IF(AZ17="Sideways",5,0))</f>
        <v/>
      </c>
      <c r="BB17" s="25" t="inlineStr">
        <is>
          <t>Blue sky scenario</t>
        </is>
      </c>
      <c r="BC17" s="25">
        <f>IF(BB17="Overhead supply in last 2 years in last 2 years",-5,IF(BB17="Close to 52 week high or retracement",5,IF(BB17="Blue sky scenario",10,IF(BB17="Long term Downtrend",-10,0))))</f>
        <v/>
      </c>
      <c r="BD17" s="25" t="inlineStr">
        <is>
          <t>Yes</t>
        </is>
      </c>
      <c r="BE17" s="25">
        <f>IF(BD17="Yes",10,0)</f>
        <v/>
      </c>
      <c r="BF17" s="25" t="inlineStr">
        <is>
          <t>More than 20%</t>
        </is>
      </c>
      <c r="BG17" s="25">
        <f>IF(BF17="More than 20%",10,IF(BF17="Between 12 to 20%",5,IF(BF17="Less than 12%",0,0)))</f>
        <v/>
      </c>
      <c r="BH17" s="25" t="inlineStr">
        <is>
          <t>No</t>
        </is>
      </c>
      <c r="BI17" s="25">
        <f>IF(BH17="No",10,0)</f>
        <v/>
      </c>
      <c r="BJ17" s="25" t="inlineStr">
        <is>
          <t>No</t>
        </is>
      </c>
      <c r="BK17" s="25">
        <f>IF(BJ17="NO",5,0)</f>
        <v/>
      </c>
      <c r="BL17" s="25" t="inlineStr">
        <is>
          <t>Less than 1.5</t>
        </is>
      </c>
      <c r="BM17" s="25">
        <f>IF(BL17="Above 2",0,IF(BL17="Between 1.5 to 2",5,IF(BL17="Less than 1.5",10,0)))</f>
        <v/>
      </c>
      <c r="BN17" s="25" t="inlineStr">
        <is>
          <t>Between 50% to 70%</t>
        </is>
      </c>
      <c r="BO17" s="25">
        <f>IF(BN17="Above 70%",10,IF(BN17="Between 50% to 70%",5,IF(BN17="Less than 50%",0,IF(BN17="Negative",-10,IF(BN17="Less than 50% and Borrowings are increasing",-5,0)))))</f>
        <v/>
      </c>
      <c r="BP17" s="25" t="inlineStr">
        <is>
          <t>Less than 0.7</t>
        </is>
      </c>
      <c r="BQ17" s="25">
        <f>IF(BP17="More than 1.2",-10,IF(BP17="Between 0.7 to 1.2",0,IF(BP17="Less than 0.7",10,0)))</f>
        <v/>
      </c>
      <c r="BR17" s="25" t="inlineStr">
        <is>
          <t>No</t>
        </is>
      </c>
      <c r="BS17" s="25">
        <f>IF(BR17="Yes",-10,0)</f>
        <v/>
      </c>
      <c r="BT17" s="25" t="inlineStr">
        <is>
          <t>Less than 15%</t>
        </is>
      </c>
      <c r="BU17" s="25">
        <f>IF(BT17="More than 15%",-10,IF(BT17="Less than 15%",10,0))</f>
        <v/>
      </c>
      <c r="BV17" s="25" t="inlineStr">
        <is>
          <t>No</t>
        </is>
      </c>
      <c r="BW17" s="25">
        <f>IF(BV17="Yes, more than 10%",-10,IF(BV17="No",10,0))</f>
        <v/>
      </c>
      <c r="BX17" s="25" t="inlineStr">
        <is>
          <t>23</t>
        </is>
      </c>
      <c r="BY17" s="25">
        <f>IF(BX17&gt;20,10,IF(BX17&gt;=10,5,2))</f>
        <v/>
      </c>
    </row>
    <row r="18">
      <c r="A18" s="25">
        <f>IF(B18=0,"",RANK(B18,$B$2:$B$95,0))</f>
        <v/>
      </c>
      <c r="B18" s="26">
        <f>SUM(Q18,S18,U18,W18,Y18,AA18,AC18,AE18,AG18,AI18,AK18,AM18,AO18,AQ18,AS18,AU18,AW18,AY18,BA18,BC18,BE18,BG18,BI18,BK18,BM18,BO18,BQ18,BS18,BU18,BW18,BY18)</f>
        <v/>
      </c>
      <c r="C18" s="25" t="inlineStr">
        <is>
          <t>VALIANT</t>
        </is>
      </c>
      <c r="D18" s="25" t="inlineStr">
        <is>
          <t>Valiant Communications Ltd</t>
        </is>
      </c>
      <c r="E18" s="25" t="inlineStr">
        <is>
          <t>Technology</t>
        </is>
      </c>
      <c r="F18" s="25" t="inlineStr">
        <is>
          <t>Telecom Services</t>
        </is>
      </c>
      <c r="G18" s="25" t="inlineStr">
        <is>
          <t>smallcap</t>
        </is>
      </c>
      <c r="H18" s="26" t="n">
        <v>1441.63</v>
      </c>
      <c r="I18" s="26" t="n">
        <v>1233</v>
      </c>
      <c r="J18" s="26" t="n">
        <v>-2.5</v>
      </c>
      <c r="K18" s="26" t="n">
        <v>0</v>
      </c>
      <c r="L18" s="26" t="n">
        <v>68.01000000000001</v>
      </c>
      <c r="M18" s="26" t="n">
        <v>25.8</v>
      </c>
      <c r="N18" s="26" t="n">
        <v>904.62</v>
      </c>
      <c r="O18" s="25" t="inlineStr">
        <is>
          <t>Near 52W High Breakout</t>
        </is>
      </c>
      <c r="P18" s="25" t="inlineStr">
        <is>
          <t>Growing Industry</t>
        </is>
      </c>
      <c r="Q18" s="25">
        <f>IF(P18="Growing Industry",10,IF(P18="Cyclical in an Upturn",5,0))</f>
        <v/>
      </c>
      <c r="R18" s="25" t="inlineStr">
        <is>
          <t>Oligopoly</t>
        </is>
      </c>
      <c r="S18" s="25">
        <f>IF(R18="Monopoly",10,IF(R18="Oligopoly",5,IF(R18="Duopoly that cooperate",10,IF(R18="Duopoly that compete",5,IF(R18="Too many players with High ROCE",5,0)))))</f>
        <v/>
      </c>
      <c r="T18" s="25" t="inlineStr">
        <is>
          <t>Yes</t>
        </is>
      </c>
      <c r="U18" s="25">
        <f>IF(T18="No",5,0)</f>
        <v/>
      </c>
      <c r="V18" s="25" t="inlineStr">
        <is>
          <t>Tailwind</t>
        </is>
      </c>
      <c r="W18" s="25">
        <f>IF(V18="Tailwind",10,0)</f>
        <v/>
      </c>
      <c r="X18" s="25" t="inlineStr">
        <is>
          <t>Structural (10 Years Consistency)</t>
        </is>
      </c>
      <c r="Y18" s="25">
        <f>IF(X18="Structural (10 Years Consistency)",10,IF(X18="Shallow Cyclical (2 to 3 years growth)",5,0))</f>
        <v/>
      </c>
      <c r="Z18" s="25" t="inlineStr">
        <is>
          <t>No</t>
        </is>
      </c>
      <c r="AA18" s="25">
        <f>IF(Z18="Yes due to Product Mix change or Operating Leverage",10,IF(Z18="Yes, these are peak margins",-5,IF(Z18="No",5,0)))</f>
        <v/>
      </c>
      <c r="AB18" s="25" t="inlineStr">
        <is>
          <t>Stable</t>
        </is>
      </c>
      <c r="AC18" s="25">
        <f>IF(AB18="Stable",10,0)</f>
        <v/>
      </c>
      <c r="AD18" s="25" t="inlineStr">
        <is>
          <t>Yes</t>
        </is>
      </c>
      <c r="AE18" s="25">
        <f>IF(AD18="Yes",10,0)</f>
        <v/>
      </c>
      <c r="AF18" s="25" t="inlineStr">
        <is>
          <t>B2B</t>
        </is>
      </c>
      <c r="AG18" s="25">
        <f>IF(AF18="B2C",10,IF(AF18="B2B",5,0))</f>
        <v/>
      </c>
      <c r="AH18" s="25" t="inlineStr">
        <is>
          <t>Yes</t>
        </is>
      </c>
      <c r="AI18" s="25">
        <f>IF(AH18="Yes",10,0)</f>
        <v/>
      </c>
      <c r="AJ18" s="25" t="inlineStr">
        <is>
          <t>Higher Annuity, Lower One Time</t>
        </is>
      </c>
      <c r="AK18" s="25">
        <f>IF(AJ18="Fully Annuity",10,IF(AJ18="Higher Annuity, Lower One Time",5,IF(AJ18="Higher One Time, Lower Annuity",3,0)))</f>
        <v/>
      </c>
      <c r="AL18" s="25" t="inlineStr">
        <is>
          <t>Good</t>
        </is>
      </c>
      <c r="AM18" s="25">
        <f>IF(AL18="Good",10,0)</f>
        <v/>
      </c>
      <c r="AN18" s="25" t="inlineStr">
        <is>
          <t>Yes for more than 2 years</t>
        </is>
      </c>
      <c r="AO18" s="25">
        <f>IF(AN18="Yes for more than 2 years",10,IF(AN18="Yes only for next 1 to 2 years",5,0))</f>
        <v/>
      </c>
      <c r="AP18" s="25" t="inlineStr">
        <is>
          <t>20 to 40</t>
        </is>
      </c>
      <c r="AQ18" s="25">
        <f>IF(AP18="Above 40",20,IF(AP18="20 to 40",10,IF(AP18="0 to 20",-5,0)))</f>
        <v/>
      </c>
      <c r="AR18" s="25" t="inlineStr">
        <is>
          <t>Between 50 to 75</t>
        </is>
      </c>
      <c r="AS18" s="25">
        <f>IF(AR18="Between 50 to 75",10,IF(AR18="Above 75",0,0))</f>
        <v/>
      </c>
      <c r="AT18" s="25" t="inlineStr">
        <is>
          <t>Stage 2</t>
        </is>
      </c>
      <c r="AU18" s="25">
        <f>IF(AT18="Stage 2",20,IF(AT18="Stage 1",0,IF(AT18="Stage 3",5,IF(AT18="Stage 4",-5,0))))</f>
        <v/>
      </c>
      <c r="AV18" s="25" t="inlineStr">
        <is>
          <t>Positive Trend</t>
        </is>
      </c>
      <c r="AW18" s="25">
        <f>IF(AV18="Positive Trend",20,IF(AV18="Negative Trend",-10,0))</f>
        <v/>
      </c>
      <c r="AX18" s="25" t="inlineStr">
        <is>
          <t>Uptrend</t>
        </is>
      </c>
      <c r="AY18" s="25">
        <f>IF(AX18="Uptrend",10,IF(AX18="Sideways",5,0))</f>
        <v/>
      </c>
      <c r="AZ18" s="25" t="inlineStr">
        <is>
          <t>Uptrend</t>
        </is>
      </c>
      <c r="BA18" s="25">
        <f>IF(AZ18="Uptrend",10,IF(AZ18="Sideways",5,0))</f>
        <v/>
      </c>
      <c r="BB18" s="25" t="inlineStr">
        <is>
          <t>Blue sky scenario</t>
        </is>
      </c>
      <c r="BC18" s="25">
        <f>IF(BB18="Overhead supply in last 2 years in last 2 years",-5,IF(BB18="Close to 52 week high or retracement",5,IF(BB18="Blue sky scenario",10,IF(BB18="Long term Downtrend",-10,0))))</f>
        <v/>
      </c>
      <c r="BD18" s="25" t="inlineStr">
        <is>
          <t>Yes</t>
        </is>
      </c>
      <c r="BE18" s="25">
        <f>IF(BD18="Yes",10,0)</f>
        <v/>
      </c>
      <c r="BF18" s="25" t="inlineStr">
        <is>
          <t>More than 20%</t>
        </is>
      </c>
      <c r="BG18" s="25">
        <f>IF(BF18="More than 20%",10,IF(BF18="Between 12 to 20%",5,IF(BF18="Less than 12%",0,0)))</f>
        <v/>
      </c>
      <c r="BH18" s="25" t="inlineStr">
        <is>
          <t>No</t>
        </is>
      </c>
      <c r="BI18" s="25">
        <f>IF(BH18="No",10,0)</f>
        <v/>
      </c>
      <c r="BJ18" s="25" t="inlineStr">
        <is>
          <t>Yes</t>
        </is>
      </c>
      <c r="BK18" s="25">
        <f>IF(BJ18="NO",5,0)</f>
        <v/>
      </c>
      <c r="BL18" s="25" t="inlineStr">
        <is>
          <t>Less than 1.5</t>
        </is>
      </c>
      <c r="BM18" s="25">
        <f>IF(BL18="Above 2",0,IF(BL18="Between 1.5 to 2",5,IF(BL18="Less than 1.5",10,0)))</f>
        <v/>
      </c>
      <c r="BN18" s="25" t="inlineStr">
        <is>
          <t>Above 70%</t>
        </is>
      </c>
      <c r="BO18" s="25">
        <f>IF(BN18="Above 70%",10,IF(BN18="Between 50% to 70%",5,IF(BN18="Less than 50%",0,IF(BN18="Negative",-10,IF(BN18="Less than 50% and Borrowings are increasing",-5,0)))))</f>
        <v/>
      </c>
      <c r="BP18" s="25" t="inlineStr">
        <is>
          <t>Less than 0.7</t>
        </is>
      </c>
      <c r="BQ18" s="25">
        <f>IF(BP18="More than 1.2",-10,IF(BP18="Between 0.7 to 1.2",0,IF(BP18="Less than 0.7",10,0)))</f>
        <v/>
      </c>
      <c r="BR18" s="25" t="inlineStr">
        <is>
          <t>No</t>
        </is>
      </c>
      <c r="BS18" s="25">
        <f>IF(BR18="Yes",-10,0)</f>
        <v/>
      </c>
      <c r="BT18" s="25" t="inlineStr">
        <is>
          <t>Less than 15%</t>
        </is>
      </c>
      <c r="BU18" s="25">
        <f>IF(BT18="More than 15%",-10,IF(BT18="Less than 15%",10,0))</f>
        <v/>
      </c>
      <c r="BV18" s="25" t="inlineStr">
        <is>
          <t>No</t>
        </is>
      </c>
      <c r="BW18" s="25">
        <f>IF(BV18="Yes, more than 10%",-10,IF(BV18="No",10,0))</f>
        <v/>
      </c>
      <c r="BX18" s="25" t="inlineStr">
        <is>
          <t>20</t>
        </is>
      </c>
      <c r="BY18" s="25">
        <f>IF(BX18&gt;20,10,IF(BX18&gt;=10,5,2))</f>
        <v/>
      </c>
    </row>
    <row r="19">
      <c r="A19" s="25">
        <f>IF(B19=0,"",RANK(B19,$B$2:$B$95,0))</f>
        <v/>
      </c>
      <c r="B19" s="26">
        <f>SUM(Q19,S19,U19,W19,Y19,AA19,AC19,AE19,AG19,AI19,AK19,AM19,AO19,AQ19,AS19,AU19,AW19,AY19,BA19,BC19,BE19,BG19,BI19,BK19,BM19,BO19,BQ19,BS19,BU19,BW19,BY19)</f>
        <v/>
      </c>
      <c r="C19" s="25" t="inlineStr">
        <is>
          <t>THANGAMAYL</t>
        </is>
      </c>
      <c r="D19" s="25" t="inlineStr">
        <is>
          <t>Thangamayil Jewellery Ltd</t>
        </is>
      </c>
      <c r="E19" s="25" t="inlineStr">
        <is>
          <t>consumer discretionary</t>
        </is>
      </c>
      <c r="F19" s="25" t="inlineStr">
        <is>
          <t>Diamond, Gems &amp; Jewellery</t>
        </is>
      </c>
      <c r="G19" s="25" t="inlineStr">
        <is>
          <t>midcap</t>
        </is>
      </c>
      <c r="H19" s="26" t="n">
        <v>14268.82</v>
      </c>
      <c r="I19" s="26" t="n">
        <v>4590.7</v>
      </c>
      <c r="J19" s="26" t="n">
        <v>7.16</v>
      </c>
      <c r="K19" s="26" t="n">
        <v>0</v>
      </c>
      <c r="L19" s="26" t="n">
        <v>64.17</v>
      </c>
      <c r="M19" s="26" t="n">
        <v>38.43</v>
      </c>
      <c r="N19" s="26" t="n">
        <v>3298.34</v>
      </c>
      <c r="O19" s="25" t="inlineStr">
        <is>
          <t>Near 52W High Breakout</t>
        </is>
      </c>
      <c r="P19" s="25" t="inlineStr">
        <is>
          <t>Growing Industry</t>
        </is>
      </c>
      <c r="Q19" s="25">
        <f>IF(P19="Growing Industry",10,IF(P19="Cyclical in an Upturn",5,0))</f>
        <v/>
      </c>
      <c r="R19" s="25" t="inlineStr">
        <is>
          <t>Too Many Players with High ROCE</t>
        </is>
      </c>
      <c r="S19" s="25">
        <f>IF(R19="Monopoly",10,IF(R19="Oligopoly",5,IF(R19="Duopoly that cooperate",10,IF(R19="Duopoly that compete",5,IF(R19="Too many players with High ROCE",5,0)))))</f>
        <v/>
      </c>
      <c r="T19" s="25" t="inlineStr">
        <is>
          <t>No</t>
        </is>
      </c>
      <c r="U19" s="25">
        <f>IF(T19="No",5,0)</f>
        <v/>
      </c>
      <c r="V19" s="25" t="inlineStr">
        <is>
          <t>Tailwind</t>
        </is>
      </c>
      <c r="W19" s="25">
        <f>IF(V19="Tailwind",10,0)</f>
        <v/>
      </c>
      <c r="X19" s="25" t="inlineStr">
        <is>
          <t>Structural (10 Years Consistency)</t>
        </is>
      </c>
      <c r="Y19" s="25">
        <f>IF(X19="Structural (10 Years Consistency)",10,IF(X19="Shallow Cyclical (2 to 3 years growth)",5,0))</f>
        <v/>
      </c>
      <c r="Z19" s="25" t="inlineStr">
        <is>
          <t>No</t>
        </is>
      </c>
      <c r="AA19" s="25">
        <f>IF(Z19="Yes due to Product Mix change or Operating Leverage",10,IF(Z19="Yes, these are peak margins",-5,IF(Z19="No",5,0)))</f>
        <v/>
      </c>
      <c r="AB19" s="25" t="inlineStr">
        <is>
          <t>Stable</t>
        </is>
      </c>
      <c r="AC19" s="25">
        <f>IF(AB19="Stable",10,0)</f>
        <v/>
      </c>
      <c r="AD19" s="25" t="inlineStr">
        <is>
          <t>Yes</t>
        </is>
      </c>
      <c r="AE19" s="25">
        <f>IF(AD19="Yes",10,0)</f>
        <v/>
      </c>
      <c r="AF19" s="25" t="inlineStr">
        <is>
          <t>B2B</t>
        </is>
      </c>
      <c r="AG19" s="25">
        <f>IF(AF19="B2C",10,IF(AF19="B2B",5,0))</f>
        <v/>
      </c>
      <c r="AH19" s="25" t="inlineStr">
        <is>
          <t>Yes</t>
        </is>
      </c>
      <c r="AI19" s="25">
        <f>IF(AH19="Yes",10,0)</f>
        <v/>
      </c>
      <c r="AJ19" s="25" t="inlineStr">
        <is>
          <t>Higher One Time, Lower Annuity</t>
        </is>
      </c>
      <c r="AK19" s="25">
        <f>IF(AJ19="Fully Annuity",10,IF(AJ19="Higher Annuity, Lower One Time",5,IF(AJ19="Higher One Time, Lower Annuity",3,0)))</f>
        <v/>
      </c>
      <c r="AL19" s="25" t="inlineStr">
        <is>
          <t>Good</t>
        </is>
      </c>
      <c r="AM19" s="25">
        <f>IF(AL19="Good",10,0)</f>
        <v/>
      </c>
      <c r="AN19" s="25" t="inlineStr">
        <is>
          <t>Yes for more than 2 years</t>
        </is>
      </c>
      <c r="AO19" s="25">
        <f>IF(AN19="Yes for more than 2 years",10,IF(AN19="Yes only for next 1 to 2 years",5,0))</f>
        <v/>
      </c>
      <c r="AP19" s="25" t="inlineStr">
        <is>
          <t>20 to 40</t>
        </is>
      </c>
      <c r="AQ19" s="25">
        <f>IF(AP19="Above 40",20,IF(AP19="20 to 40",10,IF(AP19="0 to 20",-5,0)))</f>
        <v/>
      </c>
      <c r="AR19" s="25" t="inlineStr">
        <is>
          <t>Between 50 to 75</t>
        </is>
      </c>
      <c r="AS19" s="25">
        <f>IF(AR19="Between 50 to 75",10,IF(AR19="Above 75",0,0))</f>
        <v/>
      </c>
      <c r="AT19" s="25" t="inlineStr">
        <is>
          <t>Stage 2</t>
        </is>
      </c>
      <c r="AU19" s="25">
        <f>IF(AT19="Stage 2",20,IF(AT19="Stage 1",0,IF(AT19="Stage 3",5,IF(AT19="Stage 4",-5,0))))</f>
        <v/>
      </c>
      <c r="AV19" s="25" t="inlineStr">
        <is>
          <t>Positive Trend</t>
        </is>
      </c>
      <c r="AW19" s="25">
        <f>IF(AV19="Positive Trend",20,IF(AV19="Negative Trend",-10,0))</f>
        <v/>
      </c>
      <c r="AX19" s="25" t="inlineStr">
        <is>
          <t>Uptrend</t>
        </is>
      </c>
      <c r="AY19" s="25">
        <f>IF(AX19="Uptrend",10,IF(AX19="Sideways",5,0))</f>
        <v/>
      </c>
      <c r="AZ19" s="25" t="inlineStr">
        <is>
          <t>Uptrend</t>
        </is>
      </c>
      <c r="BA19" s="25">
        <f>IF(AZ19="Uptrend",10,IF(AZ19="Sideways",5,0))</f>
        <v/>
      </c>
      <c r="BB19" s="25" t="inlineStr">
        <is>
          <t>Blue sky scenario</t>
        </is>
      </c>
      <c r="BC19" s="25">
        <f>IF(BB19="Overhead supply in last 2 years in last 2 years",-5,IF(BB19="Close to 52 week high or retracement",5,IF(BB19="Blue sky scenario",10,IF(BB19="Long term Downtrend",-10,0))))</f>
        <v/>
      </c>
      <c r="BD19" s="25" t="inlineStr">
        <is>
          <t>Yes</t>
        </is>
      </c>
      <c r="BE19" s="25">
        <f>IF(BD19="Yes",10,0)</f>
        <v/>
      </c>
      <c r="BF19" s="25" t="inlineStr">
        <is>
          <t>More than 20%</t>
        </is>
      </c>
      <c r="BG19" s="25">
        <f>IF(BF19="More than 20%",10,IF(BF19="Between 12 to 20%",5,IF(BF19="Less than 12%",0,0)))</f>
        <v/>
      </c>
      <c r="BH19" s="25" t="inlineStr">
        <is>
          <t>No</t>
        </is>
      </c>
      <c r="BI19" s="25">
        <f>IF(BH19="No",10,0)</f>
        <v/>
      </c>
      <c r="BJ19" s="25" t="inlineStr">
        <is>
          <t>Yes</t>
        </is>
      </c>
      <c r="BK19" s="25">
        <f>IF(BJ19="NO",5,0)</f>
        <v/>
      </c>
      <c r="BL19" s="25" t="inlineStr">
        <is>
          <t>Less than 1.5</t>
        </is>
      </c>
      <c r="BM19" s="25">
        <f>IF(BL19="Above 2",0,IF(BL19="Between 1.5 to 2",5,IF(BL19="Less than 1.5",10,0)))</f>
        <v/>
      </c>
      <c r="BN19" s="25" t="inlineStr">
        <is>
          <t>Between 50% to 70%</t>
        </is>
      </c>
      <c r="BO19" s="25">
        <f>IF(BN19="Above 70%",10,IF(BN19="Between 50% to 70%",5,IF(BN19="Less than 50%",0,IF(BN19="Negative",-10,IF(BN19="Less than 50% and Borrowings are increasing",-5,0)))))</f>
        <v/>
      </c>
      <c r="BP19" s="25" t="inlineStr">
        <is>
          <t>Less than 0.7</t>
        </is>
      </c>
      <c r="BQ19" s="25">
        <f>IF(BP19="More than 1.2",-10,IF(BP19="Between 0.7 to 1.2",0,IF(BP19="Less than 0.7",10,0)))</f>
        <v/>
      </c>
      <c r="BR19" s="25" t="inlineStr">
        <is>
          <t>No</t>
        </is>
      </c>
      <c r="BS19" s="25">
        <f>IF(BR19="Yes",-10,0)</f>
        <v/>
      </c>
      <c r="BT19" s="25" t="inlineStr">
        <is>
          <t>Less than 15%</t>
        </is>
      </c>
      <c r="BU19" s="25">
        <f>IF(BT19="More than 15%",-10,IF(BT19="Less than 15%",10,0))</f>
        <v/>
      </c>
      <c r="BV19" s="25" t="inlineStr">
        <is>
          <t>No</t>
        </is>
      </c>
      <c r="BW19" s="25">
        <f>IF(BV19="Yes, more than 10%",-10,IF(BV19="No",10,0))</f>
        <v/>
      </c>
      <c r="BX19" s="25" t="inlineStr">
        <is>
          <t>29</t>
        </is>
      </c>
      <c r="BY19" s="25">
        <f>IF(BX19&gt;20,10,IF(BX19&gt;=10,5,2))</f>
        <v/>
      </c>
    </row>
    <row r="20">
      <c r="A20" s="25">
        <f>IF(B20=0,"",RANK(B20,$B$2:$B$95,0))</f>
        <v/>
      </c>
      <c r="B20" s="26">
        <f>SUM(Q20,S20,U20,W20,Y20,AA20,AC20,AE20,AG20,AI20,AK20,AM20,AO20,AQ20,AS20,AU20,AW20,AY20,BA20,BC20,BE20,BG20,BI20,BK20,BM20,BO20,BQ20,BS20,BU20,BW20,BY20)</f>
        <v/>
      </c>
      <c r="C20" s="25" t="inlineStr">
        <is>
          <t>VMARCIND</t>
        </is>
      </c>
      <c r="D20" s="25" t="inlineStr">
        <is>
          <t>V-Marc India Ltd</t>
        </is>
      </c>
      <c r="E20" s="25" t="inlineStr">
        <is>
          <t>unknown</t>
        </is>
      </c>
      <c r="F20" s="25" t="inlineStr">
        <is>
          <t>Cables - Power</t>
        </is>
      </c>
      <c r="G20" s="25" t="inlineStr">
        <is>
          <t>smallcap</t>
        </is>
      </c>
      <c r="H20" s="26" t="n">
        <v>3508.4</v>
      </c>
      <c r="I20" s="26" t="n">
        <v>1436.65</v>
      </c>
      <c r="J20" s="26" t="n">
        <v>2.26</v>
      </c>
      <c r="K20" s="26" t="n">
        <v>0</v>
      </c>
      <c r="L20" s="26" t="n">
        <v>86.23</v>
      </c>
      <c r="M20" s="26" t="n">
        <v>36.8</v>
      </c>
      <c r="N20" s="26" t="n">
        <v>1050.65</v>
      </c>
      <c r="O20" s="25" t="inlineStr">
        <is>
          <t>Near 52W High Breakout</t>
        </is>
      </c>
      <c r="P20" s="25" t="inlineStr">
        <is>
          <t>Growing Industry</t>
        </is>
      </c>
      <c r="Q20" s="25">
        <f>IF(P20="Growing Industry",10,IF(P20="Cyclical in an Upturn",5,0))</f>
        <v/>
      </c>
      <c r="R20" s="25" t="inlineStr">
        <is>
          <t>Too Many Players with High ROCE</t>
        </is>
      </c>
      <c r="S20" s="25">
        <f>IF(R20="Monopoly",10,IF(R20="Oligopoly",5,IF(R20="Duopoly that cooperate",10,IF(R20="Duopoly that compete",5,IF(R20="Too many players with High ROCE",5,0)))))</f>
        <v/>
      </c>
      <c r="T20" s="25" t="inlineStr">
        <is>
          <t>No</t>
        </is>
      </c>
      <c r="U20" s="25">
        <f>IF(T20="No",5,0)</f>
        <v/>
      </c>
      <c r="V20" s="25" t="inlineStr">
        <is>
          <t>Tailwind</t>
        </is>
      </c>
      <c r="W20" s="25">
        <f>IF(V20="Tailwind",10,0)</f>
        <v/>
      </c>
      <c r="X20" s="25" t="inlineStr">
        <is>
          <t>Structural (10 Years Consistency)</t>
        </is>
      </c>
      <c r="Y20" s="25">
        <f>IF(X20="Structural (10 Years Consistency)",10,IF(X20="Shallow Cyclical (2 to 3 years growth)",5,0))</f>
        <v/>
      </c>
      <c r="Z20" s="25" t="inlineStr">
        <is>
          <t>No</t>
        </is>
      </c>
      <c r="AA20" s="25">
        <f>IF(Z20="Yes due to Product Mix change or Operating Leverage",10,IF(Z20="Yes, these are peak margins",-5,IF(Z20="No",5,0)))</f>
        <v/>
      </c>
      <c r="AB20" s="25" t="inlineStr">
        <is>
          <t>Stable</t>
        </is>
      </c>
      <c r="AC20" s="25">
        <f>IF(AB20="Stable",10,0)</f>
        <v/>
      </c>
      <c r="AD20" s="25" t="inlineStr">
        <is>
          <t>Yes</t>
        </is>
      </c>
      <c r="AE20" s="25">
        <f>IF(AD20="Yes",10,0)</f>
        <v/>
      </c>
      <c r="AF20" s="25" t="inlineStr">
        <is>
          <t>B2B</t>
        </is>
      </c>
      <c r="AG20" s="25">
        <f>IF(AF20="B2C",10,IF(AF20="B2B",5,0))</f>
        <v/>
      </c>
      <c r="AH20" s="25" t="inlineStr">
        <is>
          <t>Yes</t>
        </is>
      </c>
      <c r="AI20" s="25">
        <f>IF(AH20="Yes",10,0)</f>
        <v/>
      </c>
      <c r="AJ20" s="25" t="inlineStr">
        <is>
          <t>Higher One Time, Lower Annuity</t>
        </is>
      </c>
      <c r="AK20" s="25">
        <f>IF(AJ20="Fully Annuity",10,IF(AJ20="Higher Annuity, Lower One Time",5,IF(AJ20="Higher One Time, Lower Annuity",3,0)))</f>
        <v/>
      </c>
      <c r="AL20" s="25" t="inlineStr">
        <is>
          <t>Good</t>
        </is>
      </c>
      <c r="AM20" s="25">
        <f>IF(AL20="Good",10,0)</f>
        <v/>
      </c>
      <c r="AN20" s="25" t="inlineStr">
        <is>
          <t>Yes for more than 2 years</t>
        </is>
      </c>
      <c r="AO20" s="25">
        <f>IF(AN20="Yes for more than 2 years",10,IF(AN20="Yes only for next 1 to 2 years",5,0))</f>
        <v/>
      </c>
      <c r="AP20" s="25" t="inlineStr">
        <is>
          <t>20 to 40</t>
        </is>
      </c>
      <c r="AQ20" s="25">
        <f>IF(AP20="Above 40",20,IF(AP20="20 to 40",10,IF(AP20="0 to 20",-5,0)))</f>
        <v/>
      </c>
      <c r="AR20" s="25" t="inlineStr">
        <is>
          <t>Above 75</t>
        </is>
      </c>
      <c r="AS20" s="25">
        <f>IF(AR20="Between 50 to 75",10,IF(AR20="Above 75",0,0))</f>
        <v/>
      </c>
      <c r="AT20" s="25" t="inlineStr">
        <is>
          <t>Stage 2</t>
        </is>
      </c>
      <c r="AU20" s="25">
        <f>IF(AT20="Stage 2",20,IF(AT20="Stage 1",0,IF(AT20="Stage 3",5,IF(AT20="Stage 4",-5,0))))</f>
        <v/>
      </c>
      <c r="AV20" s="25" t="inlineStr">
        <is>
          <t>Positive Trend</t>
        </is>
      </c>
      <c r="AW20" s="25">
        <f>IF(AV20="Positive Trend",20,IF(AV20="Negative Trend",-10,0))</f>
        <v/>
      </c>
      <c r="AX20" s="25" t="inlineStr">
        <is>
          <t>Uptrend</t>
        </is>
      </c>
      <c r="AY20" s="25">
        <f>IF(AX20="Uptrend",10,IF(AX20="Sideways",5,0))</f>
        <v/>
      </c>
      <c r="AZ20" s="25" t="inlineStr">
        <is>
          <t>Uptrend</t>
        </is>
      </c>
      <c r="BA20" s="25">
        <f>IF(AZ20="Uptrend",10,IF(AZ20="Sideways",5,0))</f>
        <v/>
      </c>
      <c r="BB20" s="25" t="inlineStr">
        <is>
          <t>Blue sky scenario</t>
        </is>
      </c>
      <c r="BC20" s="25">
        <f>IF(BB20="Overhead supply in last 2 years in last 2 years",-5,IF(BB20="Close to 52 week high or retracement",5,IF(BB20="Blue sky scenario",10,IF(BB20="Long term Downtrend",-10,0))))</f>
        <v/>
      </c>
      <c r="BD20" s="25" t="inlineStr">
        <is>
          <t>Yes</t>
        </is>
      </c>
      <c r="BE20" s="25">
        <f>IF(BD20="Yes",10,0)</f>
        <v/>
      </c>
      <c r="BF20" s="25" t="inlineStr">
        <is>
          <t>More than 20%</t>
        </is>
      </c>
      <c r="BG20" s="25">
        <f>IF(BF20="More than 20%",10,IF(BF20="Between 12 to 20%",5,IF(BF20="Less than 12%",0,0)))</f>
        <v/>
      </c>
      <c r="BH20" s="25" t="inlineStr">
        <is>
          <t>No</t>
        </is>
      </c>
      <c r="BI20" s="25">
        <f>IF(BH20="No",10,0)</f>
        <v/>
      </c>
      <c r="BJ20" s="25" t="inlineStr">
        <is>
          <t>No</t>
        </is>
      </c>
      <c r="BK20" s="25">
        <f>IF(BJ20="NO",5,0)</f>
        <v/>
      </c>
      <c r="BL20" s="25" t="inlineStr">
        <is>
          <t>Less than 1.5</t>
        </is>
      </c>
      <c r="BM20" s="25">
        <f>IF(BL20="Above 2",0,IF(BL20="Between 1.5 to 2",5,IF(BL20="Less than 1.5",10,0)))</f>
        <v/>
      </c>
      <c r="BN20" s="25" t="inlineStr">
        <is>
          <t>Above 70%</t>
        </is>
      </c>
      <c r="BO20" s="25">
        <f>IF(BN20="Above 70%",10,IF(BN20="Between 50% to 70%",5,IF(BN20="Less than 50%",0,IF(BN20="Negative",-10,IF(BN20="Less than 50% and Borrowings are increasing",-5,0)))))</f>
        <v/>
      </c>
      <c r="BP20" s="25" t="inlineStr">
        <is>
          <t>Less than 0.7</t>
        </is>
      </c>
      <c r="BQ20" s="25">
        <f>IF(BP20="More than 1.2",-10,IF(BP20="Between 0.7 to 1.2",0,IF(BP20="Less than 0.7",10,0)))</f>
        <v/>
      </c>
      <c r="BR20" s="25" t="inlineStr">
        <is>
          <t>No</t>
        </is>
      </c>
      <c r="BS20" s="25">
        <f>IF(BR20="Yes",-10,0)</f>
        <v/>
      </c>
      <c r="BT20" s="25" t="inlineStr">
        <is>
          <t>Less than 15%</t>
        </is>
      </c>
      <c r="BU20" s="25">
        <f>IF(BT20="More than 15%",-10,IF(BT20="Less than 15%",10,0))</f>
        <v/>
      </c>
      <c r="BV20" s="25" t="inlineStr">
        <is>
          <t>No</t>
        </is>
      </c>
      <c r="BW20" s="25">
        <f>IF(BV20="Yes, more than 10%",-10,IF(BV20="No",10,0))</f>
        <v/>
      </c>
      <c r="BX20" s="25" t="inlineStr">
        <is>
          <t>25</t>
        </is>
      </c>
      <c r="BY20" s="25">
        <f>IF(BX20&gt;20,10,IF(BX20&gt;=10,5,2))</f>
        <v/>
      </c>
    </row>
    <row r="21">
      <c r="A21" s="25">
        <f>IF(B21=0,"",RANK(B21,$B$2:$B$95,0))</f>
        <v/>
      </c>
      <c r="B21" s="26">
        <f>SUM(Q21,S21,U21,W21,Y21,AA21,AC21,AE21,AG21,AI21,AK21,AM21,AO21,AQ21,AS21,AU21,AW21,AY21,BA21,BC21,BE21,BG21,BI21,BK21,BM21,BO21,BQ21,BS21,BU21,BW21,BY21)</f>
        <v/>
      </c>
      <c r="C21" s="25" t="inlineStr">
        <is>
          <t>KERNEX</t>
        </is>
      </c>
      <c r="D21" s="25" t="inlineStr">
        <is>
          <t>Kernex Microsystems (India) Ltd</t>
        </is>
      </c>
      <c r="E21" s="25" t="inlineStr">
        <is>
          <t>consumer discretionary</t>
        </is>
      </c>
      <c r="F21" s="25" t="inlineStr">
        <is>
          <t>Railways - Kavach/Springs</t>
        </is>
      </c>
      <c r="G21" s="25" t="inlineStr">
        <is>
          <t>smallcap</t>
        </is>
      </c>
      <c r="H21" s="26" t="n">
        <v>3032.33</v>
      </c>
      <c r="I21" s="26" t="n">
        <v>1804.7</v>
      </c>
      <c r="J21" s="26" t="n">
        <v>-1.74</v>
      </c>
      <c r="K21" s="26" t="n">
        <v>0</v>
      </c>
      <c r="L21" s="26" t="n">
        <v>69.62</v>
      </c>
      <c r="M21" s="26" t="n">
        <v>27.28</v>
      </c>
      <c r="N21" s="26" t="n">
        <v>1287.23</v>
      </c>
      <c r="O21" s="25" t="inlineStr">
        <is>
          <t>Volume Spike &amp; Near 52W High Breakout</t>
        </is>
      </c>
      <c r="P21" s="25" t="inlineStr">
        <is>
          <t>Growing Industry</t>
        </is>
      </c>
      <c r="Q21" s="25">
        <f>IF(P21="Growing Industry",10,IF(P21="Cyclical in an Upturn",5,0))</f>
        <v/>
      </c>
      <c r="R21" s="25" t="inlineStr">
        <is>
          <t>Too Many Players with High ROCE</t>
        </is>
      </c>
      <c r="S21" s="25">
        <f>IF(R21="Monopoly",10,IF(R21="Oligopoly",5,IF(R21="Duopoly that cooperate",10,IF(R21="Duopoly that compete",5,IF(R21="Too many players with High ROCE",5,0)))))</f>
        <v/>
      </c>
      <c r="T21" s="25" t="inlineStr">
        <is>
          <t>No</t>
        </is>
      </c>
      <c r="U21" s="25">
        <f>IF(T21="No",5,0)</f>
        <v/>
      </c>
      <c r="V21" s="25" t="inlineStr">
        <is>
          <t>Tailwind</t>
        </is>
      </c>
      <c r="W21" s="25">
        <f>IF(V21="Tailwind",10,0)</f>
        <v/>
      </c>
      <c r="X21" s="25" t="inlineStr">
        <is>
          <t>Structural (10 Years Consistency)</t>
        </is>
      </c>
      <c r="Y21" s="25">
        <f>IF(X21="Structural (10 Years Consistency)",10,IF(X21="Shallow Cyclical (2 to 3 years growth)",5,0))</f>
        <v/>
      </c>
      <c r="Z21" s="25" t="inlineStr">
        <is>
          <t>No</t>
        </is>
      </c>
      <c r="AA21" s="25">
        <f>IF(Z21="Yes due to Product Mix change or Operating Leverage",10,IF(Z21="Yes, these are peak margins",-5,IF(Z21="No",5,0)))</f>
        <v/>
      </c>
      <c r="AB21" s="25" t="inlineStr">
        <is>
          <t>Stable</t>
        </is>
      </c>
      <c r="AC21" s="25">
        <f>IF(AB21="Stable",10,0)</f>
        <v/>
      </c>
      <c r="AD21" s="25" t="inlineStr">
        <is>
          <t>Yes</t>
        </is>
      </c>
      <c r="AE21" s="25">
        <f>IF(AD21="Yes",10,0)</f>
        <v/>
      </c>
      <c r="AF21" s="25" t="inlineStr">
        <is>
          <t>B2B</t>
        </is>
      </c>
      <c r="AG21" s="25">
        <f>IF(AF21="B2C",10,IF(AF21="B2B",5,0))</f>
        <v/>
      </c>
      <c r="AH21" s="25" t="inlineStr">
        <is>
          <t>Yes</t>
        </is>
      </c>
      <c r="AI21" s="25">
        <f>IF(AH21="Yes",10,0)</f>
        <v/>
      </c>
      <c r="AJ21" s="25" t="inlineStr">
        <is>
          <t>Higher One Time, Lower Annuity</t>
        </is>
      </c>
      <c r="AK21" s="25">
        <f>IF(AJ21="Fully Annuity",10,IF(AJ21="Higher Annuity, Lower One Time",5,IF(AJ21="Higher One Time, Lower Annuity",3,0)))</f>
        <v/>
      </c>
      <c r="AL21" s="25" t="inlineStr">
        <is>
          <t>Good</t>
        </is>
      </c>
      <c r="AM21" s="25">
        <f>IF(AL21="Good",10,0)</f>
        <v/>
      </c>
      <c r="AN21" s="25" t="inlineStr">
        <is>
          <t>Yes for more than 2 years</t>
        </is>
      </c>
      <c r="AO21" s="25">
        <f>IF(AN21="Yes for more than 2 years",10,IF(AN21="Yes only for next 1 to 2 years",5,0))</f>
        <v/>
      </c>
      <c r="AP21" s="25" t="inlineStr">
        <is>
          <t>20 to 40</t>
        </is>
      </c>
      <c r="AQ21" s="25">
        <f>IF(AP21="Above 40",20,IF(AP21="20 to 40",10,IF(AP21="0 to 20",-5,0)))</f>
        <v/>
      </c>
      <c r="AR21" s="25" t="inlineStr">
        <is>
          <t>Between 50 to 75</t>
        </is>
      </c>
      <c r="AS21" s="25">
        <f>IF(AR21="Between 50 to 75",10,IF(AR21="Above 75",0,0))</f>
        <v/>
      </c>
      <c r="AT21" s="25" t="inlineStr">
        <is>
          <t>Stage 2</t>
        </is>
      </c>
      <c r="AU21" s="25">
        <f>IF(AT21="Stage 2",20,IF(AT21="Stage 1",0,IF(AT21="Stage 3",5,IF(AT21="Stage 4",-5,0))))</f>
        <v/>
      </c>
      <c r="AV21" s="25" t="inlineStr">
        <is>
          <t>Positive Trend</t>
        </is>
      </c>
      <c r="AW21" s="25">
        <f>IF(AV21="Positive Trend",20,IF(AV21="Negative Trend",-10,0))</f>
        <v/>
      </c>
      <c r="AX21" s="25" t="inlineStr">
        <is>
          <t>Uptrend</t>
        </is>
      </c>
      <c r="AY21" s="25">
        <f>IF(AX21="Uptrend",10,IF(AX21="Sideways",5,0))</f>
        <v/>
      </c>
      <c r="AZ21" s="25" t="inlineStr">
        <is>
          <t>Uptrend</t>
        </is>
      </c>
      <c r="BA21" s="25">
        <f>IF(AZ21="Uptrend",10,IF(AZ21="Sideways",5,0))</f>
        <v/>
      </c>
      <c r="BB21" s="25" t="inlineStr">
        <is>
          <t>Blue sky scenario</t>
        </is>
      </c>
      <c r="BC21" s="25">
        <f>IF(BB21="Overhead supply in last 2 years in last 2 years",-5,IF(BB21="Close to 52 week high or retracement",5,IF(BB21="Blue sky scenario",10,IF(BB21="Long term Downtrend",-10,0))))</f>
        <v/>
      </c>
      <c r="BD21" s="25" t="inlineStr">
        <is>
          <t>Yes</t>
        </is>
      </c>
      <c r="BE21" s="25">
        <f>IF(BD21="Yes",10,0)</f>
        <v/>
      </c>
      <c r="BF21" s="25" t="inlineStr">
        <is>
          <t>Less than 12%</t>
        </is>
      </c>
      <c r="BG21" s="25">
        <f>IF(BF21="More than 20%",10,IF(BF21="Between 12 to 20%",5,IF(BF21="Less than 12%",0,0)))</f>
        <v/>
      </c>
      <c r="BH21" s="25" t="inlineStr">
        <is>
          <t>No</t>
        </is>
      </c>
      <c r="BI21" s="25">
        <f>IF(BH21="No",10,0)</f>
        <v/>
      </c>
      <c r="BJ21" s="25" t="inlineStr">
        <is>
          <t>No</t>
        </is>
      </c>
      <c r="BK21" s="25">
        <f>IF(BJ21="NO",5,0)</f>
        <v/>
      </c>
      <c r="BL21" s="25" t="inlineStr">
        <is>
          <t>Less than 1.5</t>
        </is>
      </c>
      <c r="BM21" s="25">
        <f>IF(BL21="Above 2",0,IF(BL21="Between 1.5 to 2",5,IF(BL21="Less than 1.5",10,0)))</f>
        <v/>
      </c>
      <c r="BN21" s="25" t="inlineStr">
        <is>
          <t>Above 70%</t>
        </is>
      </c>
      <c r="BO21" s="25">
        <f>IF(BN21="Above 70%",10,IF(BN21="Between 50% to 70%",5,IF(BN21="Less than 50%",0,IF(BN21="Negative",-10,IF(BN21="Less than 50% and Borrowings are increasing",-5,0)))))</f>
        <v/>
      </c>
      <c r="BP21" s="25" t="inlineStr">
        <is>
          <t>Less than 0.7</t>
        </is>
      </c>
      <c r="BQ21" s="25">
        <f>IF(BP21="More than 1.2",-10,IF(BP21="Between 0.7 to 1.2",0,IF(BP21="Less than 0.7",10,0)))</f>
        <v/>
      </c>
      <c r="BR21" s="25" t="inlineStr">
        <is>
          <t>No</t>
        </is>
      </c>
      <c r="BS21" s="25">
        <f>IF(BR21="Yes",-10,0)</f>
        <v/>
      </c>
      <c r="BT21" s="25" t="inlineStr">
        <is>
          <t>Less than 15%</t>
        </is>
      </c>
      <c r="BU21" s="25">
        <f>IF(BT21="More than 15%",-10,IF(BT21="Less than 15%",10,0))</f>
        <v/>
      </c>
      <c r="BV21" s="25" t="inlineStr">
        <is>
          <t>No</t>
        </is>
      </c>
      <c r="BW21" s="25">
        <f>IF(BV21="Yes, more than 10%",-10,IF(BV21="No",10,0))</f>
        <v/>
      </c>
      <c r="BX21" s="25" t="inlineStr">
        <is>
          <t>25</t>
        </is>
      </c>
      <c r="BY21" s="25">
        <f>IF(BX21&gt;20,10,IF(BX21&gt;=10,5,2))</f>
        <v/>
      </c>
    </row>
    <row r="22">
      <c r="A22" s="25">
        <f>IF(B22=0,"",RANK(B22,$B$2:$B$95,0))</f>
        <v/>
      </c>
      <c r="B22" s="26">
        <f>SUM(Q22,S22,U22,W22,Y22,AA22,AC22,AE22,AG22,AI22,AK22,AM22,AO22,AQ22,AS22,AU22,AW22,AY22,BA22,BC22,BE22,BG22,BI22,BK22,BM22,BO22,BQ22,BS22,BU22,BW22,BY22)</f>
        <v/>
      </c>
      <c r="C22" s="25" t="inlineStr">
        <is>
          <t>CEMPRO</t>
        </is>
      </c>
      <c r="D22" s="25" t="inlineStr">
        <is>
          <t>Cemindia Projects Ltd</t>
        </is>
      </c>
      <c r="E22" s="25" t="inlineStr">
        <is>
          <t>realty</t>
        </is>
      </c>
      <c r="F22" s="25" t="inlineStr">
        <is>
          <t>Infra - Construction &amp; Contracting</t>
        </is>
      </c>
      <c r="G22" s="25" t="inlineStr">
        <is>
          <t>midcap</t>
        </is>
      </c>
      <c r="H22" s="26" t="n">
        <v>17895.11</v>
      </c>
      <c r="I22" s="26" t="n">
        <v>1041.7</v>
      </c>
      <c r="J22" s="26" t="n">
        <v>-2.99</v>
      </c>
      <c r="K22" s="26" t="n">
        <v>0</v>
      </c>
      <c r="L22" s="26" t="n">
        <v>70.45999999999999</v>
      </c>
      <c r="M22" s="26" t="n">
        <v>35.1</v>
      </c>
      <c r="N22" s="26" t="n">
        <v>818.39</v>
      </c>
      <c r="O22" s="25" t="inlineStr">
        <is>
          <t>Near 52W High Breakout</t>
        </is>
      </c>
      <c r="P22" s="25" t="inlineStr">
        <is>
          <t>Growing Industry</t>
        </is>
      </c>
      <c r="Q22" s="25">
        <f>IF(P22="Growing Industry",10,IF(P22="Cyclical in an Upturn",5,0))</f>
        <v/>
      </c>
      <c r="R22" s="25" t="inlineStr">
        <is>
          <t>Too Many Players with High ROCE</t>
        </is>
      </c>
      <c r="S22" s="25">
        <f>IF(R22="Monopoly",10,IF(R22="Oligopoly",5,IF(R22="Duopoly that cooperate",10,IF(R22="Duopoly that compete",5,IF(R22="Too many players with High ROCE",5,0)))))</f>
        <v/>
      </c>
      <c r="T22" s="25" t="inlineStr">
        <is>
          <t>No</t>
        </is>
      </c>
      <c r="U22" s="25">
        <f>IF(T22="No",5,0)</f>
        <v/>
      </c>
      <c r="V22" s="25" t="inlineStr">
        <is>
          <t>Tailwind</t>
        </is>
      </c>
      <c r="W22" s="25">
        <f>IF(V22="Tailwind",10,0)</f>
        <v/>
      </c>
      <c r="X22" s="25" t="inlineStr">
        <is>
          <t>Structural (10 Years Consistency)</t>
        </is>
      </c>
      <c r="Y22" s="25">
        <f>IF(X22="Structural (10 Years Consistency)",10,IF(X22="Shallow Cyclical (2 to 3 years growth)",5,0))</f>
        <v/>
      </c>
      <c r="Z22" s="25" t="inlineStr">
        <is>
          <t>No</t>
        </is>
      </c>
      <c r="AA22" s="25">
        <f>IF(Z22="Yes due to Product Mix change or Operating Leverage",10,IF(Z22="Yes, these are peak margins",-5,IF(Z22="No",5,0)))</f>
        <v/>
      </c>
      <c r="AB22" s="25" t="inlineStr">
        <is>
          <t>Stable</t>
        </is>
      </c>
      <c r="AC22" s="25">
        <f>IF(AB22="Stable",10,0)</f>
        <v/>
      </c>
      <c r="AD22" s="25" t="inlineStr">
        <is>
          <t>Yes</t>
        </is>
      </c>
      <c r="AE22" s="25">
        <f>IF(AD22="Yes",10,0)</f>
        <v/>
      </c>
      <c r="AF22" s="25" t="inlineStr">
        <is>
          <t>B2B</t>
        </is>
      </c>
      <c r="AG22" s="25">
        <f>IF(AF22="B2C",10,IF(AF22="B2B",5,0))</f>
        <v/>
      </c>
      <c r="AH22" s="25" t="inlineStr">
        <is>
          <t>Yes</t>
        </is>
      </c>
      <c r="AI22" s="25">
        <f>IF(AH22="Yes",10,0)</f>
        <v/>
      </c>
      <c r="AJ22" s="25" t="inlineStr">
        <is>
          <t>Higher One Time, Lower Annuity</t>
        </is>
      </c>
      <c r="AK22" s="25">
        <f>IF(AJ22="Fully Annuity",10,IF(AJ22="Higher Annuity, Lower One Time",5,IF(AJ22="Higher One Time, Lower Annuity",3,0)))</f>
        <v/>
      </c>
      <c r="AL22" s="25" t="inlineStr">
        <is>
          <t>Good</t>
        </is>
      </c>
      <c r="AM22" s="25">
        <f>IF(AL22="Good",10,0)</f>
        <v/>
      </c>
      <c r="AN22" s="25" t="inlineStr">
        <is>
          <t>Yes for more than 2 years</t>
        </is>
      </c>
      <c r="AO22" s="25">
        <f>IF(AN22="Yes for more than 2 years",10,IF(AN22="Yes only for next 1 to 2 years",5,0))</f>
        <v/>
      </c>
      <c r="AP22" s="25" t="inlineStr">
        <is>
          <t>20 to 40</t>
        </is>
      </c>
      <c r="AQ22" s="25">
        <f>IF(AP22="Above 40",20,IF(AP22="20 to 40",10,IF(AP22="0 to 20",-5,0)))</f>
        <v/>
      </c>
      <c r="AR22" s="25" t="inlineStr">
        <is>
          <t>Between 50 to 75</t>
        </is>
      </c>
      <c r="AS22" s="25">
        <f>IF(AR22="Between 50 to 75",10,IF(AR22="Above 75",0,0))</f>
        <v/>
      </c>
      <c r="AT22" s="25" t="inlineStr">
        <is>
          <t>Stage 2</t>
        </is>
      </c>
      <c r="AU22" s="25">
        <f>IF(AT22="Stage 2",20,IF(AT22="Stage 1",0,IF(AT22="Stage 3",5,IF(AT22="Stage 4",-5,0))))</f>
        <v/>
      </c>
      <c r="AV22" s="25" t="inlineStr">
        <is>
          <t>Positive Trend</t>
        </is>
      </c>
      <c r="AW22" s="25">
        <f>IF(AV22="Positive Trend",20,IF(AV22="Negative Trend",-10,0))</f>
        <v/>
      </c>
      <c r="AX22" s="25" t="inlineStr">
        <is>
          <t>Uptrend</t>
        </is>
      </c>
      <c r="AY22" s="25">
        <f>IF(AX22="Uptrend",10,IF(AX22="Sideways",5,0))</f>
        <v/>
      </c>
      <c r="AZ22" s="25" t="inlineStr">
        <is>
          <t>Uptrend</t>
        </is>
      </c>
      <c r="BA22" s="25">
        <f>IF(AZ22="Uptrend",10,IF(AZ22="Sideways",5,0))</f>
        <v/>
      </c>
      <c r="BB22" s="25" t="inlineStr">
        <is>
          <t>Blue sky scenario</t>
        </is>
      </c>
      <c r="BC22" s="25">
        <f>IF(BB22="Overhead supply in last 2 years in last 2 years",-5,IF(BB22="Close to 52 week high or retracement",5,IF(BB22="Blue sky scenario",10,IF(BB22="Long term Downtrend",-10,0))))</f>
        <v/>
      </c>
      <c r="BD22" s="25" t="inlineStr">
        <is>
          <t>Yes</t>
        </is>
      </c>
      <c r="BE22" s="25">
        <f>IF(BD22="Yes",10,0)</f>
        <v/>
      </c>
      <c r="BF22" s="25" t="inlineStr">
        <is>
          <t>More than 20%</t>
        </is>
      </c>
      <c r="BG22" s="25">
        <f>IF(BF22="More than 20%",10,IF(BF22="Between 12 to 20%",5,IF(BF22="Less than 12%",0,0)))</f>
        <v/>
      </c>
      <c r="BH22" s="25" t="inlineStr">
        <is>
          <t>No</t>
        </is>
      </c>
      <c r="BI22" s="25">
        <f>IF(BH22="No",10,0)</f>
        <v/>
      </c>
      <c r="BJ22" s="25" t="inlineStr">
        <is>
          <t>No</t>
        </is>
      </c>
      <c r="BK22" s="25">
        <f>IF(BJ22="NO",5,0)</f>
        <v/>
      </c>
      <c r="BL22" s="25" t="inlineStr">
        <is>
          <t>Less than 1.5</t>
        </is>
      </c>
      <c r="BM22" s="25">
        <f>IF(BL22="Above 2",0,IF(BL22="Between 1.5 to 2",5,IF(BL22="Less than 1.5",10,0)))</f>
        <v/>
      </c>
      <c r="BN22" s="25" t="inlineStr">
        <is>
          <t>Less than 50%</t>
        </is>
      </c>
      <c r="BO22" s="25">
        <f>IF(BN22="Above 70%",10,IF(BN22="Between 50% to 70%",5,IF(BN22="Less than 50%",0,IF(BN22="Negative",-10,IF(BN22="Less than 50% and Borrowings are increasing",-5,0)))))</f>
        <v/>
      </c>
      <c r="BP22" s="25" t="inlineStr">
        <is>
          <t>Less than 0.7</t>
        </is>
      </c>
      <c r="BQ22" s="25">
        <f>IF(BP22="More than 1.2",-10,IF(BP22="Between 0.7 to 1.2",0,IF(BP22="Less than 0.7",10,0)))</f>
        <v/>
      </c>
      <c r="BR22" s="25" t="inlineStr">
        <is>
          <t>No</t>
        </is>
      </c>
      <c r="BS22" s="25">
        <f>IF(BR22="Yes",-10,0)</f>
        <v/>
      </c>
      <c r="BT22" s="25" t="inlineStr">
        <is>
          <t>Less than 15%</t>
        </is>
      </c>
      <c r="BU22" s="25">
        <f>IF(BT22="More than 15%",-10,IF(BT22="Less than 15%",10,0))</f>
        <v/>
      </c>
      <c r="BV22" s="25" t="inlineStr">
        <is>
          <t>No</t>
        </is>
      </c>
      <c r="BW22" s="25">
        <f>IF(BV22="Yes, more than 10%",-10,IF(BV22="No",10,0))</f>
        <v/>
      </c>
      <c r="BX22" s="25" t="inlineStr">
        <is>
          <t>24</t>
        </is>
      </c>
      <c r="BY22" s="25">
        <f>IF(BX22&gt;20,10,IF(BX22&gt;=10,5,2))</f>
        <v/>
      </c>
    </row>
    <row r="23">
      <c r="A23" s="25">
        <f>IF(B23=0,"",RANK(B23,$B$2:$B$95,0))</f>
        <v/>
      </c>
      <c r="B23" s="26">
        <f>SUM(Q23,S23,U23,W23,Y23,AA23,AC23,AE23,AG23,AI23,AK23,AM23,AO23,AQ23,AS23,AU23,AW23,AY23,BA23,BC23,BE23,BG23,BI23,BK23,BM23,BO23,BQ23,BS23,BU23,BW23,BY23)</f>
        <v/>
      </c>
      <c r="C23" s="25" t="inlineStr">
        <is>
          <t>RPTECH</t>
        </is>
      </c>
      <c r="D23" s="25" t="inlineStr">
        <is>
          <t>Rashi Peripherals Ltd</t>
        </is>
      </c>
      <c r="E23" s="25" t="inlineStr">
        <is>
          <t>services</t>
        </is>
      </c>
      <c r="F23" s="25" t="inlineStr">
        <is>
          <t>Trading</t>
        </is>
      </c>
      <c r="G23" s="25" t="inlineStr">
        <is>
          <t>smallcap</t>
        </is>
      </c>
      <c r="H23" s="26" t="n">
        <v>3652.16</v>
      </c>
      <c r="I23" s="26" t="n">
        <v>554.2</v>
      </c>
      <c r="J23" s="26" t="n">
        <v>-0.24</v>
      </c>
      <c r="K23" s="26" t="n">
        <v>0</v>
      </c>
      <c r="L23" s="26" t="n">
        <v>78</v>
      </c>
      <c r="M23" s="26" t="n">
        <v>45.85</v>
      </c>
      <c r="N23" s="26" t="n">
        <v>430.39</v>
      </c>
      <c r="O23" s="25" t="inlineStr">
        <is>
          <t>Near 52W High Breakout</t>
        </is>
      </c>
      <c r="P23" s="25" t="inlineStr">
        <is>
          <t>Growing Industry</t>
        </is>
      </c>
      <c r="Q23" s="25">
        <f>IF(P23="Growing Industry",10,IF(P23="Cyclical in an Upturn",5,0))</f>
        <v/>
      </c>
      <c r="R23" s="25" t="inlineStr">
        <is>
          <t>Too Many Players with High ROCE</t>
        </is>
      </c>
      <c r="S23" s="25">
        <f>IF(R23="Monopoly",10,IF(R23="Oligopoly",5,IF(R23="Duopoly that cooperate",10,IF(R23="Duopoly that compete",5,IF(R23="Too many players with High ROCE",5,0)))))</f>
        <v/>
      </c>
      <c r="T23" s="25" t="inlineStr">
        <is>
          <t>No</t>
        </is>
      </c>
      <c r="U23" s="25">
        <f>IF(T23="No",5,0)</f>
        <v/>
      </c>
      <c r="V23" s="25" t="inlineStr">
        <is>
          <t>Tailwind</t>
        </is>
      </c>
      <c r="W23" s="25">
        <f>IF(V23="Tailwind",10,0)</f>
        <v/>
      </c>
      <c r="X23" s="25" t="inlineStr">
        <is>
          <t>Structural (10 Years Consistency)</t>
        </is>
      </c>
      <c r="Y23" s="25">
        <f>IF(X23="Structural (10 Years Consistency)",10,IF(X23="Shallow Cyclical (2 to 3 years growth)",5,0))</f>
        <v/>
      </c>
      <c r="Z23" s="25" t="inlineStr">
        <is>
          <t>No</t>
        </is>
      </c>
      <c r="AA23" s="25">
        <f>IF(Z23="Yes due to Product Mix change or Operating Leverage",10,IF(Z23="Yes, these are peak margins",-5,IF(Z23="No",5,0)))</f>
        <v/>
      </c>
      <c r="AB23" s="25" t="inlineStr">
        <is>
          <t>Stable</t>
        </is>
      </c>
      <c r="AC23" s="25">
        <f>IF(AB23="Stable",10,0)</f>
        <v/>
      </c>
      <c r="AD23" s="25" t="inlineStr">
        <is>
          <t>Yes</t>
        </is>
      </c>
      <c r="AE23" s="25">
        <f>IF(AD23="Yes",10,0)</f>
        <v/>
      </c>
      <c r="AF23" s="25" t="inlineStr">
        <is>
          <t>B2B</t>
        </is>
      </c>
      <c r="AG23" s="25">
        <f>IF(AF23="B2C",10,IF(AF23="B2B",5,0))</f>
        <v/>
      </c>
      <c r="AH23" s="25" t="inlineStr">
        <is>
          <t>Yes</t>
        </is>
      </c>
      <c r="AI23" s="25">
        <f>IF(AH23="Yes",10,0)</f>
        <v/>
      </c>
      <c r="AJ23" s="25" t="inlineStr">
        <is>
          <t>Higher One Time, Lower Annuity</t>
        </is>
      </c>
      <c r="AK23" s="25">
        <f>IF(AJ23="Fully Annuity",10,IF(AJ23="Higher Annuity, Lower One Time",5,IF(AJ23="Higher One Time, Lower Annuity",3,0)))</f>
        <v/>
      </c>
      <c r="AL23" s="25" t="inlineStr">
        <is>
          <t>Good</t>
        </is>
      </c>
      <c r="AM23" s="25">
        <f>IF(AL23="Good",10,0)</f>
        <v/>
      </c>
      <c r="AN23" s="25" t="inlineStr">
        <is>
          <t>Yes for more than 2 years</t>
        </is>
      </c>
      <c r="AO23" s="25">
        <f>IF(AN23="Yes for more than 2 years",10,IF(AN23="Yes only for next 1 to 2 years",5,0))</f>
        <v/>
      </c>
      <c r="AP23" s="25" t="inlineStr">
        <is>
          <t>Above 40</t>
        </is>
      </c>
      <c r="AQ23" s="25">
        <f>IF(AP23="Above 40",20,IF(AP23="20 to 40",10,IF(AP23="0 to 20",-5,0)))</f>
        <v/>
      </c>
      <c r="AR23" s="25" t="inlineStr">
        <is>
          <t>Above 75</t>
        </is>
      </c>
      <c r="AS23" s="25">
        <f>IF(AR23="Between 50 to 75",10,IF(AR23="Above 75",0,0))</f>
        <v/>
      </c>
      <c r="AT23" s="25" t="inlineStr">
        <is>
          <t>Stage 2</t>
        </is>
      </c>
      <c r="AU23" s="25">
        <f>IF(AT23="Stage 2",20,IF(AT23="Stage 1",0,IF(AT23="Stage 3",5,IF(AT23="Stage 4",-5,0))))</f>
        <v/>
      </c>
      <c r="AV23" s="25" t="inlineStr">
        <is>
          <t>Positive Trend</t>
        </is>
      </c>
      <c r="AW23" s="25">
        <f>IF(AV23="Positive Trend",20,IF(AV23="Negative Trend",-10,0))</f>
        <v/>
      </c>
      <c r="AX23" s="25" t="inlineStr">
        <is>
          <t>Uptrend</t>
        </is>
      </c>
      <c r="AY23" s="25">
        <f>IF(AX23="Uptrend",10,IF(AX23="Sideways",5,0))</f>
        <v/>
      </c>
      <c r="AZ23" s="25" t="inlineStr">
        <is>
          <t>Uptrend</t>
        </is>
      </c>
      <c r="BA23" s="25">
        <f>IF(AZ23="Uptrend",10,IF(AZ23="Sideways",5,0))</f>
        <v/>
      </c>
      <c r="BB23" s="25" t="inlineStr">
        <is>
          <t>Blue sky scenario</t>
        </is>
      </c>
      <c r="BC23" s="25">
        <f>IF(BB23="Overhead supply in last 2 years in last 2 years",-5,IF(BB23="Close to 52 week high or retracement",5,IF(BB23="Blue sky scenario",10,IF(BB23="Long term Downtrend",-10,0))))</f>
        <v/>
      </c>
      <c r="BD23" s="25" t="inlineStr">
        <is>
          <t>Yes</t>
        </is>
      </c>
      <c r="BE23" s="25">
        <f>IF(BD23="Yes",10,0)</f>
        <v/>
      </c>
      <c r="BF23" s="25" t="inlineStr">
        <is>
          <t>More than 20%</t>
        </is>
      </c>
      <c r="BG23" s="25">
        <f>IF(BF23="More than 20%",10,IF(BF23="Between 12 to 20%",5,IF(BF23="Less than 12%",0,0)))</f>
        <v/>
      </c>
      <c r="BH23" s="25" t="inlineStr">
        <is>
          <t>No</t>
        </is>
      </c>
      <c r="BI23" s="25">
        <f>IF(BH23="No",10,0)</f>
        <v/>
      </c>
      <c r="BJ23" s="25" t="inlineStr">
        <is>
          <t>No</t>
        </is>
      </c>
      <c r="BK23" s="25">
        <f>IF(BJ23="NO",5,0)</f>
        <v/>
      </c>
      <c r="BL23" s="25" t="inlineStr">
        <is>
          <t>Less than 1.5</t>
        </is>
      </c>
      <c r="BM23" s="25">
        <f>IF(BL23="Above 2",0,IF(BL23="Between 1.5 to 2",5,IF(BL23="Less than 1.5",10,0)))</f>
        <v/>
      </c>
      <c r="BN23" s="25" t="inlineStr">
        <is>
          <t>Less than 50%</t>
        </is>
      </c>
      <c r="BO23" s="25">
        <f>IF(BN23="Above 70%",10,IF(BN23="Between 50% to 70%",5,IF(BN23="Less than 50%",0,IF(BN23="Negative",-10,IF(BN23="Less than 50% and Borrowings are increasing",-5,0)))))</f>
        <v/>
      </c>
      <c r="BP23" s="25" t="inlineStr">
        <is>
          <t>Less than 0.7</t>
        </is>
      </c>
      <c r="BQ23" s="25">
        <f>IF(BP23="More than 1.2",-10,IF(BP23="Between 0.7 to 1.2",0,IF(BP23="Less than 0.7",10,0)))</f>
        <v/>
      </c>
      <c r="BR23" s="25" t="inlineStr">
        <is>
          <t>No</t>
        </is>
      </c>
      <c r="BS23" s="25">
        <f>IF(BR23="Yes",-10,0)</f>
        <v/>
      </c>
      <c r="BT23" s="25" t="inlineStr">
        <is>
          <t>Less than 15%</t>
        </is>
      </c>
      <c r="BU23" s="25">
        <f>IF(BT23="More than 15%",-10,IF(BT23="Less than 15%",10,0))</f>
        <v/>
      </c>
      <c r="BV23" s="25" t="inlineStr">
        <is>
          <t>No</t>
        </is>
      </c>
      <c r="BW23" s="25">
        <f>IF(BV23="Yes, more than 10%",-10,IF(BV23="No",10,0))</f>
        <v/>
      </c>
      <c r="BX23" s="25" t="inlineStr">
        <is>
          <t>23</t>
        </is>
      </c>
      <c r="BY23" s="25">
        <f>IF(BX23&gt;20,10,IF(BX23&gt;=10,5,2))</f>
        <v/>
      </c>
    </row>
    <row r="24">
      <c r="A24" s="25">
        <f>IF(B24=0,"",RANK(B24,$B$2:$B$95,0))</f>
        <v/>
      </c>
      <c r="B24" s="26">
        <f>SUM(Q24,S24,U24,W24,Y24,AA24,AC24,AE24,AG24,AI24,AK24,AM24,AO24,AQ24,AS24,AU24,AW24,AY24,BA24,BC24,BE24,BG24,BI24,BK24,BM24,BO24,BQ24,BS24,BU24,BW24,BY24)</f>
        <v/>
      </c>
      <c r="C24" s="25" t="inlineStr">
        <is>
          <t>SANSERA</t>
        </is>
      </c>
      <c r="D24" s="25" t="inlineStr">
        <is>
          <t>Sansera Engineering Ltd</t>
        </is>
      </c>
      <c r="E24" s="25" t="inlineStr">
        <is>
          <t>auto</t>
        </is>
      </c>
      <c r="F24" s="25" t="inlineStr">
        <is>
          <t>Auto Ancillaries - Diversified</t>
        </is>
      </c>
      <c r="G24" s="25" t="inlineStr">
        <is>
          <t>midcap</t>
        </is>
      </c>
      <c r="H24" s="26" t="n">
        <v>18408.52</v>
      </c>
      <c r="I24" s="26" t="n">
        <v>2953.3</v>
      </c>
      <c r="J24" s="26" t="n">
        <v>5.24</v>
      </c>
      <c r="K24" s="26" t="n">
        <v>0</v>
      </c>
      <c r="L24" s="26" t="n">
        <v>74.87</v>
      </c>
      <c r="M24" s="26" t="n">
        <v>39.79</v>
      </c>
      <c r="N24" s="26" t="n">
        <v>2285.3</v>
      </c>
      <c r="O24" s="25" t="inlineStr">
        <is>
          <t>Near 52W High Breakout</t>
        </is>
      </c>
      <c r="P24" s="25" t="inlineStr">
        <is>
          <t>Growing Industry</t>
        </is>
      </c>
      <c r="Q24" s="25">
        <f>IF(P24="Growing Industry",10,IF(P24="Cyclical in an Upturn",5,0))</f>
        <v/>
      </c>
      <c r="R24" s="25" t="inlineStr">
        <is>
          <t>Too Many Players with High ROCE</t>
        </is>
      </c>
      <c r="S24" s="25">
        <f>IF(R24="Monopoly",10,IF(R24="Oligopoly",5,IF(R24="Duopoly that cooperate",10,IF(R24="Duopoly that compete",5,IF(R24="Too many players with High ROCE",5,0)))))</f>
        <v/>
      </c>
      <c r="T24" s="25" t="inlineStr">
        <is>
          <t>No</t>
        </is>
      </c>
      <c r="U24" s="25">
        <f>IF(T24="No",5,0)</f>
        <v/>
      </c>
      <c r="V24" s="25" t="inlineStr">
        <is>
          <t>Tailwind</t>
        </is>
      </c>
      <c r="W24" s="25">
        <f>IF(V24="Tailwind",10,0)</f>
        <v/>
      </c>
      <c r="X24" s="25" t="inlineStr">
        <is>
          <t>Structural (10 Years Consistency)</t>
        </is>
      </c>
      <c r="Y24" s="25">
        <f>IF(X24="Structural (10 Years Consistency)",10,IF(X24="Shallow Cyclical (2 to 3 years growth)",5,0))</f>
        <v/>
      </c>
      <c r="Z24" s="25" t="inlineStr">
        <is>
          <t>No</t>
        </is>
      </c>
      <c r="AA24" s="25">
        <f>IF(Z24="Yes due to Product Mix change or Operating Leverage",10,IF(Z24="Yes, these are peak margins",-5,IF(Z24="No",5,0)))</f>
        <v/>
      </c>
      <c r="AB24" s="25" t="inlineStr">
        <is>
          <t>Stable</t>
        </is>
      </c>
      <c r="AC24" s="25">
        <f>IF(AB24="Stable",10,0)</f>
        <v/>
      </c>
      <c r="AD24" s="25" t="inlineStr">
        <is>
          <t>Yes</t>
        </is>
      </c>
      <c r="AE24" s="25">
        <f>IF(AD24="Yes",10,0)</f>
        <v/>
      </c>
      <c r="AF24" s="25" t="inlineStr">
        <is>
          <t>B2B</t>
        </is>
      </c>
      <c r="AG24" s="25">
        <f>IF(AF24="B2C",10,IF(AF24="B2B",5,0))</f>
        <v/>
      </c>
      <c r="AH24" s="25" t="inlineStr">
        <is>
          <t>Yes</t>
        </is>
      </c>
      <c r="AI24" s="25">
        <f>IF(AH24="Yes",10,0)</f>
        <v/>
      </c>
      <c r="AJ24" s="25" t="inlineStr">
        <is>
          <t>Higher One Time, Lower Annuity</t>
        </is>
      </c>
      <c r="AK24" s="25">
        <f>IF(AJ24="Fully Annuity",10,IF(AJ24="Higher Annuity, Lower One Time",5,IF(AJ24="Higher One Time, Lower Annuity",3,0)))</f>
        <v/>
      </c>
      <c r="AL24" s="25" t="inlineStr">
        <is>
          <t>Good</t>
        </is>
      </c>
      <c r="AM24" s="25">
        <f>IF(AL24="Good",10,0)</f>
        <v/>
      </c>
      <c r="AN24" s="25" t="inlineStr">
        <is>
          <t>Yes for more than 2 years</t>
        </is>
      </c>
      <c r="AO24" s="25">
        <f>IF(AN24="Yes for more than 2 years",10,IF(AN24="Yes only for next 1 to 2 years",5,0))</f>
        <v/>
      </c>
      <c r="AP24" s="25" t="inlineStr">
        <is>
          <t>20 to 40</t>
        </is>
      </c>
      <c r="AQ24" s="25">
        <f>IF(AP24="Above 40",20,IF(AP24="20 to 40",10,IF(AP24="0 to 20",-5,0)))</f>
        <v/>
      </c>
      <c r="AR24" s="25" t="inlineStr">
        <is>
          <t>Between 50 to 75</t>
        </is>
      </c>
      <c r="AS24" s="25">
        <f>IF(AR24="Between 50 to 75",10,IF(AR24="Above 75",0,0))</f>
        <v/>
      </c>
      <c r="AT24" s="25" t="inlineStr">
        <is>
          <t>Stage 2</t>
        </is>
      </c>
      <c r="AU24" s="25">
        <f>IF(AT24="Stage 2",20,IF(AT24="Stage 1",0,IF(AT24="Stage 3",5,IF(AT24="Stage 4",-5,0))))</f>
        <v/>
      </c>
      <c r="AV24" s="25" t="inlineStr">
        <is>
          <t>Positive Trend</t>
        </is>
      </c>
      <c r="AW24" s="25">
        <f>IF(AV24="Positive Trend",20,IF(AV24="Negative Trend",-10,0))</f>
        <v/>
      </c>
      <c r="AX24" s="25" t="inlineStr">
        <is>
          <t>Uptrend</t>
        </is>
      </c>
      <c r="AY24" s="25">
        <f>IF(AX24="Uptrend",10,IF(AX24="Sideways",5,0))</f>
        <v/>
      </c>
      <c r="AZ24" s="25" t="inlineStr">
        <is>
          <t>Uptrend</t>
        </is>
      </c>
      <c r="BA24" s="25">
        <f>IF(AZ24="Uptrend",10,IF(AZ24="Sideways",5,0))</f>
        <v/>
      </c>
      <c r="BB24" s="25" t="inlineStr">
        <is>
          <t>Blue sky scenario</t>
        </is>
      </c>
      <c r="BC24" s="25">
        <f>IF(BB24="Overhead supply in last 2 years in last 2 years",-5,IF(BB24="Close to 52 week high or retracement",5,IF(BB24="Blue sky scenario",10,IF(BB24="Long term Downtrend",-10,0))))</f>
        <v/>
      </c>
      <c r="BD24" s="25" t="inlineStr">
        <is>
          <t>Yes</t>
        </is>
      </c>
      <c r="BE24" s="25">
        <f>IF(BD24="Yes",10,0)</f>
        <v/>
      </c>
      <c r="BF24" s="25" t="inlineStr">
        <is>
          <t>More than 20%</t>
        </is>
      </c>
      <c r="BG24" s="25">
        <f>IF(BF24="More than 20%",10,IF(BF24="Between 12 to 20%",5,IF(BF24="Less than 12%",0,0)))</f>
        <v/>
      </c>
      <c r="BH24" s="25" t="inlineStr">
        <is>
          <t>No</t>
        </is>
      </c>
      <c r="BI24" s="25">
        <f>IF(BH24="No",10,0)</f>
        <v/>
      </c>
      <c r="BJ24" s="25" t="inlineStr">
        <is>
          <t>Yes</t>
        </is>
      </c>
      <c r="BK24" s="25">
        <f>IF(BJ24="NO",5,0)</f>
        <v/>
      </c>
      <c r="BL24" s="25" t="inlineStr">
        <is>
          <t>Less than 1.5</t>
        </is>
      </c>
      <c r="BM24" s="25">
        <f>IF(BL24="Above 2",0,IF(BL24="Between 1.5 to 2",5,IF(BL24="Less than 1.5",10,0)))</f>
        <v/>
      </c>
      <c r="BN24" s="25" t="inlineStr">
        <is>
          <t>Between 50% to 70%</t>
        </is>
      </c>
      <c r="BO24" s="25">
        <f>IF(BN24="Above 70%",10,IF(BN24="Between 50% to 70%",5,IF(BN24="Less than 50%",0,IF(BN24="Negative",-10,IF(BN24="Less than 50% and Borrowings are increasing",-5,0)))))</f>
        <v/>
      </c>
      <c r="BP24" s="25" t="inlineStr">
        <is>
          <t>Less than 0.7</t>
        </is>
      </c>
      <c r="BQ24" s="25">
        <f>IF(BP24="More than 1.2",-10,IF(BP24="Between 0.7 to 1.2",0,IF(BP24="Less than 0.7",10,0)))</f>
        <v/>
      </c>
      <c r="BR24" s="25" t="inlineStr">
        <is>
          <t>No</t>
        </is>
      </c>
      <c r="BS24" s="25">
        <f>IF(BR24="Yes",-10,0)</f>
        <v/>
      </c>
      <c r="BT24" s="25" t="inlineStr">
        <is>
          <t>Less than 15%</t>
        </is>
      </c>
      <c r="BU24" s="25">
        <f>IF(BT24="More than 15%",-10,IF(BT24="Less than 15%",10,0))</f>
        <v/>
      </c>
      <c r="BV24" s="25" t="inlineStr">
        <is>
          <t>No</t>
        </is>
      </c>
      <c r="BW24" s="25">
        <f>IF(BV24="Yes, more than 10%",-10,IF(BV24="No",10,0))</f>
        <v/>
      </c>
      <c r="BX24" s="25" t="inlineStr">
        <is>
          <t>21</t>
        </is>
      </c>
      <c r="BY24" s="25">
        <f>IF(BX24&gt;20,10,IF(BX24&gt;=10,5,2))</f>
        <v/>
      </c>
    </row>
    <row r="25">
      <c r="A25" s="25">
        <f>IF(B25=0,"",RANK(B25,$B$2:$B$95,0))</f>
        <v/>
      </c>
      <c r="B25" s="26">
        <f>SUM(Q25,S25,U25,W25,Y25,AA25,AC25,AE25,AG25,AI25,AK25,AM25,AO25,AQ25,AS25,AU25,AW25,AY25,BA25,BC25,BE25,BG25,BI25,BK25,BM25,BO25,BQ25,BS25,BU25,BW25,BY25)</f>
        <v/>
      </c>
      <c r="C25" s="25" t="inlineStr">
        <is>
          <t>SYRMA</t>
        </is>
      </c>
      <c r="D25" s="25" t="inlineStr">
        <is>
          <t>Syrma SGS Technology Ltd</t>
        </is>
      </c>
      <c r="E25" s="25" t="inlineStr">
        <is>
          <t>consumer discretionary</t>
        </is>
      </c>
      <c r="F25" s="25" t="inlineStr">
        <is>
          <t>Consumer Electronics - EMS</t>
        </is>
      </c>
      <c r="G25" s="25" t="inlineStr">
        <is>
          <t>largecap</t>
        </is>
      </c>
      <c r="H25" s="26" t="n">
        <v>22499.46</v>
      </c>
      <c r="I25" s="26" t="n">
        <v>1166.8</v>
      </c>
      <c r="J25" s="26" t="n">
        <v>5.37</v>
      </c>
      <c r="K25" s="26" t="n">
        <v>0</v>
      </c>
      <c r="L25" s="26" t="n">
        <v>70.7</v>
      </c>
      <c r="M25" s="26" t="n">
        <v>29.09</v>
      </c>
      <c r="N25" s="26" t="n">
        <v>895.27</v>
      </c>
      <c r="O25" s="25" t="inlineStr">
        <is>
          <t>Near 52W High Breakout</t>
        </is>
      </c>
      <c r="P25" s="25" t="inlineStr">
        <is>
          <t>Growing Industry</t>
        </is>
      </c>
      <c r="Q25" s="25">
        <f>IF(P25="Growing Industry",10,IF(P25="Cyclical in an Upturn",5,0))</f>
        <v/>
      </c>
      <c r="R25" s="25" t="inlineStr">
        <is>
          <t>Too Many Players with High ROCE</t>
        </is>
      </c>
      <c r="S25" s="25">
        <f>IF(R25="Monopoly",10,IF(R25="Oligopoly",5,IF(R25="Duopoly that cooperate",10,IF(R25="Duopoly that compete",5,IF(R25="Too many players with High ROCE",5,0)))))</f>
        <v/>
      </c>
      <c r="T25" s="25" t="inlineStr">
        <is>
          <t>No</t>
        </is>
      </c>
      <c r="U25" s="25">
        <f>IF(T25="No",5,0)</f>
        <v/>
      </c>
      <c r="V25" s="25" t="inlineStr">
        <is>
          <t>Tailwind</t>
        </is>
      </c>
      <c r="W25" s="25">
        <f>IF(V25="Tailwind",10,0)</f>
        <v/>
      </c>
      <c r="X25" s="25" t="inlineStr">
        <is>
          <t>Structural (10 Years Consistency)</t>
        </is>
      </c>
      <c r="Y25" s="25">
        <f>IF(X25="Structural (10 Years Consistency)",10,IF(X25="Shallow Cyclical (2 to 3 years growth)",5,0))</f>
        <v/>
      </c>
      <c r="Z25" s="25" t="inlineStr">
        <is>
          <t>No</t>
        </is>
      </c>
      <c r="AA25" s="25">
        <f>IF(Z25="Yes due to Product Mix change or Operating Leverage",10,IF(Z25="Yes, these are peak margins",-5,IF(Z25="No",5,0)))</f>
        <v/>
      </c>
      <c r="AB25" s="25" t="inlineStr">
        <is>
          <t>Stable</t>
        </is>
      </c>
      <c r="AC25" s="25">
        <f>IF(AB25="Stable",10,0)</f>
        <v/>
      </c>
      <c r="AD25" s="25" t="inlineStr">
        <is>
          <t>Yes</t>
        </is>
      </c>
      <c r="AE25" s="25">
        <f>IF(AD25="Yes",10,0)</f>
        <v/>
      </c>
      <c r="AF25" s="25" t="inlineStr">
        <is>
          <t>B2B</t>
        </is>
      </c>
      <c r="AG25" s="25">
        <f>IF(AF25="B2C",10,IF(AF25="B2B",5,0))</f>
        <v/>
      </c>
      <c r="AH25" s="25" t="inlineStr">
        <is>
          <t>Yes</t>
        </is>
      </c>
      <c r="AI25" s="25">
        <f>IF(AH25="Yes",10,0)</f>
        <v/>
      </c>
      <c r="AJ25" s="25" t="inlineStr">
        <is>
          <t>Higher One Time, Lower Annuity</t>
        </is>
      </c>
      <c r="AK25" s="25">
        <f>IF(AJ25="Fully Annuity",10,IF(AJ25="Higher Annuity, Lower One Time",5,IF(AJ25="Higher One Time, Lower Annuity",3,0)))</f>
        <v/>
      </c>
      <c r="AL25" s="25" t="inlineStr">
        <is>
          <t>Good</t>
        </is>
      </c>
      <c r="AM25" s="25">
        <f>IF(AL25="Good",10,0)</f>
        <v/>
      </c>
      <c r="AN25" s="25" t="inlineStr">
        <is>
          <t>Yes for more than 2 years</t>
        </is>
      </c>
      <c r="AO25" s="25">
        <f>IF(AN25="Yes for more than 2 years",10,IF(AN25="Yes only for next 1 to 2 years",5,0))</f>
        <v/>
      </c>
      <c r="AP25" s="25" t="inlineStr">
        <is>
          <t>20 to 40</t>
        </is>
      </c>
      <c r="AQ25" s="25">
        <f>IF(AP25="Above 40",20,IF(AP25="20 to 40",10,IF(AP25="0 to 20",-5,0)))</f>
        <v/>
      </c>
      <c r="AR25" s="25" t="inlineStr">
        <is>
          <t>Between 50 to 75</t>
        </is>
      </c>
      <c r="AS25" s="25">
        <f>IF(AR25="Between 50 to 75",10,IF(AR25="Above 75",0,0))</f>
        <v/>
      </c>
      <c r="AT25" s="25" t="inlineStr">
        <is>
          <t>Stage 2</t>
        </is>
      </c>
      <c r="AU25" s="25">
        <f>IF(AT25="Stage 2",20,IF(AT25="Stage 1",0,IF(AT25="Stage 3",5,IF(AT25="Stage 4",-5,0))))</f>
        <v/>
      </c>
      <c r="AV25" s="25" t="inlineStr">
        <is>
          <t>Positive Trend</t>
        </is>
      </c>
      <c r="AW25" s="25">
        <f>IF(AV25="Positive Trend",20,IF(AV25="Negative Trend",-10,0))</f>
        <v/>
      </c>
      <c r="AX25" s="25" t="inlineStr">
        <is>
          <t>Uptrend</t>
        </is>
      </c>
      <c r="AY25" s="25">
        <f>IF(AX25="Uptrend",10,IF(AX25="Sideways",5,0))</f>
        <v/>
      </c>
      <c r="AZ25" s="25" t="inlineStr">
        <is>
          <t>Uptrend</t>
        </is>
      </c>
      <c r="BA25" s="25">
        <f>IF(AZ25="Uptrend",10,IF(AZ25="Sideways",5,0))</f>
        <v/>
      </c>
      <c r="BB25" s="25" t="inlineStr">
        <is>
          <t>Blue sky scenario</t>
        </is>
      </c>
      <c r="BC25" s="25">
        <f>IF(BB25="Overhead supply in last 2 years in last 2 years",-5,IF(BB25="Close to 52 week high or retracement",5,IF(BB25="Blue sky scenario",10,IF(BB25="Long term Downtrend",-10,0))))</f>
        <v/>
      </c>
      <c r="BD25" s="25" t="inlineStr">
        <is>
          <t>Yes</t>
        </is>
      </c>
      <c r="BE25" s="25">
        <f>IF(BD25="Yes",10,0)</f>
        <v/>
      </c>
      <c r="BF25" s="25" t="inlineStr">
        <is>
          <t>More than 20%</t>
        </is>
      </c>
      <c r="BG25" s="25">
        <f>IF(BF25="More than 20%",10,IF(BF25="Between 12 to 20%",5,IF(BF25="Less than 12%",0,0)))</f>
        <v/>
      </c>
      <c r="BH25" s="25" t="inlineStr">
        <is>
          <t>No</t>
        </is>
      </c>
      <c r="BI25" s="25">
        <f>IF(BH25="No",10,0)</f>
        <v/>
      </c>
      <c r="BJ25" s="25" t="inlineStr">
        <is>
          <t>Yes</t>
        </is>
      </c>
      <c r="BK25" s="25">
        <f>IF(BJ25="NO",5,0)</f>
        <v/>
      </c>
      <c r="BL25" s="25" t="inlineStr">
        <is>
          <t>Less than 1.5</t>
        </is>
      </c>
      <c r="BM25" s="25">
        <f>IF(BL25="Above 2",0,IF(BL25="Between 1.5 to 2",5,IF(BL25="Less than 1.5",10,0)))</f>
        <v/>
      </c>
      <c r="BN25" s="25" t="inlineStr">
        <is>
          <t>Between 50% to 70%</t>
        </is>
      </c>
      <c r="BO25" s="25">
        <f>IF(BN25="Above 70%",10,IF(BN25="Between 50% to 70%",5,IF(BN25="Less than 50%",0,IF(BN25="Negative",-10,IF(BN25="Less than 50% and Borrowings are increasing",-5,0)))))</f>
        <v/>
      </c>
      <c r="BP25" s="25" t="inlineStr">
        <is>
          <t>Less than 0.7</t>
        </is>
      </c>
      <c r="BQ25" s="25">
        <f>IF(BP25="More than 1.2",-10,IF(BP25="Between 0.7 to 1.2",0,IF(BP25="Less than 0.7",10,0)))</f>
        <v/>
      </c>
      <c r="BR25" s="25" t="inlineStr">
        <is>
          <t>No</t>
        </is>
      </c>
      <c r="BS25" s="25">
        <f>IF(BR25="Yes",-10,0)</f>
        <v/>
      </c>
      <c r="BT25" s="25" t="inlineStr">
        <is>
          <t>Less than 15%</t>
        </is>
      </c>
      <c r="BU25" s="25">
        <f>IF(BT25="More than 15%",-10,IF(BT25="Less than 15%",10,0))</f>
        <v/>
      </c>
      <c r="BV25" s="25" t="inlineStr">
        <is>
          <t>No</t>
        </is>
      </c>
      <c r="BW25" s="25">
        <f>IF(BV25="Yes, more than 10%",-10,IF(BV25="No",10,0))</f>
        <v/>
      </c>
      <c r="BX25" s="25" t="inlineStr">
        <is>
          <t>20</t>
        </is>
      </c>
      <c r="BY25" s="25">
        <f>IF(BX25&gt;20,10,IF(BX25&gt;=10,5,2))</f>
        <v/>
      </c>
    </row>
    <row r="26">
      <c r="A26" s="25">
        <f>IF(B26=0,"",RANK(B26,$B$2:$B$95,0))</f>
        <v/>
      </c>
      <c r="B26" s="26">
        <f>SUM(Q26,S26,U26,W26,Y26,AA26,AC26,AE26,AG26,AI26,AK26,AM26,AO26,AQ26,AS26,AU26,AW26,AY26,BA26,BC26,BE26,BG26,BI26,BK26,BM26,BO26,BQ26,BS26,BU26,BW26,BY26)</f>
        <v/>
      </c>
      <c r="C26" s="25" t="inlineStr">
        <is>
          <t>DIVGIITTS</t>
        </is>
      </c>
      <c r="D26" s="25" t="inlineStr">
        <is>
          <t>Divgi Torqtransfer Systems Ltd</t>
        </is>
      </c>
      <c r="E26" s="25" t="inlineStr">
        <is>
          <t>auto</t>
        </is>
      </c>
      <c r="F26" s="25" t="inlineStr">
        <is>
          <t>Auto Ancillaries - Transmission</t>
        </is>
      </c>
      <c r="G26" s="25" t="inlineStr">
        <is>
          <t>smallcap</t>
        </is>
      </c>
      <c r="H26" s="26" t="n">
        <v>2414.37</v>
      </c>
      <c r="I26" s="26" t="n">
        <v>789.45</v>
      </c>
      <c r="J26" s="26" t="n">
        <v>-2.1</v>
      </c>
      <c r="K26" s="26" t="n">
        <v>0</v>
      </c>
      <c r="L26" s="26" t="n">
        <v>59.2</v>
      </c>
      <c r="M26" s="26" t="n">
        <v>26.07</v>
      </c>
      <c r="N26" s="26" t="n">
        <v>588.39</v>
      </c>
      <c r="O26" s="25" t="inlineStr">
        <is>
          <t>Near 52W High Breakout</t>
        </is>
      </c>
      <c r="P26" s="25" t="inlineStr">
        <is>
          <t>Growing Industry</t>
        </is>
      </c>
      <c r="Q26" s="25">
        <f>IF(P26="Growing Industry",10,IF(P26="Cyclical in an Upturn",5,0))</f>
        <v/>
      </c>
      <c r="R26" s="25" t="inlineStr">
        <is>
          <t>Too Many Players with High ROCE</t>
        </is>
      </c>
      <c r="S26" s="25">
        <f>IF(R26="Monopoly",10,IF(R26="Oligopoly",5,IF(R26="Duopoly that cooperate",10,IF(R26="Duopoly that compete",5,IF(R26="Too many players with High ROCE",5,0)))))</f>
        <v/>
      </c>
      <c r="T26" s="25" t="inlineStr">
        <is>
          <t>No</t>
        </is>
      </c>
      <c r="U26" s="25">
        <f>IF(T26="No",5,0)</f>
        <v/>
      </c>
      <c r="V26" s="25" t="inlineStr">
        <is>
          <t>Tailwind</t>
        </is>
      </c>
      <c r="W26" s="25">
        <f>IF(V26="Tailwind",10,0)</f>
        <v/>
      </c>
      <c r="X26" s="25" t="inlineStr">
        <is>
          <t>Structural (10 Years Consistency)</t>
        </is>
      </c>
      <c r="Y26" s="25">
        <f>IF(X26="Structural (10 Years Consistency)",10,IF(X26="Shallow Cyclical (2 to 3 years growth)",5,0))</f>
        <v/>
      </c>
      <c r="Z26" s="25" t="inlineStr">
        <is>
          <t>No</t>
        </is>
      </c>
      <c r="AA26" s="25">
        <f>IF(Z26="Yes due to Product Mix change or Operating Leverage",10,IF(Z26="Yes, these are peak margins",-5,IF(Z26="No",5,0)))</f>
        <v/>
      </c>
      <c r="AB26" s="25" t="inlineStr">
        <is>
          <t>Stable</t>
        </is>
      </c>
      <c r="AC26" s="25">
        <f>IF(AB26="Stable",10,0)</f>
        <v/>
      </c>
      <c r="AD26" s="25" t="inlineStr">
        <is>
          <t>Yes</t>
        </is>
      </c>
      <c r="AE26" s="25">
        <f>IF(AD26="Yes",10,0)</f>
        <v/>
      </c>
      <c r="AF26" s="25" t="inlineStr">
        <is>
          <t>B2B</t>
        </is>
      </c>
      <c r="AG26" s="25">
        <f>IF(AF26="B2C",10,IF(AF26="B2B",5,0))</f>
        <v/>
      </c>
      <c r="AH26" s="25" t="inlineStr">
        <is>
          <t>Yes</t>
        </is>
      </c>
      <c r="AI26" s="25">
        <f>IF(AH26="Yes",10,0)</f>
        <v/>
      </c>
      <c r="AJ26" s="25" t="inlineStr">
        <is>
          <t>Higher One Time, Lower Annuity</t>
        </is>
      </c>
      <c r="AK26" s="25">
        <f>IF(AJ26="Fully Annuity",10,IF(AJ26="Higher Annuity, Lower One Time",5,IF(AJ26="Higher One Time, Lower Annuity",3,0)))</f>
        <v/>
      </c>
      <c r="AL26" s="25" t="inlineStr">
        <is>
          <t>Good</t>
        </is>
      </c>
      <c r="AM26" s="25">
        <f>IF(AL26="Good",10,0)</f>
        <v/>
      </c>
      <c r="AN26" s="25" t="inlineStr">
        <is>
          <t>Yes for more than 2 years</t>
        </is>
      </c>
      <c r="AO26" s="25">
        <f>IF(AN26="Yes for more than 2 years",10,IF(AN26="Yes only for next 1 to 2 years",5,0))</f>
        <v/>
      </c>
      <c r="AP26" s="25" t="inlineStr">
        <is>
          <t>20 to 40</t>
        </is>
      </c>
      <c r="AQ26" s="25">
        <f>IF(AP26="Above 40",20,IF(AP26="20 to 40",10,IF(AP26="0 to 20",-5,0)))</f>
        <v/>
      </c>
      <c r="AR26" s="25" t="inlineStr">
        <is>
          <t>Between 50 to 75</t>
        </is>
      </c>
      <c r="AS26" s="25">
        <f>IF(AR26="Between 50 to 75",10,IF(AR26="Above 75",0,0))</f>
        <v/>
      </c>
      <c r="AT26" s="25" t="inlineStr">
        <is>
          <t>Stage 2</t>
        </is>
      </c>
      <c r="AU26" s="25">
        <f>IF(AT26="Stage 2",20,IF(AT26="Stage 1",0,IF(AT26="Stage 3",5,IF(AT26="Stage 4",-5,0))))</f>
        <v/>
      </c>
      <c r="AV26" s="25" t="inlineStr">
        <is>
          <t>Positive Trend</t>
        </is>
      </c>
      <c r="AW26" s="25">
        <f>IF(AV26="Positive Trend",20,IF(AV26="Negative Trend",-10,0))</f>
        <v/>
      </c>
      <c r="AX26" s="25" t="inlineStr">
        <is>
          <t>Uptrend</t>
        </is>
      </c>
      <c r="AY26" s="25">
        <f>IF(AX26="Uptrend",10,IF(AX26="Sideways",5,0))</f>
        <v/>
      </c>
      <c r="AZ26" s="25" t="inlineStr">
        <is>
          <t>Uptrend</t>
        </is>
      </c>
      <c r="BA26" s="25">
        <f>IF(AZ26="Uptrend",10,IF(AZ26="Sideways",5,0))</f>
        <v/>
      </c>
      <c r="BB26" s="25" t="inlineStr">
        <is>
          <t>Blue sky scenario</t>
        </is>
      </c>
      <c r="BC26" s="25">
        <f>IF(BB26="Overhead supply in last 2 years in last 2 years",-5,IF(BB26="Close to 52 week high or retracement",5,IF(BB26="Blue sky scenario",10,IF(BB26="Long term Downtrend",-10,0))))</f>
        <v/>
      </c>
      <c r="BD26" s="25" t="inlineStr">
        <is>
          <t>Yes</t>
        </is>
      </c>
      <c r="BE26" s="25">
        <f>IF(BD26="Yes",10,0)</f>
        <v/>
      </c>
      <c r="BF26" s="25" t="inlineStr">
        <is>
          <t>More than 20%</t>
        </is>
      </c>
      <c r="BG26" s="25">
        <f>IF(BF26="More than 20%",10,IF(BF26="Between 12 to 20%",5,IF(BF26="Less than 12%",0,0)))</f>
        <v/>
      </c>
      <c r="BH26" s="25" t="inlineStr">
        <is>
          <t>No</t>
        </is>
      </c>
      <c r="BI26" s="25">
        <f>IF(BH26="No",10,0)</f>
        <v/>
      </c>
      <c r="BJ26" s="25" t="inlineStr">
        <is>
          <t>Yes</t>
        </is>
      </c>
      <c r="BK26" s="25">
        <f>IF(BJ26="NO",5,0)</f>
        <v/>
      </c>
      <c r="BL26" s="25" t="inlineStr">
        <is>
          <t>Less than 1.5</t>
        </is>
      </c>
      <c r="BM26" s="25">
        <f>IF(BL26="Above 2",0,IF(BL26="Between 1.5 to 2",5,IF(BL26="Less than 1.5",10,0)))</f>
        <v/>
      </c>
      <c r="BN26" s="25" t="inlineStr">
        <is>
          <t>Between 50% to 70%</t>
        </is>
      </c>
      <c r="BO26" s="25">
        <f>IF(BN26="Above 70%",10,IF(BN26="Between 50% to 70%",5,IF(BN26="Less than 50%",0,IF(BN26="Negative",-10,IF(BN26="Less than 50% and Borrowings are increasing",-5,0)))))</f>
        <v/>
      </c>
      <c r="BP26" s="25" t="inlineStr">
        <is>
          <t>Less than 0.7</t>
        </is>
      </c>
      <c r="BQ26" s="25">
        <f>IF(BP26="More than 1.2",-10,IF(BP26="Between 0.7 to 1.2",0,IF(BP26="Less than 0.7",10,0)))</f>
        <v/>
      </c>
      <c r="BR26" s="25" t="inlineStr">
        <is>
          <t>No</t>
        </is>
      </c>
      <c r="BS26" s="25">
        <f>IF(BR26="Yes",-10,0)</f>
        <v/>
      </c>
      <c r="BT26" s="25" t="inlineStr">
        <is>
          <t>Less than 15%</t>
        </is>
      </c>
      <c r="BU26" s="25">
        <f>IF(BT26="More than 15%",-10,IF(BT26="Less than 15%",10,0))</f>
        <v/>
      </c>
      <c r="BV26" s="25" t="inlineStr">
        <is>
          <t>No</t>
        </is>
      </c>
      <c r="BW26" s="25">
        <f>IF(BV26="Yes, more than 10%",-10,IF(BV26="No",10,0))</f>
        <v/>
      </c>
      <c r="BX26" s="25" t="inlineStr">
        <is>
          <t>18</t>
        </is>
      </c>
      <c r="BY26" s="25">
        <f>IF(BX26&gt;20,10,IF(BX26&gt;=10,5,2))</f>
        <v/>
      </c>
    </row>
    <row r="27">
      <c r="A27" s="25">
        <f>IF(B27=0,"",RANK(B27,$B$2:$B$95,0))</f>
        <v/>
      </c>
      <c r="B27" s="26">
        <f>SUM(Q27,S27,U27,W27,Y27,AA27,AC27,AE27,AG27,AI27,AK27,AM27,AO27,AQ27,AS27,AU27,AW27,AY27,BA27,BC27,BE27,BG27,BI27,BK27,BM27,BO27,BQ27,BS27,BU27,BW27,BY27)</f>
        <v/>
      </c>
      <c r="C27" s="25" t="inlineStr">
        <is>
          <t>KPL</t>
        </is>
      </c>
      <c r="D27" s="25" t="inlineStr">
        <is>
          <t>Kwality Pharmaceuticals Ltd</t>
        </is>
      </c>
      <c r="E27" s="25" t="inlineStr">
        <is>
          <t>Healthcare</t>
        </is>
      </c>
      <c r="F27" s="25" t="inlineStr">
        <is>
          <t>Pharma - Formulators</t>
        </is>
      </c>
      <c r="G27" s="25" t="inlineStr">
        <is>
          <t>smallcap</t>
        </is>
      </c>
      <c r="H27" s="26" t="n">
        <v>2406.24</v>
      </c>
      <c r="I27" s="26" t="n">
        <v>2319</v>
      </c>
      <c r="J27" s="26" t="n">
        <v>4.49</v>
      </c>
      <c r="K27" s="26" t="n">
        <v>0</v>
      </c>
      <c r="L27" s="26" t="n">
        <v>76.58</v>
      </c>
      <c r="M27" s="26" t="n">
        <v>52.16</v>
      </c>
      <c r="N27" s="26" t="n">
        <v>1672.77</v>
      </c>
      <c r="O27" s="25" t="inlineStr">
        <is>
          <t>Near 52W High Breakout</t>
        </is>
      </c>
      <c r="P27" s="25" t="inlineStr">
        <is>
          <t>Growing Industry</t>
        </is>
      </c>
      <c r="Q27" s="25">
        <f>IF(P27="Growing Industry",10,IF(P27="Cyclical in an Upturn",5,0))</f>
        <v/>
      </c>
      <c r="R27" s="25" t="inlineStr">
        <is>
          <t>Too Many Players with High ROCE</t>
        </is>
      </c>
      <c r="S27" s="25">
        <f>IF(R27="Monopoly",10,IF(R27="Oligopoly",5,IF(R27="Duopoly that cooperate",10,IF(R27="Duopoly that compete",5,IF(R27="Too many players with High ROCE",5,0)))))</f>
        <v/>
      </c>
      <c r="T27" s="25" t="inlineStr">
        <is>
          <t>Yes</t>
        </is>
      </c>
      <c r="U27" s="25">
        <f>IF(T27="No",5,0)</f>
        <v/>
      </c>
      <c r="V27" s="25" t="inlineStr">
        <is>
          <t>Tailwind</t>
        </is>
      </c>
      <c r="W27" s="25">
        <f>IF(V27="Tailwind",10,0)</f>
        <v/>
      </c>
      <c r="X27" s="25" t="inlineStr">
        <is>
          <t>Structural (10 Years Consistency)</t>
        </is>
      </c>
      <c r="Y27" s="25">
        <f>IF(X27="Structural (10 Years Consistency)",10,IF(X27="Shallow Cyclical (2 to 3 years growth)",5,0))</f>
        <v/>
      </c>
      <c r="Z27" s="25" t="inlineStr">
        <is>
          <t>No</t>
        </is>
      </c>
      <c r="AA27" s="25">
        <f>IF(Z27="Yes due to Product Mix change or Operating Leverage",10,IF(Z27="Yes, these are peak margins",-5,IF(Z27="No",5,0)))</f>
        <v/>
      </c>
      <c r="AB27" s="25" t="inlineStr">
        <is>
          <t>Stable</t>
        </is>
      </c>
      <c r="AC27" s="25">
        <f>IF(AB27="Stable",10,0)</f>
        <v/>
      </c>
      <c r="AD27" s="25" t="inlineStr">
        <is>
          <t>Yes</t>
        </is>
      </c>
      <c r="AE27" s="25">
        <f>IF(AD27="Yes",10,0)</f>
        <v/>
      </c>
      <c r="AF27" s="25" t="inlineStr">
        <is>
          <t>B2B</t>
        </is>
      </c>
      <c r="AG27" s="25">
        <f>IF(AF27="B2C",10,IF(AF27="B2B",5,0))</f>
        <v/>
      </c>
      <c r="AH27" s="25" t="inlineStr">
        <is>
          <t>Yes</t>
        </is>
      </c>
      <c r="AI27" s="25">
        <f>IF(AH27="Yes",10,0)</f>
        <v/>
      </c>
      <c r="AJ27" s="25" t="inlineStr">
        <is>
          <t>Higher Annuity, Lower One Time</t>
        </is>
      </c>
      <c r="AK27" s="25">
        <f>IF(AJ27="Fully Annuity",10,IF(AJ27="Higher Annuity, Lower One Time",5,IF(AJ27="Higher One Time, Lower Annuity",3,0)))</f>
        <v/>
      </c>
      <c r="AL27" s="25" t="inlineStr">
        <is>
          <t>Good</t>
        </is>
      </c>
      <c r="AM27" s="25">
        <f>IF(AL27="Good",10,0)</f>
        <v/>
      </c>
      <c r="AN27" s="25" t="inlineStr">
        <is>
          <t>Yes for more than 2 years</t>
        </is>
      </c>
      <c r="AO27" s="25">
        <f>IF(AN27="Yes for more than 2 years",10,IF(AN27="Yes only for next 1 to 2 years",5,0))</f>
        <v/>
      </c>
      <c r="AP27" s="25" t="inlineStr">
        <is>
          <t>Above 40</t>
        </is>
      </c>
      <c r="AQ27" s="25">
        <f>IF(AP27="Above 40",20,IF(AP27="20 to 40",10,IF(AP27="0 to 20",-5,0)))</f>
        <v/>
      </c>
      <c r="AR27" s="25" t="inlineStr">
        <is>
          <t>Above 75</t>
        </is>
      </c>
      <c r="AS27" s="25">
        <f>IF(AR27="Between 50 to 75",10,IF(AR27="Above 75",0,0))</f>
        <v/>
      </c>
      <c r="AT27" s="25" t="inlineStr">
        <is>
          <t>Stage 2</t>
        </is>
      </c>
      <c r="AU27" s="25">
        <f>IF(AT27="Stage 2",20,IF(AT27="Stage 1",0,IF(AT27="Stage 3",5,IF(AT27="Stage 4",-5,0))))</f>
        <v/>
      </c>
      <c r="AV27" s="25" t="inlineStr">
        <is>
          <t>Positive Trend</t>
        </is>
      </c>
      <c r="AW27" s="25">
        <f>IF(AV27="Positive Trend",20,IF(AV27="Negative Trend",-10,0))</f>
        <v/>
      </c>
      <c r="AX27" s="25" t="inlineStr">
        <is>
          <t>Uptrend</t>
        </is>
      </c>
      <c r="AY27" s="25">
        <f>IF(AX27="Uptrend",10,IF(AX27="Sideways",5,0))</f>
        <v/>
      </c>
      <c r="AZ27" s="25" t="inlineStr">
        <is>
          <t>Uptrend</t>
        </is>
      </c>
      <c r="BA27" s="25">
        <f>IF(AZ27="Uptrend",10,IF(AZ27="Sideways",5,0))</f>
        <v/>
      </c>
      <c r="BB27" s="25" t="inlineStr">
        <is>
          <t>Blue sky scenario</t>
        </is>
      </c>
      <c r="BC27" s="25">
        <f>IF(BB27="Overhead supply in last 2 years in last 2 years",-5,IF(BB27="Close to 52 week high or retracement",5,IF(BB27="Blue sky scenario",10,IF(BB27="Long term Downtrend",-10,0))))</f>
        <v/>
      </c>
      <c r="BD27" s="25" t="inlineStr">
        <is>
          <t>Yes</t>
        </is>
      </c>
      <c r="BE27" s="25">
        <f>IF(BD27="Yes",10,0)</f>
        <v/>
      </c>
      <c r="BF27" s="25" t="inlineStr">
        <is>
          <t>More than 20%</t>
        </is>
      </c>
      <c r="BG27" s="25">
        <f>IF(BF27="More than 20%",10,IF(BF27="Between 12 to 20%",5,IF(BF27="Less than 12%",0,0)))</f>
        <v/>
      </c>
      <c r="BH27" s="25" t="inlineStr">
        <is>
          <t>No</t>
        </is>
      </c>
      <c r="BI27" s="25">
        <f>IF(BH27="No",10,0)</f>
        <v/>
      </c>
      <c r="BJ27" s="25" t="inlineStr">
        <is>
          <t>No</t>
        </is>
      </c>
      <c r="BK27" s="25">
        <f>IF(BJ27="NO",5,0)</f>
        <v/>
      </c>
      <c r="BL27" s="25" t="inlineStr">
        <is>
          <t>Less than 1.5</t>
        </is>
      </c>
      <c r="BM27" s="25">
        <f>IF(BL27="Above 2",0,IF(BL27="Between 1.5 to 2",5,IF(BL27="Less than 1.5",10,0)))</f>
        <v/>
      </c>
      <c r="BN27" s="25" t="inlineStr">
        <is>
          <t>Less than 50%</t>
        </is>
      </c>
      <c r="BO27" s="25">
        <f>IF(BN27="Above 70%",10,IF(BN27="Between 50% to 70%",5,IF(BN27="Less than 50%",0,IF(BN27="Negative",-10,IF(BN27="Less than 50% and Borrowings are increasing",-5,0)))))</f>
        <v/>
      </c>
      <c r="BP27" s="25" t="inlineStr">
        <is>
          <t>Less than 0.7</t>
        </is>
      </c>
      <c r="BQ27" s="25">
        <f>IF(BP27="More than 1.2",-10,IF(BP27="Between 0.7 to 1.2",0,IF(BP27="Less than 0.7",10,0)))</f>
        <v/>
      </c>
      <c r="BR27" s="25" t="inlineStr">
        <is>
          <t>No</t>
        </is>
      </c>
      <c r="BS27" s="25">
        <f>IF(BR27="Yes",-10,0)</f>
        <v/>
      </c>
      <c r="BT27" s="25" t="inlineStr">
        <is>
          <t>Less than 15%</t>
        </is>
      </c>
      <c r="BU27" s="25">
        <f>IF(BT27="More than 15%",-10,IF(BT27="Less than 15%",10,0))</f>
        <v/>
      </c>
      <c r="BV27" s="25" t="inlineStr">
        <is>
          <t>No</t>
        </is>
      </c>
      <c r="BW27" s="25">
        <f>IF(BV27="Yes, more than 10%",-10,IF(BV27="No",10,0))</f>
        <v/>
      </c>
      <c r="BX27" s="25" t="inlineStr">
        <is>
          <t>29</t>
        </is>
      </c>
      <c r="BY27" s="25">
        <f>IF(BX27&gt;20,10,IF(BX27&gt;=10,5,2))</f>
        <v/>
      </c>
    </row>
    <row r="28">
      <c r="A28" s="25">
        <f>IF(B28=0,"",RANK(B28,$B$2:$B$95,0))</f>
        <v/>
      </c>
      <c r="B28" s="26">
        <f>SUM(Q28,S28,U28,W28,Y28,AA28,AC28,AE28,AG28,AI28,AK28,AM28,AO28,AQ28,AS28,AU28,AW28,AY28,BA28,BC28,BE28,BG28,BI28,BK28,BM28,BO28,BQ28,BS28,BU28,BW28,BY28)</f>
        <v/>
      </c>
      <c r="C28" s="25" t="inlineStr">
        <is>
          <t>BLISSGVS</t>
        </is>
      </c>
      <c r="D28" s="25" t="inlineStr">
        <is>
          <t>Bliss GVS Pharma Ltd</t>
        </is>
      </c>
      <c r="E28" s="25" t="inlineStr">
        <is>
          <t>healthcare</t>
        </is>
      </c>
      <c r="F28" s="25" t="inlineStr">
        <is>
          <t>Pharma - Formulators</t>
        </is>
      </c>
      <c r="G28" s="25" t="inlineStr">
        <is>
          <t>smallcap</t>
        </is>
      </c>
      <c r="H28" s="26" t="n">
        <v>4596</v>
      </c>
      <c r="I28" s="26" t="n">
        <v>434.45</v>
      </c>
      <c r="J28" s="26" t="n">
        <v>7.95</v>
      </c>
      <c r="K28" s="26" t="n">
        <v>0</v>
      </c>
      <c r="L28" s="26" t="n">
        <v>88.27</v>
      </c>
      <c r="M28" s="26" t="n">
        <v>57.23</v>
      </c>
      <c r="N28" s="26" t="n">
        <v>334.64</v>
      </c>
      <c r="O28" s="25" t="inlineStr">
        <is>
          <t>Near 52W High Breakout</t>
        </is>
      </c>
      <c r="P28" s="25" t="inlineStr">
        <is>
          <t>Growing Industry</t>
        </is>
      </c>
      <c r="Q28" s="25">
        <f>IF(P28="Growing Industry",10,IF(P28="Cyclical in an Upturn",5,0))</f>
        <v/>
      </c>
      <c r="R28" s="25" t="inlineStr">
        <is>
          <t>Too Many Players with High ROCE</t>
        </is>
      </c>
      <c r="S28" s="25">
        <f>IF(R28="Monopoly",10,IF(R28="Oligopoly",5,IF(R28="Duopoly that cooperate",10,IF(R28="Duopoly that compete",5,IF(R28="Too many players with High ROCE",5,0)))))</f>
        <v/>
      </c>
      <c r="T28" s="25" t="inlineStr">
        <is>
          <t>Yes</t>
        </is>
      </c>
      <c r="U28" s="25">
        <f>IF(T28="No",5,0)</f>
        <v/>
      </c>
      <c r="V28" s="25" t="inlineStr">
        <is>
          <t>Tailwind</t>
        </is>
      </c>
      <c r="W28" s="25">
        <f>IF(V28="Tailwind",10,0)</f>
        <v/>
      </c>
      <c r="X28" s="25" t="inlineStr">
        <is>
          <t>Structural (10 Years Consistency)</t>
        </is>
      </c>
      <c r="Y28" s="25">
        <f>IF(X28="Structural (10 Years Consistency)",10,IF(X28="Shallow Cyclical (2 to 3 years growth)",5,0))</f>
        <v/>
      </c>
      <c r="Z28" s="25" t="inlineStr">
        <is>
          <t>No</t>
        </is>
      </c>
      <c r="AA28" s="25">
        <f>IF(Z28="Yes due to Product Mix change or Operating Leverage",10,IF(Z28="Yes, these are peak margins",-5,IF(Z28="No",5,0)))</f>
        <v/>
      </c>
      <c r="AB28" s="25" t="inlineStr">
        <is>
          <t>Stable</t>
        </is>
      </c>
      <c r="AC28" s="25">
        <f>IF(AB28="Stable",10,0)</f>
        <v/>
      </c>
      <c r="AD28" s="25" t="inlineStr">
        <is>
          <t>Yes</t>
        </is>
      </c>
      <c r="AE28" s="25">
        <f>IF(AD28="Yes",10,0)</f>
        <v/>
      </c>
      <c r="AF28" s="25" t="inlineStr">
        <is>
          <t>B2B</t>
        </is>
      </c>
      <c r="AG28" s="25">
        <f>IF(AF28="B2C",10,IF(AF28="B2B",5,0))</f>
        <v/>
      </c>
      <c r="AH28" s="25" t="inlineStr">
        <is>
          <t>Yes</t>
        </is>
      </c>
      <c r="AI28" s="25">
        <f>IF(AH28="Yes",10,0)</f>
        <v/>
      </c>
      <c r="AJ28" s="25" t="inlineStr">
        <is>
          <t>Higher Annuity, Lower One Time</t>
        </is>
      </c>
      <c r="AK28" s="25">
        <f>IF(AJ28="Fully Annuity",10,IF(AJ28="Higher Annuity, Lower One Time",5,IF(AJ28="Higher One Time, Lower Annuity",3,0)))</f>
        <v/>
      </c>
      <c r="AL28" s="25" t="inlineStr">
        <is>
          <t>Good</t>
        </is>
      </c>
      <c r="AM28" s="25">
        <f>IF(AL28="Good",10,0)</f>
        <v/>
      </c>
      <c r="AN28" s="25" t="inlineStr">
        <is>
          <t>Yes for more than 2 years</t>
        </is>
      </c>
      <c r="AO28" s="25">
        <f>IF(AN28="Yes for more than 2 years",10,IF(AN28="Yes only for next 1 to 2 years",5,0))</f>
        <v/>
      </c>
      <c r="AP28" s="25" t="inlineStr">
        <is>
          <t>Above 40</t>
        </is>
      </c>
      <c r="AQ28" s="25">
        <f>IF(AP28="Above 40",20,IF(AP28="20 to 40",10,IF(AP28="0 to 20",-5,0)))</f>
        <v/>
      </c>
      <c r="AR28" s="25" t="inlineStr">
        <is>
          <t>Above 75</t>
        </is>
      </c>
      <c r="AS28" s="25">
        <f>IF(AR28="Between 50 to 75",10,IF(AR28="Above 75",0,0))</f>
        <v/>
      </c>
      <c r="AT28" s="25" t="inlineStr">
        <is>
          <t>Stage 2</t>
        </is>
      </c>
      <c r="AU28" s="25">
        <f>IF(AT28="Stage 2",20,IF(AT28="Stage 1",0,IF(AT28="Stage 3",5,IF(AT28="Stage 4",-5,0))))</f>
        <v/>
      </c>
      <c r="AV28" s="25" t="inlineStr">
        <is>
          <t>Positive Trend</t>
        </is>
      </c>
      <c r="AW28" s="25">
        <f>IF(AV28="Positive Trend",20,IF(AV28="Negative Trend",-10,0))</f>
        <v/>
      </c>
      <c r="AX28" s="25" t="inlineStr">
        <is>
          <t>Uptrend</t>
        </is>
      </c>
      <c r="AY28" s="25">
        <f>IF(AX28="Uptrend",10,IF(AX28="Sideways",5,0))</f>
        <v/>
      </c>
      <c r="AZ28" s="25" t="inlineStr">
        <is>
          <t>Uptrend</t>
        </is>
      </c>
      <c r="BA28" s="25">
        <f>IF(AZ28="Uptrend",10,IF(AZ28="Sideways",5,0))</f>
        <v/>
      </c>
      <c r="BB28" s="25" t="inlineStr">
        <is>
          <t>Blue sky scenario</t>
        </is>
      </c>
      <c r="BC28" s="25">
        <f>IF(BB28="Overhead supply in last 2 years in last 2 years",-5,IF(BB28="Close to 52 week high or retracement",5,IF(BB28="Blue sky scenario",10,IF(BB28="Long term Downtrend",-10,0))))</f>
        <v/>
      </c>
      <c r="BD28" s="25" t="inlineStr">
        <is>
          <t>Yes</t>
        </is>
      </c>
      <c r="BE28" s="25">
        <f>IF(BD28="Yes",10,0)</f>
        <v/>
      </c>
      <c r="BF28" s="25" t="inlineStr">
        <is>
          <t>Less than 12%</t>
        </is>
      </c>
      <c r="BG28" s="25">
        <f>IF(BF28="More than 20%",10,IF(BF28="Between 12 to 20%",5,IF(BF28="Less than 12%",0,0)))</f>
        <v/>
      </c>
      <c r="BH28" s="25" t="inlineStr">
        <is>
          <t>No</t>
        </is>
      </c>
      <c r="BI28" s="25">
        <f>IF(BH28="No",10,0)</f>
        <v/>
      </c>
      <c r="BJ28" s="25" t="inlineStr">
        <is>
          <t>No</t>
        </is>
      </c>
      <c r="BK28" s="25">
        <f>IF(BJ28="NO",5,0)</f>
        <v/>
      </c>
      <c r="BL28" s="25" t="inlineStr">
        <is>
          <t>Less than 1.5</t>
        </is>
      </c>
      <c r="BM28" s="25">
        <f>IF(BL28="Above 2",0,IF(BL28="Between 1.5 to 2",5,IF(BL28="Less than 1.5",10,0)))</f>
        <v/>
      </c>
      <c r="BN28" s="25" t="inlineStr">
        <is>
          <t>Above 70%</t>
        </is>
      </c>
      <c r="BO28" s="25">
        <f>IF(BN28="Above 70%",10,IF(BN28="Between 50% to 70%",5,IF(BN28="Less than 50%",0,IF(BN28="Negative",-10,IF(BN28="Less than 50% and Borrowings are increasing",-5,0)))))</f>
        <v/>
      </c>
      <c r="BP28" s="25" t="inlineStr">
        <is>
          <t>Less than 0.7</t>
        </is>
      </c>
      <c r="BQ28" s="25">
        <f>IF(BP28="More than 1.2",-10,IF(BP28="Between 0.7 to 1.2",0,IF(BP28="Less than 0.7",10,0)))</f>
        <v/>
      </c>
      <c r="BR28" s="25" t="inlineStr">
        <is>
          <t>No</t>
        </is>
      </c>
      <c r="BS28" s="25">
        <f>IF(BR28="Yes",-10,0)</f>
        <v/>
      </c>
      <c r="BT28" s="25" t="inlineStr">
        <is>
          <t>Less than 15%</t>
        </is>
      </c>
      <c r="BU28" s="25">
        <f>IF(BT28="More than 15%",-10,IF(BT28="Less than 15%",10,0))</f>
        <v/>
      </c>
      <c r="BV28" s="25" t="inlineStr">
        <is>
          <t>No</t>
        </is>
      </c>
      <c r="BW28" s="25">
        <f>IF(BV28="Yes, more than 10%",-10,IF(BV28="No",10,0))</f>
        <v/>
      </c>
      <c r="BX28" s="25" t="inlineStr">
        <is>
          <t>27</t>
        </is>
      </c>
      <c r="BY28" s="25">
        <f>IF(BX28&gt;20,10,IF(BX28&gt;=10,5,2))</f>
        <v/>
      </c>
    </row>
    <row r="29">
      <c r="A29" s="25">
        <f>IF(B29=0,"",RANK(B29,$B$2:$B$95,0))</f>
        <v/>
      </c>
      <c r="B29" s="26">
        <f>SUM(Q29,S29,U29,W29,Y29,AA29,AC29,AE29,AG29,AI29,AK29,AM29,AO29,AQ29,AS29,AU29,AW29,AY29,BA29,BC29,BE29,BG29,BI29,BK29,BM29,BO29,BQ29,BS29,BU29,BW29,BY29)</f>
        <v/>
      </c>
      <c r="C29" s="25" t="inlineStr">
        <is>
          <t>SUPRIYA</t>
        </is>
      </c>
      <c r="D29" s="25" t="inlineStr">
        <is>
          <t>Supriya Lifescience Ltd</t>
        </is>
      </c>
      <c r="E29" s="25" t="inlineStr">
        <is>
          <t>healthcare</t>
        </is>
      </c>
      <c r="F29" s="25" t="inlineStr">
        <is>
          <t>Pharma - API &amp; CRAMS</t>
        </is>
      </c>
      <c r="G29" s="25" t="inlineStr">
        <is>
          <t>midcap</t>
        </is>
      </c>
      <c r="H29" s="26" t="n">
        <v>7382.28</v>
      </c>
      <c r="I29" s="26" t="n">
        <v>917.25</v>
      </c>
      <c r="J29" s="26" t="n">
        <v>-12.85</v>
      </c>
      <c r="K29" s="26" t="n">
        <v>0</v>
      </c>
      <c r="L29" s="26" t="n">
        <v>71.09999999999999</v>
      </c>
      <c r="M29" s="26" t="n">
        <v>31.75</v>
      </c>
      <c r="N29" s="26" t="n">
        <v>740.45</v>
      </c>
      <c r="O29" s="25" t="inlineStr">
        <is>
          <t>Volume Spike / Accumulation</t>
        </is>
      </c>
      <c r="P29" s="25" t="inlineStr">
        <is>
          <t>Growing Industry</t>
        </is>
      </c>
      <c r="Q29" s="25">
        <f>IF(P29="Growing Industry",10,IF(P29="Cyclical in an Upturn",5,0))</f>
        <v/>
      </c>
      <c r="R29" s="25" t="inlineStr">
        <is>
          <t>Too Many Players with High ROCE</t>
        </is>
      </c>
      <c r="S29" s="25">
        <f>IF(R29="Monopoly",10,IF(R29="Oligopoly",5,IF(R29="Duopoly that cooperate",10,IF(R29="Duopoly that compete",5,IF(R29="Too many players with High ROCE",5,0)))))</f>
        <v/>
      </c>
      <c r="T29" s="25" t="inlineStr">
        <is>
          <t>Yes</t>
        </is>
      </c>
      <c r="U29" s="25">
        <f>IF(T29="No",5,0)</f>
        <v/>
      </c>
      <c r="V29" s="25" t="inlineStr">
        <is>
          <t>Tailwind</t>
        </is>
      </c>
      <c r="W29" s="25">
        <f>IF(V29="Tailwind",10,0)</f>
        <v/>
      </c>
      <c r="X29" s="25" t="inlineStr">
        <is>
          <t>Structural (10 Years Consistency)</t>
        </is>
      </c>
      <c r="Y29" s="25">
        <f>IF(X29="Structural (10 Years Consistency)",10,IF(X29="Shallow Cyclical (2 to 3 years growth)",5,0))</f>
        <v/>
      </c>
      <c r="Z29" s="25" t="inlineStr">
        <is>
          <t>No</t>
        </is>
      </c>
      <c r="AA29" s="25">
        <f>IF(Z29="Yes due to Product Mix change or Operating Leverage",10,IF(Z29="Yes, these are peak margins",-5,IF(Z29="No",5,0)))</f>
        <v/>
      </c>
      <c r="AB29" s="25" t="inlineStr">
        <is>
          <t>Stable</t>
        </is>
      </c>
      <c r="AC29" s="25">
        <f>IF(AB29="Stable",10,0)</f>
        <v/>
      </c>
      <c r="AD29" s="25" t="inlineStr">
        <is>
          <t>Yes</t>
        </is>
      </c>
      <c r="AE29" s="25">
        <f>IF(AD29="Yes",10,0)</f>
        <v/>
      </c>
      <c r="AF29" s="25" t="inlineStr">
        <is>
          <t>B2B</t>
        </is>
      </c>
      <c r="AG29" s="25">
        <f>IF(AF29="B2C",10,IF(AF29="B2B",5,0))</f>
        <v/>
      </c>
      <c r="AH29" s="25" t="inlineStr">
        <is>
          <t>Yes</t>
        </is>
      </c>
      <c r="AI29" s="25">
        <f>IF(AH29="Yes",10,0)</f>
        <v/>
      </c>
      <c r="AJ29" s="25" t="inlineStr">
        <is>
          <t>Higher Annuity, Lower One Time</t>
        </is>
      </c>
      <c r="AK29" s="25">
        <f>IF(AJ29="Fully Annuity",10,IF(AJ29="Higher Annuity, Lower One Time",5,IF(AJ29="Higher One Time, Lower Annuity",3,0)))</f>
        <v/>
      </c>
      <c r="AL29" s="25" t="inlineStr">
        <is>
          <t>Good</t>
        </is>
      </c>
      <c r="AM29" s="25">
        <f>IF(AL29="Good",10,0)</f>
        <v/>
      </c>
      <c r="AN29" s="25" t="inlineStr">
        <is>
          <t>Yes for more than 2 years</t>
        </is>
      </c>
      <c r="AO29" s="25">
        <f>IF(AN29="Yes for more than 2 years",10,IF(AN29="Yes only for next 1 to 2 years",5,0))</f>
        <v/>
      </c>
      <c r="AP29" s="25" t="inlineStr">
        <is>
          <t>20 to 40</t>
        </is>
      </c>
      <c r="AQ29" s="25">
        <f>IF(AP29="Above 40",20,IF(AP29="20 to 40",10,IF(AP29="0 to 20",-5,0)))</f>
        <v/>
      </c>
      <c r="AR29" s="25" t="inlineStr">
        <is>
          <t>Between 50 to 75</t>
        </is>
      </c>
      <c r="AS29" s="25">
        <f>IF(AR29="Between 50 to 75",10,IF(AR29="Above 75",0,0))</f>
        <v/>
      </c>
      <c r="AT29" s="25" t="inlineStr">
        <is>
          <t>Stage 2</t>
        </is>
      </c>
      <c r="AU29" s="25">
        <f>IF(AT29="Stage 2",20,IF(AT29="Stage 1",0,IF(AT29="Stage 3",5,IF(AT29="Stage 4",-5,0))))</f>
        <v/>
      </c>
      <c r="AV29" s="25" t="inlineStr">
        <is>
          <t>Positive Trend</t>
        </is>
      </c>
      <c r="AW29" s="25">
        <f>IF(AV29="Positive Trend",20,IF(AV29="Negative Trend",-10,0))</f>
        <v/>
      </c>
      <c r="AX29" s="25" t="inlineStr">
        <is>
          <t>Uptrend</t>
        </is>
      </c>
      <c r="AY29" s="25">
        <f>IF(AX29="Uptrend",10,IF(AX29="Sideways",5,0))</f>
        <v/>
      </c>
      <c r="AZ29" s="25" t="inlineStr">
        <is>
          <t>Uptrend</t>
        </is>
      </c>
      <c r="BA29" s="25">
        <f>IF(AZ29="Uptrend",10,IF(AZ29="Sideways",5,0))</f>
        <v/>
      </c>
      <c r="BB29" s="25" t="inlineStr">
        <is>
          <t>Close to 52 week high or retracement</t>
        </is>
      </c>
      <c r="BC29" s="25">
        <f>IF(BB29="Overhead supply in last 2 years in last 2 years",-5,IF(BB29="Close to 52 week high or retracement",5,IF(BB29="Blue sky scenario",10,IF(BB29="Long term Downtrend",-10,0))))</f>
        <v/>
      </c>
      <c r="BD29" s="25" t="inlineStr">
        <is>
          <t>Yes</t>
        </is>
      </c>
      <c r="BE29" s="25">
        <f>IF(BD29="Yes",10,0)</f>
        <v/>
      </c>
      <c r="BF29" s="25" t="inlineStr">
        <is>
          <t>More than 20%</t>
        </is>
      </c>
      <c r="BG29" s="25">
        <f>IF(BF29="More than 20%",10,IF(BF29="Between 12 to 20%",5,IF(BF29="Less than 12%",0,0)))</f>
        <v/>
      </c>
      <c r="BH29" s="25" t="inlineStr">
        <is>
          <t>No</t>
        </is>
      </c>
      <c r="BI29" s="25">
        <f>IF(BH29="No",10,0)</f>
        <v/>
      </c>
      <c r="BJ29" s="25" t="inlineStr">
        <is>
          <t>No</t>
        </is>
      </c>
      <c r="BK29" s="25">
        <f>IF(BJ29="NO",5,0)</f>
        <v/>
      </c>
      <c r="BL29" s="25" t="inlineStr">
        <is>
          <t>Less than 1.5</t>
        </is>
      </c>
      <c r="BM29" s="25">
        <f>IF(BL29="Above 2",0,IF(BL29="Between 1.5 to 2",5,IF(BL29="Less than 1.5",10,0)))</f>
        <v/>
      </c>
      <c r="BN29" s="25" t="inlineStr">
        <is>
          <t>Between 50% to 70%</t>
        </is>
      </c>
      <c r="BO29" s="25">
        <f>IF(BN29="Above 70%",10,IF(BN29="Between 50% to 70%",5,IF(BN29="Less than 50%",0,IF(BN29="Negative",-10,IF(BN29="Less than 50% and Borrowings are increasing",-5,0)))))</f>
        <v/>
      </c>
      <c r="BP29" s="25" t="inlineStr">
        <is>
          <t>Less than 0.7</t>
        </is>
      </c>
      <c r="BQ29" s="25">
        <f>IF(BP29="More than 1.2",-10,IF(BP29="Between 0.7 to 1.2",0,IF(BP29="Less than 0.7",10,0)))</f>
        <v/>
      </c>
      <c r="BR29" s="25" t="inlineStr">
        <is>
          <t>No</t>
        </is>
      </c>
      <c r="BS29" s="25">
        <f>IF(BR29="Yes",-10,0)</f>
        <v/>
      </c>
      <c r="BT29" s="25" t="inlineStr">
        <is>
          <t>Less than 15%</t>
        </is>
      </c>
      <c r="BU29" s="25">
        <f>IF(BT29="More than 15%",-10,IF(BT29="Less than 15%",10,0))</f>
        <v/>
      </c>
      <c r="BV29" s="25" t="inlineStr">
        <is>
          <t>No</t>
        </is>
      </c>
      <c r="BW29" s="25">
        <f>IF(BV29="Yes, more than 10%",-10,IF(BV29="No",10,0))</f>
        <v/>
      </c>
      <c r="BX29" s="25" t="inlineStr">
        <is>
          <t>25</t>
        </is>
      </c>
      <c r="BY29" s="25">
        <f>IF(BX29&gt;20,10,IF(BX29&gt;=10,5,2))</f>
        <v/>
      </c>
    </row>
    <row r="30">
      <c r="A30" s="25">
        <f>IF(B30=0,"",RANK(B30,$B$2:$B$95,0))</f>
        <v/>
      </c>
      <c r="B30" s="26">
        <f>SUM(Q30,S30,U30,W30,Y30,AA30,AC30,AE30,AG30,AI30,AK30,AM30,AO30,AQ30,AS30,AU30,AW30,AY30,BA30,BC30,BE30,BG30,BI30,BK30,BM30,BO30,BQ30,BS30,BU30,BW30,BY30)</f>
        <v/>
      </c>
      <c r="C30" s="25" t="inlineStr">
        <is>
          <t>SAKAR</t>
        </is>
      </c>
      <c r="D30" s="25" t="inlineStr">
        <is>
          <t>Sakar Healthcare Ltd</t>
        </is>
      </c>
      <c r="E30" s="25" t="inlineStr">
        <is>
          <t>healthcare</t>
        </is>
      </c>
      <c r="F30" s="25" t="inlineStr">
        <is>
          <t>Hospitals</t>
        </is>
      </c>
      <c r="G30" s="25" t="inlineStr">
        <is>
          <t>smallcap</t>
        </is>
      </c>
      <c r="H30" s="26" t="n">
        <v>1856.98</v>
      </c>
      <c r="I30" s="26" t="n">
        <v>834.6</v>
      </c>
      <c r="J30" s="26" t="n">
        <v>-0.13</v>
      </c>
      <c r="K30" s="26" t="n">
        <v>0</v>
      </c>
      <c r="L30" s="26" t="n">
        <v>79.31</v>
      </c>
      <c r="M30" s="26" t="n">
        <v>52.59</v>
      </c>
      <c r="N30" s="26" t="n">
        <v>607.02</v>
      </c>
      <c r="O30" s="25" t="inlineStr">
        <is>
          <t>Near 52W High Breakout</t>
        </is>
      </c>
      <c r="P30" s="25" t="inlineStr">
        <is>
          <t>Growing Industry</t>
        </is>
      </c>
      <c r="Q30" s="25">
        <f>IF(P30="Growing Industry",10,IF(P30="Cyclical in an Upturn",5,0))</f>
        <v/>
      </c>
      <c r="R30" s="25" t="inlineStr">
        <is>
          <t>Too Many Players with High ROCE</t>
        </is>
      </c>
      <c r="S30" s="25">
        <f>IF(R30="Monopoly",10,IF(R30="Oligopoly",5,IF(R30="Duopoly that cooperate",10,IF(R30="Duopoly that compete",5,IF(R30="Too many players with High ROCE",5,0)))))</f>
        <v/>
      </c>
      <c r="T30" s="25" t="inlineStr">
        <is>
          <t>Yes</t>
        </is>
      </c>
      <c r="U30" s="25">
        <f>IF(T30="No",5,0)</f>
        <v/>
      </c>
      <c r="V30" s="25" t="inlineStr">
        <is>
          <t>Tailwind</t>
        </is>
      </c>
      <c r="W30" s="25">
        <f>IF(V30="Tailwind",10,0)</f>
        <v/>
      </c>
      <c r="X30" s="25" t="inlineStr">
        <is>
          <t>Structural (10 Years Consistency)</t>
        </is>
      </c>
      <c r="Y30" s="25">
        <f>IF(X30="Structural (10 Years Consistency)",10,IF(X30="Shallow Cyclical (2 to 3 years growth)",5,0))</f>
        <v/>
      </c>
      <c r="Z30" s="25" t="inlineStr">
        <is>
          <t>No</t>
        </is>
      </c>
      <c r="AA30" s="25">
        <f>IF(Z30="Yes due to Product Mix change or Operating Leverage",10,IF(Z30="Yes, these are peak margins",-5,IF(Z30="No",5,0)))</f>
        <v/>
      </c>
      <c r="AB30" s="25" t="inlineStr">
        <is>
          <t>Stable</t>
        </is>
      </c>
      <c r="AC30" s="25">
        <f>IF(AB30="Stable",10,0)</f>
        <v/>
      </c>
      <c r="AD30" s="25" t="inlineStr">
        <is>
          <t>Yes</t>
        </is>
      </c>
      <c r="AE30" s="25">
        <f>IF(AD30="Yes",10,0)</f>
        <v/>
      </c>
      <c r="AF30" s="25" t="inlineStr">
        <is>
          <t>B2B</t>
        </is>
      </c>
      <c r="AG30" s="25">
        <f>IF(AF30="B2C",10,IF(AF30="B2B",5,0))</f>
        <v/>
      </c>
      <c r="AH30" s="25" t="inlineStr">
        <is>
          <t>Yes</t>
        </is>
      </c>
      <c r="AI30" s="25">
        <f>IF(AH30="Yes",10,0)</f>
        <v/>
      </c>
      <c r="AJ30" s="25" t="inlineStr">
        <is>
          <t>Higher Annuity, Lower One Time</t>
        </is>
      </c>
      <c r="AK30" s="25">
        <f>IF(AJ30="Fully Annuity",10,IF(AJ30="Higher Annuity, Lower One Time",5,IF(AJ30="Higher One Time, Lower Annuity",3,0)))</f>
        <v/>
      </c>
      <c r="AL30" s="25" t="inlineStr">
        <is>
          <t>Good</t>
        </is>
      </c>
      <c r="AM30" s="25">
        <f>IF(AL30="Good",10,0)</f>
        <v/>
      </c>
      <c r="AN30" s="25" t="inlineStr">
        <is>
          <t>Yes for more than 2 years</t>
        </is>
      </c>
      <c r="AO30" s="25">
        <f>IF(AN30="Yes for more than 2 years",10,IF(AN30="Yes only for next 1 to 2 years",5,0))</f>
        <v/>
      </c>
      <c r="AP30" s="25" t="inlineStr">
        <is>
          <t>Above 40</t>
        </is>
      </c>
      <c r="AQ30" s="25">
        <f>IF(AP30="Above 40",20,IF(AP30="20 to 40",10,IF(AP30="0 to 20",-5,0)))</f>
        <v/>
      </c>
      <c r="AR30" s="25" t="inlineStr">
        <is>
          <t>Above 75</t>
        </is>
      </c>
      <c r="AS30" s="25">
        <f>IF(AR30="Between 50 to 75",10,IF(AR30="Above 75",0,0))</f>
        <v/>
      </c>
      <c r="AT30" s="25" t="inlineStr">
        <is>
          <t>Stage 2</t>
        </is>
      </c>
      <c r="AU30" s="25">
        <f>IF(AT30="Stage 2",20,IF(AT30="Stage 1",0,IF(AT30="Stage 3",5,IF(AT30="Stage 4",-5,0))))</f>
        <v/>
      </c>
      <c r="AV30" s="25" t="inlineStr">
        <is>
          <t>Positive Trend</t>
        </is>
      </c>
      <c r="AW30" s="25">
        <f>IF(AV30="Positive Trend",20,IF(AV30="Negative Trend",-10,0))</f>
        <v/>
      </c>
      <c r="AX30" s="25" t="inlineStr">
        <is>
          <t>Uptrend</t>
        </is>
      </c>
      <c r="AY30" s="25">
        <f>IF(AX30="Uptrend",10,IF(AX30="Sideways",5,0))</f>
        <v/>
      </c>
      <c r="AZ30" s="25" t="inlineStr">
        <is>
          <t>Uptrend</t>
        </is>
      </c>
      <c r="BA30" s="25">
        <f>IF(AZ30="Uptrend",10,IF(AZ30="Sideways",5,0))</f>
        <v/>
      </c>
      <c r="BB30" s="25" t="inlineStr">
        <is>
          <t>Blue sky scenario</t>
        </is>
      </c>
      <c r="BC30" s="25">
        <f>IF(BB30="Overhead supply in last 2 years in last 2 years",-5,IF(BB30="Close to 52 week high or retracement",5,IF(BB30="Blue sky scenario",10,IF(BB30="Long term Downtrend",-10,0))))</f>
        <v/>
      </c>
      <c r="BD30" s="25" t="inlineStr">
        <is>
          <t>Yes</t>
        </is>
      </c>
      <c r="BE30" s="25">
        <f>IF(BD30="Yes",10,0)</f>
        <v/>
      </c>
      <c r="BF30" s="25" t="inlineStr">
        <is>
          <t>More than 20%</t>
        </is>
      </c>
      <c r="BG30" s="25">
        <f>IF(BF30="More than 20%",10,IF(BF30="Between 12 to 20%",5,IF(BF30="Less than 12%",0,0)))</f>
        <v/>
      </c>
      <c r="BH30" s="25" t="inlineStr">
        <is>
          <t>No</t>
        </is>
      </c>
      <c r="BI30" s="25">
        <f>IF(BH30="No",10,0)</f>
        <v/>
      </c>
      <c r="BJ30" s="25" t="inlineStr">
        <is>
          <t>Yes</t>
        </is>
      </c>
      <c r="BK30" s="25">
        <f>IF(BJ30="NO",5,0)</f>
        <v/>
      </c>
      <c r="BL30" s="25" t="inlineStr">
        <is>
          <t>Less than 1.5</t>
        </is>
      </c>
      <c r="BM30" s="25">
        <f>IF(BL30="Above 2",0,IF(BL30="Between 1.5 to 2",5,IF(BL30="Less than 1.5",10,0)))</f>
        <v/>
      </c>
      <c r="BN30" s="25" t="inlineStr">
        <is>
          <t>Between 50% to 70%</t>
        </is>
      </c>
      <c r="BO30" s="25">
        <f>IF(BN30="Above 70%",10,IF(BN30="Between 50% to 70%",5,IF(BN30="Less than 50%",0,IF(BN30="Negative",-10,IF(BN30="Less than 50% and Borrowings are increasing",-5,0)))))</f>
        <v/>
      </c>
      <c r="BP30" s="25" t="inlineStr">
        <is>
          <t>Less than 0.7</t>
        </is>
      </c>
      <c r="BQ30" s="25">
        <f>IF(BP30="More than 1.2",-10,IF(BP30="Between 0.7 to 1.2",0,IF(BP30="Less than 0.7",10,0)))</f>
        <v/>
      </c>
      <c r="BR30" s="25" t="inlineStr">
        <is>
          <t>No</t>
        </is>
      </c>
      <c r="BS30" s="25">
        <f>IF(BR30="Yes",-10,0)</f>
        <v/>
      </c>
      <c r="BT30" s="25" t="inlineStr">
        <is>
          <t>Less than 15%</t>
        </is>
      </c>
      <c r="BU30" s="25">
        <f>IF(BT30="More than 15%",-10,IF(BT30="Less than 15%",10,0))</f>
        <v/>
      </c>
      <c r="BV30" s="25" t="inlineStr">
        <is>
          <t>No</t>
        </is>
      </c>
      <c r="BW30" s="25">
        <f>IF(BV30="Yes, more than 10%",-10,IF(BV30="No",10,0))</f>
        <v/>
      </c>
      <c r="BX30" s="25" t="inlineStr">
        <is>
          <t>20</t>
        </is>
      </c>
      <c r="BY30" s="25">
        <f>IF(BX30&gt;20,10,IF(BX30&gt;=10,5,2))</f>
        <v/>
      </c>
    </row>
    <row r="31">
      <c r="A31" s="25">
        <f>IF(B31=0,"",RANK(B31,$B$2:$B$95,0))</f>
        <v/>
      </c>
      <c r="B31" s="26">
        <f>SUM(Q31,S31,U31,W31,Y31,AA31,AC31,AE31,AG31,AI31,AK31,AM31,AO31,AQ31,AS31,AU31,AW31,AY31,BA31,BC31,BE31,BG31,BI31,BK31,BM31,BO31,BQ31,BS31,BU31,BW31,BY31)</f>
        <v/>
      </c>
      <c r="C31" s="25" t="inlineStr">
        <is>
          <t>IOLCP</t>
        </is>
      </c>
      <c r="D31" s="25" t="inlineStr">
        <is>
          <t>IOL Chemicals &amp; Pharmaceuticals Ltd</t>
        </is>
      </c>
      <c r="E31" s="25" t="inlineStr">
        <is>
          <t>healthcare</t>
        </is>
      </c>
      <c r="F31" s="25" t="inlineStr">
        <is>
          <t>Pharma - API &amp; CRAMS</t>
        </is>
      </c>
      <c r="G31" s="25" t="inlineStr">
        <is>
          <t>smallcap</t>
        </is>
      </c>
      <c r="H31" s="26" t="n">
        <v>3857.54</v>
      </c>
      <c r="I31" s="26" t="n">
        <v>131.42</v>
      </c>
      <c r="J31" s="26" t="n">
        <v>4.41</v>
      </c>
      <c r="K31" s="26" t="n">
        <v>0</v>
      </c>
      <c r="L31" s="26" t="n">
        <v>80.17</v>
      </c>
      <c r="M31" s="26" t="n">
        <v>35.37</v>
      </c>
      <c r="N31" s="26" t="n">
        <v>99.64</v>
      </c>
      <c r="O31" s="25" t="inlineStr">
        <is>
          <t>Near 52W High Breakout</t>
        </is>
      </c>
      <c r="P31" s="25" t="inlineStr">
        <is>
          <t>Growing Industry</t>
        </is>
      </c>
      <c r="Q31" s="25">
        <f>IF(P31="Growing Industry",10,IF(P31="Cyclical in an Upturn",5,0))</f>
        <v/>
      </c>
      <c r="R31" s="25" t="inlineStr">
        <is>
          <t>Too Many Players with High ROCE</t>
        </is>
      </c>
      <c r="S31" s="25">
        <f>IF(R31="Monopoly",10,IF(R31="Oligopoly",5,IF(R31="Duopoly that cooperate",10,IF(R31="Duopoly that compete",5,IF(R31="Too many players with High ROCE",5,0)))))</f>
        <v/>
      </c>
      <c r="T31" s="25" t="inlineStr">
        <is>
          <t>Yes</t>
        </is>
      </c>
      <c r="U31" s="25">
        <f>IF(T31="No",5,0)</f>
        <v/>
      </c>
      <c r="V31" s="25" t="inlineStr">
        <is>
          <t>Tailwind</t>
        </is>
      </c>
      <c r="W31" s="25">
        <f>IF(V31="Tailwind",10,0)</f>
        <v/>
      </c>
      <c r="X31" s="25" t="inlineStr">
        <is>
          <t>Structural (10 Years Consistency)</t>
        </is>
      </c>
      <c r="Y31" s="25">
        <f>IF(X31="Structural (10 Years Consistency)",10,IF(X31="Shallow Cyclical (2 to 3 years growth)",5,0))</f>
        <v/>
      </c>
      <c r="Z31" s="25" t="inlineStr">
        <is>
          <t>No</t>
        </is>
      </c>
      <c r="AA31" s="25">
        <f>IF(Z31="Yes due to Product Mix change or Operating Leverage",10,IF(Z31="Yes, these are peak margins",-5,IF(Z31="No",5,0)))</f>
        <v/>
      </c>
      <c r="AB31" s="25" t="inlineStr">
        <is>
          <t>Stable</t>
        </is>
      </c>
      <c r="AC31" s="25">
        <f>IF(AB31="Stable",10,0)</f>
        <v/>
      </c>
      <c r="AD31" s="25" t="inlineStr">
        <is>
          <t>Yes</t>
        </is>
      </c>
      <c r="AE31" s="25">
        <f>IF(AD31="Yes",10,0)</f>
        <v/>
      </c>
      <c r="AF31" s="25" t="inlineStr">
        <is>
          <t>B2B</t>
        </is>
      </c>
      <c r="AG31" s="25">
        <f>IF(AF31="B2C",10,IF(AF31="B2B",5,0))</f>
        <v/>
      </c>
      <c r="AH31" s="25" t="inlineStr">
        <is>
          <t>Yes</t>
        </is>
      </c>
      <c r="AI31" s="25">
        <f>IF(AH31="Yes",10,0)</f>
        <v/>
      </c>
      <c r="AJ31" s="25" t="inlineStr">
        <is>
          <t>Higher Annuity, Lower One Time</t>
        </is>
      </c>
      <c r="AK31" s="25">
        <f>IF(AJ31="Fully Annuity",10,IF(AJ31="Higher Annuity, Lower One Time",5,IF(AJ31="Higher One Time, Lower Annuity",3,0)))</f>
        <v/>
      </c>
      <c r="AL31" s="25" t="inlineStr">
        <is>
          <t>Good</t>
        </is>
      </c>
      <c r="AM31" s="25">
        <f>IF(AL31="Good",10,0)</f>
        <v/>
      </c>
      <c r="AN31" s="25" t="inlineStr">
        <is>
          <t>Yes for more than 2 years</t>
        </is>
      </c>
      <c r="AO31" s="25">
        <f>IF(AN31="Yes for more than 2 years",10,IF(AN31="Yes only for next 1 to 2 years",5,0))</f>
        <v/>
      </c>
      <c r="AP31" s="25" t="inlineStr">
        <is>
          <t>20 to 40</t>
        </is>
      </c>
      <c r="AQ31" s="25">
        <f>IF(AP31="Above 40",20,IF(AP31="20 to 40",10,IF(AP31="0 to 20",-5,0)))</f>
        <v/>
      </c>
      <c r="AR31" s="25" t="inlineStr">
        <is>
          <t>Above 75</t>
        </is>
      </c>
      <c r="AS31" s="25">
        <f>IF(AR31="Between 50 to 75",10,IF(AR31="Above 75",0,0))</f>
        <v/>
      </c>
      <c r="AT31" s="25" t="inlineStr">
        <is>
          <t>Stage 2</t>
        </is>
      </c>
      <c r="AU31" s="25">
        <f>IF(AT31="Stage 2",20,IF(AT31="Stage 1",0,IF(AT31="Stage 3",5,IF(AT31="Stage 4",-5,0))))</f>
        <v/>
      </c>
      <c r="AV31" s="25" t="inlineStr">
        <is>
          <t>Positive Trend</t>
        </is>
      </c>
      <c r="AW31" s="25">
        <f>IF(AV31="Positive Trend",20,IF(AV31="Negative Trend",-10,0))</f>
        <v/>
      </c>
      <c r="AX31" s="25" t="inlineStr">
        <is>
          <t>Uptrend</t>
        </is>
      </c>
      <c r="AY31" s="25">
        <f>IF(AX31="Uptrend",10,IF(AX31="Sideways",5,0))</f>
        <v/>
      </c>
      <c r="AZ31" s="25" t="inlineStr">
        <is>
          <t>Uptrend</t>
        </is>
      </c>
      <c r="BA31" s="25">
        <f>IF(AZ31="Uptrend",10,IF(AZ31="Sideways",5,0))</f>
        <v/>
      </c>
      <c r="BB31" s="25" t="inlineStr">
        <is>
          <t>Blue sky scenario</t>
        </is>
      </c>
      <c r="BC31" s="25">
        <f>IF(BB31="Overhead supply in last 2 years in last 2 years",-5,IF(BB31="Close to 52 week high or retracement",5,IF(BB31="Blue sky scenario",10,IF(BB31="Long term Downtrend",-10,0))))</f>
        <v/>
      </c>
      <c r="BD31" s="25" t="inlineStr">
        <is>
          <t>Yes</t>
        </is>
      </c>
      <c r="BE31" s="25">
        <f>IF(BD31="Yes",10,0)</f>
        <v/>
      </c>
      <c r="BF31" s="25" t="inlineStr">
        <is>
          <t>More than 20%</t>
        </is>
      </c>
      <c r="BG31" s="25">
        <f>IF(BF31="More than 20%",10,IF(BF31="Between 12 to 20%",5,IF(BF31="Less than 12%",0,0)))</f>
        <v/>
      </c>
      <c r="BH31" s="25" t="inlineStr">
        <is>
          <t>No</t>
        </is>
      </c>
      <c r="BI31" s="25">
        <f>IF(BH31="No",10,0)</f>
        <v/>
      </c>
      <c r="BJ31" s="25" t="inlineStr">
        <is>
          <t>No</t>
        </is>
      </c>
      <c r="BK31" s="25">
        <f>IF(BJ31="NO",5,0)</f>
        <v/>
      </c>
      <c r="BL31" s="25" t="inlineStr">
        <is>
          <t>Less than 1.5</t>
        </is>
      </c>
      <c r="BM31" s="25">
        <f>IF(BL31="Above 2",0,IF(BL31="Between 1.5 to 2",5,IF(BL31="Less than 1.5",10,0)))</f>
        <v/>
      </c>
      <c r="BN31" s="25" t="inlineStr">
        <is>
          <t>Above 70%</t>
        </is>
      </c>
      <c r="BO31" s="25">
        <f>IF(BN31="Above 70%",10,IF(BN31="Between 50% to 70%",5,IF(BN31="Less than 50%",0,IF(BN31="Negative",-10,IF(BN31="Less than 50% and Borrowings are increasing",-5,0)))))</f>
        <v/>
      </c>
      <c r="BP31" s="25" t="inlineStr">
        <is>
          <t>Less than 0.7</t>
        </is>
      </c>
      <c r="BQ31" s="25">
        <f>IF(BP31="More than 1.2",-10,IF(BP31="Between 0.7 to 1.2",0,IF(BP31="Less than 0.7",10,0)))</f>
        <v/>
      </c>
      <c r="BR31" s="25" t="inlineStr">
        <is>
          <t>No</t>
        </is>
      </c>
      <c r="BS31" s="25">
        <f>IF(BR31="Yes",-10,0)</f>
        <v/>
      </c>
      <c r="BT31" s="25" t="inlineStr">
        <is>
          <t>Less than 15%</t>
        </is>
      </c>
      <c r="BU31" s="25">
        <f>IF(BT31="More than 15%",-10,IF(BT31="Less than 15%",10,0))</f>
        <v/>
      </c>
      <c r="BV31" s="25" t="inlineStr">
        <is>
          <t>No</t>
        </is>
      </c>
      <c r="BW31" s="25">
        <f>IF(BV31="Yes, more than 10%",-10,IF(BV31="No",10,0))</f>
        <v/>
      </c>
      <c r="BX31" s="25" t="inlineStr">
        <is>
          <t>20</t>
        </is>
      </c>
      <c r="BY31" s="25">
        <f>IF(BX31&gt;20,10,IF(BX31&gt;=10,5,2))</f>
        <v/>
      </c>
    </row>
    <row r="32">
      <c r="A32" s="25">
        <f>IF(B32=0,"",RANK(B32,$B$2:$B$95,0))</f>
        <v/>
      </c>
      <c r="B32" s="26">
        <f>SUM(Q32,S32,U32,W32,Y32,AA32,AC32,AE32,AG32,AI32,AK32,AM32,AO32,AQ32,AS32,AU32,AW32,AY32,BA32,BC32,BE32,BG32,BI32,BK32,BM32,BO32,BQ32,BS32,BU32,BW32,BY32)</f>
        <v/>
      </c>
      <c r="C32" s="25" t="inlineStr">
        <is>
          <t>FREDUN</t>
        </is>
      </c>
      <c r="D32" s="25" t="inlineStr">
        <is>
          <t>Fredun Pharmaceuticals Ltd</t>
        </is>
      </c>
      <c r="E32" s="25" t="inlineStr">
        <is>
          <t>Healthcare</t>
        </is>
      </c>
      <c r="F32" s="25" t="inlineStr">
        <is>
          <t>Pharma - Formulators</t>
        </is>
      </c>
      <c r="G32" s="25" t="inlineStr">
        <is>
          <t>smallcap</t>
        </is>
      </c>
      <c r="H32" s="26" t="n">
        <v>1309.65</v>
      </c>
      <c r="I32" s="26" t="n">
        <v>2375.7</v>
      </c>
      <c r="J32" s="26" t="n">
        <v>-0.86</v>
      </c>
      <c r="K32" s="26" t="n">
        <v>0</v>
      </c>
      <c r="L32" s="26" t="n">
        <v>70.37</v>
      </c>
      <c r="M32" s="26" t="n">
        <v>45.26</v>
      </c>
      <c r="N32" s="26" t="n">
        <v>1751.84</v>
      </c>
      <c r="O32" s="25" t="inlineStr">
        <is>
          <t>Near 52W High Breakout</t>
        </is>
      </c>
      <c r="P32" s="25" t="inlineStr">
        <is>
          <t>Growing Industry</t>
        </is>
      </c>
      <c r="Q32" s="25">
        <f>IF(P32="Growing Industry",10,IF(P32="Cyclical in an Upturn",5,0))</f>
        <v/>
      </c>
      <c r="R32" s="25" t="inlineStr">
        <is>
          <t>Too Many Players with High ROCE</t>
        </is>
      </c>
      <c r="S32" s="25">
        <f>IF(R32="Monopoly",10,IF(R32="Oligopoly",5,IF(R32="Duopoly that cooperate",10,IF(R32="Duopoly that compete",5,IF(R32="Too many players with High ROCE",5,0)))))</f>
        <v/>
      </c>
      <c r="T32" s="25" t="inlineStr">
        <is>
          <t>Yes</t>
        </is>
      </c>
      <c r="U32" s="25">
        <f>IF(T32="No",5,0)</f>
        <v/>
      </c>
      <c r="V32" s="25" t="inlineStr">
        <is>
          <t>Tailwind</t>
        </is>
      </c>
      <c r="W32" s="25">
        <f>IF(V32="Tailwind",10,0)</f>
        <v/>
      </c>
      <c r="X32" s="25" t="inlineStr">
        <is>
          <t>Structural (10 Years Consistency)</t>
        </is>
      </c>
      <c r="Y32" s="25">
        <f>IF(X32="Structural (10 Years Consistency)",10,IF(X32="Shallow Cyclical (2 to 3 years growth)",5,0))</f>
        <v/>
      </c>
      <c r="Z32" s="25" t="inlineStr">
        <is>
          <t>No</t>
        </is>
      </c>
      <c r="AA32" s="25">
        <f>IF(Z32="Yes due to Product Mix change or Operating Leverage",10,IF(Z32="Yes, these are peak margins",-5,IF(Z32="No",5,0)))</f>
        <v/>
      </c>
      <c r="AB32" s="25" t="inlineStr">
        <is>
          <t>Stable</t>
        </is>
      </c>
      <c r="AC32" s="25">
        <f>IF(AB32="Stable",10,0)</f>
        <v/>
      </c>
      <c r="AD32" s="25" t="inlineStr">
        <is>
          <t>Yes</t>
        </is>
      </c>
      <c r="AE32" s="25">
        <f>IF(AD32="Yes",10,0)</f>
        <v/>
      </c>
      <c r="AF32" s="25" t="inlineStr">
        <is>
          <t>B2B</t>
        </is>
      </c>
      <c r="AG32" s="25">
        <f>IF(AF32="B2C",10,IF(AF32="B2B",5,0))</f>
        <v/>
      </c>
      <c r="AH32" s="25" t="inlineStr">
        <is>
          <t>Yes</t>
        </is>
      </c>
      <c r="AI32" s="25">
        <f>IF(AH32="Yes",10,0)</f>
        <v/>
      </c>
      <c r="AJ32" s="25" t="inlineStr">
        <is>
          <t>Higher Annuity, Lower One Time</t>
        </is>
      </c>
      <c r="AK32" s="25">
        <f>IF(AJ32="Fully Annuity",10,IF(AJ32="Higher Annuity, Lower One Time",5,IF(AJ32="Higher One Time, Lower Annuity",3,0)))</f>
        <v/>
      </c>
      <c r="AL32" s="25" t="inlineStr">
        <is>
          <t>Good</t>
        </is>
      </c>
      <c r="AM32" s="25">
        <f>IF(AL32="Good",10,0)</f>
        <v/>
      </c>
      <c r="AN32" s="25" t="inlineStr">
        <is>
          <t>Yes for more than 2 years</t>
        </is>
      </c>
      <c r="AO32" s="25">
        <f>IF(AN32="Yes for more than 2 years",10,IF(AN32="Yes only for next 1 to 2 years",5,0))</f>
        <v/>
      </c>
      <c r="AP32" s="25" t="inlineStr">
        <is>
          <t>Above 40</t>
        </is>
      </c>
      <c r="AQ32" s="25">
        <f>IF(AP32="Above 40",20,IF(AP32="20 to 40",10,IF(AP32="0 to 20",-5,0)))</f>
        <v/>
      </c>
      <c r="AR32" s="25" t="inlineStr">
        <is>
          <t>Between 50 to 75</t>
        </is>
      </c>
      <c r="AS32" s="25">
        <f>IF(AR32="Between 50 to 75",10,IF(AR32="Above 75",0,0))</f>
        <v/>
      </c>
      <c r="AT32" s="25" t="inlineStr">
        <is>
          <t>Stage 2</t>
        </is>
      </c>
      <c r="AU32" s="25">
        <f>IF(AT32="Stage 2",20,IF(AT32="Stage 1",0,IF(AT32="Stage 3",5,IF(AT32="Stage 4",-5,0))))</f>
        <v/>
      </c>
      <c r="AV32" s="25" t="inlineStr">
        <is>
          <t>Positive Trend</t>
        </is>
      </c>
      <c r="AW32" s="25">
        <f>IF(AV32="Positive Trend",20,IF(AV32="Negative Trend",-10,0))</f>
        <v/>
      </c>
      <c r="AX32" s="25" t="inlineStr">
        <is>
          <t>Uptrend</t>
        </is>
      </c>
      <c r="AY32" s="25">
        <f>IF(AX32="Uptrend",10,IF(AX32="Sideways",5,0))</f>
        <v/>
      </c>
      <c r="AZ32" s="25" t="inlineStr">
        <is>
          <t>Uptrend</t>
        </is>
      </c>
      <c r="BA32" s="25">
        <f>IF(AZ32="Uptrend",10,IF(AZ32="Sideways",5,0))</f>
        <v/>
      </c>
      <c r="BB32" s="25" t="inlineStr">
        <is>
          <t>Blue sky scenario</t>
        </is>
      </c>
      <c r="BC32" s="25">
        <f>IF(BB32="Overhead supply in last 2 years in last 2 years",-5,IF(BB32="Close to 52 week high or retracement",5,IF(BB32="Blue sky scenario",10,IF(BB32="Long term Downtrend",-10,0))))</f>
        <v/>
      </c>
      <c r="BD32" s="25" t="inlineStr">
        <is>
          <t>Yes</t>
        </is>
      </c>
      <c r="BE32" s="25">
        <f>IF(BD32="Yes",10,0)</f>
        <v/>
      </c>
      <c r="BF32" s="25" t="inlineStr">
        <is>
          <t>Less than 12%</t>
        </is>
      </c>
      <c r="BG32" s="25">
        <f>IF(BF32="More than 20%",10,IF(BF32="Between 12 to 20%",5,IF(BF32="Less than 12%",0,0)))</f>
        <v/>
      </c>
      <c r="BH32" s="25" t="inlineStr">
        <is>
          <t>No</t>
        </is>
      </c>
      <c r="BI32" s="25">
        <f>IF(BH32="No",10,0)</f>
        <v/>
      </c>
      <c r="BJ32" s="25" t="inlineStr">
        <is>
          <t>No</t>
        </is>
      </c>
      <c r="BK32" s="25">
        <f>IF(BJ32="NO",5,0)</f>
        <v/>
      </c>
      <c r="BL32" s="25" t="inlineStr">
        <is>
          <t>Less than 1.5</t>
        </is>
      </c>
      <c r="BM32" s="25">
        <f>IF(BL32="Above 2",0,IF(BL32="Between 1.5 to 2",5,IF(BL32="Less than 1.5",10,0)))</f>
        <v/>
      </c>
      <c r="BN32" s="25" t="inlineStr">
        <is>
          <t>Above 70%</t>
        </is>
      </c>
      <c r="BO32" s="25">
        <f>IF(BN32="Above 70%",10,IF(BN32="Between 50% to 70%",5,IF(BN32="Less than 50%",0,IF(BN32="Negative",-10,IF(BN32="Less than 50% and Borrowings are increasing",-5,0)))))</f>
        <v/>
      </c>
      <c r="BP32" s="25" t="inlineStr">
        <is>
          <t>Between 0.7 to 1.2</t>
        </is>
      </c>
      <c r="BQ32" s="25">
        <f>IF(BP32="More than 1.2",-10,IF(BP32="Between 0.7 to 1.2",0,IF(BP32="Less than 0.7",10,0)))</f>
        <v/>
      </c>
      <c r="BR32" s="25" t="inlineStr">
        <is>
          <t>No</t>
        </is>
      </c>
      <c r="BS32" s="25">
        <f>IF(BR32="Yes",-10,0)</f>
        <v/>
      </c>
      <c r="BT32" s="25" t="inlineStr">
        <is>
          <t>Less than 15%</t>
        </is>
      </c>
      <c r="BU32" s="25">
        <f>IF(BT32="More than 15%",-10,IF(BT32="Less than 15%",10,0))</f>
        <v/>
      </c>
      <c r="BV32" s="25" t="inlineStr">
        <is>
          <t>No</t>
        </is>
      </c>
      <c r="BW32" s="25">
        <f>IF(BV32="Yes, more than 10%",-10,IF(BV32="No",10,0))</f>
        <v/>
      </c>
      <c r="BX32" s="25" t="inlineStr">
        <is>
          <t>19</t>
        </is>
      </c>
      <c r="BY32" s="25">
        <f>IF(BX32&gt;20,10,IF(BX32&gt;=10,5,2))</f>
        <v/>
      </c>
    </row>
    <row r="33">
      <c r="A33" s="25">
        <f>IF(B33=0,"",RANK(B33,$B$2:$B$95,0))</f>
        <v/>
      </c>
      <c r="B33" s="26">
        <f>SUM(Q33,S33,U33,W33,Y33,AA33,AC33,AE33,AG33,AI33,AK33,AM33,AO33,AQ33,AS33,AU33,AW33,AY33,BA33,BC33,BE33,BG33,BI33,BK33,BM33,BO33,BQ33,BS33,BU33,BW33,BY33)</f>
        <v/>
      </c>
      <c r="C33" s="25" t="inlineStr">
        <is>
          <t>RATEGAIN</t>
        </is>
      </c>
      <c r="D33" s="25" t="inlineStr">
        <is>
          <t>Rategain Travel Technologies Ltd</t>
        </is>
      </c>
      <c r="E33" s="25" t="inlineStr">
        <is>
          <t>i.t</t>
        </is>
      </c>
      <c r="F33" s="25" t="inlineStr">
        <is>
          <t>IT Product Companies</t>
        </is>
      </c>
      <c r="G33" s="25" t="inlineStr">
        <is>
          <t>midcap</t>
        </is>
      </c>
      <c r="H33" s="26" t="n">
        <v>9155.459999999999</v>
      </c>
      <c r="I33" s="26" t="n">
        <v>774.8</v>
      </c>
      <c r="J33" s="26" t="n">
        <v>-0.3</v>
      </c>
      <c r="K33" s="26" t="n">
        <v>0</v>
      </c>
      <c r="L33" s="26" t="n">
        <v>71.68000000000001</v>
      </c>
      <c r="M33" s="26" t="n">
        <v>25.5</v>
      </c>
      <c r="N33" s="26" t="n">
        <v>591.6900000000001</v>
      </c>
      <c r="O33" s="25" t="inlineStr">
        <is>
          <t>Near 52W High Breakout</t>
        </is>
      </c>
      <c r="P33" s="25" t="inlineStr">
        <is>
          <t>Growing Industry</t>
        </is>
      </c>
      <c r="Q33" s="25">
        <f>IF(P33="Growing Industry",10,IF(P33="Cyclical in an Upturn",5,0))</f>
        <v/>
      </c>
      <c r="R33" s="25" t="inlineStr">
        <is>
          <t>Too Many Players with High ROCE</t>
        </is>
      </c>
      <c r="S33" s="25">
        <f>IF(R33="Monopoly",10,IF(R33="Oligopoly",5,IF(R33="Duopoly that cooperate",10,IF(R33="Duopoly that compete",5,IF(R33="Too many players with High ROCE",5,0)))))</f>
        <v/>
      </c>
      <c r="T33" s="25" t="inlineStr">
        <is>
          <t>No</t>
        </is>
      </c>
      <c r="U33" s="25">
        <f>IF(T33="No",5,0)</f>
        <v/>
      </c>
      <c r="V33" s="25" t="inlineStr">
        <is>
          <t>Tailwind</t>
        </is>
      </c>
      <c r="W33" s="25">
        <f>IF(V33="Tailwind",10,0)</f>
        <v/>
      </c>
      <c r="X33" s="25" t="inlineStr">
        <is>
          <t>Structural (10 Years Consistency)</t>
        </is>
      </c>
      <c r="Y33" s="25">
        <f>IF(X33="Structural (10 Years Consistency)",10,IF(X33="Shallow Cyclical (2 to 3 years growth)",5,0))</f>
        <v/>
      </c>
      <c r="Z33" s="25" t="inlineStr">
        <is>
          <t>No</t>
        </is>
      </c>
      <c r="AA33" s="25">
        <f>IF(Z33="Yes due to Product Mix change or Operating Leverage",10,IF(Z33="Yes, these are peak margins",-5,IF(Z33="No",5,0)))</f>
        <v/>
      </c>
      <c r="AB33" s="25" t="inlineStr">
        <is>
          <t>Stable</t>
        </is>
      </c>
      <c r="AC33" s="25">
        <f>IF(AB33="Stable",10,0)</f>
        <v/>
      </c>
      <c r="AD33" s="25" t="inlineStr">
        <is>
          <t>Yes</t>
        </is>
      </c>
      <c r="AE33" s="25">
        <f>IF(AD33="Yes",10,0)</f>
        <v/>
      </c>
      <c r="AF33" s="25" t="inlineStr">
        <is>
          <t>B2B</t>
        </is>
      </c>
      <c r="AG33" s="25">
        <f>IF(AF33="B2C",10,IF(AF33="B2B",5,0))</f>
        <v/>
      </c>
      <c r="AH33" s="25" t="inlineStr">
        <is>
          <t>Yes</t>
        </is>
      </c>
      <c r="AI33" s="25">
        <f>IF(AH33="Yes",10,0)</f>
        <v/>
      </c>
      <c r="AJ33" s="25" t="inlineStr">
        <is>
          <t>Higher One Time, Lower Annuity</t>
        </is>
      </c>
      <c r="AK33" s="25">
        <f>IF(AJ33="Fully Annuity",10,IF(AJ33="Higher Annuity, Lower One Time",5,IF(AJ33="Higher One Time, Lower Annuity",3,0)))</f>
        <v/>
      </c>
      <c r="AL33" s="25" t="inlineStr">
        <is>
          <t>Good</t>
        </is>
      </c>
      <c r="AM33" s="25">
        <f>IF(AL33="Good",10,0)</f>
        <v/>
      </c>
      <c r="AN33" s="25" t="inlineStr">
        <is>
          <t>Yes for more than 2 years</t>
        </is>
      </c>
      <c r="AO33" s="25">
        <f>IF(AN33="Yes for more than 2 years",10,IF(AN33="Yes only for next 1 to 2 years",5,0))</f>
        <v/>
      </c>
      <c r="AP33" s="25" t="inlineStr">
        <is>
          <t>20 to 40</t>
        </is>
      </c>
      <c r="AQ33" s="25">
        <f>IF(AP33="Above 40",20,IF(AP33="20 to 40",10,IF(AP33="0 to 20",-5,0)))</f>
        <v/>
      </c>
      <c r="AR33" s="25" t="inlineStr">
        <is>
          <t>Between 50 to 75</t>
        </is>
      </c>
      <c r="AS33" s="25">
        <f>IF(AR33="Between 50 to 75",10,IF(AR33="Above 75",0,0))</f>
        <v/>
      </c>
      <c r="AT33" s="25" t="inlineStr">
        <is>
          <t>Stage 2</t>
        </is>
      </c>
      <c r="AU33" s="25">
        <f>IF(AT33="Stage 2",20,IF(AT33="Stage 1",0,IF(AT33="Stage 3",5,IF(AT33="Stage 4",-5,0))))</f>
        <v/>
      </c>
      <c r="AV33" s="25" t="inlineStr">
        <is>
          <t>Positive Trend</t>
        </is>
      </c>
      <c r="AW33" s="25">
        <f>IF(AV33="Positive Trend",20,IF(AV33="Negative Trend",-10,0))</f>
        <v/>
      </c>
      <c r="AX33" s="25" t="inlineStr">
        <is>
          <t>Uptrend</t>
        </is>
      </c>
      <c r="AY33" s="25">
        <f>IF(AX33="Uptrend",10,IF(AX33="Sideways",5,0))</f>
        <v/>
      </c>
      <c r="AZ33" s="25" t="inlineStr">
        <is>
          <t>Uptrend</t>
        </is>
      </c>
      <c r="BA33" s="25">
        <f>IF(AZ33="Uptrend",10,IF(AZ33="Sideways",5,0))</f>
        <v/>
      </c>
      <c r="BB33" s="25" t="inlineStr">
        <is>
          <t>Close to 52 week high or retracement</t>
        </is>
      </c>
      <c r="BC33" s="25">
        <f>IF(BB33="Overhead supply in last 2 years in last 2 years",-5,IF(BB33="Close to 52 week high or retracement",5,IF(BB33="Blue sky scenario",10,IF(BB33="Long term Downtrend",-10,0))))</f>
        <v/>
      </c>
      <c r="BD33" s="25" t="inlineStr">
        <is>
          <t>Yes</t>
        </is>
      </c>
      <c r="BE33" s="25">
        <f>IF(BD33="Yes",10,0)</f>
        <v/>
      </c>
      <c r="BF33" s="25" t="inlineStr">
        <is>
          <t>More than 20%</t>
        </is>
      </c>
      <c r="BG33" s="25">
        <f>IF(BF33="More than 20%",10,IF(BF33="Between 12 to 20%",5,IF(BF33="Less than 12%",0,0)))</f>
        <v/>
      </c>
      <c r="BH33" s="25" t="inlineStr">
        <is>
          <t>No</t>
        </is>
      </c>
      <c r="BI33" s="25">
        <f>IF(BH33="No",10,0)</f>
        <v/>
      </c>
      <c r="BJ33" s="25" t="inlineStr">
        <is>
          <t>Yes</t>
        </is>
      </c>
      <c r="BK33" s="25">
        <f>IF(BJ33="NO",5,0)</f>
        <v/>
      </c>
      <c r="BL33" s="25" t="inlineStr">
        <is>
          <t>Less than 1.5</t>
        </is>
      </c>
      <c r="BM33" s="25">
        <f>IF(BL33="Above 2",0,IF(BL33="Between 1.5 to 2",5,IF(BL33="Less than 1.5",10,0)))</f>
        <v/>
      </c>
      <c r="BN33" s="25" t="inlineStr">
        <is>
          <t>Between 50% to 70%</t>
        </is>
      </c>
      <c r="BO33" s="25">
        <f>IF(BN33="Above 70%",10,IF(BN33="Between 50% to 70%",5,IF(BN33="Less than 50%",0,IF(BN33="Negative",-10,IF(BN33="Less than 50% and Borrowings are increasing",-5,0)))))</f>
        <v/>
      </c>
      <c r="BP33" s="25" t="inlineStr">
        <is>
          <t>Less than 0.7</t>
        </is>
      </c>
      <c r="BQ33" s="25">
        <f>IF(BP33="More than 1.2",-10,IF(BP33="Between 0.7 to 1.2",0,IF(BP33="Less than 0.7",10,0)))</f>
        <v/>
      </c>
      <c r="BR33" s="25" t="inlineStr">
        <is>
          <t>No</t>
        </is>
      </c>
      <c r="BS33" s="25">
        <f>IF(BR33="Yes",-10,0)</f>
        <v/>
      </c>
      <c r="BT33" s="25" t="inlineStr">
        <is>
          <t>Less than 15%</t>
        </is>
      </c>
      <c r="BU33" s="25">
        <f>IF(BT33="More than 15%",-10,IF(BT33="Less than 15%",10,0))</f>
        <v/>
      </c>
      <c r="BV33" s="25" t="inlineStr">
        <is>
          <t>No</t>
        </is>
      </c>
      <c r="BW33" s="25">
        <f>IF(BV33="Yes, more than 10%",-10,IF(BV33="No",10,0))</f>
        <v/>
      </c>
      <c r="BX33" s="25" t="inlineStr">
        <is>
          <t>29</t>
        </is>
      </c>
      <c r="BY33" s="25">
        <f>IF(BX33&gt;20,10,IF(BX33&gt;=10,5,2))</f>
        <v/>
      </c>
    </row>
    <row r="34">
      <c r="A34" s="25">
        <f>IF(B34=0,"",RANK(B34,$B$2:$B$95,0))</f>
        <v/>
      </c>
      <c r="B34" s="26">
        <f>SUM(Q34,S34,U34,W34,Y34,AA34,AC34,AE34,AG34,AI34,AK34,AM34,AO34,AQ34,AS34,AU34,AW34,AY34,BA34,BC34,BE34,BG34,BI34,BK34,BM34,BO34,BQ34,BS34,BU34,BW34,BY34)</f>
        <v/>
      </c>
      <c r="C34" s="25" t="inlineStr">
        <is>
          <t>MODISONLTD</t>
        </is>
      </c>
      <c r="D34" s="25" t="inlineStr">
        <is>
          <t>Modison Ltd</t>
        </is>
      </c>
      <c r="E34" s="25" t="inlineStr">
        <is>
          <t>industrials</t>
        </is>
      </c>
      <c r="F34" s="25" t="inlineStr">
        <is>
          <t>Capital Goods - Electric General</t>
        </is>
      </c>
      <c r="G34" s="25" t="inlineStr">
        <is>
          <t>smallcap</t>
        </is>
      </c>
      <c r="H34" s="26" t="n">
        <v>1017.96</v>
      </c>
      <c r="I34" s="26" t="n">
        <v>313.7</v>
      </c>
      <c r="J34" s="26" t="n">
        <v>4.99</v>
      </c>
      <c r="K34" s="26" t="n">
        <v>0</v>
      </c>
      <c r="L34" s="26" t="n">
        <v>84.61</v>
      </c>
      <c r="M34" s="26" t="n">
        <v>28.7</v>
      </c>
      <c r="N34" s="26" t="n">
        <v>240.93</v>
      </c>
      <c r="O34" s="25" t="inlineStr">
        <is>
          <t>Near 52W High Breakout</t>
        </is>
      </c>
      <c r="P34" s="25" t="inlineStr">
        <is>
          <t>Cyclical in an Upturn</t>
        </is>
      </c>
      <c r="Q34" s="25">
        <f>IF(P34="Growing Industry",10,IF(P34="Cyclical in an Upturn",5,0))</f>
        <v/>
      </c>
      <c r="R34" s="25" t="inlineStr">
        <is>
          <t>Too Many Players with High ROCE</t>
        </is>
      </c>
      <c r="S34" s="25">
        <f>IF(R34="Monopoly",10,IF(R34="Oligopoly",5,IF(R34="Duopoly that cooperate",10,IF(R34="Duopoly that compete",5,IF(R34="Too many players with High ROCE",5,0)))))</f>
        <v/>
      </c>
      <c r="T34" s="25" t="inlineStr">
        <is>
          <t>No</t>
        </is>
      </c>
      <c r="U34" s="25">
        <f>IF(T34="No",5,0)</f>
        <v/>
      </c>
      <c r="V34" s="25" t="inlineStr">
        <is>
          <t>Tailwind</t>
        </is>
      </c>
      <c r="W34" s="25">
        <f>IF(V34="Tailwind",10,0)</f>
        <v/>
      </c>
      <c r="X34" s="25" t="inlineStr">
        <is>
          <t>Structural (10 Years Consistency)</t>
        </is>
      </c>
      <c r="Y34" s="25">
        <f>IF(X34="Structural (10 Years Consistency)",10,IF(X34="Shallow Cyclical (2 to 3 years growth)",5,0))</f>
        <v/>
      </c>
      <c r="Z34" s="25" t="inlineStr">
        <is>
          <t>No</t>
        </is>
      </c>
      <c r="AA34" s="25">
        <f>IF(Z34="Yes due to Product Mix change or Operating Leverage",10,IF(Z34="Yes, these are peak margins",-5,IF(Z34="No",5,0)))</f>
        <v/>
      </c>
      <c r="AB34" s="25" t="inlineStr">
        <is>
          <t>Stable</t>
        </is>
      </c>
      <c r="AC34" s="25">
        <f>IF(AB34="Stable",10,0)</f>
        <v/>
      </c>
      <c r="AD34" s="25" t="inlineStr">
        <is>
          <t>Yes</t>
        </is>
      </c>
      <c r="AE34" s="25">
        <f>IF(AD34="Yes",10,0)</f>
        <v/>
      </c>
      <c r="AF34" s="25" t="inlineStr">
        <is>
          <t>B2B</t>
        </is>
      </c>
      <c r="AG34" s="25">
        <f>IF(AF34="B2C",10,IF(AF34="B2B",5,0))</f>
        <v/>
      </c>
      <c r="AH34" s="25" t="inlineStr">
        <is>
          <t>Yes</t>
        </is>
      </c>
      <c r="AI34" s="25">
        <f>IF(AH34="Yes",10,0)</f>
        <v/>
      </c>
      <c r="AJ34" s="25" t="inlineStr">
        <is>
          <t>Higher One Time, Lower Annuity</t>
        </is>
      </c>
      <c r="AK34" s="25">
        <f>IF(AJ34="Fully Annuity",10,IF(AJ34="Higher Annuity, Lower One Time",5,IF(AJ34="Higher One Time, Lower Annuity",3,0)))</f>
        <v/>
      </c>
      <c r="AL34" s="25" t="inlineStr">
        <is>
          <t>Good</t>
        </is>
      </c>
      <c r="AM34" s="25">
        <f>IF(AL34="Good",10,0)</f>
        <v/>
      </c>
      <c r="AN34" s="25" t="inlineStr">
        <is>
          <t>Yes for more than 2 years</t>
        </is>
      </c>
      <c r="AO34" s="25">
        <f>IF(AN34="Yes for more than 2 years",10,IF(AN34="Yes only for next 1 to 2 years",5,0))</f>
        <v/>
      </c>
      <c r="AP34" s="25" t="inlineStr">
        <is>
          <t>20 to 40</t>
        </is>
      </c>
      <c r="AQ34" s="25">
        <f>IF(AP34="Above 40",20,IF(AP34="20 to 40",10,IF(AP34="0 to 20",-5,0)))</f>
        <v/>
      </c>
      <c r="AR34" s="25" t="inlineStr">
        <is>
          <t>Above 75</t>
        </is>
      </c>
      <c r="AS34" s="25">
        <f>IF(AR34="Between 50 to 75",10,IF(AR34="Above 75",0,0))</f>
        <v/>
      </c>
      <c r="AT34" s="25" t="inlineStr">
        <is>
          <t>Stage 2</t>
        </is>
      </c>
      <c r="AU34" s="25">
        <f>IF(AT34="Stage 2",20,IF(AT34="Stage 1",0,IF(AT34="Stage 3",5,IF(AT34="Stage 4",-5,0))))</f>
        <v/>
      </c>
      <c r="AV34" s="25" t="inlineStr">
        <is>
          <t>Positive Trend</t>
        </is>
      </c>
      <c r="AW34" s="25">
        <f>IF(AV34="Positive Trend",20,IF(AV34="Negative Trend",-10,0))</f>
        <v/>
      </c>
      <c r="AX34" s="25" t="inlineStr">
        <is>
          <t>Uptrend</t>
        </is>
      </c>
      <c r="AY34" s="25">
        <f>IF(AX34="Uptrend",10,IF(AX34="Sideways",5,0))</f>
        <v/>
      </c>
      <c r="AZ34" s="25" t="inlineStr">
        <is>
          <t>Uptrend</t>
        </is>
      </c>
      <c r="BA34" s="25">
        <f>IF(AZ34="Uptrend",10,IF(AZ34="Sideways",5,0))</f>
        <v/>
      </c>
      <c r="BB34" s="25" t="inlineStr">
        <is>
          <t>Blue sky scenario</t>
        </is>
      </c>
      <c r="BC34" s="25">
        <f>IF(BB34="Overhead supply in last 2 years in last 2 years",-5,IF(BB34="Close to 52 week high or retracement",5,IF(BB34="Blue sky scenario",10,IF(BB34="Long term Downtrend",-10,0))))</f>
        <v/>
      </c>
      <c r="BD34" s="25" t="inlineStr">
        <is>
          <t>Yes</t>
        </is>
      </c>
      <c r="BE34" s="25">
        <f>IF(BD34="Yes",10,0)</f>
        <v/>
      </c>
      <c r="BF34" s="25" t="inlineStr">
        <is>
          <t>More than 20%</t>
        </is>
      </c>
      <c r="BG34" s="25">
        <f>IF(BF34="More than 20%",10,IF(BF34="Between 12 to 20%",5,IF(BF34="Less than 12%",0,0)))</f>
        <v/>
      </c>
      <c r="BH34" s="25" t="inlineStr">
        <is>
          <t>No</t>
        </is>
      </c>
      <c r="BI34" s="25">
        <f>IF(BH34="No",10,0)</f>
        <v/>
      </c>
      <c r="BJ34" s="25" t="inlineStr">
        <is>
          <t>No</t>
        </is>
      </c>
      <c r="BK34" s="25">
        <f>IF(BJ34="NO",5,0)</f>
        <v/>
      </c>
      <c r="BL34" s="25" t="inlineStr">
        <is>
          <t>Less than 1.5</t>
        </is>
      </c>
      <c r="BM34" s="25">
        <f>IF(BL34="Above 2",0,IF(BL34="Between 1.5 to 2",5,IF(BL34="Less than 1.5",10,0)))</f>
        <v/>
      </c>
      <c r="BN34" s="25" t="inlineStr">
        <is>
          <t>Above 70%</t>
        </is>
      </c>
      <c r="BO34" s="25">
        <f>IF(BN34="Above 70%",10,IF(BN34="Between 50% to 70%",5,IF(BN34="Less than 50%",0,IF(BN34="Negative",-10,IF(BN34="Less than 50% and Borrowings are increasing",-5,0)))))</f>
        <v/>
      </c>
      <c r="BP34" s="25" t="inlineStr">
        <is>
          <t>Less than 0.7</t>
        </is>
      </c>
      <c r="BQ34" s="25">
        <f>IF(BP34="More than 1.2",-10,IF(BP34="Between 0.7 to 1.2",0,IF(BP34="Less than 0.7",10,0)))</f>
        <v/>
      </c>
      <c r="BR34" s="25" t="inlineStr">
        <is>
          <t>No</t>
        </is>
      </c>
      <c r="BS34" s="25">
        <f>IF(BR34="Yes",-10,0)</f>
        <v/>
      </c>
      <c r="BT34" s="25" t="inlineStr">
        <is>
          <t>Less than 15%</t>
        </is>
      </c>
      <c r="BU34" s="25">
        <f>IF(BT34="More than 15%",-10,IF(BT34="Less than 15%",10,0))</f>
        <v/>
      </c>
      <c r="BV34" s="25" t="inlineStr">
        <is>
          <t>No</t>
        </is>
      </c>
      <c r="BW34" s="25">
        <f>IF(BV34="Yes, more than 10%",-10,IF(BV34="No",10,0))</f>
        <v/>
      </c>
      <c r="BX34" s="25" t="inlineStr">
        <is>
          <t>28</t>
        </is>
      </c>
      <c r="BY34" s="25">
        <f>IF(BX34&gt;20,10,IF(BX34&gt;=10,5,2))</f>
        <v/>
      </c>
    </row>
    <row r="35">
      <c r="A35" s="25">
        <f>IF(B35=0,"",RANK(B35,$B$2:$B$95,0))</f>
        <v/>
      </c>
      <c r="B35" s="26">
        <f>SUM(Q35,S35,U35,W35,Y35,AA35,AC35,AE35,AG35,AI35,AK35,AM35,AO35,AQ35,AS35,AU35,AW35,AY35,BA35,BC35,BE35,BG35,BI35,BK35,BM35,BO35,BQ35,BS35,BU35,BW35,BY35)</f>
        <v/>
      </c>
      <c r="C35" s="25" t="inlineStr">
        <is>
          <t>AVALON</t>
        </is>
      </c>
      <c r="D35" s="25" t="inlineStr">
        <is>
          <t>Avalon Technologies Ltd</t>
        </is>
      </c>
      <c r="E35" s="25" t="inlineStr">
        <is>
          <t>consumer discretionary</t>
        </is>
      </c>
      <c r="F35" s="25" t="inlineStr">
        <is>
          <t>Consumer Electronics - EMS</t>
        </is>
      </c>
      <c r="G35" s="25" t="inlineStr">
        <is>
          <t>midcap</t>
        </is>
      </c>
      <c r="H35" s="26" t="n">
        <v>10094.38</v>
      </c>
      <c r="I35" s="26" t="n">
        <v>1511.9</v>
      </c>
      <c r="J35" s="26" t="n">
        <v>4.14</v>
      </c>
      <c r="K35" s="26" t="n">
        <v>0</v>
      </c>
      <c r="L35" s="26" t="n">
        <v>71.47</v>
      </c>
      <c r="M35" s="26" t="n">
        <v>27.98</v>
      </c>
      <c r="N35" s="26" t="n">
        <v>1093.24</v>
      </c>
      <c r="O35" s="25" t="inlineStr">
        <is>
          <t>Near 52W High Breakout</t>
        </is>
      </c>
      <c r="P35" s="25" t="inlineStr">
        <is>
          <t>Growing Industry</t>
        </is>
      </c>
      <c r="Q35" s="25">
        <f>IF(P35="Growing Industry",10,IF(P35="Cyclical in an Upturn",5,0))</f>
        <v/>
      </c>
      <c r="R35" s="25" t="inlineStr">
        <is>
          <t>Too Many Players with High ROCE</t>
        </is>
      </c>
      <c r="S35" s="25">
        <f>IF(R35="Monopoly",10,IF(R35="Oligopoly",5,IF(R35="Duopoly that cooperate",10,IF(R35="Duopoly that compete",5,IF(R35="Too many players with High ROCE",5,0)))))</f>
        <v/>
      </c>
      <c r="T35" s="25" t="inlineStr">
        <is>
          <t>No</t>
        </is>
      </c>
      <c r="U35" s="25">
        <f>IF(T35="No",5,0)</f>
        <v/>
      </c>
      <c r="V35" s="25" t="inlineStr">
        <is>
          <t>Tailwind</t>
        </is>
      </c>
      <c r="W35" s="25">
        <f>IF(V35="Tailwind",10,0)</f>
        <v/>
      </c>
      <c r="X35" s="25" t="inlineStr">
        <is>
          <t>Structural (10 Years Consistency)</t>
        </is>
      </c>
      <c r="Y35" s="25">
        <f>IF(X35="Structural (10 Years Consistency)",10,IF(X35="Shallow Cyclical (2 to 3 years growth)",5,0))</f>
        <v/>
      </c>
      <c r="Z35" s="25" t="inlineStr">
        <is>
          <t>No</t>
        </is>
      </c>
      <c r="AA35" s="25">
        <f>IF(Z35="Yes due to Product Mix change or Operating Leverage",10,IF(Z35="Yes, these are peak margins",-5,IF(Z35="No",5,0)))</f>
        <v/>
      </c>
      <c r="AB35" s="25" t="inlineStr">
        <is>
          <t>Stable</t>
        </is>
      </c>
      <c r="AC35" s="25">
        <f>IF(AB35="Stable",10,0)</f>
        <v/>
      </c>
      <c r="AD35" s="25" t="inlineStr">
        <is>
          <t>Yes</t>
        </is>
      </c>
      <c r="AE35" s="25">
        <f>IF(AD35="Yes",10,0)</f>
        <v/>
      </c>
      <c r="AF35" s="25" t="inlineStr">
        <is>
          <t>B2B</t>
        </is>
      </c>
      <c r="AG35" s="25">
        <f>IF(AF35="B2C",10,IF(AF35="B2B",5,0))</f>
        <v/>
      </c>
      <c r="AH35" s="25" t="inlineStr">
        <is>
          <t>Yes</t>
        </is>
      </c>
      <c r="AI35" s="25">
        <f>IF(AH35="Yes",10,0)</f>
        <v/>
      </c>
      <c r="AJ35" s="25" t="inlineStr">
        <is>
          <t>Higher One Time, Lower Annuity</t>
        </is>
      </c>
      <c r="AK35" s="25">
        <f>IF(AJ35="Fully Annuity",10,IF(AJ35="Higher Annuity, Lower One Time",5,IF(AJ35="Higher One Time, Lower Annuity",3,0)))</f>
        <v/>
      </c>
      <c r="AL35" s="25" t="inlineStr">
        <is>
          <t>Good</t>
        </is>
      </c>
      <c r="AM35" s="25">
        <f>IF(AL35="Good",10,0)</f>
        <v/>
      </c>
      <c r="AN35" s="25" t="inlineStr">
        <is>
          <t>Yes for more than 2 years</t>
        </is>
      </c>
      <c r="AO35" s="25">
        <f>IF(AN35="Yes for more than 2 years",10,IF(AN35="Yes only for next 1 to 2 years",5,0))</f>
        <v/>
      </c>
      <c r="AP35" s="25" t="inlineStr">
        <is>
          <t>20 to 40</t>
        </is>
      </c>
      <c r="AQ35" s="25">
        <f>IF(AP35="Above 40",20,IF(AP35="20 to 40",10,IF(AP35="0 to 20",-5,0)))</f>
        <v/>
      </c>
      <c r="AR35" s="25" t="inlineStr">
        <is>
          <t>Between 50 to 75</t>
        </is>
      </c>
      <c r="AS35" s="25">
        <f>IF(AR35="Between 50 to 75",10,IF(AR35="Above 75",0,0))</f>
        <v/>
      </c>
      <c r="AT35" s="25" t="inlineStr">
        <is>
          <t>Stage 2</t>
        </is>
      </c>
      <c r="AU35" s="25">
        <f>IF(AT35="Stage 2",20,IF(AT35="Stage 1",0,IF(AT35="Stage 3",5,IF(AT35="Stage 4",-5,0))))</f>
        <v/>
      </c>
      <c r="AV35" s="25" t="inlineStr">
        <is>
          <t>Positive Trend</t>
        </is>
      </c>
      <c r="AW35" s="25">
        <f>IF(AV35="Positive Trend",20,IF(AV35="Negative Trend",-10,0))</f>
        <v/>
      </c>
      <c r="AX35" s="25" t="inlineStr">
        <is>
          <t>Uptrend</t>
        </is>
      </c>
      <c r="AY35" s="25">
        <f>IF(AX35="Uptrend",10,IF(AX35="Sideways",5,0))</f>
        <v/>
      </c>
      <c r="AZ35" s="25" t="inlineStr">
        <is>
          <t>Uptrend</t>
        </is>
      </c>
      <c r="BA35" s="25">
        <f>IF(AZ35="Uptrend",10,IF(AZ35="Sideways",5,0))</f>
        <v/>
      </c>
      <c r="BB35" s="25" t="inlineStr">
        <is>
          <t>Blue sky scenario</t>
        </is>
      </c>
      <c r="BC35" s="25">
        <f>IF(BB35="Overhead supply in last 2 years in last 2 years",-5,IF(BB35="Close to 52 week high or retracement",5,IF(BB35="Blue sky scenario",10,IF(BB35="Long term Downtrend",-10,0))))</f>
        <v/>
      </c>
      <c r="BD35" s="25" t="inlineStr">
        <is>
          <t>Yes</t>
        </is>
      </c>
      <c r="BE35" s="25">
        <f>IF(BD35="Yes",10,0)</f>
        <v/>
      </c>
      <c r="BF35" s="25" t="inlineStr">
        <is>
          <t>More than 20%</t>
        </is>
      </c>
      <c r="BG35" s="25">
        <f>IF(BF35="More than 20%",10,IF(BF35="Between 12 to 20%",5,IF(BF35="Less than 12%",0,0)))</f>
        <v/>
      </c>
      <c r="BH35" s="25" t="inlineStr">
        <is>
          <t>No</t>
        </is>
      </c>
      <c r="BI35" s="25">
        <f>IF(BH35="No",10,0)</f>
        <v/>
      </c>
      <c r="BJ35" s="25" t="inlineStr">
        <is>
          <t>Yes</t>
        </is>
      </c>
      <c r="BK35" s="25">
        <f>IF(BJ35="NO",5,0)</f>
        <v/>
      </c>
      <c r="BL35" s="25" t="inlineStr">
        <is>
          <t>Less than 1.5</t>
        </is>
      </c>
      <c r="BM35" s="25">
        <f>IF(BL35="Above 2",0,IF(BL35="Between 1.5 to 2",5,IF(BL35="Less than 1.5",10,0)))</f>
        <v/>
      </c>
      <c r="BN35" s="25" t="inlineStr">
        <is>
          <t>Less than 50%</t>
        </is>
      </c>
      <c r="BO35" s="25">
        <f>IF(BN35="Above 70%",10,IF(BN35="Between 50% to 70%",5,IF(BN35="Less than 50%",0,IF(BN35="Negative",-10,IF(BN35="Less than 50% and Borrowings are increasing",-5,0)))))</f>
        <v/>
      </c>
      <c r="BP35" s="25" t="inlineStr">
        <is>
          <t>Less than 0.7</t>
        </is>
      </c>
      <c r="BQ35" s="25">
        <f>IF(BP35="More than 1.2",-10,IF(BP35="Between 0.7 to 1.2",0,IF(BP35="Less than 0.7",10,0)))</f>
        <v/>
      </c>
      <c r="BR35" s="25" t="inlineStr">
        <is>
          <t>No</t>
        </is>
      </c>
      <c r="BS35" s="25">
        <f>IF(BR35="Yes",-10,0)</f>
        <v/>
      </c>
      <c r="BT35" s="25" t="inlineStr">
        <is>
          <t>Less than 15%</t>
        </is>
      </c>
      <c r="BU35" s="25">
        <f>IF(BT35="More than 15%",-10,IF(BT35="Less than 15%",10,0))</f>
        <v/>
      </c>
      <c r="BV35" s="25" t="inlineStr">
        <is>
          <t>No</t>
        </is>
      </c>
      <c r="BW35" s="25">
        <f>IF(BV35="Yes, more than 10%",-10,IF(BV35="No",10,0))</f>
        <v/>
      </c>
      <c r="BX35" s="25" t="inlineStr">
        <is>
          <t>25</t>
        </is>
      </c>
      <c r="BY35" s="25">
        <f>IF(BX35&gt;20,10,IF(BX35&gt;=10,5,2))</f>
        <v/>
      </c>
    </row>
    <row r="36">
      <c r="A36" s="25">
        <f>IF(B36=0,"",RANK(B36,$B$2:$B$95,0))</f>
        <v/>
      </c>
      <c r="B36" s="26">
        <f>SUM(Q36,S36,U36,W36,Y36,AA36,AC36,AE36,AG36,AI36,AK36,AM36,AO36,AQ36,AS36,AU36,AW36,AY36,BA36,BC36,BE36,BG36,BI36,BK36,BM36,BO36,BQ36,BS36,BU36,BW36,BY36)</f>
        <v/>
      </c>
      <c r="C36" s="25" t="inlineStr">
        <is>
          <t>WHEELS</t>
        </is>
      </c>
      <c r="D36" s="25" t="inlineStr">
        <is>
          <t>Wheels India Ltd</t>
        </is>
      </c>
      <c r="E36" s="25" t="inlineStr">
        <is>
          <t>auto</t>
        </is>
      </c>
      <c r="F36" s="25" t="inlineStr">
        <is>
          <t>Auto Ancillaries - Wheels</t>
        </is>
      </c>
      <c r="G36" s="25" t="inlineStr">
        <is>
          <t>smallcap</t>
        </is>
      </c>
      <c r="H36" s="26" t="n">
        <v>3708.69</v>
      </c>
      <c r="I36" s="26" t="n">
        <v>1517.9</v>
      </c>
      <c r="J36" s="26" t="n">
        <v>-2.49</v>
      </c>
      <c r="K36" s="26" t="n">
        <v>0</v>
      </c>
      <c r="L36" s="26" t="n">
        <v>71.48999999999999</v>
      </c>
      <c r="M36" s="26" t="n">
        <v>47.24</v>
      </c>
      <c r="N36" s="26" t="n">
        <v>1311.78</v>
      </c>
      <c r="O36" s="25" t="inlineStr">
        <is>
          <t>Earnings / Momentum Support</t>
        </is>
      </c>
      <c r="P36" s="25" t="inlineStr">
        <is>
          <t>Growing Industry</t>
        </is>
      </c>
      <c r="Q36" s="25">
        <f>IF(P36="Growing Industry",10,IF(P36="Cyclical in an Upturn",5,0))</f>
        <v/>
      </c>
      <c r="R36" s="25" t="inlineStr">
        <is>
          <t>Too Many Players with High ROCE</t>
        </is>
      </c>
      <c r="S36" s="25">
        <f>IF(R36="Monopoly",10,IF(R36="Oligopoly",5,IF(R36="Duopoly that cooperate",10,IF(R36="Duopoly that compete",5,IF(R36="Too many players with High ROCE",5,0)))))</f>
        <v/>
      </c>
      <c r="T36" s="25" t="inlineStr">
        <is>
          <t>No</t>
        </is>
      </c>
      <c r="U36" s="25">
        <f>IF(T36="No",5,0)</f>
        <v/>
      </c>
      <c r="V36" s="25" t="inlineStr">
        <is>
          <t>Tailwind</t>
        </is>
      </c>
      <c r="W36" s="25">
        <f>IF(V36="Tailwind",10,0)</f>
        <v/>
      </c>
      <c r="X36" s="25" t="inlineStr">
        <is>
          <t>Structural (10 Years Consistency)</t>
        </is>
      </c>
      <c r="Y36" s="25">
        <f>IF(X36="Structural (10 Years Consistency)",10,IF(X36="Shallow Cyclical (2 to 3 years growth)",5,0))</f>
        <v/>
      </c>
      <c r="Z36" s="25" t="inlineStr">
        <is>
          <t>No</t>
        </is>
      </c>
      <c r="AA36" s="25">
        <f>IF(Z36="Yes due to Product Mix change or Operating Leverage",10,IF(Z36="Yes, these are peak margins",-5,IF(Z36="No",5,0)))</f>
        <v/>
      </c>
      <c r="AB36" s="25" t="inlineStr">
        <is>
          <t>Stable</t>
        </is>
      </c>
      <c r="AC36" s="25">
        <f>IF(AB36="Stable",10,0)</f>
        <v/>
      </c>
      <c r="AD36" s="25" t="inlineStr">
        <is>
          <t>Yes</t>
        </is>
      </c>
      <c r="AE36" s="25">
        <f>IF(AD36="Yes",10,0)</f>
        <v/>
      </c>
      <c r="AF36" s="25" t="inlineStr">
        <is>
          <t>B2B</t>
        </is>
      </c>
      <c r="AG36" s="25">
        <f>IF(AF36="B2C",10,IF(AF36="B2B",5,0))</f>
        <v/>
      </c>
      <c r="AH36" s="25" t="inlineStr">
        <is>
          <t>No</t>
        </is>
      </c>
      <c r="AI36" s="25">
        <f>IF(AH36="Yes",10,0)</f>
        <v/>
      </c>
      <c r="AJ36" s="25" t="inlineStr">
        <is>
          <t>Higher One Time, Lower Annuity</t>
        </is>
      </c>
      <c r="AK36" s="25">
        <f>IF(AJ36="Fully Annuity",10,IF(AJ36="Higher Annuity, Lower One Time",5,IF(AJ36="Higher One Time, Lower Annuity",3,0)))</f>
        <v/>
      </c>
      <c r="AL36" s="25" t="inlineStr">
        <is>
          <t>Good</t>
        </is>
      </c>
      <c r="AM36" s="25">
        <f>IF(AL36="Good",10,0)</f>
        <v/>
      </c>
      <c r="AN36" s="25" t="inlineStr">
        <is>
          <t>Yes for more than 2 years</t>
        </is>
      </c>
      <c r="AO36" s="25">
        <f>IF(AN36="Yes for more than 2 years",10,IF(AN36="Yes only for next 1 to 2 years",5,0))</f>
        <v/>
      </c>
      <c r="AP36" s="25" t="inlineStr">
        <is>
          <t>Above 40</t>
        </is>
      </c>
      <c r="AQ36" s="25">
        <f>IF(AP36="Above 40",20,IF(AP36="20 to 40",10,IF(AP36="0 to 20",-5,0)))</f>
        <v/>
      </c>
      <c r="AR36" s="25" t="inlineStr">
        <is>
          <t>Between 50 to 75</t>
        </is>
      </c>
      <c r="AS36" s="25">
        <f>IF(AR36="Between 50 to 75",10,IF(AR36="Above 75",0,0))</f>
        <v/>
      </c>
      <c r="AT36" s="25" t="inlineStr">
        <is>
          <t>Stage 2</t>
        </is>
      </c>
      <c r="AU36" s="25">
        <f>IF(AT36="Stage 2",20,IF(AT36="Stage 1",0,IF(AT36="Stage 3",5,IF(AT36="Stage 4",-5,0))))</f>
        <v/>
      </c>
      <c r="AV36" s="25" t="inlineStr">
        <is>
          <t>Positive Trend</t>
        </is>
      </c>
      <c r="AW36" s="25">
        <f>IF(AV36="Positive Trend",20,IF(AV36="Negative Trend",-10,0))</f>
        <v/>
      </c>
      <c r="AX36" s="25" t="inlineStr">
        <is>
          <t>Uptrend</t>
        </is>
      </c>
      <c r="AY36" s="25">
        <f>IF(AX36="Uptrend",10,IF(AX36="Sideways",5,0))</f>
        <v/>
      </c>
      <c r="AZ36" s="25" t="inlineStr">
        <is>
          <t>Uptrend</t>
        </is>
      </c>
      <c r="BA36" s="25">
        <f>IF(AZ36="Uptrend",10,IF(AZ36="Sideways",5,0))</f>
        <v/>
      </c>
      <c r="BB36" s="25" t="inlineStr">
        <is>
          <t>Close to 52 week high or retracement</t>
        </is>
      </c>
      <c r="BC36" s="25">
        <f>IF(BB36="Overhead supply in last 2 years in last 2 years",-5,IF(BB36="Close to 52 week high or retracement",5,IF(BB36="Blue sky scenario",10,IF(BB36="Long term Downtrend",-10,0))))</f>
        <v/>
      </c>
      <c r="BD36" s="25" t="inlineStr">
        <is>
          <t>Yes</t>
        </is>
      </c>
      <c r="BE36" s="25">
        <f>IF(BD36="Yes",10,0)</f>
        <v/>
      </c>
      <c r="BF36" s="25" t="inlineStr">
        <is>
          <t>Less than 12%</t>
        </is>
      </c>
      <c r="BG36" s="25">
        <f>IF(BF36="More than 20%",10,IF(BF36="Between 12 to 20%",5,IF(BF36="Less than 12%",0,0)))</f>
        <v/>
      </c>
      <c r="BH36" s="25" t="inlineStr">
        <is>
          <t>No</t>
        </is>
      </c>
      <c r="BI36" s="25">
        <f>IF(BH36="No",10,0)</f>
        <v/>
      </c>
      <c r="BJ36" s="25" t="inlineStr">
        <is>
          <t>No</t>
        </is>
      </c>
      <c r="BK36" s="25">
        <f>IF(BJ36="NO",5,0)</f>
        <v/>
      </c>
      <c r="BL36" s="25" t="inlineStr">
        <is>
          <t>Less than 1.5</t>
        </is>
      </c>
      <c r="BM36" s="25">
        <f>IF(BL36="Above 2",0,IF(BL36="Between 1.5 to 2",5,IF(BL36="Less than 1.5",10,0)))</f>
        <v/>
      </c>
      <c r="BN36" s="25" t="inlineStr">
        <is>
          <t>Above 70%</t>
        </is>
      </c>
      <c r="BO36" s="25">
        <f>IF(BN36="Above 70%",10,IF(BN36="Between 50% to 70%",5,IF(BN36="Less than 50%",0,IF(BN36="Negative",-10,IF(BN36="Less than 50% and Borrowings are increasing",-5,0)))))</f>
        <v/>
      </c>
      <c r="BP36" s="25" t="inlineStr">
        <is>
          <t>Less than 0.7</t>
        </is>
      </c>
      <c r="BQ36" s="25">
        <f>IF(BP36="More than 1.2",-10,IF(BP36="Between 0.7 to 1.2",0,IF(BP36="Less than 0.7",10,0)))</f>
        <v/>
      </c>
      <c r="BR36" s="25" t="inlineStr">
        <is>
          <t>No</t>
        </is>
      </c>
      <c r="BS36" s="25">
        <f>IF(BR36="Yes",-10,0)</f>
        <v/>
      </c>
      <c r="BT36" s="25" t="inlineStr">
        <is>
          <t>Less than 15%</t>
        </is>
      </c>
      <c r="BU36" s="25">
        <f>IF(BT36="More than 15%",-10,IF(BT36="Less than 15%",10,0))</f>
        <v/>
      </c>
      <c r="BV36" s="25" t="inlineStr">
        <is>
          <t>No</t>
        </is>
      </c>
      <c r="BW36" s="25">
        <f>IF(BV36="Yes, more than 10%",-10,IF(BV36="No",10,0))</f>
        <v/>
      </c>
      <c r="BX36" s="25" t="inlineStr">
        <is>
          <t>23</t>
        </is>
      </c>
      <c r="BY36" s="25">
        <f>IF(BX36&gt;20,10,IF(BX36&gt;=10,5,2))</f>
        <v/>
      </c>
    </row>
    <row r="37">
      <c r="A37" s="25">
        <f>IF(B37=0,"",RANK(B37,$B$2:$B$95,0))</f>
        <v/>
      </c>
      <c r="B37" s="26">
        <f>SUM(Q37,S37,U37,W37,Y37,AA37,AC37,AE37,AG37,AI37,AK37,AM37,AO37,AQ37,AS37,AU37,AW37,AY37,BA37,BC37,BE37,BG37,BI37,BK37,BM37,BO37,BQ37,BS37,BU37,BW37,BY37)</f>
        <v/>
      </c>
      <c r="C37" s="25" t="inlineStr">
        <is>
          <t>GVT&amp;D</t>
        </is>
      </c>
      <c r="D37" s="25" t="inlineStr">
        <is>
          <t>GE Vernova T&amp;D India Ltd</t>
        </is>
      </c>
      <c r="E37" s="25" t="inlineStr">
        <is>
          <t>industrials</t>
        </is>
      </c>
      <c r="F37" s="25" t="inlineStr">
        <is>
          <t>Electrical Equipments/HVDC</t>
        </is>
      </c>
      <c r="G37" s="25" t="inlineStr">
        <is>
          <t>largecap</t>
        </is>
      </c>
      <c r="H37" s="26" t="n">
        <v>122415.85</v>
      </c>
      <c r="I37" s="26" t="n">
        <v>4781</v>
      </c>
      <c r="J37" s="26" t="n">
        <v>0.55</v>
      </c>
      <c r="K37" s="26" t="n">
        <v>0</v>
      </c>
      <c r="L37" s="26" t="n">
        <v>65.86</v>
      </c>
      <c r="M37" s="26" t="n">
        <v>49.15</v>
      </c>
      <c r="N37" s="26" t="n">
        <v>3909.13</v>
      </c>
      <c r="O37" s="25" t="inlineStr">
        <is>
          <t>Earnings / Momentum Support</t>
        </is>
      </c>
      <c r="P37" s="25" t="inlineStr">
        <is>
          <t>Cyclical in an Upturn</t>
        </is>
      </c>
      <c r="Q37" s="25">
        <f>IF(P37="Growing Industry",10,IF(P37="Cyclical in an Upturn",5,0))</f>
        <v/>
      </c>
      <c r="R37" s="25" t="inlineStr">
        <is>
          <t>Too Many Players with High ROCE</t>
        </is>
      </c>
      <c r="S37" s="25">
        <f>IF(R37="Monopoly",10,IF(R37="Oligopoly",5,IF(R37="Duopoly that cooperate",10,IF(R37="Duopoly that compete",5,IF(R37="Too many players with High ROCE",5,0)))))</f>
        <v/>
      </c>
      <c r="T37" s="25" t="inlineStr">
        <is>
          <t>No</t>
        </is>
      </c>
      <c r="U37" s="25">
        <f>IF(T37="No",5,0)</f>
        <v/>
      </c>
      <c r="V37" s="25" t="inlineStr">
        <is>
          <t>Tailwind</t>
        </is>
      </c>
      <c r="W37" s="25">
        <f>IF(V37="Tailwind",10,0)</f>
        <v/>
      </c>
      <c r="X37" s="25" t="inlineStr">
        <is>
          <t>Structural (10 Years Consistency)</t>
        </is>
      </c>
      <c r="Y37" s="25">
        <f>IF(X37="Structural (10 Years Consistency)",10,IF(X37="Shallow Cyclical (2 to 3 years growth)",5,0))</f>
        <v/>
      </c>
      <c r="Z37" s="25" t="inlineStr">
        <is>
          <t>No</t>
        </is>
      </c>
      <c r="AA37" s="25">
        <f>IF(Z37="Yes due to Product Mix change or Operating Leverage",10,IF(Z37="Yes, these are peak margins",-5,IF(Z37="No",5,0)))</f>
        <v/>
      </c>
      <c r="AB37" s="25" t="inlineStr">
        <is>
          <t>Stable</t>
        </is>
      </c>
      <c r="AC37" s="25">
        <f>IF(AB37="Stable",10,0)</f>
        <v/>
      </c>
      <c r="AD37" s="25" t="inlineStr">
        <is>
          <t>Yes</t>
        </is>
      </c>
      <c r="AE37" s="25">
        <f>IF(AD37="Yes",10,0)</f>
        <v/>
      </c>
      <c r="AF37" s="25" t="inlineStr">
        <is>
          <t>B2B</t>
        </is>
      </c>
      <c r="AG37" s="25">
        <f>IF(AF37="B2C",10,IF(AF37="B2B",5,0))</f>
        <v/>
      </c>
      <c r="AH37" s="25" t="inlineStr">
        <is>
          <t>No</t>
        </is>
      </c>
      <c r="AI37" s="25">
        <f>IF(AH37="Yes",10,0)</f>
        <v/>
      </c>
      <c r="AJ37" s="25" t="inlineStr">
        <is>
          <t>Higher One Time, Lower Annuity</t>
        </is>
      </c>
      <c r="AK37" s="25">
        <f>IF(AJ37="Fully Annuity",10,IF(AJ37="Higher Annuity, Lower One Time",5,IF(AJ37="Higher One Time, Lower Annuity",3,0)))</f>
        <v/>
      </c>
      <c r="AL37" s="25" t="inlineStr">
        <is>
          <t>Good</t>
        </is>
      </c>
      <c r="AM37" s="25">
        <f>IF(AL37="Good",10,0)</f>
        <v/>
      </c>
      <c r="AN37" s="25" t="inlineStr">
        <is>
          <t>Yes for more than 2 years</t>
        </is>
      </c>
      <c r="AO37" s="25">
        <f>IF(AN37="Yes for more than 2 years",10,IF(AN37="Yes only for next 1 to 2 years",5,0))</f>
        <v/>
      </c>
      <c r="AP37" s="25" t="inlineStr">
        <is>
          <t>Above 40</t>
        </is>
      </c>
      <c r="AQ37" s="25">
        <f>IF(AP37="Above 40",20,IF(AP37="20 to 40",10,IF(AP37="0 to 20",-5,0)))</f>
        <v/>
      </c>
      <c r="AR37" s="25" t="inlineStr">
        <is>
          <t>Between 50 to 75</t>
        </is>
      </c>
      <c r="AS37" s="25">
        <f>IF(AR37="Between 50 to 75",10,IF(AR37="Above 75",0,0))</f>
        <v/>
      </c>
      <c r="AT37" s="25" t="inlineStr">
        <is>
          <t>Stage 2</t>
        </is>
      </c>
      <c r="AU37" s="25">
        <f>IF(AT37="Stage 2",20,IF(AT37="Stage 1",0,IF(AT37="Stage 3",5,IF(AT37="Stage 4",-5,0))))</f>
        <v/>
      </c>
      <c r="AV37" s="25" t="inlineStr">
        <is>
          <t>Positive Trend</t>
        </is>
      </c>
      <c r="AW37" s="25">
        <f>IF(AV37="Positive Trend",20,IF(AV37="Negative Trend",-10,0))</f>
        <v/>
      </c>
      <c r="AX37" s="25" t="inlineStr">
        <is>
          <t>Uptrend</t>
        </is>
      </c>
      <c r="AY37" s="25">
        <f>IF(AX37="Uptrend",10,IF(AX37="Sideways",5,0))</f>
        <v/>
      </c>
      <c r="AZ37" s="25" t="inlineStr">
        <is>
          <t>Uptrend</t>
        </is>
      </c>
      <c r="BA37" s="25">
        <f>IF(AZ37="Uptrend",10,IF(AZ37="Sideways",5,0))</f>
        <v/>
      </c>
      <c r="BB37" s="25" t="inlineStr">
        <is>
          <t>Close to 52 week high or retracement</t>
        </is>
      </c>
      <c r="BC37" s="25">
        <f>IF(BB37="Overhead supply in last 2 years in last 2 years",-5,IF(BB37="Close to 52 week high or retracement",5,IF(BB37="Blue sky scenario",10,IF(BB37="Long term Downtrend",-10,0))))</f>
        <v/>
      </c>
      <c r="BD37" s="25" t="inlineStr">
        <is>
          <t>Yes</t>
        </is>
      </c>
      <c r="BE37" s="25">
        <f>IF(BD37="Yes",10,0)</f>
        <v/>
      </c>
      <c r="BF37" s="25" t="inlineStr">
        <is>
          <t>More than 20%</t>
        </is>
      </c>
      <c r="BG37" s="25">
        <f>IF(BF37="More than 20%",10,IF(BF37="Between 12 to 20%",5,IF(BF37="Less than 12%",0,0)))</f>
        <v/>
      </c>
      <c r="BH37" s="25" t="inlineStr">
        <is>
          <t>No</t>
        </is>
      </c>
      <c r="BI37" s="25">
        <f>IF(BH37="No",10,0)</f>
        <v/>
      </c>
      <c r="BJ37" s="25" t="inlineStr">
        <is>
          <t>Yes</t>
        </is>
      </c>
      <c r="BK37" s="25">
        <f>IF(BJ37="NO",5,0)</f>
        <v/>
      </c>
      <c r="BL37" s="25" t="inlineStr">
        <is>
          <t>Less than 1.5</t>
        </is>
      </c>
      <c r="BM37" s="25">
        <f>IF(BL37="Above 2",0,IF(BL37="Between 1.5 to 2",5,IF(BL37="Less than 1.5",10,0)))</f>
        <v/>
      </c>
      <c r="BN37" s="25" t="inlineStr">
        <is>
          <t>Above 70%</t>
        </is>
      </c>
      <c r="BO37" s="25">
        <f>IF(BN37="Above 70%",10,IF(BN37="Between 50% to 70%",5,IF(BN37="Less than 50%",0,IF(BN37="Negative",-10,IF(BN37="Less than 50% and Borrowings are increasing",-5,0)))))</f>
        <v/>
      </c>
      <c r="BP37" s="25" t="inlineStr">
        <is>
          <t>Less than 0.7</t>
        </is>
      </c>
      <c r="BQ37" s="25">
        <f>IF(BP37="More than 1.2",-10,IF(BP37="Between 0.7 to 1.2",0,IF(BP37="Less than 0.7",10,0)))</f>
        <v/>
      </c>
      <c r="BR37" s="25" t="inlineStr">
        <is>
          <t>No</t>
        </is>
      </c>
      <c r="BS37" s="25">
        <f>IF(BR37="Yes",-10,0)</f>
        <v/>
      </c>
      <c r="BT37" s="25" t="inlineStr">
        <is>
          <t>Less than 15%</t>
        </is>
      </c>
      <c r="BU37" s="25">
        <f>IF(BT37="More than 15%",-10,IF(BT37="Less than 15%",10,0))</f>
        <v/>
      </c>
      <c r="BV37" s="25" t="inlineStr">
        <is>
          <t>No</t>
        </is>
      </c>
      <c r="BW37" s="25">
        <f>IF(BV37="Yes, more than 10%",-10,IF(BV37="No",10,0))</f>
        <v/>
      </c>
      <c r="BX37" s="25" t="inlineStr">
        <is>
          <t>22</t>
        </is>
      </c>
      <c r="BY37" s="25">
        <f>IF(BX37&gt;20,10,IF(BX37&gt;=10,5,2))</f>
        <v/>
      </c>
    </row>
    <row r="38">
      <c r="A38" s="25">
        <f>IF(B38=0,"",RANK(B38,$B$2:$B$95,0))</f>
        <v/>
      </c>
      <c r="B38" s="26">
        <f>SUM(Q38,S38,U38,W38,Y38,AA38,AC38,AE38,AG38,AI38,AK38,AM38,AO38,AQ38,AS38,AU38,AW38,AY38,BA38,BC38,BE38,BG38,BI38,BK38,BM38,BO38,BQ38,BS38,BU38,BW38,BY38)</f>
        <v/>
      </c>
      <c r="C38" s="25" t="inlineStr">
        <is>
          <t>MOTHERSON</t>
        </is>
      </c>
      <c r="D38" s="25" t="inlineStr">
        <is>
          <t>Samvardhana Motherson International Ltd</t>
        </is>
      </c>
      <c r="E38" s="25" t="inlineStr">
        <is>
          <t>auto</t>
        </is>
      </c>
      <c r="F38" s="25" t="inlineStr">
        <is>
          <t>Auto Ancillaries - Diversified</t>
        </is>
      </c>
      <c r="G38" s="25" t="inlineStr">
        <is>
          <t>largecap</t>
        </is>
      </c>
      <c r="H38" s="26" t="n">
        <v>152923.32</v>
      </c>
      <c r="I38" s="26" t="n">
        <v>144.89</v>
      </c>
      <c r="J38" s="26" t="n">
        <v>2.2</v>
      </c>
      <c r="K38" s="26" t="n">
        <v>0</v>
      </c>
      <c r="L38" s="26" t="n">
        <v>67.3</v>
      </c>
      <c r="M38" s="26" t="n">
        <v>18.72</v>
      </c>
      <c r="N38" s="26" t="n">
        <v>115.6</v>
      </c>
      <c r="O38" s="25" t="inlineStr">
        <is>
          <t>Near 52W High Breakout</t>
        </is>
      </c>
      <c r="P38" s="25" t="inlineStr">
        <is>
          <t>Growing Industry</t>
        </is>
      </c>
      <c r="Q38" s="25">
        <f>IF(P38="Growing Industry",10,IF(P38="Cyclical in an Upturn",5,0))</f>
        <v/>
      </c>
      <c r="R38" s="25" t="inlineStr">
        <is>
          <t>Too Many Players with High ROCE</t>
        </is>
      </c>
      <c r="S38" s="25">
        <f>IF(R38="Monopoly",10,IF(R38="Oligopoly",5,IF(R38="Duopoly that cooperate",10,IF(R38="Duopoly that compete",5,IF(R38="Too many players with High ROCE",5,0)))))</f>
        <v/>
      </c>
      <c r="T38" s="25" t="inlineStr">
        <is>
          <t>No</t>
        </is>
      </c>
      <c r="U38" s="25">
        <f>IF(T38="No",5,0)</f>
        <v/>
      </c>
      <c r="V38" s="25" t="inlineStr">
        <is>
          <t>Tailwind</t>
        </is>
      </c>
      <c r="W38" s="25">
        <f>IF(V38="Tailwind",10,0)</f>
        <v/>
      </c>
      <c r="X38" s="25" t="inlineStr">
        <is>
          <t>Structural (10 Years Consistency)</t>
        </is>
      </c>
      <c r="Y38" s="25">
        <f>IF(X38="Structural (10 Years Consistency)",10,IF(X38="Shallow Cyclical (2 to 3 years growth)",5,0))</f>
        <v/>
      </c>
      <c r="Z38" s="25" t="inlineStr">
        <is>
          <t>No</t>
        </is>
      </c>
      <c r="AA38" s="25">
        <f>IF(Z38="Yes due to Product Mix change or Operating Leverage",10,IF(Z38="Yes, these are peak margins",-5,IF(Z38="No",5,0)))</f>
        <v/>
      </c>
      <c r="AB38" s="25" t="inlineStr">
        <is>
          <t>Stable</t>
        </is>
      </c>
      <c r="AC38" s="25">
        <f>IF(AB38="Stable",10,0)</f>
        <v/>
      </c>
      <c r="AD38" s="25" t="inlineStr">
        <is>
          <t>Yes</t>
        </is>
      </c>
      <c r="AE38" s="25">
        <f>IF(AD38="Yes",10,0)</f>
        <v/>
      </c>
      <c r="AF38" s="25" t="inlineStr">
        <is>
          <t>B2B</t>
        </is>
      </c>
      <c r="AG38" s="25">
        <f>IF(AF38="B2C",10,IF(AF38="B2B",5,0))</f>
        <v/>
      </c>
      <c r="AH38" s="25" t="inlineStr">
        <is>
          <t>Yes</t>
        </is>
      </c>
      <c r="AI38" s="25">
        <f>IF(AH38="Yes",10,0)</f>
        <v/>
      </c>
      <c r="AJ38" s="25" t="inlineStr">
        <is>
          <t>Higher One Time, Lower Annuity</t>
        </is>
      </c>
      <c r="AK38" s="25">
        <f>IF(AJ38="Fully Annuity",10,IF(AJ38="Higher Annuity, Lower One Time",5,IF(AJ38="Higher One Time, Lower Annuity",3,0)))</f>
        <v/>
      </c>
      <c r="AL38" s="25" t="inlineStr">
        <is>
          <t>Good</t>
        </is>
      </c>
      <c r="AM38" s="25">
        <f>IF(AL38="Good",10,0)</f>
        <v/>
      </c>
      <c r="AN38" s="25" t="inlineStr">
        <is>
          <t>Yes for more than 2 years</t>
        </is>
      </c>
      <c r="AO38" s="25">
        <f>IF(AN38="Yes for more than 2 years",10,IF(AN38="Yes only for next 1 to 2 years",5,0))</f>
        <v/>
      </c>
      <c r="AP38" s="25" t="inlineStr">
        <is>
          <t>0 to 20</t>
        </is>
      </c>
      <c r="AQ38" s="25">
        <f>IF(AP38="Above 40",20,IF(AP38="20 to 40",10,IF(AP38="0 to 20",-5,0)))</f>
        <v/>
      </c>
      <c r="AR38" s="25" t="inlineStr">
        <is>
          <t>Between 50 to 75</t>
        </is>
      </c>
      <c r="AS38" s="25">
        <f>IF(AR38="Between 50 to 75",10,IF(AR38="Above 75",0,0))</f>
        <v/>
      </c>
      <c r="AT38" s="25" t="inlineStr">
        <is>
          <t>Stage 2</t>
        </is>
      </c>
      <c r="AU38" s="25">
        <f>IF(AT38="Stage 2",20,IF(AT38="Stage 1",0,IF(AT38="Stage 3",5,IF(AT38="Stage 4",-5,0))))</f>
        <v/>
      </c>
      <c r="AV38" s="25" t="inlineStr">
        <is>
          <t>Positive Trend</t>
        </is>
      </c>
      <c r="AW38" s="25">
        <f>IF(AV38="Positive Trend",20,IF(AV38="Negative Trend",-10,0))</f>
        <v/>
      </c>
      <c r="AX38" s="25" t="inlineStr">
        <is>
          <t>Uptrend</t>
        </is>
      </c>
      <c r="AY38" s="25">
        <f>IF(AX38="Uptrend",10,IF(AX38="Sideways",5,0))</f>
        <v/>
      </c>
      <c r="AZ38" s="25" t="inlineStr">
        <is>
          <t>Uptrend</t>
        </is>
      </c>
      <c r="BA38" s="25">
        <f>IF(AZ38="Uptrend",10,IF(AZ38="Sideways",5,0))</f>
        <v/>
      </c>
      <c r="BB38" s="25" t="inlineStr">
        <is>
          <t>Blue sky scenario</t>
        </is>
      </c>
      <c r="BC38" s="25">
        <f>IF(BB38="Overhead supply in last 2 years in last 2 years",-5,IF(BB38="Close to 52 week high or retracement",5,IF(BB38="Blue sky scenario",10,IF(BB38="Long term Downtrend",-10,0))))</f>
        <v/>
      </c>
      <c r="BD38" s="25" t="inlineStr">
        <is>
          <t>Yes</t>
        </is>
      </c>
      <c r="BE38" s="25">
        <f>IF(BD38="Yes",10,0)</f>
        <v/>
      </c>
      <c r="BF38" s="25" t="inlineStr">
        <is>
          <t>More than 20%</t>
        </is>
      </c>
      <c r="BG38" s="25">
        <f>IF(BF38="More than 20%",10,IF(BF38="Between 12 to 20%",5,IF(BF38="Less than 12%",0,0)))</f>
        <v/>
      </c>
      <c r="BH38" s="25" t="inlineStr">
        <is>
          <t>No</t>
        </is>
      </c>
      <c r="BI38" s="25">
        <f>IF(BH38="No",10,0)</f>
        <v/>
      </c>
      <c r="BJ38" s="25" t="inlineStr">
        <is>
          <t>No</t>
        </is>
      </c>
      <c r="BK38" s="25">
        <f>IF(BJ38="NO",5,0)</f>
        <v/>
      </c>
      <c r="BL38" s="25" t="inlineStr">
        <is>
          <t>Less than 1.5</t>
        </is>
      </c>
      <c r="BM38" s="25">
        <f>IF(BL38="Above 2",0,IF(BL38="Between 1.5 to 2",5,IF(BL38="Less than 1.5",10,0)))</f>
        <v/>
      </c>
      <c r="BN38" s="25" t="inlineStr">
        <is>
          <t>Above 70%</t>
        </is>
      </c>
      <c r="BO38" s="25">
        <f>IF(BN38="Above 70%",10,IF(BN38="Between 50% to 70%",5,IF(BN38="Less than 50%",0,IF(BN38="Negative",-10,IF(BN38="Less than 50% and Borrowings are increasing",-5,0)))))</f>
        <v/>
      </c>
      <c r="BP38" s="25" t="inlineStr">
        <is>
          <t>Less than 0.7</t>
        </is>
      </c>
      <c r="BQ38" s="25">
        <f>IF(BP38="More than 1.2",-10,IF(BP38="Between 0.7 to 1.2",0,IF(BP38="Less than 0.7",10,0)))</f>
        <v/>
      </c>
      <c r="BR38" s="25" t="inlineStr">
        <is>
          <t>No</t>
        </is>
      </c>
      <c r="BS38" s="25">
        <f>IF(BR38="Yes",-10,0)</f>
        <v/>
      </c>
      <c r="BT38" s="25" t="inlineStr">
        <is>
          <t>Less than 15%</t>
        </is>
      </c>
      <c r="BU38" s="25">
        <f>IF(BT38="More than 15%",-10,IF(BT38="Less than 15%",10,0))</f>
        <v/>
      </c>
      <c r="BV38" s="25" t="inlineStr">
        <is>
          <t>No</t>
        </is>
      </c>
      <c r="BW38" s="25">
        <f>IF(BV38="Yes, more than 10%",-10,IF(BV38="No",10,0))</f>
        <v/>
      </c>
      <c r="BX38" s="25" t="inlineStr">
        <is>
          <t>20</t>
        </is>
      </c>
      <c r="BY38" s="25">
        <f>IF(BX38&gt;20,10,IF(BX38&gt;=10,5,2))</f>
        <v/>
      </c>
    </row>
    <row r="39">
      <c r="A39" s="25">
        <f>IF(B39=0,"",RANK(B39,$B$2:$B$95,0))</f>
        <v/>
      </c>
      <c r="B39" s="26">
        <f>SUM(Q39,S39,U39,W39,Y39,AA39,AC39,AE39,AG39,AI39,AK39,AM39,AO39,AQ39,AS39,AU39,AW39,AY39,BA39,BC39,BE39,BG39,BI39,BK39,BM39,BO39,BQ39,BS39,BU39,BW39,BY39)</f>
        <v/>
      </c>
      <c r="C39" s="25" t="inlineStr">
        <is>
          <t>SUNRAKSHAK</t>
        </is>
      </c>
      <c r="D39" s="25" t="inlineStr">
        <is>
          <t>Sunrakshakk Industries India Ltd</t>
        </is>
      </c>
      <c r="E39" s="25" t="inlineStr">
        <is>
          <t>Consumer Cyclical</t>
        </is>
      </c>
      <c r="F39" s="25" t="inlineStr">
        <is>
          <t>Textiles - Processing/Texturising</t>
        </is>
      </c>
      <c r="G39" s="25" t="inlineStr">
        <is>
          <t>smallcap</t>
        </is>
      </c>
      <c r="H39" s="26" t="n">
        <v>1079.03</v>
      </c>
      <c r="I39" s="26" t="n">
        <v>348</v>
      </c>
      <c r="J39" s="26" t="n">
        <v>-0.68</v>
      </c>
      <c r="K39" s="26" t="n">
        <v>0</v>
      </c>
      <c r="L39" s="26" t="n">
        <v>70.59999999999999</v>
      </c>
      <c r="M39" s="26" t="n">
        <v>32.75</v>
      </c>
      <c r="N39" s="26" t="n">
        <v>271.95</v>
      </c>
      <c r="O39" s="25" t="inlineStr">
        <is>
          <t>Near 52W High Breakout</t>
        </is>
      </c>
      <c r="P39" s="25" t="inlineStr">
        <is>
          <t>Growing Industry</t>
        </is>
      </c>
      <c r="Q39" s="25">
        <f>IF(P39="Growing Industry",10,IF(P39="Cyclical in an Upturn",5,0))</f>
        <v/>
      </c>
      <c r="R39" s="25" t="inlineStr">
        <is>
          <t>Too Many Players with High ROCE</t>
        </is>
      </c>
      <c r="S39" s="25">
        <f>IF(R39="Monopoly",10,IF(R39="Oligopoly",5,IF(R39="Duopoly that cooperate",10,IF(R39="Duopoly that compete",5,IF(R39="Too many players with High ROCE",5,0)))))</f>
        <v/>
      </c>
      <c r="T39" s="25" t="inlineStr">
        <is>
          <t>No</t>
        </is>
      </c>
      <c r="U39" s="25">
        <f>IF(T39="No",5,0)</f>
        <v/>
      </c>
      <c r="V39" s="25" t="inlineStr">
        <is>
          <t>Tailwind</t>
        </is>
      </c>
      <c r="W39" s="25">
        <f>IF(V39="Tailwind",10,0)</f>
        <v/>
      </c>
      <c r="X39" s="25" t="inlineStr">
        <is>
          <t>Structural (10 Years Consistency)</t>
        </is>
      </c>
      <c r="Y39" s="25">
        <f>IF(X39="Structural (10 Years Consistency)",10,IF(X39="Shallow Cyclical (2 to 3 years growth)",5,0))</f>
        <v/>
      </c>
      <c r="Z39" s="25" t="inlineStr">
        <is>
          <t>No</t>
        </is>
      </c>
      <c r="AA39" s="25">
        <f>IF(Z39="Yes due to Product Mix change or Operating Leverage",10,IF(Z39="Yes, these are peak margins",-5,IF(Z39="No",5,0)))</f>
        <v/>
      </c>
      <c r="AB39" s="25" t="inlineStr">
        <is>
          <t>Stable</t>
        </is>
      </c>
      <c r="AC39" s="25">
        <f>IF(AB39="Stable",10,0)</f>
        <v/>
      </c>
      <c r="AD39" s="25" t="inlineStr">
        <is>
          <t>Yes</t>
        </is>
      </c>
      <c r="AE39" s="25">
        <f>IF(AD39="Yes",10,0)</f>
        <v/>
      </c>
      <c r="AF39" s="25" t="inlineStr">
        <is>
          <t>B2C</t>
        </is>
      </c>
      <c r="AG39" s="25">
        <f>IF(AF39="B2C",10,IF(AF39="B2B",5,0))</f>
        <v/>
      </c>
      <c r="AH39" s="25" t="inlineStr">
        <is>
          <t>Yes</t>
        </is>
      </c>
      <c r="AI39" s="25">
        <f>IF(AH39="Yes",10,0)</f>
        <v/>
      </c>
      <c r="AJ39" s="25" t="inlineStr">
        <is>
          <t>Higher One Time, Lower Annuity</t>
        </is>
      </c>
      <c r="AK39" s="25">
        <f>IF(AJ39="Fully Annuity",10,IF(AJ39="Higher Annuity, Lower One Time",5,IF(AJ39="Higher One Time, Lower Annuity",3,0)))</f>
        <v/>
      </c>
      <c r="AL39" s="25" t="inlineStr">
        <is>
          <t>Good</t>
        </is>
      </c>
      <c r="AM39" s="25">
        <f>IF(AL39="Good",10,0)</f>
        <v/>
      </c>
      <c r="AN39" s="25" t="inlineStr">
        <is>
          <t>Yes for more than 2 years</t>
        </is>
      </c>
      <c r="AO39" s="25">
        <f>IF(AN39="Yes for more than 2 years",10,IF(AN39="Yes only for next 1 to 2 years",5,0))</f>
        <v/>
      </c>
      <c r="AP39" s="25" t="inlineStr">
        <is>
          <t>20 to 40</t>
        </is>
      </c>
      <c r="AQ39" s="25">
        <f>IF(AP39="Above 40",20,IF(AP39="20 to 40",10,IF(AP39="0 to 20",-5,0)))</f>
        <v/>
      </c>
      <c r="AR39" s="25" t="inlineStr">
        <is>
          <t>Between 50 to 75</t>
        </is>
      </c>
      <c r="AS39" s="25">
        <f>IF(AR39="Between 50 to 75",10,IF(AR39="Above 75",0,0))</f>
        <v/>
      </c>
      <c r="AT39" s="25" t="inlineStr">
        <is>
          <t>Stage 2</t>
        </is>
      </c>
      <c r="AU39" s="25">
        <f>IF(AT39="Stage 2",20,IF(AT39="Stage 1",0,IF(AT39="Stage 3",5,IF(AT39="Stage 4",-5,0))))</f>
        <v/>
      </c>
      <c r="AV39" s="25" t="inlineStr">
        <is>
          <t>Positive Trend</t>
        </is>
      </c>
      <c r="AW39" s="25">
        <f>IF(AV39="Positive Trend",20,IF(AV39="Negative Trend",-10,0))</f>
        <v/>
      </c>
      <c r="AX39" s="25" t="inlineStr">
        <is>
          <t>Uptrend</t>
        </is>
      </c>
      <c r="AY39" s="25">
        <f>IF(AX39="Uptrend",10,IF(AX39="Sideways",5,0))</f>
        <v/>
      </c>
      <c r="AZ39" s="25" t="inlineStr">
        <is>
          <t>Uptrend</t>
        </is>
      </c>
      <c r="BA39" s="25">
        <f>IF(AZ39="Uptrend",10,IF(AZ39="Sideways",5,0))</f>
        <v/>
      </c>
      <c r="BB39" s="25" t="inlineStr">
        <is>
          <t>Blue sky scenario</t>
        </is>
      </c>
      <c r="BC39" s="25">
        <f>IF(BB39="Overhead supply in last 2 years in last 2 years",-5,IF(BB39="Close to 52 week high or retracement",5,IF(BB39="Blue sky scenario",10,IF(BB39="Long term Downtrend",-10,0))))</f>
        <v/>
      </c>
      <c r="BD39" s="25" t="inlineStr">
        <is>
          <t>Yes</t>
        </is>
      </c>
      <c r="BE39" s="25">
        <f>IF(BD39="Yes",10,0)</f>
        <v/>
      </c>
      <c r="BF39" s="25" t="inlineStr">
        <is>
          <t>More than 20%</t>
        </is>
      </c>
      <c r="BG39" s="25">
        <f>IF(BF39="More than 20%",10,IF(BF39="Between 12 to 20%",5,IF(BF39="Less than 12%",0,0)))</f>
        <v/>
      </c>
      <c r="BH39" s="25" t="inlineStr">
        <is>
          <t>No</t>
        </is>
      </c>
      <c r="BI39" s="25">
        <f>IF(BH39="No",10,0)</f>
        <v/>
      </c>
      <c r="BJ39" s="25" t="inlineStr">
        <is>
          <t>No</t>
        </is>
      </c>
      <c r="BK39" s="25">
        <f>IF(BJ39="NO",5,0)</f>
        <v/>
      </c>
      <c r="BL39" s="25" t="inlineStr">
        <is>
          <t>Less than 1.5</t>
        </is>
      </c>
      <c r="BM39" s="25">
        <f>IF(BL39="Above 2",0,IF(BL39="Between 1.5 to 2",5,IF(BL39="Less than 1.5",10,0)))</f>
        <v/>
      </c>
      <c r="BN39" s="25" t="inlineStr">
        <is>
          <t>Negative</t>
        </is>
      </c>
      <c r="BO39" s="25">
        <f>IF(BN39="Above 70%",10,IF(BN39="Between 50% to 70%",5,IF(BN39="Less than 50%",0,IF(BN39="Negative",-10,IF(BN39="Less than 50% and Borrowings are increasing",-5,0)))))</f>
        <v/>
      </c>
      <c r="BP39" s="25" t="inlineStr">
        <is>
          <t>Less than 0.7</t>
        </is>
      </c>
      <c r="BQ39" s="25">
        <f>IF(BP39="More than 1.2",-10,IF(BP39="Between 0.7 to 1.2",0,IF(BP39="Less than 0.7",10,0)))</f>
        <v/>
      </c>
      <c r="BR39" s="25" t="inlineStr">
        <is>
          <t>No</t>
        </is>
      </c>
      <c r="BS39" s="25">
        <f>IF(BR39="Yes",-10,0)</f>
        <v/>
      </c>
      <c r="BT39" s="25" t="inlineStr">
        <is>
          <t>Less than 15%</t>
        </is>
      </c>
      <c r="BU39" s="25">
        <f>IF(BT39="More than 15%",-10,IF(BT39="Less than 15%",10,0))</f>
        <v/>
      </c>
      <c r="BV39" s="25" t="inlineStr">
        <is>
          <t>No</t>
        </is>
      </c>
      <c r="BW39" s="25">
        <f>IF(BV39="Yes, more than 10%",-10,IF(BV39="No",10,0))</f>
        <v/>
      </c>
      <c r="BX39" s="25" t="inlineStr">
        <is>
          <t>20</t>
        </is>
      </c>
      <c r="BY39" s="25">
        <f>IF(BX39&gt;20,10,IF(BX39&gt;=10,5,2))</f>
        <v/>
      </c>
    </row>
    <row r="40">
      <c r="A40" s="25">
        <f>IF(B40=0,"",RANK(B40,$B$2:$B$95,0))</f>
        <v/>
      </c>
      <c r="B40" s="26">
        <f>SUM(Q40,S40,U40,W40,Y40,AA40,AC40,AE40,AG40,AI40,AK40,AM40,AO40,AQ40,AS40,AU40,AW40,AY40,BA40,BC40,BE40,BG40,BI40,BK40,BM40,BO40,BQ40,BS40,BU40,BW40,BY40)</f>
        <v/>
      </c>
      <c r="C40" s="25" t="inlineStr">
        <is>
          <t>MAYURUNIQ</t>
        </is>
      </c>
      <c r="D40" s="25" t="inlineStr">
        <is>
          <t>Mayur Uniquoters Ltd</t>
        </is>
      </c>
      <c r="E40" s="25" t="inlineStr">
        <is>
          <t>consumer discretionary</t>
        </is>
      </c>
      <c r="F40" s="25" t="inlineStr">
        <is>
          <t>Plastics - Plastic &amp; Plastic Products</t>
        </is>
      </c>
      <c r="G40" s="25" t="inlineStr">
        <is>
          <t>smallcap</t>
        </is>
      </c>
      <c r="H40" s="26" t="n">
        <v>3238.31</v>
      </c>
      <c r="I40" s="26" t="n">
        <v>745.25</v>
      </c>
      <c r="J40" s="26" t="n">
        <v>1.43</v>
      </c>
      <c r="K40" s="26" t="n">
        <v>0</v>
      </c>
      <c r="L40" s="26" t="n">
        <v>76</v>
      </c>
      <c r="M40" s="26" t="n">
        <v>31.28</v>
      </c>
      <c r="N40" s="26" t="n">
        <v>591.3</v>
      </c>
      <c r="O40" s="25" t="inlineStr">
        <is>
          <t>Near 52W High Breakout</t>
        </is>
      </c>
      <c r="P40" s="25" t="inlineStr">
        <is>
          <t>Growing Industry</t>
        </is>
      </c>
      <c r="Q40" s="25">
        <f>IF(P40="Growing Industry",10,IF(P40="Cyclical in an Upturn",5,0))</f>
        <v/>
      </c>
      <c r="R40" s="25" t="inlineStr">
        <is>
          <t>Too Many Players with High ROCE</t>
        </is>
      </c>
      <c r="S40" s="25">
        <f>IF(R40="Monopoly",10,IF(R40="Oligopoly",5,IF(R40="Duopoly that cooperate",10,IF(R40="Duopoly that compete",5,IF(R40="Too many players with High ROCE",5,0)))))</f>
        <v/>
      </c>
      <c r="T40" s="25" t="inlineStr">
        <is>
          <t>No</t>
        </is>
      </c>
      <c r="U40" s="25">
        <f>IF(T40="No",5,0)</f>
        <v/>
      </c>
      <c r="V40" s="25" t="inlineStr">
        <is>
          <t>Tailwind</t>
        </is>
      </c>
      <c r="W40" s="25">
        <f>IF(V40="Tailwind",10,0)</f>
        <v/>
      </c>
      <c r="X40" s="25" t="inlineStr">
        <is>
          <t>Structural (10 Years Consistency)</t>
        </is>
      </c>
      <c r="Y40" s="25">
        <f>IF(X40="Structural (10 Years Consistency)",10,IF(X40="Shallow Cyclical (2 to 3 years growth)",5,0))</f>
        <v/>
      </c>
      <c r="Z40" s="25" t="inlineStr">
        <is>
          <t>No</t>
        </is>
      </c>
      <c r="AA40" s="25">
        <f>IF(Z40="Yes due to Product Mix change or Operating Leverage",10,IF(Z40="Yes, these are peak margins",-5,IF(Z40="No",5,0)))</f>
        <v/>
      </c>
      <c r="AB40" s="25" t="inlineStr">
        <is>
          <t>Stable</t>
        </is>
      </c>
      <c r="AC40" s="25">
        <f>IF(AB40="Stable",10,0)</f>
        <v/>
      </c>
      <c r="AD40" s="25" t="inlineStr">
        <is>
          <t>Yes</t>
        </is>
      </c>
      <c r="AE40" s="25">
        <f>IF(AD40="Yes",10,0)</f>
        <v/>
      </c>
      <c r="AF40" s="25" t="inlineStr">
        <is>
          <t>B2B</t>
        </is>
      </c>
      <c r="AG40" s="25">
        <f>IF(AF40="B2C",10,IF(AF40="B2B",5,0))</f>
        <v/>
      </c>
      <c r="AH40" s="25" t="inlineStr">
        <is>
          <t>Yes</t>
        </is>
      </c>
      <c r="AI40" s="25">
        <f>IF(AH40="Yes",10,0)</f>
        <v/>
      </c>
      <c r="AJ40" s="25" t="inlineStr">
        <is>
          <t>Higher One Time, Lower Annuity</t>
        </is>
      </c>
      <c r="AK40" s="25">
        <f>IF(AJ40="Fully Annuity",10,IF(AJ40="Higher Annuity, Lower One Time",5,IF(AJ40="Higher One Time, Lower Annuity",3,0)))</f>
        <v/>
      </c>
      <c r="AL40" s="25" t="inlineStr">
        <is>
          <t>Good</t>
        </is>
      </c>
      <c r="AM40" s="25">
        <f>IF(AL40="Good",10,0)</f>
        <v/>
      </c>
      <c r="AN40" s="25" t="inlineStr">
        <is>
          <t>Yes for more than 2 years</t>
        </is>
      </c>
      <c r="AO40" s="25">
        <f>IF(AN40="Yes for more than 2 years",10,IF(AN40="Yes only for next 1 to 2 years",5,0))</f>
        <v/>
      </c>
      <c r="AP40" s="25" t="inlineStr">
        <is>
          <t>20 to 40</t>
        </is>
      </c>
      <c r="AQ40" s="25">
        <f>IF(AP40="Above 40",20,IF(AP40="20 to 40",10,IF(AP40="0 to 20",-5,0)))</f>
        <v/>
      </c>
      <c r="AR40" s="25" t="inlineStr">
        <is>
          <t>Above 75</t>
        </is>
      </c>
      <c r="AS40" s="25">
        <f>IF(AR40="Between 50 to 75",10,IF(AR40="Above 75",0,0))</f>
        <v/>
      </c>
      <c r="AT40" s="25" t="inlineStr">
        <is>
          <t>Stage 2</t>
        </is>
      </c>
      <c r="AU40" s="25">
        <f>IF(AT40="Stage 2",20,IF(AT40="Stage 1",0,IF(AT40="Stage 3",5,IF(AT40="Stage 4",-5,0))))</f>
        <v/>
      </c>
      <c r="AV40" s="25" t="inlineStr">
        <is>
          <t>Positive Trend</t>
        </is>
      </c>
      <c r="AW40" s="25">
        <f>IF(AV40="Positive Trend",20,IF(AV40="Negative Trend",-10,0))</f>
        <v/>
      </c>
      <c r="AX40" s="25" t="inlineStr">
        <is>
          <t>Uptrend</t>
        </is>
      </c>
      <c r="AY40" s="25">
        <f>IF(AX40="Uptrend",10,IF(AX40="Sideways",5,0))</f>
        <v/>
      </c>
      <c r="AZ40" s="25" t="inlineStr">
        <is>
          <t>Uptrend</t>
        </is>
      </c>
      <c r="BA40" s="25">
        <f>IF(AZ40="Uptrend",10,IF(AZ40="Sideways",5,0))</f>
        <v/>
      </c>
      <c r="BB40" s="25" t="inlineStr">
        <is>
          <t>Blue sky scenario</t>
        </is>
      </c>
      <c r="BC40" s="25">
        <f>IF(BB40="Overhead supply in last 2 years in last 2 years",-5,IF(BB40="Close to 52 week high or retracement",5,IF(BB40="Blue sky scenario",10,IF(BB40="Long term Downtrend",-10,0))))</f>
        <v/>
      </c>
      <c r="BD40" s="25" t="inlineStr">
        <is>
          <t>Yes</t>
        </is>
      </c>
      <c r="BE40" s="25">
        <f>IF(BD40="Yes",10,0)</f>
        <v/>
      </c>
      <c r="BF40" s="25" t="inlineStr">
        <is>
          <t>More than 20%</t>
        </is>
      </c>
      <c r="BG40" s="25">
        <f>IF(BF40="More than 20%",10,IF(BF40="Between 12 to 20%",5,IF(BF40="Less than 12%",0,0)))</f>
        <v/>
      </c>
      <c r="BH40" s="25" t="inlineStr">
        <is>
          <t>No</t>
        </is>
      </c>
      <c r="BI40" s="25">
        <f>IF(BH40="No",10,0)</f>
        <v/>
      </c>
      <c r="BJ40" s="25" t="inlineStr">
        <is>
          <t>No</t>
        </is>
      </c>
      <c r="BK40" s="25">
        <f>IF(BJ40="NO",5,0)</f>
        <v/>
      </c>
      <c r="BL40" s="25" t="inlineStr">
        <is>
          <t>Less than 1.5</t>
        </is>
      </c>
      <c r="BM40" s="25">
        <f>IF(BL40="Above 2",0,IF(BL40="Between 1.5 to 2",5,IF(BL40="Less than 1.5",10,0)))</f>
        <v/>
      </c>
      <c r="BN40" s="25" t="inlineStr">
        <is>
          <t>Between 50% to 70%</t>
        </is>
      </c>
      <c r="BO40" s="25">
        <f>IF(BN40="Above 70%",10,IF(BN40="Between 50% to 70%",5,IF(BN40="Less than 50%",0,IF(BN40="Negative",-10,IF(BN40="Less than 50% and Borrowings are increasing",-5,0)))))</f>
        <v/>
      </c>
      <c r="BP40" s="25" t="inlineStr">
        <is>
          <t>Less than 0.7</t>
        </is>
      </c>
      <c r="BQ40" s="25">
        <f>IF(BP40="More than 1.2",-10,IF(BP40="Between 0.7 to 1.2",0,IF(BP40="Less than 0.7",10,0)))</f>
        <v/>
      </c>
      <c r="BR40" s="25" t="inlineStr">
        <is>
          <t>No</t>
        </is>
      </c>
      <c r="BS40" s="25">
        <f>IF(BR40="Yes",-10,0)</f>
        <v/>
      </c>
      <c r="BT40" s="25" t="inlineStr">
        <is>
          <t>Less than 15%</t>
        </is>
      </c>
      <c r="BU40" s="25">
        <f>IF(BT40="More than 15%",-10,IF(BT40="Less than 15%",10,0))</f>
        <v/>
      </c>
      <c r="BV40" s="25" t="inlineStr">
        <is>
          <t>No</t>
        </is>
      </c>
      <c r="BW40" s="25">
        <f>IF(BV40="Yes, more than 10%",-10,IF(BV40="No",10,0))</f>
        <v/>
      </c>
      <c r="BX40" s="25" t="inlineStr">
        <is>
          <t>19</t>
        </is>
      </c>
      <c r="BY40" s="25">
        <f>IF(BX40&gt;20,10,IF(BX40&gt;=10,5,2))</f>
        <v/>
      </c>
    </row>
    <row r="41">
      <c r="A41" s="25">
        <f>IF(B41=0,"",RANK(B41,$B$2:$B$95,0))</f>
        <v/>
      </c>
      <c r="B41" s="26">
        <f>SUM(Q41,S41,U41,W41,Y41,AA41,AC41,AE41,AG41,AI41,AK41,AM41,AO41,AQ41,AS41,AU41,AW41,AY41,BA41,BC41,BE41,BG41,BI41,BK41,BM41,BO41,BQ41,BS41,BU41,BW41,BY41)</f>
        <v/>
      </c>
      <c r="C41" s="25" t="inlineStr">
        <is>
          <t>POWERINDIA</t>
        </is>
      </c>
      <c r="D41" s="25" t="inlineStr">
        <is>
          <t>Hitachi Energy India Ltd</t>
        </is>
      </c>
      <c r="E41" s="25" t="inlineStr">
        <is>
          <t>industrials</t>
        </is>
      </c>
      <c r="F41" s="25" t="inlineStr">
        <is>
          <t>Electrical Equipments/HVDC</t>
        </is>
      </c>
      <c r="G41" s="25" t="inlineStr">
        <is>
          <t>largecap</t>
        </is>
      </c>
      <c r="H41" s="26" t="n">
        <v>156471.28</v>
      </c>
      <c r="I41" s="26" t="n">
        <v>35105</v>
      </c>
      <c r="J41" s="26" t="n">
        <v>-3.5</v>
      </c>
      <c r="K41" s="26" t="n">
        <v>0</v>
      </c>
      <c r="L41" s="26" t="n">
        <v>68.66</v>
      </c>
      <c r="M41" s="26" t="n">
        <v>59.34</v>
      </c>
      <c r="N41" s="26" t="n">
        <v>30707.04</v>
      </c>
      <c r="O41" s="25" t="inlineStr">
        <is>
          <t>Earnings / Momentum Support</t>
        </is>
      </c>
      <c r="P41" s="25" t="inlineStr">
        <is>
          <t>Cyclical in an Upturn</t>
        </is>
      </c>
      <c r="Q41" s="25">
        <f>IF(P41="Growing Industry",10,IF(P41="Cyclical in an Upturn",5,0))</f>
        <v/>
      </c>
      <c r="R41" s="25" t="inlineStr">
        <is>
          <t>Too Many Players with High ROCE</t>
        </is>
      </c>
      <c r="S41" s="25">
        <f>IF(R41="Monopoly",10,IF(R41="Oligopoly",5,IF(R41="Duopoly that cooperate",10,IF(R41="Duopoly that compete",5,IF(R41="Too many players with High ROCE",5,0)))))</f>
        <v/>
      </c>
      <c r="T41" s="25" t="inlineStr">
        <is>
          <t>No</t>
        </is>
      </c>
      <c r="U41" s="25">
        <f>IF(T41="No",5,0)</f>
        <v/>
      </c>
      <c r="V41" s="25" t="inlineStr">
        <is>
          <t>Tailwind</t>
        </is>
      </c>
      <c r="W41" s="25">
        <f>IF(V41="Tailwind",10,0)</f>
        <v/>
      </c>
      <c r="X41" s="25" t="inlineStr">
        <is>
          <t>Structural (10 Years Consistency)</t>
        </is>
      </c>
      <c r="Y41" s="25">
        <f>IF(X41="Structural (10 Years Consistency)",10,IF(X41="Shallow Cyclical (2 to 3 years growth)",5,0))</f>
        <v/>
      </c>
      <c r="Z41" s="25" t="inlineStr">
        <is>
          <t>No</t>
        </is>
      </c>
      <c r="AA41" s="25">
        <f>IF(Z41="Yes due to Product Mix change or Operating Leverage",10,IF(Z41="Yes, these are peak margins",-5,IF(Z41="No",5,0)))</f>
        <v/>
      </c>
      <c r="AB41" s="25" t="inlineStr">
        <is>
          <t>Stable</t>
        </is>
      </c>
      <c r="AC41" s="25">
        <f>IF(AB41="Stable",10,0)</f>
        <v/>
      </c>
      <c r="AD41" s="25" t="inlineStr">
        <is>
          <t>Yes</t>
        </is>
      </c>
      <c r="AE41" s="25">
        <f>IF(AD41="Yes",10,0)</f>
        <v/>
      </c>
      <c r="AF41" s="25" t="inlineStr">
        <is>
          <t>B2B</t>
        </is>
      </c>
      <c r="AG41" s="25">
        <f>IF(AF41="B2C",10,IF(AF41="B2B",5,0))</f>
        <v/>
      </c>
      <c r="AH41" s="25" t="inlineStr">
        <is>
          <t>No</t>
        </is>
      </c>
      <c r="AI41" s="25">
        <f>IF(AH41="Yes",10,0)</f>
        <v/>
      </c>
      <c r="AJ41" s="25" t="inlineStr">
        <is>
          <t>Higher One Time, Lower Annuity</t>
        </is>
      </c>
      <c r="AK41" s="25">
        <f>IF(AJ41="Fully Annuity",10,IF(AJ41="Higher Annuity, Lower One Time",5,IF(AJ41="Higher One Time, Lower Annuity",3,0)))</f>
        <v/>
      </c>
      <c r="AL41" s="25" t="inlineStr">
        <is>
          <t>Good</t>
        </is>
      </c>
      <c r="AM41" s="25">
        <f>IF(AL41="Good",10,0)</f>
        <v/>
      </c>
      <c r="AN41" s="25" t="inlineStr">
        <is>
          <t>Yes for more than 2 years</t>
        </is>
      </c>
      <c r="AO41" s="25">
        <f>IF(AN41="Yes for more than 2 years",10,IF(AN41="Yes only for next 1 to 2 years",5,0))</f>
        <v/>
      </c>
      <c r="AP41" s="25" t="inlineStr">
        <is>
          <t>Above 40</t>
        </is>
      </c>
      <c r="AQ41" s="25">
        <f>IF(AP41="Above 40",20,IF(AP41="20 to 40",10,IF(AP41="0 to 20",-5,0)))</f>
        <v/>
      </c>
      <c r="AR41" s="25" t="inlineStr">
        <is>
          <t>Between 50 to 75</t>
        </is>
      </c>
      <c r="AS41" s="25">
        <f>IF(AR41="Between 50 to 75",10,IF(AR41="Above 75",0,0))</f>
        <v/>
      </c>
      <c r="AT41" s="25" t="inlineStr">
        <is>
          <t>Stage 2</t>
        </is>
      </c>
      <c r="AU41" s="25">
        <f>IF(AT41="Stage 2",20,IF(AT41="Stage 1",0,IF(AT41="Stage 3",5,IF(AT41="Stage 4",-5,0))))</f>
        <v/>
      </c>
      <c r="AV41" s="25" t="inlineStr">
        <is>
          <t>Positive Trend</t>
        </is>
      </c>
      <c r="AW41" s="25">
        <f>IF(AV41="Positive Trend",20,IF(AV41="Negative Trend",-10,0))</f>
        <v/>
      </c>
      <c r="AX41" s="25" t="inlineStr">
        <is>
          <t>Uptrend</t>
        </is>
      </c>
      <c r="AY41" s="25">
        <f>IF(AX41="Uptrend",10,IF(AX41="Sideways",5,0))</f>
        <v/>
      </c>
      <c r="AZ41" s="25" t="inlineStr">
        <is>
          <t>Uptrend</t>
        </is>
      </c>
      <c r="BA41" s="25">
        <f>IF(AZ41="Uptrend",10,IF(AZ41="Sideways",5,0))</f>
        <v/>
      </c>
      <c r="BB41" s="25" t="inlineStr">
        <is>
          <t>Close to 52 week high or retracement</t>
        </is>
      </c>
      <c r="BC41" s="25">
        <f>IF(BB41="Overhead supply in last 2 years in last 2 years",-5,IF(BB41="Close to 52 week high or retracement",5,IF(BB41="Blue sky scenario",10,IF(BB41="Long term Downtrend",-10,0))))</f>
        <v/>
      </c>
      <c r="BD41" s="25" t="inlineStr">
        <is>
          <t>Yes</t>
        </is>
      </c>
      <c r="BE41" s="25">
        <f>IF(BD41="Yes",10,0)</f>
        <v/>
      </c>
      <c r="BF41" s="25" t="inlineStr">
        <is>
          <t>More than 20%</t>
        </is>
      </c>
      <c r="BG41" s="25">
        <f>IF(BF41="More than 20%",10,IF(BF41="Between 12 to 20%",5,IF(BF41="Less than 12%",0,0)))</f>
        <v/>
      </c>
      <c r="BH41" s="25" t="inlineStr">
        <is>
          <t>No</t>
        </is>
      </c>
      <c r="BI41" s="25">
        <f>IF(BH41="No",10,0)</f>
        <v/>
      </c>
      <c r="BJ41" s="25" t="inlineStr">
        <is>
          <t>Yes</t>
        </is>
      </c>
      <c r="BK41" s="25">
        <f>IF(BJ41="NO",5,0)</f>
        <v/>
      </c>
      <c r="BL41" s="25" t="inlineStr">
        <is>
          <t>Less than 1.5</t>
        </is>
      </c>
      <c r="BM41" s="25">
        <f>IF(BL41="Above 2",0,IF(BL41="Between 1.5 to 2",5,IF(BL41="Less than 1.5",10,0)))</f>
        <v/>
      </c>
      <c r="BN41" s="25" t="inlineStr">
        <is>
          <t>Above 70%</t>
        </is>
      </c>
      <c r="BO41" s="25">
        <f>IF(BN41="Above 70%",10,IF(BN41="Between 50% to 70%",5,IF(BN41="Less than 50%",0,IF(BN41="Negative",-10,IF(BN41="Less than 50% and Borrowings are increasing",-5,0)))))</f>
        <v/>
      </c>
      <c r="BP41" s="25" t="inlineStr">
        <is>
          <t>Less than 0.7</t>
        </is>
      </c>
      <c r="BQ41" s="25">
        <f>IF(BP41="More than 1.2",-10,IF(BP41="Between 0.7 to 1.2",0,IF(BP41="Less than 0.7",10,0)))</f>
        <v/>
      </c>
      <c r="BR41" s="25" t="inlineStr">
        <is>
          <t>No</t>
        </is>
      </c>
      <c r="BS41" s="25">
        <f>IF(BR41="Yes",-10,0)</f>
        <v/>
      </c>
      <c r="BT41" s="25" t="inlineStr">
        <is>
          <t>Less than 15%</t>
        </is>
      </c>
      <c r="BU41" s="25">
        <f>IF(BT41="More than 15%",-10,IF(BT41="Less than 15%",10,0))</f>
        <v/>
      </c>
      <c r="BV41" s="25" t="inlineStr">
        <is>
          <t>No</t>
        </is>
      </c>
      <c r="BW41" s="25">
        <f>IF(BV41="Yes, more than 10%",-10,IF(BV41="No",10,0))</f>
        <v/>
      </c>
      <c r="BX41" s="25" t="inlineStr">
        <is>
          <t>19</t>
        </is>
      </c>
      <c r="BY41" s="25">
        <f>IF(BX41&gt;20,10,IF(BX41&gt;=10,5,2))</f>
        <v/>
      </c>
    </row>
    <row r="42">
      <c r="A42" s="25">
        <f>IF(B42=0,"",RANK(B42,$B$2:$B$95,0))</f>
        <v/>
      </c>
      <c r="B42" s="26">
        <f>SUM(Q42,S42,U42,W42,Y42,AA42,AC42,AE42,AG42,AI42,AK42,AM42,AO42,AQ42,AS42,AU42,AW42,AY42,BA42,BC42,BE42,BG42,BI42,BK42,BM42,BO42,BQ42,BS42,BU42,BW42,BY42)</f>
        <v/>
      </c>
      <c r="C42" s="25" t="inlineStr">
        <is>
          <t>BHAGYANGR</t>
        </is>
      </c>
      <c r="D42" s="25" t="inlineStr">
        <is>
          <t>Bhagyanagar India Ltd</t>
        </is>
      </c>
      <c r="E42" s="25" t="inlineStr">
        <is>
          <t>power &amp; utilities</t>
        </is>
      </c>
      <c r="F42" s="25" t="inlineStr">
        <is>
          <t>Recycling</t>
        </is>
      </c>
      <c r="G42" s="25" t="inlineStr">
        <is>
          <t>smallcap</t>
        </is>
      </c>
      <c r="H42" s="26" t="n">
        <v>1034.08</v>
      </c>
      <c r="I42" s="26" t="n">
        <v>323.2</v>
      </c>
      <c r="J42" s="26" t="n">
        <v>4.99</v>
      </c>
      <c r="K42" s="26" t="n">
        <v>0</v>
      </c>
      <c r="L42" s="26" t="n">
        <v>76.52</v>
      </c>
      <c r="M42" s="26" t="n">
        <v>56.37</v>
      </c>
      <c r="N42" s="26" t="n">
        <v>231.44</v>
      </c>
      <c r="O42" s="25" t="inlineStr">
        <is>
          <t>Near 52W High Breakout</t>
        </is>
      </c>
      <c r="P42" s="25" t="inlineStr">
        <is>
          <t>Growing Industry</t>
        </is>
      </c>
      <c r="Q42" s="25">
        <f>IF(P42="Growing Industry",10,IF(P42="Cyclical in an Upturn",5,0))</f>
        <v/>
      </c>
      <c r="R42" s="25" t="inlineStr">
        <is>
          <t>Too Many Players with High ROCE</t>
        </is>
      </c>
      <c r="S42" s="25">
        <f>IF(R42="Monopoly",10,IF(R42="Oligopoly",5,IF(R42="Duopoly that cooperate",10,IF(R42="Duopoly that compete",5,IF(R42="Too many players with High ROCE",5,0)))))</f>
        <v/>
      </c>
      <c r="T42" s="25" t="inlineStr">
        <is>
          <t>No</t>
        </is>
      </c>
      <c r="U42" s="25">
        <f>IF(T42="No",5,0)</f>
        <v/>
      </c>
      <c r="V42" s="25" t="inlineStr">
        <is>
          <t>Tailwind</t>
        </is>
      </c>
      <c r="W42" s="25">
        <f>IF(V42="Tailwind",10,0)</f>
        <v/>
      </c>
      <c r="X42" s="25" t="inlineStr">
        <is>
          <t>Structural (10 Years Consistency)</t>
        </is>
      </c>
      <c r="Y42" s="25">
        <f>IF(X42="Structural (10 Years Consistency)",10,IF(X42="Shallow Cyclical (2 to 3 years growth)",5,0))</f>
        <v/>
      </c>
      <c r="Z42" s="25" t="inlineStr">
        <is>
          <t>No</t>
        </is>
      </c>
      <c r="AA42" s="25">
        <f>IF(Z42="Yes due to Product Mix change or Operating Leverage",10,IF(Z42="Yes, these are peak margins",-5,IF(Z42="No",5,0)))</f>
        <v/>
      </c>
      <c r="AB42" s="25" t="inlineStr">
        <is>
          <t>Stable</t>
        </is>
      </c>
      <c r="AC42" s="25">
        <f>IF(AB42="Stable",10,0)</f>
        <v/>
      </c>
      <c r="AD42" s="25" t="inlineStr">
        <is>
          <t>Yes</t>
        </is>
      </c>
      <c r="AE42" s="25">
        <f>IF(AD42="Yes",10,0)</f>
        <v/>
      </c>
      <c r="AF42" s="25" t="inlineStr">
        <is>
          <t>B2B</t>
        </is>
      </c>
      <c r="AG42" s="25">
        <f>IF(AF42="B2C",10,IF(AF42="B2B",5,0))</f>
        <v/>
      </c>
      <c r="AH42" s="25" t="inlineStr">
        <is>
          <t>Yes</t>
        </is>
      </c>
      <c r="AI42" s="25">
        <f>IF(AH42="Yes",10,0)</f>
        <v/>
      </c>
      <c r="AJ42" s="25" t="inlineStr">
        <is>
          <t>Higher One Time, Lower Annuity</t>
        </is>
      </c>
      <c r="AK42" s="25">
        <f>IF(AJ42="Fully Annuity",10,IF(AJ42="Higher Annuity, Lower One Time",5,IF(AJ42="Higher One Time, Lower Annuity",3,0)))</f>
        <v/>
      </c>
      <c r="AL42" s="25" t="inlineStr">
        <is>
          <t>Good</t>
        </is>
      </c>
      <c r="AM42" s="25">
        <f>IF(AL42="Good",10,0)</f>
        <v/>
      </c>
      <c r="AN42" s="25" t="inlineStr">
        <is>
          <t>Yes for more than 2 years</t>
        </is>
      </c>
      <c r="AO42" s="25">
        <f>IF(AN42="Yes for more than 2 years",10,IF(AN42="Yes only for next 1 to 2 years",5,0))</f>
        <v/>
      </c>
      <c r="AP42" s="25" t="inlineStr">
        <is>
          <t>Above 40</t>
        </is>
      </c>
      <c r="AQ42" s="25">
        <f>IF(AP42="Above 40",20,IF(AP42="20 to 40",10,IF(AP42="0 to 20",-5,0)))</f>
        <v/>
      </c>
      <c r="AR42" s="25" t="inlineStr">
        <is>
          <t>Above 75</t>
        </is>
      </c>
      <c r="AS42" s="25">
        <f>IF(AR42="Between 50 to 75",10,IF(AR42="Above 75",0,0))</f>
        <v/>
      </c>
      <c r="AT42" s="25" t="inlineStr">
        <is>
          <t>Stage 2</t>
        </is>
      </c>
      <c r="AU42" s="25">
        <f>IF(AT42="Stage 2",20,IF(AT42="Stage 1",0,IF(AT42="Stage 3",5,IF(AT42="Stage 4",-5,0))))</f>
        <v/>
      </c>
      <c r="AV42" s="25" t="inlineStr">
        <is>
          <t>Positive Trend</t>
        </is>
      </c>
      <c r="AW42" s="25">
        <f>IF(AV42="Positive Trend",20,IF(AV42="Negative Trend",-10,0))</f>
        <v/>
      </c>
      <c r="AX42" s="25" t="inlineStr">
        <is>
          <t>Uptrend</t>
        </is>
      </c>
      <c r="AY42" s="25">
        <f>IF(AX42="Uptrend",10,IF(AX42="Sideways",5,0))</f>
        <v/>
      </c>
      <c r="AZ42" s="25" t="inlineStr">
        <is>
          <t>Uptrend</t>
        </is>
      </c>
      <c r="BA42" s="25">
        <f>IF(AZ42="Uptrend",10,IF(AZ42="Sideways",5,0))</f>
        <v/>
      </c>
      <c r="BB42" s="25" t="inlineStr">
        <is>
          <t>Blue sky scenario</t>
        </is>
      </c>
      <c r="BC42" s="25">
        <f>IF(BB42="Overhead supply in last 2 years in last 2 years",-5,IF(BB42="Close to 52 week high or retracement",5,IF(BB42="Blue sky scenario",10,IF(BB42="Long term Downtrend",-10,0))))</f>
        <v/>
      </c>
      <c r="BD42" s="25" t="inlineStr">
        <is>
          <t>Yes</t>
        </is>
      </c>
      <c r="BE42" s="25">
        <f>IF(BD42="Yes",10,0)</f>
        <v/>
      </c>
      <c r="BF42" s="25" t="inlineStr">
        <is>
          <t>More than 20%</t>
        </is>
      </c>
      <c r="BG42" s="25">
        <f>IF(BF42="More than 20%",10,IF(BF42="Between 12 to 20%",5,IF(BF42="Less than 12%",0,0)))</f>
        <v/>
      </c>
      <c r="BH42" s="25" t="inlineStr">
        <is>
          <t>No</t>
        </is>
      </c>
      <c r="BI42" s="25">
        <f>IF(BH42="No",10,0)</f>
        <v/>
      </c>
      <c r="BJ42" s="25" t="inlineStr">
        <is>
          <t>No</t>
        </is>
      </c>
      <c r="BK42" s="25">
        <f>IF(BJ42="NO",5,0)</f>
        <v/>
      </c>
      <c r="BL42" s="25" t="inlineStr">
        <is>
          <t>Less than 1.5</t>
        </is>
      </c>
      <c r="BM42" s="25">
        <f>IF(BL42="Above 2",0,IF(BL42="Between 1.5 to 2",5,IF(BL42="Less than 1.5",10,0)))</f>
        <v/>
      </c>
      <c r="BN42" s="25" t="inlineStr">
        <is>
          <t>Between 50% to 70%</t>
        </is>
      </c>
      <c r="BO42" s="25">
        <f>IF(BN42="Above 70%",10,IF(BN42="Between 50% to 70%",5,IF(BN42="Less than 50%",0,IF(BN42="Negative",-10,IF(BN42="Less than 50% and Borrowings are increasing",-5,0)))))</f>
        <v/>
      </c>
      <c r="BP42" s="25" t="inlineStr">
        <is>
          <t>Between 0.7 to 1.2</t>
        </is>
      </c>
      <c r="BQ42" s="25">
        <f>IF(BP42="More than 1.2",-10,IF(BP42="Between 0.7 to 1.2",0,IF(BP42="Less than 0.7",10,0)))</f>
        <v/>
      </c>
      <c r="BR42" s="25" t="inlineStr">
        <is>
          <t>No</t>
        </is>
      </c>
      <c r="BS42" s="25">
        <f>IF(BR42="Yes",-10,0)</f>
        <v/>
      </c>
      <c r="BT42" s="25" t="inlineStr">
        <is>
          <t>Less than 15%</t>
        </is>
      </c>
      <c r="BU42" s="25">
        <f>IF(BT42="More than 15%",-10,IF(BT42="Less than 15%",10,0))</f>
        <v/>
      </c>
      <c r="BV42" s="25" t="inlineStr">
        <is>
          <t>No</t>
        </is>
      </c>
      <c r="BW42" s="25">
        <f>IF(BV42="Yes, more than 10%",-10,IF(BV42="No",10,0))</f>
        <v/>
      </c>
      <c r="BX42" s="25" t="inlineStr">
        <is>
          <t>19</t>
        </is>
      </c>
      <c r="BY42" s="25">
        <f>IF(BX42&gt;20,10,IF(BX42&gt;=10,5,2))</f>
        <v/>
      </c>
    </row>
    <row r="43">
      <c r="A43" s="25">
        <f>IF(B43=0,"",RANK(B43,$B$2:$B$95,0))</f>
        <v/>
      </c>
      <c r="B43" s="26">
        <f>SUM(Q43,S43,U43,W43,Y43,AA43,AC43,AE43,AG43,AI43,AK43,AM43,AO43,AQ43,AS43,AU43,AW43,AY43,BA43,BC43,BE43,BG43,BI43,BK43,BM43,BO43,BQ43,BS43,BU43,BW43,BY43)</f>
        <v/>
      </c>
      <c r="C43" s="25" t="inlineStr">
        <is>
          <t>SKMEGGPROD</t>
        </is>
      </c>
      <c r="D43" s="25" t="inlineStr">
        <is>
          <t>SKM Egg Products Export (India) Ltd</t>
        </is>
      </c>
      <c r="E43" s="25" t="inlineStr">
        <is>
          <t>fmcg</t>
        </is>
      </c>
      <c r="F43" s="25" t="inlineStr">
        <is>
          <t>FMCG - Animal/Polutry</t>
        </is>
      </c>
      <c r="G43" s="25" t="inlineStr">
        <is>
          <t>smallcap</t>
        </is>
      </c>
      <c r="H43" s="26" t="n">
        <v>1225.77</v>
      </c>
      <c r="I43" s="26" t="n">
        <v>232.77</v>
      </c>
      <c r="J43" s="26" t="n">
        <v>12.9</v>
      </c>
      <c r="K43" s="26" t="n">
        <v>0</v>
      </c>
      <c r="L43" s="26" t="n">
        <v>68.95</v>
      </c>
      <c r="M43" s="26" t="n">
        <v>15.58</v>
      </c>
      <c r="N43" s="26" t="n">
        <v>161.26</v>
      </c>
      <c r="O43" s="25" t="inlineStr">
        <is>
          <t>Volume Spike &amp; Near 52W High Breakout</t>
        </is>
      </c>
      <c r="P43" s="25" t="inlineStr">
        <is>
          <t>Growing Industry</t>
        </is>
      </c>
      <c r="Q43" s="25">
        <f>IF(P43="Growing Industry",10,IF(P43="Cyclical in an Upturn",5,0))</f>
        <v/>
      </c>
      <c r="R43" s="25" t="inlineStr">
        <is>
          <t>Too Many Players with High ROCE</t>
        </is>
      </c>
      <c r="S43" s="25">
        <f>IF(R43="Monopoly",10,IF(R43="Oligopoly",5,IF(R43="Duopoly that cooperate",10,IF(R43="Duopoly that compete",5,IF(R43="Too many players with High ROCE",5,0)))))</f>
        <v/>
      </c>
      <c r="T43" s="25" t="inlineStr">
        <is>
          <t>No</t>
        </is>
      </c>
      <c r="U43" s="25">
        <f>IF(T43="No",5,0)</f>
        <v/>
      </c>
      <c r="V43" s="25" t="inlineStr">
        <is>
          <t>Tailwind</t>
        </is>
      </c>
      <c r="W43" s="25">
        <f>IF(V43="Tailwind",10,0)</f>
        <v/>
      </c>
      <c r="X43" s="25" t="inlineStr">
        <is>
          <t>Structural (10 Years Consistency)</t>
        </is>
      </c>
      <c r="Y43" s="25">
        <f>IF(X43="Structural (10 Years Consistency)",10,IF(X43="Shallow Cyclical (2 to 3 years growth)",5,0))</f>
        <v/>
      </c>
      <c r="Z43" s="25" t="inlineStr">
        <is>
          <t>No</t>
        </is>
      </c>
      <c r="AA43" s="25">
        <f>IF(Z43="Yes due to Product Mix change or Operating Leverage",10,IF(Z43="Yes, these are peak margins",-5,IF(Z43="No",5,0)))</f>
        <v/>
      </c>
      <c r="AB43" s="25" t="inlineStr">
        <is>
          <t>Stable</t>
        </is>
      </c>
      <c r="AC43" s="25">
        <f>IF(AB43="Stable",10,0)</f>
        <v/>
      </c>
      <c r="AD43" s="25" t="inlineStr">
        <is>
          <t>Yes</t>
        </is>
      </c>
      <c r="AE43" s="25">
        <f>IF(AD43="Yes",10,0)</f>
        <v/>
      </c>
      <c r="AF43" s="25" t="inlineStr">
        <is>
          <t>B2C</t>
        </is>
      </c>
      <c r="AG43" s="25">
        <f>IF(AF43="B2C",10,IF(AF43="B2B",5,0))</f>
        <v/>
      </c>
      <c r="AH43" s="25" t="inlineStr">
        <is>
          <t>Yes</t>
        </is>
      </c>
      <c r="AI43" s="25">
        <f>IF(AH43="Yes",10,0)</f>
        <v/>
      </c>
      <c r="AJ43" s="25" t="inlineStr">
        <is>
          <t>Higher Annuity, Lower One Time</t>
        </is>
      </c>
      <c r="AK43" s="25">
        <f>IF(AJ43="Fully Annuity",10,IF(AJ43="Higher Annuity, Lower One Time",5,IF(AJ43="Higher One Time, Lower Annuity",3,0)))</f>
        <v/>
      </c>
      <c r="AL43" s="25" t="inlineStr">
        <is>
          <t>Good</t>
        </is>
      </c>
      <c r="AM43" s="25">
        <f>IF(AL43="Good",10,0)</f>
        <v/>
      </c>
      <c r="AN43" s="25" t="inlineStr">
        <is>
          <t>Yes for more than 2 years</t>
        </is>
      </c>
      <c r="AO43" s="25">
        <f>IF(AN43="Yes for more than 2 years",10,IF(AN43="Yes only for next 1 to 2 years",5,0))</f>
        <v/>
      </c>
      <c r="AP43" s="25" t="inlineStr">
        <is>
          <t>0 to 20</t>
        </is>
      </c>
      <c r="AQ43" s="25">
        <f>IF(AP43="Above 40",20,IF(AP43="20 to 40",10,IF(AP43="0 to 20",-5,0)))</f>
        <v/>
      </c>
      <c r="AR43" s="25" t="inlineStr">
        <is>
          <t>Between 50 to 75</t>
        </is>
      </c>
      <c r="AS43" s="25">
        <f>IF(AR43="Between 50 to 75",10,IF(AR43="Above 75",0,0))</f>
        <v/>
      </c>
      <c r="AT43" s="25" t="inlineStr">
        <is>
          <t>Stage 2</t>
        </is>
      </c>
      <c r="AU43" s="25">
        <f>IF(AT43="Stage 2",20,IF(AT43="Stage 1",0,IF(AT43="Stage 3",5,IF(AT43="Stage 4",-5,0))))</f>
        <v/>
      </c>
      <c r="AV43" s="25" t="inlineStr">
        <is>
          <t>Positive Trend</t>
        </is>
      </c>
      <c r="AW43" s="25">
        <f>IF(AV43="Positive Trend",20,IF(AV43="Negative Trend",-10,0))</f>
        <v/>
      </c>
      <c r="AX43" s="25" t="inlineStr">
        <is>
          <t>Uptrend</t>
        </is>
      </c>
      <c r="AY43" s="25">
        <f>IF(AX43="Uptrend",10,IF(AX43="Sideways",5,0))</f>
        <v/>
      </c>
      <c r="AZ43" s="25" t="inlineStr">
        <is>
          <t>Uptrend</t>
        </is>
      </c>
      <c r="BA43" s="25">
        <f>IF(AZ43="Uptrend",10,IF(AZ43="Sideways",5,0))</f>
        <v/>
      </c>
      <c r="BB43" s="25" t="inlineStr">
        <is>
          <t>Blue sky scenario</t>
        </is>
      </c>
      <c r="BC43" s="25">
        <f>IF(BB43="Overhead supply in last 2 years in last 2 years",-5,IF(BB43="Close to 52 week high or retracement",5,IF(BB43="Blue sky scenario",10,IF(BB43="Long term Downtrend",-10,0))))</f>
        <v/>
      </c>
      <c r="BD43" s="25" t="inlineStr">
        <is>
          <t>Yes</t>
        </is>
      </c>
      <c r="BE43" s="25">
        <f>IF(BD43="Yes",10,0)</f>
        <v/>
      </c>
      <c r="BF43" s="25" t="inlineStr">
        <is>
          <t>More than 20%</t>
        </is>
      </c>
      <c r="BG43" s="25">
        <f>IF(BF43="More than 20%",10,IF(BF43="Between 12 to 20%",5,IF(BF43="Less than 12%",0,0)))</f>
        <v/>
      </c>
      <c r="BH43" s="25" t="inlineStr">
        <is>
          <t>No</t>
        </is>
      </c>
      <c r="BI43" s="25">
        <f>IF(BH43="No",10,0)</f>
        <v/>
      </c>
      <c r="BJ43" s="25" t="inlineStr">
        <is>
          <t>No</t>
        </is>
      </c>
      <c r="BK43" s="25">
        <f>IF(BJ43="NO",5,0)</f>
        <v/>
      </c>
      <c r="BL43" s="25" t="inlineStr">
        <is>
          <t>Less than 1.5</t>
        </is>
      </c>
      <c r="BM43" s="25">
        <f>IF(BL43="Above 2",0,IF(BL43="Between 1.5 to 2",5,IF(BL43="Less than 1.5",10,0)))</f>
        <v/>
      </c>
      <c r="BN43" s="25" t="inlineStr">
        <is>
          <t>Less than 50%</t>
        </is>
      </c>
      <c r="BO43" s="25">
        <f>IF(BN43="Above 70%",10,IF(BN43="Between 50% to 70%",5,IF(BN43="Less than 50%",0,IF(BN43="Negative",-10,IF(BN43="Less than 50% and Borrowings are increasing",-5,0)))))</f>
        <v/>
      </c>
      <c r="BP43" s="25" t="inlineStr">
        <is>
          <t>Less than 0.7</t>
        </is>
      </c>
      <c r="BQ43" s="25">
        <f>IF(BP43="More than 1.2",-10,IF(BP43="Between 0.7 to 1.2",0,IF(BP43="Less than 0.7",10,0)))</f>
        <v/>
      </c>
      <c r="BR43" s="25" t="inlineStr">
        <is>
          <t>No</t>
        </is>
      </c>
      <c r="BS43" s="25">
        <f>IF(BR43="Yes",-10,0)</f>
        <v/>
      </c>
      <c r="BT43" s="25" t="inlineStr">
        <is>
          <t>Less than 15%</t>
        </is>
      </c>
      <c r="BU43" s="25">
        <f>IF(BT43="More than 15%",-10,IF(BT43="Less than 15%",10,0))</f>
        <v/>
      </c>
      <c r="BV43" s="25" t="inlineStr">
        <is>
          <t>No</t>
        </is>
      </c>
      <c r="BW43" s="25">
        <f>IF(BV43="Yes, more than 10%",-10,IF(BV43="No",10,0))</f>
        <v/>
      </c>
      <c r="BX43" s="25" t="inlineStr">
        <is>
          <t>30</t>
        </is>
      </c>
      <c r="BY43" s="25">
        <f>IF(BX43&gt;20,10,IF(BX43&gt;=10,5,2))</f>
        <v/>
      </c>
    </row>
    <row r="44">
      <c r="A44" s="25">
        <f>IF(B44=0,"",RANK(B44,$B$2:$B$95,0))</f>
        <v/>
      </c>
      <c r="B44" s="26">
        <f>SUM(Q44,S44,U44,W44,Y44,AA44,AC44,AE44,AG44,AI44,AK44,AM44,AO44,AQ44,AS44,AU44,AW44,AY44,BA44,BC44,BE44,BG44,BI44,BK44,BM44,BO44,BQ44,BS44,BU44,BW44,BY44)</f>
        <v/>
      </c>
      <c r="C44" s="25" t="inlineStr">
        <is>
          <t>VIYASH</t>
        </is>
      </c>
      <c r="D44" s="25" t="inlineStr">
        <is>
          <t>Viyash Scientific Ltd</t>
        </is>
      </c>
      <c r="E44" s="25" t="inlineStr">
        <is>
          <t>healthcare</t>
        </is>
      </c>
      <c r="F44" s="25" t="inlineStr">
        <is>
          <t>Pharma - Animal</t>
        </is>
      </c>
      <c r="G44" s="25" t="inlineStr">
        <is>
          <t>midcap</t>
        </is>
      </c>
      <c r="H44" s="26" t="n">
        <v>10919.7</v>
      </c>
      <c r="I44" s="26" t="n">
        <v>249.95</v>
      </c>
      <c r="J44" s="26" t="n">
        <v>-0.18</v>
      </c>
      <c r="K44" s="26" t="n">
        <v>0</v>
      </c>
      <c r="L44" s="26" t="n">
        <v>65.40000000000001</v>
      </c>
      <c r="M44" s="26" t="n">
        <v>29.24</v>
      </c>
      <c r="N44" s="26" t="n">
        <v>197.59</v>
      </c>
      <c r="O44" s="25" t="inlineStr">
        <is>
          <t>Near 52W High Breakout</t>
        </is>
      </c>
      <c r="P44" s="25" t="inlineStr">
        <is>
          <t>Growing Industry</t>
        </is>
      </c>
      <c r="Q44" s="25">
        <f>IF(P44="Growing Industry",10,IF(P44="Cyclical in an Upturn",5,0))</f>
        <v/>
      </c>
      <c r="R44" s="25" t="inlineStr">
        <is>
          <t>Too Many Players with High ROCE</t>
        </is>
      </c>
      <c r="S44" s="25">
        <f>IF(R44="Monopoly",10,IF(R44="Oligopoly",5,IF(R44="Duopoly that cooperate",10,IF(R44="Duopoly that compete",5,IF(R44="Too many players with High ROCE",5,0)))))</f>
        <v/>
      </c>
      <c r="T44" s="25" t="inlineStr">
        <is>
          <t>Yes</t>
        </is>
      </c>
      <c r="U44" s="25">
        <f>IF(T44="No",5,0)</f>
        <v/>
      </c>
      <c r="V44" s="25" t="inlineStr">
        <is>
          <t>Tailwind</t>
        </is>
      </c>
      <c r="W44" s="25">
        <f>IF(V44="Tailwind",10,0)</f>
        <v/>
      </c>
      <c r="X44" s="25" t="inlineStr">
        <is>
          <t>Structural (10 Years Consistency)</t>
        </is>
      </c>
      <c r="Y44" s="25">
        <f>IF(X44="Structural (10 Years Consistency)",10,IF(X44="Shallow Cyclical (2 to 3 years growth)",5,0))</f>
        <v/>
      </c>
      <c r="Z44" s="25" t="inlineStr">
        <is>
          <t>No</t>
        </is>
      </c>
      <c r="AA44" s="25">
        <f>IF(Z44="Yes due to Product Mix change or Operating Leverage",10,IF(Z44="Yes, these are peak margins",-5,IF(Z44="No",5,0)))</f>
        <v/>
      </c>
      <c r="AB44" s="25" t="inlineStr">
        <is>
          <t>Stable</t>
        </is>
      </c>
      <c r="AC44" s="25">
        <f>IF(AB44="Stable",10,0)</f>
        <v/>
      </c>
      <c r="AD44" s="25" t="inlineStr">
        <is>
          <t>Yes</t>
        </is>
      </c>
      <c r="AE44" s="25">
        <f>IF(AD44="Yes",10,0)</f>
        <v/>
      </c>
      <c r="AF44" s="25" t="inlineStr">
        <is>
          <t>B2B</t>
        </is>
      </c>
      <c r="AG44" s="25">
        <f>IF(AF44="B2C",10,IF(AF44="B2B",5,0))</f>
        <v/>
      </c>
      <c r="AH44" s="25" t="inlineStr">
        <is>
          <t>Yes</t>
        </is>
      </c>
      <c r="AI44" s="25">
        <f>IF(AH44="Yes",10,0)</f>
        <v/>
      </c>
      <c r="AJ44" s="25" t="inlineStr">
        <is>
          <t>Higher Annuity, Lower One Time</t>
        </is>
      </c>
      <c r="AK44" s="25">
        <f>IF(AJ44="Fully Annuity",10,IF(AJ44="Higher Annuity, Lower One Time",5,IF(AJ44="Higher One Time, Lower Annuity",3,0)))</f>
        <v/>
      </c>
      <c r="AL44" s="25" t="inlineStr">
        <is>
          <t>Good</t>
        </is>
      </c>
      <c r="AM44" s="25">
        <f>IF(AL44="Good",10,0)</f>
        <v/>
      </c>
      <c r="AN44" s="25" t="inlineStr">
        <is>
          <t>Yes for more than 2 years</t>
        </is>
      </c>
      <c r="AO44" s="25">
        <f>IF(AN44="Yes for more than 2 years",10,IF(AN44="Yes only for next 1 to 2 years",5,0))</f>
        <v/>
      </c>
      <c r="AP44" s="25" t="inlineStr">
        <is>
          <t>20 to 40</t>
        </is>
      </c>
      <c r="AQ44" s="25">
        <f>IF(AP44="Above 40",20,IF(AP44="20 to 40",10,IF(AP44="0 to 20",-5,0)))</f>
        <v/>
      </c>
      <c r="AR44" s="25" t="inlineStr">
        <is>
          <t>Between 50 to 75</t>
        </is>
      </c>
      <c r="AS44" s="25">
        <f>IF(AR44="Between 50 to 75",10,IF(AR44="Above 75",0,0))</f>
        <v/>
      </c>
      <c r="AT44" s="25" t="inlineStr">
        <is>
          <t>Stage 2</t>
        </is>
      </c>
      <c r="AU44" s="25">
        <f>IF(AT44="Stage 2",20,IF(AT44="Stage 1",0,IF(AT44="Stage 3",5,IF(AT44="Stage 4",-5,0))))</f>
        <v/>
      </c>
      <c r="AV44" s="25" t="inlineStr">
        <is>
          <t>Positive Trend</t>
        </is>
      </c>
      <c r="AW44" s="25">
        <f>IF(AV44="Positive Trend",20,IF(AV44="Negative Trend",-10,0))</f>
        <v/>
      </c>
      <c r="AX44" s="25" t="inlineStr">
        <is>
          <t>Uptrend</t>
        </is>
      </c>
      <c r="AY44" s="25">
        <f>IF(AX44="Uptrend",10,IF(AX44="Sideways",5,0))</f>
        <v/>
      </c>
      <c r="AZ44" s="25" t="inlineStr">
        <is>
          <t>Uptrend</t>
        </is>
      </c>
      <c r="BA44" s="25">
        <f>IF(AZ44="Uptrend",10,IF(AZ44="Sideways",5,0))</f>
        <v/>
      </c>
      <c r="BB44" s="25" t="inlineStr">
        <is>
          <t>Blue sky scenario</t>
        </is>
      </c>
      <c r="BC44" s="25">
        <f>IF(BB44="Overhead supply in last 2 years in last 2 years",-5,IF(BB44="Close to 52 week high or retracement",5,IF(BB44="Blue sky scenario",10,IF(BB44="Long term Downtrend",-10,0))))</f>
        <v/>
      </c>
      <c r="BD44" s="25" t="inlineStr">
        <is>
          <t>Yes</t>
        </is>
      </c>
      <c r="BE44" s="25">
        <f>IF(BD44="Yes",10,0)</f>
        <v/>
      </c>
      <c r="BF44" s="25" t="inlineStr">
        <is>
          <t>More than 20%</t>
        </is>
      </c>
      <c r="BG44" s="25">
        <f>IF(BF44="More than 20%",10,IF(BF44="Between 12 to 20%",5,IF(BF44="Less than 12%",0,0)))</f>
        <v/>
      </c>
      <c r="BH44" s="25" t="inlineStr">
        <is>
          <t>No</t>
        </is>
      </c>
      <c r="BI44" s="25">
        <f>IF(BH44="No",10,0)</f>
        <v/>
      </c>
      <c r="BJ44" s="25" t="inlineStr">
        <is>
          <t>Yes</t>
        </is>
      </c>
      <c r="BK44" s="25">
        <f>IF(BJ44="NO",5,0)</f>
        <v/>
      </c>
      <c r="BL44" s="25" t="inlineStr">
        <is>
          <t>Less than 1.5</t>
        </is>
      </c>
      <c r="BM44" s="25">
        <f>IF(BL44="Above 2",0,IF(BL44="Between 1.5 to 2",5,IF(BL44="Less than 1.5",10,0)))</f>
        <v/>
      </c>
      <c r="BN44" s="25" t="inlineStr">
        <is>
          <t>Less than 50%</t>
        </is>
      </c>
      <c r="BO44" s="25">
        <f>IF(BN44="Above 70%",10,IF(BN44="Between 50% to 70%",5,IF(BN44="Less than 50%",0,IF(BN44="Negative",-10,IF(BN44="Less than 50% and Borrowings are increasing",-5,0)))))</f>
        <v/>
      </c>
      <c r="BP44" s="25" t="inlineStr">
        <is>
          <t>Less than 0.7</t>
        </is>
      </c>
      <c r="BQ44" s="25">
        <f>IF(BP44="More than 1.2",-10,IF(BP44="Between 0.7 to 1.2",0,IF(BP44="Less than 0.7",10,0)))</f>
        <v/>
      </c>
      <c r="BR44" s="25" t="inlineStr">
        <is>
          <t>No</t>
        </is>
      </c>
      <c r="BS44" s="25">
        <f>IF(BR44="Yes",-10,0)</f>
        <v/>
      </c>
      <c r="BT44" s="25" t="inlineStr">
        <is>
          <t>Less than 15%</t>
        </is>
      </c>
      <c r="BU44" s="25">
        <f>IF(BT44="More than 15%",-10,IF(BT44="Less than 15%",10,0))</f>
        <v/>
      </c>
      <c r="BV44" s="25" t="inlineStr">
        <is>
          <t>No</t>
        </is>
      </c>
      <c r="BW44" s="25">
        <f>IF(BV44="Yes, more than 10%",-10,IF(BV44="No",10,0))</f>
        <v/>
      </c>
      <c r="BX44" s="25" t="inlineStr">
        <is>
          <t>22</t>
        </is>
      </c>
      <c r="BY44" s="25">
        <f>IF(BX44&gt;20,10,IF(BX44&gt;=10,5,2))</f>
        <v/>
      </c>
    </row>
    <row r="45">
      <c r="A45" s="25">
        <f>IF(B45=0,"",RANK(B45,$B$2:$B$95,0))</f>
        <v/>
      </c>
      <c r="B45" s="26">
        <f>SUM(Q45,S45,U45,W45,Y45,AA45,AC45,AE45,AG45,AI45,AK45,AM45,AO45,AQ45,AS45,AU45,AW45,AY45,BA45,BC45,BE45,BG45,BI45,BK45,BM45,BO45,BQ45,BS45,BU45,BW45,BY45)</f>
        <v/>
      </c>
      <c r="C45" s="25" t="inlineStr">
        <is>
          <t>SHILPAMED</t>
        </is>
      </c>
      <c r="D45" s="25" t="inlineStr">
        <is>
          <t>Shilpa Medicare Ltd</t>
        </is>
      </c>
      <c r="E45" s="25" t="inlineStr">
        <is>
          <t>healthcare</t>
        </is>
      </c>
      <c r="F45" s="25" t="inlineStr">
        <is>
          <t>Pharma - API &amp; CRAMS</t>
        </is>
      </c>
      <c r="G45" s="25" t="inlineStr">
        <is>
          <t>midcap</t>
        </is>
      </c>
      <c r="H45" s="26" t="n">
        <v>10118.43</v>
      </c>
      <c r="I45" s="26" t="n">
        <v>517.35</v>
      </c>
      <c r="J45" s="26" t="n">
        <v>3.63</v>
      </c>
      <c r="K45" s="26" t="n">
        <v>0</v>
      </c>
      <c r="L45" s="26" t="n">
        <v>76.92</v>
      </c>
      <c r="M45" s="26" t="n">
        <v>39.55</v>
      </c>
      <c r="N45" s="26" t="n">
        <v>401.23</v>
      </c>
      <c r="O45" s="25" t="inlineStr">
        <is>
          <t>Near 52W High Breakout</t>
        </is>
      </c>
      <c r="P45" s="25" t="inlineStr">
        <is>
          <t>Growing Industry</t>
        </is>
      </c>
      <c r="Q45" s="25">
        <f>IF(P45="Growing Industry",10,IF(P45="Cyclical in an Upturn",5,0))</f>
        <v/>
      </c>
      <c r="R45" s="25" t="inlineStr">
        <is>
          <t>Too Many Players with High ROCE</t>
        </is>
      </c>
      <c r="S45" s="25">
        <f>IF(R45="Monopoly",10,IF(R45="Oligopoly",5,IF(R45="Duopoly that cooperate",10,IF(R45="Duopoly that compete",5,IF(R45="Too many players with High ROCE",5,0)))))</f>
        <v/>
      </c>
      <c r="T45" s="25" t="inlineStr">
        <is>
          <t>Yes</t>
        </is>
      </c>
      <c r="U45" s="25">
        <f>IF(T45="No",5,0)</f>
        <v/>
      </c>
      <c r="V45" s="25" t="inlineStr">
        <is>
          <t>Tailwind</t>
        </is>
      </c>
      <c r="W45" s="25">
        <f>IF(V45="Tailwind",10,0)</f>
        <v/>
      </c>
      <c r="X45" s="25" t="inlineStr">
        <is>
          <t>Structural (10 Years Consistency)</t>
        </is>
      </c>
      <c r="Y45" s="25">
        <f>IF(X45="Structural (10 Years Consistency)",10,IF(X45="Shallow Cyclical (2 to 3 years growth)",5,0))</f>
        <v/>
      </c>
      <c r="Z45" s="25" t="inlineStr">
        <is>
          <t>No</t>
        </is>
      </c>
      <c r="AA45" s="25">
        <f>IF(Z45="Yes due to Product Mix change or Operating Leverage",10,IF(Z45="Yes, these are peak margins",-5,IF(Z45="No",5,0)))</f>
        <v/>
      </c>
      <c r="AB45" s="25" t="inlineStr">
        <is>
          <t>Stable</t>
        </is>
      </c>
      <c r="AC45" s="25">
        <f>IF(AB45="Stable",10,0)</f>
        <v/>
      </c>
      <c r="AD45" s="25" t="inlineStr">
        <is>
          <t>Yes</t>
        </is>
      </c>
      <c r="AE45" s="25">
        <f>IF(AD45="Yes",10,0)</f>
        <v/>
      </c>
      <c r="AF45" s="25" t="inlineStr">
        <is>
          <t>B2B</t>
        </is>
      </c>
      <c r="AG45" s="25">
        <f>IF(AF45="B2C",10,IF(AF45="B2B",5,0))</f>
        <v/>
      </c>
      <c r="AH45" s="25" t="inlineStr">
        <is>
          <t>Yes</t>
        </is>
      </c>
      <c r="AI45" s="25">
        <f>IF(AH45="Yes",10,0)</f>
        <v/>
      </c>
      <c r="AJ45" s="25" t="inlineStr">
        <is>
          <t>Higher Annuity, Lower One Time</t>
        </is>
      </c>
      <c r="AK45" s="25">
        <f>IF(AJ45="Fully Annuity",10,IF(AJ45="Higher Annuity, Lower One Time",5,IF(AJ45="Higher One Time, Lower Annuity",3,0)))</f>
        <v/>
      </c>
      <c r="AL45" s="25" t="inlineStr">
        <is>
          <t>Good</t>
        </is>
      </c>
      <c r="AM45" s="25">
        <f>IF(AL45="Good",10,0)</f>
        <v/>
      </c>
      <c r="AN45" s="25" t="inlineStr">
        <is>
          <t>Yes for more than 2 years</t>
        </is>
      </c>
      <c r="AO45" s="25">
        <f>IF(AN45="Yes for more than 2 years",10,IF(AN45="Yes only for next 1 to 2 years",5,0))</f>
        <v/>
      </c>
      <c r="AP45" s="25" t="inlineStr">
        <is>
          <t>20 to 40</t>
        </is>
      </c>
      <c r="AQ45" s="25">
        <f>IF(AP45="Above 40",20,IF(AP45="20 to 40",10,IF(AP45="0 to 20",-5,0)))</f>
        <v/>
      </c>
      <c r="AR45" s="25" t="inlineStr">
        <is>
          <t>Above 75</t>
        </is>
      </c>
      <c r="AS45" s="25">
        <f>IF(AR45="Between 50 to 75",10,IF(AR45="Above 75",0,0))</f>
        <v/>
      </c>
      <c r="AT45" s="25" t="inlineStr">
        <is>
          <t>Stage 2</t>
        </is>
      </c>
      <c r="AU45" s="25">
        <f>IF(AT45="Stage 2",20,IF(AT45="Stage 1",0,IF(AT45="Stage 3",5,IF(AT45="Stage 4",-5,0))))</f>
        <v/>
      </c>
      <c r="AV45" s="25" t="inlineStr">
        <is>
          <t>Positive Trend</t>
        </is>
      </c>
      <c r="AW45" s="25">
        <f>IF(AV45="Positive Trend",20,IF(AV45="Negative Trend",-10,0))</f>
        <v/>
      </c>
      <c r="AX45" s="25" t="inlineStr">
        <is>
          <t>Uptrend</t>
        </is>
      </c>
      <c r="AY45" s="25">
        <f>IF(AX45="Uptrend",10,IF(AX45="Sideways",5,0))</f>
        <v/>
      </c>
      <c r="AZ45" s="25" t="inlineStr">
        <is>
          <t>Uptrend</t>
        </is>
      </c>
      <c r="BA45" s="25">
        <f>IF(AZ45="Uptrend",10,IF(AZ45="Sideways",5,0))</f>
        <v/>
      </c>
      <c r="BB45" s="25" t="inlineStr">
        <is>
          <t>Blue sky scenario</t>
        </is>
      </c>
      <c r="BC45" s="25">
        <f>IF(BB45="Overhead supply in last 2 years in last 2 years",-5,IF(BB45="Close to 52 week high or retracement",5,IF(BB45="Blue sky scenario",10,IF(BB45="Long term Downtrend",-10,0))))</f>
        <v/>
      </c>
      <c r="BD45" s="25" t="inlineStr">
        <is>
          <t>Yes</t>
        </is>
      </c>
      <c r="BE45" s="25">
        <f>IF(BD45="Yes",10,0)</f>
        <v/>
      </c>
      <c r="BF45" s="25" t="inlineStr">
        <is>
          <t>More than 20%</t>
        </is>
      </c>
      <c r="BG45" s="25">
        <f>IF(BF45="More than 20%",10,IF(BF45="Between 12 to 20%",5,IF(BF45="Less than 12%",0,0)))</f>
        <v/>
      </c>
      <c r="BH45" s="25" t="inlineStr">
        <is>
          <t>No</t>
        </is>
      </c>
      <c r="BI45" s="25">
        <f>IF(BH45="No",10,0)</f>
        <v/>
      </c>
      <c r="BJ45" s="25" t="inlineStr">
        <is>
          <t>Yes</t>
        </is>
      </c>
      <c r="BK45" s="25">
        <f>IF(BJ45="NO",5,0)</f>
        <v/>
      </c>
      <c r="BL45" s="25" t="inlineStr">
        <is>
          <t>Less than 1.5</t>
        </is>
      </c>
      <c r="BM45" s="25">
        <f>IF(BL45="Above 2",0,IF(BL45="Between 1.5 to 2",5,IF(BL45="Less than 1.5",10,0)))</f>
        <v/>
      </c>
      <c r="BN45" s="25" t="inlineStr">
        <is>
          <t>Above 70%</t>
        </is>
      </c>
      <c r="BO45" s="25">
        <f>IF(BN45="Above 70%",10,IF(BN45="Between 50% to 70%",5,IF(BN45="Less than 50%",0,IF(BN45="Negative",-10,IF(BN45="Less than 50% and Borrowings are increasing",-5,0)))))</f>
        <v/>
      </c>
      <c r="BP45" s="25" t="inlineStr">
        <is>
          <t>Less than 0.7</t>
        </is>
      </c>
      <c r="BQ45" s="25">
        <f>IF(BP45="More than 1.2",-10,IF(BP45="Between 0.7 to 1.2",0,IF(BP45="Less than 0.7",10,0)))</f>
        <v/>
      </c>
      <c r="BR45" s="25" t="inlineStr">
        <is>
          <t>No</t>
        </is>
      </c>
      <c r="BS45" s="25">
        <f>IF(BR45="Yes",-10,0)</f>
        <v/>
      </c>
      <c r="BT45" s="25" t="inlineStr">
        <is>
          <t>Less than 15%</t>
        </is>
      </c>
      <c r="BU45" s="25">
        <f>IF(BT45="More than 15%",-10,IF(BT45="Less than 15%",10,0))</f>
        <v/>
      </c>
      <c r="BV45" s="25" t="inlineStr">
        <is>
          <t>No</t>
        </is>
      </c>
      <c r="BW45" s="25">
        <f>IF(BV45="Yes, more than 10%",-10,IF(BV45="No",10,0))</f>
        <v/>
      </c>
      <c r="BX45" s="25" t="inlineStr">
        <is>
          <t>21</t>
        </is>
      </c>
      <c r="BY45" s="25">
        <f>IF(BX45&gt;20,10,IF(BX45&gt;=10,5,2))</f>
        <v/>
      </c>
    </row>
    <row r="46">
      <c r="A46" s="25">
        <f>IF(B46=0,"",RANK(B46,$B$2:$B$95,0))</f>
        <v/>
      </c>
      <c r="B46" s="26">
        <f>SUM(Q46,S46,U46,W46,Y46,AA46,AC46,AE46,AG46,AI46,AK46,AM46,AO46,AQ46,AS46,AU46,AW46,AY46,BA46,BC46,BE46,BG46,BI46,BK46,BM46,BO46,BQ46,BS46,BU46,BW46,BY46)</f>
        <v/>
      </c>
      <c r="C46" s="25" t="inlineStr">
        <is>
          <t>MARKSANS</t>
        </is>
      </c>
      <c r="D46" s="25" t="inlineStr">
        <is>
          <t>Marksans Pharma Ltd</t>
        </is>
      </c>
      <c r="E46" s="25" t="inlineStr">
        <is>
          <t>healthcare</t>
        </is>
      </c>
      <c r="F46" s="25" t="inlineStr">
        <is>
          <t>Pharma - Formulators</t>
        </is>
      </c>
      <c r="G46" s="25" t="inlineStr">
        <is>
          <t>midcap</t>
        </is>
      </c>
      <c r="H46" s="26" t="n">
        <v>10929.86</v>
      </c>
      <c r="I46" s="26" t="n">
        <v>241.19</v>
      </c>
      <c r="J46" s="26" t="n">
        <v>1.05</v>
      </c>
      <c r="K46" s="26" t="n">
        <v>0</v>
      </c>
      <c r="L46" s="26" t="n">
        <v>71.84</v>
      </c>
      <c r="M46" s="26" t="n">
        <v>25.72</v>
      </c>
      <c r="N46" s="26" t="n">
        <v>191.22</v>
      </c>
      <c r="O46" s="25" t="inlineStr">
        <is>
          <t>Earnings / Momentum Support</t>
        </is>
      </c>
      <c r="P46" s="25" t="inlineStr">
        <is>
          <t>Growing Industry</t>
        </is>
      </c>
      <c r="Q46" s="25">
        <f>IF(P46="Growing Industry",10,IF(P46="Cyclical in an Upturn",5,0))</f>
        <v/>
      </c>
      <c r="R46" s="25" t="inlineStr">
        <is>
          <t>Too Many Players with High ROCE</t>
        </is>
      </c>
      <c r="S46" s="25">
        <f>IF(R46="Monopoly",10,IF(R46="Oligopoly",5,IF(R46="Duopoly that cooperate",10,IF(R46="Duopoly that compete",5,IF(R46="Too many players with High ROCE",5,0)))))</f>
        <v/>
      </c>
      <c r="T46" s="25" t="inlineStr">
        <is>
          <t>Yes</t>
        </is>
      </c>
      <c r="U46" s="25">
        <f>IF(T46="No",5,0)</f>
        <v/>
      </c>
      <c r="V46" s="25" t="inlineStr">
        <is>
          <t>Tailwind</t>
        </is>
      </c>
      <c r="W46" s="25">
        <f>IF(V46="Tailwind",10,0)</f>
        <v/>
      </c>
      <c r="X46" s="25" t="inlineStr">
        <is>
          <t>Structural (10 Years Consistency)</t>
        </is>
      </c>
      <c r="Y46" s="25">
        <f>IF(X46="Structural (10 Years Consistency)",10,IF(X46="Shallow Cyclical (2 to 3 years growth)",5,0))</f>
        <v/>
      </c>
      <c r="Z46" s="25" t="inlineStr">
        <is>
          <t>No</t>
        </is>
      </c>
      <c r="AA46" s="25">
        <f>IF(Z46="Yes due to Product Mix change or Operating Leverage",10,IF(Z46="Yes, these are peak margins",-5,IF(Z46="No",5,0)))</f>
        <v/>
      </c>
      <c r="AB46" s="25" t="inlineStr">
        <is>
          <t>Stable</t>
        </is>
      </c>
      <c r="AC46" s="25">
        <f>IF(AB46="Stable",10,0)</f>
        <v/>
      </c>
      <c r="AD46" s="25" t="inlineStr">
        <is>
          <t>Yes</t>
        </is>
      </c>
      <c r="AE46" s="25">
        <f>IF(AD46="Yes",10,0)</f>
        <v/>
      </c>
      <c r="AF46" s="25" t="inlineStr">
        <is>
          <t>B2B</t>
        </is>
      </c>
      <c r="AG46" s="25">
        <f>IF(AF46="B2C",10,IF(AF46="B2B",5,0))</f>
        <v/>
      </c>
      <c r="AH46" s="25" t="inlineStr">
        <is>
          <t>No</t>
        </is>
      </c>
      <c r="AI46" s="25">
        <f>IF(AH46="Yes",10,0)</f>
        <v/>
      </c>
      <c r="AJ46" s="25" t="inlineStr">
        <is>
          <t>Higher Annuity, Lower One Time</t>
        </is>
      </c>
      <c r="AK46" s="25">
        <f>IF(AJ46="Fully Annuity",10,IF(AJ46="Higher Annuity, Lower One Time",5,IF(AJ46="Higher One Time, Lower Annuity",3,0)))</f>
        <v/>
      </c>
      <c r="AL46" s="25" t="inlineStr">
        <is>
          <t>Good</t>
        </is>
      </c>
      <c r="AM46" s="25">
        <f>IF(AL46="Good",10,0)</f>
        <v/>
      </c>
      <c r="AN46" s="25" t="inlineStr">
        <is>
          <t>Yes for more than 2 years</t>
        </is>
      </c>
      <c r="AO46" s="25">
        <f>IF(AN46="Yes for more than 2 years",10,IF(AN46="Yes only for next 1 to 2 years",5,0))</f>
        <v/>
      </c>
      <c r="AP46" s="25" t="inlineStr">
        <is>
          <t>20 to 40</t>
        </is>
      </c>
      <c r="AQ46" s="25">
        <f>IF(AP46="Above 40",20,IF(AP46="20 to 40",10,IF(AP46="0 to 20",-5,0)))</f>
        <v/>
      </c>
      <c r="AR46" s="25" t="inlineStr">
        <is>
          <t>Between 50 to 75</t>
        </is>
      </c>
      <c r="AS46" s="25">
        <f>IF(AR46="Between 50 to 75",10,IF(AR46="Above 75",0,0))</f>
        <v/>
      </c>
      <c r="AT46" s="25" t="inlineStr">
        <is>
          <t>Stage 2</t>
        </is>
      </c>
      <c r="AU46" s="25">
        <f>IF(AT46="Stage 2",20,IF(AT46="Stage 1",0,IF(AT46="Stage 3",5,IF(AT46="Stage 4",-5,0))))</f>
        <v/>
      </c>
      <c r="AV46" s="25" t="inlineStr">
        <is>
          <t>Positive Trend</t>
        </is>
      </c>
      <c r="AW46" s="25">
        <f>IF(AV46="Positive Trend",20,IF(AV46="Negative Trend",-10,0))</f>
        <v/>
      </c>
      <c r="AX46" s="25" t="inlineStr">
        <is>
          <t>Uptrend</t>
        </is>
      </c>
      <c r="AY46" s="25">
        <f>IF(AX46="Uptrend",10,IF(AX46="Sideways",5,0))</f>
        <v/>
      </c>
      <c r="AZ46" s="25" t="inlineStr">
        <is>
          <t>Uptrend</t>
        </is>
      </c>
      <c r="BA46" s="25">
        <f>IF(AZ46="Uptrend",10,IF(AZ46="Sideways",5,0))</f>
        <v/>
      </c>
      <c r="BB46" s="25" t="inlineStr">
        <is>
          <t>Close to 52 week high or retracement</t>
        </is>
      </c>
      <c r="BC46" s="25">
        <f>IF(BB46="Overhead supply in last 2 years in last 2 years",-5,IF(BB46="Close to 52 week high or retracement",5,IF(BB46="Blue sky scenario",10,IF(BB46="Long term Downtrend",-10,0))))</f>
        <v/>
      </c>
      <c r="BD46" s="25" t="inlineStr">
        <is>
          <t>Yes</t>
        </is>
      </c>
      <c r="BE46" s="25">
        <f>IF(BD46="Yes",10,0)</f>
        <v/>
      </c>
      <c r="BF46" s="25" t="inlineStr">
        <is>
          <t>More than 20%</t>
        </is>
      </c>
      <c r="BG46" s="25">
        <f>IF(BF46="More than 20%",10,IF(BF46="Between 12 to 20%",5,IF(BF46="Less than 12%",0,0)))</f>
        <v/>
      </c>
      <c r="BH46" s="25" t="inlineStr">
        <is>
          <t>No</t>
        </is>
      </c>
      <c r="BI46" s="25">
        <f>IF(BH46="No",10,0)</f>
        <v/>
      </c>
      <c r="BJ46" s="25" t="inlineStr">
        <is>
          <t>No</t>
        </is>
      </c>
      <c r="BK46" s="25">
        <f>IF(BJ46="NO",5,0)</f>
        <v/>
      </c>
      <c r="BL46" s="25" t="inlineStr">
        <is>
          <t>Less than 1.5</t>
        </is>
      </c>
      <c r="BM46" s="25">
        <f>IF(BL46="Above 2",0,IF(BL46="Between 1.5 to 2",5,IF(BL46="Less than 1.5",10,0)))</f>
        <v/>
      </c>
      <c r="BN46" s="25" t="inlineStr">
        <is>
          <t>Above 70%</t>
        </is>
      </c>
      <c r="BO46" s="25">
        <f>IF(BN46="Above 70%",10,IF(BN46="Between 50% to 70%",5,IF(BN46="Less than 50%",0,IF(BN46="Negative",-10,IF(BN46="Less than 50% and Borrowings are increasing",-5,0)))))</f>
        <v/>
      </c>
      <c r="BP46" s="25" t="inlineStr">
        <is>
          <t>Less than 0.7</t>
        </is>
      </c>
      <c r="BQ46" s="25">
        <f>IF(BP46="More than 1.2",-10,IF(BP46="Between 0.7 to 1.2",0,IF(BP46="Less than 0.7",10,0)))</f>
        <v/>
      </c>
      <c r="BR46" s="25" t="inlineStr">
        <is>
          <t>No</t>
        </is>
      </c>
      <c r="BS46" s="25">
        <f>IF(BR46="Yes",-10,0)</f>
        <v/>
      </c>
      <c r="BT46" s="25" t="inlineStr">
        <is>
          <t>Less than 15%</t>
        </is>
      </c>
      <c r="BU46" s="25">
        <f>IF(BT46="More than 15%",-10,IF(BT46="Less than 15%",10,0))</f>
        <v/>
      </c>
      <c r="BV46" s="25" t="inlineStr">
        <is>
          <t>No</t>
        </is>
      </c>
      <c r="BW46" s="25">
        <f>IF(BV46="Yes, more than 10%",-10,IF(BV46="No",10,0))</f>
        <v/>
      </c>
      <c r="BX46" s="25" t="inlineStr">
        <is>
          <t>21</t>
        </is>
      </c>
      <c r="BY46" s="25">
        <f>IF(BX46&gt;20,10,IF(BX46&gt;=10,5,2))</f>
        <v/>
      </c>
    </row>
    <row r="47">
      <c r="A47" s="25">
        <f>IF(B47=0,"",RANK(B47,$B$2:$B$95,0))</f>
        <v/>
      </c>
      <c r="B47" s="26">
        <f>SUM(Q47,S47,U47,W47,Y47,AA47,AC47,AE47,AG47,AI47,AK47,AM47,AO47,AQ47,AS47,AU47,AW47,AY47,BA47,BC47,BE47,BG47,BI47,BK47,BM47,BO47,BQ47,BS47,BU47,BW47,BY47)</f>
        <v/>
      </c>
      <c r="C47" s="25" t="inlineStr">
        <is>
          <t>SPARC</t>
        </is>
      </c>
      <c r="D47" s="25" t="inlineStr">
        <is>
          <t>Sun Pharma Advanced Research Company Ltd</t>
        </is>
      </c>
      <c r="E47" s="25" t="inlineStr">
        <is>
          <t>healthcare</t>
        </is>
      </c>
      <c r="F47" s="25" t="inlineStr">
        <is>
          <t>Pharma - Others</t>
        </is>
      </c>
      <c r="G47" s="25" t="inlineStr">
        <is>
          <t>midcap</t>
        </is>
      </c>
      <c r="H47" s="26" t="n">
        <v>6628.03</v>
      </c>
      <c r="I47" s="26" t="n">
        <v>204.24</v>
      </c>
      <c r="J47" s="26" t="n">
        <v>4.01</v>
      </c>
      <c r="K47" s="26" t="n">
        <v>0</v>
      </c>
      <c r="L47" s="26" t="n">
        <v>69.83</v>
      </c>
      <c r="M47" s="26" t="n">
        <v>43.38</v>
      </c>
      <c r="N47" s="26" t="n">
        <v>146.18</v>
      </c>
      <c r="O47" s="25" t="inlineStr">
        <is>
          <t>Near 52W High Breakout</t>
        </is>
      </c>
      <c r="P47" s="25" t="inlineStr">
        <is>
          <t>Growing Industry</t>
        </is>
      </c>
      <c r="Q47" s="25">
        <f>IF(P47="Growing Industry",10,IF(P47="Cyclical in an Upturn",5,0))</f>
        <v/>
      </c>
      <c r="R47" s="25" t="inlineStr">
        <is>
          <t>Too Many Players with High ROCE</t>
        </is>
      </c>
      <c r="S47" s="25">
        <f>IF(R47="Monopoly",10,IF(R47="Oligopoly",5,IF(R47="Duopoly that cooperate",10,IF(R47="Duopoly that compete",5,IF(R47="Too many players with High ROCE",5,0)))))</f>
        <v/>
      </c>
      <c r="T47" s="25" t="inlineStr">
        <is>
          <t>Yes</t>
        </is>
      </c>
      <c r="U47" s="25">
        <f>IF(T47="No",5,0)</f>
        <v/>
      </c>
      <c r="V47" s="25" t="inlineStr">
        <is>
          <t>Tailwind</t>
        </is>
      </c>
      <c r="W47" s="25">
        <f>IF(V47="Tailwind",10,0)</f>
        <v/>
      </c>
      <c r="X47" s="25" t="inlineStr">
        <is>
          <t>Structural (10 Years Consistency)</t>
        </is>
      </c>
      <c r="Y47" s="25">
        <f>IF(X47="Structural (10 Years Consistency)",10,IF(X47="Shallow Cyclical (2 to 3 years growth)",5,0))</f>
        <v/>
      </c>
      <c r="Z47" s="25" t="inlineStr">
        <is>
          <t>No</t>
        </is>
      </c>
      <c r="AA47" s="25">
        <f>IF(Z47="Yes due to Product Mix change or Operating Leverage",10,IF(Z47="Yes, these are peak margins",-5,IF(Z47="No",5,0)))</f>
        <v/>
      </c>
      <c r="AB47" s="25" t="inlineStr">
        <is>
          <t>Stable</t>
        </is>
      </c>
      <c r="AC47" s="25">
        <f>IF(AB47="Stable",10,0)</f>
        <v/>
      </c>
      <c r="AD47" s="25" t="inlineStr">
        <is>
          <t>Yes</t>
        </is>
      </c>
      <c r="AE47" s="25">
        <f>IF(AD47="Yes",10,0)</f>
        <v/>
      </c>
      <c r="AF47" s="25" t="inlineStr">
        <is>
          <t>B2B</t>
        </is>
      </c>
      <c r="AG47" s="25">
        <f>IF(AF47="B2C",10,IF(AF47="B2B",5,0))</f>
        <v/>
      </c>
      <c r="AH47" s="25" t="inlineStr">
        <is>
          <t>Yes</t>
        </is>
      </c>
      <c r="AI47" s="25">
        <f>IF(AH47="Yes",10,0)</f>
        <v/>
      </c>
      <c r="AJ47" s="25" t="inlineStr">
        <is>
          <t>Higher Annuity, Lower One Time</t>
        </is>
      </c>
      <c r="AK47" s="25">
        <f>IF(AJ47="Fully Annuity",10,IF(AJ47="Higher Annuity, Lower One Time",5,IF(AJ47="Higher One Time, Lower Annuity",3,0)))</f>
        <v/>
      </c>
      <c r="AL47" s="25" t="inlineStr">
        <is>
          <t>Good</t>
        </is>
      </c>
      <c r="AM47" s="25">
        <f>IF(AL47="Good",10,0)</f>
        <v/>
      </c>
      <c r="AN47" s="25" t="inlineStr">
        <is>
          <t>Yes for more than 2 years</t>
        </is>
      </c>
      <c r="AO47" s="25">
        <f>IF(AN47="Yes for more than 2 years",10,IF(AN47="Yes only for next 1 to 2 years",5,0))</f>
        <v/>
      </c>
      <c r="AP47" s="25" t="inlineStr">
        <is>
          <t>Above 40</t>
        </is>
      </c>
      <c r="AQ47" s="25">
        <f>IF(AP47="Above 40",20,IF(AP47="20 to 40",10,IF(AP47="0 to 20",-5,0)))</f>
        <v/>
      </c>
      <c r="AR47" s="25" t="inlineStr">
        <is>
          <t>Between 50 to 75</t>
        </is>
      </c>
      <c r="AS47" s="25">
        <f>IF(AR47="Between 50 to 75",10,IF(AR47="Above 75",0,0))</f>
        <v/>
      </c>
      <c r="AT47" s="25" t="inlineStr">
        <is>
          <t>Stage 2</t>
        </is>
      </c>
      <c r="AU47" s="25">
        <f>IF(AT47="Stage 2",20,IF(AT47="Stage 1",0,IF(AT47="Stage 3",5,IF(AT47="Stage 4",-5,0))))</f>
        <v/>
      </c>
      <c r="AV47" s="25" t="inlineStr">
        <is>
          <t>Positive Trend</t>
        </is>
      </c>
      <c r="AW47" s="25">
        <f>IF(AV47="Positive Trend",20,IF(AV47="Negative Trend",-10,0))</f>
        <v/>
      </c>
      <c r="AX47" s="25" t="inlineStr">
        <is>
          <t>Uptrend</t>
        </is>
      </c>
      <c r="AY47" s="25">
        <f>IF(AX47="Uptrend",10,IF(AX47="Sideways",5,0))</f>
        <v/>
      </c>
      <c r="AZ47" s="25" t="inlineStr">
        <is>
          <t>Uptrend</t>
        </is>
      </c>
      <c r="BA47" s="25">
        <f>IF(AZ47="Uptrend",10,IF(AZ47="Sideways",5,0))</f>
        <v/>
      </c>
      <c r="BB47" s="25" t="inlineStr">
        <is>
          <t>Close to 52 week high or retracement</t>
        </is>
      </c>
      <c r="BC47" s="25">
        <f>IF(BB47="Overhead supply in last 2 years in last 2 years",-5,IF(BB47="Close to 52 week high or retracement",5,IF(BB47="Blue sky scenario",10,IF(BB47="Long term Downtrend",-10,0))))</f>
        <v/>
      </c>
      <c r="BD47" s="25" t="inlineStr">
        <is>
          <t>Yes</t>
        </is>
      </c>
      <c r="BE47" s="25">
        <f>IF(BD47="Yes",10,0)</f>
        <v/>
      </c>
      <c r="BF47" s="25" t="inlineStr">
        <is>
          <t>More than 20%</t>
        </is>
      </c>
      <c r="BG47" s="25">
        <f>IF(BF47="More than 20%",10,IF(BF47="Between 12 to 20%",5,IF(BF47="Less than 12%",0,0)))</f>
        <v/>
      </c>
      <c r="BH47" s="25" t="inlineStr">
        <is>
          <t>No</t>
        </is>
      </c>
      <c r="BI47" s="25">
        <f>IF(BH47="No",10,0)</f>
        <v/>
      </c>
      <c r="BJ47" s="25" t="inlineStr">
        <is>
          <t>No</t>
        </is>
      </c>
      <c r="BK47" s="25">
        <f>IF(BJ47="NO",5,0)</f>
        <v/>
      </c>
      <c r="BL47" s="25" t="inlineStr">
        <is>
          <t>Less than 1.5</t>
        </is>
      </c>
      <c r="BM47" s="25">
        <f>IF(BL47="Above 2",0,IF(BL47="Between 1.5 to 2",5,IF(BL47="Less than 1.5",10,0)))</f>
        <v/>
      </c>
      <c r="BN47" s="25" t="inlineStr">
        <is>
          <t>Negative</t>
        </is>
      </c>
      <c r="BO47" s="25">
        <f>IF(BN47="Above 70%",10,IF(BN47="Between 50% to 70%",5,IF(BN47="Less than 50%",0,IF(BN47="Negative",-10,IF(BN47="Less than 50% and Borrowings are increasing",-5,0)))))</f>
        <v/>
      </c>
      <c r="BP47" s="25" t="inlineStr">
        <is>
          <t>Less than 0.7</t>
        </is>
      </c>
      <c r="BQ47" s="25">
        <f>IF(BP47="More than 1.2",-10,IF(BP47="Between 0.7 to 1.2",0,IF(BP47="Less than 0.7",10,0)))</f>
        <v/>
      </c>
      <c r="BR47" s="25" t="inlineStr">
        <is>
          <t>No</t>
        </is>
      </c>
      <c r="BS47" s="25">
        <f>IF(BR47="Yes",-10,0)</f>
        <v/>
      </c>
      <c r="BT47" s="25" t="inlineStr">
        <is>
          <t>Less than 15%</t>
        </is>
      </c>
      <c r="BU47" s="25">
        <f>IF(BT47="More than 15%",-10,IF(BT47="Less than 15%",10,0))</f>
        <v/>
      </c>
      <c r="BV47" s="25" t="inlineStr">
        <is>
          <t>No</t>
        </is>
      </c>
      <c r="BW47" s="25">
        <f>IF(BV47="Yes, more than 10%",-10,IF(BV47="No",10,0))</f>
        <v/>
      </c>
      <c r="BX47" s="25" t="inlineStr">
        <is>
          <t>19</t>
        </is>
      </c>
      <c r="BY47" s="25">
        <f>IF(BX47&gt;20,10,IF(BX47&gt;=10,5,2))</f>
        <v/>
      </c>
    </row>
    <row r="48">
      <c r="A48" s="25">
        <f>IF(B48=0,"",RANK(B48,$B$2:$B$95,0))</f>
        <v/>
      </c>
      <c r="B48" s="26">
        <f>SUM(Q48,S48,U48,W48,Y48,AA48,AC48,AE48,AG48,AI48,AK48,AM48,AO48,AQ48,AS48,AU48,AW48,AY48,BA48,BC48,BE48,BG48,BI48,BK48,BM48,BO48,BQ48,BS48,BU48,BW48,BY48)</f>
        <v/>
      </c>
      <c r="C48" s="25" t="inlineStr">
        <is>
          <t>HESTERBIO</t>
        </is>
      </c>
      <c r="D48" s="25" t="inlineStr">
        <is>
          <t>Hester Biosciences Ltd</t>
        </is>
      </c>
      <c r="E48" s="25" t="inlineStr">
        <is>
          <t>healthcare</t>
        </is>
      </c>
      <c r="F48" s="25" t="inlineStr">
        <is>
          <t>Pharma - Animal</t>
        </is>
      </c>
      <c r="G48" s="25" t="inlineStr">
        <is>
          <t>smallcap</t>
        </is>
      </c>
      <c r="H48" s="26" t="n">
        <v>1714.47</v>
      </c>
      <c r="I48" s="26" t="n">
        <v>2015.4</v>
      </c>
      <c r="J48" s="26" t="n">
        <v>-0.08</v>
      </c>
      <c r="K48" s="26" t="n">
        <v>0</v>
      </c>
      <c r="L48" s="26" t="n">
        <v>71.48999999999999</v>
      </c>
      <c r="M48" s="26" t="n">
        <v>32.52</v>
      </c>
      <c r="N48" s="26" t="n">
        <v>1552.85</v>
      </c>
      <c r="O48" s="25" t="inlineStr">
        <is>
          <t>Earnings / Momentum Support</t>
        </is>
      </c>
      <c r="P48" s="25" t="inlineStr">
        <is>
          <t>Growing Industry</t>
        </is>
      </c>
      <c r="Q48" s="25">
        <f>IF(P48="Growing Industry",10,IF(P48="Cyclical in an Upturn",5,0))</f>
        <v/>
      </c>
      <c r="R48" s="25" t="inlineStr">
        <is>
          <t>Too Many Players with High ROCE</t>
        </is>
      </c>
      <c r="S48" s="25">
        <f>IF(R48="Monopoly",10,IF(R48="Oligopoly",5,IF(R48="Duopoly that cooperate",10,IF(R48="Duopoly that compete",5,IF(R48="Too many players with High ROCE",5,0)))))</f>
        <v/>
      </c>
      <c r="T48" s="25" t="inlineStr">
        <is>
          <t>Yes</t>
        </is>
      </c>
      <c r="U48" s="25">
        <f>IF(T48="No",5,0)</f>
        <v/>
      </c>
      <c r="V48" s="25" t="inlineStr">
        <is>
          <t>Tailwind</t>
        </is>
      </c>
      <c r="W48" s="25">
        <f>IF(V48="Tailwind",10,0)</f>
        <v/>
      </c>
      <c r="X48" s="25" t="inlineStr">
        <is>
          <t>Structural (10 Years Consistency)</t>
        </is>
      </c>
      <c r="Y48" s="25">
        <f>IF(X48="Structural (10 Years Consistency)",10,IF(X48="Shallow Cyclical (2 to 3 years growth)",5,0))</f>
        <v/>
      </c>
      <c r="Z48" s="25" t="inlineStr">
        <is>
          <t>No</t>
        </is>
      </c>
      <c r="AA48" s="25">
        <f>IF(Z48="Yes due to Product Mix change or Operating Leverage",10,IF(Z48="Yes, these are peak margins",-5,IF(Z48="No",5,0)))</f>
        <v/>
      </c>
      <c r="AB48" s="25" t="inlineStr">
        <is>
          <t>Stable</t>
        </is>
      </c>
      <c r="AC48" s="25">
        <f>IF(AB48="Stable",10,0)</f>
        <v/>
      </c>
      <c r="AD48" s="25" t="inlineStr">
        <is>
          <t>Yes</t>
        </is>
      </c>
      <c r="AE48" s="25">
        <f>IF(AD48="Yes",10,0)</f>
        <v/>
      </c>
      <c r="AF48" s="25" t="inlineStr">
        <is>
          <t>B2B</t>
        </is>
      </c>
      <c r="AG48" s="25">
        <f>IF(AF48="B2C",10,IF(AF48="B2B",5,0))</f>
        <v/>
      </c>
      <c r="AH48" s="25" t="inlineStr">
        <is>
          <t>No</t>
        </is>
      </c>
      <c r="AI48" s="25">
        <f>IF(AH48="Yes",10,0)</f>
        <v/>
      </c>
      <c r="AJ48" s="25" t="inlineStr">
        <is>
          <t>Higher Annuity, Lower One Time</t>
        </is>
      </c>
      <c r="AK48" s="25">
        <f>IF(AJ48="Fully Annuity",10,IF(AJ48="Higher Annuity, Lower One Time",5,IF(AJ48="Higher One Time, Lower Annuity",3,0)))</f>
        <v/>
      </c>
      <c r="AL48" s="25" t="inlineStr">
        <is>
          <t>Good</t>
        </is>
      </c>
      <c r="AM48" s="25">
        <f>IF(AL48="Good",10,0)</f>
        <v/>
      </c>
      <c r="AN48" s="25" t="inlineStr">
        <is>
          <t>Yes for more than 2 years</t>
        </is>
      </c>
      <c r="AO48" s="25">
        <f>IF(AN48="Yes for more than 2 years",10,IF(AN48="Yes only for next 1 to 2 years",5,0))</f>
        <v/>
      </c>
      <c r="AP48" s="25" t="inlineStr">
        <is>
          <t>20 to 40</t>
        </is>
      </c>
      <c r="AQ48" s="25">
        <f>IF(AP48="Above 40",20,IF(AP48="20 to 40",10,IF(AP48="0 to 20",-5,0)))</f>
        <v/>
      </c>
      <c r="AR48" s="25" t="inlineStr">
        <is>
          <t>Between 50 to 75</t>
        </is>
      </c>
      <c r="AS48" s="25">
        <f>IF(AR48="Between 50 to 75",10,IF(AR48="Above 75",0,0))</f>
        <v/>
      </c>
      <c r="AT48" s="25" t="inlineStr">
        <is>
          <t>Stage 2</t>
        </is>
      </c>
      <c r="AU48" s="25">
        <f>IF(AT48="Stage 2",20,IF(AT48="Stage 1",0,IF(AT48="Stage 3",5,IF(AT48="Stage 4",-5,0))))</f>
        <v/>
      </c>
      <c r="AV48" s="25" t="inlineStr">
        <is>
          <t>Positive Trend</t>
        </is>
      </c>
      <c r="AW48" s="25">
        <f>IF(AV48="Positive Trend",20,IF(AV48="Negative Trend",-10,0))</f>
        <v/>
      </c>
      <c r="AX48" s="25" t="inlineStr">
        <is>
          <t>Uptrend</t>
        </is>
      </c>
      <c r="AY48" s="25">
        <f>IF(AX48="Uptrend",10,IF(AX48="Sideways",5,0))</f>
        <v/>
      </c>
      <c r="AZ48" s="25" t="inlineStr">
        <is>
          <t>Uptrend</t>
        </is>
      </c>
      <c r="BA48" s="25">
        <f>IF(AZ48="Uptrend",10,IF(AZ48="Sideways",5,0))</f>
        <v/>
      </c>
      <c r="BB48" s="25" t="inlineStr">
        <is>
          <t>Close to 52 week high or retracement</t>
        </is>
      </c>
      <c r="BC48" s="25">
        <f>IF(BB48="Overhead supply in last 2 years in last 2 years",-5,IF(BB48="Close to 52 week high or retracement",5,IF(BB48="Blue sky scenario",10,IF(BB48="Long term Downtrend",-10,0))))</f>
        <v/>
      </c>
      <c r="BD48" s="25" t="inlineStr">
        <is>
          <t>Yes</t>
        </is>
      </c>
      <c r="BE48" s="25">
        <f>IF(BD48="Yes",10,0)</f>
        <v/>
      </c>
      <c r="BF48" s="25" t="inlineStr">
        <is>
          <t>More than 20%</t>
        </is>
      </c>
      <c r="BG48" s="25">
        <f>IF(BF48="More than 20%",10,IF(BF48="Between 12 to 20%",5,IF(BF48="Less than 12%",0,0)))</f>
        <v/>
      </c>
      <c r="BH48" s="25" t="inlineStr">
        <is>
          <t>No</t>
        </is>
      </c>
      <c r="BI48" s="25">
        <f>IF(BH48="No",10,0)</f>
        <v/>
      </c>
      <c r="BJ48" s="25" t="inlineStr">
        <is>
          <t>No</t>
        </is>
      </c>
      <c r="BK48" s="25">
        <f>IF(BJ48="NO",5,0)</f>
        <v/>
      </c>
      <c r="BL48" s="25" t="inlineStr">
        <is>
          <t>Less than 1.5</t>
        </is>
      </c>
      <c r="BM48" s="25">
        <f>IF(BL48="Above 2",0,IF(BL48="Between 1.5 to 2",5,IF(BL48="Less than 1.5",10,0)))</f>
        <v/>
      </c>
      <c r="BN48" s="25" t="inlineStr">
        <is>
          <t>Above 70%</t>
        </is>
      </c>
      <c r="BO48" s="25">
        <f>IF(BN48="Above 70%",10,IF(BN48="Between 50% to 70%",5,IF(BN48="Less than 50%",0,IF(BN48="Negative",-10,IF(BN48="Less than 50% and Borrowings are increasing",-5,0)))))</f>
        <v/>
      </c>
      <c r="BP48" s="25" t="inlineStr">
        <is>
          <t>Less than 0.7</t>
        </is>
      </c>
      <c r="BQ48" s="25">
        <f>IF(BP48="More than 1.2",-10,IF(BP48="Between 0.7 to 1.2",0,IF(BP48="Less than 0.7",10,0)))</f>
        <v/>
      </c>
      <c r="BR48" s="25" t="inlineStr">
        <is>
          <t>No</t>
        </is>
      </c>
      <c r="BS48" s="25">
        <f>IF(BR48="Yes",-10,0)</f>
        <v/>
      </c>
      <c r="BT48" s="25" t="inlineStr">
        <is>
          <t>Less than 15%</t>
        </is>
      </c>
      <c r="BU48" s="25">
        <f>IF(BT48="More than 15%",-10,IF(BT48="Less than 15%",10,0))</f>
        <v/>
      </c>
      <c r="BV48" s="25" t="inlineStr">
        <is>
          <t>No</t>
        </is>
      </c>
      <c r="BW48" s="25">
        <f>IF(BV48="Yes, more than 10%",-10,IF(BV48="No",10,0))</f>
        <v/>
      </c>
      <c r="BX48" s="25" t="inlineStr">
        <is>
          <t>19</t>
        </is>
      </c>
      <c r="BY48" s="25">
        <f>IF(BX48&gt;20,10,IF(BX48&gt;=10,5,2))</f>
        <v/>
      </c>
    </row>
    <row r="49">
      <c r="A49" s="25">
        <f>IF(B49=0,"",RANK(B49,$B$2:$B$95,0))</f>
        <v/>
      </c>
      <c r="B49" s="26">
        <f>SUM(Q49,S49,U49,W49,Y49,AA49,AC49,AE49,AG49,AI49,AK49,AM49,AO49,AQ49,AS49,AU49,AW49,AY49,BA49,BC49,BE49,BG49,BI49,BK49,BM49,BO49,BQ49,BS49,BU49,BW49,BY49)</f>
        <v/>
      </c>
      <c r="C49" s="25" t="inlineStr">
        <is>
          <t>SKIPPER</t>
        </is>
      </c>
      <c r="D49" s="25" t="inlineStr">
        <is>
          <t>Skipper Ltd</t>
        </is>
      </c>
      <c r="E49" s="25" t="inlineStr">
        <is>
          <t>industrials</t>
        </is>
      </c>
      <c r="F49" s="25" t="inlineStr">
        <is>
          <t>Electrical Equipments/HVDC</t>
        </is>
      </c>
      <c r="G49" s="25" t="inlineStr">
        <is>
          <t>midcap</t>
        </is>
      </c>
      <c r="H49" s="26" t="n">
        <v>6464.53</v>
      </c>
      <c r="I49" s="26" t="n">
        <v>572.4</v>
      </c>
      <c r="J49" s="26" t="n">
        <v>4.58</v>
      </c>
      <c r="K49" s="26" t="n">
        <v>0</v>
      </c>
      <c r="L49" s="26" t="n">
        <v>72.44</v>
      </c>
      <c r="M49" s="26" t="n">
        <v>32.69</v>
      </c>
      <c r="N49" s="26" t="n">
        <v>431.23</v>
      </c>
      <c r="O49" s="25" t="inlineStr">
        <is>
          <t>Near 52W High Breakout</t>
        </is>
      </c>
      <c r="P49" s="25" t="inlineStr">
        <is>
          <t>Cyclical in an Upturn</t>
        </is>
      </c>
      <c r="Q49" s="25">
        <f>IF(P49="Growing Industry",10,IF(P49="Cyclical in an Upturn",5,0))</f>
        <v/>
      </c>
      <c r="R49" s="25" t="inlineStr">
        <is>
          <t>Too Many Players with High ROCE</t>
        </is>
      </c>
      <c r="S49" s="25">
        <f>IF(R49="Monopoly",10,IF(R49="Oligopoly",5,IF(R49="Duopoly that cooperate",10,IF(R49="Duopoly that compete",5,IF(R49="Too many players with High ROCE",5,0)))))</f>
        <v/>
      </c>
      <c r="T49" s="25" t="inlineStr">
        <is>
          <t>No</t>
        </is>
      </c>
      <c r="U49" s="25">
        <f>IF(T49="No",5,0)</f>
        <v/>
      </c>
      <c r="V49" s="25" t="inlineStr">
        <is>
          <t>Tailwind</t>
        </is>
      </c>
      <c r="W49" s="25">
        <f>IF(V49="Tailwind",10,0)</f>
        <v/>
      </c>
      <c r="X49" s="25" t="inlineStr">
        <is>
          <t>Structural (10 Years Consistency)</t>
        </is>
      </c>
      <c r="Y49" s="25">
        <f>IF(X49="Structural (10 Years Consistency)",10,IF(X49="Shallow Cyclical (2 to 3 years growth)",5,0))</f>
        <v/>
      </c>
      <c r="Z49" s="25" t="inlineStr">
        <is>
          <t>No</t>
        </is>
      </c>
      <c r="AA49" s="25">
        <f>IF(Z49="Yes due to Product Mix change or Operating Leverage",10,IF(Z49="Yes, these are peak margins",-5,IF(Z49="No",5,0)))</f>
        <v/>
      </c>
      <c r="AB49" s="25" t="inlineStr">
        <is>
          <t>Stable</t>
        </is>
      </c>
      <c r="AC49" s="25">
        <f>IF(AB49="Stable",10,0)</f>
        <v/>
      </c>
      <c r="AD49" s="25" t="inlineStr">
        <is>
          <t>Yes</t>
        </is>
      </c>
      <c r="AE49" s="25">
        <f>IF(AD49="Yes",10,0)</f>
        <v/>
      </c>
      <c r="AF49" s="25" t="inlineStr">
        <is>
          <t>B2B</t>
        </is>
      </c>
      <c r="AG49" s="25">
        <f>IF(AF49="B2C",10,IF(AF49="B2B",5,0))</f>
        <v/>
      </c>
      <c r="AH49" s="25" t="inlineStr">
        <is>
          <t>Yes</t>
        </is>
      </c>
      <c r="AI49" s="25">
        <f>IF(AH49="Yes",10,0)</f>
        <v/>
      </c>
      <c r="AJ49" s="25" t="inlineStr">
        <is>
          <t>Higher One Time, Lower Annuity</t>
        </is>
      </c>
      <c r="AK49" s="25">
        <f>IF(AJ49="Fully Annuity",10,IF(AJ49="Higher Annuity, Lower One Time",5,IF(AJ49="Higher One Time, Lower Annuity",3,0)))</f>
        <v/>
      </c>
      <c r="AL49" s="25" t="inlineStr">
        <is>
          <t>Good</t>
        </is>
      </c>
      <c r="AM49" s="25">
        <f>IF(AL49="Good",10,0)</f>
        <v/>
      </c>
      <c r="AN49" s="25" t="inlineStr">
        <is>
          <t>Yes for more than 2 years</t>
        </is>
      </c>
      <c r="AO49" s="25">
        <f>IF(AN49="Yes for more than 2 years",10,IF(AN49="Yes only for next 1 to 2 years",5,0))</f>
        <v/>
      </c>
      <c r="AP49" s="25" t="inlineStr">
        <is>
          <t>20 to 40</t>
        </is>
      </c>
      <c r="AQ49" s="25">
        <f>IF(AP49="Above 40",20,IF(AP49="20 to 40",10,IF(AP49="0 to 20",-5,0)))</f>
        <v/>
      </c>
      <c r="AR49" s="25" t="inlineStr">
        <is>
          <t>Between 50 to 75</t>
        </is>
      </c>
      <c r="AS49" s="25">
        <f>IF(AR49="Between 50 to 75",10,IF(AR49="Above 75",0,0))</f>
        <v/>
      </c>
      <c r="AT49" s="25" t="inlineStr">
        <is>
          <t>Stage 2</t>
        </is>
      </c>
      <c r="AU49" s="25">
        <f>IF(AT49="Stage 2",20,IF(AT49="Stage 1",0,IF(AT49="Stage 3",5,IF(AT49="Stage 4",-5,0))))</f>
        <v/>
      </c>
      <c r="AV49" s="25" t="inlineStr">
        <is>
          <t>Positive Trend</t>
        </is>
      </c>
      <c r="AW49" s="25">
        <f>IF(AV49="Positive Trend",20,IF(AV49="Negative Trend",-10,0))</f>
        <v/>
      </c>
      <c r="AX49" s="25" t="inlineStr">
        <is>
          <t>Uptrend</t>
        </is>
      </c>
      <c r="AY49" s="25">
        <f>IF(AX49="Uptrend",10,IF(AX49="Sideways",5,0))</f>
        <v/>
      </c>
      <c r="AZ49" s="25" t="inlineStr">
        <is>
          <t>Uptrend</t>
        </is>
      </c>
      <c r="BA49" s="25">
        <f>IF(AZ49="Uptrend",10,IF(AZ49="Sideways",5,0))</f>
        <v/>
      </c>
      <c r="BB49" s="25" t="inlineStr">
        <is>
          <t>Close to 52 week high or retracement</t>
        </is>
      </c>
      <c r="BC49" s="25">
        <f>IF(BB49="Overhead supply in last 2 years in last 2 years",-5,IF(BB49="Close to 52 week high or retracement",5,IF(BB49="Blue sky scenario",10,IF(BB49="Long term Downtrend",-10,0))))</f>
        <v/>
      </c>
      <c r="BD49" s="25" t="inlineStr">
        <is>
          <t>Yes</t>
        </is>
      </c>
      <c r="BE49" s="25">
        <f>IF(BD49="Yes",10,0)</f>
        <v/>
      </c>
      <c r="BF49" s="25" t="inlineStr">
        <is>
          <t>More than 20%</t>
        </is>
      </c>
      <c r="BG49" s="25">
        <f>IF(BF49="More than 20%",10,IF(BF49="Between 12 to 20%",5,IF(BF49="Less than 12%",0,0)))</f>
        <v/>
      </c>
      <c r="BH49" s="25" t="inlineStr">
        <is>
          <t>No</t>
        </is>
      </c>
      <c r="BI49" s="25">
        <f>IF(BH49="No",10,0)</f>
        <v/>
      </c>
      <c r="BJ49" s="25" t="inlineStr">
        <is>
          <t>No</t>
        </is>
      </c>
      <c r="BK49" s="25">
        <f>IF(BJ49="NO",5,0)</f>
        <v/>
      </c>
      <c r="BL49" s="25" t="inlineStr">
        <is>
          <t>Less than 1.5</t>
        </is>
      </c>
      <c r="BM49" s="25">
        <f>IF(BL49="Above 2",0,IF(BL49="Between 1.5 to 2",5,IF(BL49="Less than 1.5",10,0)))</f>
        <v/>
      </c>
      <c r="BN49" s="25" t="inlineStr">
        <is>
          <t>Less than 50%</t>
        </is>
      </c>
      <c r="BO49" s="25">
        <f>IF(BN49="Above 70%",10,IF(BN49="Between 50% to 70%",5,IF(BN49="Less than 50%",0,IF(BN49="Negative",-10,IF(BN49="Less than 50% and Borrowings are increasing",-5,0)))))</f>
        <v/>
      </c>
      <c r="BP49" s="25" t="inlineStr">
        <is>
          <t>Less than 0.7</t>
        </is>
      </c>
      <c r="BQ49" s="25">
        <f>IF(BP49="More than 1.2",-10,IF(BP49="Between 0.7 to 1.2",0,IF(BP49="Less than 0.7",10,0)))</f>
        <v/>
      </c>
      <c r="BR49" s="25" t="inlineStr">
        <is>
          <t>No</t>
        </is>
      </c>
      <c r="BS49" s="25">
        <f>IF(BR49="Yes",-10,0)</f>
        <v/>
      </c>
      <c r="BT49" s="25" t="inlineStr">
        <is>
          <t>Less than 15%</t>
        </is>
      </c>
      <c r="BU49" s="25">
        <f>IF(BT49="More than 15%",-10,IF(BT49="Less than 15%",10,0))</f>
        <v/>
      </c>
      <c r="BV49" s="25" t="inlineStr">
        <is>
          <t>No</t>
        </is>
      </c>
      <c r="BW49" s="25">
        <f>IF(BV49="Yes, more than 10%",-10,IF(BV49="No",10,0))</f>
        <v/>
      </c>
      <c r="BX49" s="25" t="inlineStr">
        <is>
          <t>32</t>
        </is>
      </c>
      <c r="BY49" s="25">
        <f>IF(BX49&gt;20,10,IF(BX49&gt;=10,5,2))</f>
        <v/>
      </c>
    </row>
    <row r="50">
      <c r="A50" s="25">
        <f>IF(B50=0,"",RANK(B50,$B$2:$B$95,0))</f>
        <v/>
      </c>
      <c r="B50" s="26">
        <f>SUM(Q50,S50,U50,W50,Y50,AA50,AC50,AE50,AG50,AI50,AK50,AM50,AO50,AQ50,AS50,AU50,AW50,AY50,BA50,BC50,BE50,BG50,BI50,BK50,BM50,BO50,BQ50,BS50,BU50,BW50,BY50)</f>
        <v/>
      </c>
      <c r="C50" s="25" t="inlineStr">
        <is>
          <t>MINDACORP</t>
        </is>
      </c>
      <c r="D50" s="25" t="inlineStr">
        <is>
          <t>Minda Corporation Ltd</t>
        </is>
      </c>
      <c r="E50" s="25" t="inlineStr">
        <is>
          <t>auto</t>
        </is>
      </c>
      <c r="F50" s="25" t="inlineStr">
        <is>
          <t>Auto Ancillaries - Diversified</t>
        </is>
      </c>
      <c r="G50" s="25" t="inlineStr">
        <is>
          <t>midcap</t>
        </is>
      </c>
      <c r="H50" s="26" t="n">
        <v>15058.42</v>
      </c>
      <c r="I50" s="26" t="n">
        <v>629.85</v>
      </c>
      <c r="J50" s="26" t="n">
        <v>1.79</v>
      </c>
      <c r="K50" s="26" t="n">
        <v>0</v>
      </c>
      <c r="L50" s="26" t="n">
        <v>63.99</v>
      </c>
      <c r="M50" s="26" t="n">
        <v>19.13</v>
      </c>
      <c r="N50" s="26" t="n">
        <v>502.48</v>
      </c>
      <c r="O50" s="25" t="inlineStr">
        <is>
          <t>Near 52W High Breakout</t>
        </is>
      </c>
      <c r="P50" s="25" t="inlineStr">
        <is>
          <t>Growing Industry</t>
        </is>
      </c>
      <c r="Q50" s="25">
        <f>IF(P50="Growing Industry",10,IF(P50="Cyclical in an Upturn",5,0))</f>
        <v/>
      </c>
      <c r="R50" s="25" t="inlineStr">
        <is>
          <t>Too Many Players with High ROCE</t>
        </is>
      </c>
      <c r="S50" s="25">
        <f>IF(R50="Monopoly",10,IF(R50="Oligopoly",5,IF(R50="Duopoly that cooperate",10,IF(R50="Duopoly that compete",5,IF(R50="Too many players with High ROCE",5,0)))))</f>
        <v/>
      </c>
      <c r="T50" s="25" t="inlineStr">
        <is>
          <t>No</t>
        </is>
      </c>
      <c r="U50" s="25">
        <f>IF(T50="No",5,0)</f>
        <v/>
      </c>
      <c r="V50" s="25" t="inlineStr">
        <is>
          <t>Tailwind</t>
        </is>
      </c>
      <c r="W50" s="25">
        <f>IF(V50="Tailwind",10,0)</f>
        <v/>
      </c>
      <c r="X50" s="25" t="inlineStr">
        <is>
          <t>Structural (10 Years Consistency)</t>
        </is>
      </c>
      <c r="Y50" s="25">
        <f>IF(X50="Structural (10 Years Consistency)",10,IF(X50="Shallow Cyclical (2 to 3 years growth)",5,0))</f>
        <v/>
      </c>
      <c r="Z50" s="25" t="inlineStr">
        <is>
          <t>No</t>
        </is>
      </c>
      <c r="AA50" s="25">
        <f>IF(Z50="Yes due to Product Mix change or Operating Leverage",10,IF(Z50="Yes, these are peak margins",-5,IF(Z50="No",5,0)))</f>
        <v/>
      </c>
      <c r="AB50" s="25" t="inlineStr">
        <is>
          <t>Stable</t>
        </is>
      </c>
      <c r="AC50" s="25">
        <f>IF(AB50="Stable",10,0)</f>
        <v/>
      </c>
      <c r="AD50" s="25" t="inlineStr">
        <is>
          <t>Yes</t>
        </is>
      </c>
      <c r="AE50" s="25">
        <f>IF(AD50="Yes",10,0)</f>
        <v/>
      </c>
      <c r="AF50" s="25" t="inlineStr">
        <is>
          <t>B2B</t>
        </is>
      </c>
      <c r="AG50" s="25">
        <f>IF(AF50="B2C",10,IF(AF50="B2B",5,0))</f>
        <v/>
      </c>
      <c r="AH50" s="25" t="inlineStr">
        <is>
          <t>Yes</t>
        </is>
      </c>
      <c r="AI50" s="25">
        <f>IF(AH50="Yes",10,0)</f>
        <v/>
      </c>
      <c r="AJ50" s="25" t="inlineStr">
        <is>
          <t>Higher One Time, Lower Annuity</t>
        </is>
      </c>
      <c r="AK50" s="25">
        <f>IF(AJ50="Fully Annuity",10,IF(AJ50="Higher Annuity, Lower One Time",5,IF(AJ50="Higher One Time, Lower Annuity",3,0)))</f>
        <v/>
      </c>
      <c r="AL50" s="25" t="inlineStr">
        <is>
          <t>Good</t>
        </is>
      </c>
      <c r="AM50" s="25">
        <f>IF(AL50="Good",10,0)</f>
        <v/>
      </c>
      <c r="AN50" s="25" t="inlineStr">
        <is>
          <t>Yes for more than 2 years</t>
        </is>
      </c>
      <c r="AO50" s="25">
        <f>IF(AN50="Yes for more than 2 years",10,IF(AN50="Yes only for next 1 to 2 years",5,0))</f>
        <v/>
      </c>
      <c r="AP50" s="25" t="inlineStr">
        <is>
          <t>0 to 20</t>
        </is>
      </c>
      <c r="AQ50" s="25">
        <f>IF(AP50="Above 40",20,IF(AP50="20 to 40",10,IF(AP50="0 to 20",-5,0)))</f>
        <v/>
      </c>
      <c r="AR50" s="25" t="inlineStr">
        <is>
          <t>Between 50 to 75</t>
        </is>
      </c>
      <c r="AS50" s="25">
        <f>IF(AR50="Between 50 to 75",10,IF(AR50="Above 75",0,0))</f>
        <v/>
      </c>
      <c r="AT50" s="25" t="inlineStr">
        <is>
          <t>Stage 2</t>
        </is>
      </c>
      <c r="AU50" s="25">
        <f>IF(AT50="Stage 2",20,IF(AT50="Stage 1",0,IF(AT50="Stage 3",5,IF(AT50="Stage 4",-5,0))))</f>
        <v/>
      </c>
      <c r="AV50" s="25" t="inlineStr">
        <is>
          <t>Positive Trend</t>
        </is>
      </c>
      <c r="AW50" s="25">
        <f>IF(AV50="Positive Trend",20,IF(AV50="Negative Trend",-10,0))</f>
        <v/>
      </c>
      <c r="AX50" s="25" t="inlineStr">
        <is>
          <t>Uptrend</t>
        </is>
      </c>
      <c r="AY50" s="25">
        <f>IF(AX50="Uptrend",10,IF(AX50="Sideways",5,0))</f>
        <v/>
      </c>
      <c r="AZ50" s="25" t="inlineStr">
        <is>
          <t>Uptrend</t>
        </is>
      </c>
      <c r="BA50" s="25">
        <f>IF(AZ50="Uptrend",10,IF(AZ50="Sideways",5,0))</f>
        <v/>
      </c>
      <c r="BB50" s="25" t="inlineStr">
        <is>
          <t>Blue sky scenario</t>
        </is>
      </c>
      <c r="BC50" s="25">
        <f>IF(BB50="Overhead supply in last 2 years in last 2 years",-5,IF(BB50="Close to 52 week high or retracement",5,IF(BB50="Blue sky scenario",10,IF(BB50="Long term Downtrend",-10,0))))</f>
        <v/>
      </c>
      <c r="BD50" s="25" t="inlineStr">
        <is>
          <t>Yes</t>
        </is>
      </c>
      <c r="BE50" s="25">
        <f>IF(BD50="Yes",10,0)</f>
        <v/>
      </c>
      <c r="BF50" s="25" t="inlineStr">
        <is>
          <t>More than 20%</t>
        </is>
      </c>
      <c r="BG50" s="25">
        <f>IF(BF50="More than 20%",10,IF(BF50="Between 12 to 20%",5,IF(BF50="Less than 12%",0,0)))</f>
        <v/>
      </c>
      <c r="BH50" s="25" t="inlineStr">
        <is>
          <t>No</t>
        </is>
      </c>
      <c r="BI50" s="25">
        <f>IF(BH50="No",10,0)</f>
        <v/>
      </c>
      <c r="BJ50" s="25" t="inlineStr">
        <is>
          <t>Yes</t>
        </is>
      </c>
      <c r="BK50" s="25">
        <f>IF(BJ50="NO",5,0)</f>
        <v/>
      </c>
      <c r="BL50" s="25" t="inlineStr">
        <is>
          <t>Less than 1.5</t>
        </is>
      </c>
      <c r="BM50" s="25">
        <f>IF(BL50="Above 2",0,IF(BL50="Between 1.5 to 2",5,IF(BL50="Less than 1.5",10,0)))</f>
        <v/>
      </c>
      <c r="BN50" s="25" t="inlineStr">
        <is>
          <t>Above 70%</t>
        </is>
      </c>
      <c r="BO50" s="25">
        <f>IF(BN50="Above 70%",10,IF(BN50="Between 50% to 70%",5,IF(BN50="Less than 50%",0,IF(BN50="Negative",-10,IF(BN50="Less than 50% and Borrowings are increasing",-5,0)))))</f>
        <v/>
      </c>
      <c r="BP50" s="25" t="inlineStr">
        <is>
          <t>Less than 0.7</t>
        </is>
      </c>
      <c r="BQ50" s="25">
        <f>IF(BP50="More than 1.2",-10,IF(BP50="Between 0.7 to 1.2",0,IF(BP50="Less than 0.7",10,0)))</f>
        <v/>
      </c>
      <c r="BR50" s="25" t="inlineStr">
        <is>
          <t>No</t>
        </is>
      </c>
      <c r="BS50" s="25">
        <f>IF(BR50="Yes",-10,0)</f>
        <v/>
      </c>
      <c r="BT50" s="25" t="inlineStr">
        <is>
          <t>Less than 15%</t>
        </is>
      </c>
      <c r="BU50" s="25">
        <f>IF(BT50="More than 15%",-10,IF(BT50="Less than 15%",10,0))</f>
        <v/>
      </c>
      <c r="BV50" s="25" t="inlineStr">
        <is>
          <t>No</t>
        </is>
      </c>
      <c r="BW50" s="25">
        <f>IF(BV50="Yes, more than 10%",-10,IF(BV50="No",10,0))</f>
        <v/>
      </c>
      <c r="BX50" s="25" t="inlineStr">
        <is>
          <t>27</t>
        </is>
      </c>
      <c r="BY50" s="25">
        <f>IF(BX50&gt;20,10,IF(BX50&gt;=10,5,2))</f>
        <v/>
      </c>
    </row>
    <row r="51">
      <c r="A51" s="25">
        <f>IF(B51=0,"",RANK(B51,$B$2:$B$95,0))</f>
        <v/>
      </c>
      <c r="B51" s="26">
        <f>SUM(Q51,S51,U51,W51,Y51,AA51,AC51,AE51,AG51,AI51,AK51,AM51,AO51,AQ51,AS51,AU51,AW51,AY51,BA51,BC51,BE51,BG51,BI51,BK51,BM51,BO51,BQ51,BS51,BU51,BW51,BY51)</f>
        <v/>
      </c>
      <c r="C51" s="25" t="inlineStr">
        <is>
          <t>RRKABEL</t>
        </is>
      </c>
      <c r="D51" s="25" t="inlineStr">
        <is>
          <t>R R Kabel Ltd</t>
        </is>
      </c>
      <c r="E51" s="25" t="inlineStr">
        <is>
          <t>industrials</t>
        </is>
      </c>
      <c r="F51" s="25" t="inlineStr">
        <is>
          <t>Cables - Power</t>
        </is>
      </c>
      <c r="G51" s="25" t="inlineStr">
        <is>
          <t>largecap</t>
        </is>
      </c>
      <c r="H51" s="26" t="n">
        <v>22890.29</v>
      </c>
      <c r="I51" s="26" t="n">
        <v>2023.8</v>
      </c>
      <c r="J51" s="26" t="n">
        <v>-0.2</v>
      </c>
      <c r="K51" s="26" t="n">
        <v>0</v>
      </c>
      <c r="L51" s="26" t="n">
        <v>72.66</v>
      </c>
      <c r="M51" s="26" t="n">
        <v>31.95</v>
      </c>
      <c r="N51" s="26" t="n">
        <v>1614.48</v>
      </c>
      <c r="O51" s="25" t="inlineStr">
        <is>
          <t>Near 52W High Breakout</t>
        </is>
      </c>
      <c r="P51" s="25" t="inlineStr">
        <is>
          <t>Cyclical in an Upturn</t>
        </is>
      </c>
      <c r="Q51" s="25">
        <f>IF(P51="Growing Industry",10,IF(P51="Cyclical in an Upturn",5,0))</f>
        <v/>
      </c>
      <c r="R51" s="25" t="inlineStr">
        <is>
          <t>Too Many Players with High ROCE</t>
        </is>
      </c>
      <c r="S51" s="25">
        <f>IF(R51="Monopoly",10,IF(R51="Oligopoly",5,IF(R51="Duopoly that cooperate",10,IF(R51="Duopoly that compete",5,IF(R51="Too many players with High ROCE",5,0)))))</f>
        <v/>
      </c>
      <c r="T51" s="25" t="inlineStr">
        <is>
          <t>No</t>
        </is>
      </c>
      <c r="U51" s="25">
        <f>IF(T51="No",5,0)</f>
        <v/>
      </c>
      <c r="V51" s="25" t="inlineStr">
        <is>
          <t>Tailwind</t>
        </is>
      </c>
      <c r="W51" s="25">
        <f>IF(V51="Tailwind",10,0)</f>
        <v/>
      </c>
      <c r="X51" s="25" t="inlineStr">
        <is>
          <t>Structural (10 Years Consistency)</t>
        </is>
      </c>
      <c r="Y51" s="25">
        <f>IF(X51="Structural (10 Years Consistency)",10,IF(X51="Shallow Cyclical (2 to 3 years growth)",5,0))</f>
        <v/>
      </c>
      <c r="Z51" s="25" t="inlineStr">
        <is>
          <t>No</t>
        </is>
      </c>
      <c r="AA51" s="25">
        <f>IF(Z51="Yes due to Product Mix change or Operating Leverage",10,IF(Z51="Yes, these are peak margins",-5,IF(Z51="No",5,0)))</f>
        <v/>
      </c>
      <c r="AB51" s="25" t="inlineStr">
        <is>
          <t>Stable</t>
        </is>
      </c>
      <c r="AC51" s="25">
        <f>IF(AB51="Stable",10,0)</f>
        <v/>
      </c>
      <c r="AD51" s="25" t="inlineStr">
        <is>
          <t>Yes</t>
        </is>
      </c>
      <c r="AE51" s="25">
        <f>IF(AD51="Yes",10,0)</f>
        <v/>
      </c>
      <c r="AF51" s="25" t="inlineStr">
        <is>
          <t>B2B</t>
        </is>
      </c>
      <c r="AG51" s="25">
        <f>IF(AF51="B2C",10,IF(AF51="B2B",5,0))</f>
        <v/>
      </c>
      <c r="AH51" s="25" t="inlineStr">
        <is>
          <t>Yes</t>
        </is>
      </c>
      <c r="AI51" s="25">
        <f>IF(AH51="Yes",10,0)</f>
        <v/>
      </c>
      <c r="AJ51" s="25" t="inlineStr">
        <is>
          <t>Higher One Time, Lower Annuity</t>
        </is>
      </c>
      <c r="AK51" s="25">
        <f>IF(AJ51="Fully Annuity",10,IF(AJ51="Higher Annuity, Lower One Time",5,IF(AJ51="Higher One Time, Lower Annuity",3,0)))</f>
        <v/>
      </c>
      <c r="AL51" s="25" t="inlineStr">
        <is>
          <t>Good</t>
        </is>
      </c>
      <c r="AM51" s="25">
        <f>IF(AL51="Good",10,0)</f>
        <v/>
      </c>
      <c r="AN51" s="25" t="inlineStr">
        <is>
          <t>Yes for more than 2 years</t>
        </is>
      </c>
      <c r="AO51" s="25">
        <f>IF(AN51="Yes for more than 2 years",10,IF(AN51="Yes only for next 1 to 2 years",5,0))</f>
        <v/>
      </c>
      <c r="AP51" s="25" t="inlineStr">
        <is>
          <t>20 to 40</t>
        </is>
      </c>
      <c r="AQ51" s="25">
        <f>IF(AP51="Above 40",20,IF(AP51="20 to 40",10,IF(AP51="0 to 20",-5,0)))</f>
        <v/>
      </c>
      <c r="AR51" s="25" t="inlineStr">
        <is>
          <t>Between 50 to 75</t>
        </is>
      </c>
      <c r="AS51" s="25">
        <f>IF(AR51="Between 50 to 75",10,IF(AR51="Above 75",0,0))</f>
        <v/>
      </c>
      <c r="AT51" s="25" t="inlineStr">
        <is>
          <t>Stage 2</t>
        </is>
      </c>
      <c r="AU51" s="25">
        <f>IF(AT51="Stage 2",20,IF(AT51="Stage 1",0,IF(AT51="Stage 3",5,IF(AT51="Stage 4",-5,0))))</f>
        <v/>
      </c>
      <c r="AV51" s="25" t="inlineStr">
        <is>
          <t>Positive Trend</t>
        </is>
      </c>
      <c r="AW51" s="25">
        <f>IF(AV51="Positive Trend",20,IF(AV51="Negative Trend",-10,0))</f>
        <v/>
      </c>
      <c r="AX51" s="25" t="inlineStr">
        <is>
          <t>Uptrend</t>
        </is>
      </c>
      <c r="AY51" s="25">
        <f>IF(AX51="Uptrend",10,IF(AX51="Sideways",5,0))</f>
        <v/>
      </c>
      <c r="AZ51" s="25" t="inlineStr">
        <is>
          <t>Uptrend</t>
        </is>
      </c>
      <c r="BA51" s="25">
        <f>IF(AZ51="Uptrend",10,IF(AZ51="Sideways",5,0))</f>
        <v/>
      </c>
      <c r="BB51" s="25" t="inlineStr">
        <is>
          <t>Blue sky scenario</t>
        </is>
      </c>
      <c r="BC51" s="25">
        <f>IF(BB51="Overhead supply in last 2 years in last 2 years",-5,IF(BB51="Close to 52 week high or retracement",5,IF(BB51="Blue sky scenario",10,IF(BB51="Long term Downtrend",-10,0))))</f>
        <v/>
      </c>
      <c r="BD51" s="25" t="inlineStr">
        <is>
          <t>Yes</t>
        </is>
      </c>
      <c r="BE51" s="25">
        <f>IF(BD51="Yes",10,0)</f>
        <v/>
      </c>
      <c r="BF51" s="25" t="inlineStr">
        <is>
          <t>More than 20%</t>
        </is>
      </c>
      <c r="BG51" s="25">
        <f>IF(BF51="More than 20%",10,IF(BF51="Between 12 to 20%",5,IF(BF51="Less than 12%",0,0)))</f>
        <v/>
      </c>
      <c r="BH51" s="25" t="inlineStr">
        <is>
          <t>No</t>
        </is>
      </c>
      <c r="BI51" s="25">
        <f>IF(BH51="No",10,0)</f>
        <v/>
      </c>
      <c r="BJ51" s="25" t="inlineStr">
        <is>
          <t>Yes</t>
        </is>
      </c>
      <c r="BK51" s="25">
        <f>IF(BJ51="NO",5,0)</f>
        <v/>
      </c>
      <c r="BL51" s="25" t="inlineStr">
        <is>
          <t>Less than 1.5</t>
        </is>
      </c>
      <c r="BM51" s="25">
        <f>IF(BL51="Above 2",0,IF(BL51="Between 1.5 to 2",5,IF(BL51="Less than 1.5",10,0)))</f>
        <v/>
      </c>
      <c r="BN51" s="25" t="inlineStr">
        <is>
          <t>Less than 50%</t>
        </is>
      </c>
      <c r="BO51" s="25">
        <f>IF(BN51="Above 70%",10,IF(BN51="Between 50% to 70%",5,IF(BN51="Less than 50%",0,IF(BN51="Negative",-10,IF(BN51="Less than 50% and Borrowings are increasing",-5,0)))))</f>
        <v/>
      </c>
      <c r="BP51" s="25" t="inlineStr">
        <is>
          <t>Less than 0.7</t>
        </is>
      </c>
      <c r="BQ51" s="25">
        <f>IF(BP51="More than 1.2",-10,IF(BP51="Between 0.7 to 1.2",0,IF(BP51="Less than 0.7",10,0)))</f>
        <v/>
      </c>
      <c r="BR51" s="25" t="inlineStr">
        <is>
          <t>No</t>
        </is>
      </c>
      <c r="BS51" s="25">
        <f>IF(BR51="Yes",-10,0)</f>
        <v/>
      </c>
      <c r="BT51" s="25" t="inlineStr">
        <is>
          <t>Less than 15%</t>
        </is>
      </c>
      <c r="BU51" s="25">
        <f>IF(BT51="More than 15%",-10,IF(BT51="Less than 15%",10,0))</f>
        <v/>
      </c>
      <c r="BV51" s="25" t="inlineStr">
        <is>
          <t>No</t>
        </is>
      </c>
      <c r="BW51" s="25">
        <f>IF(BV51="Yes, more than 10%",-10,IF(BV51="No",10,0))</f>
        <v/>
      </c>
      <c r="BX51" s="25" t="inlineStr">
        <is>
          <t>24</t>
        </is>
      </c>
      <c r="BY51" s="25">
        <f>IF(BX51&gt;20,10,IF(BX51&gt;=10,5,2))</f>
        <v/>
      </c>
    </row>
    <row r="52">
      <c r="A52" s="25">
        <f>IF(B52=0,"",RANK(B52,$B$2:$B$95,0))</f>
        <v/>
      </c>
      <c r="B52" s="26">
        <f>SUM(Q52,S52,U52,W52,Y52,AA52,AC52,AE52,AG52,AI52,AK52,AM52,AO52,AQ52,AS52,AU52,AW52,AY52,BA52,BC52,BE52,BG52,BI52,BK52,BM52,BO52,BQ52,BS52,BU52,BW52,BY52)</f>
        <v/>
      </c>
      <c r="C52" s="25" t="inlineStr">
        <is>
          <t>HONASA</t>
        </is>
      </c>
      <c r="D52" s="25" t="inlineStr">
        <is>
          <t>Honasa Consumer Ltd</t>
        </is>
      </c>
      <c r="E52" s="25" t="inlineStr">
        <is>
          <t>services</t>
        </is>
      </c>
      <c r="F52" s="25" t="inlineStr">
        <is>
          <t>New age - Platform - E-Retail</t>
        </is>
      </c>
      <c r="G52" s="25" t="inlineStr">
        <is>
          <t>midcap</t>
        </is>
      </c>
      <c r="H52" s="26" t="n">
        <v>13244.18</v>
      </c>
      <c r="I52" s="26" t="n">
        <v>407.05</v>
      </c>
      <c r="J52" s="26" t="n">
        <v>1.04</v>
      </c>
      <c r="K52" s="26" t="n">
        <v>0</v>
      </c>
      <c r="L52" s="26" t="n">
        <v>75.13</v>
      </c>
      <c r="M52" s="26" t="n">
        <v>27.04</v>
      </c>
      <c r="N52" s="26" t="n">
        <v>326.87</v>
      </c>
      <c r="O52" s="25" t="inlineStr">
        <is>
          <t>Near 52W High Breakout</t>
        </is>
      </c>
      <c r="P52" s="25" t="inlineStr">
        <is>
          <t>Growing Industry</t>
        </is>
      </c>
      <c r="Q52" s="25">
        <f>IF(P52="Growing Industry",10,IF(P52="Cyclical in an Upturn",5,0))</f>
        <v/>
      </c>
      <c r="R52" s="25" t="inlineStr">
        <is>
          <t>Too Many Players with High ROCE</t>
        </is>
      </c>
      <c r="S52" s="25">
        <f>IF(R52="Monopoly",10,IF(R52="Oligopoly",5,IF(R52="Duopoly that cooperate",10,IF(R52="Duopoly that compete",5,IF(R52="Too many players with High ROCE",5,0)))))</f>
        <v/>
      </c>
      <c r="T52" s="25" t="inlineStr">
        <is>
          <t>No</t>
        </is>
      </c>
      <c r="U52" s="25">
        <f>IF(T52="No",5,0)</f>
        <v/>
      </c>
      <c r="V52" s="25" t="inlineStr">
        <is>
          <t>Tailwind</t>
        </is>
      </c>
      <c r="W52" s="25">
        <f>IF(V52="Tailwind",10,0)</f>
        <v/>
      </c>
      <c r="X52" s="25" t="inlineStr">
        <is>
          <t>Structural (10 Years Consistency)</t>
        </is>
      </c>
      <c r="Y52" s="25">
        <f>IF(X52="Structural (10 Years Consistency)",10,IF(X52="Shallow Cyclical (2 to 3 years growth)",5,0))</f>
        <v/>
      </c>
      <c r="Z52" s="25" t="inlineStr">
        <is>
          <t>No</t>
        </is>
      </c>
      <c r="AA52" s="25">
        <f>IF(Z52="Yes due to Product Mix change or Operating Leverage",10,IF(Z52="Yes, these are peak margins",-5,IF(Z52="No",5,0)))</f>
        <v/>
      </c>
      <c r="AB52" s="25" t="inlineStr">
        <is>
          <t>Stable</t>
        </is>
      </c>
      <c r="AC52" s="25">
        <f>IF(AB52="Stable",10,0)</f>
        <v/>
      </c>
      <c r="AD52" s="25" t="inlineStr">
        <is>
          <t>Yes</t>
        </is>
      </c>
      <c r="AE52" s="25">
        <f>IF(AD52="Yes",10,0)</f>
        <v/>
      </c>
      <c r="AF52" s="25" t="inlineStr">
        <is>
          <t>B2C</t>
        </is>
      </c>
      <c r="AG52" s="25">
        <f>IF(AF52="B2C",10,IF(AF52="B2B",5,0))</f>
        <v/>
      </c>
      <c r="AH52" s="25" t="inlineStr">
        <is>
          <t>Yes</t>
        </is>
      </c>
      <c r="AI52" s="25">
        <f>IF(AH52="Yes",10,0)</f>
        <v/>
      </c>
      <c r="AJ52" s="25" t="inlineStr">
        <is>
          <t>Higher One Time, Lower Annuity</t>
        </is>
      </c>
      <c r="AK52" s="25">
        <f>IF(AJ52="Fully Annuity",10,IF(AJ52="Higher Annuity, Lower One Time",5,IF(AJ52="Higher One Time, Lower Annuity",3,0)))</f>
        <v/>
      </c>
      <c r="AL52" s="25" t="inlineStr">
        <is>
          <t>Good</t>
        </is>
      </c>
      <c r="AM52" s="25">
        <f>IF(AL52="Good",10,0)</f>
        <v/>
      </c>
      <c r="AN52" s="25" t="inlineStr">
        <is>
          <t>Yes for more than 2 years</t>
        </is>
      </c>
      <c r="AO52" s="25">
        <f>IF(AN52="Yes for more than 2 years",10,IF(AN52="Yes only for next 1 to 2 years",5,0))</f>
        <v/>
      </c>
      <c r="AP52" s="25" t="inlineStr">
        <is>
          <t>20 to 40</t>
        </is>
      </c>
      <c r="AQ52" s="25">
        <f>IF(AP52="Above 40",20,IF(AP52="20 to 40",10,IF(AP52="0 to 20",-5,0)))</f>
        <v/>
      </c>
      <c r="AR52" s="25" t="inlineStr">
        <is>
          <t>Above 75</t>
        </is>
      </c>
      <c r="AS52" s="25">
        <f>IF(AR52="Between 50 to 75",10,IF(AR52="Above 75",0,0))</f>
        <v/>
      </c>
      <c r="AT52" s="25" t="inlineStr">
        <is>
          <t>Stage 2</t>
        </is>
      </c>
      <c r="AU52" s="25">
        <f>IF(AT52="Stage 2",20,IF(AT52="Stage 1",0,IF(AT52="Stage 3",5,IF(AT52="Stage 4",-5,0))))</f>
        <v/>
      </c>
      <c r="AV52" s="25" t="inlineStr">
        <is>
          <t>Positive Trend</t>
        </is>
      </c>
      <c r="AW52" s="25">
        <f>IF(AV52="Positive Trend",20,IF(AV52="Negative Trend",-10,0))</f>
        <v/>
      </c>
      <c r="AX52" s="25" t="inlineStr">
        <is>
          <t>Uptrend</t>
        </is>
      </c>
      <c r="AY52" s="25">
        <f>IF(AX52="Uptrend",10,IF(AX52="Sideways",5,0))</f>
        <v/>
      </c>
      <c r="AZ52" s="25" t="inlineStr">
        <is>
          <t>Uptrend</t>
        </is>
      </c>
      <c r="BA52" s="25">
        <f>IF(AZ52="Uptrend",10,IF(AZ52="Sideways",5,0))</f>
        <v/>
      </c>
      <c r="BB52" s="25" t="inlineStr">
        <is>
          <t>Close to 52 week high or retracement</t>
        </is>
      </c>
      <c r="BC52" s="25">
        <f>IF(BB52="Overhead supply in last 2 years in last 2 years",-5,IF(BB52="Close to 52 week high or retracement",5,IF(BB52="Blue sky scenario",10,IF(BB52="Long term Downtrend",-10,0))))</f>
        <v/>
      </c>
      <c r="BD52" s="25" t="inlineStr">
        <is>
          <t>Yes</t>
        </is>
      </c>
      <c r="BE52" s="25">
        <f>IF(BD52="Yes",10,0)</f>
        <v/>
      </c>
      <c r="BF52" s="25" t="inlineStr">
        <is>
          <t>More than 20%</t>
        </is>
      </c>
      <c r="BG52" s="25">
        <f>IF(BF52="More than 20%",10,IF(BF52="Between 12 to 20%",5,IF(BF52="Less than 12%",0,0)))</f>
        <v/>
      </c>
      <c r="BH52" s="25" t="inlineStr">
        <is>
          <t>No</t>
        </is>
      </c>
      <c r="BI52" s="25">
        <f>IF(BH52="No",10,0)</f>
        <v/>
      </c>
      <c r="BJ52" s="25" t="inlineStr">
        <is>
          <t>Yes</t>
        </is>
      </c>
      <c r="BK52" s="25">
        <f>IF(BJ52="NO",5,0)</f>
        <v/>
      </c>
      <c r="BL52" s="25" t="inlineStr">
        <is>
          <t>Less than 1.5</t>
        </is>
      </c>
      <c r="BM52" s="25">
        <f>IF(BL52="Above 2",0,IF(BL52="Between 1.5 to 2",5,IF(BL52="Less than 1.5",10,0)))</f>
        <v/>
      </c>
      <c r="BN52" s="25" t="inlineStr">
        <is>
          <t>Between 50% to 70%</t>
        </is>
      </c>
      <c r="BO52" s="25">
        <f>IF(BN52="Above 70%",10,IF(BN52="Between 50% to 70%",5,IF(BN52="Less than 50%",0,IF(BN52="Negative",-10,IF(BN52="Less than 50% and Borrowings are increasing",-5,0)))))</f>
        <v/>
      </c>
      <c r="BP52" s="25" t="inlineStr">
        <is>
          <t>Less than 0.7</t>
        </is>
      </c>
      <c r="BQ52" s="25">
        <f>IF(BP52="More than 1.2",-10,IF(BP52="Between 0.7 to 1.2",0,IF(BP52="Less than 0.7",10,0)))</f>
        <v/>
      </c>
      <c r="BR52" s="25" t="inlineStr">
        <is>
          <t>No</t>
        </is>
      </c>
      <c r="BS52" s="25">
        <f>IF(BR52="Yes",-10,0)</f>
        <v/>
      </c>
      <c r="BT52" s="25" t="inlineStr">
        <is>
          <t>Less than 15%</t>
        </is>
      </c>
      <c r="BU52" s="25">
        <f>IF(BT52="More than 15%",-10,IF(BT52="Less than 15%",10,0))</f>
        <v/>
      </c>
      <c r="BV52" s="25" t="inlineStr">
        <is>
          <t>No</t>
        </is>
      </c>
      <c r="BW52" s="25">
        <f>IF(BV52="Yes, more than 10%",-10,IF(BV52="No",10,0))</f>
        <v/>
      </c>
      <c r="BX52" s="25" t="inlineStr">
        <is>
          <t>22</t>
        </is>
      </c>
      <c r="BY52" s="25">
        <f>IF(BX52&gt;20,10,IF(BX52&gt;=10,5,2))</f>
        <v/>
      </c>
    </row>
    <row r="53">
      <c r="A53" s="25">
        <f>IF(B53=0,"",RANK(B53,$B$2:$B$95,0))</f>
        <v/>
      </c>
      <c r="B53" s="26">
        <f>SUM(Q53,S53,U53,W53,Y53,AA53,AC53,AE53,AG53,AI53,AK53,AM53,AO53,AQ53,AS53,AU53,AW53,AY53,BA53,BC53,BE53,BG53,BI53,BK53,BM53,BO53,BQ53,BS53,BU53,BW53,BY53)</f>
        <v/>
      </c>
      <c r="C53" s="25" t="inlineStr">
        <is>
          <t>PRECWIRE</t>
        </is>
      </c>
      <c r="D53" s="25" t="inlineStr">
        <is>
          <t>Precision Wires India Ltd</t>
        </is>
      </c>
      <c r="E53" s="25" t="inlineStr">
        <is>
          <t>metals &amp; mining</t>
        </is>
      </c>
      <c r="F53" s="25" t="inlineStr">
        <is>
          <t>Copper Wires</t>
        </is>
      </c>
      <c r="G53" s="25" t="inlineStr">
        <is>
          <t>midcap</t>
        </is>
      </c>
      <c r="H53" s="26" t="n">
        <v>7832.41</v>
      </c>
      <c r="I53" s="26" t="n">
        <v>428.45</v>
      </c>
      <c r="J53" s="26" t="n">
        <v>-1.7</v>
      </c>
      <c r="K53" s="26" t="n">
        <v>0</v>
      </c>
      <c r="L53" s="26" t="n">
        <v>71.17</v>
      </c>
      <c r="M53" s="26" t="n">
        <v>70.11</v>
      </c>
      <c r="N53" s="26" t="n">
        <v>309.15</v>
      </c>
      <c r="O53" s="25" t="inlineStr">
        <is>
          <t>Near 52W High Breakout</t>
        </is>
      </c>
      <c r="P53" s="25" t="inlineStr">
        <is>
          <t>Cyclical in an Upturn</t>
        </is>
      </c>
      <c r="Q53" s="25">
        <f>IF(P53="Growing Industry",10,IF(P53="Cyclical in an Upturn",5,0))</f>
        <v/>
      </c>
      <c r="R53" s="25" t="inlineStr">
        <is>
          <t>Too Many Players with High ROCE</t>
        </is>
      </c>
      <c r="S53" s="25">
        <f>IF(R53="Monopoly",10,IF(R53="Oligopoly",5,IF(R53="Duopoly that cooperate",10,IF(R53="Duopoly that compete",5,IF(R53="Too many players with High ROCE",5,0)))))</f>
        <v/>
      </c>
      <c r="T53" s="25" t="inlineStr">
        <is>
          <t>No</t>
        </is>
      </c>
      <c r="U53" s="25">
        <f>IF(T53="No",5,0)</f>
        <v/>
      </c>
      <c r="V53" s="25" t="inlineStr">
        <is>
          <t>Tailwind</t>
        </is>
      </c>
      <c r="W53" s="25">
        <f>IF(V53="Tailwind",10,0)</f>
        <v/>
      </c>
      <c r="X53" s="25" t="inlineStr">
        <is>
          <t>Cyclical</t>
        </is>
      </c>
      <c r="Y53" s="25">
        <f>IF(X53="Structural (10 Years Consistency)",10,IF(X53="Shallow Cyclical (2 to 3 years growth)",5,0))</f>
        <v/>
      </c>
      <c r="Z53" s="25" t="inlineStr">
        <is>
          <t>No</t>
        </is>
      </c>
      <c r="AA53" s="25">
        <f>IF(Z53="Yes due to Product Mix change or Operating Leverage",10,IF(Z53="Yes, these are peak margins",-5,IF(Z53="No",5,0)))</f>
        <v/>
      </c>
      <c r="AB53" s="25" t="inlineStr">
        <is>
          <t>Volatile</t>
        </is>
      </c>
      <c r="AC53" s="25">
        <f>IF(AB53="Stable",10,0)</f>
        <v/>
      </c>
      <c r="AD53" s="25" t="inlineStr">
        <is>
          <t>Yes</t>
        </is>
      </c>
      <c r="AE53" s="25">
        <f>IF(AD53="Yes",10,0)</f>
        <v/>
      </c>
      <c r="AF53" s="25" t="inlineStr">
        <is>
          <t>B2B</t>
        </is>
      </c>
      <c r="AG53" s="25">
        <f>IF(AF53="B2C",10,IF(AF53="B2B",5,0))</f>
        <v/>
      </c>
      <c r="AH53" s="25" t="inlineStr">
        <is>
          <t>Yes</t>
        </is>
      </c>
      <c r="AI53" s="25">
        <f>IF(AH53="Yes",10,0)</f>
        <v/>
      </c>
      <c r="AJ53" s="25" t="inlineStr">
        <is>
          <t>Higher One Time, Lower Annuity</t>
        </is>
      </c>
      <c r="AK53" s="25">
        <f>IF(AJ53="Fully Annuity",10,IF(AJ53="Higher Annuity, Lower One Time",5,IF(AJ53="Higher One Time, Lower Annuity",3,0)))</f>
        <v/>
      </c>
      <c r="AL53" s="25" t="inlineStr">
        <is>
          <t>Good</t>
        </is>
      </c>
      <c r="AM53" s="25">
        <f>IF(AL53="Good",10,0)</f>
        <v/>
      </c>
      <c r="AN53" s="25" t="inlineStr">
        <is>
          <t>Yes for more than 2 years</t>
        </is>
      </c>
      <c r="AO53" s="25">
        <f>IF(AN53="Yes for more than 2 years",10,IF(AN53="Yes only for next 1 to 2 years",5,0))</f>
        <v/>
      </c>
      <c r="AP53" s="25" t="inlineStr">
        <is>
          <t>Above 40</t>
        </is>
      </c>
      <c r="AQ53" s="25">
        <f>IF(AP53="Above 40",20,IF(AP53="20 to 40",10,IF(AP53="0 to 20",-5,0)))</f>
        <v/>
      </c>
      <c r="AR53" s="25" t="inlineStr">
        <is>
          <t>Between 50 to 75</t>
        </is>
      </c>
      <c r="AS53" s="25">
        <f>IF(AR53="Between 50 to 75",10,IF(AR53="Above 75",0,0))</f>
        <v/>
      </c>
      <c r="AT53" s="25" t="inlineStr">
        <is>
          <t>Stage 2</t>
        </is>
      </c>
      <c r="AU53" s="25">
        <f>IF(AT53="Stage 2",20,IF(AT53="Stage 1",0,IF(AT53="Stage 3",5,IF(AT53="Stage 4",-5,0))))</f>
        <v/>
      </c>
      <c r="AV53" s="25" t="inlineStr">
        <is>
          <t>Positive Trend</t>
        </is>
      </c>
      <c r="AW53" s="25">
        <f>IF(AV53="Positive Trend",20,IF(AV53="Negative Trend",-10,0))</f>
        <v/>
      </c>
      <c r="AX53" s="25" t="inlineStr">
        <is>
          <t>Uptrend</t>
        </is>
      </c>
      <c r="AY53" s="25">
        <f>IF(AX53="Uptrend",10,IF(AX53="Sideways",5,0))</f>
        <v/>
      </c>
      <c r="AZ53" s="25" t="inlineStr">
        <is>
          <t>Uptrend</t>
        </is>
      </c>
      <c r="BA53" s="25">
        <f>IF(AZ53="Uptrend",10,IF(AZ53="Sideways",5,0))</f>
        <v/>
      </c>
      <c r="BB53" s="25" t="inlineStr">
        <is>
          <t>Blue sky scenario</t>
        </is>
      </c>
      <c r="BC53" s="25">
        <f>IF(BB53="Overhead supply in last 2 years in last 2 years",-5,IF(BB53="Close to 52 week high or retracement",5,IF(BB53="Blue sky scenario",10,IF(BB53="Long term Downtrend",-10,0))))</f>
        <v/>
      </c>
      <c r="BD53" s="25" t="inlineStr">
        <is>
          <t>Yes</t>
        </is>
      </c>
      <c r="BE53" s="25">
        <f>IF(BD53="Yes",10,0)</f>
        <v/>
      </c>
      <c r="BF53" s="25" t="inlineStr">
        <is>
          <t>More than 20%</t>
        </is>
      </c>
      <c r="BG53" s="25">
        <f>IF(BF53="More than 20%",10,IF(BF53="Between 12 to 20%",5,IF(BF53="Less than 12%",0,0)))</f>
        <v/>
      </c>
      <c r="BH53" s="25" t="inlineStr">
        <is>
          <t>No</t>
        </is>
      </c>
      <c r="BI53" s="25">
        <f>IF(BH53="No",10,0)</f>
        <v/>
      </c>
      <c r="BJ53" s="25" t="inlineStr">
        <is>
          <t>Yes</t>
        </is>
      </c>
      <c r="BK53" s="25">
        <f>IF(BJ53="NO",5,0)</f>
        <v/>
      </c>
      <c r="BL53" s="25" t="inlineStr">
        <is>
          <t>Less than 1.5</t>
        </is>
      </c>
      <c r="BM53" s="25">
        <f>IF(BL53="Above 2",0,IF(BL53="Between 1.5 to 2",5,IF(BL53="Less than 1.5",10,0)))</f>
        <v/>
      </c>
      <c r="BN53" s="25" t="inlineStr">
        <is>
          <t>Above 70%</t>
        </is>
      </c>
      <c r="BO53" s="25">
        <f>IF(BN53="Above 70%",10,IF(BN53="Between 50% to 70%",5,IF(BN53="Less than 50%",0,IF(BN53="Negative",-10,IF(BN53="Less than 50% and Borrowings are increasing",-5,0)))))</f>
        <v/>
      </c>
      <c r="BP53" s="25" t="inlineStr">
        <is>
          <t>Less than 0.7</t>
        </is>
      </c>
      <c r="BQ53" s="25">
        <f>IF(BP53="More than 1.2",-10,IF(BP53="Between 0.7 to 1.2",0,IF(BP53="Less than 0.7",10,0)))</f>
        <v/>
      </c>
      <c r="BR53" s="25" t="inlineStr">
        <is>
          <t>No</t>
        </is>
      </c>
      <c r="BS53" s="25">
        <f>IF(BR53="Yes",-10,0)</f>
        <v/>
      </c>
      <c r="BT53" s="25" t="inlineStr">
        <is>
          <t>Less than 15%</t>
        </is>
      </c>
      <c r="BU53" s="25">
        <f>IF(BT53="More than 15%",-10,IF(BT53="Less than 15%",10,0))</f>
        <v/>
      </c>
      <c r="BV53" s="25" t="inlineStr">
        <is>
          <t>No</t>
        </is>
      </c>
      <c r="BW53" s="25">
        <f>IF(BV53="Yes, more than 10%",-10,IF(BV53="No",10,0))</f>
        <v/>
      </c>
      <c r="BX53" s="25" t="inlineStr">
        <is>
          <t>22</t>
        </is>
      </c>
      <c r="BY53" s="25">
        <f>IF(BX53&gt;20,10,IF(BX53&gt;=10,5,2))</f>
        <v/>
      </c>
    </row>
    <row r="54">
      <c r="A54" s="25">
        <f>IF(B54=0,"",RANK(B54,$B$2:$B$95,0))</f>
        <v/>
      </c>
      <c r="B54" s="26">
        <f>SUM(Q54,S54,U54,W54,Y54,AA54,AC54,AE54,AG54,AI54,AK54,AM54,AO54,AQ54,AS54,AU54,AW54,AY54,BA54,BC54,BE54,BG54,BI54,BK54,BM54,BO54,BQ54,BS54,BU54,BW54,BY54)</f>
        <v/>
      </c>
      <c r="C54" s="25" t="inlineStr">
        <is>
          <t>MTARTECH</t>
        </is>
      </c>
      <c r="D54" s="25" t="inlineStr">
        <is>
          <t>MTAR Technologies Ltd</t>
        </is>
      </c>
      <c r="E54" s="25" t="inlineStr">
        <is>
          <t>aerospace &amp; defence</t>
        </is>
      </c>
      <c r="F54" s="25" t="inlineStr">
        <is>
          <t>Aerospace &amp; Defence - Equipments</t>
        </is>
      </c>
      <c r="G54" s="25" t="inlineStr">
        <is>
          <t>largecap</t>
        </is>
      </c>
      <c r="H54" s="26" t="n">
        <v>22196.12</v>
      </c>
      <c r="I54" s="26" t="n">
        <v>7216</v>
      </c>
      <c r="J54" s="26" t="n">
        <v>2.07</v>
      </c>
      <c r="K54" s="26" t="n">
        <v>0</v>
      </c>
      <c r="L54" s="26" t="n">
        <v>76.7</v>
      </c>
      <c r="M54" s="26" t="n">
        <v>64.09999999999999</v>
      </c>
      <c r="N54" s="26" t="n">
        <v>5930.46</v>
      </c>
      <c r="O54" s="25" t="inlineStr">
        <is>
          <t>Earnings / Momentum Support</t>
        </is>
      </c>
      <c r="P54" s="25" t="inlineStr">
        <is>
          <t>Growing Industry</t>
        </is>
      </c>
      <c r="Q54" s="25">
        <f>IF(P54="Growing Industry",10,IF(P54="Cyclical in an Upturn",5,0))</f>
        <v/>
      </c>
      <c r="R54" s="25" t="inlineStr">
        <is>
          <t>Too Many Players with High ROCE</t>
        </is>
      </c>
      <c r="S54" s="25">
        <f>IF(R54="Monopoly",10,IF(R54="Oligopoly",5,IF(R54="Duopoly that cooperate",10,IF(R54="Duopoly that compete",5,IF(R54="Too many players with High ROCE",5,0)))))</f>
        <v/>
      </c>
      <c r="T54" s="25" t="inlineStr">
        <is>
          <t>No</t>
        </is>
      </c>
      <c r="U54" s="25">
        <f>IF(T54="No",5,0)</f>
        <v/>
      </c>
      <c r="V54" s="25" t="inlineStr">
        <is>
          <t>Tailwind</t>
        </is>
      </c>
      <c r="W54" s="25">
        <f>IF(V54="Tailwind",10,0)</f>
        <v/>
      </c>
      <c r="X54" s="25" t="inlineStr">
        <is>
          <t>Structural (10 Years Consistency)</t>
        </is>
      </c>
      <c r="Y54" s="25">
        <f>IF(X54="Structural (10 Years Consistency)",10,IF(X54="Shallow Cyclical (2 to 3 years growth)",5,0))</f>
        <v/>
      </c>
      <c r="Z54" s="25" t="inlineStr">
        <is>
          <t>No</t>
        </is>
      </c>
      <c r="AA54" s="25">
        <f>IF(Z54="Yes due to Product Mix change or Operating Leverage",10,IF(Z54="Yes, these are peak margins",-5,IF(Z54="No",5,0)))</f>
        <v/>
      </c>
      <c r="AB54" s="25" t="inlineStr">
        <is>
          <t>Stable</t>
        </is>
      </c>
      <c r="AC54" s="25">
        <f>IF(AB54="Stable",10,0)</f>
        <v/>
      </c>
      <c r="AD54" s="25" t="inlineStr">
        <is>
          <t>Yes</t>
        </is>
      </c>
      <c r="AE54" s="25">
        <f>IF(AD54="Yes",10,0)</f>
        <v/>
      </c>
      <c r="AF54" s="25" t="inlineStr">
        <is>
          <t>B2B</t>
        </is>
      </c>
      <c r="AG54" s="25">
        <f>IF(AF54="B2C",10,IF(AF54="B2B",5,0))</f>
        <v/>
      </c>
      <c r="AH54" s="25" t="inlineStr">
        <is>
          <t>No</t>
        </is>
      </c>
      <c r="AI54" s="25">
        <f>IF(AH54="Yes",10,0)</f>
        <v/>
      </c>
      <c r="AJ54" s="25" t="inlineStr">
        <is>
          <t>Higher One Time, Lower Annuity</t>
        </is>
      </c>
      <c r="AK54" s="25">
        <f>IF(AJ54="Fully Annuity",10,IF(AJ54="Higher Annuity, Lower One Time",5,IF(AJ54="Higher One Time, Lower Annuity",3,0)))</f>
        <v/>
      </c>
      <c r="AL54" s="25" t="inlineStr">
        <is>
          <t>Good</t>
        </is>
      </c>
      <c r="AM54" s="25">
        <f>IF(AL54="Good",10,0)</f>
        <v/>
      </c>
      <c r="AN54" s="25" t="inlineStr">
        <is>
          <t>Yes for more than 2 years</t>
        </is>
      </c>
      <c r="AO54" s="25">
        <f>IF(AN54="Yes for more than 2 years",10,IF(AN54="Yes only for next 1 to 2 years",5,0))</f>
        <v/>
      </c>
      <c r="AP54" s="25" t="inlineStr">
        <is>
          <t>Above 40</t>
        </is>
      </c>
      <c r="AQ54" s="25">
        <f>IF(AP54="Above 40",20,IF(AP54="20 to 40",10,IF(AP54="0 to 20",-5,0)))</f>
        <v/>
      </c>
      <c r="AR54" s="25" t="inlineStr">
        <is>
          <t>Above 75</t>
        </is>
      </c>
      <c r="AS54" s="25">
        <f>IF(AR54="Between 50 to 75",10,IF(AR54="Above 75",0,0))</f>
        <v/>
      </c>
      <c r="AT54" s="25" t="inlineStr">
        <is>
          <t>Stage 2</t>
        </is>
      </c>
      <c r="AU54" s="25">
        <f>IF(AT54="Stage 2",20,IF(AT54="Stage 1",0,IF(AT54="Stage 3",5,IF(AT54="Stage 4",-5,0))))</f>
        <v/>
      </c>
      <c r="AV54" s="25" t="inlineStr">
        <is>
          <t>Positive Trend</t>
        </is>
      </c>
      <c r="AW54" s="25">
        <f>IF(AV54="Positive Trend",20,IF(AV54="Negative Trend",-10,0))</f>
        <v/>
      </c>
      <c r="AX54" s="25" t="inlineStr">
        <is>
          <t>Uptrend</t>
        </is>
      </c>
      <c r="AY54" s="25">
        <f>IF(AX54="Uptrend",10,IF(AX54="Sideways",5,0))</f>
        <v/>
      </c>
      <c r="AZ54" s="25" t="inlineStr">
        <is>
          <t>Uptrend</t>
        </is>
      </c>
      <c r="BA54" s="25">
        <f>IF(AZ54="Uptrend",10,IF(AZ54="Sideways",5,0))</f>
        <v/>
      </c>
      <c r="BB54" s="25" t="inlineStr">
        <is>
          <t>Close to 52 week high or retracement</t>
        </is>
      </c>
      <c r="BC54" s="25">
        <f>IF(BB54="Overhead supply in last 2 years in last 2 years",-5,IF(BB54="Close to 52 week high or retracement",5,IF(BB54="Blue sky scenario",10,IF(BB54="Long term Downtrend",-10,0))))</f>
        <v/>
      </c>
      <c r="BD54" s="25" t="inlineStr">
        <is>
          <t>Yes</t>
        </is>
      </c>
      <c r="BE54" s="25">
        <f>IF(BD54="Yes",10,0)</f>
        <v/>
      </c>
      <c r="BF54" s="25" t="inlineStr">
        <is>
          <t>More than 20%</t>
        </is>
      </c>
      <c r="BG54" s="25">
        <f>IF(BF54="More than 20%",10,IF(BF54="Between 12 to 20%",5,IF(BF54="Less than 12%",0,0)))</f>
        <v/>
      </c>
      <c r="BH54" s="25" t="inlineStr">
        <is>
          <t>No</t>
        </is>
      </c>
      <c r="BI54" s="25">
        <f>IF(BH54="No",10,0)</f>
        <v/>
      </c>
      <c r="BJ54" s="25" t="inlineStr">
        <is>
          <t>Yes</t>
        </is>
      </c>
      <c r="BK54" s="25">
        <f>IF(BJ54="NO",5,0)</f>
        <v/>
      </c>
      <c r="BL54" s="25" t="inlineStr">
        <is>
          <t>Less than 1.5</t>
        </is>
      </c>
      <c r="BM54" s="25">
        <f>IF(BL54="Above 2",0,IF(BL54="Between 1.5 to 2",5,IF(BL54="Less than 1.5",10,0)))</f>
        <v/>
      </c>
      <c r="BN54" s="25" t="inlineStr">
        <is>
          <t>Above 70%</t>
        </is>
      </c>
      <c r="BO54" s="25">
        <f>IF(BN54="Above 70%",10,IF(BN54="Between 50% to 70%",5,IF(BN54="Less than 50%",0,IF(BN54="Negative",-10,IF(BN54="Less than 50% and Borrowings are increasing",-5,0)))))</f>
        <v/>
      </c>
      <c r="BP54" s="25" t="inlineStr">
        <is>
          <t>Less than 0.7</t>
        </is>
      </c>
      <c r="BQ54" s="25">
        <f>IF(BP54="More than 1.2",-10,IF(BP54="Between 0.7 to 1.2",0,IF(BP54="Less than 0.7",10,0)))</f>
        <v/>
      </c>
      <c r="BR54" s="25" t="inlineStr">
        <is>
          <t>No</t>
        </is>
      </c>
      <c r="BS54" s="25">
        <f>IF(BR54="Yes",-10,0)</f>
        <v/>
      </c>
      <c r="BT54" s="25" t="inlineStr">
        <is>
          <t>Less than 15%</t>
        </is>
      </c>
      <c r="BU54" s="25">
        <f>IF(BT54="More than 15%",-10,IF(BT54="Less than 15%",10,0))</f>
        <v/>
      </c>
      <c r="BV54" s="25" t="inlineStr">
        <is>
          <t>No</t>
        </is>
      </c>
      <c r="BW54" s="25">
        <f>IF(BV54="Yes, more than 10%",-10,IF(BV54="No",10,0))</f>
        <v/>
      </c>
      <c r="BX54" s="25" t="inlineStr">
        <is>
          <t>21</t>
        </is>
      </c>
      <c r="BY54" s="25">
        <f>IF(BX54&gt;20,10,IF(BX54&gt;=10,5,2))</f>
        <v/>
      </c>
    </row>
    <row r="55">
      <c r="A55" s="25">
        <f>IF(B55=0,"",RANK(B55,$B$2:$B$95,0))</f>
        <v/>
      </c>
      <c r="B55" s="26">
        <f>SUM(Q55,S55,U55,W55,Y55,AA55,AC55,AE55,AG55,AI55,AK55,AM55,AO55,AQ55,AS55,AU55,AW55,AY55,BA55,BC55,BE55,BG55,BI55,BK55,BM55,BO55,BQ55,BS55,BU55,BW55,BY55)</f>
        <v/>
      </c>
      <c r="C55" s="25" t="inlineStr">
        <is>
          <t>SIS</t>
        </is>
      </c>
      <c r="D55" s="25" t="inlineStr">
        <is>
          <t>SIS Ltd</t>
        </is>
      </c>
      <c r="E55" s="25" t="inlineStr">
        <is>
          <t>miscellaneous</t>
        </is>
      </c>
      <c r="F55" s="25" t="inlineStr">
        <is>
          <t>Facility Management</t>
        </is>
      </c>
      <c r="G55" s="25" t="inlineStr">
        <is>
          <t>midcap</t>
        </is>
      </c>
      <c r="H55" s="26" t="n">
        <v>5828.43</v>
      </c>
      <c r="I55" s="26" t="n">
        <v>412.5</v>
      </c>
      <c r="J55" s="26" t="n">
        <v>1.2</v>
      </c>
      <c r="K55" s="26" t="n">
        <v>0</v>
      </c>
      <c r="L55" s="26" t="n">
        <v>74.64</v>
      </c>
      <c r="M55" s="26" t="n">
        <v>35.01</v>
      </c>
      <c r="N55" s="26" t="n">
        <v>332.33</v>
      </c>
      <c r="O55" s="25" t="inlineStr">
        <is>
          <t>Near 52W High Breakout</t>
        </is>
      </c>
      <c r="P55" s="25" t="inlineStr">
        <is>
          <t>Growing Industry</t>
        </is>
      </c>
      <c r="Q55" s="25">
        <f>IF(P55="Growing Industry",10,IF(P55="Cyclical in an Upturn",5,0))</f>
        <v/>
      </c>
      <c r="R55" s="25" t="inlineStr">
        <is>
          <t>Too Many Players with High ROCE</t>
        </is>
      </c>
      <c r="S55" s="25">
        <f>IF(R55="Monopoly",10,IF(R55="Oligopoly",5,IF(R55="Duopoly that cooperate",10,IF(R55="Duopoly that compete",5,IF(R55="Too many players with High ROCE",5,0)))))</f>
        <v/>
      </c>
      <c r="T55" s="25" t="inlineStr">
        <is>
          <t>No</t>
        </is>
      </c>
      <c r="U55" s="25">
        <f>IF(T55="No",5,0)</f>
        <v/>
      </c>
      <c r="V55" s="25" t="inlineStr">
        <is>
          <t>Tailwind</t>
        </is>
      </c>
      <c r="W55" s="25">
        <f>IF(V55="Tailwind",10,0)</f>
        <v/>
      </c>
      <c r="X55" s="25" t="inlineStr">
        <is>
          <t>Structural (10 Years Consistency)</t>
        </is>
      </c>
      <c r="Y55" s="25">
        <f>IF(X55="Structural (10 Years Consistency)",10,IF(X55="Shallow Cyclical (2 to 3 years growth)",5,0))</f>
        <v/>
      </c>
      <c r="Z55" s="25" t="inlineStr">
        <is>
          <t>No</t>
        </is>
      </c>
      <c r="AA55" s="25">
        <f>IF(Z55="Yes due to Product Mix change or Operating Leverage",10,IF(Z55="Yes, these are peak margins",-5,IF(Z55="No",5,0)))</f>
        <v/>
      </c>
      <c r="AB55" s="25" t="inlineStr">
        <is>
          <t>Stable</t>
        </is>
      </c>
      <c r="AC55" s="25">
        <f>IF(AB55="Stable",10,0)</f>
        <v/>
      </c>
      <c r="AD55" s="25" t="inlineStr">
        <is>
          <t>Yes</t>
        </is>
      </c>
      <c r="AE55" s="25">
        <f>IF(AD55="Yes",10,0)</f>
        <v/>
      </c>
      <c r="AF55" s="25" t="inlineStr">
        <is>
          <t>B2B</t>
        </is>
      </c>
      <c r="AG55" s="25">
        <f>IF(AF55="B2C",10,IF(AF55="B2B",5,0))</f>
        <v/>
      </c>
      <c r="AH55" s="25" t="inlineStr">
        <is>
          <t>Yes</t>
        </is>
      </c>
      <c r="AI55" s="25">
        <f>IF(AH55="Yes",10,0)</f>
        <v/>
      </c>
      <c r="AJ55" s="25" t="inlineStr">
        <is>
          <t>Higher One Time, Lower Annuity</t>
        </is>
      </c>
      <c r="AK55" s="25">
        <f>IF(AJ55="Fully Annuity",10,IF(AJ55="Higher Annuity, Lower One Time",5,IF(AJ55="Higher One Time, Lower Annuity",3,0)))</f>
        <v/>
      </c>
      <c r="AL55" s="25" t="inlineStr">
        <is>
          <t>Good</t>
        </is>
      </c>
      <c r="AM55" s="25">
        <f>IF(AL55="Good",10,0)</f>
        <v/>
      </c>
      <c r="AN55" s="25" t="inlineStr">
        <is>
          <t>Yes for more than 2 years</t>
        </is>
      </c>
      <c r="AO55" s="25">
        <f>IF(AN55="Yes for more than 2 years",10,IF(AN55="Yes only for next 1 to 2 years",5,0))</f>
        <v/>
      </c>
      <c r="AP55" s="25" t="inlineStr">
        <is>
          <t>20 to 40</t>
        </is>
      </c>
      <c r="AQ55" s="25">
        <f>IF(AP55="Above 40",20,IF(AP55="20 to 40",10,IF(AP55="0 to 20",-5,0)))</f>
        <v/>
      </c>
      <c r="AR55" s="25" t="inlineStr">
        <is>
          <t>Between 50 to 75</t>
        </is>
      </c>
      <c r="AS55" s="25">
        <f>IF(AR55="Between 50 to 75",10,IF(AR55="Above 75",0,0))</f>
        <v/>
      </c>
      <c r="AT55" s="25" t="inlineStr">
        <is>
          <t>Stage 2</t>
        </is>
      </c>
      <c r="AU55" s="25">
        <f>IF(AT55="Stage 2",20,IF(AT55="Stage 1",0,IF(AT55="Stage 3",5,IF(AT55="Stage 4",-5,0))))</f>
        <v/>
      </c>
      <c r="AV55" s="25" t="inlineStr">
        <is>
          <t>Positive Trend</t>
        </is>
      </c>
      <c r="AW55" s="25">
        <f>IF(AV55="Positive Trend",20,IF(AV55="Negative Trend",-10,0))</f>
        <v/>
      </c>
      <c r="AX55" s="25" t="inlineStr">
        <is>
          <t>Uptrend</t>
        </is>
      </c>
      <c r="AY55" s="25">
        <f>IF(AX55="Uptrend",10,IF(AX55="Sideways",5,0))</f>
        <v/>
      </c>
      <c r="AZ55" s="25" t="inlineStr">
        <is>
          <t>Uptrend</t>
        </is>
      </c>
      <c r="BA55" s="25">
        <f>IF(AZ55="Uptrend",10,IF(AZ55="Sideways",5,0))</f>
        <v/>
      </c>
      <c r="BB55" s="25" t="inlineStr">
        <is>
          <t>Close to 52 week high or retracement</t>
        </is>
      </c>
      <c r="BC55" s="25">
        <f>IF(BB55="Overhead supply in last 2 years in last 2 years",-5,IF(BB55="Close to 52 week high or retracement",5,IF(BB55="Blue sky scenario",10,IF(BB55="Long term Downtrend",-10,0))))</f>
        <v/>
      </c>
      <c r="BD55" s="25" t="inlineStr">
        <is>
          <t>Yes</t>
        </is>
      </c>
      <c r="BE55" s="25">
        <f>IF(BD55="Yes",10,0)</f>
        <v/>
      </c>
      <c r="BF55" s="25" t="inlineStr">
        <is>
          <t>More than 20%</t>
        </is>
      </c>
      <c r="BG55" s="25">
        <f>IF(BF55="More than 20%",10,IF(BF55="Between 12 to 20%",5,IF(BF55="Less than 12%",0,0)))</f>
        <v/>
      </c>
      <c r="BH55" s="25" t="inlineStr">
        <is>
          <t>No</t>
        </is>
      </c>
      <c r="BI55" s="25">
        <f>IF(BH55="No",10,0)</f>
        <v/>
      </c>
      <c r="BJ55" s="25" t="inlineStr">
        <is>
          <t>Yes</t>
        </is>
      </c>
      <c r="BK55" s="25">
        <f>IF(BJ55="NO",5,0)</f>
        <v/>
      </c>
      <c r="BL55" s="25" t="inlineStr">
        <is>
          <t>Less than 1.5</t>
        </is>
      </c>
      <c r="BM55" s="25">
        <f>IF(BL55="Above 2",0,IF(BL55="Between 1.5 to 2",5,IF(BL55="Less than 1.5",10,0)))</f>
        <v/>
      </c>
      <c r="BN55" s="25" t="inlineStr">
        <is>
          <t>Above 70%</t>
        </is>
      </c>
      <c r="BO55" s="25">
        <f>IF(BN55="Above 70%",10,IF(BN55="Between 50% to 70%",5,IF(BN55="Less than 50%",0,IF(BN55="Negative",-10,IF(BN55="Less than 50% and Borrowings are increasing",-5,0)))))</f>
        <v/>
      </c>
      <c r="BP55" s="25" t="inlineStr">
        <is>
          <t>Between 0.7 to 1.2</t>
        </is>
      </c>
      <c r="BQ55" s="25">
        <f>IF(BP55="More than 1.2",-10,IF(BP55="Between 0.7 to 1.2",0,IF(BP55="Less than 0.7",10,0)))</f>
        <v/>
      </c>
      <c r="BR55" s="25" t="inlineStr">
        <is>
          <t>No</t>
        </is>
      </c>
      <c r="BS55" s="25">
        <f>IF(BR55="Yes",-10,0)</f>
        <v/>
      </c>
      <c r="BT55" s="25" t="inlineStr">
        <is>
          <t>Less than 15%</t>
        </is>
      </c>
      <c r="BU55" s="25">
        <f>IF(BT55="More than 15%",-10,IF(BT55="Less than 15%",10,0))</f>
        <v/>
      </c>
      <c r="BV55" s="25" t="inlineStr">
        <is>
          <t>No</t>
        </is>
      </c>
      <c r="BW55" s="25">
        <f>IF(BV55="Yes, more than 10%",-10,IF(BV55="No",10,0))</f>
        <v/>
      </c>
      <c r="BX55" s="25" t="inlineStr">
        <is>
          <t>20</t>
        </is>
      </c>
      <c r="BY55" s="25">
        <f>IF(BX55&gt;20,10,IF(BX55&gt;=10,5,2))</f>
        <v/>
      </c>
    </row>
    <row r="56">
      <c r="A56" s="25">
        <f>IF(B56=0,"",RANK(B56,$B$2:$B$95,0))</f>
        <v/>
      </c>
      <c r="B56" s="26">
        <f>SUM(Q56,S56,U56,W56,Y56,AA56,AC56,AE56,AG56,AI56,AK56,AM56,AO56,AQ56,AS56,AU56,AW56,AY56,BA56,BC56,BE56,BG56,BI56,BK56,BM56,BO56,BQ56,BS56,BU56,BW56,BY56)</f>
        <v/>
      </c>
      <c r="C56" s="25" t="inlineStr">
        <is>
          <t>VERANDA</t>
        </is>
      </c>
      <c r="D56" s="25" t="inlineStr">
        <is>
          <t>Veranda Learning Solutions Ltd</t>
        </is>
      </c>
      <c r="E56" s="25" t="inlineStr">
        <is>
          <t>services</t>
        </is>
      </c>
      <c r="F56" s="25" t="inlineStr">
        <is>
          <t>Computer Education</t>
        </is>
      </c>
      <c r="G56" s="25" t="inlineStr">
        <is>
          <t>smallcap</t>
        </is>
      </c>
      <c r="H56" s="26" t="n">
        <v>2256.7</v>
      </c>
      <c r="I56" s="26" t="n">
        <v>234.29</v>
      </c>
      <c r="J56" s="26" t="n">
        <v>1.13</v>
      </c>
      <c r="K56" s="26" t="n">
        <v>0</v>
      </c>
      <c r="L56" s="26" t="n">
        <v>63.38</v>
      </c>
      <c r="M56" s="26" t="n">
        <v>31.62</v>
      </c>
      <c r="N56" s="26" t="n">
        <v>170.78</v>
      </c>
      <c r="O56" s="25" t="inlineStr">
        <is>
          <t>Earnings / Momentum Support</t>
        </is>
      </c>
      <c r="P56" s="25" t="inlineStr">
        <is>
          <t>Growing Industry</t>
        </is>
      </c>
      <c r="Q56" s="25">
        <f>IF(P56="Growing Industry",10,IF(P56="Cyclical in an Upturn",5,0))</f>
        <v/>
      </c>
      <c r="R56" s="25" t="inlineStr">
        <is>
          <t>Too Many Players with High ROCE</t>
        </is>
      </c>
      <c r="S56" s="25">
        <f>IF(R56="Monopoly",10,IF(R56="Oligopoly",5,IF(R56="Duopoly that cooperate",10,IF(R56="Duopoly that compete",5,IF(R56="Too many players with High ROCE",5,0)))))</f>
        <v/>
      </c>
      <c r="T56" s="25" t="inlineStr">
        <is>
          <t>No</t>
        </is>
      </c>
      <c r="U56" s="25">
        <f>IF(T56="No",5,0)</f>
        <v/>
      </c>
      <c r="V56" s="25" t="inlineStr">
        <is>
          <t>Tailwind</t>
        </is>
      </c>
      <c r="W56" s="25">
        <f>IF(V56="Tailwind",10,0)</f>
        <v/>
      </c>
      <c r="X56" s="25" t="inlineStr">
        <is>
          <t>Structural (10 Years Consistency)</t>
        </is>
      </c>
      <c r="Y56" s="25">
        <f>IF(X56="Structural (10 Years Consistency)",10,IF(X56="Shallow Cyclical (2 to 3 years growth)",5,0))</f>
        <v/>
      </c>
      <c r="Z56" s="25" t="inlineStr">
        <is>
          <t>No</t>
        </is>
      </c>
      <c r="AA56" s="25">
        <f>IF(Z56="Yes due to Product Mix change or Operating Leverage",10,IF(Z56="Yes, these are peak margins",-5,IF(Z56="No",5,0)))</f>
        <v/>
      </c>
      <c r="AB56" s="25" t="inlineStr">
        <is>
          <t>Stable</t>
        </is>
      </c>
      <c r="AC56" s="25">
        <f>IF(AB56="Stable",10,0)</f>
        <v/>
      </c>
      <c r="AD56" s="25" t="inlineStr">
        <is>
          <t>Yes</t>
        </is>
      </c>
      <c r="AE56" s="25">
        <f>IF(AD56="Yes",10,0)</f>
        <v/>
      </c>
      <c r="AF56" s="25" t="inlineStr">
        <is>
          <t>B2B</t>
        </is>
      </c>
      <c r="AG56" s="25">
        <f>IF(AF56="B2C",10,IF(AF56="B2B",5,0))</f>
        <v/>
      </c>
      <c r="AH56" s="25" t="inlineStr">
        <is>
          <t>No</t>
        </is>
      </c>
      <c r="AI56" s="25">
        <f>IF(AH56="Yes",10,0)</f>
        <v/>
      </c>
      <c r="AJ56" s="25" t="inlineStr">
        <is>
          <t>Higher One Time, Lower Annuity</t>
        </is>
      </c>
      <c r="AK56" s="25">
        <f>IF(AJ56="Fully Annuity",10,IF(AJ56="Higher Annuity, Lower One Time",5,IF(AJ56="Higher One Time, Lower Annuity",3,0)))</f>
        <v/>
      </c>
      <c r="AL56" s="25" t="inlineStr">
        <is>
          <t>Good</t>
        </is>
      </c>
      <c r="AM56" s="25">
        <f>IF(AL56="Good",10,0)</f>
        <v/>
      </c>
      <c r="AN56" s="25" t="inlineStr">
        <is>
          <t>Yes for more than 2 years</t>
        </is>
      </c>
      <c r="AO56" s="25">
        <f>IF(AN56="Yes for more than 2 years",10,IF(AN56="Yes only for next 1 to 2 years",5,0))</f>
        <v/>
      </c>
      <c r="AP56" s="25" t="inlineStr">
        <is>
          <t>20 to 40</t>
        </is>
      </c>
      <c r="AQ56" s="25">
        <f>IF(AP56="Above 40",20,IF(AP56="20 to 40",10,IF(AP56="0 to 20",-5,0)))</f>
        <v/>
      </c>
      <c r="AR56" s="25" t="inlineStr">
        <is>
          <t>Between 50 to 75</t>
        </is>
      </c>
      <c r="AS56" s="25">
        <f>IF(AR56="Between 50 to 75",10,IF(AR56="Above 75",0,0))</f>
        <v/>
      </c>
      <c r="AT56" s="25" t="inlineStr">
        <is>
          <t>Stage 2</t>
        </is>
      </c>
      <c r="AU56" s="25">
        <f>IF(AT56="Stage 2",20,IF(AT56="Stage 1",0,IF(AT56="Stage 3",5,IF(AT56="Stage 4",-5,0))))</f>
        <v/>
      </c>
      <c r="AV56" s="25" t="inlineStr">
        <is>
          <t>Positive Trend</t>
        </is>
      </c>
      <c r="AW56" s="25">
        <f>IF(AV56="Positive Trend",20,IF(AV56="Negative Trend",-10,0))</f>
        <v/>
      </c>
      <c r="AX56" s="25" t="inlineStr">
        <is>
          <t>Uptrend</t>
        </is>
      </c>
      <c r="AY56" s="25">
        <f>IF(AX56="Uptrend",10,IF(AX56="Sideways",5,0))</f>
        <v/>
      </c>
      <c r="AZ56" s="25" t="inlineStr">
        <is>
          <t>Uptrend</t>
        </is>
      </c>
      <c r="BA56" s="25">
        <f>IF(AZ56="Uptrend",10,IF(AZ56="Sideways",5,0))</f>
        <v/>
      </c>
      <c r="BB56" s="25" t="inlineStr">
        <is>
          <t>Close to 52 week high or retracement</t>
        </is>
      </c>
      <c r="BC56" s="25">
        <f>IF(BB56="Overhead supply in last 2 years in last 2 years",-5,IF(BB56="Close to 52 week high or retracement",5,IF(BB56="Blue sky scenario",10,IF(BB56="Long term Downtrend",-10,0))))</f>
        <v/>
      </c>
      <c r="BD56" s="25" t="inlineStr">
        <is>
          <t>Yes</t>
        </is>
      </c>
      <c r="BE56" s="25">
        <f>IF(BD56="Yes",10,0)</f>
        <v/>
      </c>
      <c r="BF56" s="25" t="inlineStr">
        <is>
          <t>More than 20%</t>
        </is>
      </c>
      <c r="BG56" s="25">
        <f>IF(BF56="More than 20%",10,IF(BF56="Between 12 to 20%",5,IF(BF56="Less than 12%",0,0)))</f>
        <v/>
      </c>
      <c r="BH56" s="25" t="inlineStr">
        <is>
          <t>No</t>
        </is>
      </c>
      <c r="BI56" s="25">
        <f>IF(BH56="No",10,0)</f>
        <v/>
      </c>
      <c r="BJ56" s="25" t="inlineStr">
        <is>
          <t>No</t>
        </is>
      </c>
      <c r="BK56" s="25">
        <f>IF(BJ56="NO",5,0)</f>
        <v/>
      </c>
      <c r="BL56" s="25" t="inlineStr">
        <is>
          <t>Less than 1.5</t>
        </is>
      </c>
      <c r="BM56" s="25">
        <f>IF(BL56="Above 2",0,IF(BL56="Between 1.5 to 2",5,IF(BL56="Less than 1.5",10,0)))</f>
        <v/>
      </c>
      <c r="BN56" s="25" t="inlineStr">
        <is>
          <t>Between 50% to 70%</t>
        </is>
      </c>
      <c r="BO56" s="25">
        <f>IF(BN56="Above 70%",10,IF(BN56="Between 50% to 70%",5,IF(BN56="Less than 50%",0,IF(BN56="Negative",-10,IF(BN56="Less than 50% and Borrowings are increasing",-5,0)))))</f>
        <v/>
      </c>
      <c r="BP56" s="25" t="inlineStr">
        <is>
          <t>Less than 0.7</t>
        </is>
      </c>
      <c r="BQ56" s="25">
        <f>IF(BP56="More than 1.2",-10,IF(BP56="Between 0.7 to 1.2",0,IF(BP56="Less than 0.7",10,0)))</f>
        <v/>
      </c>
      <c r="BR56" s="25" t="inlineStr">
        <is>
          <t>No</t>
        </is>
      </c>
      <c r="BS56" s="25">
        <f>IF(BR56="Yes",-10,0)</f>
        <v/>
      </c>
      <c r="BT56" s="25" t="inlineStr">
        <is>
          <t>Less than 15%</t>
        </is>
      </c>
      <c r="BU56" s="25">
        <f>IF(BT56="More than 15%",-10,IF(BT56="Less than 15%",10,0))</f>
        <v/>
      </c>
      <c r="BV56" s="25" t="inlineStr">
        <is>
          <t>No</t>
        </is>
      </c>
      <c r="BW56" s="25">
        <f>IF(BV56="Yes, more than 10%",-10,IF(BV56="No",10,0))</f>
        <v/>
      </c>
      <c r="BX56" s="25" t="inlineStr">
        <is>
          <t>20</t>
        </is>
      </c>
      <c r="BY56" s="25">
        <f>IF(BX56&gt;20,10,IF(BX56&gt;=10,5,2))</f>
        <v/>
      </c>
    </row>
    <row r="57">
      <c r="A57" s="25">
        <f>IF(B57=0,"",RANK(B57,$B$2:$B$95,0))</f>
        <v/>
      </c>
      <c r="B57" s="26">
        <f>SUM(Q57,S57,U57,W57,Y57,AA57,AC57,AE57,AG57,AI57,AK57,AM57,AO57,AQ57,AS57,AU57,AW57,AY57,BA57,BC57,BE57,BG57,BI57,BK57,BM57,BO57,BQ57,BS57,BU57,BW57,BY57)</f>
        <v/>
      </c>
      <c r="C57" s="25" t="inlineStr">
        <is>
          <t>CPPLUS</t>
        </is>
      </c>
      <c r="D57" s="25" t="inlineStr">
        <is>
          <t>Aditya Infotech Ltd</t>
        </is>
      </c>
      <c r="E57" s="25" t="inlineStr">
        <is>
          <t>Industrials</t>
        </is>
      </c>
      <c r="F57" s="25" t="inlineStr">
        <is>
          <t>CCTV Camera</t>
        </is>
      </c>
      <c r="G57" s="25" t="inlineStr">
        <is>
          <t>largecap</t>
        </is>
      </c>
      <c r="H57" s="26" t="n">
        <v>37873.61</v>
      </c>
      <c r="I57" s="26" t="n">
        <v>3213.7</v>
      </c>
      <c r="J57" s="26" t="n">
        <v>2.81</v>
      </c>
      <c r="K57" s="26" t="n">
        <v>0</v>
      </c>
      <c r="L57" s="26" t="n">
        <v>85.98999999999999</v>
      </c>
      <c r="M57" s="26" t="n">
        <v>55.28</v>
      </c>
      <c r="N57" s="26" t="n">
        <v>2531</v>
      </c>
      <c r="O57" s="25" t="inlineStr">
        <is>
          <t>Near 52W High Breakout</t>
        </is>
      </c>
      <c r="P57" s="25" t="inlineStr">
        <is>
          <t>Cyclical in an Upturn</t>
        </is>
      </c>
      <c r="Q57" s="25">
        <f>IF(P57="Growing Industry",10,IF(P57="Cyclical in an Upturn",5,0))</f>
        <v/>
      </c>
      <c r="R57" s="25" t="inlineStr">
        <is>
          <t>Too Many Players with High ROCE</t>
        </is>
      </c>
      <c r="S57" s="25">
        <f>IF(R57="Monopoly",10,IF(R57="Oligopoly",5,IF(R57="Duopoly that cooperate",10,IF(R57="Duopoly that compete",5,IF(R57="Too many players with High ROCE",5,0)))))</f>
        <v/>
      </c>
      <c r="T57" s="25" t="inlineStr">
        <is>
          <t>No</t>
        </is>
      </c>
      <c r="U57" s="25">
        <f>IF(T57="No",5,0)</f>
        <v/>
      </c>
      <c r="V57" s="25" t="inlineStr">
        <is>
          <t>Tailwind</t>
        </is>
      </c>
      <c r="W57" s="25">
        <f>IF(V57="Tailwind",10,0)</f>
        <v/>
      </c>
      <c r="X57" s="25" t="inlineStr">
        <is>
          <t>Structural (10 Years Consistency)</t>
        </is>
      </c>
      <c r="Y57" s="25">
        <f>IF(X57="Structural (10 Years Consistency)",10,IF(X57="Shallow Cyclical (2 to 3 years growth)",5,0))</f>
        <v/>
      </c>
      <c r="Z57" s="25" t="inlineStr">
        <is>
          <t>No</t>
        </is>
      </c>
      <c r="AA57" s="25">
        <f>IF(Z57="Yes due to Product Mix change or Operating Leverage",10,IF(Z57="Yes, these are peak margins",-5,IF(Z57="No",5,0)))</f>
        <v/>
      </c>
      <c r="AB57" s="25" t="inlineStr">
        <is>
          <t>Stable</t>
        </is>
      </c>
      <c r="AC57" s="25">
        <f>IF(AB57="Stable",10,0)</f>
        <v/>
      </c>
      <c r="AD57" s="25" t="inlineStr">
        <is>
          <t>Yes</t>
        </is>
      </c>
      <c r="AE57" s="25">
        <f>IF(AD57="Yes",10,0)</f>
        <v/>
      </c>
      <c r="AF57" s="25" t="inlineStr">
        <is>
          <t>B2B</t>
        </is>
      </c>
      <c r="AG57" s="25">
        <f>IF(AF57="B2C",10,IF(AF57="B2B",5,0))</f>
        <v/>
      </c>
      <c r="AH57" s="25" t="inlineStr">
        <is>
          <t>Yes</t>
        </is>
      </c>
      <c r="AI57" s="25">
        <f>IF(AH57="Yes",10,0)</f>
        <v/>
      </c>
      <c r="AJ57" s="25" t="inlineStr">
        <is>
          <t>Higher One Time, Lower Annuity</t>
        </is>
      </c>
      <c r="AK57" s="25">
        <f>IF(AJ57="Fully Annuity",10,IF(AJ57="Higher Annuity, Lower One Time",5,IF(AJ57="Higher One Time, Lower Annuity",3,0)))</f>
        <v/>
      </c>
      <c r="AL57" s="25" t="inlineStr">
        <is>
          <t>Good</t>
        </is>
      </c>
      <c r="AM57" s="25">
        <f>IF(AL57="Good",10,0)</f>
        <v/>
      </c>
      <c r="AN57" s="25" t="inlineStr">
        <is>
          <t>Yes for more than 2 years</t>
        </is>
      </c>
      <c r="AO57" s="25">
        <f>IF(AN57="Yes for more than 2 years",10,IF(AN57="Yes only for next 1 to 2 years",5,0))</f>
        <v/>
      </c>
      <c r="AP57" s="25" t="inlineStr">
        <is>
          <t>Above 40</t>
        </is>
      </c>
      <c r="AQ57" s="25">
        <f>IF(AP57="Above 40",20,IF(AP57="20 to 40",10,IF(AP57="0 to 20",-5,0)))</f>
        <v/>
      </c>
      <c r="AR57" s="25" t="inlineStr">
        <is>
          <t>Above 75</t>
        </is>
      </c>
      <c r="AS57" s="25">
        <f>IF(AR57="Between 50 to 75",10,IF(AR57="Above 75",0,0))</f>
        <v/>
      </c>
      <c r="AT57" s="25" t="inlineStr">
        <is>
          <t>Stage 2</t>
        </is>
      </c>
      <c r="AU57" s="25">
        <f>IF(AT57="Stage 2",20,IF(AT57="Stage 1",0,IF(AT57="Stage 3",5,IF(AT57="Stage 4",-5,0))))</f>
        <v/>
      </c>
      <c r="AV57" s="25" t="inlineStr">
        <is>
          <t>Positive Trend</t>
        </is>
      </c>
      <c r="AW57" s="25">
        <f>IF(AV57="Positive Trend",20,IF(AV57="Negative Trend",-10,0))</f>
        <v/>
      </c>
      <c r="AX57" s="25" t="inlineStr">
        <is>
          <t>Uptrend</t>
        </is>
      </c>
      <c r="AY57" s="25">
        <f>IF(AX57="Uptrend",10,IF(AX57="Sideways",5,0))</f>
        <v/>
      </c>
      <c r="AZ57" s="25" t="inlineStr">
        <is>
          <t>Uptrend</t>
        </is>
      </c>
      <c r="BA57" s="25">
        <f>IF(AZ57="Uptrend",10,IF(AZ57="Sideways",5,0))</f>
        <v/>
      </c>
      <c r="BB57" s="25" t="inlineStr">
        <is>
          <t>Blue sky scenario</t>
        </is>
      </c>
      <c r="BC57" s="25">
        <f>IF(BB57="Overhead supply in last 2 years in last 2 years",-5,IF(BB57="Close to 52 week high or retracement",5,IF(BB57="Blue sky scenario",10,IF(BB57="Long term Downtrend",-10,0))))</f>
        <v/>
      </c>
      <c r="BD57" s="25" t="inlineStr">
        <is>
          <t>Yes</t>
        </is>
      </c>
      <c r="BE57" s="25">
        <f>IF(BD57="Yes",10,0)</f>
        <v/>
      </c>
      <c r="BF57" s="25" t="inlineStr">
        <is>
          <t>More than 20%</t>
        </is>
      </c>
      <c r="BG57" s="25">
        <f>IF(BF57="More than 20%",10,IF(BF57="Between 12 to 20%",5,IF(BF57="Less than 12%",0,0)))</f>
        <v/>
      </c>
      <c r="BH57" s="25" t="inlineStr">
        <is>
          <t>No</t>
        </is>
      </c>
      <c r="BI57" s="25">
        <f>IF(BH57="No",10,0)</f>
        <v/>
      </c>
      <c r="BJ57" s="25" t="inlineStr">
        <is>
          <t>Yes</t>
        </is>
      </c>
      <c r="BK57" s="25">
        <f>IF(BJ57="NO",5,0)</f>
        <v/>
      </c>
      <c r="BL57" s="25" t="inlineStr">
        <is>
          <t>Less than 1.5</t>
        </is>
      </c>
      <c r="BM57" s="25">
        <f>IF(BL57="Above 2",0,IF(BL57="Between 1.5 to 2",5,IF(BL57="Less than 1.5",10,0)))</f>
        <v/>
      </c>
      <c r="BN57" s="25" t="inlineStr">
        <is>
          <t>Less than 50%</t>
        </is>
      </c>
      <c r="BO57" s="25">
        <f>IF(BN57="Above 70%",10,IF(BN57="Between 50% to 70%",5,IF(BN57="Less than 50%",0,IF(BN57="Negative",-10,IF(BN57="Less than 50% and Borrowings are increasing",-5,0)))))</f>
        <v/>
      </c>
      <c r="BP57" s="25" t="inlineStr">
        <is>
          <t>Less than 0.7</t>
        </is>
      </c>
      <c r="BQ57" s="25">
        <f>IF(BP57="More than 1.2",-10,IF(BP57="Between 0.7 to 1.2",0,IF(BP57="Less than 0.7",10,0)))</f>
        <v/>
      </c>
      <c r="BR57" s="25" t="inlineStr">
        <is>
          <t>No</t>
        </is>
      </c>
      <c r="BS57" s="25">
        <f>IF(BR57="Yes",-10,0)</f>
        <v/>
      </c>
      <c r="BT57" s="25" t="inlineStr">
        <is>
          <t>Less than 15%</t>
        </is>
      </c>
      <c r="BU57" s="25">
        <f>IF(BT57="More than 15%",-10,IF(BT57="Less than 15%",10,0))</f>
        <v/>
      </c>
      <c r="BV57" s="25" t="inlineStr">
        <is>
          <t>No</t>
        </is>
      </c>
      <c r="BW57" s="25">
        <f>IF(BV57="Yes, more than 10%",-10,IF(BV57="No",10,0))</f>
        <v/>
      </c>
      <c r="BX57" s="25" t="inlineStr">
        <is>
          <t>20</t>
        </is>
      </c>
      <c r="BY57" s="25">
        <f>IF(BX57&gt;20,10,IF(BX57&gt;=10,5,2))</f>
        <v/>
      </c>
    </row>
    <row r="58">
      <c r="A58" s="25">
        <f>IF(B58=0,"",RANK(B58,$B$2:$B$95,0))</f>
        <v/>
      </c>
      <c r="B58" s="26">
        <f>SUM(Q58,S58,U58,W58,Y58,AA58,AC58,AE58,AG58,AI58,AK58,AM58,AO58,AQ58,AS58,AU58,AW58,AY58,BA58,BC58,BE58,BG58,BI58,BK58,BM58,BO58,BQ58,BS58,BU58,BW58,BY58)</f>
        <v/>
      </c>
      <c r="C58" s="25" t="inlineStr">
        <is>
          <t>GVPIL</t>
        </is>
      </c>
      <c r="D58" s="25" t="inlineStr">
        <is>
          <t>GE Power India Ltd</t>
        </is>
      </c>
      <c r="E58" s="25" t="inlineStr">
        <is>
          <t>realty</t>
        </is>
      </c>
      <c r="F58" s="25" t="inlineStr">
        <is>
          <t>Infra - General</t>
        </is>
      </c>
      <c r="G58" s="25" t="inlineStr">
        <is>
          <t>midcap</t>
        </is>
      </c>
      <c r="H58" s="26" t="n">
        <v>5774.5</v>
      </c>
      <c r="I58" s="26" t="n">
        <v>858.95</v>
      </c>
      <c r="J58" s="26" t="n">
        <v>4.51</v>
      </c>
      <c r="K58" s="26" t="n">
        <v>0</v>
      </c>
      <c r="L58" s="26" t="n">
        <v>85.56</v>
      </c>
      <c r="M58" s="26" t="n">
        <v>53.84</v>
      </c>
      <c r="N58" s="26" t="n">
        <v>655.71</v>
      </c>
      <c r="O58" s="25" t="inlineStr">
        <is>
          <t>Near 52W High Breakout</t>
        </is>
      </c>
      <c r="P58" s="25" t="inlineStr">
        <is>
          <t>Growing Industry</t>
        </is>
      </c>
      <c r="Q58" s="25">
        <f>IF(P58="Growing Industry",10,IF(P58="Cyclical in an Upturn",5,0))</f>
        <v/>
      </c>
      <c r="R58" s="25" t="inlineStr">
        <is>
          <t>Duopoly That Cooperate</t>
        </is>
      </c>
      <c r="S58" s="25">
        <f>IF(R58="Monopoly",10,IF(R58="Oligopoly",5,IF(R58="Duopoly that cooperate",10,IF(R58="Duopoly that compete",5,IF(R58="Too many players with High ROCE",5,0)))))</f>
        <v/>
      </c>
      <c r="T58" s="25" t="inlineStr">
        <is>
          <t>No</t>
        </is>
      </c>
      <c r="U58" s="25">
        <f>IF(T58="No",5,0)</f>
        <v/>
      </c>
      <c r="V58" s="25" t="inlineStr">
        <is>
          <t>Tailwind</t>
        </is>
      </c>
      <c r="W58" s="25">
        <f>IF(V58="Tailwind",10,0)</f>
        <v/>
      </c>
      <c r="X58" s="25" t="inlineStr">
        <is>
          <t>Shallow Cyclical (2 to 3 Years Growth)</t>
        </is>
      </c>
      <c r="Y58" s="25">
        <f>IF(X58="Structural (10 Years Consistency)",10,IF(X58="Shallow Cyclical (2 to 3 years growth)",5,0))</f>
        <v/>
      </c>
      <c r="Z58" s="25" t="inlineStr">
        <is>
          <t>Yes due to Product Mix change or Operating Leverage</t>
        </is>
      </c>
      <c r="AA58" s="25">
        <f>IF(Z58="Yes due to Product Mix change or Operating Leverage",10,IF(Z58="Yes, these are peak margins",-5,IF(Z58="No",5,0)))</f>
        <v/>
      </c>
      <c r="AB58" s="25" t="inlineStr">
        <is>
          <t>Stable</t>
        </is>
      </c>
      <c r="AC58" s="25">
        <f>IF(AB58="Stable",10,0)</f>
        <v/>
      </c>
      <c r="AD58" s="25" t="inlineStr">
        <is>
          <t>Yes</t>
        </is>
      </c>
      <c r="AE58" s="25">
        <f>IF(AD58="Yes",10,0)</f>
        <v/>
      </c>
      <c r="AF58" s="25" t="inlineStr">
        <is>
          <t>B2C</t>
        </is>
      </c>
      <c r="AG58" s="25">
        <f>IF(AF58="B2C",10,IF(AF58="B2B",5,0))</f>
        <v/>
      </c>
      <c r="AH58" s="25" t="inlineStr">
        <is>
          <t>Yes</t>
        </is>
      </c>
      <c r="AI58" s="25">
        <f>IF(AH58="Yes",10,0)</f>
        <v/>
      </c>
      <c r="AJ58" s="25" t="inlineStr">
        <is>
          <t>Fully Annuity</t>
        </is>
      </c>
      <c r="AK58" s="25">
        <f>IF(AJ58="Fully Annuity",10,IF(AJ58="Higher Annuity, Lower One Time",5,IF(AJ58="Higher One Time, Lower Annuity",3,0)))</f>
        <v/>
      </c>
      <c r="AL58" s="25" t="inlineStr">
        <is>
          <t>Good</t>
        </is>
      </c>
      <c r="AM58" s="25">
        <f>IF(AL58="Good",10,0)</f>
        <v/>
      </c>
      <c r="AN58" s="25" t="inlineStr">
        <is>
          <t>Yes only for next 1 to 2 years</t>
        </is>
      </c>
      <c r="AO58" s="25">
        <f>IF(AN58="Yes for more than 2 years",10,IF(AN58="Yes only for next 1 to 2 years",5,0))</f>
        <v/>
      </c>
      <c r="AP58" s="25" t="inlineStr">
        <is>
          <t>Above 40</t>
        </is>
      </c>
      <c r="AQ58" s="25">
        <f>IF(AP58="Above 40",20,IF(AP58="20 to 40",10,IF(AP58="0 to 20",-5,0)))</f>
        <v/>
      </c>
      <c r="AR58" s="25" t="inlineStr">
        <is>
          <t>Above 75</t>
        </is>
      </c>
      <c r="AS58" s="25">
        <f>IF(AR58="Between 50 to 75",10,IF(AR58="Above 75",0,0))</f>
        <v/>
      </c>
      <c r="AT58" s="25" t="inlineStr">
        <is>
          <t>Stage 2</t>
        </is>
      </c>
      <c r="AU58" s="25">
        <f>IF(AT58="Stage 2",20,IF(AT58="Stage 1",0,IF(AT58="Stage 3",5,IF(AT58="Stage 4",-5,0))))</f>
        <v/>
      </c>
      <c r="AV58" s="25" t="inlineStr">
        <is>
          <t>Positive Trend</t>
        </is>
      </c>
      <c r="AW58" s="25">
        <f>IF(AV58="Positive Trend",20,IF(AV58="Negative Trend",-10,0))</f>
        <v/>
      </c>
      <c r="AX58" s="25" t="inlineStr">
        <is>
          <t>Uptrend</t>
        </is>
      </c>
      <c r="AY58" s="25">
        <f>IF(AX58="Uptrend",10,IF(AX58="Sideways",5,0))</f>
        <v/>
      </c>
      <c r="AZ58" s="25" t="inlineStr">
        <is>
          <t>Uptrend</t>
        </is>
      </c>
      <c r="BA58" s="25">
        <f>IF(AZ58="Uptrend",10,IF(AZ58="Sideways",5,0))</f>
        <v/>
      </c>
      <c r="BB58" s="25" t="inlineStr">
        <is>
          <t>Close to 52 week high or retracement</t>
        </is>
      </c>
      <c r="BC58" s="25">
        <f>IF(BB58="Overhead supply in last 2 years in last 2 years",-5,IF(BB58="Close to 52 week high or retracement",5,IF(BB58="Blue sky scenario",10,IF(BB58="Long term Downtrend",-10,0))))</f>
        <v/>
      </c>
      <c r="BD58" s="25" t="inlineStr">
        <is>
          <t>Yes</t>
        </is>
      </c>
      <c r="BE58" s="25">
        <f>IF(BD58="Yes",10,0)</f>
        <v/>
      </c>
      <c r="BF58" s="25" t="inlineStr">
        <is>
          <t>More than 20%</t>
        </is>
      </c>
      <c r="BG58" s="25">
        <f>IF(BF58="More than 20%",10,IF(BF58="Between 12 to 20%",5,IF(BF58="Less than 12%",0,0)))</f>
        <v/>
      </c>
      <c r="BH58" s="25" t="inlineStr">
        <is>
          <t>No</t>
        </is>
      </c>
      <c r="BI58" s="25">
        <f>IF(BH58="No",10,0)</f>
        <v/>
      </c>
      <c r="BJ58" s="25" t="inlineStr">
        <is>
          <t>Yes</t>
        </is>
      </c>
      <c r="BK58" s="25">
        <f>IF(BJ58="NO",5,0)</f>
        <v/>
      </c>
      <c r="BL58" s="25" t="inlineStr">
        <is>
          <t>Above 2</t>
        </is>
      </c>
      <c r="BM58" s="25">
        <f>IF(BL58="Above 2",0,IF(BL58="Between 1.5 to 2",5,IF(BL58="Less than 1.5",10,0)))</f>
        <v/>
      </c>
      <c r="BN58" s="25" t="inlineStr">
        <is>
          <t>Between 50% to 70%</t>
        </is>
      </c>
      <c r="BO58" s="25">
        <f>IF(BN58="Above 70%",10,IF(BN58="Between 50% to 70%",5,IF(BN58="Less than 50%",0,IF(BN58="Negative",-10,IF(BN58="Less than 50% and Borrowings are increasing",-5,0)))))</f>
        <v/>
      </c>
      <c r="BP58" s="25" t="inlineStr">
        <is>
          <t>Between 0.7 to 1.2</t>
        </is>
      </c>
      <c r="BQ58" s="25">
        <f>IF(BP58="More than 1.2",-10,IF(BP58="Between 0.7 to 1.2",0,IF(BP58="Less than 0.7",10,0)))</f>
        <v/>
      </c>
      <c r="BR58" s="25" t="inlineStr">
        <is>
          <t>No</t>
        </is>
      </c>
      <c r="BS58" s="25">
        <f>IF(BR58="Yes",-10,0)</f>
        <v/>
      </c>
      <c r="BT58" s="25" t="inlineStr">
        <is>
          <t>Less than 15%</t>
        </is>
      </c>
      <c r="BU58" s="25">
        <f>IF(BT58="More than 15%",-10,IF(BT58="Less than 15%",10,0))</f>
        <v/>
      </c>
      <c r="BV58" s="25" t="inlineStr">
        <is>
          <t>No</t>
        </is>
      </c>
      <c r="BW58" s="25">
        <f>IF(BV58="Yes, more than 10%",-10,IF(BV58="No",10,0))</f>
        <v/>
      </c>
      <c r="BX58" s="25" t="inlineStr">
        <is>
          <t>22</t>
        </is>
      </c>
      <c r="BY58" s="25">
        <f>IF(BX58&gt;20,10,IF(BX58&gt;=10,5,2))</f>
        <v/>
      </c>
    </row>
    <row r="59">
      <c r="A59" s="25">
        <f>IF(B59=0,"",RANK(B59,$B$2:$B$95,0))</f>
        <v/>
      </c>
      <c r="B59" s="26">
        <f>SUM(Q59,S59,U59,W59,Y59,AA59,AC59,AE59,AG59,AI59,AK59,AM59,AO59,AQ59,AS59,AU59,AW59,AY59,BA59,BC59,BE59,BG59,BI59,BK59,BM59,BO59,BQ59,BS59,BU59,BW59,BY59)</f>
        <v/>
      </c>
      <c r="C59" s="25" t="inlineStr">
        <is>
          <t>PTCIL</t>
        </is>
      </c>
      <c r="D59" s="25" t="inlineStr">
        <is>
          <t>PTC Industries Ltd</t>
        </is>
      </c>
      <c r="E59" s="25" t="inlineStr">
        <is>
          <t>industrials</t>
        </is>
      </c>
      <c r="F59" s="25" t="inlineStr">
        <is>
          <t>Castings - Steel/Alloy</t>
        </is>
      </c>
      <c r="G59" s="25" t="inlineStr">
        <is>
          <t>largecap</t>
        </is>
      </c>
      <c r="H59" s="26" t="n">
        <v>29055.56</v>
      </c>
      <c r="I59" s="26" t="n">
        <v>19380</v>
      </c>
      <c r="J59" s="26" t="n">
        <v>4.82</v>
      </c>
      <c r="K59" s="26" t="n">
        <v>0</v>
      </c>
      <c r="L59" s="26" t="n">
        <v>63.76</v>
      </c>
      <c r="M59" s="26" t="n">
        <v>12.08</v>
      </c>
      <c r="N59" s="26" t="n">
        <v>15340.51</v>
      </c>
      <c r="O59" s="25" t="inlineStr">
        <is>
          <t>Volume Spike &amp; Near 52W High Breakout</t>
        </is>
      </c>
      <c r="P59" s="25" t="inlineStr">
        <is>
          <t>Cyclical in an Upturn</t>
        </is>
      </c>
      <c r="Q59" s="25">
        <f>IF(P59="Growing Industry",10,IF(P59="Cyclical in an Upturn",5,0))</f>
        <v/>
      </c>
      <c r="R59" s="25" t="inlineStr">
        <is>
          <t>Too Many Players with High ROCE</t>
        </is>
      </c>
      <c r="S59" s="25">
        <f>IF(R59="Monopoly",10,IF(R59="Oligopoly",5,IF(R59="Duopoly that cooperate",10,IF(R59="Duopoly that compete",5,IF(R59="Too many players with High ROCE",5,0)))))</f>
        <v/>
      </c>
      <c r="T59" s="25" t="inlineStr">
        <is>
          <t>No</t>
        </is>
      </c>
      <c r="U59" s="25">
        <f>IF(T59="No",5,0)</f>
        <v/>
      </c>
      <c r="V59" s="25" t="inlineStr">
        <is>
          <t>Tailwind</t>
        </is>
      </c>
      <c r="W59" s="25">
        <f>IF(V59="Tailwind",10,0)</f>
        <v/>
      </c>
      <c r="X59" s="25" t="inlineStr">
        <is>
          <t>Structural (10 Years Consistency)</t>
        </is>
      </c>
      <c r="Y59" s="25">
        <f>IF(X59="Structural (10 Years Consistency)",10,IF(X59="Shallow Cyclical (2 to 3 years growth)",5,0))</f>
        <v/>
      </c>
      <c r="Z59" s="25" t="inlineStr">
        <is>
          <t>No</t>
        </is>
      </c>
      <c r="AA59" s="25">
        <f>IF(Z59="Yes due to Product Mix change or Operating Leverage",10,IF(Z59="Yes, these are peak margins",-5,IF(Z59="No",5,0)))</f>
        <v/>
      </c>
      <c r="AB59" s="25" t="inlineStr">
        <is>
          <t>Stable</t>
        </is>
      </c>
      <c r="AC59" s="25">
        <f>IF(AB59="Stable",10,0)</f>
        <v/>
      </c>
      <c r="AD59" s="25" t="inlineStr">
        <is>
          <t>Yes</t>
        </is>
      </c>
      <c r="AE59" s="25">
        <f>IF(AD59="Yes",10,0)</f>
        <v/>
      </c>
      <c r="AF59" s="25" t="inlineStr">
        <is>
          <t>B2B</t>
        </is>
      </c>
      <c r="AG59" s="25">
        <f>IF(AF59="B2C",10,IF(AF59="B2B",5,0))</f>
        <v/>
      </c>
      <c r="AH59" s="25" t="inlineStr">
        <is>
          <t>Yes</t>
        </is>
      </c>
      <c r="AI59" s="25">
        <f>IF(AH59="Yes",10,0)</f>
        <v/>
      </c>
      <c r="AJ59" s="25" t="inlineStr">
        <is>
          <t>Higher One Time, Lower Annuity</t>
        </is>
      </c>
      <c r="AK59" s="25">
        <f>IF(AJ59="Fully Annuity",10,IF(AJ59="Higher Annuity, Lower One Time",5,IF(AJ59="Higher One Time, Lower Annuity",3,0)))</f>
        <v/>
      </c>
      <c r="AL59" s="25" t="inlineStr">
        <is>
          <t>Good</t>
        </is>
      </c>
      <c r="AM59" s="25">
        <f>IF(AL59="Good",10,0)</f>
        <v/>
      </c>
      <c r="AN59" s="25" t="inlineStr">
        <is>
          <t>Yes for more than 2 years</t>
        </is>
      </c>
      <c r="AO59" s="25">
        <f>IF(AN59="Yes for more than 2 years",10,IF(AN59="Yes only for next 1 to 2 years",5,0))</f>
        <v/>
      </c>
      <c r="AP59" s="25" t="inlineStr">
        <is>
          <t>0 to 20</t>
        </is>
      </c>
      <c r="AQ59" s="25">
        <f>IF(AP59="Above 40",20,IF(AP59="20 to 40",10,IF(AP59="0 to 20",-5,0)))</f>
        <v/>
      </c>
      <c r="AR59" s="25" t="inlineStr">
        <is>
          <t>Between 50 to 75</t>
        </is>
      </c>
      <c r="AS59" s="25">
        <f>IF(AR59="Between 50 to 75",10,IF(AR59="Above 75",0,0))</f>
        <v/>
      </c>
      <c r="AT59" s="25" t="inlineStr">
        <is>
          <t>Stage 2</t>
        </is>
      </c>
      <c r="AU59" s="25">
        <f>IF(AT59="Stage 2",20,IF(AT59="Stage 1",0,IF(AT59="Stage 3",5,IF(AT59="Stage 4",-5,0))))</f>
        <v/>
      </c>
      <c r="AV59" s="25" t="inlineStr">
        <is>
          <t>Positive Trend</t>
        </is>
      </c>
      <c r="AW59" s="25">
        <f>IF(AV59="Positive Trend",20,IF(AV59="Negative Trend",-10,0))</f>
        <v/>
      </c>
      <c r="AX59" s="25" t="inlineStr">
        <is>
          <t>Uptrend</t>
        </is>
      </c>
      <c r="AY59" s="25">
        <f>IF(AX59="Uptrend",10,IF(AX59="Sideways",5,0))</f>
        <v/>
      </c>
      <c r="AZ59" s="25" t="inlineStr">
        <is>
          <t>Uptrend</t>
        </is>
      </c>
      <c r="BA59" s="25">
        <f>IF(AZ59="Uptrend",10,IF(AZ59="Sideways",5,0))</f>
        <v/>
      </c>
      <c r="BB59" s="25" t="inlineStr">
        <is>
          <t>Blue sky scenario</t>
        </is>
      </c>
      <c r="BC59" s="25">
        <f>IF(BB59="Overhead supply in last 2 years in last 2 years",-5,IF(BB59="Close to 52 week high or retracement",5,IF(BB59="Blue sky scenario",10,IF(BB59="Long term Downtrend",-10,0))))</f>
        <v/>
      </c>
      <c r="BD59" s="25" t="inlineStr">
        <is>
          <t>Yes</t>
        </is>
      </c>
      <c r="BE59" s="25">
        <f>IF(BD59="Yes",10,0)</f>
        <v/>
      </c>
      <c r="BF59" s="25" t="inlineStr">
        <is>
          <t>More than 20%</t>
        </is>
      </c>
      <c r="BG59" s="25">
        <f>IF(BF59="More than 20%",10,IF(BF59="Between 12 to 20%",5,IF(BF59="Less than 12%",0,0)))</f>
        <v/>
      </c>
      <c r="BH59" s="25" t="inlineStr">
        <is>
          <t>No</t>
        </is>
      </c>
      <c r="BI59" s="25">
        <f>IF(BH59="No",10,0)</f>
        <v/>
      </c>
      <c r="BJ59" s="25" t="inlineStr">
        <is>
          <t>Yes</t>
        </is>
      </c>
      <c r="BK59" s="25">
        <f>IF(BJ59="NO",5,0)</f>
        <v/>
      </c>
      <c r="BL59" s="25" t="inlineStr">
        <is>
          <t>Less than 1.5</t>
        </is>
      </c>
      <c r="BM59" s="25">
        <f>IF(BL59="Above 2",0,IF(BL59="Between 1.5 to 2",5,IF(BL59="Less than 1.5",10,0)))</f>
        <v/>
      </c>
      <c r="BN59" s="25" t="inlineStr">
        <is>
          <t>Above 70%</t>
        </is>
      </c>
      <c r="BO59" s="25">
        <f>IF(BN59="Above 70%",10,IF(BN59="Between 50% to 70%",5,IF(BN59="Less than 50%",0,IF(BN59="Negative",-10,IF(BN59="Less than 50% and Borrowings are increasing",-5,0)))))</f>
        <v/>
      </c>
      <c r="BP59" s="25" t="inlineStr">
        <is>
          <t>Less than 0.7</t>
        </is>
      </c>
      <c r="BQ59" s="25">
        <f>IF(BP59="More than 1.2",-10,IF(BP59="Between 0.7 to 1.2",0,IF(BP59="Less than 0.7",10,0)))</f>
        <v/>
      </c>
      <c r="BR59" s="25" t="inlineStr">
        <is>
          <t>No</t>
        </is>
      </c>
      <c r="BS59" s="25">
        <f>IF(BR59="Yes",-10,0)</f>
        <v/>
      </c>
      <c r="BT59" s="25" t="inlineStr">
        <is>
          <t>Less than 15%</t>
        </is>
      </c>
      <c r="BU59" s="25">
        <f>IF(BT59="More than 15%",-10,IF(BT59="Less than 15%",10,0))</f>
        <v/>
      </c>
      <c r="BV59" s="25" t="inlineStr">
        <is>
          <t>No</t>
        </is>
      </c>
      <c r="BW59" s="25">
        <f>IF(BV59="Yes, more than 10%",-10,IF(BV59="No",10,0))</f>
        <v/>
      </c>
      <c r="BX59" s="25" t="inlineStr">
        <is>
          <t>25</t>
        </is>
      </c>
      <c r="BY59" s="25">
        <f>IF(BX59&gt;20,10,IF(BX59&gt;=10,5,2))</f>
        <v/>
      </c>
    </row>
    <row r="60">
      <c r="A60" s="25">
        <f>IF(B60=0,"",RANK(B60,$B$2:$B$95,0))</f>
        <v/>
      </c>
      <c r="B60" s="26">
        <f>SUM(Q60,S60,U60,W60,Y60,AA60,AC60,AE60,AG60,AI60,AK60,AM60,AO60,AQ60,AS60,AU60,AW60,AY60,BA60,BC60,BE60,BG60,BI60,BK60,BM60,BO60,BQ60,BS60,BU60,BW60,BY60)</f>
        <v/>
      </c>
      <c r="C60" s="25" t="inlineStr">
        <is>
          <t>STLTECH</t>
        </is>
      </c>
      <c r="D60" s="25" t="inlineStr">
        <is>
          <t>Sterlite Technologies Ltd</t>
        </is>
      </c>
      <c r="E60" s="25" t="inlineStr">
        <is>
          <t>industrials</t>
        </is>
      </c>
      <c r="F60" s="25" t="inlineStr">
        <is>
          <t>Cables - Telecom</t>
        </is>
      </c>
      <c r="G60" s="25" t="inlineStr">
        <is>
          <t>largecap</t>
        </is>
      </c>
      <c r="H60" s="26" t="n">
        <v>28853.15</v>
      </c>
      <c r="I60" s="26" t="n">
        <v>591.05</v>
      </c>
      <c r="J60" s="26" t="n">
        <v>4.99</v>
      </c>
      <c r="K60" s="26" t="n">
        <v>0</v>
      </c>
      <c r="L60" s="26" t="n">
        <v>95.78</v>
      </c>
      <c r="M60" s="26" t="n">
        <v>76.40000000000001</v>
      </c>
      <c r="N60" s="26" t="n">
        <v>475.05</v>
      </c>
      <c r="O60" s="25" t="inlineStr">
        <is>
          <t>Near 52W High Breakout</t>
        </is>
      </c>
      <c r="P60" s="25" t="inlineStr">
        <is>
          <t>Cyclical in an Upturn</t>
        </is>
      </c>
      <c r="Q60" s="25">
        <f>IF(P60="Growing Industry",10,IF(P60="Cyclical in an Upturn",5,0))</f>
        <v/>
      </c>
      <c r="R60" s="25" t="inlineStr">
        <is>
          <t>Oligopoly</t>
        </is>
      </c>
      <c r="S60" s="25">
        <f>IF(R60="Monopoly",10,IF(R60="Oligopoly",5,IF(R60="Duopoly that cooperate",10,IF(R60="Duopoly that compete",5,IF(R60="Too many players with High ROCE",5,0)))))</f>
        <v/>
      </c>
      <c r="T60" s="25" t="inlineStr">
        <is>
          <t>Yes</t>
        </is>
      </c>
      <c r="U60" s="25">
        <f>IF(T60="No",5,0)</f>
        <v/>
      </c>
      <c r="V60" s="25" t="inlineStr">
        <is>
          <t>Tailwind</t>
        </is>
      </c>
      <c r="W60" s="25">
        <f>IF(V60="Tailwind",10,0)</f>
        <v/>
      </c>
      <c r="X60" s="25" t="inlineStr">
        <is>
          <t>Structural (10 Years Consistency)</t>
        </is>
      </c>
      <c r="Y60" s="25">
        <f>IF(X60="Structural (10 Years Consistency)",10,IF(X60="Shallow Cyclical (2 to 3 years growth)",5,0))</f>
        <v/>
      </c>
      <c r="Z60" s="25" t="inlineStr">
        <is>
          <t>No</t>
        </is>
      </c>
      <c r="AA60" s="25">
        <f>IF(Z60="Yes due to Product Mix change or Operating Leverage",10,IF(Z60="Yes, these are peak margins",-5,IF(Z60="No",5,0)))</f>
        <v/>
      </c>
      <c r="AB60" s="25" t="inlineStr">
        <is>
          <t>Stable</t>
        </is>
      </c>
      <c r="AC60" s="25">
        <f>IF(AB60="Stable",10,0)</f>
        <v/>
      </c>
      <c r="AD60" s="25" t="inlineStr">
        <is>
          <t>Yes</t>
        </is>
      </c>
      <c r="AE60" s="25">
        <f>IF(AD60="Yes",10,0)</f>
        <v/>
      </c>
      <c r="AF60" s="25" t="inlineStr">
        <is>
          <t>B2B</t>
        </is>
      </c>
      <c r="AG60" s="25">
        <f>IF(AF60="B2C",10,IF(AF60="B2B",5,0))</f>
        <v/>
      </c>
      <c r="AH60" s="25" t="inlineStr">
        <is>
          <t>Yes</t>
        </is>
      </c>
      <c r="AI60" s="25">
        <f>IF(AH60="Yes",10,0)</f>
        <v/>
      </c>
      <c r="AJ60" s="25" t="inlineStr">
        <is>
          <t>Higher One Time, Lower Annuity</t>
        </is>
      </c>
      <c r="AK60" s="25">
        <f>IF(AJ60="Fully Annuity",10,IF(AJ60="Higher Annuity, Lower One Time",5,IF(AJ60="Higher One Time, Lower Annuity",3,0)))</f>
        <v/>
      </c>
      <c r="AL60" s="25" t="inlineStr">
        <is>
          <t>Good</t>
        </is>
      </c>
      <c r="AM60" s="25">
        <f>IF(AL60="Good",10,0)</f>
        <v/>
      </c>
      <c r="AN60" s="25" t="inlineStr">
        <is>
          <t>Yes for more than 2 years</t>
        </is>
      </c>
      <c r="AO60" s="25">
        <f>IF(AN60="Yes for more than 2 years",10,IF(AN60="Yes only for next 1 to 2 years",5,0))</f>
        <v/>
      </c>
      <c r="AP60" s="25" t="inlineStr">
        <is>
          <t>Above 40</t>
        </is>
      </c>
      <c r="AQ60" s="25">
        <f>IF(AP60="Above 40",20,IF(AP60="20 to 40",10,IF(AP60="0 to 20",-5,0)))</f>
        <v/>
      </c>
      <c r="AR60" s="25" t="inlineStr">
        <is>
          <t>Above 75</t>
        </is>
      </c>
      <c r="AS60" s="25">
        <f>IF(AR60="Between 50 to 75",10,IF(AR60="Above 75",0,0))</f>
        <v/>
      </c>
      <c r="AT60" s="25" t="inlineStr">
        <is>
          <t>Stage 2</t>
        </is>
      </c>
      <c r="AU60" s="25">
        <f>IF(AT60="Stage 2",20,IF(AT60="Stage 1",0,IF(AT60="Stage 3",5,IF(AT60="Stage 4",-5,0))))</f>
        <v/>
      </c>
      <c r="AV60" s="25" t="inlineStr">
        <is>
          <t>Positive Trend</t>
        </is>
      </c>
      <c r="AW60" s="25">
        <f>IF(AV60="Positive Trend",20,IF(AV60="Negative Trend",-10,0))</f>
        <v/>
      </c>
      <c r="AX60" s="25" t="inlineStr">
        <is>
          <t>Uptrend</t>
        </is>
      </c>
      <c r="AY60" s="25">
        <f>IF(AX60="Uptrend",10,IF(AX60="Sideways",5,0))</f>
        <v/>
      </c>
      <c r="AZ60" s="25" t="inlineStr">
        <is>
          <t>Uptrend</t>
        </is>
      </c>
      <c r="BA60" s="25">
        <f>IF(AZ60="Uptrend",10,IF(AZ60="Sideways",5,0))</f>
        <v/>
      </c>
      <c r="BB60" s="25" t="inlineStr">
        <is>
          <t>Blue sky scenario</t>
        </is>
      </c>
      <c r="BC60" s="25">
        <f>IF(BB60="Overhead supply in last 2 years in last 2 years",-5,IF(BB60="Close to 52 week high or retracement",5,IF(BB60="Blue sky scenario",10,IF(BB60="Long term Downtrend",-10,0))))</f>
        <v/>
      </c>
      <c r="BD60" s="25" t="inlineStr">
        <is>
          <t>Yes</t>
        </is>
      </c>
      <c r="BE60" s="25">
        <f>IF(BD60="Yes",10,0)</f>
        <v/>
      </c>
      <c r="BF60" s="25" t="inlineStr">
        <is>
          <t>More than 20%</t>
        </is>
      </c>
      <c r="BG60" s="25">
        <f>IF(BF60="More than 20%",10,IF(BF60="Between 12 to 20%",5,IF(BF60="Less than 12%",0,0)))</f>
        <v/>
      </c>
      <c r="BH60" s="25" t="inlineStr">
        <is>
          <t>No</t>
        </is>
      </c>
      <c r="BI60" s="25">
        <f>IF(BH60="No",10,0)</f>
        <v/>
      </c>
      <c r="BJ60" s="25" t="inlineStr">
        <is>
          <t>Yes</t>
        </is>
      </c>
      <c r="BK60" s="25">
        <f>IF(BJ60="NO",5,0)</f>
        <v/>
      </c>
      <c r="BL60" s="25" t="inlineStr">
        <is>
          <t>Less than 1.5</t>
        </is>
      </c>
      <c r="BM60" s="25">
        <f>IF(BL60="Above 2",0,IF(BL60="Between 1.5 to 2",5,IF(BL60="Less than 1.5",10,0)))</f>
        <v/>
      </c>
      <c r="BN60" s="25" t="inlineStr">
        <is>
          <t>Above 70%</t>
        </is>
      </c>
      <c r="BO60" s="25">
        <f>IF(BN60="Above 70%",10,IF(BN60="Between 50% to 70%",5,IF(BN60="Less than 50%",0,IF(BN60="Negative",-10,IF(BN60="Less than 50% and Borrowings are increasing",-5,0)))))</f>
        <v/>
      </c>
      <c r="BP60" s="25" t="inlineStr">
        <is>
          <t>Between 0.7 to 1.2</t>
        </is>
      </c>
      <c r="BQ60" s="25">
        <f>IF(BP60="More than 1.2",-10,IF(BP60="Between 0.7 to 1.2",0,IF(BP60="Less than 0.7",10,0)))</f>
        <v/>
      </c>
      <c r="BR60" s="25" t="inlineStr">
        <is>
          <t>No</t>
        </is>
      </c>
      <c r="BS60" s="25">
        <f>IF(BR60="Yes",-10,0)</f>
        <v/>
      </c>
      <c r="BT60" s="25" t="inlineStr">
        <is>
          <t>Less than 15%</t>
        </is>
      </c>
      <c r="BU60" s="25">
        <f>IF(BT60="More than 15%",-10,IF(BT60="Less than 15%",10,0))</f>
        <v/>
      </c>
      <c r="BV60" s="25" t="inlineStr">
        <is>
          <t>No</t>
        </is>
      </c>
      <c r="BW60" s="25">
        <f>IF(BV60="Yes, more than 10%",-10,IF(BV60="No",10,0))</f>
        <v/>
      </c>
      <c r="BX60" s="25" t="inlineStr">
        <is>
          <t>20</t>
        </is>
      </c>
      <c r="BY60" s="25">
        <f>IF(BX60&gt;20,10,IF(BX60&gt;=10,5,2))</f>
        <v/>
      </c>
    </row>
    <row r="61">
      <c r="A61" s="25">
        <f>IF(B61=0,"",RANK(B61,$B$2:$B$95,0))</f>
        <v/>
      </c>
      <c r="B61" s="26">
        <f>SUM(Q61,S61,U61,W61,Y61,AA61,AC61,AE61,AG61,AI61,AK61,AM61,AO61,AQ61,AS61,AU61,AW61,AY61,BA61,BC61,BE61,BG61,BI61,BK61,BM61,BO61,BQ61,BS61,BU61,BW61,BY61)</f>
        <v/>
      </c>
      <c r="C61" s="25" t="inlineStr">
        <is>
          <t>UNIVCABLES</t>
        </is>
      </c>
      <c r="D61" s="25" t="inlineStr">
        <is>
          <t>Universal Cables Ltd</t>
        </is>
      </c>
      <c r="E61" s="25" t="inlineStr">
        <is>
          <t>industrials</t>
        </is>
      </c>
      <c r="F61" s="25" t="inlineStr">
        <is>
          <t>Cables - Power</t>
        </is>
      </c>
      <c r="G61" s="25" t="inlineStr">
        <is>
          <t>smallcap</t>
        </is>
      </c>
      <c r="H61" s="26" t="n">
        <v>4299.45</v>
      </c>
      <c r="I61" s="26" t="n">
        <v>1239.2</v>
      </c>
      <c r="J61" s="26" t="n">
        <v>13.3</v>
      </c>
      <c r="K61" s="26" t="n">
        <v>0</v>
      </c>
      <c r="L61" s="26" t="n">
        <v>70.20999999999999</v>
      </c>
      <c r="M61" s="26" t="n">
        <v>31.2</v>
      </c>
      <c r="N61" s="26" t="n">
        <v>858.9299999999999</v>
      </c>
      <c r="O61" s="25" t="inlineStr">
        <is>
          <t>Near 52W High Breakout</t>
        </is>
      </c>
      <c r="P61" s="25" t="inlineStr">
        <is>
          <t>Cyclical in an Upturn</t>
        </is>
      </c>
      <c r="Q61" s="25">
        <f>IF(P61="Growing Industry",10,IF(P61="Cyclical in an Upturn",5,0))</f>
        <v/>
      </c>
      <c r="R61" s="25" t="inlineStr">
        <is>
          <t>Too Many Players with High ROCE</t>
        </is>
      </c>
      <c r="S61" s="25">
        <f>IF(R61="Monopoly",10,IF(R61="Oligopoly",5,IF(R61="Duopoly that cooperate",10,IF(R61="Duopoly that compete",5,IF(R61="Too many players with High ROCE",5,0)))))</f>
        <v/>
      </c>
      <c r="T61" s="25" t="inlineStr">
        <is>
          <t>No</t>
        </is>
      </c>
      <c r="U61" s="25">
        <f>IF(T61="No",5,0)</f>
        <v/>
      </c>
      <c r="V61" s="25" t="inlineStr">
        <is>
          <t>Tailwind</t>
        </is>
      </c>
      <c r="W61" s="25">
        <f>IF(V61="Tailwind",10,0)</f>
        <v/>
      </c>
      <c r="X61" s="25" t="inlineStr">
        <is>
          <t>Structural (10 Years Consistency)</t>
        </is>
      </c>
      <c r="Y61" s="25">
        <f>IF(X61="Structural (10 Years Consistency)",10,IF(X61="Shallow Cyclical (2 to 3 years growth)",5,0))</f>
        <v/>
      </c>
      <c r="Z61" s="25" t="inlineStr">
        <is>
          <t>No</t>
        </is>
      </c>
      <c r="AA61" s="25">
        <f>IF(Z61="Yes due to Product Mix change or Operating Leverage",10,IF(Z61="Yes, these are peak margins",-5,IF(Z61="No",5,0)))</f>
        <v/>
      </c>
      <c r="AB61" s="25" t="inlineStr">
        <is>
          <t>Stable</t>
        </is>
      </c>
      <c r="AC61" s="25">
        <f>IF(AB61="Stable",10,0)</f>
        <v/>
      </c>
      <c r="AD61" s="25" t="inlineStr">
        <is>
          <t>Yes</t>
        </is>
      </c>
      <c r="AE61" s="25">
        <f>IF(AD61="Yes",10,0)</f>
        <v/>
      </c>
      <c r="AF61" s="25" t="inlineStr">
        <is>
          <t>B2B</t>
        </is>
      </c>
      <c r="AG61" s="25">
        <f>IF(AF61="B2C",10,IF(AF61="B2B",5,0))</f>
        <v/>
      </c>
      <c r="AH61" s="25" t="inlineStr">
        <is>
          <t>Yes</t>
        </is>
      </c>
      <c r="AI61" s="25">
        <f>IF(AH61="Yes",10,0)</f>
        <v/>
      </c>
      <c r="AJ61" s="25" t="inlineStr">
        <is>
          <t>Higher One Time, Lower Annuity</t>
        </is>
      </c>
      <c r="AK61" s="25">
        <f>IF(AJ61="Fully Annuity",10,IF(AJ61="Higher Annuity, Lower One Time",5,IF(AJ61="Higher One Time, Lower Annuity",3,0)))</f>
        <v/>
      </c>
      <c r="AL61" s="25" t="inlineStr">
        <is>
          <t>Good</t>
        </is>
      </c>
      <c r="AM61" s="25">
        <f>IF(AL61="Good",10,0)</f>
        <v/>
      </c>
      <c r="AN61" s="25" t="inlineStr">
        <is>
          <t>Yes for more than 2 years</t>
        </is>
      </c>
      <c r="AO61" s="25">
        <f>IF(AN61="Yes for more than 2 years",10,IF(AN61="Yes only for next 1 to 2 years",5,0))</f>
        <v/>
      </c>
      <c r="AP61" s="25" t="inlineStr">
        <is>
          <t>20 to 40</t>
        </is>
      </c>
      <c r="AQ61" s="25">
        <f>IF(AP61="Above 40",20,IF(AP61="20 to 40",10,IF(AP61="0 to 20",-5,0)))</f>
        <v/>
      </c>
      <c r="AR61" s="25" t="inlineStr">
        <is>
          <t>Between 50 to 75</t>
        </is>
      </c>
      <c r="AS61" s="25">
        <f>IF(AR61="Between 50 to 75",10,IF(AR61="Above 75",0,0))</f>
        <v/>
      </c>
      <c r="AT61" s="25" t="inlineStr">
        <is>
          <t>Stage 2</t>
        </is>
      </c>
      <c r="AU61" s="25">
        <f>IF(AT61="Stage 2",20,IF(AT61="Stage 1",0,IF(AT61="Stage 3",5,IF(AT61="Stage 4",-5,0))))</f>
        <v/>
      </c>
      <c r="AV61" s="25" t="inlineStr">
        <is>
          <t>Positive Trend</t>
        </is>
      </c>
      <c r="AW61" s="25">
        <f>IF(AV61="Positive Trend",20,IF(AV61="Negative Trend",-10,0))</f>
        <v/>
      </c>
      <c r="AX61" s="25" t="inlineStr">
        <is>
          <t>Uptrend</t>
        </is>
      </c>
      <c r="AY61" s="25">
        <f>IF(AX61="Uptrend",10,IF(AX61="Sideways",5,0))</f>
        <v/>
      </c>
      <c r="AZ61" s="25" t="inlineStr">
        <is>
          <t>Uptrend</t>
        </is>
      </c>
      <c r="BA61" s="25">
        <f>IF(AZ61="Uptrend",10,IF(AZ61="Sideways",5,0))</f>
        <v/>
      </c>
      <c r="BB61" s="25" t="inlineStr">
        <is>
          <t>Blue sky scenario</t>
        </is>
      </c>
      <c r="BC61" s="25">
        <f>IF(BB61="Overhead supply in last 2 years in last 2 years",-5,IF(BB61="Close to 52 week high or retracement",5,IF(BB61="Blue sky scenario",10,IF(BB61="Long term Downtrend",-10,0))))</f>
        <v/>
      </c>
      <c r="BD61" s="25" t="inlineStr">
        <is>
          <t>Yes</t>
        </is>
      </c>
      <c r="BE61" s="25">
        <f>IF(BD61="Yes",10,0)</f>
        <v/>
      </c>
      <c r="BF61" s="25" t="inlineStr">
        <is>
          <t>Less than 12%</t>
        </is>
      </c>
      <c r="BG61" s="25">
        <f>IF(BF61="More than 20%",10,IF(BF61="Between 12 to 20%",5,IF(BF61="Less than 12%",0,0)))</f>
        <v/>
      </c>
      <c r="BH61" s="25" t="inlineStr">
        <is>
          <t>No</t>
        </is>
      </c>
      <c r="BI61" s="25">
        <f>IF(BH61="No",10,0)</f>
        <v/>
      </c>
      <c r="BJ61" s="25" t="inlineStr">
        <is>
          <t>No</t>
        </is>
      </c>
      <c r="BK61" s="25">
        <f>IF(BJ61="NO",5,0)</f>
        <v/>
      </c>
      <c r="BL61" s="25" t="inlineStr">
        <is>
          <t>Less than 1.5</t>
        </is>
      </c>
      <c r="BM61" s="25">
        <f>IF(BL61="Above 2",0,IF(BL61="Between 1.5 to 2",5,IF(BL61="Less than 1.5",10,0)))</f>
        <v/>
      </c>
      <c r="BN61" s="25" t="inlineStr">
        <is>
          <t>Less than 50%</t>
        </is>
      </c>
      <c r="BO61" s="25">
        <f>IF(BN61="Above 70%",10,IF(BN61="Between 50% to 70%",5,IF(BN61="Less than 50%",0,IF(BN61="Negative",-10,IF(BN61="Less than 50% and Borrowings are increasing",-5,0)))))</f>
        <v/>
      </c>
      <c r="BP61" s="25" t="inlineStr">
        <is>
          <t>Less than 0.7</t>
        </is>
      </c>
      <c r="BQ61" s="25">
        <f>IF(BP61="More than 1.2",-10,IF(BP61="Between 0.7 to 1.2",0,IF(BP61="Less than 0.7",10,0)))</f>
        <v/>
      </c>
      <c r="BR61" s="25" t="inlineStr">
        <is>
          <t>No</t>
        </is>
      </c>
      <c r="BS61" s="25">
        <f>IF(BR61="Yes",-10,0)</f>
        <v/>
      </c>
      <c r="BT61" s="25" t="inlineStr">
        <is>
          <t>Less than 15%</t>
        </is>
      </c>
      <c r="BU61" s="25">
        <f>IF(BT61="More than 15%",-10,IF(BT61="Less than 15%",10,0))</f>
        <v/>
      </c>
      <c r="BV61" s="25" t="inlineStr">
        <is>
          <t>No</t>
        </is>
      </c>
      <c r="BW61" s="25">
        <f>IF(BV61="Yes, more than 10%",-10,IF(BV61="No",10,0))</f>
        <v/>
      </c>
      <c r="BX61" s="25" t="inlineStr">
        <is>
          <t>18</t>
        </is>
      </c>
      <c r="BY61" s="25">
        <f>IF(BX61&gt;20,10,IF(BX61&gt;=10,5,2))</f>
        <v/>
      </c>
    </row>
    <row r="62">
      <c r="A62" s="25">
        <f>IF(B62=0,"",RANK(B62,$B$2:$B$95,0))</f>
        <v/>
      </c>
      <c r="B62" s="26">
        <f>SUM(Q62,S62,U62,W62,Y62,AA62,AC62,AE62,AG62,AI62,AK62,AM62,AO62,AQ62,AS62,AU62,AW62,AY62,BA62,BC62,BE62,BG62,BI62,BK62,BM62,BO62,BQ62,BS62,BU62,BW62,BY62)</f>
        <v/>
      </c>
      <c r="C62" s="25" t="inlineStr">
        <is>
          <t>SENORES</t>
        </is>
      </c>
      <c r="D62" s="25" t="inlineStr">
        <is>
          <t>Senores Pharmaceuticals Ltd</t>
        </is>
      </c>
      <c r="E62" s="25" t="inlineStr">
        <is>
          <t>Healthcare</t>
        </is>
      </c>
      <c r="F62" s="25" t="inlineStr">
        <is>
          <t>Pharma - API</t>
        </is>
      </c>
      <c r="G62" s="25" t="inlineStr">
        <is>
          <t>smallcap</t>
        </is>
      </c>
      <c r="H62" s="26" t="n">
        <v>4759.64</v>
      </c>
      <c r="I62" s="26" t="n">
        <v>1033.5</v>
      </c>
      <c r="J62" s="26" t="n">
        <v>-3.21</v>
      </c>
      <c r="K62" s="26" t="n">
        <v>0</v>
      </c>
      <c r="L62" s="26" t="n">
        <v>65.64</v>
      </c>
      <c r="M62" s="26" t="n">
        <v>36.88</v>
      </c>
      <c r="N62" s="26" t="n">
        <v>869.3</v>
      </c>
      <c r="O62" s="25" t="inlineStr">
        <is>
          <t>Earnings / Momentum Support</t>
        </is>
      </c>
      <c r="P62" s="25" t="inlineStr">
        <is>
          <t>Growing Industry</t>
        </is>
      </c>
      <c r="Q62" s="25">
        <f>IF(P62="Growing Industry",10,IF(P62="Cyclical in an Upturn",5,0))</f>
        <v/>
      </c>
      <c r="R62" s="25" t="inlineStr">
        <is>
          <t>Too Many Players with High ROCE</t>
        </is>
      </c>
      <c r="S62" s="25">
        <f>IF(R62="Monopoly",10,IF(R62="Oligopoly",5,IF(R62="Duopoly that cooperate",10,IF(R62="Duopoly that compete",5,IF(R62="Too many players with High ROCE",5,0)))))</f>
        <v/>
      </c>
      <c r="T62" s="25" t="inlineStr">
        <is>
          <t>Yes</t>
        </is>
      </c>
      <c r="U62" s="25">
        <f>IF(T62="No",5,0)</f>
        <v/>
      </c>
      <c r="V62" s="25" t="inlineStr">
        <is>
          <t>Tailwind</t>
        </is>
      </c>
      <c r="W62" s="25">
        <f>IF(V62="Tailwind",10,0)</f>
        <v/>
      </c>
      <c r="X62" s="25" t="inlineStr">
        <is>
          <t>Structural (10 Years Consistency)</t>
        </is>
      </c>
      <c r="Y62" s="25">
        <f>IF(X62="Structural (10 Years Consistency)",10,IF(X62="Shallow Cyclical (2 to 3 years growth)",5,0))</f>
        <v/>
      </c>
      <c r="Z62" s="25" t="inlineStr">
        <is>
          <t>No</t>
        </is>
      </c>
      <c r="AA62" s="25">
        <f>IF(Z62="Yes due to Product Mix change or Operating Leverage",10,IF(Z62="Yes, these are peak margins",-5,IF(Z62="No",5,0)))</f>
        <v/>
      </c>
      <c r="AB62" s="25" t="inlineStr">
        <is>
          <t>Stable</t>
        </is>
      </c>
      <c r="AC62" s="25">
        <f>IF(AB62="Stable",10,0)</f>
        <v/>
      </c>
      <c r="AD62" s="25" t="inlineStr">
        <is>
          <t>Yes</t>
        </is>
      </c>
      <c r="AE62" s="25">
        <f>IF(AD62="Yes",10,0)</f>
        <v/>
      </c>
      <c r="AF62" s="25" t="inlineStr">
        <is>
          <t>B2B</t>
        </is>
      </c>
      <c r="AG62" s="25">
        <f>IF(AF62="B2C",10,IF(AF62="B2B",5,0))</f>
        <v/>
      </c>
      <c r="AH62" s="25" t="inlineStr">
        <is>
          <t>No</t>
        </is>
      </c>
      <c r="AI62" s="25">
        <f>IF(AH62="Yes",10,0)</f>
        <v/>
      </c>
      <c r="AJ62" s="25" t="inlineStr">
        <is>
          <t>Higher Annuity, Lower One Time</t>
        </is>
      </c>
      <c r="AK62" s="25">
        <f>IF(AJ62="Fully Annuity",10,IF(AJ62="Higher Annuity, Lower One Time",5,IF(AJ62="Higher One Time, Lower Annuity",3,0)))</f>
        <v/>
      </c>
      <c r="AL62" s="25" t="inlineStr">
        <is>
          <t>Good</t>
        </is>
      </c>
      <c r="AM62" s="25">
        <f>IF(AL62="Good",10,0)</f>
        <v/>
      </c>
      <c r="AN62" s="25" t="inlineStr">
        <is>
          <t>Yes for more than 2 years</t>
        </is>
      </c>
      <c r="AO62" s="25">
        <f>IF(AN62="Yes for more than 2 years",10,IF(AN62="Yes only for next 1 to 2 years",5,0))</f>
        <v/>
      </c>
      <c r="AP62" s="25" t="inlineStr">
        <is>
          <t>20 to 40</t>
        </is>
      </c>
      <c r="AQ62" s="25">
        <f>IF(AP62="Above 40",20,IF(AP62="20 to 40",10,IF(AP62="0 to 20",-5,0)))</f>
        <v/>
      </c>
      <c r="AR62" s="25" t="inlineStr">
        <is>
          <t>Between 50 to 75</t>
        </is>
      </c>
      <c r="AS62" s="25">
        <f>IF(AR62="Between 50 to 75",10,IF(AR62="Above 75",0,0))</f>
        <v/>
      </c>
      <c r="AT62" s="25" t="inlineStr">
        <is>
          <t>Stage 2</t>
        </is>
      </c>
      <c r="AU62" s="25">
        <f>IF(AT62="Stage 2",20,IF(AT62="Stage 1",0,IF(AT62="Stage 3",5,IF(AT62="Stage 4",-5,0))))</f>
        <v/>
      </c>
      <c r="AV62" s="25" t="inlineStr">
        <is>
          <t>Positive Trend</t>
        </is>
      </c>
      <c r="AW62" s="25">
        <f>IF(AV62="Positive Trend",20,IF(AV62="Negative Trend",-10,0))</f>
        <v/>
      </c>
      <c r="AX62" s="25" t="inlineStr">
        <is>
          <t>Uptrend</t>
        </is>
      </c>
      <c r="AY62" s="25">
        <f>IF(AX62="Uptrend",10,IF(AX62="Sideways",5,0))</f>
        <v/>
      </c>
      <c r="AZ62" s="25" t="inlineStr">
        <is>
          <t>Uptrend</t>
        </is>
      </c>
      <c r="BA62" s="25">
        <f>IF(AZ62="Uptrend",10,IF(AZ62="Sideways",5,0))</f>
        <v/>
      </c>
      <c r="BB62" s="25" t="inlineStr">
        <is>
          <t>Close to 52 week high or retracement</t>
        </is>
      </c>
      <c r="BC62" s="25">
        <f>IF(BB62="Overhead supply in last 2 years in last 2 years",-5,IF(BB62="Close to 52 week high or retracement",5,IF(BB62="Blue sky scenario",10,IF(BB62="Long term Downtrend",-10,0))))</f>
        <v/>
      </c>
      <c r="BD62" s="25" t="inlineStr">
        <is>
          <t>Yes</t>
        </is>
      </c>
      <c r="BE62" s="25">
        <f>IF(BD62="Yes",10,0)</f>
        <v/>
      </c>
      <c r="BF62" s="25" t="inlineStr">
        <is>
          <t>More than 20%</t>
        </is>
      </c>
      <c r="BG62" s="25">
        <f>IF(BF62="More than 20%",10,IF(BF62="Between 12 to 20%",5,IF(BF62="Less than 12%",0,0)))</f>
        <v/>
      </c>
      <c r="BH62" s="25" t="inlineStr">
        <is>
          <t>No</t>
        </is>
      </c>
      <c r="BI62" s="25">
        <f>IF(BH62="No",10,0)</f>
        <v/>
      </c>
      <c r="BJ62" s="25" t="inlineStr">
        <is>
          <t>No</t>
        </is>
      </c>
      <c r="BK62" s="25">
        <f>IF(BJ62="NO",5,0)</f>
        <v/>
      </c>
      <c r="BL62" s="25" t="inlineStr">
        <is>
          <t>Less than 1.5</t>
        </is>
      </c>
      <c r="BM62" s="25">
        <f>IF(BL62="Above 2",0,IF(BL62="Between 1.5 to 2",5,IF(BL62="Less than 1.5",10,0)))</f>
        <v/>
      </c>
      <c r="BN62" s="25" t="inlineStr">
        <is>
          <t>Less than 50%</t>
        </is>
      </c>
      <c r="BO62" s="25">
        <f>IF(BN62="Above 70%",10,IF(BN62="Between 50% to 70%",5,IF(BN62="Less than 50%",0,IF(BN62="Negative",-10,IF(BN62="Less than 50% and Borrowings are increasing",-5,0)))))</f>
        <v/>
      </c>
      <c r="BP62" s="25" t="inlineStr">
        <is>
          <t>Less than 0.7</t>
        </is>
      </c>
      <c r="BQ62" s="25">
        <f>IF(BP62="More than 1.2",-10,IF(BP62="Between 0.7 to 1.2",0,IF(BP62="Less than 0.7",10,0)))</f>
        <v/>
      </c>
      <c r="BR62" s="25" t="inlineStr">
        <is>
          <t>No</t>
        </is>
      </c>
      <c r="BS62" s="25">
        <f>IF(BR62="Yes",-10,0)</f>
        <v/>
      </c>
      <c r="BT62" s="25" t="inlineStr">
        <is>
          <t>Less than 15%</t>
        </is>
      </c>
      <c r="BU62" s="25">
        <f>IF(BT62="More than 15%",-10,IF(BT62="Less than 15%",10,0))</f>
        <v/>
      </c>
      <c r="BV62" s="25" t="inlineStr">
        <is>
          <t>No</t>
        </is>
      </c>
      <c r="BW62" s="25">
        <f>IF(BV62="Yes, more than 10%",-10,IF(BV62="No",10,0))</f>
        <v/>
      </c>
      <c r="BX62" s="25" t="inlineStr">
        <is>
          <t>21</t>
        </is>
      </c>
      <c r="BY62" s="25">
        <f>IF(BX62&gt;20,10,IF(BX62&gt;=10,5,2))</f>
        <v/>
      </c>
    </row>
    <row r="63">
      <c r="A63" s="25">
        <f>IF(B63=0,"",RANK(B63,$B$2:$B$95,0))</f>
        <v/>
      </c>
      <c r="B63" s="26">
        <f>SUM(Q63,S63,U63,W63,Y63,AA63,AC63,AE63,AG63,AI63,AK63,AM63,AO63,AQ63,AS63,AU63,AW63,AY63,BA63,BC63,BE63,BG63,BI63,BK63,BM63,BO63,BQ63,BS63,BU63,BW63,BY63)</f>
        <v/>
      </c>
      <c r="C63" s="25" t="inlineStr">
        <is>
          <t>CUPID</t>
        </is>
      </c>
      <c r="D63" s="25" t="inlineStr">
        <is>
          <t>Cupid Ltd</t>
        </is>
      </c>
      <c r="E63" s="25" t="inlineStr">
        <is>
          <t>fmcg</t>
        </is>
      </c>
      <c r="F63" s="25" t="inlineStr">
        <is>
          <t>Contraceptives/Protectives</t>
        </is>
      </c>
      <c r="G63" s="25" t="inlineStr">
        <is>
          <t>midcap</t>
        </is>
      </c>
      <c r="H63" s="26" t="n">
        <v>17258.72</v>
      </c>
      <c r="I63" s="26" t="n">
        <v>128.35</v>
      </c>
      <c r="J63" s="26" t="n">
        <v>-0.57</v>
      </c>
      <c r="K63" s="26" t="n">
        <v>0</v>
      </c>
      <c r="L63" s="26" t="n">
        <v>73.01000000000001</v>
      </c>
      <c r="M63" s="26" t="n">
        <v>40.4</v>
      </c>
      <c r="N63" s="26" t="n">
        <v>101.97</v>
      </c>
      <c r="O63" s="25" t="inlineStr">
        <is>
          <t>Near 52W High Breakout</t>
        </is>
      </c>
      <c r="P63" s="25" t="inlineStr">
        <is>
          <t>Growing Industry</t>
        </is>
      </c>
      <c r="Q63" s="25">
        <f>IF(P63="Growing Industry",10,IF(P63="Cyclical in an Upturn",5,0))</f>
        <v/>
      </c>
      <c r="R63" s="25" t="inlineStr">
        <is>
          <t>Too Many Players with High ROCE</t>
        </is>
      </c>
      <c r="S63" s="25">
        <f>IF(R63="Monopoly",10,IF(R63="Oligopoly",5,IF(R63="Duopoly that cooperate",10,IF(R63="Duopoly that compete",5,IF(R63="Too many players with High ROCE",5,0)))))</f>
        <v/>
      </c>
      <c r="T63" s="25" t="inlineStr">
        <is>
          <t>No</t>
        </is>
      </c>
      <c r="U63" s="25">
        <f>IF(T63="No",5,0)</f>
        <v/>
      </c>
      <c r="V63" s="25" t="inlineStr">
        <is>
          <t>Tailwind</t>
        </is>
      </c>
      <c r="W63" s="25">
        <f>IF(V63="Tailwind",10,0)</f>
        <v/>
      </c>
      <c r="X63" s="25" t="inlineStr">
        <is>
          <t>Structural (10 Years Consistency)</t>
        </is>
      </c>
      <c r="Y63" s="25">
        <f>IF(X63="Structural (10 Years Consistency)",10,IF(X63="Shallow Cyclical (2 to 3 years growth)",5,0))</f>
        <v/>
      </c>
      <c r="Z63" s="25" t="inlineStr">
        <is>
          <t>No</t>
        </is>
      </c>
      <c r="AA63" s="25">
        <f>IF(Z63="Yes due to Product Mix change or Operating Leverage",10,IF(Z63="Yes, these are peak margins",-5,IF(Z63="No",5,0)))</f>
        <v/>
      </c>
      <c r="AB63" s="25" t="inlineStr">
        <is>
          <t>Stable</t>
        </is>
      </c>
      <c r="AC63" s="25">
        <f>IF(AB63="Stable",10,0)</f>
        <v/>
      </c>
      <c r="AD63" s="25" t="inlineStr">
        <is>
          <t>Yes</t>
        </is>
      </c>
      <c r="AE63" s="25">
        <f>IF(AD63="Yes",10,0)</f>
        <v/>
      </c>
      <c r="AF63" s="25" t="inlineStr">
        <is>
          <t>B2C</t>
        </is>
      </c>
      <c r="AG63" s="25">
        <f>IF(AF63="B2C",10,IF(AF63="B2B",5,0))</f>
        <v/>
      </c>
      <c r="AH63" s="25" t="inlineStr">
        <is>
          <t>Yes</t>
        </is>
      </c>
      <c r="AI63" s="25">
        <f>IF(AH63="Yes",10,0)</f>
        <v/>
      </c>
      <c r="AJ63" s="25" t="inlineStr">
        <is>
          <t>Higher Annuity, Lower One Time</t>
        </is>
      </c>
      <c r="AK63" s="25">
        <f>IF(AJ63="Fully Annuity",10,IF(AJ63="Higher Annuity, Lower One Time",5,IF(AJ63="Higher One Time, Lower Annuity",3,0)))</f>
        <v/>
      </c>
      <c r="AL63" s="25" t="inlineStr">
        <is>
          <t>Good</t>
        </is>
      </c>
      <c r="AM63" s="25">
        <f>IF(AL63="Good",10,0)</f>
        <v/>
      </c>
      <c r="AN63" s="25" t="inlineStr">
        <is>
          <t>Yes for more than 2 years</t>
        </is>
      </c>
      <c r="AO63" s="25">
        <f>IF(AN63="Yes for more than 2 years",10,IF(AN63="Yes only for next 1 to 2 years",5,0))</f>
        <v/>
      </c>
      <c r="AP63" s="25" t="inlineStr">
        <is>
          <t>Above 40</t>
        </is>
      </c>
      <c r="AQ63" s="25">
        <f>IF(AP63="Above 40",20,IF(AP63="20 to 40",10,IF(AP63="0 to 20",-5,0)))</f>
        <v/>
      </c>
      <c r="AR63" s="25" t="inlineStr">
        <is>
          <t>Between 50 to 75</t>
        </is>
      </c>
      <c r="AS63" s="25">
        <f>IF(AR63="Between 50 to 75",10,IF(AR63="Above 75",0,0))</f>
        <v/>
      </c>
      <c r="AT63" s="25" t="inlineStr">
        <is>
          <t>Stage 2</t>
        </is>
      </c>
      <c r="AU63" s="25">
        <f>IF(AT63="Stage 2",20,IF(AT63="Stage 1",0,IF(AT63="Stage 3",5,IF(AT63="Stage 4",-5,0))))</f>
        <v/>
      </c>
      <c r="AV63" s="25" t="inlineStr">
        <is>
          <t>Negative Trend</t>
        </is>
      </c>
      <c r="AW63" s="25">
        <f>IF(AV63="Positive Trend",20,IF(AV63="Negative Trend",-10,0))</f>
        <v/>
      </c>
      <c r="AX63" s="25" t="inlineStr">
        <is>
          <t>Uptrend</t>
        </is>
      </c>
      <c r="AY63" s="25">
        <f>IF(AX63="Uptrend",10,IF(AX63="Sideways",5,0))</f>
        <v/>
      </c>
      <c r="AZ63" s="25" t="inlineStr">
        <is>
          <t>Uptrend</t>
        </is>
      </c>
      <c r="BA63" s="25">
        <f>IF(AZ63="Uptrend",10,IF(AZ63="Sideways",5,0))</f>
        <v/>
      </c>
      <c r="BB63" s="25" t="inlineStr">
        <is>
          <t>Blue sky scenario</t>
        </is>
      </c>
      <c r="BC63" s="25">
        <f>IF(BB63="Overhead supply in last 2 years in last 2 years",-5,IF(BB63="Close to 52 week high or retracement",5,IF(BB63="Blue sky scenario",10,IF(BB63="Long term Downtrend",-10,0))))</f>
        <v/>
      </c>
      <c r="BD63" s="25" t="inlineStr">
        <is>
          <t>Yes</t>
        </is>
      </c>
      <c r="BE63" s="25">
        <f>IF(BD63="Yes",10,0)</f>
        <v/>
      </c>
      <c r="BF63" s="25" t="inlineStr">
        <is>
          <t>More than 20%</t>
        </is>
      </c>
      <c r="BG63" s="25">
        <f>IF(BF63="More than 20%",10,IF(BF63="Between 12 to 20%",5,IF(BF63="Less than 12%",0,0)))</f>
        <v/>
      </c>
      <c r="BH63" s="25" t="inlineStr">
        <is>
          <t>No</t>
        </is>
      </c>
      <c r="BI63" s="25">
        <f>IF(BH63="No",10,0)</f>
        <v/>
      </c>
      <c r="BJ63" s="25" t="inlineStr">
        <is>
          <t>Yes</t>
        </is>
      </c>
      <c r="BK63" s="25">
        <f>IF(BJ63="NO",5,0)</f>
        <v/>
      </c>
      <c r="BL63" s="25" t="inlineStr">
        <is>
          <t>Less than 1.5</t>
        </is>
      </c>
      <c r="BM63" s="25">
        <f>IF(BL63="Above 2",0,IF(BL63="Between 1.5 to 2",5,IF(BL63="Less than 1.5",10,0)))</f>
        <v/>
      </c>
      <c r="BN63" s="25" t="inlineStr">
        <is>
          <t>Less than 50%</t>
        </is>
      </c>
      <c r="BO63" s="25">
        <f>IF(BN63="Above 70%",10,IF(BN63="Between 50% to 70%",5,IF(BN63="Less than 50%",0,IF(BN63="Negative",-10,IF(BN63="Less than 50% and Borrowings are increasing",-5,0)))))</f>
        <v/>
      </c>
      <c r="BP63" s="25" t="inlineStr">
        <is>
          <t>Less than 0.7</t>
        </is>
      </c>
      <c r="BQ63" s="25">
        <f>IF(BP63="More than 1.2",-10,IF(BP63="Between 0.7 to 1.2",0,IF(BP63="Less than 0.7",10,0)))</f>
        <v/>
      </c>
      <c r="BR63" s="25" t="inlineStr">
        <is>
          <t>No</t>
        </is>
      </c>
      <c r="BS63" s="25">
        <f>IF(BR63="Yes",-10,0)</f>
        <v/>
      </c>
      <c r="BT63" s="25" t="inlineStr">
        <is>
          <t>Less than 15%</t>
        </is>
      </c>
      <c r="BU63" s="25">
        <f>IF(BT63="More than 15%",-10,IF(BT63="Less than 15%",10,0))</f>
        <v/>
      </c>
      <c r="BV63" s="25" t="inlineStr">
        <is>
          <t>No</t>
        </is>
      </c>
      <c r="BW63" s="25">
        <f>IF(BV63="Yes, more than 10%",-10,IF(BV63="No",10,0))</f>
        <v/>
      </c>
      <c r="BX63" s="25" t="inlineStr">
        <is>
          <t>20</t>
        </is>
      </c>
      <c r="BY63" s="25">
        <f>IF(BX63&gt;20,10,IF(BX63&gt;=10,5,2))</f>
        <v/>
      </c>
    </row>
    <row r="64">
      <c r="A64" s="25">
        <f>IF(B64=0,"",RANK(B64,$B$2:$B$95,0))</f>
        <v/>
      </c>
      <c r="B64" s="26">
        <f>SUM(Q64,S64,U64,W64,Y64,AA64,AC64,AE64,AG64,AI64,AK64,AM64,AO64,AQ64,AS64,AU64,AW64,AY64,BA64,BC64,BE64,BG64,BI64,BK64,BM64,BO64,BQ64,BS64,BU64,BW64,BY64)</f>
        <v/>
      </c>
      <c r="C64" s="25" t="inlineStr">
        <is>
          <t>SKYGOLD</t>
        </is>
      </c>
      <c r="D64" s="25" t="inlineStr">
        <is>
          <t>Sky Gold &amp; Diamonds Ltd</t>
        </is>
      </c>
      <c r="E64" s="25" t="inlineStr">
        <is>
          <t>consumer discretionary</t>
        </is>
      </c>
      <c r="F64" s="25" t="inlineStr">
        <is>
          <t>Diamond, Gems &amp; Jewellery</t>
        </is>
      </c>
      <c r="G64" s="25" t="inlineStr">
        <is>
          <t>midcap</t>
        </is>
      </c>
      <c r="H64" s="26" t="n">
        <v>8668.290000000001</v>
      </c>
      <c r="I64" s="26" t="n">
        <v>559.7</v>
      </c>
      <c r="J64" s="26" t="n">
        <v>7.22</v>
      </c>
      <c r="K64" s="26" t="n">
        <v>0</v>
      </c>
      <c r="L64" s="26" t="n">
        <v>69.42</v>
      </c>
      <c r="M64" s="26" t="n">
        <v>31.12</v>
      </c>
      <c r="N64" s="26" t="n">
        <v>407.73</v>
      </c>
      <c r="O64" s="25" t="inlineStr">
        <is>
          <t>Near 52W High Breakout</t>
        </is>
      </c>
      <c r="P64" s="25" t="inlineStr">
        <is>
          <t>Growing Industry</t>
        </is>
      </c>
      <c r="Q64" s="25">
        <f>IF(P64="Growing Industry",10,IF(P64="Cyclical in an Upturn",5,0))</f>
        <v/>
      </c>
      <c r="R64" s="25" t="inlineStr">
        <is>
          <t>Too Many Players with High ROCE</t>
        </is>
      </c>
      <c r="S64" s="25">
        <f>IF(R64="Monopoly",10,IF(R64="Oligopoly",5,IF(R64="Duopoly that cooperate",10,IF(R64="Duopoly that compete",5,IF(R64="Too many players with High ROCE",5,0)))))</f>
        <v/>
      </c>
      <c r="T64" s="25" t="inlineStr">
        <is>
          <t>No</t>
        </is>
      </c>
      <c r="U64" s="25">
        <f>IF(T64="No",5,0)</f>
        <v/>
      </c>
      <c r="V64" s="25" t="inlineStr">
        <is>
          <t>Tailwind</t>
        </is>
      </c>
      <c r="W64" s="25">
        <f>IF(V64="Tailwind",10,0)</f>
        <v/>
      </c>
      <c r="X64" s="25" t="inlineStr">
        <is>
          <t>Structural (10 Years Consistency)</t>
        </is>
      </c>
      <c r="Y64" s="25">
        <f>IF(X64="Structural (10 Years Consistency)",10,IF(X64="Shallow Cyclical (2 to 3 years growth)",5,0))</f>
        <v/>
      </c>
      <c r="Z64" s="25" t="inlineStr">
        <is>
          <t>No</t>
        </is>
      </c>
      <c r="AA64" s="25">
        <f>IF(Z64="Yes due to Product Mix change or Operating Leverage",10,IF(Z64="Yes, these are peak margins",-5,IF(Z64="No",5,0)))</f>
        <v/>
      </c>
      <c r="AB64" s="25" t="inlineStr">
        <is>
          <t>Stable</t>
        </is>
      </c>
      <c r="AC64" s="25">
        <f>IF(AB64="Stable",10,0)</f>
        <v/>
      </c>
      <c r="AD64" s="25" t="inlineStr">
        <is>
          <t>Yes</t>
        </is>
      </c>
      <c r="AE64" s="25">
        <f>IF(AD64="Yes",10,0)</f>
        <v/>
      </c>
      <c r="AF64" s="25" t="inlineStr">
        <is>
          <t>B2B</t>
        </is>
      </c>
      <c r="AG64" s="25">
        <f>IF(AF64="B2C",10,IF(AF64="B2B",5,0))</f>
        <v/>
      </c>
      <c r="AH64" s="25" t="inlineStr">
        <is>
          <t>Yes</t>
        </is>
      </c>
      <c r="AI64" s="25">
        <f>IF(AH64="Yes",10,0)</f>
        <v/>
      </c>
      <c r="AJ64" s="25" t="inlineStr">
        <is>
          <t>Higher One Time, Lower Annuity</t>
        </is>
      </c>
      <c r="AK64" s="25">
        <f>IF(AJ64="Fully Annuity",10,IF(AJ64="Higher Annuity, Lower One Time",5,IF(AJ64="Higher One Time, Lower Annuity",3,0)))</f>
        <v/>
      </c>
      <c r="AL64" s="25" t="inlineStr">
        <is>
          <t>Good</t>
        </is>
      </c>
      <c r="AM64" s="25">
        <f>IF(AL64="Good",10,0)</f>
        <v/>
      </c>
      <c r="AN64" s="25" t="inlineStr">
        <is>
          <t>Yes for more than 2 years</t>
        </is>
      </c>
      <c r="AO64" s="25">
        <f>IF(AN64="Yes for more than 2 years",10,IF(AN64="Yes only for next 1 to 2 years",5,0))</f>
        <v/>
      </c>
      <c r="AP64" s="25" t="inlineStr">
        <is>
          <t>20 to 40</t>
        </is>
      </c>
      <c r="AQ64" s="25">
        <f>IF(AP64="Above 40",20,IF(AP64="20 to 40",10,IF(AP64="0 to 20",-5,0)))</f>
        <v/>
      </c>
      <c r="AR64" s="25" t="inlineStr">
        <is>
          <t>Between 50 to 75</t>
        </is>
      </c>
      <c r="AS64" s="25">
        <f>IF(AR64="Between 50 to 75",10,IF(AR64="Above 75",0,0))</f>
        <v/>
      </c>
      <c r="AT64" s="25" t="inlineStr">
        <is>
          <t>Stage 2</t>
        </is>
      </c>
      <c r="AU64" s="25">
        <f>IF(AT64="Stage 2",20,IF(AT64="Stage 1",0,IF(AT64="Stage 3",5,IF(AT64="Stage 4",-5,0))))</f>
        <v/>
      </c>
      <c r="AV64" s="25" t="inlineStr">
        <is>
          <t>Positive Trend</t>
        </is>
      </c>
      <c r="AW64" s="25">
        <f>IF(AV64="Positive Trend",20,IF(AV64="Negative Trend",-10,0))</f>
        <v/>
      </c>
      <c r="AX64" s="25" t="inlineStr">
        <is>
          <t>Uptrend</t>
        </is>
      </c>
      <c r="AY64" s="25">
        <f>IF(AX64="Uptrend",10,IF(AX64="Sideways",5,0))</f>
        <v/>
      </c>
      <c r="AZ64" s="25" t="inlineStr">
        <is>
          <t>Uptrend</t>
        </is>
      </c>
      <c r="BA64" s="25">
        <f>IF(AZ64="Uptrend",10,IF(AZ64="Sideways",5,0))</f>
        <v/>
      </c>
      <c r="BB64" s="25" t="inlineStr">
        <is>
          <t>Blue sky scenario</t>
        </is>
      </c>
      <c r="BC64" s="25">
        <f>IF(BB64="Overhead supply in last 2 years in last 2 years",-5,IF(BB64="Close to 52 week high or retracement",5,IF(BB64="Blue sky scenario",10,IF(BB64="Long term Downtrend",-10,0))))</f>
        <v/>
      </c>
      <c r="BD64" s="25" t="inlineStr">
        <is>
          <t>Yes</t>
        </is>
      </c>
      <c r="BE64" s="25">
        <f>IF(BD64="Yes",10,0)</f>
        <v/>
      </c>
      <c r="BF64" s="25" t="inlineStr">
        <is>
          <t>More than 20%</t>
        </is>
      </c>
      <c r="BG64" s="25">
        <f>IF(BF64="More than 20%",10,IF(BF64="Between 12 to 20%",5,IF(BF64="Less than 12%",0,0)))</f>
        <v/>
      </c>
      <c r="BH64" s="25" t="inlineStr">
        <is>
          <t>No</t>
        </is>
      </c>
      <c r="BI64" s="25">
        <f>IF(BH64="No",10,0)</f>
        <v/>
      </c>
      <c r="BJ64" s="25" t="inlineStr">
        <is>
          <t>No</t>
        </is>
      </c>
      <c r="BK64" s="25">
        <f>IF(BJ64="NO",5,0)</f>
        <v/>
      </c>
      <c r="BL64" s="25" t="inlineStr">
        <is>
          <t>Less than 1.5</t>
        </is>
      </c>
      <c r="BM64" s="25">
        <f>IF(BL64="Above 2",0,IF(BL64="Between 1.5 to 2",5,IF(BL64="Less than 1.5",10,0)))</f>
        <v/>
      </c>
      <c r="BN64" s="25" t="inlineStr">
        <is>
          <t>Negative</t>
        </is>
      </c>
      <c r="BO64" s="25">
        <f>IF(BN64="Above 70%",10,IF(BN64="Between 50% to 70%",5,IF(BN64="Less than 50%",0,IF(BN64="Negative",-10,IF(BN64="Less than 50% and Borrowings are increasing",-5,0)))))</f>
        <v/>
      </c>
      <c r="BP64" s="25" t="inlineStr">
        <is>
          <t>Between 0.7 to 1.2</t>
        </is>
      </c>
      <c r="BQ64" s="25">
        <f>IF(BP64="More than 1.2",-10,IF(BP64="Between 0.7 to 1.2",0,IF(BP64="Less than 0.7",10,0)))</f>
        <v/>
      </c>
      <c r="BR64" s="25" t="inlineStr">
        <is>
          <t>No</t>
        </is>
      </c>
      <c r="BS64" s="25">
        <f>IF(BR64="Yes",-10,0)</f>
        <v/>
      </c>
      <c r="BT64" s="25" t="inlineStr">
        <is>
          <t>Less than 15%</t>
        </is>
      </c>
      <c r="BU64" s="25">
        <f>IF(BT64="More than 15%",-10,IF(BT64="Less than 15%",10,0))</f>
        <v/>
      </c>
      <c r="BV64" s="25" t="inlineStr">
        <is>
          <t>No</t>
        </is>
      </c>
      <c r="BW64" s="25">
        <f>IF(BV64="Yes, more than 10%",-10,IF(BV64="No",10,0))</f>
        <v/>
      </c>
      <c r="BX64" s="25" t="inlineStr">
        <is>
          <t>31</t>
        </is>
      </c>
      <c r="BY64" s="25">
        <f>IF(BX64&gt;20,10,IF(BX64&gt;=10,5,2))</f>
        <v/>
      </c>
    </row>
    <row r="65">
      <c r="A65" s="25">
        <f>IF(B65=0,"",RANK(B65,$B$2:$B$95,0))</f>
        <v/>
      </c>
      <c r="B65" s="26">
        <f>SUM(Q65,S65,U65,W65,Y65,AA65,AC65,AE65,AG65,AI65,AK65,AM65,AO65,AQ65,AS65,AU65,AW65,AY65,BA65,BC65,BE65,BG65,BI65,BK65,BM65,BO65,BQ65,BS65,BU65,BW65,BY65)</f>
        <v/>
      </c>
      <c r="C65" s="25" t="inlineStr">
        <is>
          <t>FCL</t>
        </is>
      </c>
      <c r="D65" s="25" t="inlineStr">
        <is>
          <t>Fineotex Chemical Ltd</t>
        </is>
      </c>
      <c r="E65" s="25" t="inlineStr">
        <is>
          <t>chemicals</t>
        </is>
      </c>
      <c r="F65" s="25" t="inlineStr">
        <is>
          <t>Speciality Chemicals</t>
        </is>
      </c>
      <c r="G65" s="25" t="inlineStr">
        <is>
          <t>smallcap</t>
        </is>
      </c>
      <c r="H65" s="26" t="n">
        <v>4932.83</v>
      </c>
      <c r="I65" s="26" t="n">
        <v>42.36</v>
      </c>
      <c r="J65" s="26" t="n">
        <v>3.6</v>
      </c>
      <c r="K65" s="26" t="n">
        <v>0</v>
      </c>
      <c r="L65" s="26" t="n">
        <v>77.95999999999999</v>
      </c>
      <c r="M65" s="26" t="n">
        <v>27.63</v>
      </c>
      <c r="N65" s="26" t="n">
        <v>32.1</v>
      </c>
      <c r="O65" s="25" t="inlineStr">
        <is>
          <t>Near 52W High Breakout</t>
        </is>
      </c>
      <c r="P65" s="25" t="inlineStr">
        <is>
          <t>Growing Industry</t>
        </is>
      </c>
      <c r="Q65" s="25">
        <f>IF(P65="Growing Industry",10,IF(P65="Cyclical in an Upturn",5,0))</f>
        <v/>
      </c>
      <c r="R65" s="25" t="inlineStr">
        <is>
          <t>Too Many Players with High ROCE</t>
        </is>
      </c>
      <c r="S65" s="25">
        <f>IF(R65="Monopoly",10,IF(R65="Oligopoly",5,IF(R65="Duopoly that cooperate",10,IF(R65="Duopoly that compete",5,IF(R65="Too many players with High ROCE",5,0)))))</f>
        <v/>
      </c>
      <c r="T65" s="25" t="inlineStr">
        <is>
          <t>No</t>
        </is>
      </c>
      <c r="U65" s="25">
        <f>IF(T65="No",5,0)</f>
        <v/>
      </c>
      <c r="V65" s="25" t="inlineStr">
        <is>
          <t>Tailwind</t>
        </is>
      </c>
      <c r="W65" s="25">
        <f>IF(V65="Tailwind",10,0)</f>
        <v/>
      </c>
      <c r="X65" s="25" t="inlineStr">
        <is>
          <t>Structural (10 Years Consistency)</t>
        </is>
      </c>
      <c r="Y65" s="25">
        <f>IF(X65="Structural (10 Years Consistency)",10,IF(X65="Shallow Cyclical (2 to 3 years growth)",5,0))</f>
        <v/>
      </c>
      <c r="Z65" s="25" t="inlineStr">
        <is>
          <t>No</t>
        </is>
      </c>
      <c r="AA65" s="25">
        <f>IF(Z65="Yes due to Product Mix change or Operating Leverage",10,IF(Z65="Yes, these are peak margins",-5,IF(Z65="No",5,0)))</f>
        <v/>
      </c>
      <c r="AB65" s="25" t="inlineStr">
        <is>
          <t>Stable</t>
        </is>
      </c>
      <c r="AC65" s="25">
        <f>IF(AB65="Stable",10,0)</f>
        <v/>
      </c>
      <c r="AD65" s="25" t="inlineStr">
        <is>
          <t>Yes</t>
        </is>
      </c>
      <c r="AE65" s="25">
        <f>IF(AD65="Yes",10,0)</f>
        <v/>
      </c>
      <c r="AF65" s="25" t="inlineStr">
        <is>
          <t>B2B</t>
        </is>
      </c>
      <c r="AG65" s="25">
        <f>IF(AF65="B2C",10,IF(AF65="B2B",5,0))</f>
        <v/>
      </c>
      <c r="AH65" s="25" t="inlineStr">
        <is>
          <t>Yes</t>
        </is>
      </c>
      <c r="AI65" s="25">
        <f>IF(AH65="Yes",10,0)</f>
        <v/>
      </c>
      <c r="AJ65" s="25" t="inlineStr">
        <is>
          <t>Higher One Time, Lower Annuity</t>
        </is>
      </c>
      <c r="AK65" s="25">
        <f>IF(AJ65="Fully Annuity",10,IF(AJ65="Higher Annuity, Lower One Time",5,IF(AJ65="Higher One Time, Lower Annuity",3,0)))</f>
        <v/>
      </c>
      <c r="AL65" s="25" t="inlineStr">
        <is>
          <t>Good</t>
        </is>
      </c>
      <c r="AM65" s="25">
        <f>IF(AL65="Good",10,0)</f>
        <v/>
      </c>
      <c r="AN65" s="25" t="inlineStr">
        <is>
          <t>Yes for more than 2 years</t>
        </is>
      </c>
      <c r="AO65" s="25">
        <f>IF(AN65="Yes for more than 2 years",10,IF(AN65="Yes only for next 1 to 2 years",5,0))</f>
        <v/>
      </c>
      <c r="AP65" s="25" t="inlineStr">
        <is>
          <t>20 to 40</t>
        </is>
      </c>
      <c r="AQ65" s="25">
        <f>IF(AP65="Above 40",20,IF(AP65="20 to 40",10,IF(AP65="0 to 20",-5,0)))</f>
        <v/>
      </c>
      <c r="AR65" s="25" t="inlineStr">
        <is>
          <t>Above 75</t>
        </is>
      </c>
      <c r="AS65" s="25">
        <f>IF(AR65="Between 50 to 75",10,IF(AR65="Above 75",0,0))</f>
        <v/>
      </c>
      <c r="AT65" s="25" t="inlineStr">
        <is>
          <t>Stage 2</t>
        </is>
      </c>
      <c r="AU65" s="25">
        <f>IF(AT65="Stage 2",20,IF(AT65="Stage 1",0,IF(AT65="Stage 3",5,IF(AT65="Stage 4",-5,0))))</f>
        <v/>
      </c>
      <c r="AV65" s="25" t="inlineStr">
        <is>
          <t>Positive Trend</t>
        </is>
      </c>
      <c r="AW65" s="25">
        <f>IF(AV65="Positive Trend",20,IF(AV65="Negative Trend",-10,0))</f>
        <v/>
      </c>
      <c r="AX65" s="25" t="inlineStr">
        <is>
          <t>Uptrend</t>
        </is>
      </c>
      <c r="AY65" s="25">
        <f>IF(AX65="Uptrend",10,IF(AX65="Sideways",5,0))</f>
        <v/>
      </c>
      <c r="AZ65" s="25" t="inlineStr">
        <is>
          <t>Uptrend</t>
        </is>
      </c>
      <c r="BA65" s="25">
        <f>IF(AZ65="Uptrend",10,IF(AZ65="Sideways",5,0))</f>
        <v/>
      </c>
      <c r="BB65" s="25" t="inlineStr">
        <is>
          <t>Blue sky scenario</t>
        </is>
      </c>
      <c r="BC65" s="25">
        <f>IF(BB65="Overhead supply in last 2 years in last 2 years",-5,IF(BB65="Close to 52 week high or retracement",5,IF(BB65="Blue sky scenario",10,IF(BB65="Long term Downtrend",-10,0))))</f>
        <v/>
      </c>
      <c r="BD65" s="25" t="inlineStr">
        <is>
          <t>Yes</t>
        </is>
      </c>
      <c r="BE65" s="25">
        <f>IF(BD65="Yes",10,0)</f>
        <v/>
      </c>
      <c r="BF65" s="25" t="inlineStr">
        <is>
          <t>More than 20%</t>
        </is>
      </c>
      <c r="BG65" s="25">
        <f>IF(BF65="More than 20%",10,IF(BF65="Between 12 to 20%",5,IF(BF65="Less than 12%",0,0)))</f>
        <v/>
      </c>
      <c r="BH65" s="25" t="inlineStr">
        <is>
          <t>No</t>
        </is>
      </c>
      <c r="BI65" s="25">
        <f>IF(BH65="No",10,0)</f>
        <v/>
      </c>
      <c r="BJ65" s="25" t="inlineStr">
        <is>
          <t>No</t>
        </is>
      </c>
      <c r="BK65" s="25">
        <f>IF(BJ65="NO",5,0)</f>
        <v/>
      </c>
      <c r="BL65" s="25" t="inlineStr">
        <is>
          <t>Less than 1.5</t>
        </is>
      </c>
      <c r="BM65" s="25">
        <f>IF(BL65="Above 2",0,IF(BL65="Between 1.5 to 2",5,IF(BL65="Less than 1.5",10,0)))</f>
        <v/>
      </c>
      <c r="BN65" s="25" t="inlineStr">
        <is>
          <t>Negative</t>
        </is>
      </c>
      <c r="BO65" s="25">
        <f>IF(BN65="Above 70%",10,IF(BN65="Between 50% to 70%",5,IF(BN65="Less than 50%",0,IF(BN65="Negative",-10,IF(BN65="Less than 50% and Borrowings are increasing",-5,0)))))</f>
        <v/>
      </c>
      <c r="BP65" s="25" t="inlineStr">
        <is>
          <t>Less than 0.7</t>
        </is>
      </c>
      <c r="BQ65" s="25">
        <f>IF(BP65="More than 1.2",-10,IF(BP65="Between 0.7 to 1.2",0,IF(BP65="Less than 0.7",10,0)))</f>
        <v/>
      </c>
      <c r="BR65" s="25" t="inlineStr">
        <is>
          <t>No</t>
        </is>
      </c>
      <c r="BS65" s="25">
        <f>IF(BR65="Yes",-10,0)</f>
        <v/>
      </c>
      <c r="BT65" s="25" t="inlineStr">
        <is>
          <t>Less than 15%</t>
        </is>
      </c>
      <c r="BU65" s="25">
        <f>IF(BT65="More than 15%",-10,IF(BT65="Less than 15%",10,0))</f>
        <v/>
      </c>
      <c r="BV65" s="25" t="inlineStr">
        <is>
          <t>No</t>
        </is>
      </c>
      <c r="BW65" s="25">
        <f>IF(BV65="Yes, more than 10%",-10,IF(BV65="No",10,0))</f>
        <v/>
      </c>
      <c r="BX65" s="25" t="inlineStr">
        <is>
          <t>30</t>
        </is>
      </c>
      <c r="BY65" s="25">
        <f>IF(BX65&gt;20,10,IF(BX65&gt;=10,5,2))</f>
        <v/>
      </c>
    </row>
    <row r="66">
      <c r="A66" s="25">
        <f>IF(B66=0,"",RANK(B66,$B$2:$B$95,0))</f>
        <v/>
      </c>
      <c r="B66" s="26">
        <f>SUM(Q66,S66,U66,W66,Y66,AA66,AC66,AE66,AG66,AI66,AK66,AM66,AO66,AQ66,AS66,AU66,AW66,AY66,BA66,BC66,BE66,BG66,BI66,BK66,BM66,BO66,BQ66,BS66,BU66,BW66,BY66)</f>
        <v/>
      </c>
      <c r="C66" s="25" t="inlineStr">
        <is>
          <t>HFCL</t>
        </is>
      </c>
      <c r="D66" s="25" t="inlineStr">
        <is>
          <t>HFCL Ltd</t>
        </is>
      </c>
      <c r="E66" s="25" t="inlineStr">
        <is>
          <t>telecom</t>
        </is>
      </c>
      <c r="F66" s="25" t="inlineStr">
        <is>
          <t>Telecom Services</t>
        </is>
      </c>
      <c r="G66" s="25" t="inlineStr">
        <is>
          <t>largecap</t>
        </is>
      </c>
      <c r="H66" s="26" t="n">
        <v>29072.26</v>
      </c>
      <c r="I66" s="26" t="n">
        <v>189.94</v>
      </c>
      <c r="J66" s="26" t="n">
        <v>4.2</v>
      </c>
      <c r="K66" s="26" t="n">
        <v>0</v>
      </c>
      <c r="L66" s="26" t="n">
        <v>91.89</v>
      </c>
      <c r="M66" s="26" t="n">
        <v>43.85</v>
      </c>
      <c r="N66" s="26" t="n">
        <v>149.9</v>
      </c>
      <c r="O66" s="25" t="inlineStr">
        <is>
          <t>Near 52W High Breakout</t>
        </is>
      </c>
      <c r="P66" s="25" t="inlineStr">
        <is>
          <t>Growing Industry</t>
        </is>
      </c>
      <c r="Q66" s="25">
        <f>IF(P66="Growing Industry",10,IF(P66="Cyclical in an Upturn",5,0))</f>
        <v/>
      </c>
      <c r="R66" s="25" t="inlineStr">
        <is>
          <t>Oligopoly</t>
        </is>
      </c>
      <c r="S66" s="25">
        <f>IF(R66="Monopoly",10,IF(R66="Oligopoly",5,IF(R66="Duopoly that cooperate",10,IF(R66="Duopoly that compete",5,IF(R66="Too many players with High ROCE",5,0)))))</f>
        <v/>
      </c>
      <c r="T66" s="25" t="inlineStr">
        <is>
          <t>Yes</t>
        </is>
      </c>
      <c r="U66" s="25">
        <f>IF(T66="No",5,0)</f>
        <v/>
      </c>
      <c r="V66" s="25" t="inlineStr">
        <is>
          <t>Tailwind</t>
        </is>
      </c>
      <c r="W66" s="25">
        <f>IF(V66="Tailwind",10,0)</f>
        <v/>
      </c>
      <c r="X66" s="25" t="inlineStr">
        <is>
          <t>Structural (10 Years Consistency)</t>
        </is>
      </c>
      <c r="Y66" s="25">
        <f>IF(X66="Structural (10 Years Consistency)",10,IF(X66="Shallow Cyclical (2 to 3 years growth)",5,0))</f>
        <v/>
      </c>
      <c r="Z66" s="25" t="inlineStr">
        <is>
          <t>No</t>
        </is>
      </c>
      <c r="AA66" s="25">
        <f>IF(Z66="Yes due to Product Mix change or Operating Leverage",10,IF(Z66="Yes, these are peak margins",-5,IF(Z66="No",5,0)))</f>
        <v/>
      </c>
      <c r="AB66" s="25" t="inlineStr">
        <is>
          <t>Stable</t>
        </is>
      </c>
      <c r="AC66" s="25">
        <f>IF(AB66="Stable",10,0)</f>
        <v/>
      </c>
      <c r="AD66" s="25" t="inlineStr">
        <is>
          <t>Yes</t>
        </is>
      </c>
      <c r="AE66" s="25">
        <f>IF(AD66="Yes",10,0)</f>
        <v/>
      </c>
      <c r="AF66" s="25" t="inlineStr">
        <is>
          <t>B2B</t>
        </is>
      </c>
      <c r="AG66" s="25">
        <f>IF(AF66="B2C",10,IF(AF66="B2B",5,0))</f>
        <v/>
      </c>
      <c r="AH66" s="25" t="inlineStr">
        <is>
          <t>Yes</t>
        </is>
      </c>
      <c r="AI66" s="25">
        <f>IF(AH66="Yes",10,0)</f>
        <v/>
      </c>
      <c r="AJ66" s="25" t="inlineStr">
        <is>
          <t>Higher One Time, Lower Annuity</t>
        </is>
      </c>
      <c r="AK66" s="25">
        <f>IF(AJ66="Fully Annuity",10,IF(AJ66="Higher Annuity, Lower One Time",5,IF(AJ66="Higher One Time, Lower Annuity",3,0)))</f>
        <v/>
      </c>
      <c r="AL66" s="25" t="inlineStr">
        <is>
          <t>Good</t>
        </is>
      </c>
      <c r="AM66" s="25">
        <f>IF(AL66="Good",10,0)</f>
        <v/>
      </c>
      <c r="AN66" s="25" t="inlineStr">
        <is>
          <t>Yes for more than 2 years</t>
        </is>
      </c>
      <c r="AO66" s="25">
        <f>IF(AN66="Yes for more than 2 years",10,IF(AN66="Yes only for next 1 to 2 years",5,0))</f>
        <v/>
      </c>
      <c r="AP66" s="25" t="inlineStr">
        <is>
          <t>Above 40</t>
        </is>
      </c>
      <c r="AQ66" s="25">
        <f>IF(AP66="Above 40",20,IF(AP66="20 to 40",10,IF(AP66="0 to 20",-5,0)))</f>
        <v/>
      </c>
      <c r="AR66" s="25" t="inlineStr">
        <is>
          <t>Above 75</t>
        </is>
      </c>
      <c r="AS66" s="25">
        <f>IF(AR66="Between 50 to 75",10,IF(AR66="Above 75",0,0))</f>
        <v/>
      </c>
      <c r="AT66" s="25" t="inlineStr">
        <is>
          <t>Stage 2</t>
        </is>
      </c>
      <c r="AU66" s="25">
        <f>IF(AT66="Stage 2",20,IF(AT66="Stage 1",0,IF(AT66="Stage 3",5,IF(AT66="Stage 4",-5,0))))</f>
        <v/>
      </c>
      <c r="AV66" s="25" t="inlineStr">
        <is>
          <t>Positive Trend</t>
        </is>
      </c>
      <c r="AW66" s="25">
        <f>IF(AV66="Positive Trend",20,IF(AV66="Negative Trend",-10,0))</f>
        <v/>
      </c>
      <c r="AX66" s="25" t="inlineStr">
        <is>
          <t>Uptrend</t>
        </is>
      </c>
      <c r="AY66" s="25">
        <f>IF(AX66="Uptrend",10,IF(AX66="Sideways",5,0))</f>
        <v/>
      </c>
      <c r="AZ66" s="25" t="inlineStr">
        <is>
          <t>Uptrend</t>
        </is>
      </c>
      <c r="BA66" s="25">
        <f>IF(AZ66="Uptrend",10,IF(AZ66="Sideways",5,0))</f>
        <v/>
      </c>
      <c r="BB66" s="25" t="inlineStr">
        <is>
          <t>Blue sky scenario</t>
        </is>
      </c>
      <c r="BC66" s="25">
        <f>IF(BB66="Overhead supply in last 2 years in last 2 years",-5,IF(BB66="Close to 52 week high or retracement",5,IF(BB66="Blue sky scenario",10,IF(BB66="Long term Downtrend",-10,0))))</f>
        <v/>
      </c>
      <c r="BD66" s="25" t="inlineStr">
        <is>
          <t>Yes</t>
        </is>
      </c>
      <c r="BE66" s="25">
        <f>IF(BD66="Yes",10,0)</f>
        <v/>
      </c>
      <c r="BF66" s="25" t="inlineStr">
        <is>
          <t>More than 20%</t>
        </is>
      </c>
      <c r="BG66" s="25">
        <f>IF(BF66="More than 20%",10,IF(BF66="Between 12 to 20%",5,IF(BF66="Less than 12%",0,0)))</f>
        <v/>
      </c>
      <c r="BH66" s="25" t="inlineStr">
        <is>
          <t>No</t>
        </is>
      </c>
      <c r="BI66" s="25">
        <f>IF(BH66="No",10,0)</f>
        <v/>
      </c>
      <c r="BJ66" s="25" t="inlineStr">
        <is>
          <t>Yes</t>
        </is>
      </c>
      <c r="BK66" s="25">
        <f>IF(BJ66="NO",5,0)</f>
        <v/>
      </c>
      <c r="BL66" s="25" t="inlineStr">
        <is>
          <t>Less than 1.5</t>
        </is>
      </c>
      <c r="BM66" s="25">
        <f>IF(BL66="Above 2",0,IF(BL66="Between 1.5 to 2",5,IF(BL66="Less than 1.5",10,0)))</f>
        <v/>
      </c>
      <c r="BN66" s="25" t="inlineStr">
        <is>
          <t>Negative</t>
        </is>
      </c>
      <c r="BO66" s="25">
        <f>IF(BN66="Above 70%",10,IF(BN66="Between 50% to 70%",5,IF(BN66="Less than 50%",0,IF(BN66="Negative",-10,IF(BN66="Less than 50% and Borrowings are increasing",-5,0)))))</f>
        <v/>
      </c>
      <c r="BP66" s="25" t="inlineStr">
        <is>
          <t>Less than 0.7</t>
        </is>
      </c>
      <c r="BQ66" s="25">
        <f>IF(BP66="More than 1.2",-10,IF(BP66="Between 0.7 to 1.2",0,IF(BP66="Less than 0.7",10,0)))</f>
        <v/>
      </c>
      <c r="BR66" s="25" t="inlineStr">
        <is>
          <t>No</t>
        </is>
      </c>
      <c r="BS66" s="25">
        <f>IF(BR66="Yes",-10,0)</f>
        <v/>
      </c>
      <c r="BT66" s="25" t="inlineStr">
        <is>
          <t>Less than 15%</t>
        </is>
      </c>
      <c r="BU66" s="25">
        <f>IF(BT66="More than 15%",-10,IF(BT66="Less than 15%",10,0))</f>
        <v/>
      </c>
      <c r="BV66" s="25" t="inlineStr">
        <is>
          <t>No</t>
        </is>
      </c>
      <c r="BW66" s="25">
        <f>IF(BV66="Yes, more than 10%",-10,IF(BV66="No",10,0))</f>
        <v/>
      </c>
      <c r="BX66" s="25" t="inlineStr">
        <is>
          <t>27</t>
        </is>
      </c>
      <c r="BY66" s="25">
        <f>IF(BX66&gt;20,10,IF(BX66&gt;=10,5,2))</f>
        <v/>
      </c>
    </row>
    <row r="67">
      <c r="A67" s="25">
        <f>IF(B67=0,"",RANK(B67,$B$2:$B$95,0))</f>
        <v/>
      </c>
      <c r="B67" s="26">
        <f>SUM(Q67,S67,U67,W67,Y67,AA67,AC67,AE67,AG67,AI67,AK67,AM67,AO67,AQ67,AS67,AU67,AW67,AY67,BA67,BC67,BE67,BG67,BI67,BK67,BM67,BO67,BQ67,BS67,BU67,BW67,BY67)</f>
        <v/>
      </c>
      <c r="C67" s="25" t="inlineStr">
        <is>
          <t>JAYBARMARU</t>
        </is>
      </c>
      <c r="D67" s="25" t="inlineStr">
        <is>
          <t>Jay Bharat Maruti Ltd</t>
        </is>
      </c>
      <c r="E67" s="25" t="inlineStr">
        <is>
          <t>auto</t>
        </is>
      </c>
      <c r="F67" s="25" t="inlineStr">
        <is>
          <t>Auto Ancillaries - Diversified</t>
        </is>
      </c>
      <c r="G67" s="25" t="inlineStr">
        <is>
          <t>smallcap</t>
        </is>
      </c>
      <c r="H67" s="26" t="n">
        <v>1365.47</v>
      </c>
      <c r="I67" s="26" t="n">
        <v>126.14</v>
      </c>
      <c r="J67" s="26" t="n">
        <v>9.99</v>
      </c>
      <c r="K67" s="26" t="n">
        <v>0</v>
      </c>
      <c r="L67" s="26" t="n">
        <v>64.84999999999999</v>
      </c>
      <c r="M67" s="26" t="n">
        <v>15.02</v>
      </c>
      <c r="N67" s="26" t="n">
        <v>89.67</v>
      </c>
      <c r="O67" s="25" t="inlineStr">
        <is>
          <t>Near 52W High Breakout</t>
        </is>
      </c>
      <c r="P67" s="25" t="inlineStr">
        <is>
          <t>Growing Industry</t>
        </is>
      </c>
      <c r="Q67" s="25">
        <f>IF(P67="Growing Industry",10,IF(P67="Cyclical in an Upturn",5,0))</f>
        <v/>
      </c>
      <c r="R67" s="25" t="inlineStr">
        <is>
          <t>Too Many Players with High ROCE</t>
        </is>
      </c>
      <c r="S67" s="25">
        <f>IF(R67="Monopoly",10,IF(R67="Oligopoly",5,IF(R67="Duopoly that cooperate",10,IF(R67="Duopoly that compete",5,IF(R67="Too many players with High ROCE",5,0)))))</f>
        <v/>
      </c>
      <c r="T67" s="25" t="inlineStr">
        <is>
          <t>No</t>
        </is>
      </c>
      <c r="U67" s="25">
        <f>IF(T67="No",5,0)</f>
        <v/>
      </c>
      <c r="V67" s="25" t="inlineStr">
        <is>
          <t>Tailwind</t>
        </is>
      </c>
      <c r="W67" s="25">
        <f>IF(V67="Tailwind",10,0)</f>
        <v/>
      </c>
      <c r="X67" s="25" t="inlineStr">
        <is>
          <t>Structural (10 Years Consistency)</t>
        </is>
      </c>
      <c r="Y67" s="25">
        <f>IF(X67="Structural (10 Years Consistency)",10,IF(X67="Shallow Cyclical (2 to 3 years growth)",5,0))</f>
        <v/>
      </c>
      <c r="Z67" s="25" t="inlineStr">
        <is>
          <t>No</t>
        </is>
      </c>
      <c r="AA67" s="25">
        <f>IF(Z67="Yes due to Product Mix change or Operating Leverage",10,IF(Z67="Yes, these are peak margins",-5,IF(Z67="No",5,0)))</f>
        <v/>
      </c>
      <c r="AB67" s="25" t="inlineStr">
        <is>
          <t>Stable</t>
        </is>
      </c>
      <c r="AC67" s="25">
        <f>IF(AB67="Stable",10,0)</f>
        <v/>
      </c>
      <c r="AD67" s="25" t="inlineStr">
        <is>
          <t>Yes</t>
        </is>
      </c>
      <c r="AE67" s="25">
        <f>IF(AD67="Yes",10,0)</f>
        <v/>
      </c>
      <c r="AF67" s="25" t="inlineStr">
        <is>
          <t>B2B</t>
        </is>
      </c>
      <c r="AG67" s="25">
        <f>IF(AF67="B2C",10,IF(AF67="B2B",5,0))</f>
        <v/>
      </c>
      <c r="AH67" s="25" t="inlineStr">
        <is>
          <t>Yes</t>
        </is>
      </c>
      <c r="AI67" s="25">
        <f>IF(AH67="Yes",10,0)</f>
        <v/>
      </c>
      <c r="AJ67" s="25" t="inlineStr">
        <is>
          <t>Higher One Time, Lower Annuity</t>
        </is>
      </c>
      <c r="AK67" s="25">
        <f>IF(AJ67="Fully Annuity",10,IF(AJ67="Higher Annuity, Lower One Time",5,IF(AJ67="Higher One Time, Lower Annuity",3,0)))</f>
        <v/>
      </c>
      <c r="AL67" s="25" t="inlineStr">
        <is>
          <t>Good</t>
        </is>
      </c>
      <c r="AM67" s="25">
        <f>IF(AL67="Good",10,0)</f>
        <v/>
      </c>
      <c r="AN67" s="25" t="inlineStr">
        <is>
          <t>Yes for more than 2 years</t>
        </is>
      </c>
      <c r="AO67" s="25">
        <f>IF(AN67="Yes for more than 2 years",10,IF(AN67="Yes only for next 1 to 2 years",5,0))</f>
        <v/>
      </c>
      <c r="AP67" s="25" t="inlineStr">
        <is>
          <t>0 to 20</t>
        </is>
      </c>
      <c r="AQ67" s="25">
        <f>IF(AP67="Above 40",20,IF(AP67="20 to 40",10,IF(AP67="0 to 20",-5,0)))</f>
        <v/>
      </c>
      <c r="AR67" s="25" t="inlineStr">
        <is>
          <t>Between 50 to 75</t>
        </is>
      </c>
      <c r="AS67" s="25">
        <f>IF(AR67="Between 50 to 75",10,IF(AR67="Above 75",0,0))</f>
        <v/>
      </c>
      <c r="AT67" s="25" t="inlineStr">
        <is>
          <t>Stage 2</t>
        </is>
      </c>
      <c r="AU67" s="25">
        <f>IF(AT67="Stage 2",20,IF(AT67="Stage 1",0,IF(AT67="Stage 3",5,IF(AT67="Stage 4",-5,0))))</f>
        <v/>
      </c>
      <c r="AV67" s="25" t="inlineStr">
        <is>
          <t>Positive Trend</t>
        </is>
      </c>
      <c r="AW67" s="25">
        <f>IF(AV67="Positive Trend",20,IF(AV67="Negative Trend",-10,0))</f>
        <v/>
      </c>
      <c r="AX67" s="25" t="inlineStr">
        <is>
          <t>Uptrend</t>
        </is>
      </c>
      <c r="AY67" s="25">
        <f>IF(AX67="Uptrend",10,IF(AX67="Sideways",5,0))</f>
        <v/>
      </c>
      <c r="AZ67" s="25" t="inlineStr">
        <is>
          <t>Uptrend</t>
        </is>
      </c>
      <c r="BA67" s="25">
        <f>IF(AZ67="Uptrend",10,IF(AZ67="Sideways",5,0))</f>
        <v/>
      </c>
      <c r="BB67" s="25" t="inlineStr">
        <is>
          <t>Blue sky scenario</t>
        </is>
      </c>
      <c r="BC67" s="25">
        <f>IF(BB67="Overhead supply in last 2 years in last 2 years",-5,IF(BB67="Close to 52 week high or retracement",5,IF(BB67="Blue sky scenario",10,IF(BB67="Long term Downtrend",-10,0))))</f>
        <v/>
      </c>
      <c r="BD67" s="25" t="inlineStr">
        <is>
          <t>Yes</t>
        </is>
      </c>
      <c r="BE67" s="25">
        <f>IF(BD67="Yes",10,0)</f>
        <v/>
      </c>
      <c r="BF67" s="25" t="inlineStr">
        <is>
          <t>More than 20%</t>
        </is>
      </c>
      <c r="BG67" s="25">
        <f>IF(BF67="More than 20%",10,IF(BF67="Between 12 to 20%",5,IF(BF67="Less than 12%",0,0)))</f>
        <v/>
      </c>
      <c r="BH67" s="25" t="inlineStr">
        <is>
          <t>No</t>
        </is>
      </c>
      <c r="BI67" s="25">
        <f>IF(BH67="No",10,0)</f>
        <v/>
      </c>
      <c r="BJ67" s="25" t="inlineStr">
        <is>
          <t>No</t>
        </is>
      </c>
      <c r="BK67" s="25">
        <f>IF(BJ67="NO",5,0)</f>
        <v/>
      </c>
      <c r="BL67" s="25" t="inlineStr">
        <is>
          <t>Less than 1.5</t>
        </is>
      </c>
      <c r="BM67" s="25">
        <f>IF(BL67="Above 2",0,IF(BL67="Between 1.5 to 2",5,IF(BL67="Less than 1.5",10,0)))</f>
        <v/>
      </c>
      <c r="BN67" s="25" t="inlineStr">
        <is>
          <t>Between 50% to 70%</t>
        </is>
      </c>
      <c r="BO67" s="25">
        <f>IF(BN67="Above 70%",10,IF(BN67="Between 50% to 70%",5,IF(BN67="Less than 50%",0,IF(BN67="Negative",-10,IF(BN67="Less than 50% and Borrowings are increasing",-5,0)))))</f>
        <v/>
      </c>
      <c r="BP67" s="25" t="inlineStr">
        <is>
          <t>Between 0.7 to 1.2</t>
        </is>
      </c>
      <c r="BQ67" s="25">
        <f>IF(BP67="More than 1.2",-10,IF(BP67="Between 0.7 to 1.2",0,IF(BP67="Less than 0.7",10,0)))</f>
        <v/>
      </c>
      <c r="BR67" s="25" t="inlineStr">
        <is>
          <t>No</t>
        </is>
      </c>
      <c r="BS67" s="25">
        <f>IF(BR67="Yes",-10,0)</f>
        <v/>
      </c>
      <c r="BT67" s="25" t="inlineStr">
        <is>
          <t>Less than 15%</t>
        </is>
      </c>
      <c r="BU67" s="25">
        <f>IF(BT67="More than 15%",-10,IF(BT67="Less than 15%",10,0))</f>
        <v/>
      </c>
      <c r="BV67" s="25" t="inlineStr">
        <is>
          <t>No</t>
        </is>
      </c>
      <c r="BW67" s="25">
        <f>IF(BV67="Yes, more than 10%",-10,IF(BV67="No",10,0))</f>
        <v/>
      </c>
      <c r="BX67" s="25" t="inlineStr">
        <is>
          <t>24</t>
        </is>
      </c>
      <c r="BY67" s="25">
        <f>IF(BX67&gt;20,10,IF(BX67&gt;=10,5,2))</f>
        <v/>
      </c>
    </row>
    <row r="68">
      <c r="A68" s="25">
        <f>IF(B68=0,"",RANK(B68,$B$2:$B$95,0))</f>
        <v/>
      </c>
      <c r="B68" s="26">
        <f>SUM(Q68,S68,U68,W68,Y68,AA68,AC68,AE68,AG68,AI68,AK68,AM68,AO68,AQ68,AS68,AU68,AW68,AY68,BA68,BC68,BE68,BG68,BI68,BK68,BM68,BO68,BQ68,BS68,BU68,BW68,BY68)</f>
        <v/>
      </c>
      <c r="C68" s="25" t="inlineStr">
        <is>
          <t>INDNIPPON</t>
        </is>
      </c>
      <c r="D68" s="25" t="inlineStr">
        <is>
          <t>India Nippon Electricals Ltd</t>
        </is>
      </c>
      <c r="E68" s="25" t="inlineStr">
        <is>
          <t>auto</t>
        </is>
      </c>
      <c r="F68" s="25" t="inlineStr">
        <is>
          <t>Auto Ancillaries - Engine Parts</t>
        </is>
      </c>
      <c r="G68" s="25" t="inlineStr">
        <is>
          <t>smallcap</t>
        </is>
      </c>
      <c r="H68" s="26" t="n">
        <v>2026.2</v>
      </c>
      <c r="I68" s="26" t="n">
        <v>895.7</v>
      </c>
      <c r="J68" s="26" t="n">
        <v>0.41</v>
      </c>
      <c r="K68" s="26" t="n">
        <v>0</v>
      </c>
      <c r="L68" s="26" t="n">
        <v>59.86</v>
      </c>
      <c r="M68" s="26" t="n">
        <v>10.62</v>
      </c>
      <c r="N68" s="26" t="n">
        <v>713.77</v>
      </c>
      <c r="O68" s="25" t="inlineStr">
        <is>
          <t>Earnings / Momentum Support</t>
        </is>
      </c>
      <c r="P68" s="25" t="inlineStr">
        <is>
          <t>Growing Industry</t>
        </is>
      </c>
      <c r="Q68" s="25">
        <f>IF(P68="Growing Industry",10,IF(P68="Cyclical in an Upturn",5,0))</f>
        <v/>
      </c>
      <c r="R68" s="25" t="inlineStr">
        <is>
          <t>Too Many Players with High ROCE</t>
        </is>
      </c>
      <c r="S68" s="25">
        <f>IF(R68="Monopoly",10,IF(R68="Oligopoly",5,IF(R68="Duopoly that cooperate",10,IF(R68="Duopoly that compete",5,IF(R68="Too many players with High ROCE",5,0)))))</f>
        <v/>
      </c>
      <c r="T68" s="25" t="inlineStr">
        <is>
          <t>No</t>
        </is>
      </c>
      <c r="U68" s="25">
        <f>IF(T68="No",5,0)</f>
        <v/>
      </c>
      <c r="V68" s="25" t="inlineStr">
        <is>
          <t>Tailwind</t>
        </is>
      </c>
      <c r="W68" s="25">
        <f>IF(V68="Tailwind",10,0)</f>
        <v/>
      </c>
      <c r="X68" s="25" t="inlineStr">
        <is>
          <t>Structural (10 Years Consistency)</t>
        </is>
      </c>
      <c r="Y68" s="25">
        <f>IF(X68="Structural (10 Years Consistency)",10,IF(X68="Shallow Cyclical (2 to 3 years growth)",5,0))</f>
        <v/>
      </c>
      <c r="Z68" s="25" t="inlineStr">
        <is>
          <t>No</t>
        </is>
      </c>
      <c r="AA68" s="25">
        <f>IF(Z68="Yes due to Product Mix change or Operating Leverage",10,IF(Z68="Yes, these are peak margins",-5,IF(Z68="No",5,0)))</f>
        <v/>
      </c>
      <c r="AB68" s="25" t="inlineStr">
        <is>
          <t>Stable</t>
        </is>
      </c>
      <c r="AC68" s="25">
        <f>IF(AB68="Stable",10,0)</f>
        <v/>
      </c>
      <c r="AD68" s="25" t="inlineStr">
        <is>
          <t>Yes</t>
        </is>
      </c>
      <c r="AE68" s="25">
        <f>IF(AD68="Yes",10,0)</f>
        <v/>
      </c>
      <c r="AF68" s="25" t="inlineStr">
        <is>
          <t>B2B</t>
        </is>
      </c>
      <c r="AG68" s="25">
        <f>IF(AF68="B2C",10,IF(AF68="B2B",5,0))</f>
        <v/>
      </c>
      <c r="AH68" s="25" t="inlineStr">
        <is>
          <t>No</t>
        </is>
      </c>
      <c r="AI68" s="25">
        <f>IF(AH68="Yes",10,0)</f>
        <v/>
      </c>
      <c r="AJ68" s="25" t="inlineStr">
        <is>
          <t>Higher One Time, Lower Annuity</t>
        </is>
      </c>
      <c r="AK68" s="25">
        <f>IF(AJ68="Fully Annuity",10,IF(AJ68="Higher Annuity, Lower One Time",5,IF(AJ68="Higher One Time, Lower Annuity",3,0)))</f>
        <v/>
      </c>
      <c r="AL68" s="25" t="inlineStr">
        <is>
          <t>Good</t>
        </is>
      </c>
      <c r="AM68" s="25">
        <f>IF(AL68="Good",10,0)</f>
        <v/>
      </c>
      <c r="AN68" s="25" t="inlineStr">
        <is>
          <t>Yes for more than 2 years</t>
        </is>
      </c>
      <c r="AO68" s="25">
        <f>IF(AN68="Yes for more than 2 years",10,IF(AN68="Yes only for next 1 to 2 years",5,0))</f>
        <v/>
      </c>
      <c r="AP68" s="25" t="inlineStr">
        <is>
          <t>0 to 20</t>
        </is>
      </c>
      <c r="AQ68" s="25">
        <f>IF(AP68="Above 40",20,IF(AP68="20 to 40",10,IF(AP68="0 to 20",-5,0)))</f>
        <v/>
      </c>
      <c r="AR68" s="25" t="inlineStr">
        <is>
          <t>Between 50 to 75</t>
        </is>
      </c>
      <c r="AS68" s="25">
        <f>IF(AR68="Between 50 to 75",10,IF(AR68="Above 75",0,0))</f>
        <v/>
      </c>
      <c r="AT68" s="25" t="inlineStr">
        <is>
          <t>Stage 2</t>
        </is>
      </c>
      <c r="AU68" s="25">
        <f>IF(AT68="Stage 2",20,IF(AT68="Stage 1",0,IF(AT68="Stage 3",5,IF(AT68="Stage 4",-5,0))))</f>
        <v/>
      </c>
      <c r="AV68" s="25" t="inlineStr">
        <is>
          <t>Positive Trend</t>
        </is>
      </c>
      <c r="AW68" s="25">
        <f>IF(AV68="Positive Trend",20,IF(AV68="Negative Trend",-10,0))</f>
        <v/>
      </c>
      <c r="AX68" s="25" t="inlineStr">
        <is>
          <t>Uptrend</t>
        </is>
      </c>
      <c r="AY68" s="25">
        <f>IF(AX68="Uptrend",10,IF(AX68="Sideways",5,0))</f>
        <v/>
      </c>
      <c r="AZ68" s="25" t="inlineStr">
        <is>
          <t>Uptrend</t>
        </is>
      </c>
      <c r="BA68" s="25">
        <f>IF(AZ68="Uptrend",10,IF(AZ68="Sideways",5,0))</f>
        <v/>
      </c>
      <c r="BB68" s="25" t="inlineStr">
        <is>
          <t>Close to 52 week high or retracement</t>
        </is>
      </c>
      <c r="BC68" s="25">
        <f>IF(BB68="Overhead supply in last 2 years in last 2 years",-5,IF(BB68="Close to 52 week high or retracement",5,IF(BB68="Blue sky scenario",10,IF(BB68="Long term Downtrend",-10,0))))</f>
        <v/>
      </c>
      <c r="BD68" s="25" t="inlineStr">
        <is>
          <t>Yes</t>
        </is>
      </c>
      <c r="BE68" s="25">
        <f>IF(BD68="Yes",10,0)</f>
        <v/>
      </c>
      <c r="BF68" s="25" t="inlineStr">
        <is>
          <t>More than 20%</t>
        </is>
      </c>
      <c r="BG68" s="25">
        <f>IF(BF68="More than 20%",10,IF(BF68="Between 12 to 20%",5,IF(BF68="Less than 12%",0,0)))</f>
        <v/>
      </c>
      <c r="BH68" s="25" t="inlineStr">
        <is>
          <t>No</t>
        </is>
      </c>
      <c r="BI68" s="25">
        <f>IF(BH68="No",10,0)</f>
        <v/>
      </c>
      <c r="BJ68" s="25" t="inlineStr">
        <is>
          <t>No</t>
        </is>
      </c>
      <c r="BK68" s="25">
        <f>IF(BJ68="NO",5,0)</f>
        <v/>
      </c>
      <c r="BL68" s="25" t="inlineStr">
        <is>
          <t>Less than 1.5</t>
        </is>
      </c>
      <c r="BM68" s="25">
        <f>IF(BL68="Above 2",0,IF(BL68="Between 1.5 to 2",5,IF(BL68="Less than 1.5",10,0)))</f>
        <v/>
      </c>
      <c r="BN68" s="25" t="inlineStr">
        <is>
          <t>Above 70%</t>
        </is>
      </c>
      <c r="BO68" s="25">
        <f>IF(BN68="Above 70%",10,IF(BN68="Between 50% to 70%",5,IF(BN68="Less than 50%",0,IF(BN68="Negative",-10,IF(BN68="Less than 50% and Borrowings are increasing",-5,0)))))</f>
        <v/>
      </c>
      <c r="BP68" s="25" t="inlineStr">
        <is>
          <t>Less than 0.7</t>
        </is>
      </c>
      <c r="BQ68" s="25">
        <f>IF(BP68="More than 1.2",-10,IF(BP68="Between 0.7 to 1.2",0,IF(BP68="Less than 0.7",10,0)))</f>
        <v/>
      </c>
      <c r="BR68" s="25" t="inlineStr">
        <is>
          <t>No</t>
        </is>
      </c>
      <c r="BS68" s="25">
        <f>IF(BR68="Yes",-10,0)</f>
        <v/>
      </c>
      <c r="BT68" s="25" t="inlineStr">
        <is>
          <t>Less than 15%</t>
        </is>
      </c>
      <c r="BU68" s="25">
        <f>IF(BT68="More than 15%",-10,IF(BT68="Less than 15%",10,0))</f>
        <v/>
      </c>
      <c r="BV68" s="25" t="inlineStr">
        <is>
          <t>No</t>
        </is>
      </c>
      <c r="BW68" s="25">
        <f>IF(BV68="Yes, more than 10%",-10,IF(BV68="No",10,0))</f>
        <v/>
      </c>
      <c r="BX68" s="25" t="inlineStr">
        <is>
          <t>23</t>
        </is>
      </c>
      <c r="BY68" s="25">
        <f>IF(BX68&gt;20,10,IF(BX68&gt;=10,5,2))</f>
        <v/>
      </c>
    </row>
    <row r="69">
      <c r="A69" s="25">
        <f>IF(B69=0,"",RANK(B69,$B$2:$B$95,0))</f>
        <v/>
      </c>
      <c r="B69" s="26">
        <f>SUM(Q69,S69,U69,W69,Y69,AA69,AC69,AE69,AG69,AI69,AK69,AM69,AO69,AQ69,AS69,AU69,AW69,AY69,BA69,BC69,BE69,BG69,BI69,BK69,BM69,BO69,BQ69,BS69,BU69,BW69,BY69)</f>
        <v/>
      </c>
      <c r="C69" s="25" t="inlineStr">
        <is>
          <t>DIACABS</t>
        </is>
      </c>
      <c r="D69" s="25" t="inlineStr">
        <is>
          <t>Diamond Power Infrastructure Ltd</t>
        </is>
      </c>
      <c r="E69" s="25" t="inlineStr">
        <is>
          <t>industrials</t>
        </is>
      </c>
      <c r="F69" s="25" t="inlineStr">
        <is>
          <t>Cables - Power</t>
        </is>
      </c>
      <c r="G69" s="25" t="inlineStr">
        <is>
          <t>midcap</t>
        </is>
      </c>
      <c r="H69" s="26" t="n">
        <v>10257.49</v>
      </c>
      <c r="I69" s="26" t="n">
        <v>194.65</v>
      </c>
      <c r="J69" s="26" t="n">
        <v>6.37</v>
      </c>
      <c r="K69" s="26" t="n">
        <v>0</v>
      </c>
      <c r="L69" s="26" t="n">
        <v>74.19</v>
      </c>
      <c r="M69" s="26" t="n">
        <v>29.5</v>
      </c>
      <c r="N69" s="26" t="n">
        <v>146.93</v>
      </c>
      <c r="O69" s="25" t="inlineStr">
        <is>
          <t>Near 52W High Breakout</t>
        </is>
      </c>
      <c r="P69" s="25" t="inlineStr">
        <is>
          <t>Cyclical in an Upturn</t>
        </is>
      </c>
      <c r="Q69" s="25">
        <f>IF(P69="Growing Industry",10,IF(P69="Cyclical in an Upturn",5,0))</f>
        <v/>
      </c>
      <c r="R69" s="25" t="inlineStr">
        <is>
          <t>Too Many Players with High ROCE</t>
        </is>
      </c>
      <c r="S69" s="25">
        <f>IF(R69="Monopoly",10,IF(R69="Oligopoly",5,IF(R69="Duopoly that cooperate",10,IF(R69="Duopoly that compete",5,IF(R69="Too many players with High ROCE",5,0)))))</f>
        <v/>
      </c>
      <c r="T69" s="25" t="inlineStr">
        <is>
          <t>No</t>
        </is>
      </c>
      <c r="U69" s="25">
        <f>IF(T69="No",5,0)</f>
        <v/>
      </c>
      <c r="V69" s="25" t="inlineStr">
        <is>
          <t>Tailwind</t>
        </is>
      </c>
      <c r="W69" s="25">
        <f>IF(V69="Tailwind",10,0)</f>
        <v/>
      </c>
      <c r="X69" s="25" t="inlineStr">
        <is>
          <t>Structural (10 Years Consistency)</t>
        </is>
      </c>
      <c r="Y69" s="25">
        <f>IF(X69="Structural (10 Years Consistency)",10,IF(X69="Shallow Cyclical (2 to 3 years growth)",5,0))</f>
        <v/>
      </c>
      <c r="Z69" s="25" t="inlineStr">
        <is>
          <t>No</t>
        </is>
      </c>
      <c r="AA69" s="25">
        <f>IF(Z69="Yes due to Product Mix change or Operating Leverage",10,IF(Z69="Yes, these are peak margins",-5,IF(Z69="No",5,0)))</f>
        <v/>
      </c>
      <c r="AB69" s="25" t="inlineStr">
        <is>
          <t>Stable</t>
        </is>
      </c>
      <c r="AC69" s="25">
        <f>IF(AB69="Stable",10,0)</f>
        <v/>
      </c>
      <c r="AD69" s="25" t="inlineStr">
        <is>
          <t>Yes</t>
        </is>
      </c>
      <c r="AE69" s="25">
        <f>IF(AD69="Yes",10,0)</f>
        <v/>
      </c>
      <c r="AF69" s="25" t="inlineStr">
        <is>
          <t>B2B</t>
        </is>
      </c>
      <c r="AG69" s="25">
        <f>IF(AF69="B2C",10,IF(AF69="B2B",5,0))</f>
        <v/>
      </c>
      <c r="AH69" s="25" t="inlineStr">
        <is>
          <t>Yes</t>
        </is>
      </c>
      <c r="AI69" s="25">
        <f>IF(AH69="Yes",10,0)</f>
        <v/>
      </c>
      <c r="AJ69" s="25" t="inlineStr">
        <is>
          <t>Higher One Time, Lower Annuity</t>
        </is>
      </c>
      <c r="AK69" s="25">
        <f>IF(AJ69="Fully Annuity",10,IF(AJ69="Higher Annuity, Lower One Time",5,IF(AJ69="Higher One Time, Lower Annuity",3,0)))</f>
        <v/>
      </c>
      <c r="AL69" s="25" t="inlineStr">
        <is>
          <t>Good</t>
        </is>
      </c>
      <c r="AM69" s="25">
        <f>IF(AL69="Good",10,0)</f>
        <v/>
      </c>
      <c r="AN69" s="25" t="inlineStr">
        <is>
          <t>Yes for more than 2 years</t>
        </is>
      </c>
      <c r="AO69" s="25">
        <f>IF(AN69="Yes for more than 2 years",10,IF(AN69="Yes only for next 1 to 2 years",5,0))</f>
        <v/>
      </c>
      <c r="AP69" s="25" t="inlineStr">
        <is>
          <t>20 to 40</t>
        </is>
      </c>
      <c r="AQ69" s="25">
        <f>IF(AP69="Above 40",20,IF(AP69="20 to 40",10,IF(AP69="0 to 20",-5,0)))</f>
        <v/>
      </c>
      <c r="AR69" s="25" t="inlineStr">
        <is>
          <t>Between 50 to 75</t>
        </is>
      </c>
      <c r="AS69" s="25">
        <f>IF(AR69="Between 50 to 75",10,IF(AR69="Above 75",0,0))</f>
        <v/>
      </c>
      <c r="AT69" s="25" t="inlineStr">
        <is>
          <t>Stage 2</t>
        </is>
      </c>
      <c r="AU69" s="25">
        <f>IF(AT69="Stage 2",20,IF(AT69="Stage 1",0,IF(AT69="Stage 3",5,IF(AT69="Stage 4",-5,0))))</f>
        <v/>
      </c>
      <c r="AV69" s="25" t="inlineStr">
        <is>
          <t>Positive Trend</t>
        </is>
      </c>
      <c r="AW69" s="25">
        <f>IF(AV69="Positive Trend",20,IF(AV69="Negative Trend",-10,0))</f>
        <v/>
      </c>
      <c r="AX69" s="25" t="inlineStr">
        <is>
          <t>Uptrend</t>
        </is>
      </c>
      <c r="AY69" s="25">
        <f>IF(AX69="Uptrend",10,IF(AX69="Sideways",5,0))</f>
        <v/>
      </c>
      <c r="AZ69" s="25" t="inlineStr">
        <is>
          <t>Uptrend</t>
        </is>
      </c>
      <c r="BA69" s="25">
        <f>IF(AZ69="Uptrend",10,IF(AZ69="Sideways",5,0))</f>
        <v/>
      </c>
      <c r="BB69" s="25" t="inlineStr">
        <is>
          <t>Blue sky scenario</t>
        </is>
      </c>
      <c r="BC69" s="25">
        <f>IF(BB69="Overhead supply in last 2 years in last 2 years",-5,IF(BB69="Close to 52 week high or retracement",5,IF(BB69="Blue sky scenario",10,IF(BB69="Long term Downtrend",-10,0))))</f>
        <v/>
      </c>
      <c r="BD69" s="25" t="inlineStr">
        <is>
          <t>Yes</t>
        </is>
      </c>
      <c r="BE69" s="25">
        <f>IF(BD69="Yes",10,0)</f>
        <v/>
      </c>
      <c r="BF69" s="25" t="inlineStr">
        <is>
          <t>More than 20%</t>
        </is>
      </c>
      <c r="BG69" s="25">
        <f>IF(BF69="More than 20%",10,IF(BF69="Between 12 to 20%",5,IF(BF69="Less than 12%",0,0)))</f>
        <v/>
      </c>
      <c r="BH69" s="25" t="inlineStr">
        <is>
          <t>No</t>
        </is>
      </c>
      <c r="BI69" s="25">
        <f>IF(BH69="No",10,0)</f>
        <v/>
      </c>
      <c r="BJ69" s="25" t="inlineStr">
        <is>
          <t>Yes</t>
        </is>
      </c>
      <c r="BK69" s="25">
        <f>IF(BJ69="NO",5,0)</f>
        <v/>
      </c>
      <c r="BL69" s="25" t="inlineStr">
        <is>
          <t>Less than 1.5</t>
        </is>
      </c>
      <c r="BM69" s="25">
        <f>IF(BL69="Above 2",0,IF(BL69="Between 1.5 to 2",5,IF(BL69="Less than 1.5",10,0)))</f>
        <v/>
      </c>
      <c r="BN69" s="25" t="inlineStr">
        <is>
          <t>Negative</t>
        </is>
      </c>
      <c r="BO69" s="25">
        <f>IF(BN69="Above 70%",10,IF(BN69="Between 50% to 70%",5,IF(BN69="Less than 50%",0,IF(BN69="Negative",-10,IF(BN69="Less than 50% and Borrowings are increasing",-5,0)))))</f>
        <v/>
      </c>
      <c r="BP69" s="25" t="inlineStr">
        <is>
          <t>Less than 0.7</t>
        </is>
      </c>
      <c r="BQ69" s="25">
        <f>IF(BP69="More than 1.2",-10,IF(BP69="Between 0.7 to 1.2",0,IF(BP69="Less than 0.7",10,0)))</f>
        <v/>
      </c>
      <c r="BR69" s="25" t="inlineStr">
        <is>
          <t>No</t>
        </is>
      </c>
      <c r="BS69" s="25">
        <f>IF(BR69="Yes",-10,0)</f>
        <v/>
      </c>
      <c r="BT69" s="25" t="inlineStr">
        <is>
          <t>Less than 15%</t>
        </is>
      </c>
      <c r="BU69" s="25">
        <f>IF(BT69="More than 15%",-10,IF(BT69="Less than 15%",10,0))</f>
        <v/>
      </c>
      <c r="BV69" s="25" t="inlineStr">
        <is>
          <t>No</t>
        </is>
      </c>
      <c r="BW69" s="25">
        <f>IF(BV69="Yes, more than 10%",-10,IF(BV69="No",10,0))</f>
        <v/>
      </c>
      <c r="BX69" s="25" t="inlineStr">
        <is>
          <t>21</t>
        </is>
      </c>
      <c r="BY69" s="25">
        <f>IF(BX69&gt;20,10,IF(BX69&gt;=10,5,2))</f>
        <v/>
      </c>
    </row>
    <row r="70">
      <c r="A70" s="25">
        <f>IF(B70=0,"",RANK(B70,$B$2:$B$95,0))</f>
        <v/>
      </c>
      <c r="B70" s="26">
        <f>SUM(Q70,S70,U70,W70,Y70,AA70,AC70,AE70,AG70,AI70,AK70,AM70,AO70,AQ70,AS70,AU70,AW70,AY70,BA70,BC70,BE70,BG70,BI70,BK70,BM70,BO70,BQ70,BS70,BU70,BW70,BY70)</f>
        <v/>
      </c>
      <c r="C70" s="25" t="inlineStr">
        <is>
          <t>ROBU</t>
        </is>
      </c>
      <c r="D70" s="25" t="inlineStr">
        <is>
          <t>Macfos Ltd</t>
        </is>
      </c>
      <c r="E70" s="25" t="inlineStr">
        <is>
          <t>Technology</t>
        </is>
      </c>
      <c r="F70" s="25" t="inlineStr">
        <is>
          <t>E-Commerce - Platform - Utility</t>
        </is>
      </c>
      <c r="G70" s="25" t="inlineStr">
        <is>
          <t>smallcap</t>
        </is>
      </c>
      <c r="H70" s="26" t="n">
        <v>1212.98</v>
      </c>
      <c r="I70" s="26" t="n">
        <v>1171</v>
      </c>
      <c r="J70" s="26" t="n">
        <v>1.83</v>
      </c>
      <c r="K70" s="26" t="n">
        <v>0</v>
      </c>
      <c r="L70" s="26" t="n">
        <v>77.84999999999999</v>
      </c>
      <c r="M70" s="26" t="n">
        <v>67.58</v>
      </c>
      <c r="N70" s="26" t="n">
        <v>882.55</v>
      </c>
      <c r="O70" s="25" t="inlineStr">
        <is>
          <t>Near 52W High Breakout</t>
        </is>
      </c>
      <c r="P70" s="25" t="inlineStr">
        <is>
          <t>Growing Industry</t>
        </is>
      </c>
      <c r="Q70" s="25">
        <f>IF(P70="Growing Industry",10,IF(P70="Cyclical in an Upturn",5,0))</f>
        <v/>
      </c>
      <c r="R70" s="25" t="inlineStr">
        <is>
          <t>Oligopoly</t>
        </is>
      </c>
      <c r="S70" s="25">
        <f>IF(R70="Monopoly",10,IF(R70="Oligopoly",5,IF(R70="Duopoly that cooperate",10,IF(R70="Duopoly that compete",5,IF(R70="Too many players with High ROCE",5,0)))))</f>
        <v/>
      </c>
      <c r="T70" s="25" t="inlineStr">
        <is>
          <t>Yes</t>
        </is>
      </c>
      <c r="U70" s="25">
        <f>IF(T70="No",5,0)</f>
        <v/>
      </c>
      <c r="V70" s="25" t="inlineStr">
        <is>
          <t>Tailwind</t>
        </is>
      </c>
      <c r="W70" s="25">
        <f>IF(V70="Tailwind",10,0)</f>
        <v/>
      </c>
      <c r="X70" s="25" t="inlineStr">
        <is>
          <t>Structural (10 Years Consistency)</t>
        </is>
      </c>
      <c r="Y70" s="25">
        <f>IF(X70="Structural (10 Years Consistency)",10,IF(X70="Shallow Cyclical (2 to 3 years growth)",5,0))</f>
        <v/>
      </c>
      <c r="Z70" s="25" t="inlineStr">
        <is>
          <t>No</t>
        </is>
      </c>
      <c r="AA70" s="25">
        <f>IF(Z70="Yes due to Product Mix change or Operating Leverage",10,IF(Z70="Yes, these are peak margins",-5,IF(Z70="No",5,0)))</f>
        <v/>
      </c>
      <c r="AB70" s="25" t="inlineStr">
        <is>
          <t>Stable</t>
        </is>
      </c>
      <c r="AC70" s="25">
        <f>IF(AB70="Stable",10,0)</f>
        <v/>
      </c>
      <c r="AD70" s="25" t="inlineStr">
        <is>
          <t>Yes</t>
        </is>
      </c>
      <c r="AE70" s="25">
        <f>IF(AD70="Yes",10,0)</f>
        <v/>
      </c>
      <c r="AF70" s="25" t="inlineStr">
        <is>
          <t>B2B</t>
        </is>
      </c>
      <c r="AG70" s="25">
        <f>IF(AF70="B2C",10,IF(AF70="B2B",5,0))</f>
        <v/>
      </c>
      <c r="AH70" s="25" t="inlineStr">
        <is>
          <t>Yes</t>
        </is>
      </c>
      <c r="AI70" s="25">
        <f>IF(AH70="Yes",10,0)</f>
        <v/>
      </c>
      <c r="AJ70" s="25" t="inlineStr">
        <is>
          <t>Higher Annuity, Lower One Time</t>
        </is>
      </c>
      <c r="AK70" s="25">
        <f>IF(AJ70="Fully Annuity",10,IF(AJ70="Higher Annuity, Lower One Time",5,IF(AJ70="Higher One Time, Lower Annuity",3,0)))</f>
        <v/>
      </c>
      <c r="AL70" s="25" t="inlineStr">
        <is>
          <t>Good</t>
        </is>
      </c>
      <c r="AM70" s="25">
        <f>IF(AL70="Good",10,0)</f>
        <v/>
      </c>
      <c r="AN70" s="25" t="inlineStr">
        <is>
          <t>Yes for more than 2 years</t>
        </is>
      </c>
      <c r="AO70" s="25">
        <f>IF(AN70="Yes for more than 2 years",10,IF(AN70="Yes only for next 1 to 2 years",5,0))</f>
        <v/>
      </c>
      <c r="AP70" s="25" t="inlineStr">
        <is>
          <t>Above 40</t>
        </is>
      </c>
      <c r="AQ70" s="25">
        <f>IF(AP70="Above 40",20,IF(AP70="20 to 40",10,IF(AP70="0 to 20",-5,0)))</f>
        <v/>
      </c>
      <c r="AR70" s="25" t="inlineStr">
        <is>
          <t>Above 75</t>
        </is>
      </c>
      <c r="AS70" s="25">
        <f>IF(AR70="Between 50 to 75",10,IF(AR70="Above 75",0,0))</f>
        <v/>
      </c>
      <c r="AT70" s="25" t="inlineStr">
        <is>
          <t>Stage 2</t>
        </is>
      </c>
      <c r="AU70" s="25">
        <f>IF(AT70="Stage 2",20,IF(AT70="Stage 1",0,IF(AT70="Stage 3",5,IF(AT70="Stage 4",-5,0))))</f>
        <v/>
      </c>
      <c r="AV70" s="25" t="inlineStr">
        <is>
          <t>Positive Trend</t>
        </is>
      </c>
      <c r="AW70" s="25">
        <f>IF(AV70="Positive Trend",20,IF(AV70="Negative Trend",-10,0))</f>
        <v/>
      </c>
      <c r="AX70" s="25" t="inlineStr">
        <is>
          <t>Uptrend</t>
        </is>
      </c>
      <c r="AY70" s="25">
        <f>IF(AX70="Uptrend",10,IF(AX70="Sideways",5,0))</f>
        <v/>
      </c>
      <c r="AZ70" s="25" t="inlineStr">
        <is>
          <t>Uptrend</t>
        </is>
      </c>
      <c r="BA70" s="25">
        <f>IF(AZ70="Uptrend",10,IF(AZ70="Sideways",5,0))</f>
        <v/>
      </c>
      <c r="BB70" s="25" t="inlineStr">
        <is>
          <t>Close to 52 week high or retracement</t>
        </is>
      </c>
      <c r="BC70" s="25">
        <f>IF(BB70="Overhead supply in last 2 years in last 2 years",-5,IF(BB70="Close to 52 week high or retracement",5,IF(BB70="Blue sky scenario",10,IF(BB70="Long term Downtrend",-10,0))))</f>
        <v/>
      </c>
      <c r="BD70" s="25" t="inlineStr">
        <is>
          <t>Yes</t>
        </is>
      </c>
      <c r="BE70" s="25">
        <f>IF(BD70="Yes",10,0)</f>
        <v/>
      </c>
      <c r="BF70" s="25" t="inlineStr">
        <is>
          <t>More than 20%</t>
        </is>
      </c>
      <c r="BG70" s="25">
        <f>IF(BF70="More than 20%",10,IF(BF70="Between 12 to 20%",5,IF(BF70="Less than 12%",0,0)))</f>
        <v/>
      </c>
      <c r="BH70" s="25" t="inlineStr">
        <is>
          <t>No</t>
        </is>
      </c>
      <c r="BI70" s="25">
        <f>IF(BH70="No",10,0)</f>
        <v/>
      </c>
      <c r="BJ70" s="25" t="inlineStr">
        <is>
          <t>Yes</t>
        </is>
      </c>
      <c r="BK70" s="25">
        <f>IF(BJ70="NO",5,0)</f>
        <v/>
      </c>
      <c r="BL70" s="25" t="inlineStr">
        <is>
          <t>Less than 1.5</t>
        </is>
      </c>
      <c r="BM70" s="25">
        <f>IF(BL70="Above 2",0,IF(BL70="Between 1.5 to 2",5,IF(BL70="Less than 1.5",10,0)))</f>
        <v/>
      </c>
      <c r="BN70" s="25" t="inlineStr">
        <is>
          <t>Negative</t>
        </is>
      </c>
      <c r="BO70" s="25">
        <f>IF(BN70="Above 70%",10,IF(BN70="Between 50% to 70%",5,IF(BN70="Less than 50%",0,IF(BN70="Negative",-10,IF(BN70="Less than 50% and Borrowings are increasing",-5,0)))))</f>
        <v/>
      </c>
      <c r="BP70" s="25" t="inlineStr">
        <is>
          <t>Less than 0.7</t>
        </is>
      </c>
      <c r="BQ70" s="25">
        <f>IF(BP70="More than 1.2",-10,IF(BP70="Between 0.7 to 1.2",0,IF(BP70="Less than 0.7",10,0)))</f>
        <v/>
      </c>
      <c r="BR70" s="25" t="inlineStr">
        <is>
          <t>No</t>
        </is>
      </c>
      <c r="BS70" s="25">
        <f>IF(BR70="Yes",-10,0)</f>
        <v/>
      </c>
      <c r="BT70" s="25" t="inlineStr">
        <is>
          <t>Less than 15%</t>
        </is>
      </c>
      <c r="BU70" s="25">
        <f>IF(BT70="More than 15%",-10,IF(BT70="Less than 15%",10,0))</f>
        <v/>
      </c>
      <c r="BV70" s="25" t="inlineStr">
        <is>
          <t>No</t>
        </is>
      </c>
      <c r="BW70" s="25">
        <f>IF(BV70="Yes, more than 10%",-10,IF(BV70="No",10,0))</f>
        <v/>
      </c>
      <c r="BX70" s="25" t="inlineStr">
        <is>
          <t>23</t>
        </is>
      </c>
      <c r="BY70" s="25">
        <f>IF(BX70&gt;20,10,IF(BX70&gt;=10,5,2))</f>
        <v/>
      </c>
    </row>
    <row r="71">
      <c r="A71" s="25">
        <f>IF(B71=0,"",RANK(B71,$B$2:$B$95,0))</f>
        <v/>
      </c>
      <c r="B71" s="26">
        <f>SUM(Q71,S71,U71,W71,Y71,AA71,AC71,AE71,AG71,AI71,AK71,AM71,AO71,AQ71,AS71,AU71,AW71,AY71,BA71,BC71,BE71,BG71,BI71,BK71,BM71,BO71,BQ71,BS71,BU71,BW71,BY71)</f>
        <v/>
      </c>
      <c r="C71" s="25" t="inlineStr">
        <is>
          <t>SASKEN</t>
        </is>
      </c>
      <c r="D71" s="25" t="inlineStr">
        <is>
          <t>Sasken Technologies Ltd</t>
        </is>
      </c>
      <c r="E71" s="25" t="inlineStr">
        <is>
          <t>i.t</t>
        </is>
      </c>
      <c r="F71" s="25" t="inlineStr">
        <is>
          <t>IT - Software</t>
        </is>
      </c>
      <c r="G71" s="25" t="inlineStr">
        <is>
          <t>smallcap</t>
        </is>
      </c>
      <c r="H71" s="26" t="n">
        <v>3551.36</v>
      </c>
      <c r="I71" s="26" t="n">
        <v>2338.5</v>
      </c>
      <c r="J71" s="26" t="n">
        <v>3.01</v>
      </c>
      <c r="K71" s="26" t="n">
        <v>0</v>
      </c>
      <c r="L71" s="26" t="n">
        <v>79.63</v>
      </c>
      <c r="M71" s="26" t="n">
        <v>27.93</v>
      </c>
      <c r="N71" s="26" t="n">
        <v>1786.18</v>
      </c>
      <c r="O71" s="25" t="inlineStr">
        <is>
          <t>Near 52W High Breakout</t>
        </is>
      </c>
      <c r="P71" s="25" t="inlineStr">
        <is>
          <t>Growing Industry</t>
        </is>
      </c>
      <c r="Q71" s="25">
        <f>IF(P71="Growing Industry",10,IF(P71="Cyclical in an Upturn",5,0))</f>
        <v/>
      </c>
      <c r="R71" s="25" t="inlineStr">
        <is>
          <t>Too Many Players with High ROCE</t>
        </is>
      </c>
      <c r="S71" s="25">
        <f>IF(R71="Monopoly",10,IF(R71="Oligopoly",5,IF(R71="Duopoly that cooperate",10,IF(R71="Duopoly that compete",5,IF(R71="Too many players with High ROCE",5,0)))))</f>
        <v/>
      </c>
      <c r="T71" s="25" t="inlineStr">
        <is>
          <t>No</t>
        </is>
      </c>
      <c r="U71" s="25">
        <f>IF(T71="No",5,0)</f>
        <v/>
      </c>
      <c r="V71" s="25" t="inlineStr">
        <is>
          <t>Tailwind</t>
        </is>
      </c>
      <c r="W71" s="25">
        <f>IF(V71="Tailwind",10,0)</f>
        <v/>
      </c>
      <c r="X71" s="25" t="inlineStr">
        <is>
          <t>Structural (10 Years Consistency)</t>
        </is>
      </c>
      <c r="Y71" s="25">
        <f>IF(X71="Structural (10 Years Consistency)",10,IF(X71="Shallow Cyclical (2 to 3 years growth)",5,0))</f>
        <v/>
      </c>
      <c r="Z71" s="25" t="inlineStr">
        <is>
          <t>No</t>
        </is>
      </c>
      <c r="AA71" s="25">
        <f>IF(Z71="Yes due to Product Mix change or Operating Leverage",10,IF(Z71="Yes, these are peak margins",-5,IF(Z71="No",5,0)))</f>
        <v/>
      </c>
      <c r="AB71" s="25" t="inlineStr">
        <is>
          <t>Stable</t>
        </is>
      </c>
      <c r="AC71" s="25">
        <f>IF(AB71="Stable",10,0)</f>
        <v/>
      </c>
      <c r="AD71" s="25" t="inlineStr">
        <is>
          <t>Yes</t>
        </is>
      </c>
      <c r="AE71" s="25">
        <f>IF(AD71="Yes",10,0)</f>
        <v/>
      </c>
      <c r="AF71" s="25" t="inlineStr">
        <is>
          <t>B2B</t>
        </is>
      </c>
      <c r="AG71" s="25">
        <f>IF(AF71="B2C",10,IF(AF71="B2B",5,0))</f>
        <v/>
      </c>
      <c r="AH71" s="25" t="inlineStr">
        <is>
          <t>Yes</t>
        </is>
      </c>
      <c r="AI71" s="25">
        <f>IF(AH71="Yes",10,0)</f>
        <v/>
      </c>
      <c r="AJ71" s="25" t="inlineStr">
        <is>
          <t>Higher Annuity, Lower One Time</t>
        </is>
      </c>
      <c r="AK71" s="25">
        <f>IF(AJ71="Fully Annuity",10,IF(AJ71="Higher Annuity, Lower One Time",5,IF(AJ71="Higher One Time, Lower Annuity",3,0)))</f>
        <v/>
      </c>
      <c r="AL71" s="25" t="inlineStr">
        <is>
          <t>Good</t>
        </is>
      </c>
      <c r="AM71" s="25">
        <f>IF(AL71="Good",10,0)</f>
        <v/>
      </c>
      <c r="AN71" s="25" t="inlineStr">
        <is>
          <t>Yes for more than 2 years</t>
        </is>
      </c>
      <c r="AO71" s="25">
        <f>IF(AN71="Yes for more than 2 years",10,IF(AN71="Yes only for next 1 to 2 years",5,0))</f>
        <v/>
      </c>
      <c r="AP71" s="25" t="inlineStr">
        <is>
          <t>20 to 40</t>
        </is>
      </c>
      <c r="AQ71" s="25">
        <f>IF(AP71="Above 40",20,IF(AP71="20 to 40",10,IF(AP71="0 to 20",-5,0)))</f>
        <v/>
      </c>
      <c r="AR71" s="25" t="inlineStr">
        <is>
          <t>Above 75</t>
        </is>
      </c>
      <c r="AS71" s="25">
        <f>IF(AR71="Between 50 to 75",10,IF(AR71="Above 75",0,0))</f>
        <v/>
      </c>
      <c r="AT71" s="25" t="inlineStr">
        <is>
          <t>Stage 2</t>
        </is>
      </c>
      <c r="AU71" s="25">
        <f>IF(AT71="Stage 2",20,IF(AT71="Stage 1",0,IF(AT71="Stage 3",5,IF(AT71="Stage 4",-5,0))))</f>
        <v/>
      </c>
      <c r="AV71" s="25" t="inlineStr">
        <is>
          <t>Positive Trend</t>
        </is>
      </c>
      <c r="AW71" s="25">
        <f>IF(AV71="Positive Trend",20,IF(AV71="Negative Trend",-10,0))</f>
        <v/>
      </c>
      <c r="AX71" s="25" t="inlineStr">
        <is>
          <t>Uptrend</t>
        </is>
      </c>
      <c r="AY71" s="25">
        <f>IF(AX71="Uptrend",10,IF(AX71="Sideways",5,0))</f>
        <v/>
      </c>
      <c r="AZ71" s="25" t="inlineStr">
        <is>
          <t>Uptrend</t>
        </is>
      </c>
      <c r="BA71" s="25">
        <f>IF(AZ71="Uptrend",10,IF(AZ71="Sideways",5,0))</f>
        <v/>
      </c>
      <c r="BB71" s="25" t="inlineStr">
        <is>
          <t>Blue sky scenario</t>
        </is>
      </c>
      <c r="BC71" s="25">
        <f>IF(BB71="Overhead supply in last 2 years in last 2 years",-5,IF(BB71="Close to 52 week high or retracement",5,IF(BB71="Blue sky scenario",10,IF(BB71="Long term Downtrend",-10,0))))</f>
        <v/>
      </c>
      <c r="BD71" s="25" t="inlineStr">
        <is>
          <t>Yes</t>
        </is>
      </c>
      <c r="BE71" s="25">
        <f>IF(BD71="Yes",10,0)</f>
        <v/>
      </c>
      <c r="BF71" s="25" t="inlineStr">
        <is>
          <t>More than 20%</t>
        </is>
      </c>
      <c r="BG71" s="25">
        <f>IF(BF71="More than 20%",10,IF(BF71="Between 12 to 20%",5,IF(BF71="Less than 12%",0,0)))</f>
        <v/>
      </c>
      <c r="BH71" s="25" t="inlineStr">
        <is>
          <t>No</t>
        </is>
      </c>
      <c r="BI71" s="25">
        <f>IF(BH71="No",10,0)</f>
        <v/>
      </c>
      <c r="BJ71" s="25" t="inlineStr">
        <is>
          <t>Yes</t>
        </is>
      </c>
      <c r="BK71" s="25">
        <f>IF(BJ71="NO",5,0)</f>
        <v/>
      </c>
      <c r="BL71" s="25" t="inlineStr">
        <is>
          <t>Less than 1.5</t>
        </is>
      </c>
      <c r="BM71" s="25">
        <f>IF(BL71="Above 2",0,IF(BL71="Between 1.5 to 2",5,IF(BL71="Less than 1.5",10,0)))</f>
        <v/>
      </c>
      <c r="BN71" s="25" t="inlineStr">
        <is>
          <t>Negative</t>
        </is>
      </c>
      <c r="BO71" s="25">
        <f>IF(BN71="Above 70%",10,IF(BN71="Between 50% to 70%",5,IF(BN71="Less than 50%",0,IF(BN71="Negative",-10,IF(BN71="Less than 50% and Borrowings are increasing",-5,0)))))</f>
        <v/>
      </c>
      <c r="BP71" s="25" t="inlineStr">
        <is>
          <t>Less than 0.7</t>
        </is>
      </c>
      <c r="BQ71" s="25">
        <f>IF(BP71="More than 1.2",-10,IF(BP71="Between 0.7 to 1.2",0,IF(BP71="Less than 0.7",10,0)))</f>
        <v/>
      </c>
      <c r="BR71" s="25" t="inlineStr">
        <is>
          <t>No</t>
        </is>
      </c>
      <c r="BS71" s="25">
        <f>IF(BR71="Yes",-10,0)</f>
        <v/>
      </c>
      <c r="BT71" s="25" t="inlineStr">
        <is>
          <t>Less than 15%</t>
        </is>
      </c>
      <c r="BU71" s="25">
        <f>IF(BT71="More than 15%",-10,IF(BT71="Less than 15%",10,0))</f>
        <v/>
      </c>
      <c r="BV71" s="25" t="inlineStr">
        <is>
          <t>No</t>
        </is>
      </c>
      <c r="BW71" s="25">
        <f>IF(BV71="Yes, more than 10%",-10,IF(BV71="No",10,0))</f>
        <v/>
      </c>
      <c r="BX71" s="25" t="inlineStr">
        <is>
          <t>23</t>
        </is>
      </c>
      <c r="BY71" s="25">
        <f>IF(BX71&gt;20,10,IF(BX71&gt;=10,5,2))</f>
        <v/>
      </c>
    </row>
    <row r="72">
      <c r="A72" s="25">
        <f>IF(B72=0,"",RANK(B72,$B$2:$B$95,0))</f>
        <v/>
      </c>
      <c r="B72" s="26">
        <f>SUM(Q72,S72,U72,W72,Y72,AA72,AC72,AE72,AG72,AI72,AK72,AM72,AO72,AQ72,AS72,AU72,AW72,AY72,BA72,BC72,BE72,BG72,BI72,BK72,BM72,BO72,BQ72,BS72,BU72,BW72,BY72)</f>
        <v/>
      </c>
      <c r="C72" s="25" t="inlineStr">
        <is>
          <t>SANDHAR</t>
        </is>
      </c>
      <c r="D72" s="25" t="inlineStr">
        <is>
          <t>Sandhar Technologies Limited</t>
        </is>
      </c>
      <c r="E72" s="25" t="inlineStr">
        <is>
          <t>auto</t>
        </is>
      </c>
      <c r="F72" s="25" t="inlineStr">
        <is>
          <t>Auto Ancillaries - 2&amp;3 Wheelers</t>
        </is>
      </c>
      <c r="G72" s="25" t="inlineStr">
        <is>
          <t>smallcap</t>
        </is>
      </c>
      <c r="H72" s="26" t="n">
        <v>4196.2</v>
      </c>
      <c r="I72" s="26" t="n">
        <v>697.15</v>
      </c>
      <c r="J72" s="26" t="n">
        <v>3.05</v>
      </c>
      <c r="K72" s="26" t="n">
        <v>0</v>
      </c>
      <c r="L72" s="26" t="n">
        <v>70.95999999999999</v>
      </c>
      <c r="M72" s="26" t="n">
        <v>15.54</v>
      </c>
      <c r="N72" s="26" t="n">
        <v>521.1900000000001</v>
      </c>
      <c r="O72" s="25" t="inlineStr">
        <is>
          <t>Near 52W High Breakout</t>
        </is>
      </c>
      <c r="P72" s="25" t="inlineStr">
        <is>
          <t>Growing Industry</t>
        </is>
      </c>
      <c r="Q72" s="25">
        <f>IF(P72="Growing Industry",10,IF(P72="Cyclical in an Upturn",5,0))</f>
        <v/>
      </c>
      <c r="R72" s="25" t="inlineStr">
        <is>
          <t>Too Many Players with High ROCE</t>
        </is>
      </c>
      <c r="S72" s="25">
        <f>IF(R72="Monopoly",10,IF(R72="Oligopoly",5,IF(R72="Duopoly that cooperate",10,IF(R72="Duopoly that compete",5,IF(R72="Too many players with High ROCE",5,0)))))</f>
        <v/>
      </c>
      <c r="T72" s="25" t="inlineStr">
        <is>
          <t>No</t>
        </is>
      </c>
      <c r="U72" s="25">
        <f>IF(T72="No",5,0)</f>
        <v/>
      </c>
      <c r="V72" s="25" t="inlineStr">
        <is>
          <t>Tailwind</t>
        </is>
      </c>
      <c r="W72" s="25">
        <f>IF(V72="Tailwind",10,0)</f>
        <v/>
      </c>
      <c r="X72" s="25" t="inlineStr">
        <is>
          <t>Structural (10 Years Consistency)</t>
        </is>
      </c>
      <c r="Y72" s="25">
        <f>IF(X72="Structural (10 Years Consistency)",10,IF(X72="Shallow Cyclical (2 to 3 years growth)",5,0))</f>
        <v/>
      </c>
      <c r="Z72" s="25" t="inlineStr">
        <is>
          <t>No</t>
        </is>
      </c>
      <c r="AA72" s="25">
        <f>IF(Z72="Yes due to Product Mix change or Operating Leverage",10,IF(Z72="Yes, these are peak margins",-5,IF(Z72="No",5,0)))</f>
        <v/>
      </c>
      <c r="AB72" s="25" t="inlineStr">
        <is>
          <t>Stable</t>
        </is>
      </c>
      <c r="AC72" s="25">
        <f>IF(AB72="Stable",10,0)</f>
        <v/>
      </c>
      <c r="AD72" s="25" t="inlineStr">
        <is>
          <t>Yes</t>
        </is>
      </c>
      <c r="AE72" s="25">
        <f>IF(AD72="Yes",10,0)</f>
        <v/>
      </c>
      <c r="AF72" s="25" t="inlineStr">
        <is>
          <t>B2B</t>
        </is>
      </c>
      <c r="AG72" s="25">
        <f>IF(AF72="B2C",10,IF(AF72="B2B",5,0))</f>
        <v/>
      </c>
      <c r="AH72" s="25" t="inlineStr">
        <is>
          <t>Yes</t>
        </is>
      </c>
      <c r="AI72" s="25">
        <f>IF(AH72="Yes",10,0)</f>
        <v/>
      </c>
      <c r="AJ72" s="25" t="inlineStr">
        <is>
          <t>Higher One Time, Lower Annuity</t>
        </is>
      </c>
      <c r="AK72" s="25">
        <f>IF(AJ72="Fully Annuity",10,IF(AJ72="Higher Annuity, Lower One Time",5,IF(AJ72="Higher One Time, Lower Annuity",3,0)))</f>
        <v/>
      </c>
      <c r="AL72" s="25" t="inlineStr">
        <is>
          <t>Good</t>
        </is>
      </c>
      <c r="AM72" s="25">
        <f>IF(AL72="Good",10,0)</f>
        <v/>
      </c>
      <c r="AN72" s="25" t="inlineStr">
        <is>
          <t>Yes for more than 2 years</t>
        </is>
      </c>
      <c r="AO72" s="25">
        <f>IF(AN72="Yes for more than 2 years",10,IF(AN72="Yes only for next 1 to 2 years",5,0))</f>
        <v/>
      </c>
      <c r="AP72" s="25" t="inlineStr">
        <is>
          <t>0 to 20</t>
        </is>
      </c>
      <c r="AQ72" s="25">
        <f>IF(AP72="Above 40",20,IF(AP72="20 to 40",10,IF(AP72="0 to 20",-5,0)))</f>
        <v/>
      </c>
      <c r="AR72" s="25" t="inlineStr">
        <is>
          <t>Between 50 to 75</t>
        </is>
      </c>
      <c r="AS72" s="25">
        <f>IF(AR72="Between 50 to 75",10,IF(AR72="Above 75",0,0))</f>
        <v/>
      </c>
      <c r="AT72" s="25" t="inlineStr">
        <is>
          <t>Stage 2</t>
        </is>
      </c>
      <c r="AU72" s="25">
        <f>IF(AT72="Stage 2",20,IF(AT72="Stage 1",0,IF(AT72="Stage 3",5,IF(AT72="Stage 4",-5,0))))</f>
        <v/>
      </c>
      <c r="AV72" s="25" t="inlineStr">
        <is>
          <t>Positive Trend</t>
        </is>
      </c>
      <c r="AW72" s="25">
        <f>IF(AV72="Positive Trend",20,IF(AV72="Negative Trend",-10,0))</f>
        <v/>
      </c>
      <c r="AX72" s="25" t="inlineStr">
        <is>
          <t>Uptrend</t>
        </is>
      </c>
      <c r="AY72" s="25">
        <f>IF(AX72="Uptrend",10,IF(AX72="Sideways",5,0))</f>
        <v/>
      </c>
      <c r="AZ72" s="25" t="inlineStr">
        <is>
          <t>Uptrend</t>
        </is>
      </c>
      <c r="BA72" s="25">
        <f>IF(AZ72="Uptrend",10,IF(AZ72="Sideways",5,0))</f>
        <v/>
      </c>
      <c r="BB72" s="25" t="inlineStr">
        <is>
          <t>Blue sky scenario</t>
        </is>
      </c>
      <c r="BC72" s="25">
        <f>IF(BB72="Overhead supply in last 2 years in last 2 years",-5,IF(BB72="Close to 52 week high or retracement",5,IF(BB72="Blue sky scenario",10,IF(BB72="Long term Downtrend",-10,0))))</f>
        <v/>
      </c>
      <c r="BD72" s="25" t="inlineStr">
        <is>
          <t>Yes</t>
        </is>
      </c>
      <c r="BE72" s="25">
        <f>IF(BD72="Yes",10,0)</f>
        <v/>
      </c>
      <c r="BF72" s="25" t="inlineStr">
        <is>
          <t>More than 20%</t>
        </is>
      </c>
      <c r="BG72" s="25">
        <f>IF(BF72="More than 20%",10,IF(BF72="Between 12 to 20%",5,IF(BF72="Less than 12%",0,0)))</f>
        <v/>
      </c>
      <c r="BH72" s="25" t="inlineStr">
        <is>
          <t>No</t>
        </is>
      </c>
      <c r="BI72" s="25">
        <f>IF(BH72="No",10,0)</f>
        <v/>
      </c>
      <c r="BJ72" s="25" t="inlineStr">
        <is>
          <t>No</t>
        </is>
      </c>
      <c r="BK72" s="25">
        <f>IF(BJ72="NO",5,0)</f>
        <v/>
      </c>
      <c r="BL72" s="25" t="inlineStr">
        <is>
          <t>Less than 1.5</t>
        </is>
      </c>
      <c r="BM72" s="25">
        <f>IF(BL72="Above 2",0,IF(BL72="Between 1.5 to 2",5,IF(BL72="Less than 1.5",10,0)))</f>
        <v/>
      </c>
      <c r="BN72" s="25" t="inlineStr">
        <is>
          <t>Less than 50%</t>
        </is>
      </c>
      <c r="BO72" s="25">
        <f>IF(BN72="Above 70%",10,IF(BN72="Between 50% to 70%",5,IF(BN72="Less than 50%",0,IF(BN72="Negative",-10,IF(BN72="Less than 50% and Borrowings are increasing",-5,0)))))</f>
        <v/>
      </c>
      <c r="BP72" s="25" t="inlineStr">
        <is>
          <t>Between 0.7 to 1.2</t>
        </is>
      </c>
      <c r="BQ72" s="25">
        <f>IF(BP72="More than 1.2",-10,IF(BP72="Between 0.7 to 1.2",0,IF(BP72="Less than 0.7",10,0)))</f>
        <v/>
      </c>
      <c r="BR72" s="25" t="inlineStr">
        <is>
          <t>No</t>
        </is>
      </c>
      <c r="BS72" s="25">
        <f>IF(BR72="Yes",-10,0)</f>
        <v/>
      </c>
      <c r="BT72" s="25" t="inlineStr">
        <is>
          <t>Less than 15%</t>
        </is>
      </c>
      <c r="BU72" s="25">
        <f>IF(BT72="More than 15%",-10,IF(BT72="Less than 15%",10,0))</f>
        <v/>
      </c>
      <c r="BV72" s="25" t="inlineStr">
        <is>
          <t>No</t>
        </is>
      </c>
      <c r="BW72" s="25">
        <f>IF(BV72="Yes, more than 10%",-10,IF(BV72="No",10,0))</f>
        <v/>
      </c>
      <c r="BX72" s="25" t="inlineStr">
        <is>
          <t>25</t>
        </is>
      </c>
      <c r="BY72" s="25">
        <f>IF(BX72&gt;20,10,IF(BX72&gt;=10,5,2))</f>
        <v/>
      </c>
    </row>
    <row r="73">
      <c r="A73" s="25">
        <f>IF(B73=0,"",RANK(B73,$B$2:$B$95,0))</f>
        <v/>
      </c>
      <c r="B73" s="26">
        <f>SUM(Q73,S73,U73,W73,Y73,AA73,AC73,AE73,AG73,AI73,AK73,AM73,AO73,AQ73,AS73,AU73,AW73,AY73,BA73,BC73,BE73,BG73,BI73,BK73,BM73,BO73,BQ73,BS73,BU73,BW73,BY73)</f>
        <v/>
      </c>
      <c r="C73" s="25" t="inlineStr">
        <is>
          <t>RAIN</t>
        </is>
      </c>
      <c r="D73" s="25" t="inlineStr">
        <is>
          <t>Rain Industries Ltd</t>
        </is>
      </c>
      <c r="E73" s="25" t="inlineStr">
        <is>
          <t>miscellaneous</t>
        </is>
      </c>
      <c r="F73" s="25" t="inlineStr">
        <is>
          <t>Cement</t>
        </is>
      </c>
      <c r="G73" s="25" t="inlineStr">
        <is>
          <t>midcap</t>
        </is>
      </c>
      <c r="H73" s="26" t="n">
        <v>6656.28</v>
      </c>
      <c r="I73" s="26" t="n">
        <v>197.9</v>
      </c>
      <c r="J73" s="26" t="n">
        <v>3.78</v>
      </c>
      <c r="K73" s="26" t="n">
        <v>0</v>
      </c>
      <c r="L73" s="26" t="n">
        <v>72.68000000000001</v>
      </c>
      <c r="M73" s="26" t="n">
        <v>18.71</v>
      </c>
      <c r="N73" s="26" t="n">
        <v>149.03</v>
      </c>
      <c r="O73" s="25" t="inlineStr">
        <is>
          <t>Near 52W High Breakout</t>
        </is>
      </c>
      <c r="P73" s="25" t="inlineStr">
        <is>
          <t>Growing Industry</t>
        </is>
      </c>
      <c r="Q73" s="25">
        <f>IF(P73="Growing Industry",10,IF(P73="Cyclical in an Upturn",5,0))</f>
        <v/>
      </c>
      <c r="R73" s="25" t="inlineStr">
        <is>
          <t>Too Many Players with High ROCE</t>
        </is>
      </c>
      <c r="S73" s="25">
        <f>IF(R73="Monopoly",10,IF(R73="Oligopoly",5,IF(R73="Duopoly that cooperate",10,IF(R73="Duopoly that compete",5,IF(R73="Too many players with High ROCE",5,0)))))</f>
        <v/>
      </c>
      <c r="T73" s="25" t="inlineStr">
        <is>
          <t>No</t>
        </is>
      </c>
      <c r="U73" s="25">
        <f>IF(T73="No",5,0)</f>
        <v/>
      </c>
      <c r="V73" s="25" t="inlineStr">
        <is>
          <t>Tailwind</t>
        </is>
      </c>
      <c r="W73" s="25">
        <f>IF(V73="Tailwind",10,0)</f>
        <v/>
      </c>
      <c r="X73" s="25" t="inlineStr">
        <is>
          <t>Structural (10 Years Consistency)</t>
        </is>
      </c>
      <c r="Y73" s="25">
        <f>IF(X73="Structural (10 Years Consistency)",10,IF(X73="Shallow Cyclical (2 to 3 years growth)",5,0))</f>
        <v/>
      </c>
      <c r="Z73" s="25" t="inlineStr">
        <is>
          <t>No</t>
        </is>
      </c>
      <c r="AA73" s="25">
        <f>IF(Z73="Yes due to Product Mix change or Operating Leverage",10,IF(Z73="Yes, these are peak margins",-5,IF(Z73="No",5,0)))</f>
        <v/>
      </c>
      <c r="AB73" s="25" t="inlineStr">
        <is>
          <t>Stable</t>
        </is>
      </c>
      <c r="AC73" s="25">
        <f>IF(AB73="Stable",10,0)</f>
        <v/>
      </c>
      <c r="AD73" s="25" t="inlineStr">
        <is>
          <t>Yes</t>
        </is>
      </c>
      <c r="AE73" s="25">
        <f>IF(AD73="Yes",10,0)</f>
        <v/>
      </c>
      <c r="AF73" s="25" t="inlineStr">
        <is>
          <t>B2B</t>
        </is>
      </c>
      <c r="AG73" s="25">
        <f>IF(AF73="B2C",10,IF(AF73="B2B",5,0))</f>
        <v/>
      </c>
      <c r="AH73" s="25" t="inlineStr">
        <is>
          <t>Yes</t>
        </is>
      </c>
      <c r="AI73" s="25">
        <f>IF(AH73="Yes",10,0)</f>
        <v/>
      </c>
      <c r="AJ73" s="25" t="inlineStr">
        <is>
          <t>Higher One Time, Lower Annuity</t>
        </is>
      </c>
      <c r="AK73" s="25">
        <f>IF(AJ73="Fully Annuity",10,IF(AJ73="Higher Annuity, Lower One Time",5,IF(AJ73="Higher One Time, Lower Annuity",3,0)))</f>
        <v/>
      </c>
      <c r="AL73" s="25" t="inlineStr">
        <is>
          <t>Good</t>
        </is>
      </c>
      <c r="AM73" s="25">
        <f>IF(AL73="Good",10,0)</f>
        <v/>
      </c>
      <c r="AN73" s="25" t="inlineStr">
        <is>
          <t>Yes for more than 2 years</t>
        </is>
      </c>
      <c r="AO73" s="25">
        <f>IF(AN73="Yes for more than 2 years",10,IF(AN73="Yes only for next 1 to 2 years",5,0))</f>
        <v/>
      </c>
      <c r="AP73" s="25" t="inlineStr">
        <is>
          <t>0 to 20</t>
        </is>
      </c>
      <c r="AQ73" s="25">
        <f>IF(AP73="Above 40",20,IF(AP73="20 to 40",10,IF(AP73="0 to 20",-5,0)))</f>
        <v/>
      </c>
      <c r="AR73" s="25" t="inlineStr">
        <is>
          <t>Between 50 to 75</t>
        </is>
      </c>
      <c r="AS73" s="25">
        <f>IF(AR73="Between 50 to 75",10,IF(AR73="Above 75",0,0))</f>
        <v/>
      </c>
      <c r="AT73" s="25" t="inlineStr">
        <is>
          <t>Stage 2</t>
        </is>
      </c>
      <c r="AU73" s="25">
        <f>IF(AT73="Stage 2",20,IF(AT73="Stage 1",0,IF(AT73="Stage 3",5,IF(AT73="Stage 4",-5,0))))</f>
        <v/>
      </c>
      <c r="AV73" s="25" t="inlineStr">
        <is>
          <t>Positive Trend</t>
        </is>
      </c>
      <c r="AW73" s="25">
        <f>IF(AV73="Positive Trend",20,IF(AV73="Negative Trend",-10,0))</f>
        <v/>
      </c>
      <c r="AX73" s="25" t="inlineStr">
        <is>
          <t>Uptrend</t>
        </is>
      </c>
      <c r="AY73" s="25">
        <f>IF(AX73="Uptrend",10,IF(AX73="Sideways",5,0))</f>
        <v/>
      </c>
      <c r="AZ73" s="25" t="inlineStr">
        <is>
          <t>Uptrend</t>
        </is>
      </c>
      <c r="BA73" s="25">
        <f>IF(AZ73="Uptrend",10,IF(AZ73="Sideways",5,0))</f>
        <v/>
      </c>
      <c r="BB73" s="25" t="inlineStr">
        <is>
          <t>Blue sky scenario</t>
        </is>
      </c>
      <c r="BC73" s="25">
        <f>IF(BB73="Overhead supply in last 2 years in last 2 years",-5,IF(BB73="Close to 52 week high or retracement",5,IF(BB73="Blue sky scenario",10,IF(BB73="Long term Downtrend",-10,0))))</f>
        <v/>
      </c>
      <c r="BD73" s="25" t="inlineStr">
        <is>
          <t>Yes</t>
        </is>
      </c>
      <c r="BE73" s="25">
        <f>IF(BD73="Yes",10,0)</f>
        <v/>
      </c>
      <c r="BF73" s="25" t="inlineStr">
        <is>
          <t>More than 20%</t>
        </is>
      </c>
      <c r="BG73" s="25">
        <f>IF(BF73="More than 20%",10,IF(BF73="Between 12 to 20%",5,IF(BF73="Less than 12%",0,0)))</f>
        <v/>
      </c>
      <c r="BH73" s="25" t="inlineStr">
        <is>
          <t>No</t>
        </is>
      </c>
      <c r="BI73" s="25">
        <f>IF(BH73="No",10,0)</f>
        <v/>
      </c>
      <c r="BJ73" s="25" t="inlineStr">
        <is>
          <t>No</t>
        </is>
      </c>
      <c r="BK73" s="25">
        <f>IF(BJ73="NO",5,0)</f>
        <v/>
      </c>
      <c r="BL73" s="25" t="inlineStr">
        <is>
          <t>Less than 1.5</t>
        </is>
      </c>
      <c r="BM73" s="25">
        <f>IF(BL73="Above 2",0,IF(BL73="Between 1.5 to 2",5,IF(BL73="Less than 1.5",10,0)))</f>
        <v/>
      </c>
      <c r="BN73" s="25" t="inlineStr">
        <is>
          <t>Above 70%</t>
        </is>
      </c>
      <c r="BO73" s="25">
        <f>IF(BN73="Above 70%",10,IF(BN73="Between 50% to 70%",5,IF(BN73="Less than 50%",0,IF(BN73="Negative",-10,IF(BN73="Less than 50% and Borrowings are increasing",-5,0)))))</f>
        <v/>
      </c>
      <c r="BP73" s="25" t="inlineStr">
        <is>
          <t>More than 1.2</t>
        </is>
      </c>
      <c r="BQ73" s="25">
        <f>IF(BP73="More than 1.2",-10,IF(BP73="Between 0.7 to 1.2",0,IF(BP73="Less than 0.7",10,0)))</f>
        <v/>
      </c>
      <c r="BR73" s="25" t="inlineStr">
        <is>
          <t>No</t>
        </is>
      </c>
      <c r="BS73" s="25">
        <f>IF(BR73="Yes",-10,0)</f>
        <v/>
      </c>
      <c r="BT73" s="25" t="inlineStr">
        <is>
          <t>Less than 15%</t>
        </is>
      </c>
      <c r="BU73" s="25">
        <f>IF(BT73="More than 15%",-10,IF(BT73="Less than 15%",10,0))</f>
        <v/>
      </c>
      <c r="BV73" s="25" t="inlineStr">
        <is>
          <t>No</t>
        </is>
      </c>
      <c r="BW73" s="25">
        <f>IF(BV73="Yes, more than 10%",-10,IF(BV73="No",10,0))</f>
        <v/>
      </c>
      <c r="BX73" s="25" t="inlineStr">
        <is>
          <t>25</t>
        </is>
      </c>
      <c r="BY73" s="25">
        <f>IF(BX73&gt;20,10,IF(BX73&gt;=10,5,2))</f>
        <v/>
      </c>
    </row>
    <row r="74">
      <c r="A74" s="25">
        <f>IF(B74=0,"",RANK(B74,$B$2:$B$95,0))</f>
        <v/>
      </c>
      <c r="B74" s="26">
        <f>SUM(Q74,S74,U74,W74,Y74,AA74,AC74,AE74,AG74,AI74,AK74,AM74,AO74,AQ74,AS74,AU74,AW74,AY74,BA74,BC74,BE74,BG74,BI74,BK74,BM74,BO74,BQ74,BS74,BU74,BW74,BY74)</f>
        <v/>
      </c>
      <c r="C74" s="25" t="inlineStr">
        <is>
          <t>NITTAGELA</t>
        </is>
      </c>
      <c r="D74" s="25" t="inlineStr">
        <is>
          <t>Nitta Gelatin India Ltd</t>
        </is>
      </c>
      <c r="E74" s="25" t="inlineStr">
        <is>
          <t>Basic Materials</t>
        </is>
      </c>
      <c r="F74" s="25" t="inlineStr">
        <is>
          <t>Chemicals - Organic</t>
        </is>
      </c>
      <c r="G74" s="25" t="inlineStr">
        <is>
          <t>smallcap</t>
        </is>
      </c>
      <c r="H74" s="26" t="n">
        <v>1479.86</v>
      </c>
      <c r="I74" s="26" t="n">
        <v>1629.95</v>
      </c>
      <c r="J74" s="26" t="n">
        <v>-1.29</v>
      </c>
      <c r="K74" s="26" t="n">
        <v>0</v>
      </c>
      <c r="L74" s="26" t="n">
        <v>90.08</v>
      </c>
      <c r="M74" s="26" t="n">
        <v>38.95</v>
      </c>
      <c r="N74" s="26" t="n">
        <v>1362.49</v>
      </c>
      <c r="O74" s="25" t="inlineStr">
        <is>
          <t>Near 52W High Breakout</t>
        </is>
      </c>
      <c r="P74" s="25" t="inlineStr">
        <is>
          <t>Cyclical in an Upturn</t>
        </is>
      </c>
      <c r="Q74" s="25">
        <f>IF(P74="Growing Industry",10,IF(P74="Cyclical in an Upturn",5,0))</f>
        <v/>
      </c>
      <c r="R74" s="25" t="inlineStr">
        <is>
          <t>Too Many Players with High ROCE</t>
        </is>
      </c>
      <c r="S74" s="25">
        <f>IF(R74="Monopoly",10,IF(R74="Oligopoly",5,IF(R74="Duopoly that cooperate",10,IF(R74="Duopoly that compete",5,IF(R74="Too many players with High ROCE",5,0)))))</f>
        <v/>
      </c>
      <c r="T74" s="25" t="inlineStr">
        <is>
          <t>No</t>
        </is>
      </c>
      <c r="U74" s="25">
        <f>IF(T74="No",5,0)</f>
        <v/>
      </c>
      <c r="V74" s="25" t="inlineStr">
        <is>
          <t>Tailwind</t>
        </is>
      </c>
      <c r="W74" s="25">
        <f>IF(V74="Tailwind",10,0)</f>
        <v/>
      </c>
      <c r="X74" s="25" t="inlineStr">
        <is>
          <t>Cyclical</t>
        </is>
      </c>
      <c r="Y74" s="25">
        <f>IF(X74="Structural (10 Years Consistency)",10,IF(X74="Shallow Cyclical (2 to 3 years growth)",5,0))</f>
        <v/>
      </c>
      <c r="Z74" s="25" t="inlineStr">
        <is>
          <t>No</t>
        </is>
      </c>
      <c r="AA74" s="25">
        <f>IF(Z74="Yes due to Product Mix change or Operating Leverage",10,IF(Z74="Yes, these are peak margins",-5,IF(Z74="No",5,0)))</f>
        <v/>
      </c>
      <c r="AB74" s="25" t="inlineStr">
        <is>
          <t>Volatile</t>
        </is>
      </c>
      <c r="AC74" s="25">
        <f>IF(AB74="Stable",10,0)</f>
        <v/>
      </c>
      <c r="AD74" s="25" t="inlineStr">
        <is>
          <t>Yes</t>
        </is>
      </c>
      <c r="AE74" s="25">
        <f>IF(AD74="Yes",10,0)</f>
        <v/>
      </c>
      <c r="AF74" s="25" t="inlineStr">
        <is>
          <t>B2B</t>
        </is>
      </c>
      <c r="AG74" s="25">
        <f>IF(AF74="B2C",10,IF(AF74="B2B",5,0))</f>
        <v/>
      </c>
      <c r="AH74" s="25" t="inlineStr">
        <is>
          <t>Yes</t>
        </is>
      </c>
      <c r="AI74" s="25">
        <f>IF(AH74="Yes",10,0)</f>
        <v/>
      </c>
      <c r="AJ74" s="25" t="inlineStr">
        <is>
          <t>Higher One Time, Lower Annuity</t>
        </is>
      </c>
      <c r="AK74" s="25">
        <f>IF(AJ74="Fully Annuity",10,IF(AJ74="Higher Annuity, Lower One Time",5,IF(AJ74="Higher One Time, Lower Annuity",3,0)))</f>
        <v/>
      </c>
      <c r="AL74" s="25" t="inlineStr">
        <is>
          <t>Good</t>
        </is>
      </c>
      <c r="AM74" s="25">
        <f>IF(AL74="Good",10,0)</f>
        <v/>
      </c>
      <c r="AN74" s="25" t="inlineStr">
        <is>
          <t>Yes for more than 2 years</t>
        </is>
      </c>
      <c r="AO74" s="25">
        <f>IF(AN74="Yes for more than 2 years",10,IF(AN74="Yes only for next 1 to 2 years",5,0))</f>
        <v/>
      </c>
      <c r="AP74" s="25" t="inlineStr">
        <is>
          <t>20 to 40</t>
        </is>
      </c>
      <c r="AQ74" s="25">
        <f>IF(AP74="Above 40",20,IF(AP74="20 to 40",10,IF(AP74="0 to 20",-5,0)))</f>
        <v/>
      </c>
      <c r="AR74" s="25" t="inlineStr">
        <is>
          <t>Above 75</t>
        </is>
      </c>
      <c r="AS74" s="25">
        <f>IF(AR74="Between 50 to 75",10,IF(AR74="Above 75",0,0))</f>
        <v/>
      </c>
      <c r="AT74" s="25" t="inlineStr">
        <is>
          <t>Stage 2</t>
        </is>
      </c>
      <c r="AU74" s="25">
        <f>IF(AT74="Stage 2",20,IF(AT74="Stage 1",0,IF(AT74="Stage 3",5,IF(AT74="Stage 4",-5,0))))</f>
        <v/>
      </c>
      <c r="AV74" s="25" t="inlineStr">
        <is>
          <t>Positive Trend</t>
        </is>
      </c>
      <c r="AW74" s="25">
        <f>IF(AV74="Positive Trend",20,IF(AV74="Negative Trend",-10,0))</f>
        <v/>
      </c>
      <c r="AX74" s="25" t="inlineStr">
        <is>
          <t>Uptrend</t>
        </is>
      </c>
      <c r="AY74" s="25">
        <f>IF(AX74="Uptrend",10,IF(AX74="Sideways",5,0))</f>
        <v/>
      </c>
      <c r="AZ74" s="25" t="inlineStr">
        <is>
          <t>Uptrend</t>
        </is>
      </c>
      <c r="BA74" s="25">
        <f>IF(AZ74="Uptrend",10,IF(AZ74="Sideways",5,0))</f>
        <v/>
      </c>
      <c r="BB74" s="25" t="inlineStr">
        <is>
          <t>Blue sky scenario</t>
        </is>
      </c>
      <c r="BC74" s="25">
        <f>IF(BB74="Overhead supply in last 2 years in last 2 years",-5,IF(BB74="Close to 52 week high or retracement",5,IF(BB74="Blue sky scenario",10,IF(BB74="Long term Downtrend",-10,0))))</f>
        <v/>
      </c>
      <c r="BD74" s="25" t="inlineStr">
        <is>
          <t>Yes</t>
        </is>
      </c>
      <c r="BE74" s="25">
        <f>IF(BD74="Yes",10,0)</f>
        <v/>
      </c>
      <c r="BF74" s="25" t="inlineStr">
        <is>
          <t>More than 20%</t>
        </is>
      </c>
      <c r="BG74" s="25">
        <f>IF(BF74="More than 20%",10,IF(BF74="Between 12 to 20%",5,IF(BF74="Less than 12%",0,0)))</f>
        <v/>
      </c>
      <c r="BH74" s="25" t="inlineStr">
        <is>
          <t>No</t>
        </is>
      </c>
      <c r="BI74" s="25">
        <f>IF(BH74="No",10,0)</f>
        <v/>
      </c>
      <c r="BJ74" s="25" t="inlineStr">
        <is>
          <t>No</t>
        </is>
      </c>
      <c r="BK74" s="25">
        <f>IF(BJ74="NO",5,0)</f>
        <v/>
      </c>
      <c r="BL74" s="25" t="inlineStr">
        <is>
          <t>Less than 1.5</t>
        </is>
      </c>
      <c r="BM74" s="25">
        <f>IF(BL74="Above 2",0,IF(BL74="Between 1.5 to 2",5,IF(BL74="Less than 1.5",10,0)))</f>
        <v/>
      </c>
      <c r="BN74" s="25" t="inlineStr">
        <is>
          <t>Above 70%</t>
        </is>
      </c>
      <c r="BO74" s="25">
        <f>IF(BN74="Above 70%",10,IF(BN74="Between 50% to 70%",5,IF(BN74="Less than 50%",0,IF(BN74="Negative",-10,IF(BN74="Less than 50% and Borrowings are increasing",-5,0)))))</f>
        <v/>
      </c>
      <c r="BP74" s="25" t="inlineStr">
        <is>
          <t>Less than 0.7</t>
        </is>
      </c>
      <c r="BQ74" s="25">
        <f>IF(BP74="More than 1.2",-10,IF(BP74="Between 0.7 to 1.2",0,IF(BP74="Less than 0.7",10,0)))</f>
        <v/>
      </c>
      <c r="BR74" s="25" t="inlineStr">
        <is>
          <t>No</t>
        </is>
      </c>
      <c r="BS74" s="25">
        <f>IF(BR74="Yes",-10,0)</f>
        <v/>
      </c>
      <c r="BT74" s="25" t="inlineStr">
        <is>
          <t>Less than 15%</t>
        </is>
      </c>
      <c r="BU74" s="25">
        <f>IF(BT74="More than 15%",-10,IF(BT74="Less than 15%",10,0))</f>
        <v/>
      </c>
      <c r="BV74" s="25" t="inlineStr">
        <is>
          <t>No</t>
        </is>
      </c>
      <c r="BW74" s="25">
        <f>IF(BV74="Yes, more than 10%",-10,IF(BV74="No",10,0))</f>
        <v/>
      </c>
      <c r="BX74" s="25" t="inlineStr">
        <is>
          <t>24</t>
        </is>
      </c>
      <c r="BY74" s="25">
        <f>IF(BX74&gt;20,10,IF(BX74&gt;=10,5,2))</f>
        <v/>
      </c>
    </row>
    <row r="75">
      <c r="A75" s="25">
        <f>IF(B75=0,"",RANK(B75,$B$2:$B$95,0))</f>
        <v/>
      </c>
      <c r="B75" s="26">
        <f>SUM(Q75,S75,U75,W75,Y75,AA75,AC75,AE75,AG75,AI75,AK75,AM75,AO75,AQ75,AS75,AU75,AW75,AY75,BA75,BC75,BE75,BG75,BI75,BK75,BM75,BO75,BQ75,BS75,BU75,BW75,BY75)</f>
        <v/>
      </c>
      <c r="C75" s="25" t="inlineStr">
        <is>
          <t>NSLNISP</t>
        </is>
      </c>
      <c r="D75" s="25" t="inlineStr">
        <is>
          <t>NMDC Steel Ltd</t>
        </is>
      </c>
      <c r="E75" s="25" t="inlineStr">
        <is>
          <t>metals &amp; mining</t>
        </is>
      </c>
      <c r="F75" s="25" t="inlineStr">
        <is>
          <t>Steel</t>
        </is>
      </c>
      <c r="G75" s="25" t="inlineStr">
        <is>
          <t>midcap</t>
        </is>
      </c>
      <c r="H75" s="26" t="n">
        <v>15400.33</v>
      </c>
      <c r="I75" s="26" t="n">
        <v>52.55</v>
      </c>
      <c r="J75" s="26" t="n">
        <v>4.06</v>
      </c>
      <c r="K75" s="26" t="n">
        <v>0</v>
      </c>
      <c r="L75" s="26" t="n">
        <v>71.04000000000001</v>
      </c>
      <c r="M75" s="26" t="n">
        <v>24.11</v>
      </c>
      <c r="N75" s="26" t="n">
        <v>41.6</v>
      </c>
      <c r="O75" s="25" t="inlineStr">
        <is>
          <t>Volume Spike &amp; Near 52W High Breakout</t>
        </is>
      </c>
      <c r="P75" s="25" t="inlineStr">
        <is>
          <t>Cyclical in an Upturn</t>
        </is>
      </c>
      <c r="Q75" s="25">
        <f>IF(P75="Growing Industry",10,IF(P75="Cyclical in an Upturn",5,0))</f>
        <v/>
      </c>
      <c r="R75" s="25" t="inlineStr">
        <is>
          <t>Too Many Players with High ROCE</t>
        </is>
      </c>
      <c r="S75" s="25">
        <f>IF(R75="Monopoly",10,IF(R75="Oligopoly",5,IF(R75="Duopoly that cooperate",10,IF(R75="Duopoly that compete",5,IF(R75="Too many players with High ROCE",5,0)))))</f>
        <v/>
      </c>
      <c r="T75" s="25" t="inlineStr">
        <is>
          <t>No</t>
        </is>
      </c>
      <c r="U75" s="25">
        <f>IF(T75="No",5,0)</f>
        <v/>
      </c>
      <c r="V75" s="25" t="inlineStr">
        <is>
          <t>Tailwind</t>
        </is>
      </c>
      <c r="W75" s="25">
        <f>IF(V75="Tailwind",10,0)</f>
        <v/>
      </c>
      <c r="X75" s="25" t="inlineStr">
        <is>
          <t>Cyclical</t>
        </is>
      </c>
      <c r="Y75" s="25">
        <f>IF(X75="Structural (10 Years Consistency)",10,IF(X75="Shallow Cyclical (2 to 3 years growth)",5,0))</f>
        <v/>
      </c>
      <c r="Z75" s="25" t="inlineStr">
        <is>
          <t>No</t>
        </is>
      </c>
      <c r="AA75" s="25">
        <f>IF(Z75="Yes due to Product Mix change or Operating Leverage",10,IF(Z75="Yes, these are peak margins",-5,IF(Z75="No",5,0)))</f>
        <v/>
      </c>
      <c r="AB75" s="25" t="inlineStr">
        <is>
          <t>Volatile</t>
        </is>
      </c>
      <c r="AC75" s="25">
        <f>IF(AB75="Stable",10,0)</f>
        <v/>
      </c>
      <c r="AD75" s="25" t="inlineStr">
        <is>
          <t>Yes</t>
        </is>
      </c>
      <c r="AE75" s="25">
        <f>IF(AD75="Yes",10,0)</f>
        <v/>
      </c>
      <c r="AF75" s="25" t="inlineStr">
        <is>
          <t>B2B</t>
        </is>
      </c>
      <c r="AG75" s="25">
        <f>IF(AF75="B2C",10,IF(AF75="B2B",5,0))</f>
        <v/>
      </c>
      <c r="AH75" s="25" t="inlineStr">
        <is>
          <t>Yes</t>
        </is>
      </c>
      <c r="AI75" s="25">
        <f>IF(AH75="Yes",10,0)</f>
        <v/>
      </c>
      <c r="AJ75" s="25" t="inlineStr">
        <is>
          <t>Higher One Time, Lower Annuity</t>
        </is>
      </c>
      <c r="AK75" s="25">
        <f>IF(AJ75="Fully Annuity",10,IF(AJ75="Higher Annuity, Lower One Time",5,IF(AJ75="Higher One Time, Lower Annuity",3,0)))</f>
        <v/>
      </c>
      <c r="AL75" s="25" t="inlineStr">
        <is>
          <t>Good</t>
        </is>
      </c>
      <c r="AM75" s="25">
        <f>IF(AL75="Good",10,0)</f>
        <v/>
      </c>
      <c r="AN75" s="25" t="inlineStr">
        <is>
          <t>Yes for more than 2 years</t>
        </is>
      </c>
      <c r="AO75" s="25">
        <f>IF(AN75="Yes for more than 2 years",10,IF(AN75="Yes only for next 1 to 2 years",5,0))</f>
        <v/>
      </c>
      <c r="AP75" s="25" t="inlineStr">
        <is>
          <t>20 to 40</t>
        </is>
      </c>
      <c r="AQ75" s="25">
        <f>IF(AP75="Above 40",20,IF(AP75="20 to 40",10,IF(AP75="0 to 20",-5,0)))</f>
        <v/>
      </c>
      <c r="AR75" s="25" t="inlineStr">
        <is>
          <t>Between 50 to 75</t>
        </is>
      </c>
      <c r="AS75" s="25">
        <f>IF(AR75="Between 50 to 75",10,IF(AR75="Above 75",0,0))</f>
        <v/>
      </c>
      <c r="AT75" s="25" t="inlineStr">
        <is>
          <t>Stage 2</t>
        </is>
      </c>
      <c r="AU75" s="25">
        <f>IF(AT75="Stage 2",20,IF(AT75="Stage 1",0,IF(AT75="Stage 3",5,IF(AT75="Stage 4",-5,0))))</f>
        <v/>
      </c>
      <c r="AV75" s="25" t="inlineStr">
        <is>
          <t>Positive Trend</t>
        </is>
      </c>
      <c r="AW75" s="25">
        <f>IF(AV75="Positive Trend",20,IF(AV75="Negative Trend",-10,0))</f>
        <v/>
      </c>
      <c r="AX75" s="25" t="inlineStr">
        <is>
          <t>Uptrend</t>
        </is>
      </c>
      <c r="AY75" s="25">
        <f>IF(AX75="Uptrend",10,IF(AX75="Sideways",5,0))</f>
        <v/>
      </c>
      <c r="AZ75" s="25" t="inlineStr">
        <is>
          <t>Uptrend</t>
        </is>
      </c>
      <c r="BA75" s="25">
        <f>IF(AZ75="Uptrend",10,IF(AZ75="Sideways",5,0))</f>
        <v/>
      </c>
      <c r="BB75" s="25" t="inlineStr">
        <is>
          <t>Close to 52 week high or retracement</t>
        </is>
      </c>
      <c r="BC75" s="25">
        <f>IF(BB75="Overhead supply in last 2 years in last 2 years",-5,IF(BB75="Close to 52 week high or retracement",5,IF(BB75="Blue sky scenario",10,IF(BB75="Long term Downtrend",-10,0))))</f>
        <v/>
      </c>
      <c r="BD75" s="25" t="inlineStr">
        <is>
          <t>Yes</t>
        </is>
      </c>
      <c r="BE75" s="25">
        <f>IF(BD75="Yes",10,0)</f>
        <v/>
      </c>
      <c r="BF75" s="25" t="inlineStr">
        <is>
          <t>More than 20%</t>
        </is>
      </c>
      <c r="BG75" s="25">
        <f>IF(BF75="More than 20%",10,IF(BF75="Between 12 to 20%",5,IF(BF75="Less than 12%",0,0)))</f>
        <v/>
      </c>
      <c r="BH75" s="25" t="inlineStr">
        <is>
          <t>No</t>
        </is>
      </c>
      <c r="BI75" s="25">
        <f>IF(BH75="No",10,0)</f>
        <v/>
      </c>
      <c r="BJ75" s="25" t="inlineStr">
        <is>
          <t>Yes</t>
        </is>
      </c>
      <c r="BK75" s="25">
        <f>IF(BJ75="NO",5,0)</f>
        <v/>
      </c>
      <c r="BL75" s="25" t="inlineStr">
        <is>
          <t>Less than 1.5</t>
        </is>
      </c>
      <c r="BM75" s="25">
        <f>IF(BL75="Above 2",0,IF(BL75="Between 1.5 to 2",5,IF(BL75="Less than 1.5",10,0)))</f>
        <v/>
      </c>
      <c r="BN75" s="25" t="inlineStr">
        <is>
          <t>Above 70%</t>
        </is>
      </c>
      <c r="BO75" s="25">
        <f>IF(BN75="Above 70%",10,IF(BN75="Between 50% to 70%",5,IF(BN75="Less than 50%",0,IF(BN75="Negative",-10,IF(BN75="Less than 50% and Borrowings are increasing",-5,0)))))</f>
        <v/>
      </c>
      <c r="BP75" s="25" t="inlineStr">
        <is>
          <t>Less than 0.7</t>
        </is>
      </c>
      <c r="BQ75" s="25">
        <f>IF(BP75="More than 1.2",-10,IF(BP75="Between 0.7 to 1.2",0,IF(BP75="Less than 0.7",10,0)))</f>
        <v/>
      </c>
      <c r="BR75" s="25" t="inlineStr">
        <is>
          <t>No</t>
        </is>
      </c>
      <c r="BS75" s="25">
        <f>IF(BR75="Yes",-10,0)</f>
        <v/>
      </c>
      <c r="BT75" s="25" t="inlineStr">
        <is>
          <t>Less than 15%</t>
        </is>
      </c>
      <c r="BU75" s="25">
        <f>IF(BT75="More than 15%",-10,IF(BT75="Less than 15%",10,0))</f>
        <v/>
      </c>
      <c r="BV75" s="25" t="inlineStr">
        <is>
          <t>No</t>
        </is>
      </c>
      <c r="BW75" s="25">
        <f>IF(BV75="Yes, more than 10%",-10,IF(BV75="No",10,0))</f>
        <v/>
      </c>
      <c r="BX75" s="25" t="inlineStr">
        <is>
          <t>24</t>
        </is>
      </c>
      <c r="BY75" s="25">
        <f>IF(BX75&gt;20,10,IF(BX75&gt;=10,5,2))</f>
        <v/>
      </c>
    </row>
    <row r="76">
      <c r="A76" s="25">
        <f>IF(B76=0,"",RANK(B76,$B$2:$B$95,0))</f>
        <v/>
      </c>
      <c r="B76" s="26">
        <f>SUM(Q76,S76,U76,W76,Y76,AA76,AC76,AE76,AG76,AI76,AK76,AM76,AO76,AQ76,AS76,AU76,AW76,AY76,BA76,BC76,BE76,BG76,BI76,BK76,BM76,BO76,BQ76,BS76,BU76,BW76,BY76)</f>
        <v/>
      </c>
      <c r="C76" s="25" t="inlineStr">
        <is>
          <t>V2RETAIL</t>
        </is>
      </c>
      <c r="D76" s="25" t="inlineStr">
        <is>
          <t>V2 Retail Ltd</t>
        </is>
      </c>
      <c r="E76" s="25" t="inlineStr">
        <is>
          <t>consumer discretionary</t>
        </is>
      </c>
      <c r="F76" s="25" t="inlineStr">
        <is>
          <t>Textiles - Readymade Apparel</t>
        </is>
      </c>
      <c r="G76" s="25" t="inlineStr">
        <is>
          <t>midcap</t>
        </is>
      </c>
      <c r="H76" s="26" t="n">
        <v>8762.969999999999</v>
      </c>
      <c r="I76" s="26" t="n">
        <v>240.32</v>
      </c>
      <c r="J76" s="26" t="n">
        <v>-1.63</v>
      </c>
      <c r="K76" s="26" t="n">
        <v>0</v>
      </c>
      <c r="L76" s="26" t="n">
        <v>64.2</v>
      </c>
      <c r="M76" s="26" t="n">
        <v>25.8</v>
      </c>
      <c r="N76" s="26" t="n">
        <v>177.78</v>
      </c>
      <c r="O76" s="25" t="inlineStr">
        <is>
          <t>Near 52W High Breakout</t>
        </is>
      </c>
      <c r="P76" s="25" t="inlineStr">
        <is>
          <t>Growing Industry</t>
        </is>
      </c>
      <c r="Q76" s="25">
        <f>IF(P76="Growing Industry",10,IF(P76="Cyclical in an Upturn",5,0))</f>
        <v/>
      </c>
      <c r="R76" s="25" t="inlineStr">
        <is>
          <t>Too Many Players with High ROCE</t>
        </is>
      </c>
      <c r="S76" s="25">
        <f>IF(R76="Monopoly",10,IF(R76="Oligopoly",5,IF(R76="Duopoly that cooperate",10,IF(R76="Duopoly that compete",5,IF(R76="Too many players with High ROCE",5,0)))))</f>
        <v/>
      </c>
      <c r="T76" s="25" t="inlineStr">
        <is>
          <t>No</t>
        </is>
      </c>
      <c r="U76" s="25">
        <f>IF(T76="No",5,0)</f>
        <v/>
      </c>
      <c r="V76" s="25" t="inlineStr">
        <is>
          <t>Tailwind</t>
        </is>
      </c>
      <c r="W76" s="25">
        <f>IF(V76="Tailwind",10,0)</f>
        <v/>
      </c>
      <c r="X76" s="25" t="inlineStr">
        <is>
          <t>Structural (10 Years Consistency)</t>
        </is>
      </c>
      <c r="Y76" s="25">
        <f>IF(X76="Structural (10 Years Consistency)",10,IF(X76="Shallow Cyclical (2 to 3 years growth)",5,0))</f>
        <v/>
      </c>
      <c r="Z76" s="25" t="inlineStr">
        <is>
          <t>No</t>
        </is>
      </c>
      <c r="AA76" s="25">
        <f>IF(Z76="Yes due to Product Mix change or Operating Leverage",10,IF(Z76="Yes, these are peak margins",-5,IF(Z76="No",5,0)))</f>
        <v/>
      </c>
      <c r="AB76" s="25" t="inlineStr">
        <is>
          <t>Stable</t>
        </is>
      </c>
      <c r="AC76" s="25">
        <f>IF(AB76="Stable",10,0)</f>
        <v/>
      </c>
      <c r="AD76" s="25" t="inlineStr">
        <is>
          <t>Yes</t>
        </is>
      </c>
      <c r="AE76" s="25">
        <f>IF(AD76="Yes",10,0)</f>
        <v/>
      </c>
      <c r="AF76" s="25" t="inlineStr">
        <is>
          <t>B2B</t>
        </is>
      </c>
      <c r="AG76" s="25">
        <f>IF(AF76="B2C",10,IF(AF76="B2B",5,0))</f>
        <v/>
      </c>
      <c r="AH76" s="25" t="inlineStr">
        <is>
          <t>Yes</t>
        </is>
      </c>
      <c r="AI76" s="25">
        <f>IF(AH76="Yes",10,0)</f>
        <v/>
      </c>
      <c r="AJ76" s="25" t="inlineStr">
        <is>
          <t>Higher One Time, Lower Annuity</t>
        </is>
      </c>
      <c r="AK76" s="25">
        <f>IF(AJ76="Fully Annuity",10,IF(AJ76="Higher Annuity, Lower One Time",5,IF(AJ76="Higher One Time, Lower Annuity",3,0)))</f>
        <v/>
      </c>
      <c r="AL76" s="25" t="inlineStr">
        <is>
          <t>Good</t>
        </is>
      </c>
      <c r="AM76" s="25">
        <f>IF(AL76="Good",10,0)</f>
        <v/>
      </c>
      <c r="AN76" s="25" t="inlineStr">
        <is>
          <t>Yes for more than 2 years</t>
        </is>
      </c>
      <c r="AO76" s="25">
        <f>IF(AN76="Yes for more than 2 years",10,IF(AN76="Yes only for next 1 to 2 years",5,0))</f>
        <v/>
      </c>
      <c r="AP76" s="25" t="inlineStr">
        <is>
          <t>20 to 40</t>
        </is>
      </c>
      <c r="AQ76" s="25">
        <f>IF(AP76="Above 40",20,IF(AP76="20 to 40",10,IF(AP76="0 to 20",-5,0)))</f>
        <v/>
      </c>
      <c r="AR76" s="25" t="inlineStr">
        <is>
          <t>Between 50 to 75</t>
        </is>
      </c>
      <c r="AS76" s="25">
        <f>IF(AR76="Between 50 to 75",10,IF(AR76="Above 75",0,0))</f>
        <v/>
      </c>
      <c r="AT76" s="25" t="inlineStr">
        <is>
          <t>Stage 2</t>
        </is>
      </c>
      <c r="AU76" s="25">
        <f>IF(AT76="Stage 2",20,IF(AT76="Stage 1",0,IF(AT76="Stage 3",5,IF(AT76="Stage 4",-5,0))))</f>
        <v/>
      </c>
      <c r="AV76" s="25" t="inlineStr">
        <is>
          <t>Positive Trend</t>
        </is>
      </c>
      <c r="AW76" s="25">
        <f>IF(AV76="Positive Trend",20,IF(AV76="Negative Trend",-10,0))</f>
        <v/>
      </c>
      <c r="AX76" s="25" t="inlineStr">
        <is>
          <t>Uptrend</t>
        </is>
      </c>
      <c r="AY76" s="25">
        <f>IF(AX76="Uptrend",10,IF(AX76="Sideways",5,0))</f>
        <v/>
      </c>
      <c r="AZ76" s="25" t="inlineStr">
        <is>
          <t>Uptrend</t>
        </is>
      </c>
      <c r="BA76" s="25">
        <f>IF(AZ76="Uptrend",10,IF(AZ76="Sideways",5,0))</f>
        <v/>
      </c>
      <c r="BB76" s="25" t="inlineStr">
        <is>
          <t>Blue sky scenario</t>
        </is>
      </c>
      <c r="BC76" s="25">
        <f>IF(BB76="Overhead supply in last 2 years in last 2 years",-5,IF(BB76="Close to 52 week high or retracement",5,IF(BB76="Blue sky scenario",10,IF(BB76="Long term Downtrend",-10,0))))</f>
        <v/>
      </c>
      <c r="BD76" s="25" t="inlineStr">
        <is>
          <t>Yes</t>
        </is>
      </c>
      <c r="BE76" s="25">
        <f>IF(BD76="Yes",10,0)</f>
        <v/>
      </c>
      <c r="BF76" s="25" t="inlineStr">
        <is>
          <t>More than 20%</t>
        </is>
      </c>
      <c r="BG76" s="25">
        <f>IF(BF76="More than 20%",10,IF(BF76="Between 12 to 20%",5,IF(BF76="Less than 12%",0,0)))</f>
        <v/>
      </c>
      <c r="BH76" s="25" t="inlineStr">
        <is>
          <t>No</t>
        </is>
      </c>
      <c r="BI76" s="25">
        <f>IF(BH76="No",10,0)</f>
        <v/>
      </c>
      <c r="BJ76" s="25" t="inlineStr">
        <is>
          <t>Yes</t>
        </is>
      </c>
      <c r="BK76" s="25">
        <f>IF(BJ76="NO",5,0)</f>
        <v/>
      </c>
      <c r="BL76" s="25" t="inlineStr">
        <is>
          <t>Less than 1.5</t>
        </is>
      </c>
      <c r="BM76" s="25">
        <f>IF(BL76="Above 2",0,IF(BL76="Between 1.5 to 2",5,IF(BL76="Less than 1.5",10,0)))</f>
        <v/>
      </c>
      <c r="BN76" s="25" t="inlineStr">
        <is>
          <t>Negative</t>
        </is>
      </c>
      <c r="BO76" s="25">
        <f>IF(BN76="Above 70%",10,IF(BN76="Between 50% to 70%",5,IF(BN76="Less than 50%",0,IF(BN76="Negative",-10,IF(BN76="Less than 50% and Borrowings are increasing",-5,0)))))</f>
        <v/>
      </c>
      <c r="BP76" s="25" t="inlineStr">
        <is>
          <t>Between 0.7 to 1.2</t>
        </is>
      </c>
      <c r="BQ76" s="25">
        <f>IF(BP76="More than 1.2",-10,IF(BP76="Between 0.7 to 1.2",0,IF(BP76="Less than 0.7",10,0)))</f>
        <v/>
      </c>
      <c r="BR76" s="25" t="inlineStr">
        <is>
          <t>No</t>
        </is>
      </c>
      <c r="BS76" s="25">
        <f>IF(BR76="Yes",-10,0)</f>
        <v/>
      </c>
      <c r="BT76" s="25" t="inlineStr">
        <is>
          <t>Less than 15%</t>
        </is>
      </c>
      <c r="BU76" s="25">
        <f>IF(BT76="More than 15%",-10,IF(BT76="Less than 15%",10,0))</f>
        <v/>
      </c>
      <c r="BV76" s="25" t="inlineStr">
        <is>
          <t>No</t>
        </is>
      </c>
      <c r="BW76" s="25">
        <f>IF(BV76="Yes, more than 10%",-10,IF(BV76="No",10,0))</f>
        <v/>
      </c>
      <c r="BX76" s="25" t="inlineStr">
        <is>
          <t>20</t>
        </is>
      </c>
      <c r="BY76" s="25">
        <f>IF(BX76&gt;20,10,IF(BX76&gt;=10,5,2))</f>
        <v/>
      </c>
    </row>
    <row r="77">
      <c r="A77" s="25">
        <f>IF(B77=0,"",RANK(B77,$B$2:$B$95,0))</f>
        <v/>
      </c>
      <c r="B77" s="26">
        <f>SUM(Q77,S77,U77,W77,Y77,AA77,AC77,AE77,AG77,AI77,AK77,AM77,AO77,AQ77,AS77,AU77,AW77,AY77,BA77,BC77,BE77,BG77,BI77,BK77,BM77,BO77,BQ77,BS77,BU77,BW77,BY77)</f>
        <v/>
      </c>
      <c r="C77" s="25" t="inlineStr">
        <is>
          <t>ANTELOPUS</t>
        </is>
      </c>
      <c r="D77" s="25" t="inlineStr">
        <is>
          <t>Antelopus Selan Energy Ltd</t>
        </is>
      </c>
      <c r="E77" s="25" t="inlineStr">
        <is>
          <t>energy</t>
        </is>
      </c>
      <c r="F77" s="25" t="inlineStr">
        <is>
          <t>Oil Drilling &amp; Exploration</t>
        </is>
      </c>
      <c r="G77" s="25" t="inlineStr">
        <is>
          <t>smallcap</t>
        </is>
      </c>
      <c r="H77" s="26" t="n">
        <v>3003.57</v>
      </c>
      <c r="I77" s="26" t="n">
        <v>854.2</v>
      </c>
      <c r="J77" s="26" t="n">
        <v>5</v>
      </c>
      <c r="K77" s="26" t="n">
        <v>0</v>
      </c>
      <c r="L77" s="26" t="n">
        <v>69.77</v>
      </c>
      <c r="M77" s="26" t="n">
        <v>39.24</v>
      </c>
      <c r="N77" s="26" t="n">
        <v>598.8099999999999</v>
      </c>
      <c r="O77" s="25" t="inlineStr">
        <is>
          <t>Near 52W High Breakout</t>
        </is>
      </c>
      <c r="P77" s="25" t="inlineStr">
        <is>
          <t>Cyclical in an Upturn</t>
        </is>
      </c>
      <c r="Q77" s="25">
        <f>IF(P77="Growing Industry",10,IF(P77="Cyclical in an Upturn",5,0))</f>
        <v/>
      </c>
      <c r="R77" s="25" t="inlineStr">
        <is>
          <t>Oligopoly</t>
        </is>
      </c>
      <c r="S77" s="25">
        <f>IF(R77="Monopoly",10,IF(R77="Oligopoly",5,IF(R77="Duopoly that cooperate",10,IF(R77="Duopoly that compete",5,IF(R77="Too many players with High ROCE",5,0)))))</f>
        <v/>
      </c>
      <c r="T77" s="25" t="inlineStr">
        <is>
          <t>Yes</t>
        </is>
      </c>
      <c r="U77" s="25">
        <f>IF(T77="No",5,0)</f>
        <v/>
      </c>
      <c r="V77" s="25" t="inlineStr">
        <is>
          <t>Tailwind</t>
        </is>
      </c>
      <c r="W77" s="25">
        <f>IF(V77="Tailwind",10,0)</f>
        <v/>
      </c>
      <c r="X77" s="25" t="inlineStr">
        <is>
          <t>Cyclical</t>
        </is>
      </c>
      <c r="Y77" s="25">
        <f>IF(X77="Structural (10 Years Consistency)",10,IF(X77="Shallow Cyclical (2 to 3 years growth)",5,0))</f>
        <v/>
      </c>
      <c r="Z77" s="25" t="inlineStr">
        <is>
          <t>No</t>
        </is>
      </c>
      <c r="AA77" s="25">
        <f>IF(Z77="Yes due to Product Mix change or Operating Leverage",10,IF(Z77="Yes, these are peak margins",-5,IF(Z77="No",5,0)))</f>
        <v/>
      </c>
      <c r="AB77" s="25" t="inlineStr">
        <is>
          <t>Volatile</t>
        </is>
      </c>
      <c r="AC77" s="25">
        <f>IF(AB77="Stable",10,0)</f>
        <v/>
      </c>
      <c r="AD77" s="25" t="inlineStr">
        <is>
          <t>Yes</t>
        </is>
      </c>
      <c r="AE77" s="25">
        <f>IF(AD77="Yes",10,0)</f>
        <v/>
      </c>
      <c r="AF77" s="25" t="inlineStr">
        <is>
          <t>B2B</t>
        </is>
      </c>
      <c r="AG77" s="25">
        <f>IF(AF77="B2C",10,IF(AF77="B2B",5,0))</f>
        <v/>
      </c>
      <c r="AH77" s="25" t="inlineStr">
        <is>
          <t>Yes</t>
        </is>
      </c>
      <c r="AI77" s="25">
        <f>IF(AH77="Yes",10,0)</f>
        <v/>
      </c>
      <c r="AJ77" s="25" t="inlineStr">
        <is>
          <t>Higher One Time, Lower Annuity</t>
        </is>
      </c>
      <c r="AK77" s="25">
        <f>IF(AJ77="Fully Annuity",10,IF(AJ77="Higher Annuity, Lower One Time",5,IF(AJ77="Higher One Time, Lower Annuity",3,0)))</f>
        <v/>
      </c>
      <c r="AL77" s="25" t="inlineStr">
        <is>
          <t>Good</t>
        </is>
      </c>
      <c r="AM77" s="25">
        <f>IF(AL77="Good",10,0)</f>
        <v/>
      </c>
      <c r="AN77" s="25" t="inlineStr">
        <is>
          <t>Yes for more than 2 years</t>
        </is>
      </c>
      <c r="AO77" s="25">
        <f>IF(AN77="Yes for more than 2 years",10,IF(AN77="Yes only for next 1 to 2 years",5,0))</f>
        <v/>
      </c>
      <c r="AP77" s="25" t="inlineStr">
        <is>
          <t>20 to 40</t>
        </is>
      </c>
      <c r="AQ77" s="25">
        <f>IF(AP77="Above 40",20,IF(AP77="20 to 40",10,IF(AP77="0 to 20",-5,0)))</f>
        <v/>
      </c>
      <c r="AR77" s="25" t="inlineStr">
        <is>
          <t>Between 50 to 75</t>
        </is>
      </c>
      <c r="AS77" s="25">
        <f>IF(AR77="Between 50 to 75",10,IF(AR77="Above 75",0,0))</f>
        <v/>
      </c>
      <c r="AT77" s="25" t="inlineStr">
        <is>
          <t>Stage 2</t>
        </is>
      </c>
      <c r="AU77" s="25">
        <f>IF(AT77="Stage 2",20,IF(AT77="Stage 1",0,IF(AT77="Stage 3",5,IF(AT77="Stage 4",-5,0))))</f>
        <v/>
      </c>
      <c r="AV77" s="25" t="inlineStr">
        <is>
          <t>Positive Trend</t>
        </is>
      </c>
      <c r="AW77" s="25">
        <f>IF(AV77="Positive Trend",20,IF(AV77="Negative Trend",-10,0))</f>
        <v/>
      </c>
      <c r="AX77" s="25" t="inlineStr">
        <is>
          <t>Uptrend</t>
        </is>
      </c>
      <c r="AY77" s="25">
        <f>IF(AX77="Uptrend",10,IF(AX77="Sideways",5,0))</f>
        <v/>
      </c>
      <c r="AZ77" s="25" t="inlineStr">
        <is>
          <t>Uptrend</t>
        </is>
      </c>
      <c r="BA77" s="25">
        <f>IF(AZ77="Uptrend",10,IF(AZ77="Sideways",5,0))</f>
        <v/>
      </c>
      <c r="BB77" s="25" t="inlineStr">
        <is>
          <t>Close to 52 week high or retracement</t>
        </is>
      </c>
      <c r="BC77" s="25">
        <f>IF(BB77="Overhead supply in last 2 years in last 2 years",-5,IF(BB77="Close to 52 week high or retracement",5,IF(BB77="Blue sky scenario",10,IF(BB77="Long term Downtrend",-10,0))))</f>
        <v/>
      </c>
      <c r="BD77" s="25" t="inlineStr">
        <is>
          <t>Yes</t>
        </is>
      </c>
      <c r="BE77" s="25">
        <f>IF(BD77="Yes",10,0)</f>
        <v/>
      </c>
      <c r="BF77" s="25" t="inlineStr">
        <is>
          <t>More than 20%</t>
        </is>
      </c>
      <c r="BG77" s="25">
        <f>IF(BF77="More than 20%",10,IF(BF77="Between 12 to 20%",5,IF(BF77="Less than 12%",0,0)))</f>
        <v/>
      </c>
      <c r="BH77" s="25" t="inlineStr">
        <is>
          <t>No</t>
        </is>
      </c>
      <c r="BI77" s="25">
        <f>IF(BH77="No",10,0)</f>
        <v/>
      </c>
      <c r="BJ77" s="25" t="inlineStr">
        <is>
          <t>No</t>
        </is>
      </c>
      <c r="BK77" s="25">
        <f>IF(BJ77="NO",5,0)</f>
        <v/>
      </c>
      <c r="BL77" s="25" t="inlineStr">
        <is>
          <t>Less than 1.5</t>
        </is>
      </c>
      <c r="BM77" s="25">
        <f>IF(BL77="Above 2",0,IF(BL77="Between 1.5 to 2",5,IF(BL77="Less than 1.5",10,0)))</f>
        <v/>
      </c>
      <c r="BN77" s="25" t="inlineStr">
        <is>
          <t>Above 70%</t>
        </is>
      </c>
      <c r="BO77" s="25">
        <f>IF(BN77="Above 70%",10,IF(BN77="Between 50% to 70%",5,IF(BN77="Less than 50%",0,IF(BN77="Negative",-10,IF(BN77="Less than 50% and Borrowings are increasing",-5,0)))))</f>
        <v/>
      </c>
      <c r="BP77" s="25" t="inlineStr">
        <is>
          <t>Less than 0.7</t>
        </is>
      </c>
      <c r="BQ77" s="25">
        <f>IF(BP77="More than 1.2",-10,IF(BP77="Between 0.7 to 1.2",0,IF(BP77="Less than 0.7",10,0)))</f>
        <v/>
      </c>
      <c r="BR77" s="25" t="inlineStr">
        <is>
          <t>No</t>
        </is>
      </c>
      <c r="BS77" s="25">
        <f>IF(BR77="Yes",-10,0)</f>
        <v/>
      </c>
      <c r="BT77" s="25" t="inlineStr">
        <is>
          <t>Less than 15%</t>
        </is>
      </c>
      <c r="BU77" s="25">
        <f>IF(BT77="More than 15%",-10,IF(BT77="Less than 15%",10,0))</f>
        <v/>
      </c>
      <c r="BV77" s="25" t="inlineStr">
        <is>
          <t>No</t>
        </is>
      </c>
      <c r="BW77" s="25">
        <f>IF(BV77="Yes, more than 10%",-10,IF(BV77="No",10,0))</f>
        <v/>
      </c>
      <c r="BX77" s="25" t="inlineStr">
        <is>
          <t>20</t>
        </is>
      </c>
      <c r="BY77" s="25">
        <f>IF(BX77&gt;20,10,IF(BX77&gt;=10,5,2))</f>
        <v/>
      </c>
    </row>
    <row r="78">
      <c r="A78" s="25">
        <f>IF(B78=0,"",RANK(B78,$B$2:$B$95,0))</f>
        <v/>
      </c>
      <c r="B78" s="26">
        <f>SUM(Q78,S78,U78,W78,Y78,AA78,AC78,AE78,AG78,AI78,AK78,AM78,AO78,AQ78,AS78,AU78,AW78,AY78,BA78,BC78,BE78,BG78,BI78,BK78,BM78,BO78,BQ78,BS78,BU78,BW78,BY78)</f>
        <v/>
      </c>
      <c r="C78" s="25" t="inlineStr">
        <is>
          <t>KINGFA</t>
        </is>
      </c>
      <c r="D78" s="25" t="inlineStr">
        <is>
          <t>Kingfa Science &amp; Technology (India) Ltd</t>
        </is>
      </c>
      <c r="E78" s="25" t="inlineStr">
        <is>
          <t>plastic products</t>
        </is>
      </c>
      <c r="F78" s="25" t="inlineStr">
        <is>
          <t>Plastics - Plastic &amp; Plastic Products</t>
        </is>
      </c>
      <c r="G78" s="25" t="inlineStr">
        <is>
          <t>midcap</t>
        </is>
      </c>
      <c r="H78" s="26" t="n">
        <v>7236.44</v>
      </c>
      <c r="I78" s="26" t="n">
        <v>5340</v>
      </c>
      <c r="J78" s="26" t="n">
        <v>0.83</v>
      </c>
      <c r="K78" s="26" t="n">
        <v>0</v>
      </c>
      <c r="L78" s="26" t="n">
        <v>63.82</v>
      </c>
      <c r="M78" s="26" t="n">
        <v>22.02</v>
      </c>
      <c r="N78" s="26" t="n">
        <v>4205</v>
      </c>
      <c r="O78" s="25" t="inlineStr">
        <is>
          <t>Near 52W High Breakout</t>
        </is>
      </c>
      <c r="P78" s="25" t="inlineStr">
        <is>
          <t>Growing Industry</t>
        </is>
      </c>
      <c r="Q78" s="25">
        <f>IF(P78="Growing Industry",10,IF(P78="Cyclical in an Upturn",5,0))</f>
        <v/>
      </c>
      <c r="R78" s="25" t="inlineStr">
        <is>
          <t>Too Many Players with High ROCE</t>
        </is>
      </c>
      <c r="S78" s="25">
        <f>IF(R78="Monopoly",10,IF(R78="Oligopoly",5,IF(R78="Duopoly that cooperate",10,IF(R78="Duopoly that compete",5,IF(R78="Too many players with High ROCE",5,0)))))</f>
        <v/>
      </c>
      <c r="T78" s="25" t="inlineStr">
        <is>
          <t>No</t>
        </is>
      </c>
      <c r="U78" s="25">
        <f>IF(T78="No",5,0)</f>
        <v/>
      </c>
      <c r="V78" s="25" t="inlineStr">
        <is>
          <t>Tailwind</t>
        </is>
      </c>
      <c r="W78" s="25">
        <f>IF(V78="Tailwind",10,0)</f>
        <v/>
      </c>
      <c r="X78" s="25" t="inlineStr">
        <is>
          <t>Structural (10 Years Consistency)</t>
        </is>
      </c>
      <c r="Y78" s="25">
        <f>IF(X78="Structural (10 Years Consistency)",10,IF(X78="Shallow Cyclical (2 to 3 years growth)",5,0))</f>
        <v/>
      </c>
      <c r="Z78" s="25" t="inlineStr">
        <is>
          <t>No</t>
        </is>
      </c>
      <c r="AA78" s="25">
        <f>IF(Z78="Yes due to Product Mix change or Operating Leverage",10,IF(Z78="Yes, these are peak margins",-5,IF(Z78="No",5,0)))</f>
        <v/>
      </c>
      <c r="AB78" s="25" t="inlineStr">
        <is>
          <t>Stable</t>
        </is>
      </c>
      <c r="AC78" s="25">
        <f>IF(AB78="Stable",10,0)</f>
        <v/>
      </c>
      <c r="AD78" s="25" t="inlineStr">
        <is>
          <t>Yes</t>
        </is>
      </c>
      <c r="AE78" s="25">
        <f>IF(AD78="Yes",10,0)</f>
        <v/>
      </c>
      <c r="AF78" s="25" t="inlineStr">
        <is>
          <t>B2B</t>
        </is>
      </c>
      <c r="AG78" s="25">
        <f>IF(AF78="B2C",10,IF(AF78="B2B",5,0))</f>
        <v/>
      </c>
      <c r="AH78" s="25" t="inlineStr">
        <is>
          <t>Yes</t>
        </is>
      </c>
      <c r="AI78" s="25">
        <f>IF(AH78="Yes",10,0)</f>
        <v/>
      </c>
      <c r="AJ78" s="25" t="inlineStr">
        <is>
          <t>Higher One Time, Lower Annuity</t>
        </is>
      </c>
      <c r="AK78" s="25">
        <f>IF(AJ78="Fully Annuity",10,IF(AJ78="Higher Annuity, Lower One Time",5,IF(AJ78="Higher One Time, Lower Annuity",3,0)))</f>
        <v/>
      </c>
      <c r="AL78" s="25" t="inlineStr">
        <is>
          <t>Good</t>
        </is>
      </c>
      <c r="AM78" s="25">
        <f>IF(AL78="Good",10,0)</f>
        <v/>
      </c>
      <c r="AN78" s="25" t="inlineStr">
        <is>
          <t>Yes for more than 2 years</t>
        </is>
      </c>
      <c r="AO78" s="25">
        <f>IF(AN78="Yes for more than 2 years",10,IF(AN78="Yes only for next 1 to 2 years",5,0))</f>
        <v/>
      </c>
      <c r="AP78" s="25" t="inlineStr">
        <is>
          <t>20 to 40</t>
        </is>
      </c>
      <c r="AQ78" s="25">
        <f>IF(AP78="Above 40",20,IF(AP78="20 to 40",10,IF(AP78="0 to 20",-5,0)))</f>
        <v/>
      </c>
      <c r="AR78" s="25" t="inlineStr">
        <is>
          <t>Between 50 to 75</t>
        </is>
      </c>
      <c r="AS78" s="25">
        <f>IF(AR78="Between 50 to 75",10,IF(AR78="Above 75",0,0))</f>
        <v/>
      </c>
      <c r="AT78" s="25" t="inlineStr">
        <is>
          <t>Stage 2</t>
        </is>
      </c>
      <c r="AU78" s="25">
        <f>IF(AT78="Stage 2",20,IF(AT78="Stage 1",0,IF(AT78="Stage 3",5,IF(AT78="Stage 4",-5,0))))</f>
        <v/>
      </c>
      <c r="AV78" s="25" t="inlineStr">
        <is>
          <t>Negative Trend</t>
        </is>
      </c>
      <c r="AW78" s="25">
        <f>IF(AV78="Positive Trend",20,IF(AV78="Negative Trend",-10,0))</f>
        <v/>
      </c>
      <c r="AX78" s="25" t="inlineStr">
        <is>
          <t>Uptrend</t>
        </is>
      </c>
      <c r="AY78" s="25">
        <f>IF(AX78="Uptrend",10,IF(AX78="Sideways",5,0))</f>
        <v/>
      </c>
      <c r="AZ78" s="25" t="inlineStr">
        <is>
          <t>Uptrend</t>
        </is>
      </c>
      <c r="BA78" s="25">
        <f>IF(AZ78="Uptrend",10,IF(AZ78="Sideways",5,0))</f>
        <v/>
      </c>
      <c r="BB78" s="25" t="inlineStr">
        <is>
          <t>Blue sky scenario</t>
        </is>
      </c>
      <c r="BC78" s="25">
        <f>IF(BB78="Overhead supply in last 2 years in last 2 years",-5,IF(BB78="Close to 52 week high or retracement",5,IF(BB78="Blue sky scenario",10,IF(BB78="Long term Downtrend",-10,0))))</f>
        <v/>
      </c>
      <c r="BD78" s="25" t="inlineStr">
        <is>
          <t>Yes</t>
        </is>
      </c>
      <c r="BE78" s="25">
        <f>IF(BD78="Yes",10,0)</f>
        <v/>
      </c>
      <c r="BF78" s="25" t="inlineStr">
        <is>
          <t>Between 12 to 20%</t>
        </is>
      </c>
      <c r="BG78" s="25">
        <f>IF(BF78="More than 20%",10,IF(BF78="Between 12 to 20%",5,IF(BF78="Less than 12%",0,0)))</f>
        <v/>
      </c>
      <c r="BH78" s="25" t="inlineStr">
        <is>
          <t>No</t>
        </is>
      </c>
      <c r="BI78" s="25">
        <f>IF(BH78="No",10,0)</f>
        <v/>
      </c>
      <c r="BJ78" s="25" t="inlineStr">
        <is>
          <t>No</t>
        </is>
      </c>
      <c r="BK78" s="25">
        <f>IF(BJ78="NO",5,0)</f>
        <v/>
      </c>
      <c r="BL78" s="25" t="inlineStr">
        <is>
          <t>Less than 1.5</t>
        </is>
      </c>
      <c r="BM78" s="25">
        <f>IF(BL78="Above 2",0,IF(BL78="Between 1.5 to 2",5,IF(BL78="Less than 1.5",10,0)))</f>
        <v/>
      </c>
      <c r="BN78" s="25" t="inlineStr">
        <is>
          <t>Above 70%</t>
        </is>
      </c>
      <c r="BO78" s="25">
        <f>IF(BN78="Above 70%",10,IF(BN78="Between 50% to 70%",5,IF(BN78="Less than 50%",0,IF(BN78="Negative",-10,IF(BN78="Less than 50% and Borrowings are increasing",-5,0)))))</f>
        <v/>
      </c>
      <c r="BP78" s="25" t="inlineStr">
        <is>
          <t>Less than 0.7</t>
        </is>
      </c>
      <c r="BQ78" s="25">
        <f>IF(BP78="More than 1.2",-10,IF(BP78="Between 0.7 to 1.2",0,IF(BP78="Less than 0.7",10,0)))</f>
        <v/>
      </c>
      <c r="BR78" s="25" t="inlineStr">
        <is>
          <t>No</t>
        </is>
      </c>
      <c r="BS78" s="25">
        <f>IF(BR78="Yes",-10,0)</f>
        <v/>
      </c>
      <c r="BT78" s="25" t="inlineStr">
        <is>
          <t>Less than 15%</t>
        </is>
      </c>
      <c r="BU78" s="25">
        <f>IF(BT78="More than 15%",-10,IF(BT78="Less than 15%",10,0))</f>
        <v/>
      </c>
      <c r="BV78" s="25" t="inlineStr">
        <is>
          <t>No</t>
        </is>
      </c>
      <c r="BW78" s="25">
        <f>IF(BV78="Yes, more than 10%",-10,IF(BV78="No",10,0))</f>
        <v/>
      </c>
      <c r="BX78" s="25" t="inlineStr">
        <is>
          <t>19</t>
        </is>
      </c>
      <c r="BY78" s="25">
        <f>IF(BX78&gt;20,10,IF(BX78&gt;=10,5,2))</f>
        <v/>
      </c>
    </row>
    <row r="79">
      <c r="A79" s="25">
        <f>IF(B79=0,"",RANK(B79,$B$2:$B$95,0))</f>
        <v/>
      </c>
      <c r="B79" s="26">
        <f>SUM(Q79,S79,U79,W79,Y79,AA79,AC79,AE79,AG79,AI79,AK79,AM79,AO79,AQ79,AS79,AU79,AW79,AY79,BA79,BC79,BE79,BG79,BI79,BK79,BM79,BO79,BQ79,BS79,BU79,BW79,BY79)</f>
        <v/>
      </c>
      <c r="C79" s="25" t="inlineStr">
        <is>
          <t>PREMIERENE</t>
        </is>
      </c>
      <c r="D79" s="25" t="inlineStr">
        <is>
          <t>Premier Energies Ltd</t>
        </is>
      </c>
      <c r="E79" s="25" t="inlineStr">
        <is>
          <t>services</t>
        </is>
      </c>
      <c r="F79" s="25" t="inlineStr">
        <is>
          <t>Capital Goods - Solar</t>
        </is>
      </c>
      <c r="G79" s="25" t="inlineStr">
        <is>
          <t>largecap</t>
        </is>
      </c>
      <c r="H79" s="26" t="n">
        <v>48772.55</v>
      </c>
      <c r="I79" s="26" t="n">
        <v>1074.4</v>
      </c>
      <c r="J79" s="26" t="n">
        <v>2.06</v>
      </c>
      <c r="K79" s="26" t="n">
        <v>0</v>
      </c>
      <c r="L79" s="26" t="n">
        <v>65.02</v>
      </c>
      <c r="M79" s="26" t="n">
        <v>18.5</v>
      </c>
      <c r="N79" s="26" t="n">
        <v>846.95</v>
      </c>
      <c r="O79" s="25" t="inlineStr">
        <is>
          <t>Near 52W High Breakout</t>
        </is>
      </c>
      <c r="P79" s="25" t="inlineStr">
        <is>
          <t>Growing Industry</t>
        </is>
      </c>
      <c r="Q79" s="25">
        <f>IF(P79="Growing Industry",10,IF(P79="Cyclical in an Upturn",5,0))</f>
        <v/>
      </c>
      <c r="R79" s="25" t="inlineStr">
        <is>
          <t>Too Many Players with High ROCE</t>
        </is>
      </c>
      <c r="S79" s="25">
        <f>IF(R79="Monopoly",10,IF(R79="Oligopoly",5,IF(R79="Duopoly that cooperate",10,IF(R79="Duopoly that compete",5,IF(R79="Too many players with High ROCE",5,0)))))</f>
        <v/>
      </c>
      <c r="T79" s="25" t="inlineStr">
        <is>
          <t>No</t>
        </is>
      </c>
      <c r="U79" s="25">
        <f>IF(T79="No",5,0)</f>
        <v/>
      </c>
      <c r="V79" s="25" t="inlineStr">
        <is>
          <t>Tailwind</t>
        </is>
      </c>
      <c r="W79" s="25">
        <f>IF(V79="Tailwind",10,0)</f>
        <v/>
      </c>
      <c r="X79" s="25" t="inlineStr">
        <is>
          <t>Structural (10 Years Consistency)</t>
        </is>
      </c>
      <c r="Y79" s="25">
        <f>IF(X79="Structural (10 Years Consistency)",10,IF(X79="Shallow Cyclical (2 to 3 years growth)",5,0))</f>
        <v/>
      </c>
      <c r="Z79" s="25" t="inlineStr">
        <is>
          <t>No</t>
        </is>
      </c>
      <c r="AA79" s="25">
        <f>IF(Z79="Yes due to Product Mix change or Operating Leverage",10,IF(Z79="Yes, these are peak margins",-5,IF(Z79="No",5,0)))</f>
        <v/>
      </c>
      <c r="AB79" s="25" t="inlineStr">
        <is>
          <t>Stable</t>
        </is>
      </c>
      <c r="AC79" s="25">
        <f>IF(AB79="Stable",10,0)</f>
        <v/>
      </c>
      <c r="AD79" s="25" t="inlineStr">
        <is>
          <t>Yes</t>
        </is>
      </c>
      <c r="AE79" s="25">
        <f>IF(AD79="Yes",10,0)</f>
        <v/>
      </c>
      <c r="AF79" s="25" t="inlineStr">
        <is>
          <t>B2B</t>
        </is>
      </c>
      <c r="AG79" s="25">
        <f>IF(AF79="B2C",10,IF(AF79="B2B",5,0))</f>
        <v/>
      </c>
      <c r="AH79" s="25" t="inlineStr">
        <is>
          <t>Yes</t>
        </is>
      </c>
      <c r="AI79" s="25">
        <f>IF(AH79="Yes",10,0)</f>
        <v/>
      </c>
      <c r="AJ79" s="25" t="inlineStr">
        <is>
          <t>Higher One Time, Lower Annuity</t>
        </is>
      </c>
      <c r="AK79" s="25">
        <f>IF(AJ79="Fully Annuity",10,IF(AJ79="Higher Annuity, Lower One Time",5,IF(AJ79="Higher One Time, Lower Annuity",3,0)))</f>
        <v/>
      </c>
      <c r="AL79" s="25" t="inlineStr">
        <is>
          <t>Good</t>
        </is>
      </c>
      <c r="AM79" s="25">
        <f>IF(AL79="Good",10,0)</f>
        <v/>
      </c>
      <c r="AN79" s="25" t="inlineStr">
        <is>
          <t>Yes for more than 2 years</t>
        </is>
      </c>
      <c r="AO79" s="25">
        <f>IF(AN79="Yes for more than 2 years",10,IF(AN79="Yes only for next 1 to 2 years",5,0))</f>
        <v/>
      </c>
      <c r="AP79" s="25" t="inlineStr">
        <is>
          <t>0 to 20</t>
        </is>
      </c>
      <c r="AQ79" s="25">
        <f>IF(AP79="Above 40",20,IF(AP79="20 to 40",10,IF(AP79="0 to 20",-5,0)))</f>
        <v/>
      </c>
      <c r="AR79" s="25" t="inlineStr">
        <is>
          <t>Between 50 to 75</t>
        </is>
      </c>
      <c r="AS79" s="25">
        <f>IF(AR79="Between 50 to 75",10,IF(AR79="Above 75",0,0))</f>
        <v/>
      </c>
      <c r="AT79" s="25" t="inlineStr">
        <is>
          <t>Stage 2</t>
        </is>
      </c>
      <c r="AU79" s="25">
        <f>IF(AT79="Stage 2",20,IF(AT79="Stage 1",0,IF(AT79="Stage 3",5,IF(AT79="Stage 4",-5,0))))</f>
        <v/>
      </c>
      <c r="AV79" s="25" t="inlineStr">
        <is>
          <t>Positive Trend</t>
        </is>
      </c>
      <c r="AW79" s="25">
        <f>IF(AV79="Positive Trend",20,IF(AV79="Negative Trend",-10,0))</f>
        <v/>
      </c>
      <c r="AX79" s="25" t="inlineStr">
        <is>
          <t>Uptrend</t>
        </is>
      </c>
      <c r="AY79" s="25">
        <f>IF(AX79="Uptrend",10,IF(AX79="Sideways",5,0))</f>
        <v/>
      </c>
      <c r="AZ79" s="25" t="inlineStr">
        <is>
          <t>Uptrend</t>
        </is>
      </c>
      <c r="BA79" s="25">
        <f>IF(AZ79="Uptrend",10,IF(AZ79="Sideways",5,0))</f>
        <v/>
      </c>
      <c r="BB79" s="25" t="inlineStr">
        <is>
          <t>Close to 52 week high or retracement</t>
        </is>
      </c>
      <c r="BC79" s="25">
        <f>IF(BB79="Overhead supply in last 2 years in last 2 years",-5,IF(BB79="Close to 52 week high or retracement",5,IF(BB79="Blue sky scenario",10,IF(BB79="Long term Downtrend",-10,0))))</f>
        <v/>
      </c>
      <c r="BD79" s="25" t="inlineStr">
        <is>
          <t>Yes</t>
        </is>
      </c>
      <c r="BE79" s="25">
        <f>IF(BD79="Yes",10,0)</f>
        <v/>
      </c>
      <c r="BF79" s="25" t="inlineStr">
        <is>
          <t>More than 20%</t>
        </is>
      </c>
      <c r="BG79" s="25">
        <f>IF(BF79="More than 20%",10,IF(BF79="Between 12 to 20%",5,IF(BF79="Less than 12%",0,0)))</f>
        <v/>
      </c>
      <c r="BH79" s="25" t="inlineStr">
        <is>
          <t>No</t>
        </is>
      </c>
      <c r="BI79" s="25">
        <f>IF(BH79="No",10,0)</f>
        <v/>
      </c>
      <c r="BJ79" s="25" t="inlineStr">
        <is>
          <t>No</t>
        </is>
      </c>
      <c r="BK79" s="25">
        <f>IF(BJ79="NO",5,0)</f>
        <v/>
      </c>
      <c r="BL79" s="25" t="inlineStr">
        <is>
          <t>Less than 1.5</t>
        </is>
      </c>
      <c r="BM79" s="25">
        <f>IF(BL79="Above 2",0,IF(BL79="Between 1.5 to 2",5,IF(BL79="Less than 1.5",10,0)))</f>
        <v/>
      </c>
      <c r="BN79" s="25" t="inlineStr">
        <is>
          <t>Between 50% to 70%</t>
        </is>
      </c>
      <c r="BO79" s="25">
        <f>IF(BN79="Above 70%",10,IF(BN79="Between 50% to 70%",5,IF(BN79="Less than 50%",0,IF(BN79="Negative",-10,IF(BN79="Less than 50% and Borrowings are increasing",-5,0)))))</f>
        <v/>
      </c>
      <c r="BP79" s="25" t="inlineStr">
        <is>
          <t>Between 0.7 to 1.2</t>
        </is>
      </c>
      <c r="BQ79" s="25">
        <f>IF(BP79="More than 1.2",-10,IF(BP79="Between 0.7 to 1.2",0,IF(BP79="Less than 0.7",10,0)))</f>
        <v/>
      </c>
      <c r="BR79" s="25" t="inlineStr">
        <is>
          <t>No</t>
        </is>
      </c>
      <c r="BS79" s="25">
        <f>IF(BR79="Yes",-10,0)</f>
        <v/>
      </c>
      <c r="BT79" s="25" t="inlineStr">
        <is>
          <t>Less than 15%</t>
        </is>
      </c>
      <c r="BU79" s="25">
        <f>IF(BT79="More than 15%",-10,IF(BT79="Less than 15%",10,0))</f>
        <v/>
      </c>
      <c r="BV79" s="25" t="inlineStr">
        <is>
          <t>No</t>
        </is>
      </c>
      <c r="BW79" s="25">
        <f>IF(BV79="Yes, more than 10%",-10,IF(BV79="No",10,0))</f>
        <v/>
      </c>
      <c r="BX79" s="25" t="inlineStr">
        <is>
          <t>19</t>
        </is>
      </c>
      <c r="BY79" s="25">
        <f>IF(BX79&gt;20,10,IF(BX79&gt;=10,5,2))</f>
        <v/>
      </c>
    </row>
    <row r="80">
      <c r="A80" s="25">
        <f>IF(B80=0,"",RANK(B80,$B$2:$B$95,0))</f>
        <v/>
      </c>
      <c r="B80" s="26">
        <f>SUM(Q80,S80,U80,W80,Y80,AA80,AC80,AE80,AG80,AI80,AK80,AM80,AO80,AQ80,AS80,AU80,AW80,AY80,BA80,BC80,BE80,BG80,BI80,BK80,BM80,BO80,BQ80,BS80,BU80,BW80,BY80)</f>
        <v/>
      </c>
      <c r="C80" s="25" t="inlineStr">
        <is>
          <t>SANGHVIMOV</t>
        </is>
      </c>
      <c r="D80" s="25" t="inlineStr">
        <is>
          <t>Sanghvi Movers Ltd</t>
        </is>
      </c>
      <c r="E80" s="25" t="inlineStr">
        <is>
          <t>miscellaneous</t>
        </is>
      </c>
      <c r="F80" s="25" t="inlineStr">
        <is>
          <t>Capital Goods - EPC/Cranes</t>
        </is>
      </c>
      <c r="G80" s="25" t="inlineStr">
        <is>
          <t>smallcap</t>
        </is>
      </c>
      <c r="H80" s="26" t="n">
        <v>3094.66</v>
      </c>
      <c r="I80" s="26" t="n">
        <v>357.45</v>
      </c>
      <c r="J80" s="26" t="n">
        <v>2.61</v>
      </c>
      <c r="K80" s="26" t="n">
        <v>0</v>
      </c>
      <c r="L80" s="26" t="n">
        <v>59.24</v>
      </c>
      <c r="M80" s="26" t="n">
        <v>18.61</v>
      </c>
      <c r="N80" s="26" t="n">
        <v>254.86</v>
      </c>
      <c r="O80" s="25" t="inlineStr">
        <is>
          <t>Earnings / Momentum Support</t>
        </is>
      </c>
      <c r="P80" s="25" t="inlineStr">
        <is>
          <t>Growing Industry</t>
        </is>
      </c>
      <c r="Q80" s="25">
        <f>IF(P80="Growing Industry",10,IF(P80="Cyclical in an Upturn",5,0))</f>
        <v/>
      </c>
      <c r="R80" s="25" t="inlineStr">
        <is>
          <t>Too Many Players with High ROCE</t>
        </is>
      </c>
      <c r="S80" s="25">
        <f>IF(R80="Monopoly",10,IF(R80="Oligopoly",5,IF(R80="Duopoly that cooperate",10,IF(R80="Duopoly that compete",5,IF(R80="Too many players with High ROCE",5,0)))))</f>
        <v/>
      </c>
      <c r="T80" s="25" t="inlineStr">
        <is>
          <t>No</t>
        </is>
      </c>
      <c r="U80" s="25">
        <f>IF(T80="No",5,0)</f>
        <v/>
      </c>
      <c r="V80" s="25" t="inlineStr">
        <is>
          <t>Tailwind</t>
        </is>
      </c>
      <c r="W80" s="25">
        <f>IF(V80="Tailwind",10,0)</f>
        <v/>
      </c>
      <c r="X80" s="25" t="inlineStr">
        <is>
          <t>Structural (10 Years Consistency)</t>
        </is>
      </c>
      <c r="Y80" s="25">
        <f>IF(X80="Structural (10 Years Consistency)",10,IF(X80="Shallow Cyclical (2 to 3 years growth)",5,0))</f>
        <v/>
      </c>
      <c r="Z80" s="25" t="inlineStr">
        <is>
          <t>No</t>
        </is>
      </c>
      <c r="AA80" s="25">
        <f>IF(Z80="Yes due to Product Mix change or Operating Leverage",10,IF(Z80="Yes, these are peak margins",-5,IF(Z80="No",5,0)))</f>
        <v/>
      </c>
      <c r="AB80" s="25" t="inlineStr">
        <is>
          <t>Stable</t>
        </is>
      </c>
      <c r="AC80" s="25">
        <f>IF(AB80="Stable",10,0)</f>
        <v/>
      </c>
      <c r="AD80" s="25" t="inlineStr">
        <is>
          <t>Yes</t>
        </is>
      </c>
      <c r="AE80" s="25">
        <f>IF(AD80="Yes",10,0)</f>
        <v/>
      </c>
      <c r="AF80" s="25" t="inlineStr">
        <is>
          <t>B2B</t>
        </is>
      </c>
      <c r="AG80" s="25">
        <f>IF(AF80="B2C",10,IF(AF80="B2B",5,0))</f>
        <v/>
      </c>
      <c r="AH80" s="25" t="inlineStr">
        <is>
          <t>No</t>
        </is>
      </c>
      <c r="AI80" s="25">
        <f>IF(AH80="Yes",10,0)</f>
        <v/>
      </c>
      <c r="AJ80" s="25" t="inlineStr">
        <is>
          <t>Higher One Time, Lower Annuity</t>
        </is>
      </c>
      <c r="AK80" s="25">
        <f>IF(AJ80="Fully Annuity",10,IF(AJ80="Higher Annuity, Lower One Time",5,IF(AJ80="Higher One Time, Lower Annuity",3,0)))</f>
        <v/>
      </c>
      <c r="AL80" s="25" t="inlineStr">
        <is>
          <t>Good</t>
        </is>
      </c>
      <c r="AM80" s="25">
        <f>IF(AL80="Good",10,0)</f>
        <v/>
      </c>
      <c r="AN80" s="25" t="inlineStr">
        <is>
          <t>Yes for more than 2 years</t>
        </is>
      </c>
      <c r="AO80" s="25">
        <f>IF(AN80="Yes for more than 2 years",10,IF(AN80="Yes only for next 1 to 2 years",5,0))</f>
        <v/>
      </c>
      <c r="AP80" s="25" t="inlineStr">
        <is>
          <t>0 to 20</t>
        </is>
      </c>
      <c r="AQ80" s="25">
        <f>IF(AP80="Above 40",20,IF(AP80="20 to 40",10,IF(AP80="0 to 20",-5,0)))</f>
        <v/>
      </c>
      <c r="AR80" s="25" t="inlineStr">
        <is>
          <t>Between 50 to 75</t>
        </is>
      </c>
      <c r="AS80" s="25">
        <f>IF(AR80="Between 50 to 75",10,IF(AR80="Above 75",0,0))</f>
        <v/>
      </c>
      <c r="AT80" s="25" t="inlineStr">
        <is>
          <t>Stage 2</t>
        </is>
      </c>
      <c r="AU80" s="25">
        <f>IF(AT80="Stage 2",20,IF(AT80="Stage 1",0,IF(AT80="Stage 3",5,IF(AT80="Stage 4",-5,0))))</f>
        <v/>
      </c>
      <c r="AV80" s="25" t="inlineStr">
        <is>
          <t>Positive Trend</t>
        </is>
      </c>
      <c r="AW80" s="25">
        <f>IF(AV80="Positive Trend",20,IF(AV80="Negative Trend",-10,0))</f>
        <v/>
      </c>
      <c r="AX80" s="25" t="inlineStr">
        <is>
          <t>Uptrend</t>
        </is>
      </c>
      <c r="AY80" s="25">
        <f>IF(AX80="Uptrend",10,IF(AX80="Sideways",5,0))</f>
        <v/>
      </c>
      <c r="AZ80" s="25" t="inlineStr">
        <is>
          <t>Uptrend</t>
        </is>
      </c>
      <c r="BA80" s="25">
        <f>IF(AZ80="Uptrend",10,IF(AZ80="Sideways",5,0))</f>
        <v/>
      </c>
      <c r="BB80" s="25" t="inlineStr">
        <is>
          <t>Close to 52 week high or retracement</t>
        </is>
      </c>
      <c r="BC80" s="25">
        <f>IF(BB80="Overhead supply in last 2 years in last 2 years",-5,IF(BB80="Close to 52 week high or retracement",5,IF(BB80="Blue sky scenario",10,IF(BB80="Long term Downtrend",-10,0))))</f>
        <v/>
      </c>
      <c r="BD80" s="25" t="inlineStr">
        <is>
          <t>Yes</t>
        </is>
      </c>
      <c r="BE80" s="25">
        <f>IF(BD80="Yes",10,0)</f>
        <v/>
      </c>
      <c r="BF80" s="25" t="inlineStr">
        <is>
          <t>More than 20%</t>
        </is>
      </c>
      <c r="BG80" s="25">
        <f>IF(BF80="More than 20%",10,IF(BF80="Between 12 to 20%",5,IF(BF80="Less than 12%",0,0)))</f>
        <v/>
      </c>
      <c r="BH80" s="25" t="inlineStr">
        <is>
          <t>No</t>
        </is>
      </c>
      <c r="BI80" s="25">
        <f>IF(BH80="No",10,0)</f>
        <v/>
      </c>
      <c r="BJ80" s="25" t="inlineStr">
        <is>
          <t>No</t>
        </is>
      </c>
      <c r="BK80" s="25">
        <f>IF(BJ80="NO",5,0)</f>
        <v/>
      </c>
      <c r="BL80" s="25" t="inlineStr">
        <is>
          <t>Less than 1.5</t>
        </is>
      </c>
      <c r="BM80" s="25">
        <f>IF(BL80="Above 2",0,IF(BL80="Between 1.5 to 2",5,IF(BL80="Less than 1.5",10,0)))</f>
        <v/>
      </c>
      <c r="BN80" s="25" t="inlineStr">
        <is>
          <t>Between 50% to 70%</t>
        </is>
      </c>
      <c r="BO80" s="25">
        <f>IF(BN80="Above 70%",10,IF(BN80="Between 50% to 70%",5,IF(BN80="Less than 50%",0,IF(BN80="Negative",-10,IF(BN80="Less than 50% and Borrowings are increasing",-5,0)))))</f>
        <v/>
      </c>
      <c r="BP80" s="25" t="inlineStr">
        <is>
          <t>Less than 0.7</t>
        </is>
      </c>
      <c r="BQ80" s="25">
        <f>IF(BP80="More than 1.2",-10,IF(BP80="Between 0.7 to 1.2",0,IF(BP80="Less than 0.7",10,0)))</f>
        <v/>
      </c>
      <c r="BR80" s="25" t="inlineStr">
        <is>
          <t>No</t>
        </is>
      </c>
      <c r="BS80" s="25">
        <f>IF(BR80="Yes",-10,0)</f>
        <v/>
      </c>
      <c r="BT80" s="25" t="inlineStr">
        <is>
          <t>Less than 15%</t>
        </is>
      </c>
      <c r="BU80" s="25">
        <f>IF(BT80="More than 15%",-10,IF(BT80="Less than 15%",10,0))</f>
        <v/>
      </c>
      <c r="BV80" s="25" t="inlineStr">
        <is>
          <t>No</t>
        </is>
      </c>
      <c r="BW80" s="25">
        <f>IF(BV80="Yes, more than 10%",-10,IF(BV80="No",10,0))</f>
        <v/>
      </c>
      <c r="BX80" s="25" t="inlineStr">
        <is>
          <t>18</t>
        </is>
      </c>
      <c r="BY80" s="25">
        <f>IF(BX80&gt;20,10,IF(BX80&gt;=10,5,2))</f>
        <v/>
      </c>
    </row>
    <row r="81">
      <c r="A81" s="25">
        <f>IF(B81=0,"",RANK(B81,$B$2:$B$95,0))</f>
        <v/>
      </c>
      <c r="B81" s="26">
        <f>SUM(Q81,S81,U81,W81,Y81,AA81,AC81,AE81,AG81,AI81,AK81,AM81,AO81,AQ81,AS81,AU81,AW81,AY81,BA81,BC81,BE81,BG81,BI81,BK81,BM81,BO81,BQ81,BS81,BU81,BW81,BY81)</f>
        <v/>
      </c>
      <c r="C81" s="25" t="inlineStr">
        <is>
          <t>APOLLO</t>
        </is>
      </c>
      <c r="D81" s="25" t="inlineStr">
        <is>
          <t>Apollo Micro Systems Ltd</t>
        </is>
      </c>
      <c r="E81" s="25" t="inlineStr">
        <is>
          <t>aerospace &amp; defence</t>
        </is>
      </c>
      <c r="F81" s="25" t="inlineStr">
        <is>
          <t>Aerospace &amp; Defence - Equipments</t>
        </is>
      </c>
      <c r="G81" s="25" t="inlineStr">
        <is>
          <t>midcap</t>
        </is>
      </c>
      <c r="H81" s="26" t="n">
        <v>15613.68</v>
      </c>
      <c r="I81" s="26" t="n">
        <v>437</v>
      </c>
      <c r="J81" s="26" t="n">
        <v>8.130000000000001</v>
      </c>
      <c r="K81" s="26" t="n">
        <v>0</v>
      </c>
      <c r="L81" s="26" t="n">
        <v>76.04000000000001</v>
      </c>
      <c r="M81" s="26" t="n">
        <v>30.34</v>
      </c>
      <c r="N81" s="26" t="n">
        <v>318.2</v>
      </c>
      <c r="O81" s="25" t="inlineStr">
        <is>
          <t>Near 52W High Breakout</t>
        </is>
      </c>
      <c r="P81" s="25" t="inlineStr">
        <is>
          <t>Cyclical in an Upturn</t>
        </is>
      </c>
      <c r="Q81" s="25">
        <f>IF(P81="Growing Industry",10,IF(P81="Cyclical in an Upturn",5,0))</f>
        <v/>
      </c>
      <c r="R81" s="25" t="inlineStr">
        <is>
          <t>Oligopoly</t>
        </is>
      </c>
      <c r="S81" s="25">
        <f>IF(R81="Monopoly",10,IF(R81="Oligopoly",5,IF(R81="Duopoly that cooperate",10,IF(R81="Duopoly that compete",5,IF(R81="Too many players with High ROCE",5,0)))))</f>
        <v/>
      </c>
      <c r="T81" s="25" t="inlineStr">
        <is>
          <t>No</t>
        </is>
      </c>
      <c r="U81" s="25">
        <f>IF(T81="No",5,0)</f>
        <v/>
      </c>
      <c r="V81" s="25" t="inlineStr">
        <is>
          <t>Tailwind</t>
        </is>
      </c>
      <c r="W81" s="25">
        <f>IF(V81="Tailwind",10,0)</f>
        <v/>
      </c>
      <c r="X81" s="25" t="inlineStr">
        <is>
          <t>Cyclical</t>
        </is>
      </c>
      <c r="Y81" s="25">
        <f>IF(X81="Structural (10 Years Consistency)",10,IF(X81="Shallow Cyclical (2 to 3 years growth)",5,0))</f>
        <v/>
      </c>
      <c r="Z81" s="25" t="inlineStr">
        <is>
          <t>No</t>
        </is>
      </c>
      <c r="AA81" s="25">
        <f>IF(Z81="Yes due to Product Mix change or Operating Leverage",10,IF(Z81="Yes, these are peak margins",-5,IF(Z81="No",5,0)))</f>
        <v/>
      </c>
      <c r="AB81" s="25" t="inlineStr">
        <is>
          <t>Stable</t>
        </is>
      </c>
      <c r="AC81" s="25">
        <f>IF(AB81="Stable",10,0)</f>
        <v/>
      </c>
      <c r="AD81" s="25" t="inlineStr">
        <is>
          <t>Yes</t>
        </is>
      </c>
      <c r="AE81" s="25">
        <f>IF(AD81="Yes",10,0)</f>
        <v/>
      </c>
      <c r="AF81" s="25" t="inlineStr">
        <is>
          <t>B2C</t>
        </is>
      </c>
      <c r="AG81" s="25">
        <f>IF(AF81="B2C",10,IF(AF81="B2B",5,0))</f>
        <v/>
      </c>
      <c r="AH81" s="25" t="inlineStr">
        <is>
          <t>Yes</t>
        </is>
      </c>
      <c r="AI81" s="25">
        <f>IF(AH81="Yes",10,0)</f>
        <v/>
      </c>
      <c r="AJ81" s="25" t="inlineStr">
        <is>
          <t>Fully One Time</t>
        </is>
      </c>
      <c r="AK81" s="25">
        <f>IF(AJ81="Fully Annuity",10,IF(AJ81="Higher Annuity, Lower One Time",5,IF(AJ81="Higher One Time, Lower Annuity",3,0)))</f>
        <v/>
      </c>
      <c r="AL81" s="25" t="inlineStr">
        <is>
          <t>Good</t>
        </is>
      </c>
      <c r="AM81" s="25">
        <f>IF(AL81="Good",10,0)</f>
        <v/>
      </c>
      <c r="AN81" s="25" t="inlineStr">
        <is>
          <t>Yes for more than 2 years</t>
        </is>
      </c>
      <c r="AO81" s="25">
        <f>IF(AN81="Yes for more than 2 years",10,IF(AN81="Yes only for next 1 to 2 years",5,0))</f>
        <v/>
      </c>
      <c r="AP81" s="25" t="inlineStr">
        <is>
          <t>Above 40</t>
        </is>
      </c>
      <c r="AQ81" s="25">
        <f>IF(AP81="Above 40",20,IF(AP81="20 to 40",10,IF(AP81="0 to 20",-5,0)))</f>
        <v/>
      </c>
      <c r="AR81" s="25" t="inlineStr">
        <is>
          <t>Above 75</t>
        </is>
      </c>
      <c r="AS81" s="25">
        <f>IF(AR81="Between 50 to 75",10,IF(AR81="Above 75",0,0))</f>
        <v/>
      </c>
      <c r="AT81" s="25" t="inlineStr">
        <is>
          <t>Stage 2</t>
        </is>
      </c>
      <c r="AU81" s="25">
        <f>IF(AT81="Stage 2",20,IF(AT81="Stage 1",0,IF(AT81="Stage 3",5,IF(AT81="Stage 4",-5,0))))</f>
        <v/>
      </c>
      <c r="AV81" s="25" t="inlineStr">
        <is>
          <t>Positive Trend</t>
        </is>
      </c>
      <c r="AW81" s="25">
        <f>IF(AV81="Positive Trend",20,IF(AV81="Negative Trend",-10,0))</f>
        <v/>
      </c>
      <c r="AX81" s="25" t="inlineStr">
        <is>
          <t>Uptrend</t>
        </is>
      </c>
      <c r="AY81" s="25">
        <f>IF(AX81="Uptrend",10,IF(AX81="Sideways",5,0))</f>
        <v/>
      </c>
      <c r="AZ81" s="25" t="inlineStr">
        <is>
          <t>Uptrend</t>
        </is>
      </c>
      <c r="BA81" s="25">
        <f>IF(AZ81="Uptrend",10,IF(AZ81="Sideways",5,0))</f>
        <v/>
      </c>
      <c r="BB81" s="25" t="inlineStr">
        <is>
          <t>Close to 52 week high or retracement</t>
        </is>
      </c>
      <c r="BC81" s="25">
        <f>IF(BB81="Overhead supply in last 2 years in last 2 years",-5,IF(BB81="Close to 52 week high or retracement",5,IF(BB81="Blue sky scenario",10,IF(BB81="Long term Downtrend",-10,0))))</f>
        <v/>
      </c>
      <c r="BD81" s="25" t="inlineStr">
        <is>
          <t>Yes</t>
        </is>
      </c>
      <c r="BE81" s="25">
        <f>IF(BD81="Yes",10,0)</f>
        <v/>
      </c>
      <c r="BF81" s="25" t="inlineStr">
        <is>
          <t>More than 20%</t>
        </is>
      </c>
      <c r="BG81" s="25">
        <f>IF(BF81="More than 20%",10,IF(BF81="Between 12 to 20%",5,IF(BF81="Less than 12%",0,0)))</f>
        <v/>
      </c>
      <c r="BH81" s="25" t="inlineStr">
        <is>
          <t>Yes</t>
        </is>
      </c>
      <c r="BI81" s="25">
        <f>IF(BH81="No",10,0)</f>
        <v/>
      </c>
      <c r="BJ81" s="25" t="inlineStr">
        <is>
          <t>Yes</t>
        </is>
      </c>
      <c r="BK81" s="25">
        <f>IF(BJ81="NO",5,0)</f>
        <v/>
      </c>
      <c r="BL81" s="25" t="inlineStr">
        <is>
          <t>Between 1.5 to 2</t>
        </is>
      </c>
      <c r="BM81" s="25">
        <f>IF(BL81="Above 2",0,IF(BL81="Between 1.5 to 2",5,IF(BL81="Less than 1.5",10,0)))</f>
        <v/>
      </c>
      <c r="BN81" s="25" t="inlineStr">
        <is>
          <t>Above 70%</t>
        </is>
      </c>
      <c r="BO81" s="25">
        <f>IF(BN81="Above 70%",10,IF(BN81="Between 50% to 70%",5,IF(BN81="Less than 50%",0,IF(BN81="Negative",-10,IF(BN81="Less than 50% and Borrowings are increasing",-5,0)))))</f>
        <v/>
      </c>
      <c r="BP81" s="25" t="inlineStr">
        <is>
          <t>Less than 0.7</t>
        </is>
      </c>
      <c r="BQ81" s="25">
        <f>IF(BP81="More than 1.2",-10,IF(BP81="Between 0.7 to 1.2",0,IF(BP81="Less than 0.7",10,0)))</f>
        <v/>
      </c>
      <c r="BR81" s="25" t="inlineStr">
        <is>
          <t>No</t>
        </is>
      </c>
      <c r="BS81" s="25">
        <f>IF(BR81="Yes",-10,0)</f>
        <v/>
      </c>
      <c r="BT81" s="25" t="inlineStr">
        <is>
          <t>Less than 15%</t>
        </is>
      </c>
      <c r="BU81" s="25">
        <f>IF(BT81="More than 15%",-10,IF(BT81="Less than 15%",10,0))</f>
        <v/>
      </c>
      <c r="BV81" s="25" t="inlineStr">
        <is>
          <t>No</t>
        </is>
      </c>
      <c r="BW81" s="25">
        <f>IF(BV81="Yes, more than 10%",-10,IF(BV81="No",10,0))</f>
        <v/>
      </c>
      <c r="BX81" s="25" t="inlineStr">
        <is>
          <t>30</t>
        </is>
      </c>
      <c r="BY81" s="25">
        <f>IF(BX81&gt;20,10,IF(BX81&gt;=10,5,2))</f>
        <v/>
      </c>
    </row>
    <row r="82">
      <c r="A82" s="25">
        <f>IF(B82=0,"",RANK(B82,$B$2:$B$95,0))</f>
        <v/>
      </c>
      <c r="B82" s="26">
        <f>SUM(Q82,S82,U82,W82,Y82,AA82,AC82,AE82,AG82,AI82,AK82,AM82,AO82,AQ82,AS82,AU82,AW82,AY82,BA82,BC82,BE82,BG82,BI82,BK82,BM82,BO82,BQ82,BS82,BU82,BW82,BY82)</f>
        <v/>
      </c>
      <c r="C82" s="25" t="inlineStr">
        <is>
          <t>VADILALIND</t>
        </is>
      </c>
      <c r="D82" s="25" t="inlineStr">
        <is>
          <t>Vadilal Industries Ltd</t>
        </is>
      </c>
      <c r="E82" s="25" t="inlineStr">
        <is>
          <t>fmcg</t>
        </is>
      </c>
      <c r="F82" s="25" t="inlineStr">
        <is>
          <t>FMCG - Dairy Products</t>
        </is>
      </c>
      <c r="G82" s="25" t="inlineStr">
        <is>
          <t>smallcap</t>
        </is>
      </c>
      <c r="H82" s="26" t="n">
        <v>3870.57</v>
      </c>
      <c r="I82" s="26" t="n">
        <v>5384.9</v>
      </c>
      <c r="J82" s="26" t="n">
        <v>2.39</v>
      </c>
      <c r="K82" s="26" t="n">
        <v>0</v>
      </c>
      <c r="L82" s="26" t="n">
        <v>60.04</v>
      </c>
      <c r="M82" s="26" t="n">
        <v>10.22</v>
      </c>
      <c r="N82" s="26" t="n">
        <v>4111.92</v>
      </c>
      <c r="O82" s="25" t="inlineStr">
        <is>
          <t>Volume Spike &amp; Near 52W High Breakout</t>
        </is>
      </c>
      <c r="P82" s="25" t="inlineStr">
        <is>
          <t>Growing Industry</t>
        </is>
      </c>
      <c r="Q82" s="25">
        <f>IF(P82="Growing Industry",10,IF(P82="Cyclical in an Upturn",5,0))</f>
        <v/>
      </c>
      <c r="R82" s="25" t="inlineStr">
        <is>
          <t>Too Many Players with High ROCE</t>
        </is>
      </c>
      <c r="S82" s="25">
        <f>IF(R82="Monopoly",10,IF(R82="Oligopoly",5,IF(R82="Duopoly that cooperate",10,IF(R82="Duopoly that compete",5,IF(R82="Too many players with High ROCE",5,0)))))</f>
        <v/>
      </c>
      <c r="T82" s="25" t="inlineStr">
        <is>
          <t>No</t>
        </is>
      </c>
      <c r="U82" s="25">
        <f>IF(T82="No",5,0)</f>
        <v/>
      </c>
      <c r="V82" s="25" t="inlineStr">
        <is>
          <t>Tailwind</t>
        </is>
      </c>
      <c r="W82" s="25">
        <f>IF(V82="Tailwind",10,0)</f>
        <v/>
      </c>
      <c r="X82" s="25" t="inlineStr">
        <is>
          <t>Structural (10 Years Consistency)</t>
        </is>
      </c>
      <c r="Y82" s="25">
        <f>IF(X82="Structural (10 Years Consistency)",10,IF(X82="Shallow Cyclical (2 to 3 years growth)",5,0))</f>
        <v/>
      </c>
      <c r="Z82" s="25" t="inlineStr">
        <is>
          <t>No</t>
        </is>
      </c>
      <c r="AA82" s="25">
        <f>IF(Z82="Yes due to Product Mix change or Operating Leverage",10,IF(Z82="Yes, these are peak margins",-5,IF(Z82="No",5,0)))</f>
        <v/>
      </c>
      <c r="AB82" s="25" t="inlineStr">
        <is>
          <t>Stable</t>
        </is>
      </c>
      <c r="AC82" s="25">
        <f>IF(AB82="Stable",10,0)</f>
        <v/>
      </c>
      <c r="AD82" s="25" t="inlineStr">
        <is>
          <t>Yes</t>
        </is>
      </c>
      <c r="AE82" s="25">
        <f>IF(AD82="Yes",10,0)</f>
        <v/>
      </c>
      <c r="AF82" s="25" t="inlineStr">
        <is>
          <t>B2C</t>
        </is>
      </c>
      <c r="AG82" s="25">
        <f>IF(AF82="B2C",10,IF(AF82="B2B",5,0))</f>
        <v/>
      </c>
      <c r="AH82" s="25" t="inlineStr">
        <is>
          <t>Yes</t>
        </is>
      </c>
      <c r="AI82" s="25">
        <f>IF(AH82="Yes",10,0)</f>
        <v/>
      </c>
      <c r="AJ82" s="25" t="inlineStr">
        <is>
          <t>Higher Annuity, Lower One Time</t>
        </is>
      </c>
      <c r="AK82" s="25">
        <f>IF(AJ82="Fully Annuity",10,IF(AJ82="Higher Annuity, Lower One Time",5,IF(AJ82="Higher One Time, Lower Annuity",3,0)))</f>
        <v/>
      </c>
      <c r="AL82" s="25" t="inlineStr">
        <is>
          <t>Good</t>
        </is>
      </c>
      <c r="AM82" s="25">
        <f>IF(AL82="Good",10,0)</f>
        <v/>
      </c>
      <c r="AN82" s="25" t="inlineStr">
        <is>
          <t>Yes for more than 2 years</t>
        </is>
      </c>
      <c r="AO82" s="25">
        <f>IF(AN82="Yes for more than 2 years",10,IF(AN82="Yes only for next 1 to 2 years",5,0))</f>
        <v/>
      </c>
      <c r="AP82" s="25" t="inlineStr">
        <is>
          <t>0 to 20</t>
        </is>
      </c>
      <c r="AQ82" s="25">
        <f>IF(AP82="Above 40",20,IF(AP82="20 to 40",10,IF(AP82="0 to 20",-5,0)))</f>
        <v/>
      </c>
      <c r="AR82" s="25" t="inlineStr">
        <is>
          <t>Between 50 to 75</t>
        </is>
      </c>
      <c r="AS82" s="25">
        <f>IF(AR82="Between 50 to 75",10,IF(AR82="Above 75",0,0))</f>
        <v/>
      </c>
      <c r="AT82" s="25" t="inlineStr">
        <is>
          <t>Stage 1</t>
        </is>
      </c>
      <c r="AU82" s="25">
        <f>IF(AT82="Stage 2",20,IF(AT82="Stage 1",0,IF(AT82="Stage 3",5,IF(AT82="Stage 4",-5,0))))</f>
        <v/>
      </c>
      <c r="AV82" s="25" t="inlineStr">
        <is>
          <t>Positive Trend</t>
        </is>
      </c>
      <c r="AW82" s="25">
        <f>IF(AV82="Positive Trend",20,IF(AV82="Negative Trend",-10,0))</f>
        <v/>
      </c>
      <c r="AX82" s="25" t="inlineStr">
        <is>
          <t>Uptrend</t>
        </is>
      </c>
      <c r="AY82" s="25">
        <f>IF(AX82="Uptrend",10,IF(AX82="Sideways",5,0))</f>
        <v/>
      </c>
      <c r="AZ82" s="25" t="inlineStr">
        <is>
          <t>Uptrend</t>
        </is>
      </c>
      <c r="BA82" s="25">
        <f>IF(AZ82="Uptrend",10,IF(AZ82="Sideways",5,0))</f>
        <v/>
      </c>
      <c r="BB82" s="25" t="inlineStr">
        <is>
          <t>Close to 52 week high or retracement</t>
        </is>
      </c>
      <c r="BC82" s="25">
        <f>IF(BB82="Overhead supply in last 2 years in last 2 years",-5,IF(BB82="Close to 52 week high or retracement",5,IF(BB82="Blue sky scenario",10,IF(BB82="Long term Downtrend",-10,0))))</f>
        <v/>
      </c>
      <c r="BD82" s="25" t="inlineStr">
        <is>
          <t>Yes</t>
        </is>
      </c>
      <c r="BE82" s="25">
        <f>IF(BD82="Yes",10,0)</f>
        <v/>
      </c>
      <c r="BF82" s="25" t="inlineStr">
        <is>
          <t>More than 20%</t>
        </is>
      </c>
      <c r="BG82" s="25">
        <f>IF(BF82="More than 20%",10,IF(BF82="Between 12 to 20%",5,IF(BF82="Less than 12%",0,0)))</f>
        <v/>
      </c>
      <c r="BH82" s="25" t="inlineStr">
        <is>
          <t>No</t>
        </is>
      </c>
      <c r="BI82" s="25">
        <f>IF(BH82="No",10,0)</f>
        <v/>
      </c>
      <c r="BJ82" s="25" t="inlineStr">
        <is>
          <t>No</t>
        </is>
      </c>
      <c r="BK82" s="25">
        <f>IF(BJ82="NO",5,0)</f>
        <v/>
      </c>
      <c r="BL82" s="25" t="inlineStr">
        <is>
          <t>Less than 1.5</t>
        </is>
      </c>
      <c r="BM82" s="25">
        <f>IF(BL82="Above 2",0,IF(BL82="Between 1.5 to 2",5,IF(BL82="Less than 1.5",10,0)))</f>
        <v/>
      </c>
      <c r="BN82" s="25" t="inlineStr">
        <is>
          <t>Between 50% to 70%</t>
        </is>
      </c>
      <c r="BO82" s="25">
        <f>IF(BN82="Above 70%",10,IF(BN82="Between 50% to 70%",5,IF(BN82="Less than 50%",0,IF(BN82="Negative",-10,IF(BN82="Less than 50% and Borrowings are increasing",-5,0)))))</f>
        <v/>
      </c>
      <c r="BP82" s="25" t="inlineStr">
        <is>
          <t>Less than 0.7</t>
        </is>
      </c>
      <c r="BQ82" s="25">
        <f>IF(BP82="More than 1.2",-10,IF(BP82="Between 0.7 to 1.2",0,IF(BP82="Less than 0.7",10,0)))</f>
        <v/>
      </c>
      <c r="BR82" s="25" t="inlineStr">
        <is>
          <t>No</t>
        </is>
      </c>
      <c r="BS82" s="25">
        <f>IF(BR82="Yes",-10,0)</f>
        <v/>
      </c>
      <c r="BT82" s="25" t="inlineStr">
        <is>
          <t>Less than 15%</t>
        </is>
      </c>
      <c r="BU82" s="25">
        <f>IF(BT82="More than 15%",-10,IF(BT82="Less than 15%",10,0))</f>
        <v/>
      </c>
      <c r="BV82" s="25" t="inlineStr">
        <is>
          <t>No</t>
        </is>
      </c>
      <c r="BW82" s="25">
        <f>IF(BV82="Yes, more than 10%",-10,IF(BV82="No",10,0))</f>
        <v/>
      </c>
      <c r="BX82" s="25" t="inlineStr">
        <is>
          <t>20</t>
        </is>
      </c>
      <c r="BY82" s="25">
        <f>IF(BX82&gt;20,10,IF(BX82&gt;=10,5,2))</f>
        <v/>
      </c>
    </row>
    <row r="83">
      <c r="A83" s="25">
        <f>IF(B83=0,"",RANK(B83,$B$2:$B$95,0))</f>
        <v/>
      </c>
      <c r="B83" s="26">
        <f>SUM(Q83,S83,U83,W83,Y83,AA83,AC83,AE83,AG83,AI83,AK83,AM83,AO83,AQ83,AS83,AU83,AW83,AY83,BA83,BC83,BE83,BG83,BI83,BK83,BM83,BO83,BQ83,BS83,BU83,BW83,BY83)</f>
        <v/>
      </c>
      <c r="C83" s="25" t="inlineStr">
        <is>
          <t>SIGMAADV</t>
        </is>
      </c>
      <c r="D83" s="25" t="inlineStr">
        <is>
          <t>Sigma Advanced System Ltd</t>
        </is>
      </c>
      <c r="E83" s="25" t="inlineStr">
        <is>
          <t>aerospace &amp; defence</t>
        </is>
      </c>
      <c r="F83" s="25" t="inlineStr">
        <is>
          <t>Aerospace &amp; Defence - Equipments</t>
        </is>
      </c>
      <c r="G83" s="25" t="inlineStr">
        <is>
          <t>midcap</t>
        </is>
      </c>
      <c r="H83" s="26" t="n">
        <v>7333.33</v>
      </c>
      <c r="I83" s="26" t="n">
        <v>416.1</v>
      </c>
      <c r="J83" s="26" t="n">
        <v>-2.42</v>
      </c>
      <c r="K83" s="26" t="n">
        <v>0</v>
      </c>
      <c r="L83" s="26" t="n">
        <v>81.01000000000001</v>
      </c>
      <c r="M83" s="26" t="n">
        <v>33.95</v>
      </c>
      <c r="N83" s="26" t="n">
        <v>322.27</v>
      </c>
      <c r="O83" s="25" t="inlineStr">
        <is>
          <t>Near 52W High Breakout</t>
        </is>
      </c>
      <c r="P83" s="25" t="inlineStr">
        <is>
          <t>Growing Industry</t>
        </is>
      </c>
      <c r="Q83" s="25">
        <f>IF(P83="Growing Industry",10,IF(P83="Cyclical in an Upturn",5,0))</f>
        <v/>
      </c>
      <c r="R83" s="25" t="inlineStr">
        <is>
          <t>Too Many Players with High ROCE</t>
        </is>
      </c>
      <c r="S83" s="25">
        <f>IF(R83="Monopoly",10,IF(R83="Oligopoly",5,IF(R83="Duopoly that cooperate",10,IF(R83="Duopoly that compete",5,IF(R83="Too many players with High ROCE",5,0)))))</f>
        <v/>
      </c>
      <c r="T83" s="25" t="inlineStr">
        <is>
          <t>No</t>
        </is>
      </c>
      <c r="U83" s="25">
        <f>IF(T83="No",5,0)</f>
        <v/>
      </c>
      <c r="V83" s="25" t="inlineStr">
        <is>
          <t>Tailwind</t>
        </is>
      </c>
      <c r="W83" s="25">
        <f>IF(V83="Tailwind",10,0)</f>
        <v/>
      </c>
      <c r="X83" s="25" t="inlineStr">
        <is>
          <t>Structural (10 Years Consistency)</t>
        </is>
      </c>
      <c r="Y83" s="25">
        <f>IF(X83="Structural (10 Years Consistency)",10,IF(X83="Shallow Cyclical (2 to 3 years growth)",5,0))</f>
        <v/>
      </c>
      <c r="Z83" s="25" t="inlineStr">
        <is>
          <t>No</t>
        </is>
      </c>
      <c r="AA83" s="25">
        <f>IF(Z83="Yes due to Product Mix change or Operating Leverage",10,IF(Z83="Yes, these are peak margins",-5,IF(Z83="No",5,0)))</f>
        <v/>
      </c>
      <c r="AB83" s="25" t="inlineStr">
        <is>
          <t>Stable</t>
        </is>
      </c>
      <c r="AC83" s="25">
        <f>IF(AB83="Stable",10,0)</f>
        <v/>
      </c>
      <c r="AD83" s="25" t="inlineStr">
        <is>
          <t>Yes</t>
        </is>
      </c>
      <c r="AE83" s="25">
        <f>IF(AD83="Yes",10,0)</f>
        <v/>
      </c>
      <c r="AF83" s="25" t="inlineStr">
        <is>
          <t>B2B</t>
        </is>
      </c>
      <c r="AG83" s="25">
        <f>IF(AF83="B2C",10,IF(AF83="B2B",5,0))</f>
        <v/>
      </c>
      <c r="AH83" s="25" t="inlineStr">
        <is>
          <t>Yes</t>
        </is>
      </c>
      <c r="AI83" s="25">
        <f>IF(AH83="Yes",10,0)</f>
        <v/>
      </c>
      <c r="AJ83" s="25" t="inlineStr">
        <is>
          <t>Higher One Time, Lower Annuity</t>
        </is>
      </c>
      <c r="AK83" s="25">
        <f>IF(AJ83="Fully Annuity",10,IF(AJ83="Higher Annuity, Lower One Time",5,IF(AJ83="Higher One Time, Lower Annuity",3,0)))</f>
        <v/>
      </c>
      <c r="AL83" s="25" t="inlineStr">
        <is>
          <t>Good</t>
        </is>
      </c>
      <c r="AM83" s="25">
        <f>IF(AL83="Good",10,0)</f>
        <v/>
      </c>
      <c r="AN83" s="25" t="inlineStr">
        <is>
          <t>Yes for more than 2 years</t>
        </is>
      </c>
      <c r="AO83" s="25">
        <f>IF(AN83="Yes for more than 2 years",10,IF(AN83="Yes only for next 1 to 2 years",5,0))</f>
        <v/>
      </c>
      <c r="AP83" s="25" t="inlineStr">
        <is>
          <t>20 to 40</t>
        </is>
      </c>
      <c r="AQ83" s="25">
        <f>IF(AP83="Above 40",20,IF(AP83="20 to 40",10,IF(AP83="0 to 20",-5,0)))</f>
        <v/>
      </c>
      <c r="AR83" s="25" t="inlineStr">
        <is>
          <t>Above 75</t>
        </is>
      </c>
      <c r="AS83" s="25">
        <f>IF(AR83="Between 50 to 75",10,IF(AR83="Above 75",0,0))</f>
        <v/>
      </c>
      <c r="AT83" s="25" t="inlineStr">
        <is>
          <t>Stage 2</t>
        </is>
      </c>
      <c r="AU83" s="25">
        <f>IF(AT83="Stage 2",20,IF(AT83="Stage 1",0,IF(AT83="Stage 3",5,IF(AT83="Stage 4",-5,0))))</f>
        <v/>
      </c>
      <c r="AV83" s="25" t="inlineStr">
        <is>
          <t>Positive Trend</t>
        </is>
      </c>
      <c r="AW83" s="25">
        <f>IF(AV83="Positive Trend",20,IF(AV83="Negative Trend",-10,0))</f>
        <v/>
      </c>
      <c r="AX83" s="25" t="inlineStr">
        <is>
          <t>Uptrend</t>
        </is>
      </c>
      <c r="AY83" s="25">
        <f>IF(AX83="Uptrend",10,IF(AX83="Sideways",5,0))</f>
        <v/>
      </c>
      <c r="AZ83" s="25" t="inlineStr">
        <is>
          <t>Uptrend</t>
        </is>
      </c>
      <c r="BA83" s="25">
        <f>IF(AZ83="Uptrend",10,IF(AZ83="Sideways",5,0))</f>
        <v/>
      </c>
      <c r="BB83" s="25" t="inlineStr">
        <is>
          <t>Blue sky scenario</t>
        </is>
      </c>
      <c r="BC83" s="25">
        <f>IF(BB83="Overhead supply in last 2 years in last 2 years",-5,IF(BB83="Close to 52 week high or retracement",5,IF(BB83="Blue sky scenario",10,IF(BB83="Long term Downtrend",-10,0))))</f>
        <v/>
      </c>
      <c r="BD83" s="25" t="inlineStr">
        <is>
          <t>Yes</t>
        </is>
      </c>
      <c r="BE83" s="25">
        <f>IF(BD83="Yes",10,0)</f>
        <v/>
      </c>
      <c r="BF83" s="25" t="inlineStr">
        <is>
          <t>More than 20%</t>
        </is>
      </c>
      <c r="BG83" s="25">
        <f>IF(BF83="More than 20%",10,IF(BF83="Between 12 to 20%",5,IF(BF83="Less than 12%",0,0)))</f>
        <v/>
      </c>
      <c r="BH83" s="25" t="inlineStr">
        <is>
          <t>No</t>
        </is>
      </c>
      <c r="BI83" s="25">
        <f>IF(BH83="No",10,0)</f>
        <v/>
      </c>
      <c r="BJ83" s="25" t="inlineStr">
        <is>
          <t>No</t>
        </is>
      </c>
      <c r="BK83" s="25">
        <f>IF(BJ83="NO",5,0)</f>
        <v/>
      </c>
      <c r="BL83" s="25" t="inlineStr">
        <is>
          <t>Less than 1.5</t>
        </is>
      </c>
      <c r="BM83" s="25">
        <f>IF(BL83="Above 2",0,IF(BL83="Between 1.5 to 2",5,IF(BL83="Less than 1.5",10,0)))</f>
        <v/>
      </c>
      <c r="BN83" s="25" t="inlineStr">
        <is>
          <t>Negative</t>
        </is>
      </c>
      <c r="BO83" s="25">
        <f>IF(BN83="Above 70%",10,IF(BN83="Between 50% to 70%",5,IF(BN83="Less than 50%",0,IF(BN83="Negative",-10,IF(BN83="Less than 50% and Borrowings are increasing",-5,0)))))</f>
        <v/>
      </c>
      <c r="BP83" s="25" t="inlineStr">
        <is>
          <t>Between 0.7 to 1.2</t>
        </is>
      </c>
      <c r="BQ83" s="25">
        <f>IF(BP83="More than 1.2",-10,IF(BP83="Between 0.7 to 1.2",0,IF(BP83="Less than 0.7",10,0)))</f>
        <v/>
      </c>
      <c r="BR83" s="25" t="inlineStr">
        <is>
          <t>No</t>
        </is>
      </c>
      <c r="BS83" s="25">
        <f>IF(BR83="Yes",-10,0)</f>
        <v/>
      </c>
      <c r="BT83" s="25" t="inlineStr">
        <is>
          <t>Less than 15%</t>
        </is>
      </c>
      <c r="BU83" s="25">
        <f>IF(BT83="More than 15%",-10,IF(BT83="Less than 15%",10,0))</f>
        <v/>
      </c>
      <c r="BV83" s="25" t="inlineStr">
        <is>
          <t>No</t>
        </is>
      </c>
      <c r="BW83" s="25">
        <f>IF(BV83="Yes, more than 10%",-10,IF(BV83="No",10,0))</f>
        <v/>
      </c>
      <c r="BX83" s="25" t="inlineStr">
        <is>
          <t>31</t>
        </is>
      </c>
      <c r="BY83" s="25">
        <f>IF(BX83&gt;20,10,IF(BX83&gt;=10,5,2))</f>
        <v/>
      </c>
    </row>
    <row r="84">
      <c r="A84" s="25">
        <f>IF(B84=0,"",RANK(B84,$B$2:$B$95,0))</f>
        <v/>
      </c>
      <c r="B84" s="26">
        <f>SUM(Q84,S84,U84,W84,Y84,AA84,AC84,AE84,AG84,AI84,AK84,AM84,AO84,AQ84,AS84,AU84,AW84,AY84,BA84,BC84,BE84,BG84,BI84,BK84,BM84,BO84,BQ84,BS84,BU84,BW84,BY84)</f>
        <v/>
      </c>
      <c r="C84" s="25" t="inlineStr">
        <is>
          <t>JNKINDIA</t>
        </is>
      </c>
      <c r="D84" s="25" t="inlineStr">
        <is>
          <t>JNK India Ltd</t>
        </is>
      </c>
      <c r="E84" s="25" t="inlineStr">
        <is>
          <t>Industrials</t>
        </is>
      </c>
      <c r="F84" s="25" t="inlineStr">
        <is>
          <t>Capital Goods - Engineering Heavy</t>
        </is>
      </c>
      <c r="G84" s="25" t="inlineStr">
        <is>
          <t>smallcap</t>
        </is>
      </c>
      <c r="H84" s="26" t="n">
        <v>2022.17</v>
      </c>
      <c r="I84" s="26" t="n">
        <v>361.4</v>
      </c>
      <c r="J84" s="26" t="n">
        <v>1.32</v>
      </c>
      <c r="K84" s="26" t="n">
        <v>0</v>
      </c>
      <c r="L84" s="26" t="n">
        <v>62.69</v>
      </c>
      <c r="M84" s="26" t="n">
        <v>23.9</v>
      </c>
      <c r="N84" s="26" t="n">
        <v>270.28</v>
      </c>
      <c r="O84" s="25" t="inlineStr">
        <is>
          <t>Earnings / Momentum Support</t>
        </is>
      </c>
      <c r="P84" s="25" t="inlineStr">
        <is>
          <t>Cyclical in an Upturn</t>
        </is>
      </c>
      <c r="Q84" s="25">
        <f>IF(P84="Growing Industry",10,IF(P84="Cyclical in an Upturn",5,0))</f>
        <v/>
      </c>
      <c r="R84" s="25" t="inlineStr">
        <is>
          <t>Too Many Players with High ROCE</t>
        </is>
      </c>
      <c r="S84" s="25">
        <f>IF(R84="Monopoly",10,IF(R84="Oligopoly",5,IF(R84="Duopoly that cooperate",10,IF(R84="Duopoly that compete",5,IF(R84="Too many players with High ROCE",5,0)))))</f>
        <v/>
      </c>
      <c r="T84" s="25" t="inlineStr">
        <is>
          <t>No</t>
        </is>
      </c>
      <c r="U84" s="25">
        <f>IF(T84="No",5,0)</f>
        <v/>
      </c>
      <c r="V84" s="25" t="inlineStr">
        <is>
          <t>Tailwind</t>
        </is>
      </c>
      <c r="W84" s="25">
        <f>IF(V84="Tailwind",10,0)</f>
        <v/>
      </c>
      <c r="X84" s="25" t="inlineStr">
        <is>
          <t>Structural (10 Years Consistency)</t>
        </is>
      </c>
      <c r="Y84" s="25">
        <f>IF(X84="Structural (10 Years Consistency)",10,IF(X84="Shallow Cyclical (2 to 3 years growth)",5,0))</f>
        <v/>
      </c>
      <c r="Z84" s="25" t="inlineStr">
        <is>
          <t>No</t>
        </is>
      </c>
      <c r="AA84" s="25">
        <f>IF(Z84="Yes due to Product Mix change or Operating Leverage",10,IF(Z84="Yes, these are peak margins",-5,IF(Z84="No",5,0)))</f>
        <v/>
      </c>
      <c r="AB84" s="25" t="inlineStr">
        <is>
          <t>Stable</t>
        </is>
      </c>
      <c r="AC84" s="25">
        <f>IF(AB84="Stable",10,0)</f>
        <v/>
      </c>
      <c r="AD84" s="25" t="inlineStr">
        <is>
          <t>Yes</t>
        </is>
      </c>
      <c r="AE84" s="25">
        <f>IF(AD84="Yes",10,0)</f>
        <v/>
      </c>
      <c r="AF84" s="25" t="inlineStr">
        <is>
          <t>B2B</t>
        </is>
      </c>
      <c r="AG84" s="25">
        <f>IF(AF84="B2C",10,IF(AF84="B2B",5,0))</f>
        <v/>
      </c>
      <c r="AH84" s="25" t="inlineStr">
        <is>
          <t>No</t>
        </is>
      </c>
      <c r="AI84" s="25">
        <f>IF(AH84="Yes",10,0)</f>
        <v/>
      </c>
      <c r="AJ84" s="25" t="inlineStr">
        <is>
          <t>Higher One Time, Lower Annuity</t>
        </is>
      </c>
      <c r="AK84" s="25">
        <f>IF(AJ84="Fully Annuity",10,IF(AJ84="Higher Annuity, Lower One Time",5,IF(AJ84="Higher One Time, Lower Annuity",3,0)))</f>
        <v/>
      </c>
      <c r="AL84" s="25" t="inlineStr">
        <is>
          <t>Good</t>
        </is>
      </c>
      <c r="AM84" s="25">
        <f>IF(AL84="Good",10,0)</f>
        <v/>
      </c>
      <c r="AN84" s="25" t="inlineStr">
        <is>
          <t>Yes for more than 2 years</t>
        </is>
      </c>
      <c r="AO84" s="25">
        <f>IF(AN84="Yes for more than 2 years",10,IF(AN84="Yes only for next 1 to 2 years",5,0))</f>
        <v/>
      </c>
      <c r="AP84" s="25" t="inlineStr">
        <is>
          <t>20 to 40</t>
        </is>
      </c>
      <c r="AQ84" s="25">
        <f>IF(AP84="Above 40",20,IF(AP84="20 to 40",10,IF(AP84="0 to 20",-5,0)))</f>
        <v/>
      </c>
      <c r="AR84" s="25" t="inlineStr">
        <is>
          <t>Between 50 to 75</t>
        </is>
      </c>
      <c r="AS84" s="25">
        <f>IF(AR84="Between 50 to 75",10,IF(AR84="Above 75",0,0))</f>
        <v/>
      </c>
      <c r="AT84" s="25" t="inlineStr">
        <is>
          <t>Stage 2</t>
        </is>
      </c>
      <c r="AU84" s="25">
        <f>IF(AT84="Stage 2",20,IF(AT84="Stage 1",0,IF(AT84="Stage 3",5,IF(AT84="Stage 4",-5,0))))</f>
        <v/>
      </c>
      <c r="AV84" s="25" t="inlineStr">
        <is>
          <t>Positive Trend</t>
        </is>
      </c>
      <c r="AW84" s="25">
        <f>IF(AV84="Positive Trend",20,IF(AV84="Negative Trend",-10,0))</f>
        <v/>
      </c>
      <c r="AX84" s="25" t="inlineStr">
        <is>
          <t>Uptrend</t>
        </is>
      </c>
      <c r="AY84" s="25">
        <f>IF(AX84="Uptrend",10,IF(AX84="Sideways",5,0))</f>
        <v/>
      </c>
      <c r="AZ84" s="25" t="inlineStr">
        <is>
          <t>Uptrend</t>
        </is>
      </c>
      <c r="BA84" s="25">
        <f>IF(AZ84="Uptrend",10,IF(AZ84="Sideways",5,0))</f>
        <v/>
      </c>
      <c r="BB84" s="25" t="inlineStr">
        <is>
          <t>Close to 52 week high or retracement</t>
        </is>
      </c>
      <c r="BC84" s="25">
        <f>IF(BB84="Overhead supply in last 2 years in last 2 years",-5,IF(BB84="Close to 52 week high or retracement",5,IF(BB84="Blue sky scenario",10,IF(BB84="Long term Downtrend",-10,0))))</f>
        <v/>
      </c>
      <c r="BD84" s="25" t="inlineStr">
        <is>
          <t>Yes</t>
        </is>
      </c>
      <c r="BE84" s="25">
        <f>IF(BD84="Yes",10,0)</f>
        <v/>
      </c>
      <c r="BF84" s="25" t="inlineStr">
        <is>
          <t>More than 20%</t>
        </is>
      </c>
      <c r="BG84" s="25">
        <f>IF(BF84="More than 20%",10,IF(BF84="Between 12 to 20%",5,IF(BF84="Less than 12%",0,0)))</f>
        <v/>
      </c>
      <c r="BH84" s="25" t="inlineStr">
        <is>
          <t>No</t>
        </is>
      </c>
      <c r="BI84" s="25">
        <f>IF(BH84="No",10,0)</f>
        <v/>
      </c>
      <c r="BJ84" s="25" t="inlineStr">
        <is>
          <t>No</t>
        </is>
      </c>
      <c r="BK84" s="25">
        <f>IF(BJ84="NO",5,0)</f>
        <v/>
      </c>
      <c r="BL84" s="25" t="inlineStr">
        <is>
          <t>Less than 1.5</t>
        </is>
      </c>
      <c r="BM84" s="25">
        <f>IF(BL84="Above 2",0,IF(BL84="Between 1.5 to 2",5,IF(BL84="Less than 1.5",10,0)))</f>
        <v/>
      </c>
      <c r="BN84" s="25" t="inlineStr">
        <is>
          <t>Negative</t>
        </is>
      </c>
      <c r="BO84" s="25">
        <f>IF(BN84="Above 70%",10,IF(BN84="Between 50% to 70%",5,IF(BN84="Less than 50%",0,IF(BN84="Negative",-10,IF(BN84="Less than 50% and Borrowings are increasing",-5,0)))))</f>
        <v/>
      </c>
      <c r="BP84" s="25" t="inlineStr">
        <is>
          <t>Less than 0.7</t>
        </is>
      </c>
      <c r="BQ84" s="25">
        <f>IF(BP84="More than 1.2",-10,IF(BP84="Between 0.7 to 1.2",0,IF(BP84="Less than 0.7",10,0)))</f>
        <v/>
      </c>
      <c r="BR84" s="25" t="inlineStr">
        <is>
          <t>No</t>
        </is>
      </c>
      <c r="BS84" s="25">
        <f>IF(BR84="Yes",-10,0)</f>
        <v/>
      </c>
      <c r="BT84" s="25" t="inlineStr">
        <is>
          <t>Less than 15%</t>
        </is>
      </c>
      <c r="BU84" s="25">
        <f>IF(BT84="More than 15%",-10,IF(BT84="Less than 15%",10,0))</f>
        <v/>
      </c>
      <c r="BV84" s="25" t="inlineStr">
        <is>
          <t>No</t>
        </is>
      </c>
      <c r="BW84" s="25">
        <f>IF(BV84="Yes, more than 10%",-10,IF(BV84="No",10,0))</f>
        <v/>
      </c>
      <c r="BX84" s="25" t="inlineStr">
        <is>
          <t>22</t>
        </is>
      </c>
      <c r="BY84" s="25">
        <f>IF(BX84&gt;20,10,IF(BX84&gt;=10,5,2))</f>
        <v/>
      </c>
    </row>
    <row r="85">
      <c r="A85" s="25">
        <f>IF(B85=0,"",RANK(B85,$B$2:$B$95,0))</f>
        <v/>
      </c>
      <c r="B85" s="26">
        <f>SUM(Q85,S85,U85,W85,Y85,AA85,AC85,AE85,AG85,AI85,AK85,AM85,AO85,AQ85,AS85,AU85,AW85,AY85,BA85,BC85,BE85,BG85,BI85,BK85,BM85,BO85,BQ85,BS85,BU85,BW85,BY85)</f>
        <v/>
      </c>
      <c r="C85" s="25" t="inlineStr">
        <is>
          <t>YASHO</t>
        </is>
      </c>
      <c r="D85" s="25" t="inlineStr">
        <is>
          <t>Yasho Industries Ltd</t>
        </is>
      </c>
      <c r="E85" s="25" t="inlineStr">
        <is>
          <t>chemicals</t>
        </is>
      </c>
      <c r="F85" s="25" t="inlineStr">
        <is>
          <t>Speciality Chemicals</t>
        </is>
      </c>
      <c r="G85" s="25" t="inlineStr">
        <is>
          <t>smallcap</t>
        </is>
      </c>
      <c r="H85" s="26" t="n">
        <v>2613.98</v>
      </c>
      <c r="I85" s="26" t="n">
        <v>2168</v>
      </c>
      <c r="J85" s="26" t="n">
        <v>-1.01</v>
      </c>
      <c r="K85" s="26" t="n">
        <v>0</v>
      </c>
      <c r="L85" s="26" t="n">
        <v>73.77</v>
      </c>
      <c r="M85" s="26" t="n">
        <v>17.62</v>
      </c>
      <c r="N85" s="26" t="n">
        <v>1616.99</v>
      </c>
      <c r="O85" s="25" t="inlineStr">
        <is>
          <t>Near 52W High Breakout</t>
        </is>
      </c>
      <c r="P85" s="25" t="inlineStr">
        <is>
          <t>Growing Industry</t>
        </is>
      </c>
      <c r="Q85" s="25">
        <f>IF(P85="Growing Industry",10,IF(P85="Cyclical in an Upturn",5,0))</f>
        <v/>
      </c>
      <c r="R85" s="25" t="inlineStr">
        <is>
          <t>Too Many Players with High ROCE</t>
        </is>
      </c>
      <c r="S85" s="25">
        <f>IF(R85="Monopoly",10,IF(R85="Oligopoly",5,IF(R85="Duopoly that cooperate",10,IF(R85="Duopoly that compete",5,IF(R85="Too many players with High ROCE",5,0)))))</f>
        <v/>
      </c>
      <c r="T85" s="25" t="inlineStr">
        <is>
          <t>No</t>
        </is>
      </c>
      <c r="U85" s="25">
        <f>IF(T85="No",5,0)</f>
        <v/>
      </c>
      <c r="V85" s="25" t="inlineStr">
        <is>
          <t>Tailwind</t>
        </is>
      </c>
      <c r="W85" s="25">
        <f>IF(V85="Tailwind",10,0)</f>
        <v/>
      </c>
      <c r="X85" s="25" t="inlineStr">
        <is>
          <t>Structural (10 Years Consistency)</t>
        </is>
      </c>
      <c r="Y85" s="25">
        <f>IF(X85="Structural (10 Years Consistency)",10,IF(X85="Shallow Cyclical (2 to 3 years growth)",5,0))</f>
        <v/>
      </c>
      <c r="Z85" s="25" t="inlineStr">
        <is>
          <t>No</t>
        </is>
      </c>
      <c r="AA85" s="25">
        <f>IF(Z85="Yes due to Product Mix change or Operating Leverage",10,IF(Z85="Yes, these are peak margins",-5,IF(Z85="No",5,0)))</f>
        <v/>
      </c>
      <c r="AB85" s="25" t="inlineStr">
        <is>
          <t>Stable</t>
        </is>
      </c>
      <c r="AC85" s="25">
        <f>IF(AB85="Stable",10,0)</f>
        <v/>
      </c>
      <c r="AD85" s="25" t="inlineStr">
        <is>
          <t>Yes</t>
        </is>
      </c>
      <c r="AE85" s="25">
        <f>IF(AD85="Yes",10,0)</f>
        <v/>
      </c>
      <c r="AF85" s="25" t="inlineStr">
        <is>
          <t>B2B</t>
        </is>
      </c>
      <c r="AG85" s="25">
        <f>IF(AF85="B2C",10,IF(AF85="B2B",5,0))</f>
        <v/>
      </c>
      <c r="AH85" s="25" t="inlineStr">
        <is>
          <t>Yes</t>
        </is>
      </c>
      <c r="AI85" s="25">
        <f>IF(AH85="Yes",10,0)</f>
        <v/>
      </c>
      <c r="AJ85" s="25" t="inlineStr">
        <is>
          <t>Higher One Time, Lower Annuity</t>
        </is>
      </c>
      <c r="AK85" s="25">
        <f>IF(AJ85="Fully Annuity",10,IF(AJ85="Higher Annuity, Lower One Time",5,IF(AJ85="Higher One Time, Lower Annuity",3,0)))</f>
        <v/>
      </c>
      <c r="AL85" s="25" t="inlineStr">
        <is>
          <t>Good</t>
        </is>
      </c>
      <c r="AM85" s="25">
        <f>IF(AL85="Good",10,0)</f>
        <v/>
      </c>
      <c r="AN85" s="25" t="inlineStr">
        <is>
          <t>Yes for more than 2 years</t>
        </is>
      </c>
      <c r="AO85" s="25">
        <f>IF(AN85="Yes for more than 2 years",10,IF(AN85="Yes only for next 1 to 2 years",5,0))</f>
        <v/>
      </c>
      <c r="AP85" s="25" t="inlineStr">
        <is>
          <t>0 to 20</t>
        </is>
      </c>
      <c r="AQ85" s="25">
        <f>IF(AP85="Above 40",20,IF(AP85="20 to 40",10,IF(AP85="0 to 20",-5,0)))</f>
        <v/>
      </c>
      <c r="AR85" s="25" t="inlineStr">
        <is>
          <t>Between 50 to 75</t>
        </is>
      </c>
      <c r="AS85" s="25">
        <f>IF(AR85="Between 50 to 75",10,IF(AR85="Above 75",0,0))</f>
        <v/>
      </c>
      <c r="AT85" s="25" t="inlineStr">
        <is>
          <t>Stage 2</t>
        </is>
      </c>
      <c r="AU85" s="25">
        <f>IF(AT85="Stage 2",20,IF(AT85="Stage 1",0,IF(AT85="Stage 3",5,IF(AT85="Stage 4",-5,0))))</f>
        <v/>
      </c>
      <c r="AV85" s="25" t="inlineStr">
        <is>
          <t>Positive Trend</t>
        </is>
      </c>
      <c r="AW85" s="25">
        <f>IF(AV85="Positive Trend",20,IF(AV85="Negative Trend",-10,0))</f>
        <v/>
      </c>
      <c r="AX85" s="25" t="inlineStr">
        <is>
          <t>Uptrend</t>
        </is>
      </c>
      <c r="AY85" s="25">
        <f>IF(AX85="Uptrend",10,IF(AX85="Sideways",5,0))</f>
        <v/>
      </c>
      <c r="AZ85" s="25" t="inlineStr">
        <is>
          <t>Uptrend</t>
        </is>
      </c>
      <c r="BA85" s="25">
        <f>IF(AZ85="Uptrend",10,IF(AZ85="Sideways",5,0))</f>
        <v/>
      </c>
      <c r="BB85" s="25" t="inlineStr">
        <is>
          <t>Blue sky scenario</t>
        </is>
      </c>
      <c r="BC85" s="25">
        <f>IF(BB85="Overhead supply in last 2 years in last 2 years",-5,IF(BB85="Close to 52 week high or retracement",5,IF(BB85="Blue sky scenario",10,IF(BB85="Long term Downtrend",-10,0))))</f>
        <v/>
      </c>
      <c r="BD85" s="25" t="inlineStr">
        <is>
          <t>Yes</t>
        </is>
      </c>
      <c r="BE85" s="25">
        <f>IF(BD85="Yes",10,0)</f>
        <v/>
      </c>
      <c r="BF85" s="25" t="inlineStr">
        <is>
          <t>More than 20%</t>
        </is>
      </c>
      <c r="BG85" s="25">
        <f>IF(BF85="More than 20%",10,IF(BF85="Between 12 to 20%",5,IF(BF85="Less than 12%",0,0)))</f>
        <v/>
      </c>
      <c r="BH85" s="25" t="inlineStr">
        <is>
          <t>No</t>
        </is>
      </c>
      <c r="BI85" s="25">
        <f>IF(BH85="No",10,0)</f>
        <v/>
      </c>
      <c r="BJ85" s="25" t="inlineStr">
        <is>
          <t>Yes</t>
        </is>
      </c>
      <c r="BK85" s="25">
        <f>IF(BJ85="NO",5,0)</f>
        <v/>
      </c>
      <c r="BL85" s="25" t="inlineStr">
        <is>
          <t>Less than 1.5</t>
        </is>
      </c>
      <c r="BM85" s="25">
        <f>IF(BL85="Above 2",0,IF(BL85="Between 1.5 to 2",5,IF(BL85="Less than 1.5",10,0)))</f>
        <v/>
      </c>
      <c r="BN85" s="25" t="inlineStr">
        <is>
          <t>Above 70%</t>
        </is>
      </c>
      <c r="BO85" s="25">
        <f>IF(BN85="Above 70%",10,IF(BN85="Between 50% to 70%",5,IF(BN85="Less than 50%",0,IF(BN85="Negative",-10,IF(BN85="Less than 50% and Borrowings are increasing",-5,0)))))</f>
        <v/>
      </c>
      <c r="BP85" s="25" t="inlineStr">
        <is>
          <t>More than 1.2</t>
        </is>
      </c>
      <c r="BQ85" s="25">
        <f>IF(BP85="More than 1.2",-10,IF(BP85="Between 0.7 to 1.2",0,IF(BP85="Less than 0.7",10,0)))</f>
        <v/>
      </c>
      <c r="BR85" s="25" t="inlineStr">
        <is>
          <t>No</t>
        </is>
      </c>
      <c r="BS85" s="25">
        <f>IF(BR85="Yes",-10,0)</f>
        <v/>
      </c>
      <c r="BT85" s="25" t="inlineStr">
        <is>
          <t>Less than 15%</t>
        </is>
      </c>
      <c r="BU85" s="25">
        <f>IF(BT85="More than 15%",-10,IF(BT85="Less than 15%",10,0))</f>
        <v/>
      </c>
      <c r="BV85" s="25" t="inlineStr">
        <is>
          <t>No</t>
        </is>
      </c>
      <c r="BW85" s="25">
        <f>IF(BV85="Yes, more than 10%",-10,IF(BV85="No",10,0))</f>
        <v/>
      </c>
      <c r="BX85" s="25" t="inlineStr">
        <is>
          <t>21</t>
        </is>
      </c>
      <c r="BY85" s="25">
        <f>IF(BX85&gt;20,10,IF(BX85&gt;=10,5,2))</f>
        <v/>
      </c>
    </row>
    <row r="86">
      <c r="A86" s="25">
        <f>IF(B86=0,"",RANK(B86,$B$2:$B$95,0))</f>
        <v/>
      </c>
      <c r="B86" s="26">
        <f>SUM(Q86,S86,U86,W86,Y86,AA86,AC86,AE86,AG86,AI86,AK86,AM86,AO86,AQ86,AS86,AU86,AW86,AY86,BA86,BC86,BE86,BG86,BI86,BK86,BM86,BO86,BQ86,BS86,BU86,BW86,BY86)</f>
        <v/>
      </c>
      <c r="C86" s="25" t="inlineStr">
        <is>
          <t>AEROFLEX</t>
        </is>
      </c>
      <c r="D86" s="25" t="inlineStr">
        <is>
          <t>Aeroflex Industries Ltd</t>
        </is>
      </c>
      <c r="E86" s="25" t="inlineStr">
        <is>
          <t>metals &amp; mining</t>
        </is>
      </c>
      <c r="F86" s="25" t="inlineStr">
        <is>
          <t>Stainless Steel</t>
        </is>
      </c>
      <c r="G86" s="25" t="inlineStr">
        <is>
          <t>midcap</t>
        </is>
      </c>
      <c r="H86" s="26" t="n">
        <v>5550.61</v>
      </c>
      <c r="I86" s="26" t="n">
        <v>419.45</v>
      </c>
      <c r="J86" s="26" t="n">
        <v>8.01</v>
      </c>
      <c r="K86" s="26" t="n">
        <v>0</v>
      </c>
      <c r="L86" s="26" t="n">
        <v>70.97</v>
      </c>
      <c r="M86" s="26" t="n">
        <v>53.7</v>
      </c>
      <c r="N86" s="26" t="n">
        <v>308.22</v>
      </c>
      <c r="O86" s="25" t="inlineStr">
        <is>
          <t>Near 52W High Breakout</t>
        </is>
      </c>
      <c r="P86" s="25" t="inlineStr">
        <is>
          <t>Cyclical in an Upturn</t>
        </is>
      </c>
      <c r="Q86" s="25">
        <f>IF(P86="Growing Industry",10,IF(P86="Cyclical in an Upturn",5,0))</f>
        <v/>
      </c>
      <c r="R86" s="25" t="inlineStr">
        <is>
          <t>Too Many Players with High ROCE</t>
        </is>
      </c>
      <c r="S86" s="25">
        <f>IF(R86="Monopoly",10,IF(R86="Oligopoly",5,IF(R86="Duopoly that cooperate",10,IF(R86="Duopoly that compete",5,IF(R86="Too many players with High ROCE",5,0)))))</f>
        <v/>
      </c>
      <c r="T86" s="25" t="inlineStr">
        <is>
          <t>No</t>
        </is>
      </c>
      <c r="U86" s="25">
        <f>IF(T86="No",5,0)</f>
        <v/>
      </c>
      <c r="V86" s="25" t="inlineStr">
        <is>
          <t>Tailwind</t>
        </is>
      </c>
      <c r="W86" s="25">
        <f>IF(V86="Tailwind",10,0)</f>
        <v/>
      </c>
      <c r="X86" s="25" t="inlineStr">
        <is>
          <t>Cyclical</t>
        </is>
      </c>
      <c r="Y86" s="25">
        <f>IF(X86="Structural (10 Years Consistency)",10,IF(X86="Shallow Cyclical (2 to 3 years growth)",5,0))</f>
        <v/>
      </c>
      <c r="Z86" s="25" t="inlineStr">
        <is>
          <t>No</t>
        </is>
      </c>
      <c r="AA86" s="25">
        <f>IF(Z86="Yes due to Product Mix change or Operating Leverage",10,IF(Z86="Yes, these are peak margins",-5,IF(Z86="No",5,0)))</f>
        <v/>
      </c>
      <c r="AB86" s="25" t="inlineStr">
        <is>
          <t>Volatile</t>
        </is>
      </c>
      <c r="AC86" s="25">
        <f>IF(AB86="Stable",10,0)</f>
        <v/>
      </c>
      <c r="AD86" s="25" t="inlineStr">
        <is>
          <t>Yes</t>
        </is>
      </c>
      <c r="AE86" s="25">
        <f>IF(AD86="Yes",10,0)</f>
        <v/>
      </c>
      <c r="AF86" s="25" t="inlineStr">
        <is>
          <t>B2B</t>
        </is>
      </c>
      <c r="AG86" s="25">
        <f>IF(AF86="B2C",10,IF(AF86="B2B",5,0))</f>
        <v/>
      </c>
      <c r="AH86" s="25" t="inlineStr">
        <is>
          <t>Yes</t>
        </is>
      </c>
      <c r="AI86" s="25">
        <f>IF(AH86="Yes",10,0)</f>
        <v/>
      </c>
      <c r="AJ86" s="25" t="inlineStr">
        <is>
          <t>Higher One Time, Lower Annuity</t>
        </is>
      </c>
      <c r="AK86" s="25">
        <f>IF(AJ86="Fully Annuity",10,IF(AJ86="Higher Annuity, Lower One Time",5,IF(AJ86="Higher One Time, Lower Annuity",3,0)))</f>
        <v/>
      </c>
      <c r="AL86" s="25" t="inlineStr">
        <is>
          <t>Good</t>
        </is>
      </c>
      <c r="AM86" s="25">
        <f>IF(AL86="Good",10,0)</f>
        <v/>
      </c>
      <c r="AN86" s="25" t="inlineStr">
        <is>
          <t>Yes for more than 2 years</t>
        </is>
      </c>
      <c r="AO86" s="25">
        <f>IF(AN86="Yes for more than 2 years",10,IF(AN86="Yes only for next 1 to 2 years",5,0))</f>
        <v/>
      </c>
      <c r="AP86" s="25" t="inlineStr">
        <is>
          <t>Above 40</t>
        </is>
      </c>
      <c r="AQ86" s="25">
        <f>IF(AP86="Above 40",20,IF(AP86="20 to 40",10,IF(AP86="0 to 20",-5,0)))</f>
        <v/>
      </c>
      <c r="AR86" s="25" t="inlineStr">
        <is>
          <t>Between 50 to 75</t>
        </is>
      </c>
      <c r="AS86" s="25">
        <f>IF(AR86="Between 50 to 75",10,IF(AR86="Above 75",0,0))</f>
        <v/>
      </c>
      <c r="AT86" s="25" t="inlineStr">
        <is>
          <t>Stage 2</t>
        </is>
      </c>
      <c r="AU86" s="25">
        <f>IF(AT86="Stage 2",20,IF(AT86="Stage 1",0,IF(AT86="Stage 3",5,IF(AT86="Stage 4",-5,0))))</f>
        <v/>
      </c>
      <c r="AV86" s="25" t="inlineStr">
        <is>
          <t>Negative Trend</t>
        </is>
      </c>
      <c r="AW86" s="25">
        <f>IF(AV86="Positive Trend",20,IF(AV86="Negative Trend",-10,0))</f>
        <v/>
      </c>
      <c r="AX86" s="25" t="inlineStr">
        <is>
          <t>Uptrend</t>
        </is>
      </c>
      <c r="AY86" s="25">
        <f>IF(AX86="Uptrend",10,IF(AX86="Sideways",5,0))</f>
        <v/>
      </c>
      <c r="AZ86" s="25" t="inlineStr">
        <is>
          <t>Uptrend</t>
        </is>
      </c>
      <c r="BA86" s="25">
        <f>IF(AZ86="Uptrend",10,IF(AZ86="Sideways",5,0))</f>
        <v/>
      </c>
      <c r="BB86" s="25" t="inlineStr">
        <is>
          <t>Blue sky scenario</t>
        </is>
      </c>
      <c r="BC86" s="25">
        <f>IF(BB86="Overhead supply in last 2 years in last 2 years",-5,IF(BB86="Close to 52 week high or retracement",5,IF(BB86="Blue sky scenario",10,IF(BB86="Long term Downtrend",-10,0))))</f>
        <v/>
      </c>
      <c r="BD86" s="25" t="inlineStr">
        <is>
          <t>Yes</t>
        </is>
      </c>
      <c r="BE86" s="25">
        <f>IF(BD86="Yes",10,0)</f>
        <v/>
      </c>
      <c r="BF86" s="25" t="inlineStr">
        <is>
          <t>More than 20%</t>
        </is>
      </c>
      <c r="BG86" s="25">
        <f>IF(BF86="More than 20%",10,IF(BF86="Between 12 to 20%",5,IF(BF86="Less than 12%",0,0)))</f>
        <v/>
      </c>
      <c r="BH86" s="25" t="inlineStr">
        <is>
          <t>No</t>
        </is>
      </c>
      <c r="BI86" s="25">
        <f>IF(BH86="No",10,0)</f>
        <v/>
      </c>
      <c r="BJ86" s="25" t="inlineStr">
        <is>
          <t>Yes</t>
        </is>
      </c>
      <c r="BK86" s="25">
        <f>IF(BJ86="NO",5,0)</f>
        <v/>
      </c>
      <c r="BL86" s="25" t="inlineStr">
        <is>
          <t>Less than 1.5</t>
        </is>
      </c>
      <c r="BM86" s="25">
        <f>IF(BL86="Above 2",0,IF(BL86="Between 1.5 to 2",5,IF(BL86="Less than 1.5",10,0)))</f>
        <v/>
      </c>
      <c r="BN86" s="25" t="inlineStr">
        <is>
          <t>Between 50% to 70%</t>
        </is>
      </c>
      <c r="BO86" s="25">
        <f>IF(BN86="Above 70%",10,IF(BN86="Between 50% to 70%",5,IF(BN86="Less than 50%",0,IF(BN86="Negative",-10,IF(BN86="Less than 50% and Borrowings are increasing",-5,0)))))</f>
        <v/>
      </c>
      <c r="BP86" s="25" t="inlineStr">
        <is>
          <t>Less than 0.7</t>
        </is>
      </c>
      <c r="BQ86" s="25">
        <f>IF(BP86="More than 1.2",-10,IF(BP86="Between 0.7 to 1.2",0,IF(BP86="Less than 0.7",10,0)))</f>
        <v/>
      </c>
      <c r="BR86" s="25" t="inlineStr">
        <is>
          <t>No</t>
        </is>
      </c>
      <c r="BS86" s="25">
        <f>IF(BR86="Yes",-10,0)</f>
        <v/>
      </c>
      <c r="BT86" s="25" t="inlineStr">
        <is>
          <t>Less than 15%</t>
        </is>
      </c>
      <c r="BU86" s="25">
        <f>IF(BT86="More than 15%",-10,IF(BT86="Less than 15%",10,0))</f>
        <v/>
      </c>
      <c r="BV86" s="25" t="inlineStr">
        <is>
          <t>No</t>
        </is>
      </c>
      <c r="BW86" s="25">
        <f>IF(BV86="Yes, more than 10%",-10,IF(BV86="No",10,0))</f>
        <v/>
      </c>
      <c r="BX86" s="25" t="inlineStr">
        <is>
          <t>19</t>
        </is>
      </c>
      <c r="BY86" s="25">
        <f>IF(BX86&gt;20,10,IF(BX86&gt;=10,5,2))</f>
        <v/>
      </c>
    </row>
    <row r="87">
      <c r="A87" s="25">
        <f>IF(B87=0,"",RANK(B87,$B$2:$B$95,0))</f>
        <v/>
      </c>
      <c r="B87" s="26">
        <f>SUM(Q87,S87,U87,W87,Y87,AA87,AC87,AE87,AG87,AI87,AK87,AM87,AO87,AQ87,AS87,AU87,AW87,AY87,BA87,BC87,BE87,BG87,BI87,BK87,BM87,BO87,BQ87,BS87,BU87,BW87,BY87)</f>
        <v/>
      </c>
      <c r="C87" s="25" t="inlineStr">
        <is>
          <t>LLOYDSME</t>
        </is>
      </c>
      <c r="D87" s="25" t="inlineStr">
        <is>
          <t>Lloyds Metals &amp; Energy Ltd</t>
        </is>
      </c>
      <c r="E87" s="25" t="inlineStr">
        <is>
          <t>metals &amp; mining</t>
        </is>
      </c>
      <c r="F87" s="25" t="inlineStr">
        <is>
          <t>Mining/Minerals - Iron Ore</t>
        </is>
      </c>
      <c r="G87" s="25" t="inlineStr">
        <is>
          <t>largecap</t>
        </is>
      </c>
      <c r="H87" s="26" t="n">
        <v>102522.56</v>
      </c>
      <c r="I87" s="26" t="n">
        <v>1821.7</v>
      </c>
      <c r="J87" s="26" t="n">
        <v>0.23</v>
      </c>
      <c r="K87" s="26" t="n">
        <v>0</v>
      </c>
      <c r="L87" s="26" t="n">
        <v>73.33</v>
      </c>
      <c r="M87" s="26" t="n">
        <v>35.52</v>
      </c>
      <c r="N87" s="26" t="n">
        <v>1476.43</v>
      </c>
      <c r="O87" s="25" t="inlineStr">
        <is>
          <t>Near 52W High Breakout</t>
        </is>
      </c>
      <c r="P87" s="25" t="inlineStr">
        <is>
          <t>Cyclical in an Upturn</t>
        </is>
      </c>
      <c r="Q87" s="25">
        <f>IF(P87="Growing Industry",10,IF(P87="Cyclical in an Upturn",5,0))</f>
        <v/>
      </c>
      <c r="R87" s="25" t="inlineStr">
        <is>
          <t>Too Many Players with High ROCE</t>
        </is>
      </c>
      <c r="S87" s="25">
        <f>IF(R87="Monopoly",10,IF(R87="Oligopoly",5,IF(R87="Duopoly that cooperate",10,IF(R87="Duopoly that compete",5,IF(R87="Too many players with High ROCE",5,0)))))</f>
        <v/>
      </c>
      <c r="T87" s="25" t="inlineStr">
        <is>
          <t>No</t>
        </is>
      </c>
      <c r="U87" s="25">
        <f>IF(T87="No",5,0)</f>
        <v/>
      </c>
      <c r="V87" s="25" t="inlineStr">
        <is>
          <t>Tailwind</t>
        </is>
      </c>
      <c r="W87" s="25">
        <f>IF(V87="Tailwind",10,0)</f>
        <v/>
      </c>
      <c r="X87" s="25" t="inlineStr">
        <is>
          <t>Cyclical</t>
        </is>
      </c>
      <c r="Y87" s="25">
        <f>IF(X87="Structural (10 Years Consistency)",10,IF(X87="Shallow Cyclical (2 to 3 years growth)",5,0))</f>
        <v/>
      </c>
      <c r="Z87" s="25" t="inlineStr">
        <is>
          <t>No</t>
        </is>
      </c>
      <c r="AA87" s="25">
        <f>IF(Z87="Yes due to Product Mix change or Operating Leverage",10,IF(Z87="Yes, these are peak margins",-5,IF(Z87="No",5,0)))</f>
        <v/>
      </c>
      <c r="AB87" s="25" t="inlineStr">
        <is>
          <t>Volatile</t>
        </is>
      </c>
      <c r="AC87" s="25">
        <f>IF(AB87="Stable",10,0)</f>
        <v/>
      </c>
      <c r="AD87" s="25" t="inlineStr">
        <is>
          <t>Yes</t>
        </is>
      </c>
      <c r="AE87" s="25">
        <f>IF(AD87="Yes",10,0)</f>
        <v/>
      </c>
      <c r="AF87" s="25" t="inlineStr">
        <is>
          <t>B2B</t>
        </is>
      </c>
      <c r="AG87" s="25">
        <f>IF(AF87="B2C",10,IF(AF87="B2B",5,0))</f>
        <v/>
      </c>
      <c r="AH87" s="25" t="inlineStr">
        <is>
          <t>Yes</t>
        </is>
      </c>
      <c r="AI87" s="25">
        <f>IF(AH87="Yes",10,0)</f>
        <v/>
      </c>
      <c r="AJ87" s="25" t="inlineStr">
        <is>
          <t>Higher One Time, Lower Annuity</t>
        </is>
      </c>
      <c r="AK87" s="25">
        <f>IF(AJ87="Fully Annuity",10,IF(AJ87="Higher Annuity, Lower One Time",5,IF(AJ87="Higher One Time, Lower Annuity",3,0)))</f>
        <v/>
      </c>
      <c r="AL87" s="25" t="inlineStr">
        <is>
          <t>Good</t>
        </is>
      </c>
      <c r="AM87" s="25">
        <f>IF(AL87="Good",10,0)</f>
        <v/>
      </c>
      <c r="AN87" s="25" t="inlineStr">
        <is>
          <t>Yes for more than 2 years</t>
        </is>
      </c>
      <c r="AO87" s="25">
        <f>IF(AN87="Yes for more than 2 years",10,IF(AN87="Yes only for next 1 to 2 years",5,0))</f>
        <v/>
      </c>
      <c r="AP87" s="25" t="inlineStr">
        <is>
          <t>20 to 40</t>
        </is>
      </c>
      <c r="AQ87" s="25">
        <f>IF(AP87="Above 40",20,IF(AP87="20 to 40",10,IF(AP87="0 to 20",-5,0)))</f>
        <v/>
      </c>
      <c r="AR87" s="25" t="inlineStr">
        <is>
          <t>Between 50 to 75</t>
        </is>
      </c>
      <c r="AS87" s="25">
        <f>IF(AR87="Between 50 to 75",10,IF(AR87="Above 75",0,0))</f>
        <v/>
      </c>
      <c r="AT87" s="25" t="inlineStr">
        <is>
          <t>Stage 2</t>
        </is>
      </c>
      <c r="AU87" s="25">
        <f>IF(AT87="Stage 2",20,IF(AT87="Stage 1",0,IF(AT87="Stage 3",5,IF(AT87="Stage 4",-5,0))))</f>
        <v/>
      </c>
      <c r="AV87" s="25" t="inlineStr">
        <is>
          <t>Positive Trend</t>
        </is>
      </c>
      <c r="AW87" s="25">
        <f>IF(AV87="Positive Trend",20,IF(AV87="Negative Trend",-10,0))</f>
        <v/>
      </c>
      <c r="AX87" s="25" t="inlineStr">
        <is>
          <t>Uptrend</t>
        </is>
      </c>
      <c r="AY87" s="25">
        <f>IF(AX87="Uptrend",10,IF(AX87="Sideways",5,0))</f>
        <v/>
      </c>
      <c r="AZ87" s="25" t="inlineStr">
        <is>
          <t>Uptrend</t>
        </is>
      </c>
      <c r="BA87" s="25">
        <f>IF(AZ87="Uptrend",10,IF(AZ87="Sideways",5,0))</f>
        <v/>
      </c>
      <c r="BB87" s="25" t="inlineStr">
        <is>
          <t>Blue sky scenario</t>
        </is>
      </c>
      <c r="BC87" s="25">
        <f>IF(BB87="Overhead supply in last 2 years in last 2 years",-5,IF(BB87="Close to 52 week high or retracement",5,IF(BB87="Blue sky scenario",10,IF(BB87="Long term Downtrend",-10,0))))</f>
        <v/>
      </c>
      <c r="BD87" s="25" t="inlineStr">
        <is>
          <t>Yes</t>
        </is>
      </c>
      <c r="BE87" s="25">
        <f>IF(BD87="Yes",10,0)</f>
        <v/>
      </c>
      <c r="BF87" s="25" t="inlineStr">
        <is>
          <t>More than 20%</t>
        </is>
      </c>
      <c r="BG87" s="25">
        <f>IF(BF87="More than 20%",10,IF(BF87="Between 12 to 20%",5,IF(BF87="Less than 12%",0,0)))</f>
        <v/>
      </c>
      <c r="BH87" s="25" t="inlineStr">
        <is>
          <t>No</t>
        </is>
      </c>
      <c r="BI87" s="25">
        <f>IF(BH87="No",10,0)</f>
        <v/>
      </c>
      <c r="BJ87" s="25" t="inlineStr">
        <is>
          <t>No</t>
        </is>
      </c>
      <c r="BK87" s="25">
        <f>IF(BJ87="NO",5,0)</f>
        <v/>
      </c>
      <c r="BL87" s="25" t="inlineStr">
        <is>
          <t>Less than 1.5</t>
        </is>
      </c>
      <c r="BM87" s="25">
        <f>IF(BL87="Above 2",0,IF(BL87="Between 1.5 to 2",5,IF(BL87="Less than 1.5",10,0)))</f>
        <v/>
      </c>
      <c r="BN87" s="25" t="inlineStr">
        <is>
          <t>Less than 50% and Borrowings are increasing</t>
        </is>
      </c>
      <c r="BO87" s="25">
        <f>IF(BN87="Above 70%",10,IF(BN87="Between 50% to 70%",5,IF(BN87="Less than 50%",0,IF(BN87="Negative",-10,IF(BN87="Less than 50% and Borrowings are increasing",-5,0)))))</f>
        <v/>
      </c>
      <c r="BP87" s="25" t="inlineStr">
        <is>
          <t>More than 1.2</t>
        </is>
      </c>
      <c r="BQ87" s="25">
        <f>IF(BP87="More than 1.2",-10,IF(BP87="Between 0.7 to 1.2",0,IF(BP87="Less than 0.7",10,0)))</f>
        <v/>
      </c>
      <c r="BR87" s="25" t="inlineStr">
        <is>
          <t>No</t>
        </is>
      </c>
      <c r="BS87" s="25">
        <f>IF(BR87="Yes",-10,0)</f>
        <v/>
      </c>
      <c r="BT87" s="25" t="inlineStr">
        <is>
          <t>Less than 15%</t>
        </is>
      </c>
      <c r="BU87" s="25">
        <f>IF(BT87="More than 15%",-10,IF(BT87="Less than 15%",10,0))</f>
        <v/>
      </c>
      <c r="BV87" s="25" t="inlineStr">
        <is>
          <t>No</t>
        </is>
      </c>
      <c r="BW87" s="25">
        <f>IF(BV87="Yes, more than 10%",-10,IF(BV87="No",10,0))</f>
        <v/>
      </c>
      <c r="BX87" s="25" t="inlineStr">
        <is>
          <t>23</t>
        </is>
      </c>
      <c r="BY87" s="25">
        <f>IF(BX87&gt;20,10,IF(BX87&gt;=10,5,2))</f>
        <v/>
      </c>
    </row>
    <row r="88">
      <c r="A88" s="25">
        <f>IF(B88=0,"",RANK(B88,$B$2:$B$95,0))</f>
        <v/>
      </c>
      <c r="B88" s="26">
        <f>SUM(Q88,S88,U88,W88,Y88,AA88,AC88,AE88,AG88,AI88,AK88,AM88,AO88,AQ88,AS88,AU88,AW88,AY88,BA88,BC88,BE88,BG88,BI88,BK88,BM88,BO88,BQ88,BS88,BU88,BW88,BY88)</f>
        <v/>
      </c>
      <c r="C88" s="25" t="inlineStr">
        <is>
          <t>CRAFTSMAN</t>
        </is>
      </c>
      <c r="D88" s="25" t="inlineStr">
        <is>
          <t>Craftsman Automation Ltd</t>
        </is>
      </c>
      <c r="E88" s="25" t="inlineStr">
        <is>
          <t>auto</t>
        </is>
      </c>
      <c r="F88" s="25" t="inlineStr">
        <is>
          <t>Auto &amp; Auto Ancl - CV</t>
        </is>
      </c>
      <c r="G88" s="25" t="inlineStr">
        <is>
          <t>largecap</t>
        </is>
      </c>
      <c r="H88" s="26" t="n">
        <v>21419.93</v>
      </c>
      <c r="I88" s="26" t="n">
        <v>8979</v>
      </c>
      <c r="J88" s="26" t="n">
        <v>2.37</v>
      </c>
      <c r="K88" s="26" t="n">
        <v>0</v>
      </c>
      <c r="L88" s="26" t="n">
        <v>65.25</v>
      </c>
      <c r="M88" s="26" t="n">
        <v>29.52</v>
      </c>
      <c r="N88" s="26" t="n">
        <v>7035.71</v>
      </c>
      <c r="O88" s="25" t="inlineStr">
        <is>
          <t>Near 52W High Breakout</t>
        </is>
      </c>
      <c r="P88" s="25" t="inlineStr">
        <is>
          <t>Growing Industry</t>
        </is>
      </c>
      <c r="Q88" s="25">
        <f>IF(P88="Growing Industry",10,IF(P88="Cyclical in an Upturn",5,0))</f>
        <v/>
      </c>
      <c r="R88" s="25" t="inlineStr">
        <is>
          <t>Too Many Players with High ROCE</t>
        </is>
      </c>
      <c r="S88" s="25">
        <f>IF(R88="Monopoly",10,IF(R88="Oligopoly",5,IF(R88="Duopoly that cooperate",10,IF(R88="Duopoly that compete",5,IF(R88="Too many players with High ROCE",5,0)))))</f>
        <v/>
      </c>
      <c r="T88" s="25" t="inlineStr">
        <is>
          <t>No</t>
        </is>
      </c>
      <c r="U88" s="25">
        <f>IF(T88="No",5,0)</f>
        <v/>
      </c>
      <c r="V88" s="25" t="inlineStr">
        <is>
          <t>Tailwind</t>
        </is>
      </c>
      <c r="W88" s="25">
        <f>IF(V88="Tailwind",10,0)</f>
        <v/>
      </c>
      <c r="X88" s="25" t="inlineStr">
        <is>
          <t>Structural (10 Years Consistency)</t>
        </is>
      </c>
      <c r="Y88" s="25">
        <f>IF(X88="Structural (10 Years Consistency)",10,IF(X88="Shallow Cyclical (2 to 3 years growth)",5,0))</f>
        <v/>
      </c>
      <c r="Z88" s="25" t="inlineStr">
        <is>
          <t>No</t>
        </is>
      </c>
      <c r="AA88" s="25">
        <f>IF(Z88="Yes due to Product Mix change or Operating Leverage",10,IF(Z88="Yes, these are peak margins",-5,IF(Z88="No",5,0)))</f>
        <v/>
      </c>
      <c r="AB88" s="25" t="inlineStr">
        <is>
          <t>Stable</t>
        </is>
      </c>
      <c r="AC88" s="25">
        <f>IF(AB88="Stable",10,0)</f>
        <v/>
      </c>
      <c r="AD88" s="25" t="inlineStr">
        <is>
          <t>Yes</t>
        </is>
      </c>
      <c r="AE88" s="25">
        <f>IF(AD88="Yes",10,0)</f>
        <v/>
      </c>
      <c r="AF88" s="25" t="inlineStr">
        <is>
          <t>B2B</t>
        </is>
      </c>
      <c r="AG88" s="25">
        <f>IF(AF88="B2C",10,IF(AF88="B2B",5,0))</f>
        <v/>
      </c>
      <c r="AH88" s="25" t="inlineStr">
        <is>
          <t>Yes</t>
        </is>
      </c>
      <c r="AI88" s="25">
        <f>IF(AH88="Yes",10,0)</f>
        <v/>
      </c>
      <c r="AJ88" s="25" t="inlineStr">
        <is>
          <t>Higher One Time, Lower Annuity</t>
        </is>
      </c>
      <c r="AK88" s="25">
        <f>IF(AJ88="Fully Annuity",10,IF(AJ88="Higher Annuity, Lower One Time",5,IF(AJ88="Higher One Time, Lower Annuity",3,0)))</f>
        <v/>
      </c>
      <c r="AL88" s="25" t="inlineStr">
        <is>
          <t>Good</t>
        </is>
      </c>
      <c r="AM88" s="25">
        <f>IF(AL88="Good",10,0)</f>
        <v/>
      </c>
      <c r="AN88" s="25" t="inlineStr">
        <is>
          <t>Yes for more than 2 years</t>
        </is>
      </c>
      <c r="AO88" s="25">
        <f>IF(AN88="Yes for more than 2 years",10,IF(AN88="Yes only for next 1 to 2 years",5,0))</f>
        <v/>
      </c>
      <c r="AP88" s="25" t="inlineStr">
        <is>
          <t>20 to 40</t>
        </is>
      </c>
      <c r="AQ88" s="25">
        <f>IF(AP88="Above 40",20,IF(AP88="20 to 40",10,IF(AP88="0 to 20",-5,0)))</f>
        <v/>
      </c>
      <c r="AR88" s="25" t="inlineStr">
        <is>
          <t>Between 50 to 75</t>
        </is>
      </c>
      <c r="AS88" s="25">
        <f>IF(AR88="Between 50 to 75",10,IF(AR88="Above 75",0,0))</f>
        <v/>
      </c>
      <c r="AT88" s="25" t="inlineStr">
        <is>
          <t>Stage 2</t>
        </is>
      </c>
      <c r="AU88" s="25">
        <f>IF(AT88="Stage 2",20,IF(AT88="Stage 1",0,IF(AT88="Stage 3",5,IF(AT88="Stage 4",-5,0))))</f>
        <v/>
      </c>
      <c r="AV88" s="25" t="inlineStr">
        <is>
          <t>Negative Trend</t>
        </is>
      </c>
      <c r="AW88" s="25">
        <f>IF(AV88="Positive Trend",20,IF(AV88="Negative Trend",-10,0))</f>
        <v/>
      </c>
      <c r="AX88" s="25" t="inlineStr">
        <is>
          <t>Uptrend</t>
        </is>
      </c>
      <c r="AY88" s="25">
        <f>IF(AX88="Uptrend",10,IF(AX88="Sideways",5,0))</f>
        <v/>
      </c>
      <c r="AZ88" s="25" t="inlineStr">
        <is>
          <t>Uptrend</t>
        </is>
      </c>
      <c r="BA88" s="25">
        <f>IF(AZ88="Uptrend",10,IF(AZ88="Sideways",5,0))</f>
        <v/>
      </c>
      <c r="BB88" s="25" t="inlineStr">
        <is>
          <t>Blue sky scenario</t>
        </is>
      </c>
      <c r="BC88" s="25">
        <f>IF(BB88="Overhead supply in last 2 years in last 2 years",-5,IF(BB88="Close to 52 week high or retracement",5,IF(BB88="Blue sky scenario",10,IF(BB88="Long term Downtrend",-10,0))))</f>
        <v/>
      </c>
      <c r="BD88" s="25" t="inlineStr">
        <is>
          <t>Yes</t>
        </is>
      </c>
      <c r="BE88" s="25">
        <f>IF(BD88="Yes",10,0)</f>
        <v/>
      </c>
      <c r="BF88" s="25" t="inlineStr">
        <is>
          <t>More than 20%</t>
        </is>
      </c>
      <c r="BG88" s="25">
        <f>IF(BF88="More than 20%",10,IF(BF88="Between 12 to 20%",5,IF(BF88="Less than 12%",0,0)))</f>
        <v/>
      </c>
      <c r="BH88" s="25" t="inlineStr">
        <is>
          <t>No</t>
        </is>
      </c>
      <c r="BI88" s="25">
        <f>IF(BH88="No",10,0)</f>
        <v/>
      </c>
      <c r="BJ88" s="25" t="inlineStr">
        <is>
          <t>Yes</t>
        </is>
      </c>
      <c r="BK88" s="25">
        <f>IF(BJ88="NO",5,0)</f>
        <v/>
      </c>
      <c r="BL88" s="25" t="inlineStr">
        <is>
          <t>Less than 1.5</t>
        </is>
      </c>
      <c r="BM88" s="25">
        <f>IF(BL88="Above 2",0,IF(BL88="Between 1.5 to 2",5,IF(BL88="Less than 1.5",10,0)))</f>
        <v/>
      </c>
      <c r="BN88" s="25" t="inlineStr">
        <is>
          <t>Less than 50% and Borrowings are increasing</t>
        </is>
      </c>
      <c r="BO88" s="25">
        <f>IF(BN88="Above 70%",10,IF(BN88="Between 50% to 70%",5,IF(BN88="Less than 50%",0,IF(BN88="Negative",-10,IF(BN88="Less than 50% and Borrowings are increasing",-5,0)))))</f>
        <v/>
      </c>
      <c r="BP88" s="25" t="inlineStr">
        <is>
          <t>Between 0.7 to 1.2</t>
        </is>
      </c>
      <c r="BQ88" s="25">
        <f>IF(BP88="More than 1.2",-10,IF(BP88="Between 0.7 to 1.2",0,IF(BP88="Less than 0.7",10,0)))</f>
        <v/>
      </c>
      <c r="BR88" s="25" t="inlineStr">
        <is>
          <t>No</t>
        </is>
      </c>
      <c r="BS88" s="25">
        <f>IF(BR88="Yes",-10,0)</f>
        <v/>
      </c>
      <c r="BT88" s="25" t="inlineStr">
        <is>
          <t>Less than 15%</t>
        </is>
      </c>
      <c r="BU88" s="25">
        <f>IF(BT88="More than 15%",-10,IF(BT88="Less than 15%",10,0))</f>
        <v/>
      </c>
      <c r="BV88" s="25" t="inlineStr">
        <is>
          <t>No</t>
        </is>
      </c>
      <c r="BW88" s="25">
        <f>IF(BV88="Yes, more than 10%",-10,IF(BV88="No",10,0))</f>
        <v/>
      </c>
      <c r="BX88" s="25" t="inlineStr">
        <is>
          <t>19</t>
        </is>
      </c>
      <c r="BY88" s="25">
        <f>IF(BX88&gt;20,10,IF(BX88&gt;=10,5,2))</f>
        <v/>
      </c>
    </row>
    <row r="89">
      <c r="A89" s="25">
        <f>IF(B89=0,"",RANK(B89,$B$2:$B$95,0))</f>
        <v/>
      </c>
      <c r="B89" s="26">
        <f>SUM(Q89,S89,U89,W89,Y89,AA89,AC89,AE89,AG89,AI89,AK89,AM89,AO89,AQ89,AS89,AU89,AW89,AY89,BA89,BC89,BE89,BG89,BI89,BK89,BM89,BO89,BQ89,BS89,BU89,BW89,BY89)</f>
        <v/>
      </c>
      <c r="C89" s="25" t="inlineStr">
        <is>
          <t>ONIXSOLAR</t>
        </is>
      </c>
      <c r="D89" s="25" t="inlineStr">
        <is>
          <t>Onix Solar Energy Ltd</t>
        </is>
      </c>
      <c r="E89" s="25" t="inlineStr">
        <is>
          <t>Technology</t>
        </is>
      </c>
      <c r="F89" s="25" t="inlineStr">
        <is>
          <t>Trading</t>
        </is>
      </c>
      <c r="G89" s="25" t="inlineStr">
        <is>
          <t>smallcap</t>
        </is>
      </c>
      <c r="H89" s="26" t="n">
        <v>2670.34</v>
      </c>
      <c r="I89" s="26" t="n">
        <v>724.3</v>
      </c>
      <c r="J89" s="26" t="n">
        <v/>
      </c>
      <c r="K89" s="26" t="n">
        <v>0</v>
      </c>
      <c r="L89" s="26" t="n">
        <v>51.78</v>
      </c>
      <c r="M89" s="26" t="n">
        <v>48.58</v>
      </c>
      <c r="N89" s="26" t="n">
        <v>936.6</v>
      </c>
      <c r="O89" s="25" t="inlineStr">
        <is>
          <t>Earnings / Momentum Support</t>
        </is>
      </c>
      <c r="P89" s="25" t="inlineStr">
        <is>
          <t>Growing Industry</t>
        </is>
      </c>
      <c r="Q89" s="25">
        <f>IF(P89="Growing Industry",10,IF(P89="Cyclical in an Upturn",5,0))</f>
        <v/>
      </c>
      <c r="R89" s="25" t="inlineStr">
        <is>
          <t>Too Many Players with High ROCE</t>
        </is>
      </c>
      <c r="S89" s="25">
        <f>IF(R89="Monopoly",10,IF(R89="Oligopoly",5,IF(R89="Duopoly that cooperate",10,IF(R89="Duopoly that compete",5,IF(R89="Too many players with High ROCE",5,0)))))</f>
        <v/>
      </c>
      <c r="T89" s="25" t="inlineStr">
        <is>
          <t>No</t>
        </is>
      </c>
      <c r="U89" s="25">
        <f>IF(T89="No",5,0)</f>
        <v/>
      </c>
      <c r="V89" s="25" t="inlineStr">
        <is>
          <t>Tailwind</t>
        </is>
      </c>
      <c r="W89" s="25">
        <f>IF(V89="Tailwind",10,0)</f>
        <v/>
      </c>
      <c r="X89" s="25" t="inlineStr">
        <is>
          <t>Structural (10 Years Consistency)</t>
        </is>
      </c>
      <c r="Y89" s="25">
        <f>IF(X89="Structural (10 Years Consistency)",10,IF(X89="Shallow Cyclical (2 to 3 years growth)",5,0))</f>
        <v/>
      </c>
      <c r="Z89" s="25" t="inlineStr">
        <is>
          <t>No</t>
        </is>
      </c>
      <c r="AA89" s="25">
        <f>IF(Z89="Yes due to Product Mix change or Operating Leverage",10,IF(Z89="Yes, these are peak margins",-5,IF(Z89="No",5,0)))</f>
        <v/>
      </c>
      <c r="AB89" s="25" t="inlineStr">
        <is>
          <t>Stable</t>
        </is>
      </c>
      <c r="AC89" s="25">
        <f>IF(AB89="Stable",10,0)</f>
        <v/>
      </c>
      <c r="AD89" s="25" t="inlineStr">
        <is>
          <t>Yes</t>
        </is>
      </c>
      <c r="AE89" s="25">
        <f>IF(AD89="Yes",10,0)</f>
        <v/>
      </c>
      <c r="AF89" s="25" t="inlineStr">
        <is>
          <t>B2B</t>
        </is>
      </c>
      <c r="AG89" s="25">
        <f>IF(AF89="B2C",10,IF(AF89="B2B",5,0))</f>
        <v/>
      </c>
      <c r="AH89" s="25" t="inlineStr">
        <is>
          <t>No</t>
        </is>
      </c>
      <c r="AI89" s="25">
        <f>IF(AH89="Yes",10,0)</f>
        <v/>
      </c>
      <c r="AJ89" s="25" t="inlineStr">
        <is>
          <t>Higher Annuity, Lower One Time</t>
        </is>
      </c>
      <c r="AK89" s="25">
        <f>IF(AJ89="Fully Annuity",10,IF(AJ89="Higher Annuity, Lower One Time",5,IF(AJ89="Higher One Time, Lower Annuity",3,0)))</f>
        <v/>
      </c>
      <c r="AL89" s="25" t="inlineStr">
        <is>
          <t>Good</t>
        </is>
      </c>
      <c r="AM89" s="25">
        <f>IF(AL89="Good",10,0)</f>
        <v/>
      </c>
      <c r="AN89" s="25" t="inlineStr">
        <is>
          <t>Yes for more than 2 years</t>
        </is>
      </c>
      <c r="AO89" s="25">
        <f>IF(AN89="Yes for more than 2 years",10,IF(AN89="Yes only for next 1 to 2 years",5,0))</f>
        <v/>
      </c>
      <c r="AP89" s="25" t="inlineStr">
        <is>
          <t>Above 40</t>
        </is>
      </c>
      <c r="AQ89" s="25">
        <f>IF(AP89="Above 40",20,IF(AP89="20 to 40",10,IF(AP89="0 to 20",-5,0)))</f>
        <v/>
      </c>
      <c r="AR89" s="25" t="inlineStr">
        <is>
          <t>Between 50 to 75</t>
        </is>
      </c>
      <c r="AS89" s="25">
        <f>IF(AR89="Between 50 to 75",10,IF(AR89="Above 75",0,0))</f>
        <v/>
      </c>
      <c r="AT89" s="25" t="inlineStr">
        <is>
          <t>Stage 2</t>
        </is>
      </c>
      <c r="AU89" s="25">
        <f>IF(AT89="Stage 2",20,IF(AT89="Stage 1",0,IF(AT89="Stage 3",5,IF(AT89="Stage 4",-5,0))))</f>
        <v/>
      </c>
      <c r="AV89" s="25" t="inlineStr">
        <is>
          <t>Negative Trend</t>
        </is>
      </c>
      <c r="AW89" s="25">
        <f>IF(AV89="Positive Trend",20,IF(AV89="Negative Trend",-10,0))</f>
        <v/>
      </c>
      <c r="AX89" s="25" t="inlineStr">
        <is>
          <t>Uptrend</t>
        </is>
      </c>
      <c r="AY89" s="25">
        <f>IF(AX89="Uptrend",10,IF(AX89="Sideways",5,0))</f>
        <v/>
      </c>
      <c r="AZ89" s="25" t="inlineStr">
        <is>
          <t>Uptrend</t>
        </is>
      </c>
      <c r="BA89" s="25">
        <f>IF(AZ89="Uptrend",10,IF(AZ89="Sideways",5,0))</f>
        <v/>
      </c>
      <c r="BB89" s="25" t="inlineStr">
        <is>
          <t>Close to 52 week high or retracement</t>
        </is>
      </c>
      <c r="BC89" s="25">
        <f>IF(BB89="Overhead supply in last 2 years in last 2 years",-5,IF(BB89="Close to 52 week high or retracement",5,IF(BB89="Blue sky scenario",10,IF(BB89="Long term Downtrend",-10,0))))</f>
        <v/>
      </c>
      <c r="BD89" s="25" t="inlineStr">
        <is>
          <t>No</t>
        </is>
      </c>
      <c r="BE89" s="25">
        <f>IF(BD89="Yes",10,0)</f>
        <v/>
      </c>
      <c r="BF89" s="25" t="inlineStr">
        <is>
          <t>More than 20%</t>
        </is>
      </c>
      <c r="BG89" s="25">
        <f>IF(BF89="More than 20%",10,IF(BF89="Between 12 to 20%",5,IF(BF89="Less than 12%",0,0)))</f>
        <v/>
      </c>
      <c r="BH89" s="25" t="inlineStr">
        <is>
          <t>No</t>
        </is>
      </c>
      <c r="BI89" s="25">
        <f>IF(BH89="No",10,0)</f>
        <v/>
      </c>
      <c r="BJ89" s="25" t="inlineStr">
        <is>
          <t>Yes</t>
        </is>
      </c>
      <c r="BK89" s="25">
        <f>IF(BJ89="NO",5,0)</f>
        <v/>
      </c>
      <c r="BL89" s="25" t="inlineStr">
        <is>
          <t>Less than 1.5</t>
        </is>
      </c>
      <c r="BM89" s="25">
        <f>IF(BL89="Above 2",0,IF(BL89="Between 1.5 to 2",5,IF(BL89="Less than 1.5",10,0)))</f>
        <v/>
      </c>
      <c r="BN89" s="25" t="inlineStr">
        <is>
          <t>Negative</t>
        </is>
      </c>
      <c r="BO89" s="25">
        <f>IF(BN89="Above 70%",10,IF(BN89="Between 50% to 70%",5,IF(BN89="Less than 50%",0,IF(BN89="Negative",-10,IF(BN89="Less than 50% and Borrowings are increasing",-5,0)))))</f>
        <v/>
      </c>
      <c r="BP89" s="25" t="inlineStr">
        <is>
          <t>Less than 0.7</t>
        </is>
      </c>
      <c r="BQ89" s="25">
        <f>IF(BP89="More than 1.2",-10,IF(BP89="Between 0.7 to 1.2",0,IF(BP89="Less than 0.7",10,0)))</f>
        <v/>
      </c>
      <c r="BR89" s="25" t="inlineStr">
        <is>
          <t>No</t>
        </is>
      </c>
      <c r="BS89" s="25">
        <f>IF(BR89="Yes",-10,0)</f>
        <v/>
      </c>
      <c r="BT89" s="25" t="inlineStr">
        <is>
          <t>Less than 15%</t>
        </is>
      </c>
      <c r="BU89" s="25">
        <f>IF(BT89="More than 15%",-10,IF(BT89="Less than 15%",10,0))</f>
        <v/>
      </c>
      <c r="BV89" s="25" t="inlineStr">
        <is>
          <t>No</t>
        </is>
      </c>
      <c r="BW89" s="25">
        <f>IF(BV89="Yes, more than 10%",-10,IF(BV89="No",10,0))</f>
        <v/>
      </c>
      <c r="BX89" s="25" t="inlineStr">
        <is>
          <t>19</t>
        </is>
      </c>
      <c r="BY89" s="25">
        <f>IF(BX89&gt;20,10,IF(BX89&gt;=10,5,2))</f>
        <v/>
      </c>
    </row>
    <row r="90">
      <c r="A90" s="25">
        <f>IF(B90=0,"",RANK(B90,$B$2:$B$95,0))</f>
        <v/>
      </c>
      <c r="B90" s="26">
        <f>SUM(Q90,S90,U90,W90,Y90,AA90,AC90,AE90,AG90,AI90,AK90,AM90,AO90,AQ90,AS90,AU90,AW90,AY90,BA90,BC90,BE90,BG90,BI90,BK90,BM90,BO90,BQ90,BS90,BU90,BW90,BY90)</f>
        <v/>
      </c>
      <c r="C90" s="25" t="inlineStr">
        <is>
          <t>KRISHANA</t>
        </is>
      </c>
      <c r="D90" s="25" t="inlineStr">
        <is>
          <t>Krishana Phoschem Ltd</t>
        </is>
      </c>
      <c r="E90" s="25" t="inlineStr">
        <is>
          <t>chemicals</t>
        </is>
      </c>
      <c r="F90" s="25" t="inlineStr">
        <is>
          <t>Fertilisers</t>
        </is>
      </c>
      <c r="G90" s="25" t="inlineStr">
        <is>
          <t>smallcap</t>
        </is>
      </c>
      <c r="H90" s="26" t="n">
        <v>4156.63</v>
      </c>
      <c r="I90" s="26" t="n">
        <v>686.45</v>
      </c>
      <c r="J90" s="26" t="n">
        <v>0.99</v>
      </c>
      <c r="K90" s="26" t="n">
        <v>0</v>
      </c>
      <c r="L90" s="26" t="n">
        <v>68.08</v>
      </c>
      <c r="M90" s="26" t="n">
        <v>34.03</v>
      </c>
      <c r="N90" s="26" t="n">
        <v>538.09</v>
      </c>
      <c r="O90" s="25" t="inlineStr">
        <is>
          <t>Near 52W High Breakout</t>
        </is>
      </c>
      <c r="P90" s="25" t="inlineStr">
        <is>
          <t>Growing Industry</t>
        </is>
      </c>
      <c r="Q90" s="25">
        <f>IF(P90="Growing Industry",10,IF(P90="Cyclical in an Upturn",5,0))</f>
        <v/>
      </c>
      <c r="R90" s="25" t="inlineStr">
        <is>
          <t>Too Many Players with High ROCE</t>
        </is>
      </c>
      <c r="S90" s="25">
        <f>IF(R90="Monopoly",10,IF(R90="Oligopoly",5,IF(R90="Duopoly that cooperate",10,IF(R90="Duopoly that compete",5,IF(R90="Too many players with High ROCE",5,0)))))</f>
        <v/>
      </c>
      <c r="T90" s="25" t="inlineStr">
        <is>
          <t>No</t>
        </is>
      </c>
      <c r="U90" s="25">
        <f>IF(T90="No",5,0)</f>
        <v/>
      </c>
      <c r="V90" s="25" t="inlineStr">
        <is>
          <t>Tailwind</t>
        </is>
      </c>
      <c r="W90" s="25">
        <f>IF(V90="Tailwind",10,0)</f>
        <v/>
      </c>
      <c r="X90" s="25" t="inlineStr">
        <is>
          <t>Structural (10 Years Consistency)</t>
        </is>
      </c>
      <c r="Y90" s="25">
        <f>IF(X90="Structural (10 Years Consistency)",10,IF(X90="Shallow Cyclical (2 to 3 years growth)",5,0))</f>
        <v/>
      </c>
      <c r="Z90" s="25" t="inlineStr">
        <is>
          <t>No</t>
        </is>
      </c>
      <c r="AA90" s="25">
        <f>IF(Z90="Yes due to Product Mix change or Operating Leverage",10,IF(Z90="Yes, these are peak margins",-5,IF(Z90="No",5,0)))</f>
        <v/>
      </c>
      <c r="AB90" s="25" t="inlineStr">
        <is>
          <t>Stable</t>
        </is>
      </c>
      <c r="AC90" s="25">
        <f>IF(AB90="Stable",10,0)</f>
        <v/>
      </c>
      <c r="AD90" s="25" t="inlineStr">
        <is>
          <t>Yes</t>
        </is>
      </c>
      <c r="AE90" s="25">
        <f>IF(AD90="Yes",10,0)</f>
        <v/>
      </c>
      <c r="AF90" s="25" t="inlineStr">
        <is>
          <t>B2B</t>
        </is>
      </c>
      <c r="AG90" s="25">
        <f>IF(AF90="B2C",10,IF(AF90="B2B",5,0))</f>
        <v/>
      </c>
      <c r="AH90" s="25" t="inlineStr">
        <is>
          <t>Yes</t>
        </is>
      </c>
      <c r="AI90" s="25">
        <f>IF(AH90="Yes",10,0)</f>
        <v/>
      </c>
      <c r="AJ90" s="25" t="inlineStr">
        <is>
          <t>Higher One Time, Lower Annuity</t>
        </is>
      </c>
      <c r="AK90" s="25">
        <f>IF(AJ90="Fully Annuity",10,IF(AJ90="Higher Annuity, Lower One Time",5,IF(AJ90="Higher One Time, Lower Annuity",3,0)))</f>
        <v/>
      </c>
      <c r="AL90" s="25" t="inlineStr">
        <is>
          <t>Good</t>
        </is>
      </c>
      <c r="AM90" s="25">
        <f>IF(AL90="Good",10,0)</f>
        <v/>
      </c>
      <c r="AN90" s="25" t="inlineStr">
        <is>
          <t>Yes for more than 2 years</t>
        </is>
      </c>
      <c r="AO90" s="25">
        <f>IF(AN90="Yes for more than 2 years",10,IF(AN90="Yes only for next 1 to 2 years",5,0))</f>
        <v/>
      </c>
      <c r="AP90" s="25" t="inlineStr">
        <is>
          <t>20 to 40</t>
        </is>
      </c>
      <c r="AQ90" s="25">
        <f>IF(AP90="Above 40",20,IF(AP90="20 to 40",10,IF(AP90="0 to 20",-5,0)))</f>
        <v/>
      </c>
      <c r="AR90" s="25" t="inlineStr">
        <is>
          <t>Between 50 to 75</t>
        </is>
      </c>
      <c r="AS90" s="25">
        <f>IF(AR90="Between 50 to 75",10,IF(AR90="Above 75",0,0))</f>
        <v/>
      </c>
      <c r="AT90" s="25" t="inlineStr">
        <is>
          <t>Stage 2</t>
        </is>
      </c>
      <c r="AU90" s="25">
        <f>IF(AT90="Stage 2",20,IF(AT90="Stage 1",0,IF(AT90="Stage 3",5,IF(AT90="Stage 4",-5,0))))</f>
        <v/>
      </c>
      <c r="AV90" s="25" t="inlineStr">
        <is>
          <t>Negative Trend</t>
        </is>
      </c>
      <c r="AW90" s="25">
        <f>IF(AV90="Positive Trend",20,IF(AV90="Negative Trend",-10,0))</f>
        <v/>
      </c>
      <c r="AX90" s="25" t="inlineStr">
        <is>
          <t>Uptrend</t>
        </is>
      </c>
      <c r="AY90" s="25">
        <f>IF(AX90="Uptrend",10,IF(AX90="Sideways",5,0))</f>
        <v/>
      </c>
      <c r="AZ90" s="25" t="inlineStr">
        <is>
          <t>Uptrend</t>
        </is>
      </c>
      <c r="BA90" s="25">
        <f>IF(AZ90="Uptrend",10,IF(AZ90="Sideways",5,0))</f>
        <v/>
      </c>
      <c r="BB90" s="25" t="inlineStr">
        <is>
          <t>Blue sky scenario</t>
        </is>
      </c>
      <c r="BC90" s="25">
        <f>IF(BB90="Overhead supply in last 2 years in last 2 years",-5,IF(BB90="Close to 52 week high or retracement",5,IF(BB90="Blue sky scenario",10,IF(BB90="Long term Downtrend",-10,0))))</f>
        <v/>
      </c>
      <c r="BD90" s="25" t="inlineStr">
        <is>
          <t>Yes</t>
        </is>
      </c>
      <c r="BE90" s="25">
        <f>IF(BD90="Yes",10,0)</f>
        <v/>
      </c>
      <c r="BF90" s="25" t="inlineStr">
        <is>
          <t>More than 20%</t>
        </is>
      </c>
      <c r="BG90" s="25">
        <f>IF(BF90="More than 20%",10,IF(BF90="Between 12 to 20%",5,IF(BF90="Less than 12%",0,0)))</f>
        <v/>
      </c>
      <c r="BH90" s="25" t="inlineStr">
        <is>
          <t>No</t>
        </is>
      </c>
      <c r="BI90" s="25">
        <f>IF(BH90="No",10,0)</f>
        <v/>
      </c>
      <c r="BJ90" s="25" t="inlineStr">
        <is>
          <t>No</t>
        </is>
      </c>
      <c r="BK90" s="25">
        <f>IF(BJ90="NO",5,0)</f>
        <v/>
      </c>
      <c r="BL90" s="25" t="inlineStr">
        <is>
          <t>Less than 1.5</t>
        </is>
      </c>
      <c r="BM90" s="25">
        <f>IF(BL90="Above 2",0,IF(BL90="Between 1.5 to 2",5,IF(BL90="Less than 1.5",10,0)))</f>
        <v/>
      </c>
      <c r="BN90" s="25" t="inlineStr">
        <is>
          <t>Negative</t>
        </is>
      </c>
      <c r="BO90" s="25">
        <f>IF(BN90="Above 70%",10,IF(BN90="Between 50% to 70%",5,IF(BN90="Less than 50%",0,IF(BN90="Negative",-10,IF(BN90="Less than 50% and Borrowings are increasing",-5,0)))))</f>
        <v/>
      </c>
      <c r="BP90" s="25" t="inlineStr">
        <is>
          <t>More than 1.2</t>
        </is>
      </c>
      <c r="BQ90" s="25">
        <f>IF(BP90="More than 1.2",-10,IF(BP90="Between 0.7 to 1.2",0,IF(BP90="Less than 0.7",10,0)))</f>
        <v/>
      </c>
      <c r="BR90" s="25" t="inlineStr">
        <is>
          <t>No</t>
        </is>
      </c>
      <c r="BS90" s="25">
        <f>IF(BR90="Yes",-10,0)</f>
        <v/>
      </c>
      <c r="BT90" s="25" t="inlineStr">
        <is>
          <t>Less than 15%</t>
        </is>
      </c>
      <c r="BU90" s="25">
        <f>IF(BT90="More than 15%",-10,IF(BT90="Less than 15%",10,0))</f>
        <v/>
      </c>
      <c r="BV90" s="25" t="inlineStr">
        <is>
          <t>No</t>
        </is>
      </c>
      <c r="BW90" s="25">
        <f>IF(BV90="Yes, more than 10%",-10,IF(BV90="No",10,0))</f>
        <v/>
      </c>
      <c r="BX90" s="25" t="inlineStr">
        <is>
          <t>24</t>
        </is>
      </c>
      <c r="BY90" s="25">
        <f>IF(BX90&gt;20,10,IF(BX90&gt;=10,5,2))</f>
        <v/>
      </c>
    </row>
    <row r="91">
      <c r="A91" s="25">
        <f>IF(B91=0,"",RANK(B91,$B$2:$B$95,0))</f>
        <v/>
      </c>
      <c r="B91" s="26">
        <f>SUM(Q91,S91,U91,W91,Y91,AA91,AC91,AE91,AG91,AI91,AK91,AM91,AO91,AQ91,AS91,AU91,AW91,AY91,BA91,BC91,BE91,BG91,BI91,BK91,BM91,BO91,BQ91,BS91,BU91,BW91,BY91)</f>
        <v/>
      </c>
      <c r="C91" s="25" t="inlineStr">
        <is>
          <t>ASHAPURMIN</t>
        </is>
      </c>
      <c r="D91" s="25" t="inlineStr">
        <is>
          <t>Ashapura Minechem Ltd</t>
        </is>
      </c>
      <c r="E91" s="25" t="inlineStr">
        <is>
          <t>Basic Materials</t>
        </is>
      </c>
      <c r="F91" s="25" t="inlineStr">
        <is>
          <t>Mining/Minerals</t>
        </is>
      </c>
      <c r="G91" s="25" t="inlineStr">
        <is>
          <t>midcap</t>
        </is>
      </c>
      <c r="H91" s="26" t="n">
        <v>6939.97</v>
      </c>
      <c r="I91" s="26" t="n">
        <v>726.5</v>
      </c>
      <c r="J91" s="26" t="n">
        <v>1.42</v>
      </c>
      <c r="K91" s="26" t="n">
        <v>0</v>
      </c>
      <c r="L91" s="26" t="n">
        <v>60.78</v>
      </c>
      <c r="M91" s="26" t="n">
        <v>20.79</v>
      </c>
      <c r="N91" s="26" t="n">
        <v>527.55</v>
      </c>
      <c r="O91" s="25" t="inlineStr">
        <is>
          <t>Earnings / Momentum Support</t>
        </is>
      </c>
      <c r="P91" s="25" t="inlineStr">
        <is>
          <t>Cyclical in an Upturn</t>
        </is>
      </c>
      <c r="Q91" s="25">
        <f>IF(P91="Growing Industry",10,IF(P91="Cyclical in an Upturn",5,0))</f>
        <v/>
      </c>
      <c r="R91" s="25" t="inlineStr">
        <is>
          <t>Too Many Players with High ROCE</t>
        </is>
      </c>
      <c r="S91" s="25">
        <f>IF(R91="Monopoly",10,IF(R91="Oligopoly",5,IF(R91="Duopoly that cooperate",10,IF(R91="Duopoly that compete",5,IF(R91="Too many players with High ROCE",5,0)))))</f>
        <v/>
      </c>
      <c r="T91" s="25" t="inlineStr">
        <is>
          <t>No</t>
        </is>
      </c>
      <c r="U91" s="25">
        <f>IF(T91="No",5,0)</f>
        <v/>
      </c>
      <c r="V91" s="25" t="inlineStr">
        <is>
          <t>Headwind</t>
        </is>
      </c>
      <c r="W91" s="25">
        <f>IF(V91="Tailwind",10,0)</f>
        <v/>
      </c>
      <c r="X91" s="25" t="inlineStr">
        <is>
          <t>Cyclical</t>
        </is>
      </c>
      <c r="Y91" s="25">
        <f>IF(X91="Structural (10 Years Consistency)",10,IF(X91="Shallow Cyclical (2 to 3 years growth)",5,0))</f>
        <v/>
      </c>
      <c r="Z91" s="25" t="inlineStr">
        <is>
          <t>No</t>
        </is>
      </c>
      <c r="AA91" s="25">
        <f>IF(Z91="Yes due to Product Mix change or Operating Leverage",10,IF(Z91="Yes, these are peak margins",-5,IF(Z91="No",5,0)))</f>
        <v/>
      </c>
      <c r="AB91" s="25" t="inlineStr">
        <is>
          <t>Volatile</t>
        </is>
      </c>
      <c r="AC91" s="25">
        <f>IF(AB91="Stable",10,0)</f>
        <v/>
      </c>
      <c r="AD91" s="25" t="inlineStr">
        <is>
          <t>Yes</t>
        </is>
      </c>
      <c r="AE91" s="25">
        <f>IF(AD91="Yes",10,0)</f>
        <v/>
      </c>
      <c r="AF91" s="25" t="inlineStr">
        <is>
          <t>B2B</t>
        </is>
      </c>
      <c r="AG91" s="25">
        <f>IF(AF91="B2C",10,IF(AF91="B2B",5,0))</f>
        <v/>
      </c>
      <c r="AH91" s="25" t="inlineStr">
        <is>
          <t>No</t>
        </is>
      </c>
      <c r="AI91" s="25">
        <f>IF(AH91="Yes",10,0)</f>
        <v/>
      </c>
      <c r="AJ91" s="25" t="inlineStr">
        <is>
          <t>Higher One Time, Lower Annuity</t>
        </is>
      </c>
      <c r="AK91" s="25">
        <f>IF(AJ91="Fully Annuity",10,IF(AJ91="Higher Annuity, Lower One Time",5,IF(AJ91="Higher One Time, Lower Annuity",3,0)))</f>
        <v/>
      </c>
      <c r="AL91" s="25" t="inlineStr">
        <is>
          <t>Good</t>
        </is>
      </c>
      <c r="AM91" s="25">
        <f>IF(AL91="Good",10,0)</f>
        <v/>
      </c>
      <c r="AN91" s="25" t="inlineStr">
        <is>
          <t>Yes for more than 2 years</t>
        </is>
      </c>
      <c r="AO91" s="25">
        <f>IF(AN91="Yes for more than 2 years",10,IF(AN91="Yes only for next 1 to 2 years",5,0))</f>
        <v/>
      </c>
      <c r="AP91" s="25" t="inlineStr">
        <is>
          <t>20 to 40</t>
        </is>
      </c>
      <c r="AQ91" s="25">
        <f>IF(AP91="Above 40",20,IF(AP91="20 to 40",10,IF(AP91="0 to 20",-5,0)))</f>
        <v/>
      </c>
      <c r="AR91" s="25" t="inlineStr">
        <is>
          <t>Between 50 to 75</t>
        </is>
      </c>
      <c r="AS91" s="25">
        <f>IF(AR91="Between 50 to 75",10,IF(AR91="Above 75",0,0))</f>
        <v/>
      </c>
      <c r="AT91" s="25" t="inlineStr">
        <is>
          <t>Stage 2</t>
        </is>
      </c>
      <c r="AU91" s="25">
        <f>IF(AT91="Stage 2",20,IF(AT91="Stage 1",0,IF(AT91="Stage 3",5,IF(AT91="Stage 4",-5,0))))</f>
        <v/>
      </c>
      <c r="AV91" s="25" t="inlineStr">
        <is>
          <t>Positive Trend</t>
        </is>
      </c>
      <c r="AW91" s="25">
        <f>IF(AV91="Positive Trend",20,IF(AV91="Negative Trend",-10,0))</f>
        <v/>
      </c>
      <c r="AX91" s="25" t="inlineStr">
        <is>
          <t>Uptrend</t>
        </is>
      </c>
      <c r="AY91" s="25">
        <f>IF(AX91="Uptrend",10,IF(AX91="Sideways",5,0))</f>
        <v/>
      </c>
      <c r="AZ91" s="25" t="inlineStr">
        <is>
          <t>Uptrend</t>
        </is>
      </c>
      <c r="BA91" s="25">
        <f>IF(AZ91="Uptrend",10,IF(AZ91="Sideways",5,0))</f>
        <v/>
      </c>
      <c r="BB91" s="25" t="inlineStr">
        <is>
          <t>Close to 52 week high or retracement</t>
        </is>
      </c>
      <c r="BC91" s="25">
        <f>IF(BB91="Overhead supply in last 2 years in last 2 years",-5,IF(BB91="Close to 52 week high or retracement",5,IF(BB91="Blue sky scenario",10,IF(BB91="Long term Downtrend",-10,0))))</f>
        <v/>
      </c>
      <c r="BD91" s="25" t="inlineStr">
        <is>
          <t>Yes</t>
        </is>
      </c>
      <c r="BE91" s="25">
        <f>IF(BD91="Yes",10,0)</f>
        <v/>
      </c>
      <c r="BF91" s="25" t="inlineStr">
        <is>
          <t>Less than 12%</t>
        </is>
      </c>
      <c r="BG91" s="25">
        <f>IF(BF91="More than 20%",10,IF(BF91="Between 12 to 20%",5,IF(BF91="Less than 12%",0,0)))</f>
        <v/>
      </c>
      <c r="BH91" s="25" t="inlineStr">
        <is>
          <t>No</t>
        </is>
      </c>
      <c r="BI91" s="25">
        <f>IF(BH91="No",10,0)</f>
        <v/>
      </c>
      <c r="BJ91" s="25" t="inlineStr">
        <is>
          <t>No</t>
        </is>
      </c>
      <c r="BK91" s="25">
        <f>IF(BJ91="NO",5,0)</f>
        <v/>
      </c>
      <c r="BL91" s="25" t="inlineStr">
        <is>
          <t>Less than 1.5</t>
        </is>
      </c>
      <c r="BM91" s="25">
        <f>IF(BL91="Above 2",0,IF(BL91="Between 1.5 to 2",5,IF(BL91="Less than 1.5",10,0)))</f>
        <v/>
      </c>
      <c r="BN91" s="25" t="inlineStr">
        <is>
          <t>Above 70%</t>
        </is>
      </c>
      <c r="BO91" s="25">
        <f>IF(BN91="Above 70%",10,IF(BN91="Between 50% to 70%",5,IF(BN91="Less than 50%",0,IF(BN91="Negative",-10,IF(BN91="Less than 50% and Borrowings are increasing",-5,0)))))</f>
        <v/>
      </c>
      <c r="BP91" s="25" t="inlineStr">
        <is>
          <t>Between 0.7 to 1.2</t>
        </is>
      </c>
      <c r="BQ91" s="25">
        <f>IF(BP91="More than 1.2",-10,IF(BP91="Between 0.7 to 1.2",0,IF(BP91="Less than 0.7",10,0)))</f>
        <v/>
      </c>
      <c r="BR91" s="25" t="inlineStr">
        <is>
          <t>No</t>
        </is>
      </c>
      <c r="BS91" s="25">
        <f>IF(BR91="Yes",-10,0)</f>
        <v/>
      </c>
      <c r="BT91" s="25" t="inlineStr">
        <is>
          <t>Less than 15%</t>
        </is>
      </c>
      <c r="BU91" s="25">
        <f>IF(BT91="More than 15%",-10,IF(BT91="Less than 15%",10,0))</f>
        <v/>
      </c>
      <c r="BV91" s="25" t="inlineStr">
        <is>
          <t>No</t>
        </is>
      </c>
      <c r="BW91" s="25">
        <f>IF(BV91="Yes, more than 10%",-10,IF(BV91="No",10,0))</f>
        <v/>
      </c>
      <c r="BX91" s="25" t="inlineStr">
        <is>
          <t>19</t>
        </is>
      </c>
      <c r="BY91" s="25">
        <f>IF(BX91&gt;20,10,IF(BX91&gt;=10,5,2))</f>
        <v/>
      </c>
    </row>
    <row r="92">
      <c r="A92" s="25">
        <f>IF(B92=0,"",RANK(B92,$B$2:$B$95,0))</f>
        <v/>
      </c>
      <c r="B92" s="26">
        <f>SUM(Q92,S92,U92,W92,Y92,AA92,AC92,AE92,AG92,AI92,AK92,AM92,AO92,AQ92,AS92,AU92,AW92,AY92,BA92,BC92,BE92,BG92,BI92,BK92,BM92,BO92,BQ92,BS92,BU92,BW92,BY92)</f>
        <v/>
      </c>
      <c r="C92" s="25" t="inlineStr">
        <is>
          <t>VEDL</t>
        </is>
      </c>
      <c r="D92" s="25" t="inlineStr">
        <is>
          <t>Vedanta Ltd</t>
        </is>
      </c>
      <c r="E92" s="25" t="inlineStr">
        <is>
          <t>metals &amp; mining</t>
        </is>
      </c>
      <c r="F92" s="25" t="inlineStr">
        <is>
          <t>Mining/Minerals</t>
        </is>
      </c>
      <c r="G92" s="25" t="inlineStr">
        <is>
          <t>largecap</t>
        </is>
      </c>
      <c r="H92" s="26" t="n">
        <v>130430.99</v>
      </c>
      <c r="I92" s="26" t="n">
        <v>333.55</v>
      </c>
      <c r="J92" s="26" t="n">
        <v>-1.07</v>
      </c>
      <c r="K92" s="26" t="n">
        <v>0</v>
      </c>
      <c r="L92" s="26" t="n">
        <v>34.45</v>
      </c>
      <c r="M92" s="26" t="n">
        <v>47.87</v>
      </c>
      <c r="N92" s="26" t="n">
        <v>584.96</v>
      </c>
      <c r="O92" s="25" t="inlineStr">
        <is>
          <t>Earnings / Momentum Support</t>
        </is>
      </c>
      <c r="P92" s="25" t="inlineStr">
        <is>
          <t>Cyclical in an Upturn</t>
        </is>
      </c>
      <c r="Q92" s="25">
        <f>IF(P92="Growing Industry",10,IF(P92="Cyclical in an Upturn",5,0))</f>
        <v/>
      </c>
      <c r="R92" s="25" t="inlineStr">
        <is>
          <t>Too Many Players with High ROCE</t>
        </is>
      </c>
      <c r="S92" s="25">
        <f>IF(R92="Monopoly",10,IF(R92="Oligopoly",5,IF(R92="Duopoly that cooperate",10,IF(R92="Duopoly that compete",5,IF(R92="Too many players with High ROCE",5,0)))))</f>
        <v/>
      </c>
      <c r="T92" s="25" t="inlineStr">
        <is>
          <t>No</t>
        </is>
      </c>
      <c r="U92" s="25">
        <f>IF(T92="No",5,0)</f>
        <v/>
      </c>
      <c r="V92" s="25" t="inlineStr">
        <is>
          <t>Headwind</t>
        </is>
      </c>
      <c r="W92" s="25">
        <f>IF(V92="Tailwind",10,0)</f>
        <v/>
      </c>
      <c r="X92" s="25" t="inlineStr">
        <is>
          <t>Cyclical</t>
        </is>
      </c>
      <c r="Y92" s="25">
        <f>IF(X92="Structural (10 Years Consistency)",10,IF(X92="Shallow Cyclical (2 to 3 years growth)",5,0))</f>
        <v/>
      </c>
      <c r="Z92" s="25" t="inlineStr">
        <is>
          <t>No</t>
        </is>
      </c>
      <c r="AA92" s="25">
        <f>IF(Z92="Yes due to Product Mix change or Operating Leverage",10,IF(Z92="Yes, these are peak margins",-5,IF(Z92="No",5,0)))</f>
        <v/>
      </c>
      <c r="AB92" s="25" t="inlineStr">
        <is>
          <t>Volatile</t>
        </is>
      </c>
      <c r="AC92" s="25">
        <f>IF(AB92="Stable",10,0)</f>
        <v/>
      </c>
      <c r="AD92" s="25" t="inlineStr">
        <is>
          <t>Yes</t>
        </is>
      </c>
      <c r="AE92" s="25">
        <f>IF(AD92="Yes",10,0)</f>
        <v/>
      </c>
      <c r="AF92" s="25" t="inlineStr">
        <is>
          <t>B2B</t>
        </is>
      </c>
      <c r="AG92" s="25">
        <f>IF(AF92="B2C",10,IF(AF92="B2B",5,0))</f>
        <v/>
      </c>
      <c r="AH92" s="25" t="inlineStr">
        <is>
          <t>No</t>
        </is>
      </c>
      <c r="AI92" s="25">
        <f>IF(AH92="Yes",10,0)</f>
        <v/>
      </c>
      <c r="AJ92" s="25" t="inlineStr">
        <is>
          <t>Higher One Time, Lower Annuity</t>
        </is>
      </c>
      <c r="AK92" s="25">
        <f>IF(AJ92="Fully Annuity",10,IF(AJ92="Higher Annuity, Lower One Time",5,IF(AJ92="Higher One Time, Lower Annuity",3,0)))</f>
        <v/>
      </c>
      <c r="AL92" s="25" t="inlineStr">
        <is>
          <t>Good</t>
        </is>
      </c>
      <c r="AM92" s="25">
        <f>IF(AL92="Good",10,0)</f>
        <v/>
      </c>
      <c r="AN92" s="25" t="inlineStr">
        <is>
          <t>Yes for more than 2 years</t>
        </is>
      </c>
      <c r="AO92" s="25">
        <f>IF(AN92="Yes for more than 2 years",10,IF(AN92="Yes only for next 1 to 2 years",5,0))</f>
        <v/>
      </c>
      <c r="AP92" s="25" t="inlineStr">
        <is>
          <t>Above 40</t>
        </is>
      </c>
      <c r="AQ92" s="25">
        <f>IF(AP92="Above 40",20,IF(AP92="20 to 40",10,IF(AP92="0 to 20",-5,0)))</f>
        <v/>
      </c>
      <c r="AR92" s="25" t="inlineStr">
        <is>
          <t>Below 45</t>
        </is>
      </c>
      <c r="AS92" s="25">
        <f>IF(AR92="Between 50 to 75",10,IF(AR92="Above 75",0,0))</f>
        <v/>
      </c>
      <c r="AT92" s="25" t="inlineStr">
        <is>
          <t>Stage 4</t>
        </is>
      </c>
      <c r="AU92" s="25">
        <f>IF(AT92="Stage 2",20,IF(AT92="Stage 1",0,IF(AT92="Stage 3",5,IF(AT92="Stage 4",-5,0))))</f>
        <v/>
      </c>
      <c r="AV92" s="25" t="inlineStr">
        <is>
          <t>Positive Trend</t>
        </is>
      </c>
      <c r="AW92" s="25">
        <f>IF(AV92="Positive Trend",20,IF(AV92="Negative Trend",-10,0))</f>
        <v/>
      </c>
      <c r="AX92" s="25" t="inlineStr">
        <is>
          <t>Uptrend</t>
        </is>
      </c>
      <c r="AY92" s="25">
        <f>IF(AX92="Uptrend",10,IF(AX92="Sideways",5,0))</f>
        <v/>
      </c>
      <c r="AZ92" s="25" t="inlineStr">
        <is>
          <t>Uptrend</t>
        </is>
      </c>
      <c r="BA92" s="25">
        <f>IF(AZ92="Uptrend",10,IF(AZ92="Sideways",5,0))</f>
        <v/>
      </c>
      <c r="BB92" s="25" t="inlineStr">
        <is>
          <t>Close to 52 week high or retracement</t>
        </is>
      </c>
      <c r="BC92" s="25">
        <f>IF(BB92="Overhead supply in last 2 years in last 2 years",-5,IF(BB92="Close to 52 week high or retracement",5,IF(BB92="Blue sky scenario",10,IF(BB92="Long term Downtrend",-10,0))))</f>
        <v/>
      </c>
      <c r="BD92" s="25" t="inlineStr">
        <is>
          <t>No</t>
        </is>
      </c>
      <c r="BE92" s="25">
        <f>IF(BD92="Yes",10,0)</f>
        <v/>
      </c>
      <c r="BF92" s="25" t="inlineStr">
        <is>
          <t>More than 20%</t>
        </is>
      </c>
      <c r="BG92" s="25">
        <f>IF(BF92="More than 20%",10,IF(BF92="Between 12 to 20%",5,IF(BF92="Less than 12%",0,0)))</f>
        <v/>
      </c>
      <c r="BH92" s="25" t="inlineStr">
        <is>
          <t>No</t>
        </is>
      </c>
      <c r="BI92" s="25">
        <f>IF(BH92="No",10,0)</f>
        <v/>
      </c>
      <c r="BJ92" s="25" t="inlineStr">
        <is>
          <t>No</t>
        </is>
      </c>
      <c r="BK92" s="25">
        <f>IF(BJ92="NO",5,0)</f>
        <v/>
      </c>
      <c r="BL92" s="25" t="inlineStr">
        <is>
          <t>Less than 1.5</t>
        </is>
      </c>
      <c r="BM92" s="25">
        <f>IF(BL92="Above 2",0,IF(BL92="Between 1.5 to 2",5,IF(BL92="Less than 1.5",10,0)))</f>
        <v/>
      </c>
      <c r="BN92" s="25" t="inlineStr">
        <is>
          <t>Above 70%</t>
        </is>
      </c>
      <c r="BO92" s="25">
        <f>IF(BN92="Above 70%",10,IF(BN92="Between 50% to 70%",5,IF(BN92="Less than 50%",0,IF(BN92="Negative",-10,IF(BN92="Less than 50% and Borrowings are increasing",-5,0)))))</f>
        <v/>
      </c>
      <c r="BP92" s="25" t="inlineStr">
        <is>
          <t>Less than 0.7</t>
        </is>
      </c>
      <c r="BQ92" s="25">
        <f>IF(BP92="More than 1.2",-10,IF(BP92="Between 0.7 to 1.2",0,IF(BP92="Less than 0.7",10,0)))</f>
        <v/>
      </c>
      <c r="BR92" s="25" t="inlineStr">
        <is>
          <t>No</t>
        </is>
      </c>
      <c r="BS92" s="25">
        <f>IF(BR92="Yes",-10,0)</f>
        <v/>
      </c>
      <c r="BT92" s="25" t="inlineStr">
        <is>
          <t>Less than 15%</t>
        </is>
      </c>
      <c r="BU92" s="25">
        <f>IF(BT92="More than 15%",-10,IF(BT92="Less than 15%",10,0))</f>
        <v/>
      </c>
      <c r="BV92" s="25" t="inlineStr">
        <is>
          <t>No</t>
        </is>
      </c>
      <c r="BW92" s="25">
        <f>IF(BV92="Yes, more than 10%",-10,IF(BV92="No",10,0))</f>
        <v/>
      </c>
      <c r="BX92" s="25" t="inlineStr">
        <is>
          <t>20</t>
        </is>
      </c>
      <c r="BY92" s="25">
        <f>IF(BX92&gt;20,10,IF(BX92&gt;=10,5,2))</f>
        <v/>
      </c>
    </row>
    <row r="93">
      <c r="A93" s="25">
        <f>IF(B93=0,"",RANK(B93,$B$2:$B$95,0))</f>
        <v/>
      </c>
      <c r="B93" s="26">
        <f>SUM(Q93,S93,U93,W93,Y93,AA93,AC93,AE93,AG93,AI93,AK93,AM93,AO93,AQ93,AS93,AU93,AW93,AY93,BA93,BC93,BE93,BG93,BI93,BK93,BM93,BO93,BQ93,BS93,BU93,BW93,BY93)</f>
        <v/>
      </c>
      <c r="C93" s="25" t="inlineStr">
        <is>
          <t>OBSCP</t>
        </is>
      </c>
      <c r="D93" s="25" t="inlineStr">
        <is>
          <t>OBSC Perfection Ltd</t>
        </is>
      </c>
      <c r="E93" s="25" t="inlineStr">
        <is>
          <t>unknown</t>
        </is>
      </c>
      <c r="F93" s="25" t="inlineStr">
        <is>
          <t>Auto Ancillaries - Diversified</t>
        </is>
      </c>
      <c r="G93" s="25" t="inlineStr">
        <is>
          <t>smallcap</t>
        </is>
      </c>
      <c r="H93" s="26" t="n">
        <v>1246.92</v>
      </c>
      <c r="I93" s="26" t="n">
        <v>482.45</v>
      </c>
      <c r="J93" s="26" t="n">
        <v>-0.14</v>
      </c>
      <c r="K93" s="26" t="n">
        <v>0</v>
      </c>
      <c r="L93" s="26" t="inlineStr"/>
      <c r="M93" s="26" t="inlineStr"/>
      <c r="N93" s="26" t="inlineStr"/>
      <c r="O93" s="25" t="inlineStr"/>
      <c r="P93" s="25" t="n"/>
      <c r="Q93" s="25">
        <f>IF(P93="Growing Industry",10,IF(P93="Cyclical in an Upturn",5,0))</f>
        <v/>
      </c>
      <c r="R93" s="25" t="n"/>
      <c r="S93" s="25">
        <f>IF(R93="Monopoly",10,IF(R93="Oligopoly",5,IF(R93="Duopoly that cooperate",10,IF(R93="Duopoly that compete",5,IF(R93="Too many players with High ROCE",5,0)))))</f>
        <v/>
      </c>
      <c r="T93" s="25" t="n"/>
      <c r="U93" s="25">
        <f>IF(T93="No",5,0)</f>
        <v/>
      </c>
      <c r="V93" s="25" t="n"/>
      <c r="W93" s="25">
        <f>IF(V93="Tailwind",10,0)</f>
        <v/>
      </c>
      <c r="X93" s="25" t="n"/>
      <c r="Y93" s="25">
        <f>IF(X93="Structural (10 Years Consistency)",10,IF(X93="Shallow Cyclical (2 to 3 years growth)",5,0))</f>
        <v/>
      </c>
      <c r="Z93" s="25" t="n"/>
      <c r="AA93" s="25">
        <f>IF(Z93="Yes due to Product Mix change or Operating Leverage",10,IF(Z93="Yes, these are peak margins",-5,IF(Z93="No",5,0)))</f>
        <v/>
      </c>
      <c r="AB93" s="25" t="n"/>
      <c r="AC93" s="25">
        <f>IF(AB93="Stable",10,0)</f>
        <v/>
      </c>
      <c r="AD93" s="25" t="n"/>
      <c r="AE93" s="25">
        <f>IF(AD93="Yes",10,0)</f>
        <v/>
      </c>
      <c r="AF93" s="25" t="n"/>
      <c r="AG93" s="25">
        <f>IF(AF93="B2C",10,IF(AF93="B2B",5,0))</f>
        <v/>
      </c>
      <c r="AH93" s="25" t="n"/>
      <c r="AI93" s="25">
        <f>IF(AH93="Yes",10,0)</f>
        <v/>
      </c>
      <c r="AJ93" s="25" t="n"/>
      <c r="AK93" s="25">
        <f>IF(AJ93="Fully Annuity",10,IF(AJ93="Higher Annuity, Lower One Time",5,IF(AJ93="Higher One Time, Lower Annuity",3,0)))</f>
        <v/>
      </c>
      <c r="AL93" s="25" t="n"/>
      <c r="AM93" s="25">
        <f>IF(AL93="Good",10,0)</f>
        <v/>
      </c>
      <c r="AN93" s="25" t="n"/>
      <c r="AO93" s="25">
        <f>IF(AN93="Yes for more than 2 years",10,IF(AN93="Yes only for next 1 to 2 years",5,0))</f>
        <v/>
      </c>
      <c r="AP93" s="25" t="n"/>
      <c r="AQ93" s="25">
        <f>IF(AP93="Above 40",20,IF(AP93="20 to 40",10,IF(AP93="0 to 20",-5,0)))</f>
        <v/>
      </c>
      <c r="AR93" s="25" t="n"/>
      <c r="AS93" s="25">
        <f>IF(AR93="Between 50 to 75",10,IF(AR93="Above 75",0,0))</f>
        <v/>
      </c>
      <c r="AT93" s="25" t="n"/>
      <c r="AU93" s="25">
        <f>IF(AT93="Stage 2",20,IF(AT93="Stage 1",0,IF(AT93="Stage 3",5,IF(AT93="Stage 4",-5,0))))</f>
        <v/>
      </c>
      <c r="AV93" s="25" t="n"/>
      <c r="AW93" s="25">
        <f>IF(AV93="Positive Trend",20,IF(AV93="Negative Trend",-10,0))</f>
        <v/>
      </c>
      <c r="AX93" s="25" t="n"/>
      <c r="AY93" s="25">
        <f>IF(AX93="Uptrend",10,IF(AX93="Sideways",5,0))</f>
        <v/>
      </c>
      <c r="AZ93" s="25" t="n"/>
      <c r="BA93" s="25">
        <f>IF(AZ93="Uptrend",10,IF(AZ93="Sideways",5,0))</f>
        <v/>
      </c>
      <c r="BB93" s="25" t="n"/>
      <c r="BC93" s="25">
        <f>IF(BB93="Overhead supply in last 2 years in last 2 years",-5,IF(BB93="Close to 52 week high or retracement",5,IF(BB93="Blue sky scenario",10,IF(BB93="Long term Downtrend",-10,0))))</f>
        <v/>
      </c>
      <c r="BD93" s="25" t="n"/>
      <c r="BE93" s="25">
        <f>IF(BD93="Yes",10,0)</f>
        <v/>
      </c>
      <c r="BF93" s="25" t="n"/>
      <c r="BG93" s="25">
        <f>IF(BF93="More than 20%",10,IF(BF93="Between 12 to 20%",5,IF(BF93="Less than 12%",0,0)))</f>
        <v/>
      </c>
      <c r="BH93" s="25" t="n"/>
      <c r="BI93" s="25">
        <f>IF(BH93="No",10,0)</f>
        <v/>
      </c>
      <c r="BJ93" s="25" t="n"/>
      <c r="BK93" s="25">
        <f>IF(BJ93="NO",5,0)</f>
        <v/>
      </c>
      <c r="BL93" s="25" t="n"/>
      <c r="BM93" s="25">
        <f>IF(BL93="Above 2",0,IF(BL93="Between 1.5 to 2",5,IF(BL93="Less than 1.5",10,0)))</f>
        <v/>
      </c>
      <c r="BN93" s="25" t="n"/>
      <c r="BO93" s="25">
        <f>IF(BN93="Above 70%",10,IF(BN93="Between 50% to 70%",5,IF(BN93="Less than 50%",0,IF(BN93="Negative",-10,IF(BN93="Less than 50% and Borrowings are increasing",-5,0)))))</f>
        <v/>
      </c>
      <c r="BP93" s="25" t="n"/>
      <c r="BQ93" s="25">
        <f>IF(BP93="More than 1.2",-10,IF(BP93="Between 0.7 to 1.2",0,IF(BP93="Less than 0.7",10,0)))</f>
        <v/>
      </c>
      <c r="BR93" s="25" t="n"/>
      <c r="BS93" s="25">
        <f>IF(BR93="Yes",-10,0)</f>
        <v/>
      </c>
      <c r="BT93" s="25" t="n"/>
      <c r="BU93" s="25">
        <f>IF(BT93="More than 15%",-10,IF(BT93="Less than 15%",10,0))</f>
        <v/>
      </c>
      <c r="BV93" s="25" t="n"/>
      <c r="BW93" s="25">
        <f>IF(BV93="Yes, more than 10%",-10,IF(BV93="No",10,0))</f>
        <v/>
      </c>
      <c r="BX93" s="25" t="n"/>
      <c r="BY93" s="25">
        <f>IF(BX93&gt;20,10,IF(BX93&gt;=10,5,2))</f>
        <v/>
      </c>
    </row>
    <row r="94">
      <c r="A94" s="25">
        <f>IF(B94=0,"",RANK(B94,$B$2:$B$95,0))</f>
        <v/>
      </c>
      <c r="B94" s="26">
        <f>SUM(Q94,S94,U94,W94,Y94,AA94,AC94,AE94,AG94,AI94,AK94,AM94,AO94,AQ94,AS94,AU94,AW94,AY94,BA94,BC94,BE94,BG94,BI94,BK94,BM94,BO94,BQ94,BS94,BU94,BW94,BY94)</f>
        <v/>
      </c>
      <c r="C94" s="25" t="inlineStr">
        <is>
          <t>KSHINTL</t>
        </is>
      </c>
      <c r="D94" s="25" t="inlineStr">
        <is>
          <t>KSH International Ltd</t>
        </is>
      </c>
      <c r="E94" s="25" t="inlineStr">
        <is>
          <t>unknown</t>
        </is>
      </c>
      <c r="F94" s="25" t="inlineStr">
        <is>
          <t>Electrical Equipments/HVDC</t>
        </is>
      </c>
      <c r="G94" s="25" t="inlineStr">
        <is>
          <t>midcap</t>
        </is>
      </c>
      <c r="H94" s="26" t="n">
        <v>5520.4</v>
      </c>
      <c r="I94" s="26" t="n">
        <v>814.75</v>
      </c>
      <c r="J94" s="26" t="n">
        <v>0.2</v>
      </c>
      <c r="K94" s="26" t="n">
        <v>0</v>
      </c>
      <c r="L94" s="26" t="inlineStr"/>
      <c r="M94" s="26" t="inlineStr"/>
      <c r="N94" s="26" t="inlineStr"/>
      <c r="O94" s="25" t="inlineStr"/>
      <c r="P94" s="25" t="n"/>
      <c r="Q94" s="25">
        <f>IF(P94="Growing Industry",10,IF(P94="Cyclical in an Upturn",5,0))</f>
        <v/>
      </c>
      <c r="R94" s="25" t="n"/>
      <c r="S94" s="25">
        <f>IF(R94="Monopoly",10,IF(R94="Oligopoly",5,IF(R94="Duopoly that cooperate",10,IF(R94="Duopoly that compete",5,IF(R94="Too many players with High ROCE",5,0)))))</f>
        <v/>
      </c>
      <c r="T94" s="25" t="n"/>
      <c r="U94" s="25">
        <f>IF(T94="No",5,0)</f>
        <v/>
      </c>
      <c r="V94" s="25" t="n"/>
      <c r="W94" s="25">
        <f>IF(V94="Tailwind",10,0)</f>
        <v/>
      </c>
      <c r="X94" s="25" t="n"/>
      <c r="Y94" s="25">
        <f>IF(X94="Structural (10 Years Consistency)",10,IF(X94="Shallow Cyclical (2 to 3 years growth)",5,0))</f>
        <v/>
      </c>
      <c r="Z94" s="25" t="n"/>
      <c r="AA94" s="25">
        <f>IF(Z94="Yes due to Product Mix change or Operating Leverage",10,IF(Z94="Yes, these are peak margins",-5,IF(Z94="No",5,0)))</f>
        <v/>
      </c>
      <c r="AB94" s="25" t="n"/>
      <c r="AC94" s="25">
        <f>IF(AB94="Stable",10,0)</f>
        <v/>
      </c>
      <c r="AD94" s="25" t="n"/>
      <c r="AE94" s="25">
        <f>IF(AD94="Yes",10,0)</f>
        <v/>
      </c>
      <c r="AF94" s="25" t="n"/>
      <c r="AG94" s="25">
        <f>IF(AF94="B2C",10,IF(AF94="B2B",5,0))</f>
        <v/>
      </c>
      <c r="AH94" s="25" t="n"/>
      <c r="AI94" s="25">
        <f>IF(AH94="Yes",10,0)</f>
        <v/>
      </c>
      <c r="AJ94" s="25" t="n"/>
      <c r="AK94" s="25">
        <f>IF(AJ94="Fully Annuity",10,IF(AJ94="Higher Annuity, Lower One Time",5,IF(AJ94="Higher One Time, Lower Annuity",3,0)))</f>
        <v/>
      </c>
      <c r="AL94" s="25" t="n"/>
      <c r="AM94" s="25">
        <f>IF(AL94="Good",10,0)</f>
        <v/>
      </c>
      <c r="AN94" s="25" t="n"/>
      <c r="AO94" s="25">
        <f>IF(AN94="Yes for more than 2 years",10,IF(AN94="Yes only for next 1 to 2 years",5,0))</f>
        <v/>
      </c>
      <c r="AP94" s="25" t="n"/>
      <c r="AQ94" s="25">
        <f>IF(AP94="Above 40",20,IF(AP94="20 to 40",10,IF(AP94="0 to 20",-5,0)))</f>
        <v/>
      </c>
      <c r="AR94" s="25" t="n"/>
      <c r="AS94" s="25">
        <f>IF(AR94="Between 50 to 75",10,IF(AR94="Above 75",0,0))</f>
        <v/>
      </c>
      <c r="AT94" s="25" t="n"/>
      <c r="AU94" s="25">
        <f>IF(AT94="Stage 2",20,IF(AT94="Stage 1",0,IF(AT94="Stage 3",5,IF(AT94="Stage 4",-5,0))))</f>
        <v/>
      </c>
      <c r="AV94" s="25" t="n"/>
      <c r="AW94" s="25">
        <f>IF(AV94="Positive Trend",20,IF(AV94="Negative Trend",-10,0))</f>
        <v/>
      </c>
      <c r="AX94" s="25" t="n"/>
      <c r="AY94" s="25">
        <f>IF(AX94="Uptrend",10,IF(AX94="Sideways",5,0))</f>
        <v/>
      </c>
      <c r="AZ94" s="25" t="n"/>
      <c r="BA94" s="25">
        <f>IF(AZ94="Uptrend",10,IF(AZ94="Sideways",5,0))</f>
        <v/>
      </c>
      <c r="BB94" s="25" t="n"/>
      <c r="BC94" s="25">
        <f>IF(BB94="Overhead supply in last 2 years in last 2 years",-5,IF(BB94="Close to 52 week high or retracement",5,IF(BB94="Blue sky scenario",10,IF(BB94="Long term Downtrend",-10,0))))</f>
        <v/>
      </c>
      <c r="BD94" s="25" t="n"/>
      <c r="BE94" s="25">
        <f>IF(BD94="Yes",10,0)</f>
        <v/>
      </c>
      <c r="BF94" s="25" t="n"/>
      <c r="BG94" s="25">
        <f>IF(BF94="More than 20%",10,IF(BF94="Between 12 to 20%",5,IF(BF94="Less than 12%",0,0)))</f>
        <v/>
      </c>
      <c r="BH94" s="25" t="n"/>
      <c r="BI94" s="25">
        <f>IF(BH94="No",10,0)</f>
        <v/>
      </c>
      <c r="BJ94" s="25" t="n"/>
      <c r="BK94" s="25">
        <f>IF(BJ94="NO",5,0)</f>
        <v/>
      </c>
      <c r="BL94" s="25" t="n"/>
      <c r="BM94" s="25">
        <f>IF(BL94="Above 2",0,IF(BL94="Between 1.5 to 2",5,IF(BL94="Less than 1.5",10,0)))</f>
        <v/>
      </c>
      <c r="BN94" s="25" t="n"/>
      <c r="BO94" s="25">
        <f>IF(BN94="Above 70%",10,IF(BN94="Between 50% to 70%",5,IF(BN94="Less than 50%",0,IF(BN94="Negative",-10,IF(BN94="Less than 50% and Borrowings are increasing",-5,0)))))</f>
        <v/>
      </c>
      <c r="BP94" s="25" t="n"/>
      <c r="BQ94" s="25">
        <f>IF(BP94="More than 1.2",-10,IF(BP94="Between 0.7 to 1.2",0,IF(BP94="Less than 0.7",10,0)))</f>
        <v/>
      </c>
      <c r="BR94" s="25" t="n"/>
      <c r="BS94" s="25">
        <f>IF(BR94="Yes",-10,0)</f>
        <v/>
      </c>
      <c r="BT94" s="25" t="n"/>
      <c r="BU94" s="25">
        <f>IF(BT94="More than 15%",-10,IF(BT94="Less than 15%",10,0))</f>
        <v/>
      </c>
      <c r="BV94" s="25" t="n"/>
      <c r="BW94" s="25">
        <f>IF(BV94="Yes, more than 10%",-10,IF(BV94="No",10,0))</f>
        <v/>
      </c>
      <c r="BX94" s="25" t="n"/>
      <c r="BY94" s="25">
        <f>IF(BX94&gt;20,10,IF(BX94&gt;=10,5,2))</f>
        <v/>
      </c>
    </row>
    <row r="95">
      <c r="A95" s="25">
        <f>IF(B95=0,"",RANK(B95,$B$2:$B$95,0))</f>
        <v/>
      </c>
      <c r="B95" s="26">
        <f>SUM(Q95,S95,U95,W95,Y95,AA95,AC95,AE95,AG95,AI95,AK95,AM95,AO95,AQ95,AS95,AU95,AW95,AY95,BA95,BC95,BE95,BG95,BI95,BK95,BM95,BO95,BQ95,BS95,BU95,BW95,BY95)</f>
        <v/>
      </c>
      <c r="C95" s="25" t="inlineStr">
        <is>
          <t>COCKERILL</t>
        </is>
      </c>
      <c r="D95" s="25" t="inlineStr">
        <is>
          <t>John Cockerill India Ltd</t>
        </is>
      </c>
      <c r="E95" s="25" t="inlineStr">
        <is>
          <t>unknown</t>
        </is>
      </c>
      <c r="F95" s="25" t="inlineStr">
        <is>
          <t>Capital Goods - Engineering Heavy</t>
        </is>
      </c>
      <c r="G95" s="25" t="inlineStr">
        <is>
          <t>smallcap</t>
        </is>
      </c>
      <c r="H95" s="26" t="n">
        <v>3749.97</v>
      </c>
      <c r="I95" s="26" t="n">
        <v>7594.4</v>
      </c>
      <c r="J95" s="26" t="n">
        <v>0.5</v>
      </c>
      <c r="K95" s="26" t="n">
        <v>0</v>
      </c>
      <c r="L95" s="26" t="inlineStr"/>
      <c r="M95" s="26" t="inlineStr"/>
      <c r="N95" s="26" t="inlineStr"/>
      <c r="O95" s="25" t="inlineStr"/>
      <c r="P95" s="25" t="n"/>
      <c r="Q95" s="25">
        <f>IF(P95="Growing Industry",10,IF(P95="Cyclical in an Upturn",5,0))</f>
        <v/>
      </c>
      <c r="R95" s="25" t="n"/>
      <c r="S95" s="25">
        <f>IF(R95="Monopoly",10,IF(R95="Oligopoly",5,IF(R95="Duopoly that cooperate",10,IF(R95="Duopoly that compete",5,IF(R95="Too many players with High ROCE",5,0)))))</f>
        <v/>
      </c>
      <c r="T95" s="25" t="n"/>
      <c r="U95" s="25">
        <f>IF(T95="No",5,0)</f>
        <v/>
      </c>
      <c r="V95" s="25" t="n"/>
      <c r="W95" s="25">
        <f>IF(V95="Tailwind",10,0)</f>
        <v/>
      </c>
      <c r="X95" s="25" t="n"/>
      <c r="Y95" s="25">
        <f>IF(X95="Structural (10 Years Consistency)",10,IF(X95="Shallow Cyclical (2 to 3 years growth)",5,0))</f>
        <v/>
      </c>
      <c r="Z95" s="25" t="n"/>
      <c r="AA95" s="25">
        <f>IF(Z95="Yes due to Product Mix change or Operating Leverage",10,IF(Z95="Yes, these are peak margins",-5,IF(Z95="No",5,0)))</f>
        <v/>
      </c>
      <c r="AB95" s="25" t="n"/>
      <c r="AC95" s="25">
        <f>IF(AB95="Stable",10,0)</f>
        <v/>
      </c>
      <c r="AD95" s="25" t="n"/>
      <c r="AE95" s="25">
        <f>IF(AD95="Yes",10,0)</f>
        <v/>
      </c>
      <c r="AF95" s="25" t="n"/>
      <c r="AG95" s="25">
        <f>IF(AF95="B2C",10,IF(AF95="B2B",5,0))</f>
        <v/>
      </c>
      <c r="AH95" s="25" t="n"/>
      <c r="AI95" s="25">
        <f>IF(AH95="Yes",10,0)</f>
        <v/>
      </c>
      <c r="AJ95" s="25" t="n"/>
      <c r="AK95" s="25">
        <f>IF(AJ95="Fully Annuity",10,IF(AJ95="Higher Annuity, Lower One Time",5,IF(AJ95="Higher One Time, Lower Annuity",3,0)))</f>
        <v/>
      </c>
      <c r="AL95" s="25" t="n"/>
      <c r="AM95" s="25">
        <f>IF(AL95="Good",10,0)</f>
        <v/>
      </c>
      <c r="AN95" s="25" t="n"/>
      <c r="AO95" s="25">
        <f>IF(AN95="Yes for more than 2 years",10,IF(AN95="Yes only for next 1 to 2 years",5,0))</f>
        <v/>
      </c>
      <c r="AP95" s="25" t="n"/>
      <c r="AQ95" s="25">
        <f>IF(AP95="Above 40",20,IF(AP95="20 to 40",10,IF(AP95="0 to 20",-5,0)))</f>
        <v/>
      </c>
      <c r="AR95" s="25" t="n"/>
      <c r="AS95" s="25">
        <f>IF(AR95="Between 50 to 75",10,IF(AR95="Above 75",0,0))</f>
        <v/>
      </c>
      <c r="AT95" s="25" t="n"/>
      <c r="AU95" s="25">
        <f>IF(AT95="Stage 2",20,IF(AT95="Stage 1",0,IF(AT95="Stage 3",5,IF(AT95="Stage 4",-5,0))))</f>
        <v/>
      </c>
      <c r="AV95" s="25" t="n"/>
      <c r="AW95" s="25">
        <f>IF(AV95="Positive Trend",20,IF(AV95="Negative Trend",-10,0))</f>
        <v/>
      </c>
      <c r="AX95" s="25" t="n"/>
      <c r="AY95" s="25">
        <f>IF(AX95="Uptrend",10,IF(AX95="Sideways",5,0))</f>
        <v/>
      </c>
      <c r="AZ95" s="25" t="n"/>
      <c r="BA95" s="25">
        <f>IF(AZ95="Uptrend",10,IF(AZ95="Sideways",5,0))</f>
        <v/>
      </c>
      <c r="BB95" s="25" t="n"/>
      <c r="BC95" s="25">
        <f>IF(BB95="Overhead supply in last 2 years in last 2 years",-5,IF(BB95="Close to 52 week high or retracement",5,IF(BB95="Blue sky scenario",10,IF(BB95="Long term Downtrend",-10,0))))</f>
        <v/>
      </c>
      <c r="BD95" s="25" t="n"/>
      <c r="BE95" s="25">
        <f>IF(BD95="Yes",10,0)</f>
        <v/>
      </c>
      <c r="BF95" s="25" t="n"/>
      <c r="BG95" s="25">
        <f>IF(BF95="More than 20%",10,IF(BF95="Between 12 to 20%",5,IF(BF95="Less than 12%",0,0)))</f>
        <v/>
      </c>
      <c r="BH95" s="25" t="n"/>
      <c r="BI95" s="25">
        <f>IF(BH95="No",10,0)</f>
        <v/>
      </c>
      <c r="BJ95" s="25" t="n"/>
      <c r="BK95" s="25">
        <f>IF(BJ95="NO",5,0)</f>
        <v/>
      </c>
      <c r="BL95" s="25" t="n"/>
      <c r="BM95" s="25">
        <f>IF(BL95="Above 2",0,IF(BL95="Between 1.5 to 2",5,IF(BL95="Less than 1.5",10,0)))</f>
        <v/>
      </c>
      <c r="BN95" s="25" t="n"/>
      <c r="BO95" s="25">
        <f>IF(BN95="Above 70%",10,IF(BN95="Between 50% to 70%",5,IF(BN95="Less than 50%",0,IF(BN95="Negative",-10,IF(BN95="Less than 50% and Borrowings are increasing",-5,0)))))</f>
        <v/>
      </c>
      <c r="BP95" s="25" t="n"/>
      <c r="BQ95" s="25">
        <f>IF(BP95="More than 1.2",-10,IF(BP95="Between 0.7 to 1.2",0,IF(BP95="Less than 0.7",10,0)))</f>
        <v/>
      </c>
      <c r="BR95" s="25" t="n"/>
      <c r="BS95" s="25">
        <f>IF(BR95="Yes",-10,0)</f>
        <v/>
      </c>
      <c r="BT95" s="25" t="n"/>
      <c r="BU95" s="25">
        <f>IF(BT95="More than 15%",-10,IF(BT95="Less than 15%",10,0))</f>
        <v/>
      </c>
      <c r="BV95" s="25" t="n"/>
      <c r="BW95" s="25">
        <f>IF(BV95="Yes, more than 10%",-10,IF(BV95="No",10,0))</f>
        <v/>
      </c>
      <c r="BX95" s="25" t="n"/>
      <c r="BY95" s="25">
        <f>IF(BX95&gt;20,10,IF(BX95&gt;=10,5,2))</f>
        <v/>
      </c>
    </row>
  </sheetData>
  <autoFilter ref="A1:BY95"/>
  <conditionalFormatting sqref="B2:B9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9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9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9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9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30">
    <dataValidation sqref="P2:P95" showDropDown="0" showInputMessage="0" showErrorMessage="0" allowBlank="1" type="list">
      <formula1>"Growing Industry,Stagnant Industry,Cyclical in an Upturn"</formula1>
    </dataValidation>
    <dataValidation sqref="R2:R9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T2:T95" showDropDown="0" showInputMessage="0" showErrorMessage="0" allowBlank="1" type="list">
      <formula1>"Yes,No"</formula1>
    </dataValidation>
    <dataValidation sqref="V2:V95" showDropDown="0" showInputMessage="0" showErrorMessage="0" allowBlank="1" type="list">
      <formula1>"Tailwind,Headwind"</formula1>
    </dataValidation>
    <dataValidation sqref="X2:X95" showDropDown="0" showInputMessage="0" showErrorMessage="0" allowBlank="1" type="list">
      <formula1>"Structural (10 Years Consistency),Shallow Cyclical (2 to 3 Years Growth),Cyclical"</formula1>
    </dataValidation>
    <dataValidation sqref="Z2:Z95" showDropDown="0" showInputMessage="0" showErrorMessage="0" allowBlank="1" type="list">
      <formula1>"Yes due to Product Mix change or Operating Leverage,Yes, these are peak margins,No"</formula1>
    </dataValidation>
    <dataValidation sqref="AB2:AB95" showDropDown="0" showInputMessage="0" showErrorMessage="0" allowBlank="1" type="list">
      <formula1>"Stable,Volatile"</formula1>
    </dataValidation>
    <dataValidation sqref="AD2:AD95" showDropDown="0" showInputMessage="0" showErrorMessage="0" allowBlank="1" type="list">
      <formula1>"Yes,No"</formula1>
    </dataValidation>
    <dataValidation sqref="AF2:AF95" showDropDown="0" showInputMessage="0" showErrorMessage="0" allowBlank="1" type="list">
      <formula1>"B2C,B2B,B2G"</formula1>
    </dataValidation>
    <dataValidation sqref="AH2:AH95" showDropDown="0" showInputMessage="0" showErrorMessage="0" allowBlank="1" type="list">
      <formula1>"Yes,No"</formula1>
    </dataValidation>
    <dataValidation sqref="AJ2:AJ95" showDropDown="0" showInputMessage="0" showErrorMessage="0" allowBlank="1" type="list">
      <formula1>"Fully Annuity,Higher Annuity, Lower One time,Higher One Time, Lower Annuity,Fully One Time"</formula1>
    </dataValidation>
    <dataValidation sqref="AL2:AL95" showDropDown="0" showInputMessage="0" showErrorMessage="0" allowBlank="1" type="list">
      <formula1>"Good,Allocated capital in Non-core Areas"</formula1>
    </dataValidation>
    <dataValidation sqref="AN2:AN95" showDropDown="0" showInputMessage="0" showErrorMessage="0" allowBlank="1" type="list">
      <formula1>"Yes for more than 2 years,Yes only for next 1 to 2 years,No"</formula1>
    </dataValidation>
    <dataValidation sqref="AP2:AP95" showDropDown="0" showInputMessage="0" showErrorMessage="0" allowBlank="1" type="list">
      <formula1>"Above 40,20 to 40,0 to 20"</formula1>
    </dataValidation>
    <dataValidation sqref="AR2:AR95" showDropDown="0" showInputMessage="0" showErrorMessage="0" allowBlank="1" type="list">
      <formula1>"Between 50 to 75,Above 75,Below 45"</formula1>
    </dataValidation>
    <dataValidation sqref="AT2:AT95" showDropDown="0" showInputMessage="0" showErrorMessage="0" allowBlank="1" type="list">
      <formula1>"Stage 1,Stage 2,Stage 3,Stage 4"</formula1>
    </dataValidation>
    <dataValidation sqref="AV2:AV95" showDropDown="0" showInputMessage="0" showErrorMessage="0" allowBlank="1" type="list">
      <formula1>"Positive Trend,Negative Trend"</formula1>
    </dataValidation>
    <dataValidation sqref="AX2:AX95" showDropDown="0" showInputMessage="0" showErrorMessage="0" allowBlank="1" type="list">
      <formula1>"Uptrend,Sideways,Downtrend"</formula1>
    </dataValidation>
    <dataValidation sqref="AZ2:AZ95" showDropDown="0" showInputMessage="0" showErrorMessage="0" allowBlank="1" type="list">
      <formula1>"Uptrend,Sideways,Downtrend"</formula1>
    </dataValidation>
    <dataValidation sqref="BB2:BB9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D2:BD95" showDropDown="0" showInputMessage="0" showErrorMessage="0" allowBlank="1" type="list">
      <formula1>"Yes,No"</formula1>
    </dataValidation>
    <dataValidation sqref="BF2:BF95" showDropDown="0" showInputMessage="0" showErrorMessage="0" allowBlank="1" type="list">
      <formula1>"More than 20%,Between 12 to 20%,Less than 12%"</formula1>
    </dataValidation>
    <dataValidation sqref="BH2:BH95" showDropDown="0" showInputMessage="0" showErrorMessage="0" allowBlank="1" type="list">
      <formula1>"Yes,No"</formula1>
    </dataValidation>
    <dataValidation sqref="BJ2:BJ95" showDropDown="0" showInputMessage="0" showErrorMessage="0" allowBlank="1" type="list">
      <formula1>"Yes,No"</formula1>
    </dataValidation>
    <dataValidation sqref="BL2:BL95" showDropDown="0" showInputMessage="0" showErrorMessage="0" allowBlank="1" type="list">
      <formula1>"Above 2,Between 1.5 to 2,Less than 1.5"</formula1>
    </dataValidation>
    <dataValidation sqref="BN2:BN95" showDropDown="0" showInputMessage="0" showErrorMessage="0" allowBlank="1" type="list">
      <formula1>"Above 70%,Between 50% to 70%,Less than 50%,Less than 50% and Borrowings are increasing,Negative"</formula1>
    </dataValidation>
    <dataValidation sqref="BP2:BP95" showDropDown="0" showInputMessage="0" showErrorMessage="0" allowBlank="1" type="list">
      <formula1>"More than 1.2,Between 0.7 to 1.2,Less than 0.7"</formula1>
    </dataValidation>
    <dataValidation sqref="BR2:BR95" showDropDown="0" showInputMessage="0" showErrorMessage="0" allowBlank="1" type="list">
      <formula1>"Yes,No"</formula1>
    </dataValidation>
    <dataValidation sqref="BT2:BT95" showDropDown="0" showInputMessage="0" showErrorMessage="0" allowBlank="1" type="list">
      <formula1>"More than 15%,Less than 15%"</formula1>
    </dataValidation>
    <dataValidation sqref="BV2:BV9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U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3" customWidth="1" min="12" max="12"/>
    <col width="23" customWidth="1" min="13" max="13"/>
    <col width="26" customWidth="1" min="14" max="14"/>
    <col width="32" customWidth="1" min="15" max="15"/>
    <col width="19" customWidth="1" min="16" max="16"/>
    <col width="25" customWidth="1" min="17" max="17"/>
    <col width="19" customWidth="1" min="18" max="18"/>
    <col width="25" customWidth="1" min="19" max="19"/>
    <col width="14" customWidth="1" min="20" max="20"/>
    <col width="20" customWidth="1" min="21" max="21"/>
    <col width="29" customWidth="1" min="22" max="22"/>
    <col width="34" customWidth="1" min="23" max="23"/>
    <col width="17" customWidth="1" min="24" max="24"/>
    <col width="23" customWidth="1" min="25" max="25"/>
    <col width="12" customWidth="1" min="26" max="26"/>
    <col width="13" customWidth="1" min="27" max="27"/>
    <col width="14" customWidth="1" min="28" max="28"/>
    <col width="20" customWidth="1" min="29" max="29"/>
    <col width="22" customWidth="1" min="30" max="30"/>
    <col width="28" customWidth="1" min="31" max="31"/>
    <col width="13" customWidth="1" min="32" max="32"/>
    <col width="19" customWidth="1" min="33" max="33"/>
    <col width="22" customWidth="1" min="34" max="34"/>
    <col width="28" customWidth="1" min="35" max="35"/>
    <col width="13" customWidth="1" min="36" max="36"/>
    <col width="19" customWidth="1" min="37" max="37"/>
    <col width="28" customWidth="1" min="38" max="38"/>
    <col width="34" customWidth="1" min="39" max="39"/>
    <col width="17" customWidth="1" min="40" max="40"/>
    <col width="23" customWidth="1" min="41" max="41"/>
    <col width="19" customWidth="1" min="42" max="42"/>
    <col width="25" customWidth="1" min="43" max="43"/>
    <col width="12" customWidth="1" min="44" max="44"/>
    <col width="14" customWidth="1" min="45" max="45"/>
    <col width="19" customWidth="1" min="46" max="46"/>
    <col width="25" customWidth="1" min="47" max="47"/>
    <col width="20" customWidth="1" min="48" max="48"/>
    <col width="26" customWidth="1" min="49" max="49"/>
    <col width="20" customWidth="1" min="50" max="50"/>
    <col width="26" customWidth="1" min="51" max="51"/>
    <col width="14" customWidth="1" min="52" max="52"/>
    <col width="20" customWidth="1" min="53" max="53"/>
    <col width="23" customWidth="1" min="54" max="54"/>
    <col width="29" customWidth="1" min="55" max="55"/>
    <col width="12" customWidth="1" min="56" max="56"/>
    <col width="13" customWidth="1" min="57" max="57"/>
    <col width="12" customWidth="1" min="58" max="58"/>
    <col width="13" customWidth="1" min="59" max="59"/>
    <col width="18" customWidth="1" min="60" max="60"/>
    <col width="24" customWidth="1" min="61" max="61"/>
    <col width="23" customWidth="1" min="62" max="62"/>
    <col width="29" customWidth="1" min="63" max="63"/>
    <col width="19" customWidth="1" min="64" max="64"/>
    <col width="25" customWidth="1" min="65" max="65"/>
    <col width="17" customWidth="1" min="66" max="66"/>
    <col width="23" customWidth="1" min="67" max="67"/>
    <col width="14" customWidth="1" min="68" max="68"/>
    <col width="20" customWidth="1" min="69" max="69"/>
    <col width="12" customWidth="1" min="70" max="70"/>
    <col width="16" customWidth="1" min="71" max="71"/>
    <col width="16" customWidth="1" min="72" max="72"/>
    <col width="22" customWidth="1" min="73" max="73"/>
  </cols>
  <sheetData>
    <row r="1">
      <c r="A1" s="24" t="inlineStr">
        <is>
          <t>Rank (Banks &amp; NBFC)</t>
        </is>
      </c>
      <c r="B1" s="24" t="inlineStr">
        <is>
          <t>Total Score</t>
        </is>
      </c>
      <c r="C1" s="24" t="inlineStr">
        <is>
          <t>Symbol</t>
        </is>
      </c>
      <c r="D1" s="24" t="inlineStr">
        <is>
          <t>Company</t>
        </is>
      </c>
      <c r="E1" s="24" t="inlineStr">
        <is>
          <t>Sector</t>
        </is>
      </c>
      <c r="F1" s="24" t="inlineStr">
        <is>
          <t>Industry</t>
        </is>
      </c>
      <c r="G1" s="24" t="inlineStr">
        <is>
          <t>Market Cap Bucket</t>
        </is>
      </c>
      <c r="H1" s="24" t="inlineStr">
        <is>
          <t>Market Cap Cr</t>
        </is>
      </c>
      <c r="I1" s="24" t="inlineStr">
        <is>
          <t>Close</t>
        </is>
      </c>
      <c r="J1" s="24" t="inlineStr">
        <is>
          <t>Today Return %</t>
        </is>
      </c>
      <c r="K1" s="24" t="inlineStr">
        <is>
          <t>Volume</t>
        </is>
      </c>
      <c r="L1" s="24" t="inlineStr">
        <is>
          <t>Calculated RSI (14)</t>
        </is>
      </c>
      <c r="M1" s="24" t="inlineStr">
        <is>
          <t>Calculated ADX (14)</t>
        </is>
      </c>
      <c r="N1" s="24" t="inlineStr">
        <is>
          <t>Calculated V-stop Line</t>
        </is>
      </c>
      <c r="O1" s="24" t="inlineStr">
        <is>
          <t>Calculated Near-term Trigger</t>
        </is>
      </c>
      <c r="P1" s="24" t="inlineStr">
        <is>
          <t>Industry Growth</t>
        </is>
      </c>
      <c r="Q1" s="24" t="inlineStr">
        <is>
          <t>Industry Growth Score</t>
        </is>
      </c>
      <c r="R1" s="24" t="inlineStr">
        <is>
          <t>Competitiveness</t>
        </is>
      </c>
      <c r="S1" s="24" t="inlineStr">
        <is>
          <t>Competitiveness Score</t>
        </is>
      </c>
      <c r="T1" s="24" t="inlineStr">
        <is>
          <t>Regulation</t>
        </is>
      </c>
      <c r="U1" s="24" t="inlineStr">
        <is>
          <t>Regulation Score</t>
        </is>
      </c>
      <c r="V1" s="24" t="inlineStr">
        <is>
          <t>Sector Headwinds/Tailwind</t>
        </is>
      </c>
      <c r="W1" s="24" t="inlineStr">
        <is>
          <t>Sector Headwinds/Tailwind Score</t>
        </is>
      </c>
      <c r="X1" s="24" t="inlineStr">
        <is>
          <t>Industry Type</t>
        </is>
      </c>
      <c r="Y1" s="24" t="inlineStr">
        <is>
          <t>Industry Type Score</t>
        </is>
      </c>
      <c r="Z1" s="24" t="inlineStr">
        <is>
          <t>NIM</t>
        </is>
      </c>
      <c r="AA1" s="24" t="inlineStr">
        <is>
          <t>NIM Score</t>
        </is>
      </c>
      <c r="AB1" s="24" t="inlineStr">
        <is>
          <t>CASA Ratio</t>
        </is>
      </c>
      <c r="AC1" s="24" t="inlineStr">
        <is>
          <t>CASA Ratio Score</t>
        </is>
      </c>
      <c r="AD1" s="24" t="inlineStr">
        <is>
          <t>Profit cyclicality</t>
        </is>
      </c>
      <c r="AE1" s="24" t="inlineStr">
        <is>
          <t>Profit cyclicality Score</t>
        </is>
      </c>
      <c r="AF1" s="24" t="inlineStr">
        <is>
          <t>CAR Ratio</t>
        </is>
      </c>
      <c r="AG1" s="24" t="inlineStr">
        <is>
          <t>CAR Ratio Score</t>
        </is>
      </c>
      <c r="AH1" s="24" t="inlineStr">
        <is>
          <t>Near term triggers</t>
        </is>
      </c>
      <c r="AI1" s="24" t="inlineStr">
        <is>
          <t>Near term triggers Score</t>
        </is>
      </c>
      <c r="AJ1" s="24" t="inlineStr">
        <is>
          <t>High P/BV</t>
        </is>
      </c>
      <c r="AK1" s="24" t="inlineStr">
        <is>
          <t>High P/BV Score</t>
        </is>
      </c>
      <c r="AL1" s="24" t="inlineStr">
        <is>
          <t>Asset Quality Divergence</t>
        </is>
      </c>
      <c r="AM1" s="24" t="inlineStr">
        <is>
          <t>Asset Quality Divergence Score</t>
        </is>
      </c>
      <c r="AN1" s="24" t="inlineStr">
        <is>
          <t>Reported loss</t>
        </is>
      </c>
      <c r="AO1" s="24" t="inlineStr">
        <is>
          <t>Reported loss Score</t>
        </is>
      </c>
      <c r="AP1" s="24" t="inlineStr">
        <is>
          <t>CEO Resignation</t>
        </is>
      </c>
      <c r="AQ1" s="24" t="inlineStr">
        <is>
          <t>CEO Resignation Score</t>
        </is>
      </c>
      <c r="AR1" s="24" t="inlineStr">
        <is>
          <t>GNPA</t>
        </is>
      </c>
      <c r="AS1" s="24" t="inlineStr">
        <is>
          <t>GNPA Score</t>
        </is>
      </c>
      <c r="AT1" s="24" t="inlineStr">
        <is>
          <t>KMP Resignation</t>
        </is>
      </c>
      <c r="AU1" s="24" t="inlineStr">
        <is>
          <t>KMP Resignation Score</t>
        </is>
      </c>
      <c r="AV1" s="24" t="inlineStr">
        <is>
          <t>Return on Assets</t>
        </is>
      </c>
      <c r="AW1" s="24" t="inlineStr">
        <is>
          <t>Return on Assets Score</t>
        </is>
      </c>
      <c r="AX1" s="24" t="inlineStr">
        <is>
          <t>Return on Equity</t>
        </is>
      </c>
      <c r="AY1" s="24" t="inlineStr">
        <is>
          <t>Return on Equity Score</t>
        </is>
      </c>
      <c r="AZ1" s="24" t="inlineStr">
        <is>
          <t>AUM Growth</t>
        </is>
      </c>
      <c r="BA1" s="24" t="inlineStr">
        <is>
          <t>AUM Growth Score</t>
        </is>
      </c>
      <c r="BB1" s="24" t="inlineStr">
        <is>
          <t>Price to Book Value</t>
        </is>
      </c>
      <c r="BC1" s="24" t="inlineStr">
        <is>
          <t>Price to Book Value Score</t>
        </is>
      </c>
      <c r="BD1" s="24" t="inlineStr">
        <is>
          <t>ADX</t>
        </is>
      </c>
      <c r="BE1" s="24" t="inlineStr">
        <is>
          <t>ADX Score</t>
        </is>
      </c>
      <c r="BF1" s="24" t="inlineStr">
        <is>
          <t>RSI</t>
        </is>
      </c>
      <c r="BG1" s="24" t="inlineStr">
        <is>
          <t>RSI Score</t>
        </is>
      </c>
      <c r="BH1" s="24" t="inlineStr">
        <is>
          <t>Stage Analysis</t>
        </is>
      </c>
      <c r="BI1" s="24" t="inlineStr">
        <is>
          <t>Stage Analysis Score</t>
        </is>
      </c>
      <c r="BJ1" s="24" t="inlineStr">
        <is>
          <t>Price Volume Action</t>
        </is>
      </c>
      <c r="BK1" s="24" t="inlineStr">
        <is>
          <t>Price Volume Action Score</t>
        </is>
      </c>
      <c r="BL1" s="24" t="inlineStr">
        <is>
          <t>Secondary Trend</t>
        </is>
      </c>
      <c r="BM1" s="24" t="inlineStr">
        <is>
          <t>Secondary Trend Score</t>
        </is>
      </c>
      <c r="BN1" s="24" t="inlineStr">
        <is>
          <t>Primary Trend</t>
        </is>
      </c>
      <c r="BO1" s="24" t="inlineStr">
        <is>
          <t>Primary Trend Score</t>
        </is>
      </c>
      <c r="BP1" s="24" t="inlineStr">
        <is>
          <t>Resistance</t>
        </is>
      </c>
      <c r="BQ1" s="24" t="inlineStr">
        <is>
          <t>Resistance Score</t>
        </is>
      </c>
      <c r="BR1" s="24" t="inlineStr">
        <is>
          <t>V-stop</t>
        </is>
      </c>
      <c r="BS1" s="24" t="inlineStr">
        <is>
          <t>V-stop Score</t>
        </is>
      </c>
      <c r="BT1" s="24" t="inlineStr">
        <is>
          <t>Scan Matches</t>
        </is>
      </c>
      <c r="BU1" s="24" t="inlineStr">
        <is>
          <t>Scan Matches Score</t>
        </is>
      </c>
    </row>
    <row r="2">
      <c r="A2" s="25">
        <f>IF(B2=0,"",RANK(B2,$B$2:$B$7,0))</f>
        <v/>
      </c>
      <c r="B2" s="26">
        <f>SUM(Q2,S2,U2,W2,Y2,AA2,AC2,AE2,AG2,AI2,AK2,AM2,AO2,AQ2,AS2,AU2,AW2,AY2,BA2,BC2,BE2,BG2,BI2,BK2,BM2,BO2,BQ2,BS2,BU2)</f>
        <v/>
      </c>
      <c r="C2" s="25" t="inlineStr">
        <is>
          <t>DHANBANK</t>
        </is>
      </c>
      <c r="D2" s="25" t="inlineStr">
        <is>
          <t>Dhanlaxmi Bank Ltd</t>
        </is>
      </c>
      <c r="E2" s="25" t="inlineStr">
        <is>
          <t>bank</t>
        </is>
      </c>
      <c r="F2" s="25" t="inlineStr">
        <is>
          <t>Banks - Private</t>
        </is>
      </c>
      <c r="G2" s="25" t="inlineStr">
        <is>
          <t>smallcap</t>
        </is>
      </c>
      <c r="H2" s="26" t="n">
        <v>1330.92</v>
      </c>
      <c r="I2" s="26" t="n">
        <v>33.72</v>
      </c>
      <c r="J2" s="26" t="n">
        <v>0.6</v>
      </c>
      <c r="K2" s="26" t="n">
        <v>0</v>
      </c>
      <c r="L2" s="26" t="n">
        <v>70.73</v>
      </c>
      <c r="M2" s="26" t="n">
        <v>28.72</v>
      </c>
      <c r="N2" s="26" t="n">
        <v>25.95</v>
      </c>
      <c r="O2" s="25" t="inlineStr">
        <is>
          <t>Near 52W High Breakout</t>
        </is>
      </c>
      <c r="P2" s="25" t="inlineStr">
        <is>
          <t>Growing Industry</t>
        </is>
      </c>
      <c r="Q2" s="25">
        <f>IF(P2="Growing Industry",10,IF(P2="Cyclical in an Upturn",5,0))</f>
        <v/>
      </c>
      <c r="R2" s="25" t="inlineStr">
        <is>
          <t>Fragmented with High ROE</t>
        </is>
      </c>
      <c r="S2" s="25">
        <f>IF(R2="Fragmented with Low ROE",-5,IF(R2="Fragmented with High ROE",10,IF(R2= "highly cyclical",5,0)))</f>
        <v/>
      </c>
      <c r="T2" s="25" t="inlineStr">
        <is>
          <t>Yes</t>
        </is>
      </c>
      <c r="U2" s="25">
        <f>IF(T2="No",5,0)</f>
        <v/>
      </c>
      <c r="V2" s="25" t="inlineStr">
        <is>
          <t>Tailwind</t>
        </is>
      </c>
      <c r="W2" s="25">
        <f>IF(V2="Tailwind",10,0)</f>
        <v/>
      </c>
      <c r="X2" s="25" t="inlineStr">
        <is>
          <t>Structural (10 Years Consistency)</t>
        </is>
      </c>
      <c r="Y2" s="25">
        <f>IF(X2="Structural (10 Years Consistency)",15,IF(X2="Shallow Cyclical (2 to 3 years growth)",10,IF(X2 = "Cyclical in an Uptick",5,IF(X2 = "Cyclical in an Downtick",-10,0))))</f>
        <v/>
      </c>
      <c r="Z2" s="25" t="inlineStr">
        <is>
          <t>Yes</t>
        </is>
      </c>
      <c r="AA2" s="25">
        <f>IF(Z2="Yes",10,0)</f>
        <v/>
      </c>
      <c r="AB2" s="25" t="inlineStr">
        <is>
          <t>Yes</t>
        </is>
      </c>
      <c r="AC2" s="25">
        <f>IF(AB2="Yes",10,0)</f>
        <v/>
      </c>
      <c r="AD2" s="25" t="n"/>
      <c r="AE2" s="25">
        <f>IF(AD2="No",10,0)</f>
        <v/>
      </c>
      <c r="AF2" s="25" t="inlineStr">
        <is>
          <t>Yes</t>
        </is>
      </c>
      <c r="AG2" s="25">
        <f>IF(AF2="Yes",10,0)</f>
        <v/>
      </c>
      <c r="AH2" s="25" t="inlineStr">
        <is>
          <t>Yes</t>
        </is>
      </c>
      <c r="AI2" s="25">
        <f>IF(AH2="Yes",10,0)</f>
        <v/>
      </c>
      <c r="AJ2" s="25" t="inlineStr">
        <is>
          <t>Yes</t>
        </is>
      </c>
      <c r="AK2" s="25">
        <f>IF(AJ2="Yes",5,0)</f>
        <v/>
      </c>
      <c r="AL2" s="25" t="inlineStr">
        <is>
          <t>No</t>
        </is>
      </c>
      <c r="AM2" s="25">
        <f>IF(AL2="No",10,IF(AL2="Yes",-10,0))</f>
        <v/>
      </c>
      <c r="AN2" s="25" t="inlineStr">
        <is>
          <t>No</t>
        </is>
      </c>
      <c r="AO2" s="25">
        <f>IF(AN2="No",10,0)</f>
        <v/>
      </c>
      <c r="AP2" s="25" t="inlineStr">
        <is>
          <t>No</t>
        </is>
      </c>
      <c r="AQ2" s="25">
        <f>IF(AP2="No",10,IF(AP2= "Yes CEO Resignation",-5,0))</f>
        <v/>
      </c>
      <c r="AR2" s="25" t="inlineStr">
        <is>
          <t>No</t>
        </is>
      </c>
      <c r="AS2" s="25">
        <f>IF(AR2="No",10,IF(AR2="Yes",-5,0))</f>
        <v/>
      </c>
      <c r="AT2" s="25" t="inlineStr">
        <is>
          <t>No</t>
        </is>
      </c>
      <c r="AU2" s="25">
        <f>IF(AT2="No",5,IF(AT2="Yes",-5,0))</f>
        <v/>
      </c>
      <c r="AV2" s="25" t="inlineStr">
        <is>
          <t>Yes</t>
        </is>
      </c>
      <c r="AW2" s="25">
        <f>IF(AV2="Yes",10,0)</f>
        <v/>
      </c>
      <c r="AX2" s="25" t="inlineStr">
        <is>
          <t>Yes</t>
        </is>
      </c>
      <c r="AY2" s="25">
        <f>IF(AX2="Yes",10,0)</f>
        <v/>
      </c>
      <c r="AZ2" s="25" t="inlineStr">
        <is>
          <t>Yes</t>
        </is>
      </c>
      <c r="BA2" s="25">
        <f>IF(AZ2="Yes",10,0)</f>
        <v/>
      </c>
      <c r="BB2" s="25" t="inlineStr">
        <is>
          <t>P/BV less than 2.5x and Growth more than 20%</t>
        </is>
      </c>
      <c r="BC2" s="25">
        <f>IF(BB2="P/BV less than 2.5x and Growth more than 20%",20,IF(BB2 = "P/BV less than 2.5x and Growth less than 20%",5,IF(BB2="P/BV between 2.5x to 5x and Growth more than 20%",10,IF(BB2= "P/BV between 2.5x to 5x and Growth less than 20%",-5,IF(BB2= "P/BV above 5x",-5,0)))))</f>
        <v/>
      </c>
      <c r="BD2" s="25" t="inlineStr">
        <is>
          <t>20 to 40</t>
        </is>
      </c>
      <c r="BE2" s="25">
        <f>IF(BD2="Above 40",20,IF(BD2="20 to 40",10,IF(BD2="0 to 20",-5,0)))</f>
        <v/>
      </c>
      <c r="BF2" s="25" t="inlineStr">
        <is>
          <t>Between 50 to 75</t>
        </is>
      </c>
      <c r="BG2" s="25">
        <f>IF(BF2="Between 50 to 75",10,IF(BF2="Above 75",0,0))</f>
        <v/>
      </c>
      <c r="BH2" s="25" t="inlineStr">
        <is>
          <t>Stage 2</t>
        </is>
      </c>
      <c r="BI2" s="25">
        <f>IF(BH2="Stage 2",20,IF(BH2="Stage 1",0,IF(BH2="Stage 3",5,IF(BH2="Stage 4",-5,0))))</f>
        <v/>
      </c>
      <c r="BJ2" s="25" t="inlineStr">
        <is>
          <t>Positive Trend</t>
        </is>
      </c>
      <c r="BK2" s="25">
        <f>IF(BJ2="Positive Trend",20,IF(BJ2="Negative Trend",-10,0))</f>
        <v/>
      </c>
      <c r="BL2" s="25" t="inlineStr">
        <is>
          <t>Uptrend</t>
        </is>
      </c>
      <c r="BM2" s="25">
        <f>IF(BL2="Uptrend",10,IF(BL2="Sideways",5,0))</f>
        <v/>
      </c>
      <c r="BN2" s="25" t="inlineStr">
        <is>
          <t>Uptrend</t>
        </is>
      </c>
      <c r="BO2" s="25">
        <f>IF(BN2="Uptrend",10,IF(BN2="Sideways",5,0))</f>
        <v/>
      </c>
      <c r="BP2" s="25" t="inlineStr">
        <is>
          <t>Close to 52 week high or retracement</t>
        </is>
      </c>
      <c r="BQ2" s="25">
        <f>IF(BP2="Overhead supply in last 2 years in last 2 years",-5,IF(BP2="Close to 52 week high or retracement",5,IF(BP2="Blue sky scenario",10,IF(BP2="Long term Downtrend",-10,0))))</f>
        <v/>
      </c>
      <c r="BR2" s="25" t="inlineStr">
        <is>
          <t>Yes</t>
        </is>
      </c>
      <c r="BS2" s="25">
        <f>IF(BR2="Yes",10,0)</f>
        <v/>
      </c>
      <c r="BT2" s="25" t="inlineStr">
        <is>
          <t>24</t>
        </is>
      </c>
      <c r="BU2" s="25">
        <f>IF(BT2&gt;20,10,IF(BT2&gt;=10,5,2))</f>
        <v/>
      </c>
    </row>
    <row r="3">
      <c r="A3" s="25">
        <f>IF(B3=0,"",RANK(B3,$B$2:$B$7,0))</f>
        <v/>
      </c>
      <c r="B3" s="26">
        <f>SUM(Q3,S3,U3,W3,Y3,AA3,AC3,AE3,AG3,AI3,AK3,AM3,AO3,AQ3,AS3,AU3,AW3,AY3,BA3,BC3,BE3,BG3,BI3,BK3,BM3,BO3,BQ3,BS3,BU3)</f>
        <v/>
      </c>
      <c r="C3" s="25" t="inlineStr">
        <is>
          <t>SATIN</t>
        </is>
      </c>
      <c r="D3" s="25" t="inlineStr">
        <is>
          <t>Satin Creditcare Network Ltd</t>
        </is>
      </c>
      <c r="E3" s="25" t="inlineStr">
        <is>
          <t>financials</t>
        </is>
      </c>
      <c r="F3" s="25" t="inlineStr">
        <is>
          <t>Finance &amp; Investments - Microfinance</t>
        </is>
      </c>
      <c r="G3" s="25" t="inlineStr">
        <is>
          <t>smallcap</t>
        </is>
      </c>
      <c r="H3" s="26" t="n">
        <v>2553.2</v>
      </c>
      <c r="I3" s="26" t="n">
        <v>231.12</v>
      </c>
      <c r="J3" s="26" t="n">
        <v>4.34</v>
      </c>
      <c r="K3" s="26" t="n">
        <v>0</v>
      </c>
      <c r="L3" s="26" t="n">
        <v>75.20999999999999</v>
      </c>
      <c r="M3" s="26" t="n">
        <v>36.86</v>
      </c>
      <c r="N3" s="26" t="n">
        <v>181.94</v>
      </c>
      <c r="O3" s="25" t="inlineStr">
        <is>
          <t>Near 52W High Breakout</t>
        </is>
      </c>
      <c r="P3" s="25" t="inlineStr">
        <is>
          <t>Growing Industry</t>
        </is>
      </c>
      <c r="Q3" s="25">
        <f>IF(P3="Growing Industry",10,IF(P3="Cyclical in an Upturn",5,0))</f>
        <v/>
      </c>
      <c r="R3" s="25" t="inlineStr">
        <is>
          <t>Fragmented with High ROE</t>
        </is>
      </c>
      <c r="S3" s="25">
        <f>IF(R3="Fragmented with Low ROE",-5,IF(R3="Fragmented with High ROE",10,IF(R3= "highly cyclical",5,0)))</f>
        <v/>
      </c>
      <c r="T3" s="25" t="inlineStr">
        <is>
          <t>Yes</t>
        </is>
      </c>
      <c r="U3" s="25">
        <f>IF(T3="No",5,0)</f>
        <v/>
      </c>
      <c r="V3" s="25" t="inlineStr">
        <is>
          <t>Tailwind</t>
        </is>
      </c>
      <c r="W3" s="25">
        <f>IF(V3="Tailwind",10,0)</f>
        <v/>
      </c>
      <c r="X3" s="25" t="inlineStr">
        <is>
          <t>Structural (10 Years Consistency)</t>
        </is>
      </c>
      <c r="Y3" s="25">
        <f>IF(X3="Structural (10 Years Consistency)",15,IF(X3="Shallow Cyclical (2 to 3 years growth)",10,IF(X3 = "Cyclical in an Uptick",5,IF(X3 = "Cyclical in an Downtick",-10,0))))</f>
        <v/>
      </c>
      <c r="Z3" s="25" t="inlineStr">
        <is>
          <t>Yes</t>
        </is>
      </c>
      <c r="AA3" s="25">
        <f>IF(Z3="Yes",10,0)</f>
        <v/>
      </c>
      <c r="AB3" s="25" t="inlineStr">
        <is>
          <t>Yes</t>
        </is>
      </c>
      <c r="AC3" s="25">
        <f>IF(AB3="Yes",10,0)</f>
        <v/>
      </c>
      <c r="AD3" s="25" t="n"/>
      <c r="AE3" s="25">
        <f>IF(AD3="No",10,0)</f>
        <v/>
      </c>
      <c r="AF3" s="25" t="inlineStr">
        <is>
          <t>Yes</t>
        </is>
      </c>
      <c r="AG3" s="25">
        <f>IF(AF3="Yes",10,0)</f>
        <v/>
      </c>
      <c r="AH3" s="25" t="inlineStr">
        <is>
          <t>Yes</t>
        </is>
      </c>
      <c r="AI3" s="25">
        <f>IF(AH3="Yes",10,0)</f>
        <v/>
      </c>
      <c r="AJ3" s="25" t="inlineStr">
        <is>
          <t>Yes</t>
        </is>
      </c>
      <c r="AK3" s="25">
        <f>IF(AJ3="Yes",5,0)</f>
        <v/>
      </c>
      <c r="AL3" s="25" t="inlineStr">
        <is>
          <t>No</t>
        </is>
      </c>
      <c r="AM3" s="25">
        <f>IF(AL3="No",10,IF(AL3="Yes",-10,0))</f>
        <v/>
      </c>
      <c r="AN3" s="25" t="inlineStr">
        <is>
          <t>No</t>
        </is>
      </c>
      <c r="AO3" s="25">
        <f>IF(AN3="No",10,0)</f>
        <v/>
      </c>
      <c r="AP3" s="25" t="inlineStr">
        <is>
          <t>No</t>
        </is>
      </c>
      <c r="AQ3" s="25">
        <f>IF(AP3="No",10,IF(AP3= "Yes CEO Resignation",-5,0))</f>
        <v/>
      </c>
      <c r="AR3" s="25" t="inlineStr">
        <is>
          <t>No</t>
        </is>
      </c>
      <c r="AS3" s="25">
        <f>IF(AR3="No",10,IF(AR3="Yes",-5,0))</f>
        <v/>
      </c>
      <c r="AT3" s="25" t="inlineStr">
        <is>
          <t>No</t>
        </is>
      </c>
      <c r="AU3" s="25">
        <f>IF(AT3="No",5,IF(AT3="Yes",-5,0))</f>
        <v/>
      </c>
      <c r="AV3" s="25" t="inlineStr">
        <is>
          <t>Yes</t>
        </is>
      </c>
      <c r="AW3" s="25">
        <f>IF(AV3="Yes",10,0)</f>
        <v/>
      </c>
      <c r="AX3" s="25" t="inlineStr">
        <is>
          <t>Yes</t>
        </is>
      </c>
      <c r="AY3" s="25">
        <f>IF(AX3="Yes",10,0)</f>
        <v/>
      </c>
      <c r="AZ3" s="25" t="inlineStr">
        <is>
          <t>Yes</t>
        </is>
      </c>
      <c r="BA3" s="25">
        <f>IF(AZ3="Yes",10,0)</f>
        <v/>
      </c>
      <c r="BB3" s="25" t="inlineStr">
        <is>
          <t>P/BV less than 2.5x and Growth more than 20%</t>
        </is>
      </c>
      <c r="BC3" s="25">
        <f>IF(BB3="P/BV less than 2.5x and Growth more than 20%",20,IF(BB3 = "P/BV less than 2.5x and Growth less than 20%",5,IF(BB3="P/BV between 2.5x to 5x and Growth more than 20%",10,IF(BB3= "P/BV between 2.5x to 5x and Growth less than 20%",-5,IF(BB3= "P/BV above 5x",-5,0)))))</f>
        <v/>
      </c>
      <c r="BD3" s="25" t="inlineStr">
        <is>
          <t>20 to 40</t>
        </is>
      </c>
      <c r="BE3" s="25">
        <f>IF(BD3="Above 40",20,IF(BD3="20 to 40",10,IF(BD3="0 to 20",-5,0)))</f>
        <v/>
      </c>
      <c r="BF3" s="25" t="inlineStr">
        <is>
          <t>Above 75</t>
        </is>
      </c>
      <c r="BG3" s="25">
        <f>IF(BF3="Between 50 to 75",10,IF(BF3="Above 75",0,0))</f>
        <v/>
      </c>
      <c r="BH3" s="25" t="inlineStr">
        <is>
          <t>Stage 2</t>
        </is>
      </c>
      <c r="BI3" s="25">
        <f>IF(BH3="Stage 2",20,IF(BH3="Stage 1",0,IF(BH3="Stage 3",5,IF(BH3="Stage 4",-5,0))))</f>
        <v/>
      </c>
      <c r="BJ3" s="25" t="inlineStr">
        <is>
          <t>Positive Trend</t>
        </is>
      </c>
      <c r="BK3" s="25">
        <f>IF(BJ3="Positive Trend",20,IF(BJ3="Negative Trend",-10,0))</f>
        <v/>
      </c>
      <c r="BL3" s="25" t="inlineStr">
        <is>
          <t>Uptrend</t>
        </is>
      </c>
      <c r="BM3" s="25">
        <f>IF(BL3="Uptrend",10,IF(BL3="Sideways",5,0))</f>
        <v/>
      </c>
      <c r="BN3" s="25" t="inlineStr">
        <is>
          <t>Uptrend</t>
        </is>
      </c>
      <c r="BO3" s="25">
        <f>IF(BN3="Uptrend",10,IF(BN3="Sideways",5,0))</f>
        <v/>
      </c>
      <c r="BP3" s="25" t="inlineStr">
        <is>
          <t>Blue sky scenario</t>
        </is>
      </c>
      <c r="BQ3" s="25">
        <f>IF(BP3="Overhead supply in last 2 years in last 2 years",-5,IF(BP3="Close to 52 week high or retracement",5,IF(BP3="Blue sky scenario",10,IF(BP3="Long term Downtrend",-10,0))))</f>
        <v/>
      </c>
      <c r="BR3" s="25" t="inlineStr">
        <is>
          <t>Yes</t>
        </is>
      </c>
      <c r="BS3" s="25">
        <f>IF(BR3="Yes",10,0)</f>
        <v/>
      </c>
      <c r="BT3" s="25" t="inlineStr">
        <is>
          <t>23</t>
        </is>
      </c>
      <c r="BU3" s="25">
        <f>IF(BT3&gt;20,10,IF(BT3&gt;=10,5,2))</f>
        <v/>
      </c>
    </row>
    <row r="4">
      <c r="A4" s="25">
        <f>IF(B4=0,"",RANK(B4,$B$2:$B$7,0))</f>
        <v/>
      </c>
      <c r="B4" s="26">
        <f>SUM(Q4,S4,U4,W4,Y4,AA4,AC4,AE4,AG4,AI4,AK4,AM4,AO4,AQ4,AS4,AU4,AW4,AY4,BA4,BC4,BE4,BG4,BI4,BK4,BM4,BO4,BQ4,BS4,BU4)</f>
        <v/>
      </c>
      <c r="C4" s="25" t="inlineStr">
        <is>
          <t>ANGELONE</t>
        </is>
      </c>
      <c r="D4" s="25" t="inlineStr">
        <is>
          <t>Angel One Ltd</t>
        </is>
      </c>
      <c r="E4" s="25" t="inlineStr">
        <is>
          <t>financials</t>
        </is>
      </c>
      <c r="F4" s="25" t="inlineStr">
        <is>
          <t>Finance - Capital Markets - Brokers</t>
        </is>
      </c>
      <c r="G4" s="25" t="inlineStr">
        <is>
          <t>largecap</t>
        </is>
      </c>
      <c r="H4" s="26" t="n">
        <v>31249.64</v>
      </c>
      <c r="I4" s="26" t="n">
        <v>342.65</v>
      </c>
      <c r="J4" s="26" t="n">
        <v>2.1</v>
      </c>
      <c r="K4" s="26" t="n">
        <v>0</v>
      </c>
      <c r="L4" s="26" t="n">
        <v>65.98</v>
      </c>
      <c r="M4" s="26" t="n">
        <v>26.87</v>
      </c>
      <c r="N4" s="26" t="n">
        <v>263.75</v>
      </c>
      <c r="O4" s="25" t="inlineStr">
        <is>
          <t>Near 52W High Breakout</t>
        </is>
      </c>
      <c r="P4" s="25" t="inlineStr">
        <is>
          <t>Growing Industry</t>
        </is>
      </c>
      <c r="Q4" s="25">
        <f>IF(P4="Growing Industry",10,IF(P4="Cyclical in an Upturn",5,0))</f>
        <v/>
      </c>
      <c r="R4" s="25" t="inlineStr">
        <is>
          <t>Fragmented with High ROE</t>
        </is>
      </c>
      <c r="S4" s="25">
        <f>IF(R4="Fragmented with Low ROE",-5,IF(R4="Fragmented with High ROE",10,IF(R4= "highly cyclical",5,0)))</f>
        <v/>
      </c>
      <c r="T4" s="25" t="inlineStr">
        <is>
          <t>Yes</t>
        </is>
      </c>
      <c r="U4" s="25">
        <f>IF(T4="No",5,0)</f>
        <v/>
      </c>
      <c r="V4" s="25" t="inlineStr">
        <is>
          <t>Tailwind</t>
        </is>
      </c>
      <c r="W4" s="25">
        <f>IF(V4="Tailwind",10,0)</f>
        <v/>
      </c>
      <c r="X4" s="25" t="inlineStr">
        <is>
          <t>Structural (10 Years Consistency)</t>
        </is>
      </c>
      <c r="Y4" s="25">
        <f>IF(X4="Structural (10 Years Consistency)",15,IF(X4="Shallow Cyclical (2 to 3 years growth)",10,IF(X4 = "Cyclical in an Uptick",5,IF(X4 = "Cyclical in an Downtick",-10,0))))</f>
        <v/>
      </c>
      <c r="Z4" s="25" t="inlineStr">
        <is>
          <t>Yes</t>
        </is>
      </c>
      <c r="AA4" s="25">
        <f>IF(Z4="Yes",10,0)</f>
        <v/>
      </c>
      <c r="AB4" s="25" t="inlineStr">
        <is>
          <t>Yes</t>
        </is>
      </c>
      <c r="AC4" s="25">
        <f>IF(AB4="Yes",10,0)</f>
        <v/>
      </c>
      <c r="AD4" s="25" t="n"/>
      <c r="AE4" s="25">
        <f>IF(AD4="No",10,0)</f>
        <v/>
      </c>
      <c r="AF4" s="25" t="inlineStr">
        <is>
          <t>Yes</t>
        </is>
      </c>
      <c r="AG4" s="25">
        <f>IF(AF4="Yes",10,0)</f>
        <v/>
      </c>
      <c r="AH4" s="25" t="inlineStr">
        <is>
          <t>Yes</t>
        </is>
      </c>
      <c r="AI4" s="25">
        <f>IF(AH4="Yes",10,0)</f>
        <v/>
      </c>
      <c r="AJ4" s="25" t="inlineStr">
        <is>
          <t>Yes</t>
        </is>
      </c>
      <c r="AK4" s="25">
        <f>IF(AJ4="Yes",5,0)</f>
        <v/>
      </c>
      <c r="AL4" s="25" t="inlineStr">
        <is>
          <t>No</t>
        </is>
      </c>
      <c r="AM4" s="25">
        <f>IF(AL4="No",10,IF(AL4="Yes",-10,0))</f>
        <v/>
      </c>
      <c r="AN4" s="25" t="inlineStr">
        <is>
          <t>No</t>
        </is>
      </c>
      <c r="AO4" s="25">
        <f>IF(AN4="No",10,0)</f>
        <v/>
      </c>
      <c r="AP4" s="25" t="inlineStr">
        <is>
          <t>No</t>
        </is>
      </c>
      <c r="AQ4" s="25">
        <f>IF(AP4="No",10,IF(AP4= "Yes CEO Resignation",-5,0))</f>
        <v/>
      </c>
      <c r="AR4" s="25" t="inlineStr">
        <is>
          <t>No</t>
        </is>
      </c>
      <c r="AS4" s="25">
        <f>IF(AR4="No",10,IF(AR4="Yes",-5,0))</f>
        <v/>
      </c>
      <c r="AT4" s="25" t="inlineStr">
        <is>
          <t>No</t>
        </is>
      </c>
      <c r="AU4" s="25">
        <f>IF(AT4="No",5,IF(AT4="Yes",-5,0))</f>
        <v/>
      </c>
      <c r="AV4" s="25" t="inlineStr">
        <is>
          <t>Yes</t>
        </is>
      </c>
      <c r="AW4" s="25">
        <f>IF(AV4="Yes",10,0)</f>
        <v/>
      </c>
      <c r="AX4" s="25" t="inlineStr">
        <is>
          <t>Yes</t>
        </is>
      </c>
      <c r="AY4" s="25">
        <f>IF(AX4="Yes",10,0)</f>
        <v/>
      </c>
      <c r="AZ4" s="25" t="inlineStr">
        <is>
          <t>Yes</t>
        </is>
      </c>
      <c r="BA4" s="25">
        <f>IF(AZ4="Yes",10,0)</f>
        <v/>
      </c>
      <c r="BB4" s="25" t="inlineStr">
        <is>
          <t>P/BV above 5x</t>
        </is>
      </c>
      <c r="BC4" s="25">
        <f>IF(BB4="P/BV less than 2.5x and Growth more than 20%",20,IF(BB4 = "P/BV less than 2.5x and Growth less than 20%",5,IF(BB4="P/BV between 2.5x to 5x and Growth more than 20%",10,IF(BB4= "P/BV between 2.5x to 5x and Growth less than 20%",-5,IF(BB4= "P/BV above 5x",-5,0)))))</f>
        <v/>
      </c>
      <c r="BD4" s="25" t="inlineStr">
        <is>
          <t>20 to 40</t>
        </is>
      </c>
      <c r="BE4" s="25">
        <f>IF(BD4="Above 40",20,IF(BD4="20 to 40",10,IF(BD4="0 to 20",-5,0)))</f>
        <v/>
      </c>
      <c r="BF4" s="25" t="inlineStr">
        <is>
          <t>Between 50 to 75</t>
        </is>
      </c>
      <c r="BG4" s="25">
        <f>IF(BF4="Between 50 to 75",10,IF(BF4="Above 75",0,0))</f>
        <v/>
      </c>
      <c r="BH4" s="25" t="inlineStr">
        <is>
          <t>Stage 2</t>
        </is>
      </c>
      <c r="BI4" s="25">
        <f>IF(BH4="Stage 2",20,IF(BH4="Stage 1",0,IF(BH4="Stage 3",5,IF(BH4="Stage 4",-5,0))))</f>
        <v/>
      </c>
      <c r="BJ4" s="25" t="inlineStr">
        <is>
          <t>Positive Trend</t>
        </is>
      </c>
      <c r="BK4" s="25">
        <f>IF(BJ4="Positive Trend",20,IF(BJ4="Negative Trend",-10,0))</f>
        <v/>
      </c>
      <c r="BL4" s="25" t="inlineStr">
        <is>
          <t>Uptrend</t>
        </is>
      </c>
      <c r="BM4" s="25">
        <f>IF(BL4="Uptrend",10,IF(BL4="Sideways",5,0))</f>
        <v/>
      </c>
      <c r="BN4" s="25" t="inlineStr">
        <is>
          <t>Uptrend</t>
        </is>
      </c>
      <c r="BO4" s="25">
        <f>IF(BN4="Uptrend",10,IF(BN4="Sideways",5,0))</f>
        <v/>
      </c>
      <c r="BP4" s="25" t="inlineStr">
        <is>
          <t>Blue sky scenario</t>
        </is>
      </c>
      <c r="BQ4" s="25">
        <f>IF(BP4="Overhead supply in last 2 years in last 2 years",-5,IF(BP4="Close to 52 week high or retracement",5,IF(BP4="Blue sky scenario",10,IF(BP4="Long term Downtrend",-10,0))))</f>
        <v/>
      </c>
      <c r="BR4" s="25" t="inlineStr">
        <is>
          <t>Yes</t>
        </is>
      </c>
      <c r="BS4" s="25">
        <f>IF(BR4="Yes",10,0)</f>
        <v/>
      </c>
      <c r="BT4" s="25" t="inlineStr">
        <is>
          <t>20</t>
        </is>
      </c>
      <c r="BU4" s="25">
        <f>IF(BT4&gt;20,10,IF(BT4&gt;=10,5,2))</f>
        <v/>
      </c>
    </row>
    <row r="5">
      <c r="A5" s="25">
        <f>IF(B5=0,"",RANK(B5,$B$2:$B$7,0))</f>
        <v/>
      </c>
      <c r="B5" s="26">
        <f>SUM(Q5,S5,U5,W5,Y5,AA5,AC5,AE5,AG5,AI5,AK5,AM5,AO5,AQ5,AS5,AU5,AW5,AY5,BA5,BC5,BE5,BG5,BI5,BK5,BM5,BO5,BQ5,BS5,BU5)</f>
        <v/>
      </c>
      <c r="C5" s="25" t="inlineStr">
        <is>
          <t>PAISALO</t>
        </is>
      </c>
      <c r="D5" s="25" t="inlineStr">
        <is>
          <t>Paisalo Digital Ltd</t>
        </is>
      </c>
      <c r="E5" s="25" t="inlineStr">
        <is>
          <t>financials</t>
        </is>
      </c>
      <c r="F5" s="25" t="inlineStr">
        <is>
          <t>Finance - Capital Markets - Brokers</t>
        </is>
      </c>
      <c r="G5" s="25" t="inlineStr">
        <is>
          <t>smallcap</t>
        </is>
      </c>
      <c r="H5" s="26" t="n">
        <v>4792.27</v>
      </c>
      <c r="I5" s="26" t="n">
        <v>52.69</v>
      </c>
      <c r="J5" s="26" t="n">
        <v>-0.32</v>
      </c>
      <c r="K5" s="26" t="n">
        <v>0</v>
      </c>
      <c r="L5" s="26" t="n">
        <v>71.88</v>
      </c>
      <c r="M5" s="26" t="n">
        <v>28.81</v>
      </c>
      <c r="N5" s="26" t="n">
        <v>40.52</v>
      </c>
      <c r="O5" s="25" t="inlineStr">
        <is>
          <t>Near 52W High Breakout</t>
        </is>
      </c>
      <c r="P5" s="25" t="inlineStr">
        <is>
          <t>Growing Industry</t>
        </is>
      </c>
      <c r="Q5" s="25">
        <f>IF(P5="Growing Industry",10,IF(P5="Cyclical in an Upturn",5,0))</f>
        <v/>
      </c>
      <c r="R5" s="25" t="inlineStr">
        <is>
          <t>Fragmented with High ROE</t>
        </is>
      </c>
      <c r="S5" s="25">
        <f>IF(R5="Fragmented with Low ROE",-5,IF(R5="Fragmented with High ROE",10,IF(R5= "highly cyclical",5,0)))</f>
        <v/>
      </c>
      <c r="T5" s="25" t="inlineStr">
        <is>
          <t>Yes</t>
        </is>
      </c>
      <c r="U5" s="25">
        <f>IF(T5="No",5,0)</f>
        <v/>
      </c>
      <c r="V5" s="25" t="inlineStr">
        <is>
          <t>Tailwind</t>
        </is>
      </c>
      <c r="W5" s="25">
        <f>IF(V5="Tailwind",10,0)</f>
        <v/>
      </c>
      <c r="X5" s="25" t="inlineStr">
        <is>
          <t>Structural (10 Years Consistency)</t>
        </is>
      </c>
      <c r="Y5" s="25">
        <f>IF(X5="Structural (10 Years Consistency)",15,IF(X5="Shallow Cyclical (2 to 3 years growth)",10,IF(X5 = "Cyclical in an Uptick",5,IF(X5 = "Cyclical in an Downtick",-10,0))))</f>
        <v/>
      </c>
      <c r="Z5" s="25" t="inlineStr">
        <is>
          <t>Yes</t>
        </is>
      </c>
      <c r="AA5" s="25">
        <f>IF(Z5="Yes",10,0)</f>
        <v/>
      </c>
      <c r="AB5" s="25" t="inlineStr">
        <is>
          <t>Yes</t>
        </is>
      </c>
      <c r="AC5" s="25">
        <f>IF(AB5="Yes",10,0)</f>
        <v/>
      </c>
      <c r="AD5" s="25" t="n"/>
      <c r="AE5" s="25">
        <f>IF(AD5="No",10,0)</f>
        <v/>
      </c>
      <c r="AF5" s="25" t="inlineStr">
        <is>
          <t>Yes</t>
        </is>
      </c>
      <c r="AG5" s="25">
        <f>IF(AF5="Yes",10,0)</f>
        <v/>
      </c>
      <c r="AH5" s="25" t="inlineStr">
        <is>
          <t>Yes</t>
        </is>
      </c>
      <c r="AI5" s="25">
        <f>IF(AH5="Yes",10,0)</f>
        <v/>
      </c>
      <c r="AJ5" s="25" t="inlineStr">
        <is>
          <t>Yes</t>
        </is>
      </c>
      <c r="AK5" s="25">
        <f>IF(AJ5="Yes",5,0)</f>
        <v/>
      </c>
      <c r="AL5" s="25" t="inlineStr">
        <is>
          <t>No</t>
        </is>
      </c>
      <c r="AM5" s="25">
        <f>IF(AL5="No",10,IF(AL5="Yes",-10,0))</f>
        <v/>
      </c>
      <c r="AN5" s="25" t="inlineStr">
        <is>
          <t>No</t>
        </is>
      </c>
      <c r="AO5" s="25">
        <f>IF(AN5="No",10,0)</f>
        <v/>
      </c>
      <c r="AP5" s="25" t="inlineStr">
        <is>
          <t>No</t>
        </is>
      </c>
      <c r="AQ5" s="25">
        <f>IF(AP5="No",10,IF(AP5= "Yes CEO Resignation",-5,0))</f>
        <v/>
      </c>
      <c r="AR5" s="25" t="inlineStr">
        <is>
          <t>No</t>
        </is>
      </c>
      <c r="AS5" s="25">
        <f>IF(AR5="No",10,IF(AR5="Yes",-5,0))</f>
        <v/>
      </c>
      <c r="AT5" s="25" t="inlineStr">
        <is>
          <t>No</t>
        </is>
      </c>
      <c r="AU5" s="25">
        <f>IF(AT5="No",5,IF(AT5="Yes",-5,0))</f>
        <v/>
      </c>
      <c r="AV5" s="25" t="inlineStr">
        <is>
          <t>Yes</t>
        </is>
      </c>
      <c r="AW5" s="25">
        <f>IF(AV5="Yes",10,0)</f>
        <v/>
      </c>
      <c r="AX5" s="25" t="inlineStr">
        <is>
          <t>Yes</t>
        </is>
      </c>
      <c r="AY5" s="25">
        <f>IF(AX5="Yes",10,0)</f>
        <v/>
      </c>
      <c r="AZ5" s="25" t="inlineStr">
        <is>
          <t>Yes</t>
        </is>
      </c>
      <c r="BA5" s="25">
        <f>IF(AZ5="Yes",10,0)</f>
        <v/>
      </c>
      <c r="BB5" s="25" t="inlineStr">
        <is>
          <t>P/BV between 2.5x to 5x and Growth less than 20%</t>
        </is>
      </c>
      <c r="BC5" s="25">
        <f>IF(BB5="P/BV less than 2.5x and Growth more than 20%",20,IF(BB5 = "P/BV less than 2.5x and Growth less than 20%",5,IF(BB5="P/BV between 2.5x to 5x and Growth more than 20%",10,IF(BB5= "P/BV between 2.5x to 5x and Growth less than 20%",-5,IF(BB5= "P/BV above 5x",-5,0)))))</f>
        <v/>
      </c>
      <c r="BD5" s="25" t="inlineStr">
        <is>
          <t>20 to 40</t>
        </is>
      </c>
      <c r="BE5" s="25">
        <f>IF(BD5="Above 40",20,IF(BD5="20 to 40",10,IF(BD5="0 to 20",-5,0)))</f>
        <v/>
      </c>
      <c r="BF5" s="25" t="inlineStr">
        <is>
          <t>Between 50 to 75</t>
        </is>
      </c>
      <c r="BG5" s="25">
        <f>IF(BF5="Between 50 to 75",10,IF(BF5="Above 75",0,0))</f>
        <v/>
      </c>
      <c r="BH5" s="25" t="inlineStr">
        <is>
          <t>Stage 2</t>
        </is>
      </c>
      <c r="BI5" s="25">
        <f>IF(BH5="Stage 2",20,IF(BH5="Stage 1",0,IF(BH5="Stage 3",5,IF(BH5="Stage 4",-5,0))))</f>
        <v/>
      </c>
      <c r="BJ5" s="25" t="inlineStr">
        <is>
          <t>Positive Trend</t>
        </is>
      </c>
      <c r="BK5" s="25">
        <f>IF(BJ5="Positive Trend",20,IF(BJ5="Negative Trend",-10,0))</f>
        <v/>
      </c>
      <c r="BL5" s="25" t="inlineStr">
        <is>
          <t>Uptrend</t>
        </is>
      </c>
      <c r="BM5" s="25">
        <f>IF(BL5="Uptrend",10,IF(BL5="Sideways",5,0))</f>
        <v/>
      </c>
      <c r="BN5" s="25" t="inlineStr">
        <is>
          <t>Uptrend</t>
        </is>
      </c>
      <c r="BO5" s="25">
        <f>IF(BN5="Uptrend",10,IF(BN5="Sideways",5,0))</f>
        <v/>
      </c>
      <c r="BP5" s="25" t="inlineStr">
        <is>
          <t>Close to 52 week high or retracement</t>
        </is>
      </c>
      <c r="BQ5" s="25">
        <f>IF(BP5="Overhead supply in last 2 years in last 2 years",-5,IF(BP5="Close to 52 week high or retracement",5,IF(BP5="Blue sky scenario",10,IF(BP5="Long term Downtrend",-10,0))))</f>
        <v/>
      </c>
      <c r="BR5" s="25" t="inlineStr">
        <is>
          <t>Yes</t>
        </is>
      </c>
      <c r="BS5" s="25">
        <f>IF(BR5="Yes",10,0)</f>
        <v/>
      </c>
      <c r="BT5" s="25" t="inlineStr">
        <is>
          <t>23</t>
        </is>
      </c>
      <c r="BU5" s="25">
        <f>IF(BT5&gt;20,10,IF(BT5&gt;=10,5,2))</f>
        <v/>
      </c>
    </row>
    <row r="6">
      <c r="A6" s="25">
        <f>IF(B6=0,"",RANK(B6,$B$2:$B$7,0))</f>
        <v/>
      </c>
      <c r="B6" s="26">
        <f>SUM(Q6,S6,U6,W6,Y6,AA6,AC6,AE6,AG6,AI6,AK6,AM6,AO6,AQ6,AS6,AU6,AW6,AY6,BA6,BC6,BE6,BG6,BI6,BK6,BM6,BO6,BQ6,BS6,BU6)</f>
        <v/>
      </c>
      <c r="C6" s="25" t="inlineStr">
        <is>
          <t>CGCL</t>
        </is>
      </c>
      <c r="D6" s="25" t="inlineStr">
        <is>
          <t>Capri Global Capital Ltd</t>
        </is>
      </c>
      <c r="E6" s="25" t="inlineStr">
        <is>
          <t>financials</t>
        </is>
      </c>
      <c r="F6" s="25" t="inlineStr">
        <is>
          <t>Finance &amp; Investments - Gold Loan</t>
        </is>
      </c>
      <c r="G6" s="25" t="inlineStr">
        <is>
          <t>midcap</t>
        </is>
      </c>
      <c r="H6" s="26" t="n">
        <v>19124.73</v>
      </c>
      <c r="I6" s="26" t="n">
        <v>198.77</v>
      </c>
      <c r="J6" s="26" t="n">
        <v>0.37</v>
      </c>
      <c r="K6" s="26" t="n">
        <v>0</v>
      </c>
      <c r="L6" s="26" t="n">
        <v>61.12</v>
      </c>
      <c r="M6" s="26" t="n">
        <v>17.1</v>
      </c>
      <c r="N6" s="26" t="n">
        <v>159.11</v>
      </c>
      <c r="O6" s="25" t="inlineStr">
        <is>
          <t>Near 52W High Breakout</t>
        </is>
      </c>
      <c r="P6" s="25" t="inlineStr">
        <is>
          <t>Growing Industry</t>
        </is>
      </c>
      <c r="Q6" s="25">
        <f>IF(P6="Growing Industry",10,IF(P6="Cyclical in an Upturn",5,0))</f>
        <v/>
      </c>
      <c r="R6" s="25" t="inlineStr">
        <is>
          <t>Fragmented with High ROE</t>
        </is>
      </c>
      <c r="S6" s="25">
        <f>IF(R6="Fragmented with Low ROE",-5,IF(R6="Fragmented with High ROE",10,IF(R6= "highly cyclical",5,0)))</f>
        <v/>
      </c>
      <c r="T6" s="25" t="inlineStr">
        <is>
          <t>Yes</t>
        </is>
      </c>
      <c r="U6" s="25">
        <f>IF(T6="No",5,0)</f>
        <v/>
      </c>
      <c r="V6" s="25" t="inlineStr">
        <is>
          <t>Tailwind</t>
        </is>
      </c>
      <c r="W6" s="25">
        <f>IF(V6="Tailwind",10,0)</f>
        <v/>
      </c>
      <c r="X6" s="25" t="inlineStr">
        <is>
          <t>Structural (10 Years Consistency)</t>
        </is>
      </c>
      <c r="Y6" s="25">
        <f>IF(X6="Structural (10 Years Consistency)",15,IF(X6="Shallow Cyclical (2 to 3 years growth)",10,IF(X6 = "Cyclical in an Uptick",5,IF(X6 = "Cyclical in an Downtick",-10,0))))</f>
        <v/>
      </c>
      <c r="Z6" s="25" t="inlineStr">
        <is>
          <t>Yes</t>
        </is>
      </c>
      <c r="AA6" s="25">
        <f>IF(Z6="Yes",10,0)</f>
        <v/>
      </c>
      <c r="AB6" s="25" t="inlineStr">
        <is>
          <t>Yes</t>
        </is>
      </c>
      <c r="AC6" s="25">
        <f>IF(AB6="Yes",10,0)</f>
        <v/>
      </c>
      <c r="AD6" s="25" t="n"/>
      <c r="AE6" s="25">
        <f>IF(AD6="No",10,0)</f>
        <v/>
      </c>
      <c r="AF6" s="25" t="inlineStr">
        <is>
          <t>Yes</t>
        </is>
      </c>
      <c r="AG6" s="25">
        <f>IF(AF6="Yes",10,0)</f>
        <v/>
      </c>
      <c r="AH6" s="25" t="inlineStr">
        <is>
          <t>Yes</t>
        </is>
      </c>
      <c r="AI6" s="25">
        <f>IF(AH6="Yes",10,0)</f>
        <v/>
      </c>
      <c r="AJ6" s="25" t="inlineStr">
        <is>
          <t>Yes</t>
        </is>
      </c>
      <c r="AK6" s="25">
        <f>IF(AJ6="Yes",5,0)</f>
        <v/>
      </c>
      <c r="AL6" s="25" t="inlineStr">
        <is>
          <t>No</t>
        </is>
      </c>
      <c r="AM6" s="25">
        <f>IF(AL6="No",10,IF(AL6="Yes",-10,0))</f>
        <v/>
      </c>
      <c r="AN6" s="25" t="inlineStr">
        <is>
          <t>No</t>
        </is>
      </c>
      <c r="AO6" s="25">
        <f>IF(AN6="No",10,0)</f>
        <v/>
      </c>
      <c r="AP6" s="25" t="inlineStr">
        <is>
          <t>No</t>
        </is>
      </c>
      <c r="AQ6" s="25">
        <f>IF(AP6="No",10,IF(AP6= "Yes CEO Resignation",-5,0))</f>
        <v/>
      </c>
      <c r="AR6" s="25" t="inlineStr">
        <is>
          <t>No</t>
        </is>
      </c>
      <c r="AS6" s="25">
        <f>IF(AR6="No",10,IF(AR6="Yes",-5,0))</f>
        <v/>
      </c>
      <c r="AT6" s="25" t="inlineStr">
        <is>
          <t>No</t>
        </is>
      </c>
      <c r="AU6" s="25">
        <f>IF(AT6="No",5,IF(AT6="Yes",-5,0))</f>
        <v/>
      </c>
      <c r="AV6" s="25" t="inlineStr">
        <is>
          <t>Yes</t>
        </is>
      </c>
      <c r="AW6" s="25">
        <f>IF(AV6="Yes",10,0)</f>
        <v/>
      </c>
      <c r="AX6" s="25" t="inlineStr">
        <is>
          <t>Yes</t>
        </is>
      </c>
      <c r="AY6" s="25">
        <f>IF(AX6="Yes",10,0)</f>
        <v/>
      </c>
      <c r="AZ6" s="25" t="inlineStr">
        <is>
          <t>Yes</t>
        </is>
      </c>
      <c r="BA6" s="25">
        <f>IF(AZ6="Yes",10,0)</f>
        <v/>
      </c>
      <c r="BB6" s="25" t="inlineStr">
        <is>
          <t>P/BV between 2.5x to 5x and Growth more than 20%</t>
        </is>
      </c>
      <c r="BC6" s="25">
        <f>IF(BB6="P/BV less than 2.5x and Growth more than 20%",20,IF(BB6 = "P/BV less than 2.5x and Growth less than 20%",5,IF(BB6="P/BV between 2.5x to 5x and Growth more than 20%",10,IF(BB6= "P/BV between 2.5x to 5x and Growth less than 20%",-5,IF(BB6= "P/BV above 5x",-5,0)))))</f>
        <v/>
      </c>
      <c r="BD6" s="25" t="inlineStr">
        <is>
          <t>0 to 20</t>
        </is>
      </c>
      <c r="BE6" s="25">
        <f>IF(BD6="Above 40",20,IF(BD6="20 to 40",10,IF(BD6="0 to 20",-5,0)))</f>
        <v/>
      </c>
      <c r="BF6" s="25" t="inlineStr">
        <is>
          <t>Between 50 to 75</t>
        </is>
      </c>
      <c r="BG6" s="25">
        <f>IF(BF6="Between 50 to 75",10,IF(BF6="Above 75",0,0))</f>
        <v/>
      </c>
      <c r="BH6" s="25" t="inlineStr">
        <is>
          <t>Stage 2</t>
        </is>
      </c>
      <c r="BI6" s="25">
        <f>IF(BH6="Stage 2",20,IF(BH6="Stage 1",0,IF(BH6="Stage 3",5,IF(BH6="Stage 4",-5,0))))</f>
        <v/>
      </c>
      <c r="BJ6" s="25" t="inlineStr">
        <is>
          <t>Positive Trend</t>
        </is>
      </c>
      <c r="BK6" s="25">
        <f>IF(BJ6="Positive Trend",20,IF(BJ6="Negative Trend",-10,0))</f>
        <v/>
      </c>
      <c r="BL6" s="25" t="inlineStr">
        <is>
          <t>Uptrend</t>
        </is>
      </c>
      <c r="BM6" s="25">
        <f>IF(BL6="Uptrend",10,IF(BL6="Sideways",5,0))</f>
        <v/>
      </c>
      <c r="BN6" s="25" t="inlineStr">
        <is>
          <t>Uptrend</t>
        </is>
      </c>
      <c r="BO6" s="25">
        <f>IF(BN6="Uptrend",10,IF(BN6="Sideways",5,0))</f>
        <v/>
      </c>
      <c r="BP6" s="25" t="inlineStr">
        <is>
          <t>Close to 52 week high or retracement</t>
        </is>
      </c>
      <c r="BQ6" s="25">
        <f>IF(BP6="Overhead supply in last 2 years in last 2 years",-5,IF(BP6="Close to 52 week high or retracement",5,IF(BP6="Blue sky scenario",10,IF(BP6="Long term Downtrend",-10,0))))</f>
        <v/>
      </c>
      <c r="BR6" s="25" t="inlineStr">
        <is>
          <t>Yes</t>
        </is>
      </c>
      <c r="BS6" s="25">
        <f>IF(BR6="Yes",10,0)</f>
        <v/>
      </c>
      <c r="BT6" s="25" t="inlineStr">
        <is>
          <t>21</t>
        </is>
      </c>
      <c r="BU6" s="25">
        <f>IF(BT6&gt;20,10,IF(BT6&gt;=10,5,2))</f>
        <v/>
      </c>
    </row>
    <row r="7">
      <c r="A7" s="25">
        <f>IF(B7=0,"",RANK(B7,$B$2:$B$7,0))</f>
        <v/>
      </c>
      <c r="B7" s="26">
        <f>SUM(Q7,S7,U7,W7,Y7,AA7,AC7,AE7,AG7,AI7,AK7,AM7,AO7,AQ7,AS7,AU7,AW7,AY7,BA7,BC7,BE7,BG7,BI7,BK7,BM7,BO7,BQ7,BS7,BU7)</f>
        <v/>
      </c>
      <c r="C7" s="25" t="inlineStr">
        <is>
          <t>SGFIN</t>
        </is>
      </c>
      <c r="D7" s="25" t="inlineStr">
        <is>
          <t>SG Finserve Ltd</t>
        </is>
      </c>
      <c r="E7" s="25" t="inlineStr">
        <is>
          <t>Financial Services</t>
        </is>
      </c>
      <c r="F7" s="25" t="inlineStr">
        <is>
          <t>Finance &amp; Investments - MSME Lending</t>
        </is>
      </c>
      <c r="G7" s="25" t="inlineStr">
        <is>
          <t>smallcap</t>
        </is>
      </c>
      <c r="H7" s="26" t="n">
        <v>3768.86</v>
      </c>
      <c r="I7" s="26" t="n">
        <v>571.95</v>
      </c>
      <c r="J7" s="26" t="n">
        <v>2.15</v>
      </c>
      <c r="K7" s="26" t="n">
        <v>0</v>
      </c>
      <c r="L7" s="26" t="n">
        <v>69.05</v>
      </c>
      <c r="M7" s="26" t="n">
        <v>43.91</v>
      </c>
      <c r="N7" s="26" t="n">
        <v>463.21</v>
      </c>
      <c r="O7" s="25" t="inlineStr">
        <is>
          <t>Earnings / Momentum Support</t>
        </is>
      </c>
      <c r="P7" s="25" t="inlineStr">
        <is>
          <t>Growing Industry</t>
        </is>
      </c>
      <c r="Q7" s="25">
        <f>IF(P7="Growing Industry",10,IF(P7="Cyclical in an Upturn",5,0))</f>
        <v/>
      </c>
      <c r="R7" s="25" t="inlineStr">
        <is>
          <t>Fragmented with High ROE</t>
        </is>
      </c>
      <c r="S7" s="25">
        <f>IF(R7="Fragmented with Low ROE",-5,IF(R7="Fragmented with High ROE",10,IF(R7= "highly cyclical",5,0)))</f>
        <v/>
      </c>
      <c r="T7" s="25" t="inlineStr">
        <is>
          <t>Yes</t>
        </is>
      </c>
      <c r="U7" s="25">
        <f>IF(T7="No",5,0)</f>
        <v/>
      </c>
      <c r="V7" s="25" t="inlineStr">
        <is>
          <t>Tailwind</t>
        </is>
      </c>
      <c r="W7" s="25">
        <f>IF(V7="Tailwind",10,0)</f>
        <v/>
      </c>
      <c r="X7" s="25" t="inlineStr">
        <is>
          <t>Structural (10 Years Consistency)</t>
        </is>
      </c>
      <c r="Y7" s="25">
        <f>IF(X7="Structural (10 Years Consistency)",15,IF(X7="Shallow Cyclical (2 to 3 years growth)",10,IF(X7 = "Cyclical in an Uptick",5,IF(X7 = "Cyclical in an Downtick",-10,0))))</f>
        <v/>
      </c>
      <c r="Z7" s="25" t="inlineStr">
        <is>
          <t>Yes</t>
        </is>
      </c>
      <c r="AA7" s="25">
        <f>IF(Z7="Yes",10,0)</f>
        <v/>
      </c>
      <c r="AB7" s="25" t="inlineStr">
        <is>
          <t>Yes</t>
        </is>
      </c>
      <c r="AC7" s="25">
        <f>IF(AB7="Yes",10,0)</f>
        <v/>
      </c>
      <c r="AD7" s="25" t="n"/>
      <c r="AE7" s="25">
        <f>IF(AD7="No",10,0)</f>
        <v/>
      </c>
      <c r="AF7" s="25" t="inlineStr">
        <is>
          <t>Yes</t>
        </is>
      </c>
      <c r="AG7" s="25">
        <f>IF(AF7="Yes",10,0)</f>
        <v/>
      </c>
      <c r="AH7" s="25" t="inlineStr">
        <is>
          <t>No</t>
        </is>
      </c>
      <c r="AI7" s="25">
        <f>IF(AH7="Yes",10,0)</f>
        <v/>
      </c>
      <c r="AJ7" s="25" t="inlineStr">
        <is>
          <t>Yes</t>
        </is>
      </c>
      <c r="AK7" s="25">
        <f>IF(AJ7="Yes",5,0)</f>
        <v/>
      </c>
      <c r="AL7" s="25" t="inlineStr">
        <is>
          <t>No</t>
        </is>
      </c>
      <c r="AM7" s="25">
        <f>IF(AL7="No",10,IF(AL7="Yes",-10,0))</f>
        <v/>
      </c>
      <c r="AN7" s="25" t="inlineStr">
        <is>
          <t>No</t>
        </is>
      </c>
      <c r="AO7" s="25">
        <f>IF(AN7="No",10,0)</f>
        <v/>
      </c>
      <c r="AP7" s="25" t="inlineStr">
        <is>
          <t>No</t>
        </is>
      </c>
      <c r="AQ7" s="25">
        <f>IF(AP7="No",10,IF(AP7= "Yes CEO Resignation",-5,0))</f>
        <v/>
      </c>
      <c r="AR7" s="25" t="inlineStr">
        <is>
          <t>No</t>
        </is>
      </c>
      <c r="AS7" s="25">
        <f>IF(AR7="No",10,IF(AR7="Yes",-5,0))</f>
        <v/>
      </c>
      <c r="AT7" s="25" t="inlineStr">
        <is>
          <t>No</t>
        </is>
      </c>
      <c r="AU7" s="25">
        <f>IF(AT7="No",5,IF(AT7="Yes",-5,0))</f>
        <v/>
      </c>
      <c r="AV7" s="25" t="inlineStr">
        <is>
          <t>Yes</t>
        </is>
      </c>
      <c r="AW7" s="25">
        <f>IF(AV7="Yes",10,0)</f>
        <v/>
      </c>
      <c r="AX7" s="25" t="inlineStr">
        <is>
          <t>Yes</t>
        </is>
      </c>
      <c r="AY7" s="25">
        <f>IF(AX7="Yes",10,0)</f>
        <v/>
      </c>
      <c r="AZ7" s="25" t="inlineStr">
        <is>
          <t>Yes</t>
        </is>
      </c>
      <c r="BA7" s="25">
        <f>IF(AZ7="Yes",10,0)</f>
        <v/>
      </c>
      <c r="BB7" s="25" t="inlineStr">
        <is>
          <t>P/BV less than 2.5x and Growth more than 20%</t>
        </is>
      </c>
      <c r="BC7" s="25">
        <f>IF(BB7="P/BV less than 2.5x and Growth more than 20%",20,IF(BB7 = "P/BV less than 2.5x and Growth less than 20%",5,IF(BB7="P/BV between 2.5x to 5x and Growth more than 20%",10,IF(BB7= "P/BV between 2.5x to 5x and Growth less than 20%",-5,IF(BB7= "P/BV above 5x",-5,0)))))</f>
        <v/>
      </c>
      <c r="BD7" s="25" t="inlineStr">
        <is>
          <t>Above 40</t>
        </is>
      </c>
      <c r="BE7" s="25">
        <f>IF(BD7="Above 40",20,IF(BD7="20 to 40",10,IF(BD7="0 to 20",-5,0)))</f>
        <v/>
      </c>
      <c r="BF7" s="25" t="inlineStr">
        <is>
          <t>Between 50 to 75</t>
        </is>
      </c>
      <c r="BG7" s="25">
        <f>IF(BF7="Between 50 to 75",10,IF(BF7="Above 75",0,0))</f>
        <v/>
      </c>
      <c r="BH7" s="25" t="inlineStr">
        <is>
          <t>Stage 2</t>
        </is>
      </c>
      <c r="BI7" s="25">
        <f>IF(BH7="Stage 2",20,IF(BH7="Stage 1",0,IF(BH7="Stage 3",5,IF(BH7="Stage 4",-5,0))))</f>
        <v/>
      </c>
      <c r="BJ7" s="25" t="inlineStr">
        <is>
          <t>Negative Trend</t>
        </is>
      </c>
      <c r="BK7" s="25">
        <f>IF(BJ7="Positive Trend",20,IF(BJ7="Negative Trend",-10,0))</f>
        <v/>
      </c>
      <c r="BL7" s="25" t="inlineStr">
        <is>
          <t>Uptrend</t>
        </is>
      </c>
      <c r="BM7" s="25">
        <f>IF(BL7="Uptrend",10,IF(BL7="Sideways",5,0))</f>
        <v/>
      </c>
      <c r="BN7" s="25" t="inlineStr">
        <is>
          <t>Uptrend</t>
        </is>
      </c>
      <c r="BO7" s="25">
        <f>IF(BN7="Uptrend",10,IF(BN7="Sideways",5,0))</f>
        <v/>
      </c>
      <c r="BP7" s="25" t="inlineStr">
        <is>
          <t>Close to 52 week high or retracement</t>
        </is>
      </c>
      <c r="BQ7" s="25">
        <f>IF(BP7="Overhead supply in last 2 years in last 2 years",-5,IF(BP7="Close to 52 week high or retracement",5,IF(BP7="Blue sky scenario",10,IF(BP7="Long term Downtrend",-10,0))))</f>
        <v/>
      </c>
      <c r="BR7" s="25" t="inlineStr">
        <is>
          <t>Yes</t>
        </is>
      </c>
      <c r="BS7" s="25">
        <f>IF(BR7="Yes",10,0)</f>
        <v/>
      </c>
      <c r="BT7" s="25" t="inlineStr">
        <is>
          <t>18</t>
        </is>
      </c>
      <c r="BU7" s="25">
        <f>IF(BT7&gt;20,10,IF(BT7&gt;=10,5,2))</f>
        <v/>
      </c>
    </row>
  </sheetData>
  <autoFilter ref="A1:BU7"/>
  <conditionalFormatting sqref="B2:B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P2:P7" showDropDown="0" showInputMessage="0" showErrorMessage="0" allowBlank="1" type="list">
      <formula1>"Growing Industry,Stagnant Industry,Cyclical in an Upturn"</formula1>
    </dataValidation>
    <dataValidation sqref="R2:R7" showDropDown="0" showInputMessage="0" showErrorMessage="0" allowBlank="1" type="list">
      <formula1>"Fragmented with Low ROE,Fragmented with High ROE,Highly Cyclical"</formula1>
    </dataValidation>
    <dataValidation sqref="T2:T7" showDropDown="0" showInputMessage="0" showErrorMessage="0" allowBlank="1" type="list">
      <formula1>"Yes,No"</formula1>
    </dataValidation>
    <dataValidation sqref="V2:V7" showDropDown="0" showInputMessage="0" showErrorMessage="0" allowBlank="1" type="list">
      <formula1>"Tailwind,Headwind"</formula1>
    </dataValidation>
    <dataValidation sqref="X2:X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Z2:Z7" showDropDown="0" showInputMessage="0" showErrorMessage="0" allowBlank="1" type="list">
      <formula1>"Yes,No"</formula1>
    </dataValidation>
    <dataValidation sqref="AB2:AB7" showDropDown="0" showInputMessage="0" showErrorMessage="0" allowBlank="1" type="list">
      <formula1>"Yes,No,Not Applicable"</formula1>
    </dataValidation>
    <dataValidation sqref="AD2:AD7" showDropDown="0" showInputMessage="0" showErrorMessage="0" allowBlank="1" type="list">
      <formula1>"Yes,No"</formula1>
    </dataValidation>
    <dataValidation sqref="AF2:AF7" showDropDown="0" showInputMessage="0" showErrorMessage="0" allowBlank="1" type="list">
      <formula1>"Yes,No"</formula1>
    </dataValidation>
    <dataValidation sqref="AH2:AH7" showDropDown="0" showInputMessage="0" showErrorMessage="0" allowBlank="1" type="list">
      <formula1>"Yes,No"</formula1>
    </dataValidation>
    <dataValidation sqref="AJ2:AJ7" showDropDown="0" showInputMessage="0" showErrorMessage="0" allowBlank="1" type="list">
      <formula1>"Yes,No"</formula1>
    </dataValidation>
    <dataValidation sqref="AL2:AL7" showDropDown="0" showInputMessage="0" showErrorMessage="0" allowBlank="1" type="list">
      <formula1>"No,Yes"</formula1>
    </dataValidation>
    <dataValidation sqref="AN2:AN7" showDropDown="0" showInputMessage="0" showErrorMessage="0" allowBlank="1" type="list">
      <formula1>"No,Yes"</formula1>
    </dataValidation>
    <dataValidation sqref="AP2:AP7" showDropDown="0" showInputMessage="0" showErrorMessage="0" allowBlank="1" type="list">
      <formula1>"No,Yes CEO Resignation,Yes CEO Retirement"</formula1>
    </dataValidation>
    <dataValidation sqref="AR2:AR7" showDropDown="0" showInputMessage="0" showErrorMessage="0" allowBlank="1" type="list">
      <formula1>"No,Yes"</formula1>
    </dataValidation>
    <dataValidation sqref="AT2:AT7" showDropDown="0" showInputMessage="0" showErrorMessage="0" allowBlank="1" type="list">
      <formula1>"No,Yes"</formula1>
    </dataValidation>
    <dataValidation sqref="AV2:AV7" showDropDown="0" showInputMessage="0" showErrorMessage="0" allowBlank="1" type="list">
      <formula1>"Yes,No"</formula1>
    </dataValidation>
    <dataValidation sqref="AX2:AX7" showDropDown="0" showInputMessage="0" showErrorMessage="0" allowBlank="1" type="list">
      <formula1>"Yes,No"</formula1>
    </dataValidation>
    <dataValidation sqref="AZ2:AZ7" showDropDown="0" showInputMessage="0" showErrorMessage="0" allowBlank="1" type="list">
      <formula1>"Yes,No"</formula1>
    </dataValidation>
    <dataValidation sqref="BB2:BB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D2:BD7" showDropDown="0" showInputMessage="0" showErrorMessage="0" allowBlank="1" type="list">
      <formula1>"Above 40,20 to 40,0 to 20"</formula1>
    </dataValidation>
    <dataValidation sqref="BF2:BF7" showDropDown="0" showInputMessage="0" showErrorMessage="0" allowBlank="1" type="list">
      <formula1>"Between 50 to 75,Above 75,Below 45"</formula1>
    </dataValidation>
    <dataValidation sqref="BH2:BH7" showDropDown="0" showInputMessage="0" showErrorMessage="0" allowBlank="1" type="list">
      <formula1>"Stage 1,Stage 2,Stage 3,Stage 4"</formula1>
    </dataValidation>
    <dataValidation sqref="BJ2:BJ7" showDropDown="0" showInputMessage="0" showErrorMessage="0" allowBlank="1" type="list">
      <formula1>"Positive Trend,Negative Trend"</formula1>
    </dataValidation>
    <dataValidation sqref="BL2:BL7" showDropDown="0" showInputMessage="0" showErrorMessage="0" allowBlank="1" type="list">
      <formula1>"Uptrend,Sideways,Downtrend"</formula1>
    </dataValidation>
    <dataValidation sqref="BN2:BN7" showDropDown="0" showInputMessage="0" showErrorMessage="0" allowBlank="1" type="list">
      <formula1>"Uptrend,Sideways,Downtrend"</formula1>
    </dataValidation>
    <dataValidation sqref="BP2:BP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R2:BR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6" customWidth="1" min="4" max="4"/>
    <col width="12" customWidth="1" min="5" max="5"/>
    <col width="16" customWidth="1" min="6" max="6"/>
    <col width="18" customWidth="1" min="7" max="7"/>
    <col width="21" customWidth="1" min="8" max="8"/>
    <col width="22" customWidth="1" min="9" max="9"/>
    <col width="29" customWidth="1" min="10" max="10"/>
  </cols>
  <sheetData>
    <row r="1">
      <c r="A1" s="24" t="inlineStr">
        <is>
          <t>Confluence Rank</t>
        </is>
      </c>
      <c r="B1" s="24" t="inlineStr">
        <is>
          <t>Total Score</t>
        </is>
      </c>
      <c r="C1" s="24" t="inlineStr">
        <is>
          <t>Symbol</t>
        </is>
      </c>
      <c r="D1" s="24" t="inlineStr">
        <is>
          <t>Company Name</t>
        </is>
      </c>
      <c r="E1" s="24" t="inlineStr">
        <is>
          <t>Industry</t>
        </is>
      </c>
      <c r="F1" s="24" t="inlineStr">
        <is>
          <t>Common Count</t>
        </is>
      </c>
      <c r="G1" s="24" t="inlineStr">
        <is>
          <t>Scanner Signal</t>
        </is>
      </c>
      <c r="H1" s="24" t="inlineStr">
        <is>
          <t>Chartink Universe</t>
        </is>
      </c>
      <c r="I1" s="24" t="inlineStr">
        <is>
          <t>Scan Matches Count</t>
        </is>
      </c>
      <c r="J1" s="24" t="inlineStr">
        <is>
          <t>Backtest Recurrence (30D)</t>
        </is>
      </c>
    </row>
    <row r="2">
      <c r="A2" s="25">
        <f>IF(B2=0,"",ROW()-1)</f>
        <v/>
      </c>
      <c r="B2" s="26">
        <f>IFERROR(INDEX('Monit Non Financial'!$B$2:$B$400, MATCH(C2, 'Monit Non Financial'!$C$2:$C$400, 0)), IFERROR(INDEX('Monit Banks NBFC'!$B$2:$B$100, MATCH(C2, 'Monit Banks NBFC'!$C$2:$C$100, 0)), 0))</f>
        <v/>
      </c>
      <c r="C2" s="25" t="inlineStr">
        <is>
          <t>INDOBORAX</t>
        </is>
      </c>
      <c r="D2" s="25" t="inlineStr">
        <is>
          <t>Indo Borax &amp; Chemicals Ltd</t>
        </is>
      </c>
      <c r="E2" s="25" t="inlineStr">
        <is>
          <t>Chemicals - Inorganic</t>
        </is>
      </c>
      <c r="F2" s="25" t="n">
        <v>3</v>
      </c>
      <c r="G2" s="25" t="inlineStr">
        <is>
          <t>52W Breakout</t>
        </is>
      </c>
      <c r="H2" s="26" t="inlineStr">
        <is>
          <t>Yes</t>
        </is>
      </c>
      <c r="I2" s="26" t="n">
        <v>20</v>
      </c>
      <c r="J2" s="26" t="n">
        <v>27</v>
      </c>
    </row>
    <row r="3">
      <c r="A3" s="25">
        <f>IF(B3=0,"",ROW()-1)</f>
        <v/>
      </c>
      <c r="B3" s="26">
        <f>IFERROR(INDEX('Monit Non Financial'!$B$2:$B$400, MATCH(C3, 'Monit Non Financial'!$C$2:$C$400, 0)), IFERROR(INDEX('Monit Banks NBFC'!$B$2:$B$100, MATCH(C3, 'Monit Banks NBFC'!$C$2:$C$100, 0)), 0))</f>
        <v/>
      </c>
      <c r="C3" s="25" t="inlineStr">
        <is>
          <t>NETWEB</t>
        </is>
      </c>
      <c r="D3" s="25" t="inlineStr">
        <is>
          <t>Netweb Technologies India Ltd</t>
        </is>
      </c>
      <c r="E3" s="25" t="inlineStr">
        <is>
          <t>Data Centre</t>
        </is>
      </c>
      <c r="F3" s="25" t="n">
        <v>3</v>
      </c>
      <c r="G3" s="25" t="inlineStr">
        <is>
          <t>52W Breakout</t>
        </is>
      </c>
      <c r="H3" s="26" t="inlineStr">
        <is>
          <t>Yes</t>
        </is>
      </c>
      <c r="I3" s="26" t="n">
        <v>21</v>
      </c>
      <c r="J3" s="26" t="n">
        <v>19</v>
      </c>
    </row>
    <row r="4">
      <c r="A4" s="25">
        <f>IF(B4=0,"",ROW()-1)</f>
        <v/>
      </c>
      <c r="B4" s="26">
        <f>IFERROR(INDEX('Monit Non Financial'!$B$2:$B$400, MATCH(C4, 'Monit Non Financial'!$C$2:$C$400, 0)), IFERROR(INDEX('Monit Banks NBFC'!$B$2:$B$100, MATCH(C4, 'Monit Banks NBFC'!$C$2:$C$100, 0)), 0))</f>
        <v/>
      </c>
      <c r="C4" s="25" t="inlineStr">
        <is>
          <t>VENUSREM</t>
        </is>
      </c>
      <c r="D4" s="25" t="inlineStr">
        <is>
          <t>Venus Remedies Limited</t>
        </is>
      </c>
      <c r="E4" s="25" t="inlineStr">
        <is>
          <t>Pharmaceuticals - I V Fluids</t>
        </is>
      </c>
      <c r="F4" s="25" t="n">
        <v>3</v>
      </c>
      <c r="G4" s="25" t="inlineStr">
        <is>
          <t>52W Breakout</t>
        </is>
      </c>
      <c r="H4" s="26" t="inlineStr">
        <is>
          <t>Yes</t>
        </is>
      </c>
      <c r="I4" s="26" t="n">
        <v>26</v>
      </c>
      <c r="J4" s="26" t="n">
        <v>16</v>
      </c>
    </row>
    <row r="5">
      <c r="A5" s="25">
        <f>IF(B5=0,"",ROW()-1)</f>
        <v/>
      </c>
      <c r="B5" s="26">
        <f>IFERROR(INDEX('Monit Non Financial'!$B$2:$B$400, MATCH(C5, 'Monit Non Financial'!$C$2:$C$400, 0)), IFERROR(INDEX('Monit Banks NBFC'!$B$2:$B$100, MATCH(C5, 'Monit Banks NBFC'!$C$2:$C$100, 0)), 0))</f>
        <v/>
      </c>
      <c r="C5" s="25" t="inlineStr">
        <is>
          <t>IBULLSLTD</t>
        </is>
      </c>
      <c r="D5" s="25" t="inlineStr">
        <is>
          <t>Indiabulls Limited</t>
        </is>
      </c>
      <c r="E5" s="25" t="inlineStr">
        <is>
          <t>Diversified</t>
        </is>
      </c>
      <c r="F5" s="25" t="n">
        <v>3</v>
      </c>
      <c r="G5" s="25" t="inlineStr">
        <is>
          <t>52W Breakout</t>
        </is>
      </c>
      <c r="H5" s="26" t="inlineStr">
        <is>
          <t>Yes</t>
        </is>
      </c>
      <c r="I5" s="26" t="n">
        <v>23</v>
      </c>
      <c r="J5" s="26" t="n">
        <v>24</v>
      </c>
    </row>
    <row r="6">
      <c r="A6" s="25">
        <f>IF(B6=0,"",ROW()-1)</f>
        <v/>
      </c>
      <c r="B6" s="26">
        <f>IFERROR(INDEX('Monit Non Financial'!$B$2:$B$400, MATCH(C6, 'Monit Non Financial'!$C$2:$C$400, 0)), IFERROR(INDEX('Monit Banks NBFC'!$B$2:$B$100, MATCH(C6, 'Monit Banks NBFC'!$C$2:$C$100, 0)), 0))</f>
        <v/>
      </c>
      <c r="C6" s="25" t="inlineStr">
        <is>
          <t>SYRMA</t>
        </is>
      </c>
      <c r="D6" s="25" t="inlineStr">
        <is>
          <t>Syrma SGS Technology Ltd</t>
        </is>
      </c>
      <c r="E6" s="25" t="inlineStr">
        <is>
          <t>Consumer Electronics - EMS</t>
        </is>
      </c>
      <c r="F6" s="25" t="n">
        <v>3</v>
      </c>
      <c r="G6" s="25" t="inlineStr">
        <is>
          <t>52W Breakout</t>
        </is>
      </c>
      <c r="H6" s="26" t="inlineStr">
        <is>
          <t>Yes</t>
        </is>
      </c>
      <c r="I6" s="26" t="n">
        <v>20</v>
      </c>
      <c r="J6" s="26" t="n">
        <v>27</v>
      </c>
    </row>
    <row r="7">
      <c r="A7" s="25">
        <f>IF(B7=0,"",ROW()-1)</f>
        <v/>
      </c>
      <c r="B7" s="26">
        <f>IFERROR(INDEX('Monit Non Financial'!$B$2:$B$400, MATCH(C7, 'Monit Non Financial'!$C$2:$C$400, 0)), IFERROR(INDEX('Monit Banks NBFC'!$B$2:$B$100, MATCH(C7, 'Monit Banks NBFC'!$C$2:$C$100, 0)), 0))</f>
        <v/>
      </c>
      <c r="C7" s="25" t="inlineStr">
        <is>
          <t>THANGAMAYL</t>
        </is>
      </c>
      <c r="D7" s="25" t="inlineStr">
        <is>
          <t>Thangamayil Jewellery Limited</t>
        </is>
      </c>
      <c r="E7" s="25" t="inlineStr">
        <is>
          <t>Diamond, Gems &amp; Jewellery</t>
        </is>
      </c>
      <c r="F7" s="25" t="n">
        <v>3</v>
      </c>
      <c r="G7" s="25" t="inlineStr">
        <is>
          <t>52W Breakout</t>
        </is>
      </c>
      <c r="H7" s="26" t="inlineStr">
        <is>
          <t>Yes</t>
        </is>
      </c>
      <c r="I7" s="26" t="n">
        <v>29</v>
      </c>
      <c r="J7" s="26" t="n">
        <v>9</v>
      </c>
    </row>
    <row r="8">
      <c r="A8" s="25">
        <f>IF(B8=0,"",ROW()-1)</f>
        <v/>
      </c>
      <c r="B8" s="26">
        <f>IFERROR(INDEX('Monit Non Financial'!$B$2:$B$400, MATCH(C8, 'Monit Non Financial'!$C$2:$C$400, 0)), IFERROR(INDEX('Monit Banks NBFC'!$B$2:$B$100, MATCH(C8, 'Monit Banks NBFC'!$C$2:$C$100, 0)), 0))</f>
        <v/>
      </c>
      <c r="C8" s="25" t="inlineStr">
        <is>
          <t>SANSERA</t>
        </is>
      </c>
      <c r="D8" s="25" t="inlineStr">
        <is>
          <t>Sansera Engineering Ltd</t>
        </is>
      </c>
      <c r="E8" s="25" t="inlineStr">
        <is>
          <t>Auto Ancillaries - Diversified</t>
        </is>
      </c>
      <c r="F8" s="25" t="n">
        <v>3</v>
      </c>
      <c r="G8" s="25" t="inlineStr">
        <is>
          <t>52W Breakout</t>
        </is>
      </c>
      <c r="H8" s="26" t="inlineStr">
        <is>
          <t>Yes</t>
        </is>
      </c>
      <c r="I8" s="26" t="n">
        <v>21</v>
      </c>
      <c r="J8" s="26" t="n">
        <v>24</v>
      </c>
    </row>
    <row r="9">
      <c r="A9" s="25">
        <f>IF(B9=0,"",ROW()-1)</f>
        <v/>
      </c>
      <c r="B9" s="26">
        <f>IFERROR(INDEX('Monit Non Financial'!$B$2:$B$400, MATCH(C9, 'Monit Non Financial'!$C$2:$C$400, 0)), IFERROR(INDEX('Monit Banks NBFC'!$B$2:$B$100, MATCH(C9, 'Monit Banks NBFC'!$C$2:$C$100, 0)), 0))</f>
        <v/>
      </c>
      <c r="C9" s="25" t="inlineStr">
        <is>
          <t>MODISONLTD</t>
        </is>
      </c>
      <c r="D9" s="25" t="inlineStr">
        <is>
          <t>Modison Ltd</t>
        </is>
      </c>
      <c r="E9" s="25" t="inlineStr">
        <is>
          <t>Capital Goods - Electric General</t>
        </is>
      </c>
      <c r="F9" s="25" t="n">
        <v>3</v>
      </c>
      <c r="G9" s="25" t="inlineStr">
        <is>
          <t>52W Breakout</t>
        </is>
      </c>
      <c r="H9" s="26" t="inlineStr">
        <is>
          <t>Yes</t>
        </is>
      </c>
      <c r="I9" s="26" t="n">
        <v>28</v>
      </c>
      <c r="J9" s="26" t="n">
        <v>26</v>
      </c>
    </row>
    <row r="10">
      <c r="A10" s="25">
        <f>IF(B10=0,"",ROW()-1)</f>
        <v/>
      </c>
      <c r="B10" s="26">
        <f>IFERROR(INDEX('Monit Non Financial'!$B$2:$B$400, MATCH(C10, 'Monit Non Financial'!$C$2:$C$400, 0)), IFERROR(INDEX('Monit Banks NBFC'!$B$2:$B$100, MATCH(C10, 'Monit Banks NBFC'!$C$2:$C$100, 0)), 0))</f>
        <v/>
      </c>
      <c r="C10" s="25" t="inlineStr">
        <is>
          <t>SKMEGGPROD</t>
        </is>
      </c>
      <c r="D10" s="25" t="inlineStr">
        <is>
          <t>Skm Egg Products Export (india) Limited</t>
        </is>
      </c>
      <c r="E10" s="25" t="inlineStr">
        <is>
          <t>FMCG - Animal/Polutry</t>
        </is>
      </c>
      <c r="F10" s="25" t="n">
        <v>3</v>
      </c>
      <c r="G10" s="25" t="inlineStr">
        <is>
          <t>52W Breakout</t>
        </is>
      </c>
      <c r="H10" s="26" t="inlineStr">
        <is>
          <t>Yes</t>
        </is>
      </c>
      <c r="I10" s="26" t="n">
        <v>30</v>
      </c>
      <c r="J10" s="26" t="n">
        <v>10</v>
      </c>
    </row>
    <row r="11">
      <c r="A11" s="25">
        <f>IF(B11=0,"",ROW()-1)</f>
        <v/>
      </c>
      <c r="B11" s="26">
        <f>IFERROR(INDEX('Monit Non Financial'!$B$2:$B$400, MATCH(C11, 'Monit Non Financial'!$C$2:$C$400, 0)), IFERROR(INDEX('Monit Banks NBFC'!$B$2:$B$100, MATCH(C11, 'Monit Banks NBFC'!$C$2:$C$100, 0)), 0))</f>
        <v/>
      </c>
      <c r="C11" s="25" t="inlineStr">
        <is>
          <t>SHILPAMED</t>
        </is>
      </c>
      <c r="D11" s="25" t="inlineStr">
        <is>
          <t>Shilpa Medicare Limited</t>
        </is>
      </c>
      <c r="E11" s="25" t="inlineStr">
        <is>
          <t>Pharma - API &amp; CRAMS</t>
        </is>
      </c>
      <c r="F11" s="25" t="n">
        <v>3</v>
      </c>
      <c r="G11" s="25" t="inlineStr">
        <is>
          <t>52W Breakout</t>
        </is>
      </c>
      <c r="H11" s="26" t="inlineStr">
        <is>
          <t>Yes</t>
        </is>
      </c>
      <c r="I11" s="26" t="n">
        <v>21</v>
      </c>
      <c r="J11" s="26" t="n">
        <v>30</v>
      </c>
    </row>
    <row r="12">
      <c r="A12" s="25">
        <f>IF(B12=0,"",ROW()-1)</f>
        <v/>
      </c>
      <c r="B12" s="26">
        <f>IFERROR(INDEX('Monit Non Financial'!$B$2:$B$400, MATCH(C12, 'Monit Non Financial'!$C$2:$C$400, 0)), IFERROR(INDEX('Monit Banks NBFC'!$B$2:$B$100, MATCH(C12, 'Monit Banks NBFC'!$C$2:$C$100, 0)), 0))</f>
        <v/>
      </c>
      <c r="C12" s="25" t="inlineStr">
        <is>
          <t>MINDACORP</t>
        </is>
      </c>
      <c r="D12" s="25" t="inlineStr">
        <is>
          <t>Minda Corporation Limited</t>
        </is>
      </c>
      <c r="E12" s="25" t="inlineStr">
        <is>
          <t>Auto Ancillaries - Diversified</t>
        </is>
      </c>
      <c r="F12" s="25" t="n">
        <v>3</v>
      </c>
      <c r="G12" s="25" t="inlineStr">
        <is>
          <t>52W Breakout</t>
        </is>
      </c>
      <c r="H12" s="26" t="inlineStr">
        <is>
          <t>Yes</t>
        </is>
      </c>
      <c r="I12" s="26" t="n">
        <v>27</v>
      </c>
      <c r="J12" s="26" t="n">
        <v>10</v>
      </c>
    </row>
    <row r="13">
      <c r="A13" s="25">
        <f>IF(B13=0,"",ROW()-1)</f>
        <v/>
      </c>
      <c r="B13" s="26">
        <f>IFERROR(INDEX('Monit Non Financial'!$B$2:$B$400, MATCH(C13, 'Monit Non Financial'!$C$2:$C$400, 0)), IFERROR(INDEX('Monit Banks NBFC'!$B$2:$B$100, MATCH(C13, 'Monit Banks NBFC'!$C$2:$C$100, 0)), 0))</f>
        <v/>
      </c>
      <c r="C13" s="25" t="inlineStr">
        <is>
          <t>STLTECH</t>
        </is>
      </c>
      <c r="D13" s="25" t="inlineStr">
        <is>
          <t>Sterlite Technologies Limited</t>
        </is>
      </c>
      <c r="E13" s="25" t="inlineStr">
        <is>
          <t>Cables - Telecom</t>
        </is>
      </c>
      <c r="F13" s="25" t="n">
        <v>3</v>
      </c>
      <c r="G13" s="25" t="inlineStr">
        <is>
          <t>52W Breakout</t>
        </is>
      </c>
      <c r="H13" s="26" t="inlineStr">
        <is>
          <t>Yes</t>
        </is>
      </c>
      <c r="I13" s="26" t="n">
        <v>20</v>
      </c>
      <c r="J13" s="26" t="n">
        <v>30</v>
      </c>
    </row>
    <row r="14">
      <c r="A14" s="25">
        <f>IF(B14=0,"",ROW()-1)</f>
        <v/>
      </c>
      <c r="B14" s="26">
        <f>IFERROR(INDEX('Monit Non Financial'!$B$2:$B$400, MATCH(C14, 'Monit Non Financial'!$C$2:$C$400, 0)), IFERROR(INDEX('Monit Banks NBFC'!$B$2:$B$100, MATCH(C14, 'Monit Banks NBFC'!$C$2:$C$100, 0)), 0))</f>
        <v/>
      </c>
      <c r="C14" s="25" t="inlineStr">
        <is>
          <t>HFCL</t>
        </is>
      </c>
      <c r="D14" s="25" t="inlineStr">
        <is>
          <t>HFCL Ltd</t>
        </is>
      </c>
      <c r="E14" s="25" t="inlineStr">
        <is>
          <t>Telecom Services</t>
        </is>
      </c>
      <c r="F14" s="25" t="n">
        <v>3</v>
      </c>
      <c r="G14" s="25" t="inlineStr">
        <is>
          <t>52W Breakout</t>
        </is>
      </c>
      <c r="H14" s="26" t="inlineStr">
        <is>
          <t>Yes</t>
        </is>
      </c>
      <c r="I14" s="26" t="n">
        <v>27</v>
      </c>
      <c r="J14" s="26" t="n">
        <v>30</v>
      </c>
    </row>
    <row r="15">
      <c r="A15" s="25">
        <f>IF(B15=0,"",ROW()-1)</f>
        <v/>
      </c>
      <c r="B15" s="26">
        <f>IFERROR(INDEX('Monit Non Financial'!$B$2:$B$400, MATCH(C15, 'Monit Non Financial'!$C$2:$C$400, 0)), IFERROR(INDEX('Monit Banks NBFC'!$B$2:$B$100, MATCH(C15, 'Monit Banks NBFC'!$C$2:$C$100, 0)), 0))</f>
        <v/>
      </c>
      <c r="C15" s="25" t="inlineStr">
        <is>
          <t>SKYGOLD</t>
        </is>
      </c>
      <c r="D15" s="25" t="inlineStr">
        <is>
          <t>Sky Gold Ltd</t>
        </is>
      </c>
      <c r="E15" s="25" t="inlineStr">
        <is>
          <t>Diamond, Gems &amp; Jewellery</t>
        </is>
      </c>
      <c r="F15" s="25" t="n">
        <v>3</v>
      </c>
      <c r="G15" s="25" t="inlineStr">
        <is>
          <t>52W Breakout</t>
        </is>
      </c>
      <c r="H15" s="26" t="inlineStr">
        <is>
          <t>Yes</t>
        </is>
      </c>
      <c r="I15" s="26" t="n">
        <v>31</v>
      </c>
      <c r="J15" s="26" t="n">
        <v>26</v>
      </c>
    </row>
    <row r="16">
      <c r="A16" s="25">
        <f>IF(B16=0,"",ROW()-1)</f>
        <v/>
      </c>
      <c r="B16" s="26">
        <f>IFERROR(INDEX('Monit Non Financial'!$B$2:$B$400, MATCH(C16, 'Monit Non Financial'!$C$2:$C$400, 0)), IFERROR(INDEX('Monit Banks NBFC'!$B$2:$B$100, MATCH(C16, 'Monit Banks NBFC'!$C$2:$C$100, 0)), 0))</f>
        <v/>
      </c>
      <c r="C16" s="25" t="inlineStr">
        <is>
          <t>FCL</t>
        </is>
      </c>
      <c r="D16" s="25" t="inlineStr">
        <is>
          <t>Fineotex Chemical Limited</t>
        </is>
      </c>
      <c r="E16" s="25" t="inlineStr">
        <is>
          <t>Speciality Chemicals</t>
        </is>
      </c>
      <c r="F16" s="25" t="n">
        <v>3</v>
      </c>
      <c r="G16" s="25" t="inlineStr">
        <is>
          <t>52W Breakout</t>
        </is>
      </c>
      <c r="H16" s="26" t="inlineStr">
        <is>
          <t>Yes</t>
        </is>
      </c>
      <c r="I16" s="26" t="n">
        <v>30</v>
      </c>
      <c r="J16" s="26" t="n">
        <v>14</v>
      </c>
    </row>
    <row r="17">
      <c r="A17" s="25">
        <f>IF(B17=0,"",ROW()-1)</f>
        <v/>
      </c>
      <c r="B17" s="26">
        <f>IFERROR(INDEX('Monit Non Financial'!$B$2:$B$400, MATCH(C17, 'Monit Non Financial'!$C$2:$C$400, 0)), IFERROR(INDEX('Monit Banks NBFC'!$B$2:$B$100, MATCH(C17, 'Monit Banks NBFC'!$C$2:$C$100, 0)), 0))</f>
        <v/>
      </c>
      <c r="C17" s="25" t="inlineStr">
        <is>
          <t>JAYBARMARU</t>
        </is>
      </c>
      <c r="D17" s="25" t="inlineStr">
        <is>
          <t>Jay Bharat Maruti Limited</t>
        </is>
      </c>
      <c r="E17" s="25" t="inlineStr">
        <is>
          <t>Auto Ancillaries - Diversified</t>
        </is>
      </c>
      <c r="F17" s="25" t="n">
        <v>3</v>
      </c>
      <c r="G17" s="25" t="inlineStr">
        <is>
          <t>52W Breakout</t>
        </is>
      </c>
      <c r="H17" s="26" t="inlineStr">
        <is>
          <t>Yes</t>
        </is>
      </c>
      <c r="I17" s="26" t="n">
        <v>24</v>
      </c>
      <c r="J17" s="26" t="n">
        <v>15</v>
      </c>
    </row>
    <row r="18">
      <c r="A18" s="25">
        <f>IF(B18=0,"",ROW()-1)</f>
        <v/>
      </c>
      <c r="B18" s="26">
        <f>IFERROR(INDEX('Monit Non Financial'!$B$2:$B$400, MATCH(C18, 'Monit Non Financial'!$C$2:$C$400, 0)), IFERROR(INDEX('Monit Banks NBFC'!$B$2:$B$100, MATCH(C18, 'Monit Banks NBFC'!$C$2:$C$100, 0)), 0))</f>
        <v/>
      </c>
      <c r="C18" s="25" t="inlineStr">
        <is>
          <t>RAIN</t>
        </is>
      </c>
      <c r="D18" s="25" t="inlineStr">
        <is>
          <t>Rain Industries Limited</t>
        </is>
      </c>
      <c r="E18" s="25" t="inlineStr">
        <is>
          <t>Cement</t>
        </is>
      </c>
      <c r="F18" s="25" t="n">
        <v>3</v>
      </c>
      <c r="G18" s="25" t="inlineStr">
        <is>
          <t>52W Breakout</t>
        </is>
      </c>
      <c r="H18" s="26" t="inlineStr">
        <is>
          <t>Yes</t>
        </is>
      </c>
      <c r="I18" s="26" t="n">
        <v>25</v>
      </c>
      <c r="J18" s="26" t="n">
        <v>20</v>
      </c>
    </row>
    <row r="19">
      <c r="A19" s="25">
        <f>IF(B19=0,"",ROW()-1)</f>
        <v/>
      </c>
      <c r="B19" s="26">
        <f>IFERROR(INDEX('Monit Non Financial'!$B$2:$B$400, MATCH(C19, 'Monit Non Financial'!$C$2:$C$400, 0)), IFERROR(INDEX('Monit Banks NBFC'!$B$2:$B$100, MATCH(C19, 'Monit Banks NBFC'!$C$2:$C$100, 0)), 0))</f>
        <v/>
      </c>
      <c r="C19" s="25" t="inlineStr">
        <is>
          <t>APOLLO</t>
        </is>
      </c>
      <c r="D19" s="25" t="inlineStr">
        <is>
          <t>Apollo Micro Systems Ltd</t>
        </is>
      </c>
      <c r="E19" s="25" t="inlineStr">
        <is>
          <t>Aerospace &amp; Defence - Equipments</t>
        </is>
      </c>
      <c r="F19" s="25" t="n">
        <v>3</v>
      </c>
      <c r="G19" s="25" t="inlineStr">
        <is>
          <t>52W Breakout</t>
        </is>
      </c>
      <c r="H19" s="26" t="inlineStr">
        <is>
          <t>Yes</t>
        </is>
      </c>
      <c r="I19" s="26" t="n">
        <v>30</v>
      </c>
      <c r="J19" s="26" t="n">
        <v>30</v>
      </c>
    </row>
    <row r="20">
      <c r="A20" s="25">
        <f>IF(B20=0,"",ROW()-1)</f>
        <v/>
      </c>
      <c r="B20" s="26">
        <f>IFERROR(INDEX('Monit Non Financial'!$B$2:$B$400, MATCH(C20, 'Monit Non Financial'!$C$2:$C$400, 0)), IFERROR(INDEX('Monit Banks NBFC'!$B$2:$B$100, MATCH(C20, 'Monit Banks NBFC'!$C$2:$C$100, 0)), 0))</f>
        <v/>
      </c>
      <c r="C20" s="25" t="inlineStr">
        <is>
          <t>SEAMECLTD</t>
        </is>
      </c>
      <c r="D20" s="25" t="inlineStr">
        <is>
          <t>Seamec Limited</t>
        </is>
      </c>
      <c r="E20" s="25" t="inlineStr">
        <is>
          <t>Shipping</t>
        </is>
      </c>
      <c r="F20" s="25" t="n">
        <v>2</v>
      </c>
      <c r="G20" s="25" t="inlineStr">
        <is>
          <t>No</t>
        </is>
      </c>
      <c r="H20" s="26" t="inlineStr">
        <is>
          <t>Yes</t>
        </is>
      </c>
      <c r="I20" s="26" t="n">
        <v>25</v>
      </c>
      <c r="J20" s="26" t="n">
        <v>22</v>
      </c>
    </row>
    <row r="21">
      <c r="A21" s="25">
        <f>IF(B21=0,"",ROW()-1)</f>
        <v/>
      </c>
      <c r="B21" s="26">
        <f>IFERROR(INDEX('Monit Non Financial'!$B$2:$B$400, MATCH(C21, 'Monit Non Financial'!$C$2:$C$400, 0)), IFERROR(INDEX('Monit Banks NBFC'!$B$2:$B$100, MATCH(C21, 'Monit Banks NBFC'!$C$2:$C$100, 0)), 0))</f>
        <v/>
      </c>
      <c r="C21" s="25" t="inlineStr">
        <is>
          <t>NGLFINE</t>
        </is>
      </c>
      <c r="D21" s="25" t="inlineStr">
        <is>
          <t>NGL Fine Chem Ltd</t>
        </is>
      </c>
      <c r="E21" s="25" t="inlineStr">
        <is>
          <t>Pharma - Animal</t>
        </is>
      </c>
      <c r="F21" s="25" t="n">
        <v>2</v>
      </c>
      <c r="G21" s="25" t="inlineStr">
        <is>
          <t>No</t>
        </is>
      </c>
      <c r="H21" s="26" t="inlineStr">
        <is>
          <t>Yes</t>
        </is>
      </c>
      <c r="I21" s="26" t="n">
        <v>20</v>
      </c>
      <c r="J21" s="26" t="n">
        <v>16</v>
      </c>
    </row>
    <row r="22">
      <c r="A22" s="25">
        <f>IF(B22=0,"",ROW()-1)</f>
        <v/>
      </c>
      <c r="B22" s="26">
        <f>IFERROR(INDEX('Monit Non Financial'!$B$2:$B$400, MATCH(C22, 'Monit Non Financial'!$C$2:$C$400, 0)), IFERROR(INDEX('Monit Banks NBFC'!$B$2:$B$100, MATCH(C22, 'Monit Banks NBFC'!$C$2:$C$100, 0)), 0))</f>
        <v/>
      </c>
      <c r="C22" s="25" t="inlineStr">
        <is>
          <t>DHANBANK</t>
        </is>
      </c>
      <c r="D22" s="25" t="inlineStr">
        <is>
          <t>Dhanlaxmi Bank Limited</t>
        </is>
      </c>
      <c r="E22" s="25" t="inlineStr">
        <is>
          <t>Banks - Private</t>
        </is>
      </c>
      <c r="F22" s="25" t="n">
        <v>2</v>
      </c>
      <c r="G22" s="25" t="inlineStr">
        <is>
          <t>No</t>
        </is>
      </c>
      <c r="H22" s="26" t="inlineStr">
        <is>
          <t>Yes</t>
        </is>
      </c>
      <c r="I22" s="26" t="n">
        <v>24</v>
      </c>
      <c r="J22" s="26" t="n">
        <v>29</v>
      </c>
    </row>
    <row r="23">
      <c r="A23" s="25">
        <f>IF(B23=0,"",ROW()-1)</f>
        <v/>
      </c>
      <c r="B23" s="26">
        <f>IFERROR(INDEX('Monit Non Financial'!$B$2:$B$400, MATCH(C23, 'Monit Non Financial'!$C$2:$C$400, 0)), IFERROR(INDEX('Monit Banks NBFC'!$B$2:$B$100, MATCH(C23, 'Monit Banks NBFC'!$C$2:$C$100, 0)), 0))</f>
        <v/>
      </c>
      <c r="C23" s="25" t="inlineStr">
        <is>
          <t>BAJAJCON</t>
        </is>
      </c>
      <c r="D23" s="25" t="inlineStr">
        <is>
          <t>Bajaj Consumer Care Ltd</t>
        </is>
      </c>
      <c r="E23" s="25" t="inlineStr">
        <is>
          <t>FMCG - Personal Care</t>
        </is>
      </c>
      <c r="F23" s="25" t="n">
        <v>2</v>
      </c>
      <c r="G23" s="25" t="inlineStr">
        <is>
          <t>No</t>
        </is>
      </c>
      <c r="H23" s="26" t="inlineStr">
        <is>
          <t>Yes</t>
        </is>
      </c>
      <c r="I23" s="26" t="n">
        <v>25</v>
      </c>
      <c r="J23" s="26" t="n">
        <v>30</v>
      </c>
    </row>
    <row r="24">
      <c r="A24" s="25">
        <f>IF(B24=0,"",ROW()-1)</f>
        <v/>
      </c>
      <c r="B24" s="26">
        <f>IFERROR(INDEX('Monit Non Financial'!$B$2:$B$400, MATCH(C24, 'Monit Non Financial'!$C$2:$C$400, 0)), IFERROR(INDEX('Monit Banks NBFC'!$B$2:$B$100, MATCH(C24, 'Monit Banks NBFC'!$C$2:$C$100, 0)), 0))</f>
        <v/>
      </c>
      <c r="C24" s="25" t="inlineStr">
        <is>
          <t>ACUTAAS</t>
        </is>
      </c>
      <c r="D24" s="25" t="inlineStr">
        <is>
          <t>Acutaas Chemicals Ltd</t>
        </is>
      </c>
      <c r="E24" s="25" t="inlineStr">
        <is>
          <t>Pharma - API &amp; CRAMS</t>
        </is>
      </c>
      <c r="F24" s="25" t="n">
        <v>2</v>
      </c>
      <c r="G24" s="25" t="inlineStr">
        <is>
          <t>No</t>
        </is>
      </c>
      <c r="H24" s="26" t="inlineStr">
        <is>
          <t>Yes</t>
        </is>
      </c>
      <c r="I24" s="26" t="n">
        <v>26</v>
      </c>
      <c r="J24" s="26" t="n">
        <v>28</v>
      </c>
    </row>
    <row r="25">
      <c r="A25" s="25">
        <f>IF(B25=0,"",ROW()-1)</f>
        <v/>
      </c>
      <c r="B25" s="26">
        <f>IFERROR(INDEX('Monit Non Financial'!$B$2:$B$400, MATCH(C25, 'Monit Non Financial'!$C$2:$C$400, 0)), IFERROR(INDEX('Monit Banks NBFC'!$B$2:$B$100, MATCH(C25, 'Monit Banks NBFC'!$C$2:$C$100, 0)), 0))</f>
        <v/>
      </c>
      <c r="C25" s="25" t="inlineStr">
        <is>
          <t>PGHL</t>
        </is>
      </c>
      <c r="D25" s="25" t="inlineStr">
        <is>
          <t>Procter &amp; Gamble Health Ltd</t>
        </is>
      </c>
      <c r="E25" s="25" t="inlineStr">
        <is>
          <t>Pharma - MNC bulk Drugs</t>
        </is>
      </c>
      <c r="F25" s="25" t="n">
        <v>2</v>
      </c>
      <c r="G25" s="25" t="inlineStr">
        <is>
          <t>No</t>
        </is>
      </c>
      <c r="H25" s="26" t="inlineStr">
        <is>
          <t>Yes</t>
        </is>
      </c>
      <c r="I25" s="26" t="n">
        <v>19</v>
      </c>
      <c r="J25" s="26" t="n">
        <v>11</v>
      </c>
    </row>
    <row r="26">
      <c r="A26" s="25">
        <f>IF(B26=0,"",ROW()-1)</f>
        <v/>
      </c>
      <c r="B26" s="26">
        <f>IFERROR(INDEX('Monit Non Financial'!$B$2:$B$400, MATCH(C26, 'Monit Non Financial'!$C$2:$C$400, 0)), IFERROR(INDEX('Monit Banks NBFC'!$B$2:$B$100, MATCH(C26, 'Monit Banks NBFC'!$C$2:$C$100, 0)), 0))</f>
        <v/>
      </c>
      <c r="C26" s="25" t="inlineStr">
        <is>
          <t>SATIN</t>
        </is>
      </c>
      <c r="D26" s="25" t="inlineStr">
        <is>
          <t>Satin Creditcare Network Limited</t>
        </is>
      </c>
      <c r="E26" s="25" t="inlineStr">
        <is>
          <t>Finance &amp; Investments - Microfinance</t>
        </is>
      </c>
      <c r="F26" s="25" t="n">
        <v>2</v>
      </c>
      <c r="G26" s="25" t="inlineStr">
        <is>
          <t>No</t>
        </is>
      </c>
      <c r="H26" s="26" t="inlineStr">
        <is>
          <t>Yes</t>
        </is>
      </c>
      <c r="I26" s="26" t="n">
        <v>23</v>
      </c>
      <c r="J26" s="26" t="n">
        <v>30</v>
      </c>
    </row>
    <row r="27">
      <c r="A27" s="25">
        <f>IF(B27=0,"",ROW()-1)</f>
        <v/>
      </c>
      <c r="B27" s="26">
        <f>IFERROR(INDEX('Monit Non Financial'!$B$2:$B$400, MATCH(C27, 'Monit Non Financial'!$C$2:$C$400, 0)), IFERROR(INDEX('Monit Banks NBFC'!$B$2:$B$100, MATCH(C27, 'Monit Banks NBFC'!$C$2:$C$100, 0)), 0))</f>
        <v/>
      </c>
      <c r="C27" s="25" t="inlineStr">
        <is>
          <t>GOCLCORP</t>
        </is>
      </c>
      <c r="D27" s="25" t="inlineStr">
        <is>
          <t>Gocl Corporation Limited</t>
        </is>
      </c>
      <c r="E27" s="25" t="inlineStr">
        <is>
          <t>Lubricants</t>
        </is>
      </c>
      <c r="F27" s="25" t="n">
        <v>2</v>
      </c>
      <c r="G27" s="25" t="inlineStr">
        <is>
          <t>No</t>
        </is>
      </c>
      <c r="H27" s="26" t="inlineStr">
        <is>
          <t>Yes</t>
        </is>
      </c>
      <c r="I27" s="26" t="n">
        <v>19</v>
      </c>
      <c r="J27" s="26" t="n">
        <v>10</v>
      </c>
    </row>
    <row r="28">
      <c r="A28" s="25">
        <f>IF(B28=0,"",ROW()-1)</f>
        <v/>
      </c>
      <c r="B28" s="26">
        <f>IFERROR(INDEX('Monit Non Financial'!$B$2:$B$400, MATCH(C28, 'Monit Non Financial'!$C$2:$C$400, 0)), IFERROR(INDEX('Monit Banks NBFC'!$B$2:$B$100, MATCH(C28, 'Monit Banks NBFC'!$C$2:$C$100, 0)), 0))</f>
        <v/>
      </c>
      <c r="C28" s="25" t="inlineStr">
        <is>
          <t>UNIPARTS</t>
        </is>
      </c>
      <c r="D28" s="25" t="inlineStr">
        <is>
          <t>Uniparts India Ltd</t>
        </is>
      </c>
      <c r="E28" s="25" t="inlineStr">
        <is>
          <t>Castings, Forgings &amp; Fastners</t>
        </is>
      </c>
      <c r="F28" s="25" t="n">
        <v>2</v>
      </c>
      <c r="G28" s="25" t="inlineStr">
        <is>
          <t>No</t>
        </is>
      </c>
      <c r="H28" s="26" t="inlineStr">
        <is>
          <t>Yes</t>
        </is>
      </c>
      <c r="I28" s="26" t="n">
        <v>26</v>
      </c>
      <c r="J28" s="26" t="n">
        <v>28</v>
      </c>
    </row>
    <row r="29">
      <c r="A29" s="25">
        <f>IF(B29=0,"",ROW()-1)</f>
        <v/>
      </c>
      <c r="B29" s="26">
        <f>IFERROR(INDEX('Monit Non Financial'!$B$2:$B$400, MATCH(C29, 'Monit Non Financial'!$C$2:$C$400, 0)), IFERROR(INDEX('Monit Banks NBFC'!$B$2:$B$100, MATCH(C29, 'Monit Banks NBFC'!$C$2:$C$100, 0)), 0))</f>
        <v/>
      </c>
      <c r="C29" s="25" t="inlineStr">
        <is>
          <t>GLAND</t>
        </is>
      </c>
      <c r="D29" s="25" t="inlineStr">
        <is>
          <t>Gland Pharma Ltd</t>
        </is>
      </c>
      <c r="E29" s="25" t="inlineStr">
        <is>
          <t>Pharma - API &amp; CRAMS</t>
        </is>
      </c>
      <c r="F29" s="25" t="n">
        <v>2</v>
      </c>
      <c r="G29" s="25" t="inlineStr">
        <is>
          <t>No</t>
        </is>
      </c>
      <c r="H29" s="26" t="inlineStr">
        <is>
          <t>Yes</t>
        </is>
      </c>
      <c r="I29" s="26" t="n">
        <v>23</v>
      </c>
      <c r="J29" s="26" t="n">
        <v>24</v>
      </c>
    </row>
    <row r="30">
      <c r="A30" s="25">
        <f>IF(B30=0,"",ROW()-1)</f>
        <v/>
      </c>
      <c r="B30" s="26">
        <f>IFERROR(INDEX('Monit Non Financial'!$B$2:$B$400, MATCH(C30, 'Monit Non Financial'!$C$2:$C$400, 0)), IFERROR(INDEX('Monit Banks NBFC'!$B$2:$B$100, MATCH(C30, 'Monit Banks NBFC'!$C$2:$C$100, 0)), 0))</f>
        <v/>
      </c>
      <c r="C30" s="25" t="inlineStr">
        <is>
          <t>CEMPRO</t>
        </is>
      </c>
      <c r="D30" s="25" t="inlineStr">
        <is>
          <t>Cemindia Projects Ltd</t>
        </is>
      </c>
      <c r="E30" s="25" t="inlineStr">
        <is>
          <t>Infra - Construction &amp; Contracting</t>
        </is>
      </c>
      <c r="F30" s="25" t="n">
        <v>2</v>
      </c>
      <c r="G30" s="25" t="inlineStr">
        <is>
          <t>No</t>
        </is>
      </c>
      <c r="H30" s="26" t="inlineStr">
        <is>
          <t>Yes</t>
        </is>
      </c>
      <c r="I30" s="26" t="n">
        <v>24</v>
      </c>
      <c r="J30" s="26" t="n">
        <v>25</v>
      </c>
    </row>
    <row r="31">
      <c r="A31" s="25">
        <f>IF(B31=0,"",ROW()-1)</f>
        <v/>
      </c>
      <c r="B31" s="26">
        <f>IFERROR(INDEX('Monit Non Financial'!$B$2:$B$400, MATCH(C31, 'Monit Non Financial'!$C$2:$C$400, 0)), IFERROR(INDEX('Monit Banks NBFC'!$B$2:$B$100, MATCH(C31, 'Monit Banks NBFC'!$C$2:$C$100, 0)), 0))</f>
        <v/>
      </c>
      <c r="C31" s="25" t="inlineStr">
        <is>
          <t>KERNEX</t>
        </is>
      </c>
      <c r="D31" s="25" t="inlineStr">
        <is>
          <t>Kernex Microsystems (india) Limited</t>
        </is>
      </c>
      <c r="E31" s="25" t="inlineStr">
        <is>
          <t>Railways - Kavach/Springs</t>
        </is>
      </c>
      <c r="F31" s="25" t="n">
        <v>2</v>
      </c>
      <c r="G31" s="25" t="inlineStr">
        <is>
          <t>No</t>
        </is>
      </c>
      <c r="H31" s="26" t="inlineStr">
        <is>
          <t>Yes</t>
        </is>
      </c>
      <c r="I31" s="26" t="n">
        <v>25</v>
      </c>
      <c r="J31" s="26" t="n">
        <v>26</v>
      </c>
    </row>
    <row r="32">
      <c r="A32" s="25">
        <f>IF(B32=0,"",ROW()-1)</f>
        <v/>
      </c>
      <c r="B32" s="26">
        <f>IFERROR(INDEX('Monit Non Financial'!$B$2:$B$400, MATCH(C32, 'Monit Non Financial'!$C$2:$C$400, 0)), IFERROR(INDEX('Monit Banks NBFC'!$B$2:$B$100, MATCH(C32, 'Monit Banks NBFC'!$C$2:$C$100, 0)), 0))</f>
        <v/>
      </c>
      <c r="C32" s="25" t="inlineStr">
        <is>
          <t>DIVGIITTS</t>
        </is>
      </c>
      <c r="D32" s="25" t="inlineStr">
        <is>
          <t>Divgi Torqtransfer Systems Ltd</t>
        </is>
      </c>
      <c r="E32" s="25" t="inlineStr">
        <is>
          <t>Auto Ancillaries - Transmission</t>
        </is>
      </c>
      <c r="F32" s="25" t="n">
        <v>2</v>
      </c>
      <c r="G32" s="25" t="inlineStr">
        <is>
          <t>No</t>
        </is>
      </c>
      <c r="H32" s="26" t="inlineStr">
        <is>
          <t>Yes</t>
        </is>
      </c>
      <c r="I32" s="26" t="n">
        <v>18</v>
      </c>
      <c r="J32" s="26" t="n">
        <v>13</v>
      </c>
    </row>
    <row r="33">
      <c r="A33" s="25">
        <f>IF(B33=0,"",ROW()-1)</f>
        <v/>
      </c>
      <c r="B33" s="26">
        <f>IFERROR(INDEX('Monit Non Financial'!$B$2:$B$400, MATCH(C33, 'Monit Non Financial'!$C$2:$C$400, 0)), IFERROR(INDEX('Monit Banks NBFC'!$B$2:$B$100, MATCH(C33, 'Monit Banks NBFC'!$C$2:$C$100, 0)), 0))</f>
        <v/>
      </c>
      <c r="C33" s="25" t="inlineStr">
        <is>
          <t>RPTECH</t>
        </is>
      </c>
      <c r="D33" s="25" t="inlineStr">
        <is>
          <t>Rashi Peripherals Ltd</t>
        </is>
      </c>
      <c r="E33" s="25" t="inlineStr">
        <is>
          <t>Trading</t>
        </is>
      </c>
      <c r="F33" s="25" t="n">
        <v>2</v>
      </c>
      <c r="G33" s="25" t="inlineStr">
        <is>
          <t>No</t>
        </is>
      </c>
      <c r="H33" s="26" t="inlineStr">
        <is>
          <t>Yes</t>
        </is>
      </c>
      <c r="I33" s="26" t="n">
        <v>23</v>
      </c>
      <c r="J33" s="26" t="n">
        <v>30</v>
      </c>
    </row>
    <row r="34">
      <c r="A34" s="25">
        <f>IF(B34=0,"",ROW()-1)</f>
        <v/>
      </c>
      <c r="B34" s="26">
        <f>IFERROR(INDEX('Monit Non Financial'!$B$2:$B$400, MATCH(C34, 'Monit Non Financial'!$C$2:$C$400, 0)), IFERROR(INDEX('Monit Banks NBFC'!$B$2:$B$100, MATCH(C34, 'Monit Banks NBFC'!$C$2:$C$100, 0)), 0))</f>
        <v/>
      </c>
      <c r="C34" s="25" t="inlineStr">
        <is>
          <t>SUPRIYA</t>
        </is>
      </c>
      <c r="D34" s="25" t="inlineStr">
        <is>
          <t>Supriya Lifescience Ltd</t>
        </is>
      </c>
      <c r="E34" s="25" t="inlineStr">
        <is>
          <t>Pharma - API &amp; CRAMS</t>
        </is>
      </c>
      <c r="F34" s="25" t="n">
        <v>2</v>
      </c>
      <c r="G34" s="25" t="inlineStr">
        <is>
          <t>No</t>
        </is>
      </c>
      <c r="H34" s="26" t="inlineStr">
        <is>
          <t>Yes</t>
        </is>
      </c>
      <c r="I34" s="26" t="n">
        <v>25</v>
      </c>
      <c r="J34" s="26" t="n">
        <v>25</v>
      </c>
    </row>
    <row r="35">
      <c r="A35" s="25">
        <f>IF(B35=0,"",ROW()-1)</f>
        <v/>
      </c>
      <c r="B35" s="26">
        <f>IFERROR(INDEX('Monit Non Financial'!$B$2:$B$400, MATCH(C35, 'Monit Non Financial'!$C$2:$C$400, 0)), IFERROR(INDEX('Monit Banks NBFC'!$B$2:$B$100, MATCH(C35, 'Monit Banks NBFC'!$C$2:$C$100, 0)), 0))</f>
        <v/>
      </c>
      <c r="C35" s="25" t="inlineStr">
        <is>
          <t>BLISSGVS</t>
        </is>
      </c>
      <c r="D35" s="25" t="inlineStr">
        <is>
          <t>Bliss Gvs Pharma Limited</t>
        </is>
      </c>
      <c r="E35" s="25" t="inlineStr">
        <is>
          <t>Pharma - Formulators</t>
        </is>
      </c>
      <c r="F35" s="25" t="n">
        <v>2</v>
      </c>
      <c r="G35" s="25" t="inlineStr">
        <is>
          <t>No</t>
        </is>
      </c>
      <c r="H35" s="26" t="inlineStr">
        <is>
          <t>Yes</t>
        </is>
      </c>
      <c r="I35" s="26" t="n">
        <v>27</v>
      </c>
      <c r="J35" s="26" t="n">
        <v>30</v>
      </c>
    </row>
    <row r="36">
      <c r="A36" s="25">
        <f>IF(B36=0,"",ROW()-1)</f>
        <v/>
      </c>
      <c r="B36" s="26">
        <f>IFERROR(INDEX('Monit Non Financial'!$B$2:$B$400, MATCH(C36, 'Monit Non Financial'!$C$2:$C$400, 0)), IFERROR(INDEX('Monit Banks NBFC'!$B$2:$B$100, MATCH(C36, 'Monit Banks NBFC'!$C$2:$C$100, 0)), 0))</f>
        <v/>
      </c>
      <c r="C36" s="25" t="inlineStr">
        <is>
          <t>SAKAR</t>
        </is>
      </c>
      <c r="D36" s="25" t="inlineStr">
        <is>
          <t>Sakar Healthcare Ltd</t>
        </is>
      </c>
      <c r="E36" s="25" t="inlineStr">
        <is>
          <t>Hospitals</t>
        </is>
      </c>
      <c r="F36" s="25" t="n">
        <v>2</v>
      </c>
      <c r="G36" s="25" t="inlineStr">
        <is>
          <t>No</t>
        </is>
      </c>
      <c r="H36" s="26" t="inlineStr">
        <is>
          <t>Yes</t>
        </is>
      </c>
      <c r="I36" s="26" t="n">
        <v>20</v>
      </c>
      <c r="J36" s="26" t="n">
        <v>23</v>
      </c>
    </row>
    <row r="37">
      <c r="A37" s="25">
        <f>IF(B37=0,"",ROW()-1)</f>
        <v/>
      </c>
      <c r="B37" s="26">
        <f>IFERROR(INDEX('Monit Non Financial'!$B$2:$B$400, MATCH(C37, 'Monit Non Financial'!$C$2:$C$400, 0)), IFERROR(INDEX('Monit Banks NBFC'!$B$2:$B$100, MATCH(C37, 'Monit Banks NBFC'!$C$2:$C$100, 0)), 0))</f>
        <v/>
      </c>
      <c r="C37" s="25" t="inlineStr">
        <is>
          <t>IOLCP</t>
        </is>
      </c>
      <c r="D37" s="25" t="inlineStr">
        <is>
          <t>Iol Chemicals And Pharmaceuticals Limited</t>
        </is>
      </c>
      <c r="E37" s="25" t="inlineStr">
        <is>
          <t>Pharma - API &amp; CRAMS</t>
        </is>
      </c>
      <c r="F37" s="25" t="n">
        <v>2</v>
      </c>
      <c r="G37" s="25" t="inlineStr">
        <is>
          <t>No</t>
        </is>
      </c>
      <c r="H37" s="26" t="inlineStr">
        <is>
          <t>Yes</t>
        </is>
      </c>
      <c r="I37" s="26" t="n">
        <v>20</v>
      </c>
      <c r="J37" s="26" t="n">
        <v>19</v>
      </c>
    </row>
    <row r="38">
      <c r="A38" s="25">
        <f>IF(B38=0,"",ROW()-1)</f>
        <v/>
      </c>
      <c r="B38" s="26">
        <f>IFERROR(INDEX('Monit Non Financial'!$B$2:$B$400, MATCH(C38, 'Monit Non Financial'!$C$2:$C$400, 0)), IFERROR(INDEX('Monit Banks NBFC'!$B$2:$B$100, MATCH(C38, 'Monit Banks NBFC'!$C$2:$C$100, 0)), 0))</f>
        <v/>
      </c>
      <c r="C38" s="25" t="inlineStr">
        <is>
          <t>WHEELS</t>
        </is>
      </c>
      <c r="D38" s="25" t="inlineStr">
        <is>
          <t>Wheels India Limited</t>
        </is>
      </c>
      <c r="E38" s="25" t="inlineStr">
        <is>
          <t>Auto Ancillaries - Wheels</t>
        </is>
      </c>
      <c r="F38" s="25" t="n">
        <v>2</v>
      </c>
      <c r="G38" s="25" t="inlineStr">
        <is>
          <t>No</t>
        </is>
      </c>
      <c r="H38" s="26" t="inlineStr">
        <is>
          <t>Yes</t>
        </is>
      </c>
      <c r="I38" s="26" t="n">
        <v>23</v>
      </c>
      <c r="J38" s="26" t="n">
        <v>30</v>
      </c>
    </row>
    <row r="39">
      <c r="A39" s="25">
        <f>IF(B39=0,"",ROW()-1)</f>
        <v/>
      </c>
      <c r="B39" s="26">
        <f>IFERROR(INDEX('Monit Non Financial'!$B$2:$B$400, MATCH(C39, 'Monit Non Financial'!$C$2:$C$400, 0)), IFERROR(INDEX('Monit Banks NBFC'!$B$2:$B$100, MATCH(C39, 'Monit Banks NBFC'!$C$2:$C$100, 0)), 0))</f>
        <v/>
      </c>
      <c r="C39" s="25" t="inlineStr">
        <is>
          <t>BHAGYANGR</t>
        </is>
      </c>
      <c r="D39" s="25" t="inlineStr">
        <is>
          <t>Bhagyanagar India</t>
        </is>
      </c>
      <c r="E39" s="25" t="inlineStr">
        <is>
          <t>Recycling</t>
        </is>
      </c>
      <c r="F39" s="25" t="n">
        <v>2</v>
      </c>
      <c r="G39" s="25" t="inlineStr">
        <is>
          <t>No</t>
        </is>
      </c>
      <c r="H39" s="26" t="inlineStr">
        <is>
          <t>Yes</t>
        </is>
      </c>
      <c r="I39" s="26" t="n">
        <v>19</v>
      </c>
      <c r="J39" s="26" t="n">
        <v>24</v>
      </c>
    </row>
    <row r="40">
      <c r="A40" s="25">
        <f>IF(B40=0,"",ROW()-1)</f>
        <v/>
      </c>
      <c r="B40" s="26">
        <f>IFERROR(INDEX('Monit Non Financial'!$B$2:$B$400, MATCH(C40, 'Monit Non Financial'!$C$2:$C$400, 0)), IFERROR(INDEX('Monit Banks NBFC'!$B$2:$B$100, MATCH(C40, 'Monit Banks NBFC'!$C$2:$C$100, 0)), 0))</f>
        <v/>
      </c>
      <c r="C40" s="25" t="inlineStr">
        <is>
          <t>MAYURUNIQ</t>
        </is>
      </c>
      <c r="D40" s="25" t="inlineStr">
        <is>
          <t>Mayur Uniquoters Ltd</t>
        </is>
      </c>
      <c r="E40" s="25" t="inlineStr">
        <is>
          <t>Plastics - Plastic &amp; Plastic Products</t>
        </is>
      </c>
      <c r="F40" s="25" t="n">
        <v>2</v>
      </c>
      <c r="G40" s="25" t="inlineStr">
        <is>
          <t>No</t>
        </is>
      </c>
      <c r="H40" s="26" t="inlineStr">
        <is>
          <t>Yes</t>
        </is>
      </c>
      <c r="I40" s="26" t="n">
        <v>19</v>
      </c>
      <c r="J40" s="26" t="n">
        <v>25</v>
      </c>
    </row>
    <row r="41">
      <c r="A41" s="25">
        <f>IF(B41=0,"",ROW()-1)</f>
        <v/>
      </c>
      <c r="B41" s="26">
        <f>IFERROR(INDEX('Monit Non Financial'!$B$2:$B$400, MATCH(C41, 'Monit Non Financial'!$C$2:$C$400, 0)), IFERROR(INDEX('Monit Banks NBFC'!$B$2:$B$100, MATCH(C41, 'Monit Banks NBFC'!$C$2:$C$100, 0)), 0))</f>
        <v/>
      </c>
      <c r="C41" s="25" t="inlineStr">
        <is>
          <t>AVALON</t>
        </is>
      </c>
      <c r="D41" s="25" t="inlineStr">
        <is>
          <t>Avalon Technologies Ltd</t>
        </is>
      </c>
      <c r="E41" s="25" t="inlineStr">
        <is>
          <t>Consumer Electronics - EMS</t>
        </is>
      </c>
      <c r="F41" s="25" t="n">
        <v>2</v>
      </c>
      <c r="G41" s="25" t="inlineStr">
        <is>
          <t>No</t>
        </is>
      </c>
      <c r="H41" s="26" t="inlineStr">
        <is>
          <t>Yes</t>
        </is>
      </c>
      <c r="I41" s="26" t="n">
        <v>25</v>
      </c>
      <c r="J41" s="26" t="n">
        <v>26</v>
      </c>
    </row>
    <row r="42">
      <c r="A42" s="25">
        <f>IF(B42=0,"",ROW()-1)</f>
        <v/>
      </c>
      <c r="B42" s="26">
        <f>IFERROR(INDEX('Monit Non Financial'!$B$2:$B$400, MATCH(C42, 'Monit Non Financial'!$C$2:$C$400, 0)), IFERROR(INDEX('Monit Banks NBFC'!$B$2:$B$100, MATCH(C42, 'Monit Banks NBFC'!$C$2:$C$100, 0)), 0))</f>
        <v/>
      </c>
      <c r="C42" s="25" t="inlineStr">
        <is>
          <t>GVT&amp;D</t>
        </is>
      </c>
      <c r="D42" s="25" t="inlineStr">
        <is>
          <t>GE Vernova T&amp;D India Ltd</t>
        </is>
      </c>
      <c r="E42" s="25" t="inlineStr">
        <is>
          <t>Electrical Equipments/HVDC</t>
        </is>
      </c>
      <c r="F42" s="25" t="n">
        <v>2</v>
      </c>
      <c r="G42" s="25" t="inlineStr">
        <is>
          <t>No</t>
        </is>
      </c>
      <c r="H42" s="26" t="inlineStr">
        <is>
          <t>Yes</t>
        </is>
      </c>
      <c r="I42" s="26" t="n">
        <v>22</v>
      </c>
      <c r="J42" s="26" t="n">
        <v>25</v>
      </c>
    </row>
    <row r="43">
      <c r="A43" s="25">
        <f>IF(B43=0,"",ROW()-1)</f>
        <v/>
      </c>
      <c r="B43" s="26">
        <f>IFERROR(INDEX('Monit Non Financial'!$B$2:$B$400, MATCH(C43, 'Monit Non Financial'!$C$2:$C$400, 0)), IFERROR(INDEX('Monit Banks NBFC'!$B$2:$B$100, MATCH(C43, 'Monit Banks NBFC'!$C$2:$C$100, 0)), 0))</f>
        <v/>
      </c>
      <c r="C43" s="25" t="inlineStr">
        <is>
          <t>MOTHERSON</t>
        </is>
      </c>
      <c r="D43" s="25" t="inlineStr">
        <is>
          <t>Samvardhana Motherson International Ltd</t>
        </is>
      </c>
      <c r="E43" s="25" t="inlineStr">
        <is>
          <t>Auto Ancillaries - Diversified</t>
        </is>
      </c>
      <c r="F43" s="25" t="n">
        <v>2</v>
      </c>
      <c r="G43" s="25" t="inlineStr">
        <is>
          <t>No</t>
        </is>
      </c>
      <c r="H43" s="26" t="inlineStr">
        <is>
          <t>Yes</t>
        </is>
      </c>
      <c r="I43" s="26" t="n">
        <v>20</v>
      </c>
      <c r="J43" s="26" t="n">
        <v>23</v>
      </c>
    </row>
    <row r="44">
      <c r="A44" s="25">
        <f>IF(B44=0,"",ROW()-1)</f>
        <v/>
      </c>
      <c r="B44" s="26">
        <f>IFERROR(INDEX('Monit Non Financial'!$B$2:$B$400, MATCH(C44, 'Monit Non Financial'!$C$2:$C$400, 0)), IFERROR(INDEX('Monit Banks NBFC'!$B$2:$B$100, MATCH(C44, 'Monit Banks NBFC'!$C$2:$C$100, 0)), 0))</f>
        <v/>
      </c>
      <c r="C44" s="25" t="inlineStr">
        <is>
          <t>POWERINDIA</t>
        </is>
      </c>
      <c r="D44" s="25" t="inlineStr">
        <is>
          <t>Hitachi Energy India Ltd</t>
        </is>
      </c>
      <c r="E44" s="25" t="inlineStr">
        <is>
          <t>Electrical Equipments/HVDC</t>
        </is>
      </c>
      <c r="F44" s="25" t="n">
        <v>2</v>
      </c>
      <c r="G44" s="25" t="inlineStr">
        <is>
          <t>No</t>
        </is>
      </c>
      <c r="H44" s="26" t="inlineStr">
        <is>
          <t>Yes</t>
        </is>
      </c>
      <c r="I44" s="26" t="n">
        <v>19</v>
      </c>
      <c r="J44" s="26" t="n">
        <v>30</v>
      </c>
    </row>
    <row r="45">
      <c r="A45" s="25">
        <f>IF(B45=0,"",ROW()-1)</f>
        <v/>
      </c>
      <c r="B45" s="26">
        <f>IFERROR(INDEX('Monit Non Financial'!$B$2:$B$400, MATCH(C45, 'Monit Non Financial'!$C$2:$C$400, 0)), IFERROR(INDEX('Monit Banks NBFC'!$B$2:$B$100, MATCH(C45, 'Monit Banks NBFC'!$C$2:$C$100, 0)), 0))</f>
        <v/>
      </c>
      <c r="C45" s="25" t="inlineStr">
        <is>
          <t>RATEGAIN</t>
        </is>
      </c>
      <c r="D45" s="25" t="inlineStr">
        <is>
          <t>Rategain Travel Technologies Ltd</t>
        </is>
      </c>
      <c r="E45" s="25" t="inlineStr">
        <is>
          <t>IT Product Companies</t>
        </is>
      </c>
      <c r="F45" s="25" t="n">
        <v>2</v>
      </c>
      <c r="G45" s="25" t="inlineStr">
        <is>
          <t>No</t>
        </is>
      </c>
      <c r="H45" s="26" t="inlineStr">
        <is>
          <t>Yes</t>
        </is>
      </c>
      <c r="I45" s="26" t="n">
        <v>29</v>
      </c>
      <c r="J45" s="26" t="n">
        <v>25</v>
      </c>
    </row>
    <row r="46">
      <c r="A46" s="25">
        <f>IF(B46=0,"",ROW()-1)</f>
        <v/>
      </c>
      <c r="B46" s="26">
        <f>IFERROR(INDEX('Monit Non Financial'!$B$2:$B$400, MATCH(C46, 'Monit Non Financial'!$C$2:$C$400, 0)), IFERROR(INDEX('Monit Banks NBFC'!$B$2:$B$100, MATCH(C46, 'Monit Banks NBFC'!$C$2:$C$100, 0)), 0))</f>
        <v/>
      </c>
      <c r="C46" s="25" t="inlineStr">
        <is>
          <t>MARKSANS</t>
        </is>
      </c>
      <c r="D46" s="25" t="inlineStr">
        <is>
          <t>Marksans Pharma Limited</t>
        </is>
      </c>
      <c r="E46" s="25" t="inlineStr">
        <is>
          <t>Pharma - Formulators</t>
        </is>
      </c>
      <c r="F46" s="25" t="n">
        <v>2</v>
      </c>
      <c r="G46" s="25" t="inlineStr">
        <is>
          <t>No</t>
        </is>
      </c>
      <c r="H46" s="26" t="inlineStr">
        <is>
          <t>Yes</t>
        </is>
      </c>
      <c r="I46" s="26" t="n">
        <v>21</v>
      </c>
      <c r="J46" s="26" t="n">
        <v>12</v>
      </c>
    </row>
    <row r="47">
      <c r="A47" s="25">
        <f>IF(B47=0,"",ROW()-1)</f>
        <v/>
      </c>
      <c r="B47" s="26">
        <f>IFERROR(INDEX('Monit Non Financial'!$B$2:$B$400, MATCH(C47, 'Monit Non Financial'!$C$2:$C$400, 0)), IFERROR(INDEX('Monit Banks NBFC'!$B$2:$B$100, MATCH(C47, 'Monit Banks NBFC'!$C$2:$C$100, 0)), 0))</f>
        <v/>
      </c>
      <c r="C47" s="25" t="inlineStr">
        <is>
          <t>HESTERBIO</t>
        </is>
      </c>
      <c r="D47" s="25" t="inlineStr">
        <is>
          <t>Hester Biosciences Limited</t>
        </is>
      </c>
      <c r="E47" s="25" t="inlineStr">
        <is>
          <t>Pharma - Animal</t>
        </is>
      </c>
      <c r="F47" s="25" t="n">
        <v>2</v>
      </c>
      <c r="G47" s="25" t="inlineStr">
        <is>
          <t>No</t>
        </is>
      </c>
      <c r="H47" s="26" t="inlineStr">
        <is>
          <t>Yes</t>
        </is>
      </c>
      <c r="I47" s="26" t="n">
        <v>19</v>
      </c>
      <c r="J47" s="26" t="n">
        <v>10</v>
      </c>
    </row>
    <row r="48">
      <c r="A48" s="25">
        <f>IF(B48=0,"",ROW()-1)</f>
        <v/>
      </c>
      <c r="B48" s="26">
        <f>IFERROR(INDEX('Monit Non Financial'!$B$2:$B$400, MATCH(C48, 'Monit Non Financial'!$C$2:$C$400, 0)), IFERROR(INDEX('Monit Banks NBFC'!$B$2:$B$100, MATCH(C48, 'Monit Banks NBFC'!$C$2:$C$100, 0)), 0))</f>
        <v/>
      </c>
      <c r="C48" s="25" t="inlineStr">
        <is>
          <t>SPARC</t>
        </is>
      </c>
      <c r="D48" s="25" t="inlineStr">
        <is>
          <t>Sun Pharma Advanced Research Company Limited</t>
        </is>
      </c>
      <c r="E48" s="25" t="inlineStr">
        <is>
          <t>Pharma - Others</t>
        </is>
      </c>
      <c r="F48" s="25" t="n">
        <v>2</v>
      </c>
      <c r="G48" s="25" t="inlineStr">
        <is>
          <t>No</t>
        </is>
      </c>
      <c r="H48" s="26" t="inlineStr">
        <is>
          <t>Yes</t>
        </is>
      </c>
      <c r="I48" s="26" t="n">
        <v>19</v>
      </c>
      <c r="J48" s="26" t="n">
        <v>19</v>
      </c>
    </row>
    <row r="49">
      <c r="A49" s="25">
        <f>IF(B49=0,"",ROW()-1)</f>
        <v/>
      </c>
      <c r="B49" s="26">
        <f>IFERROR(INDEX('Monit Non Financial'!$B$2:$B$400, MATCH(C49, 'Monit Non Financial'!$C$2:$C$400, 0)), IFERROR(INDEX('Monit Banks NBFC'!$B$2:$B$100, MATCH(C49, 'Monit Banks NBFC'!$C$2:$C$100, 0)), 0))</f>
        <v/>
      </c>
      <c r="C49" s="25" t="inlineStr">
        <is>
          <t>ANGELONE</t>
        </is>
      </c>
      <c r="D49" s="25" t="inlineStr">
        <is>
          <t>Angel One Ltd</t>
        </is>
      </c>
      <c r="E49" s="25" t="inlineStr">
        <is>
          <t>Finance - Capital Markets - Brokers</t>
        </is>
      </c>
      <c r="F49" s="25" t="n">
        <v>2</v>
      </c>
      <c r="G49" s="25" t="inlineStr">
        <is>
          <t>No</t>
        </is>
      </c>
      <c r="H49" s="26" t="inlineStr">
        <is>
          <t>Yes</t>
        </is>
      </c>
      <c r="I49" s="26" t="n">
        <v>20</v>
      </c>
      <c r="J49" s="26" t="n">
        <v>25</v>
      </c>
    </row>
    <row r="50">
      <c r="A50" s="25">
        <f>IF(B50=0,"",ROW()-1)</f>
        <v/>
      </c>
      <c r="B50" s="26">
        <f>IFERROR(INDEX('Monit Non Financial'!$B$2:$B$400, MATCH(C50, 'Monit Non Financial'!$C$2:$C$400, 0)), IFERROR(INDEX('Monit Banks NBFC'!$B$2:$B$100, MATCH(C50, 'Monit Banks NBFC'!$C$2:$C$100, 0)), 0))</f>
        <v/>
      </c>
      <c r="C50" s="25" t="inlineStr">
        <is>
          <t>VIYASH</t>
        </is>
      </c>
      <c r="D50" s="25" t="inlineStr">
        <is>
          <t>Viyash Scientific Ltd</t>
        </is>
      </c>
      <c r="E50" s="25" t="inlineStr">
        <is>
          <t>Pharma - Animal</t>
        </is>
      </c>
      <c r="F50" s="25" t="n">
        <v>2</v>
      </c>
      <c r="G50" s="25" t="inlineStr">
        <is>
          <t>No</t>
        </is>
      </c>
      <c r="H50" s="26" t="inlineStr">
        <is>
          <t>Yes</t>
        </is>
      </c>
      <c r="I50" s="26" t="n">
        <v>22</v>
      </c>
      <c r="J50" s="26" t="n">
        <v>24</v>
      </c>
    </row>
    <row r="51">
      <c r="A51" s="25">
        <f>IF(B51=0,"",ROW()-1)</f>
        <v/>
      </c>
      <c r="B51" s="26">
        <f>IFERROR(INDEX('Monit Non Financial'!$B$2:$B$400, MATCH(C51, 'Monit Non Financial'!$C$2:$C$400, 0)), IFERROR(INDEX('Monit Banks NBFC'!$B$2:$B$100, MATCH(C51, 'Monit Banks NBFC'!$C$2:$C$100, 0)), 0))</f>
        <v/>
      </c>
      <c r="C51" s="25" t="inlineStr">
        <is>
          <t>PRECWIRE</t>
        </is>
      </c>
      <c r="D51" s="25" t="inlineStr">
        <is>
          <t>Precision Wires India Limited</t>
        </is>
      </c>
      <c r="E51" s="25" t="inlineStr">
        <is>
          <t>Copper Wires</t>
        </is>
      </c>
      <c r="F51" s="25" t="n">
        <v>2</v>
      </c>
      <c r="G51" s="25" t="inlineStr">
        <is>
          <t>No</t>
        </is>
      </c>
      <c r="H51" s="26" t="inlineStr">
        <is>
          <t>Yes</t>
        </is>
      </c>
      <c r="I51" s="26" t="n">
        <v>22</v>
      </c>
      <c r="J51" s="26" t="n">
        <v>24</v>
      </c>
    </row>
    <row r="52">
      <c r="A52" s="25">
        <f>IF(B52=0,"",ROW()-1)</f>
        <v/>
      </c>
      <c r="B52" s="26">
        <f>IFERROR(INDEX('Monit Non Financial'!$B$2:$B$400, MATCH(C52, 'Monit Non Financial'!$C$2:$C$400, 0)), IFERROR(INDEX('Monit Banks NBFC'!$B$2:$B$100, MATCH(C52, 'Monit Banks NBFC'!$C$2:$C$100, 0)), 0))</f>
        <v/>
      </c>
      <c r="C52" s="25" t="inlineStr">
        <is>
          <t>VERANDA</t>
        </is>
      </c>
      <c r="D52" s="25" t="inlineStr">
        <is>
          <t>Veranda Learning Solutions Ltd</t>
        </is>
      </c>
      <c r="E52" s="25" t="inlineStr">
        <is>
          <t>Computer Education</t>
        </is>
      </c>
      <c r="F52" s="25" t="n">
        <v>2</v>
      </c>
      <c r="G52" s="25" t="inlineStr">
        <is>
          <t>No</t>
        </is>
      </c>
      <c r="H52" s="26" t="inlineStr">
        <is>
          <t>Yes</t>
        </is>
      </c>
      <c r="I52" s="26" t="n">
        <v>20</v>
      </c>
      <c r="J52" s="26" t="n">
        <v>19</v>
      </c>
    </row>
    <row r="53">
      <c r="A53" s="25">
        <f>IF(B53=0,"",ROW()-1)</f>
        <v/>
      </c>
      <c r="B53" s="26">
        <f>IFERROR(INDEX('Monit Non Financial'!$B$2:$B$400, MATCH(C53, 'Monit Non Financial'!$C$2:$C$400, 0)), IFERROR(INDEX('Monit Banks NBFC'!$B$2:$B$100, MATCH(C53, 'Monit Banks NBFC'!$C$2:$C$100, 0)), 0))</f>
        <v/>
      </c>
      <c r="C53" s="25" t="inlineStr">
        <is>
          <t>SKIPPER</t>
        </is>
      </c>
      <c r="D53" s="25" t="inlineStr">
        <is>
          <t>Skipper Limited</t>
        </is>
      </c>
      <c r="E53" s="25" t="inlineStr">
        <is>
          <t>Electrical Equipments/HVDC</t>
        </is>
      </c>
      <c r="F53" s="25" t="n">
        <v>2</v>
      </c>
      <c r="G53" s="25" t="inlineStr">
        <is>
          <t>No</t>
        </is>
      </c>
      <c r="H53" s="26" t="inlineStr">
        <is>
          <t>Yes</t>
        </is>
      </c>
      <c r="I53" s="26" t="n">
        <v>32</v>
      </c>
      <c r="J53" s="26" t="n">
        <v>17</v>
      </c>
    </row>
    <row r="54">
      <c r="A54" s="25">
        <f>IF(B54=0,"",ROW()-1)</f>
        <v/>
      </c>
      <c r="B54" s="26">
        <f>IFERROR(INDEX('Monit Non Financial'!$B$2:$B$400, MATCH(C54, 'Monit Non Financial'!$C$2:$C$400, 0)), IFERROR(INDEX('Monit Banks NBFC'!$B$2:$B$100, MATCH(C54, 'Monit Banks NBFC'!$C$2:$C$100, 0)), 0))</f>
        <v/>
      </c>
      <c r="C54" s="25" t="inlineStr">
        <is>
          <t>HONASA</t>
        </is>
      </c>
      <c r="D54" s="25" t="inlineStr">
        <is>
          <t>Honasa Consumer Ltd</t>
        </is>
      </c>
      <c r="E54" s="25" t="inlineStr">
        <is>
          <t>New age - Platform - E-Retail</t>
        </is>
      </c>
      <c r="F54" s="25" t="n">
        <v>2</v>
      </c>
      <c r="G54" s="25" t="inlineStr">
        <is>
          <t>No</t>
        </is>
      </c>
      <c r="H54" s="26" t="inlineStr">
        <is>
          <t>Yes</t>
        </is>
      </c>
      <c r="I54" s="26" t="n">
        <v>22</v>
      </c>
      <c r="J54" s="26" t="n">
        <v>30</v>
      </c>
    </row>
    <row r="55">
      <c r="A55" s="25">
        <f>IF(B55=0,"",ROW()-1)</f>
        <v/>
      </c>
      <c r="B55" s="26">
        <f>IFERROR(INDEX('Monit Non Financial'!$B$2:$B$400, MATCH(C55, 'Monit Non Financial'!$C$2:$C$400, 0)), IFERROR(INDEX('Monit Banks NBFC'!$B$2:$B$100, MATCH(C55, 'Monit Banks NBFC'!$C$2:$C$100, 0)), 0))</f>
        <v/>
      </c>
      <c r="C55" s="25" t="inlineStr">
        <is>
          <t>SIS</t>
        </is>
      </c>
      <c r="D55" s="25" t="inlineStr">
        <is>
          <t>Security &amp; Intelligence Services India</t>
        </is>
      </c>
      <c r="E55" s="25" t="inlineStr">
        <is>
          <t>Facility Management</t>
        </is>
      </c>
      <c r="F55" s="25" t="n">
        <v>2</v>
      </c>
      <c r="G55" s="25" t="inlineStr">
        <is>
          <t>No</t>
        </is>
      </c>
      <c r="H55" s="26" t="inlineStr">
        <is>
          <t>Yes</t>
        </is>
      </c>
      <c r="I55" s="26" t="n">
        <v>20</v>
      </c>
      <c r="J55" s="26" t="n">
        <v>30</v>
      </c>
    </row>
    <row r="56">
      <c r="A56" s="25">
        <f>IF(B56=0,"",ROW()-1)</f>
        <v/>
      </c>
      <c r="B56" s="26">
        <f>IFERROR(INDEX('Monit Non Financial'!$B$2:$B$400, MATCH(C56, 'Monit Non Financial'!$C$2:$C$400, 0)), IFERROR(INDEX('Monit Banks NBFC'!$B$2:$B$100, MATCH(C56, 'Monit Banks NBFC'!$C$2:$C$100, 0)), 0))</f>
        <v/>
      </c>
      <c r="C56" s="25" t="inlineStr">
        <is>
          <t>MTARTECH</t>
        </is>
      </c>
      <c r="D56" s="25" t="inlineStr">
        <is>
          <t>MTAR Technologies Ltd</t>
        </is>
      </c>
      <c r="E56" s="25" t="inlineStr">
        <is>
          <t>Aerospace &amp; Defence - Equipments</t>
        </is>
      </c>
      <c r="F56" s="25" t="n">
        <v>2</v>
      </c>
      <c r="G56" s="25" t="inlineStr">
        <is>
          <t>No</t>
        </is>
      </c>
      <c r="H56" s="26" t="inlineStr">
        <is>
          <t>Yes</t>
        </is>
      </c>
      <c r="I56" s="26" t="n">
        <v>21</v>
      </c>
      <c r="J56" s="26" t="n">
        <v>29</v>
      </c>
    </row>
    <row r="57">
      <c r="A57" s="25">
        <f>IF(B57=0,"",ROW()-1)</f>
        <v/>
      </c>
      <c r="B57" s="26">
        <f>IFERROR(INDEX('Monit Non Financial'!$B$2:$B$400, MATCH(C57, 'Monit Non Financial'!$C$2:$C$400, 0)), IFERROR(INDEX('Monit Banks NBFC'!$B$2:$B$100, MATCH(C57, 'Monit Banks NBFC'!$C$2:$C$100, 0)), 0))</f>
        <v/>
      </c>
      <c r="C57" s="25" t="inlineStr">
        <is>
          <t>RRKABEL</t>
        </is>
      </c>
      <c r="D57" s="25" t="inlineStr">
        <is>
          <t>R R Kabel Ltd</t>
        </is>
      </c>
      <c r="E57" s="25" t="inlineStr">
        <is>
          <t>Cables - Power</t>
        </is>
      </c>
      <c r="F57" s="25" t="n">
        <v>2</v>
      </c>
      <c r="G57" s="25" t="inlineStr">
        <is>
          <t>No</t>
        </is>
      </c>
      <c r="H57" s="26" t="inlineStr">
        <is>
          <t>Yes</t>
        </is>
      </c>
      <c r="I57" s="26" t="n">
        <v>24</v>
      </c>
      <c r="J57" s="26" t="n">
        <v>28</v>
      </c>
    </row>
    <row r="58">
      <c r="A58" s="25">
        <f>IF(B58=0,"",ROW()-1)</f>
        <v/>
      </c>
      <c r="B58" s="26">
        <f>IFERROR(INDEX('Monit Non Financial'!$B$2:$B$400, MATCH(C58, 'Monit Non Financial'!$C$2:$C$400, 0)), IFERROR(INDEX('Monit Banks NBFC'!$B$2:$B$100, MATCH(C58, 'Monit Banks NBFC'!$C$2:$C$100, 0)), 0))</f>
        <v/>
      </c>
      <c r="C58" s="25" t="inlineStr">
        <is>
          <t>ARVIND</t>
        </is>
      </c>
      <c r="D58" s="25" t="inlineStr">
        <is>
          <t>Arvind Limited</t>
        </is>
      </c>
      <c r="E58" s="25" t="inlineStr">
        <is>
          <t>Textiles</t>
        </is>
      </c>
      <c r="F58" s="25" t="n">
        <v>2</v>
      </c>
      <c r="G58" s="25" t="inlineStr">
        <is>
          <t>52W Breakout</t>
        </is>
      </c>
      <c r="H58" s="26" t="inlineStr">
        <is>
          <t>Yes</t>
        </is>
      </c>
      <c r="I58" s="26" t="n">
        <v>12</v>
      </c>
      <c r="J58" s="26" t="n">
        <v>30</v>
      </c>
    </row>
    <row r="59">
      <c r="A59" s="25">
        <f>IF(B59=0,"",ROW()-1)</f>
        <v/>
      </c>
      <c r="B59" s="26">
        <f>IFERROR(INDEX('Monit Non Financial'!$B$2:$B$400, MATCH(C59, 'Monit Non Financial'!$C$2:$C$400, 0)), IFERROR(INDEX('Monit Banks NBFC'!$B$2:$B$100, MATCH(C59, 'Monit Banks NBFC'!$C$2:$C$100, 0)), 0))</f>
        <v/>
      </c>
      <c r="C59" s="25" t="inlineStr">
        <is>
          <t>CGCL</t>
        </is>
      </c>
      <c r="D59" s="25" t="inlineStr">
        <is>
          <t>Capri Global Capital Limited</t>
        </is>
      </c>
      <c r="E59" s="25" t="inlineStr">
        <is>
          <t>Finance &amp; Investments - Gold Loan</t>
        </is>
      </c>
      <c r="F59" s="25" t="n">
        <v>2</v>
      </c>
      <c r="G59" s="25" t="inlineStr">
        <is>
          <t>No</t>
        </is>
      </c>
      <c r="H59" s="26" t="inlineStr">
        <is>
          <t>Yes</t>
        </is>
      </c>
      <c r="I59" s="26" t="n">
        <v>21</v>
      </c>
      <c r="J59" s="26" t="n">
        <v>19</v>
      </c>
    </row>
    <row r="60">
      <c r="A60" s="25">
        <f>IF(B60=0,"",ROW()-1)</f>
        <v/>
      </c>
      <c r="B60" s="26">
        <f>IFERROR(INDEX('Monit Non Financial'!$B$2:$B$400, MATCH(C60, 'Monit Non Financial'!$C$2:$C$400, 0)), IFERROR(INDEX('Monit Banks NBFC'!$B$2:$B$100, MATCH(C60, 'Monit Banks NBFC'!$C$2:$C$100, 0)), 0))</f>
        <v/>
      </c>
      <c r="C60" s="25" t="inlineStr">
        <is>
          <t>GVPIL</t>
        </is>
      </c>
      <c r="D60" s="25" t="inlineStr">
        <is>
          <t>GE Power India Ltd</t>
        </is>
      </c>
      <c r="E60" s="25" t="inlineStr">
        <is>
          <t>Infra - General</t>
        </is>
      </c>
      <c r="F60" s="25" t="n">
        <v>2</v>
      </c>
      <c r="G60" s="25" t="inlineStr">
        <is>
          <t>No</t>
        </is>
      </c>
      <c r="H60" s="26" t="inlineStr">
        <is>
          <t>Yes</t>
        </is>
      </c>
      <c r="I60" s="26" t="n">
        <v>22</v>
      </c>
      <c r="J60" s="26" t="n">
        <v>30</v>
      </c>
    </row>
    <row r="61">
      <c r="A61" s="25">
        <f>IF(B61=0,"",ROW()-1)</f>
        <v/>
      </c>
      <c r="B61" s="26">
        <f>IFERROR(INDEX('Monit Non Financial'!$B$2:$B$400, MATCH(C61, 'Monit Non Financial'!$C$2:$C$400, 0)), IFERROR(INDEX('Monit Banks NBFC'!$B$2:$B$100, MATCH(C61, 'Monit Banks NBFC'!$C$2:$C$100, 0)), 0))</f>
        <v/>
      </c>
      <c r="C61" s="25" t="inlineStr">
        <is>
          <t>PAISALO</t>
        </is>
      </c>
      <c r="D61" s="25" t="inlineStr">
        <is>
          <t>Paisalo Digital Ltd</t>
        </is>
      </c>
      <c r="E61" s="25" t="inlineStr">
        <is>
          <t>Finance - Capital Markets - Brokers</t>
        </is>
      </c>
      <c r="F61" s="25" t="n">
        <v>2</v>
      </c>
      <c r="G61" s="25" t="inlineStr">
        <is>
          <t>No</t>
        </is>
      </c>
      <c r="H61" s="26" t="inlineStr">
        <is>
          <t>Yes</t>
        </is>
      </c>
      <c r="I61" s="26" t="n">
        <v>23</v>
      </c>
      <c r="J61" s="26" t="n">
        <v>28</v>
      </c>
    </row>
    <row r="62">
      <c r="A62" s="25">
        <f>IF(B62=0,"",ROW()-1)</f>
        <v/>
      </c>
      <c r="B62" s="26">
        <f>IFERROR(INDEX('Monit Non Financial'!$B$2:$B$400, MATCH(C62, 'Monit Non Financial'!$C$2:$C$400, 0)), IFERROR(INDEX('Monit Banks NBFC'!$B$2:$B$100, MATCH(C62, 'Monit Banks NBFC'!$C$2:$C$100, 0)), 0))</f>
        <v/>
      </c>
      <c r="C62" s="25" t="inlineStr">
        <is>
          <t>PTCIL</t>
        </is>
      </c>
      <c r="D62" s="25" t="inlineStr">
        <is>
          <t>PTC Industries Ltd</t>
        </is>
      </c>
      <c r="E62" s="25" t="inlineStr">
        <is>
          <t>Castings - Steel/Alloy</t>
        </is>
      </c>
      <c r="F62" s="25" t="n">
        <v>2</v>
      </c>
      <c r="G62" s="25" t="inlineStr">
        <is>
          <t>No</t>
        </is>
      </c>
      <c r="H62" s="26" t="inlineStr">
        <is>
          <t>Yes</t>
        </is>
      </c>
      <c r="I62" s="26" t="n">
        <v>25</v>
      </c>
      <c r="J62" s="26" t="n">
        <v>8</v>
      </c>
    </row>
    <row r="63">
      <c r="A63" s="25">
        <f>IF(B63=0,"",ROW()-1)</f>
        <v/>
      </c>
      <c r="B63" s="26">
        <f>IFERROR(INDEX('Monit Non Financial'!$B$2:$B$400, MATCH(C63, 'Monit Non Financial'!$C$2:$C$400, 0)), IFERROR(INDEX('Monit Banks NBFC'!$B$2:$B$100, MATCH(C63, 'Monit Banks NBFC'!$C$2:$C$100, 0)), 0))</f>
        <v/>
      </c>
      <c r="C63" s="25" t="inlineStr">
        <is>
          <t>CUPID</t>
        </is>
      </c>
      <c r="D63" s="25" t="inlineStr">
        <is>
          <t>Cupid Limited</t>
        </is>
      </c>
      <c r="E63" s="25" t="inlineStr">
        <is>
          <t>Contraceptives/Protectives</t>
        </is>
      </c>
      <c r="F63" s="25" t="n">
        <v>2</v>
      </c>
      <c r="G63" s="25" t="inlineStr">
        <is>
          <t>No</t>
        </is>
      </c>
      <c r="H63" s="26" t="inlineStr">
        <is>
          <t>Yes</t>
        </is>
      </c>
      <c r="I63" s="26" t="n">
        <v>20</v>
      </c>
      <c r="J63" s="26" t="n">
        <v>29</v>
      </c>
    </row>
    <row r="64">
      <c r="A64" s="25">
        <f>IF(B64=0,"",ROW()-1)</f>
        <v/>
      </c>
      <c r="B64" s="26">
        <f>IFERROR(INDEX('Monit Non Financial'!$B$2:$B$400, MATCH(C64, 'Monit Non Financial'!$C$2:$C$400, 0)), IFERROR(INDEX('Monit Banks NBFC'!$B$2:$B$100, MATCH(C64, 'Monit Banks NBFC'!$C$2:$C$100, 0)), 0))</f>
        <v/>
      </c>
      <c r="C64" s="25" t="inlineStr">
        <is>
          <t>DIACABS</t>
        </is>
      </c>
      <c r="D64" s="25" t="inlineStr">
        <is>
          <t>Diamond Power Infrastructure Ltd</t>
        </is>
      </c>
      <c r="E64" s="25" t="inlineStr">
        <is>
          <t>Cables - Power</t>
        </is>
      </c>
      <c r="F64" s="25" t="n">
        <v>2</v>
      </c>
      <c r="G64" s="25" t="inlineStr">
        <is>
          <t>No</t>
        </is>
      </c>
      <c r="H64" s="26" t="inlineStr">
        <is>
          <t>Yes</t>
        </is>
      </c>
      <c r="I64" s="26" t="n">
        <v>21</v>
      </c>
      <c r="J64" s="26" t="n">
        <v>29</v>
      </c>
    </row>
    <row r="65">
      <c r="A65" s="25">
        <f>IF(B65=0,"",ROW()-1)</f>
        <v/>
      </c>
      <c r="B65" s="26">
        <f>IFERROR(INDEX('Monit Non Financial'!$B$2:$B$400, MATCH(C65, 'Monit Non Financial'!$C$2:$C$400, 0)), IFERROR(INDEX('Monit Banks NBFC'!$B$2:$B$100, MATCH(C65, 'Monit Banks NBFC'!$C$2:$C$100, 0)), 0))</f>
        <v/>
      </c>
      <c r="C65" s="25" t="inlineStr">
        <is>
          <t>INDNIPPON</t>
        </is>
      </c>
      <c r="D65" s="25" t="inlineStr">
        <is>
          <t>India Nippon Electricals Limited</t>
        </is>
      </c>
      <c r="E65" s="25" t="inlineStr">
        <is>
          <t>Auto Ancillaries - Engine Parts</t>
        </is>
      </c>
      <c r="F65" s="25" t="n">
        <v>2</v>
      </c>
      <c r="G65" s="25" t="inlineStr">
        <is>
          <t>No</t>
        </is>
      </c>
      <c r="H65" s="26" t="inlineStr">
        <is>
          <t>Yes</t>
        </is>
      </c>
      <c r="I65" s="26" t="n">
        <v>23</v>
      </c>
      <c r="J65" s="26" t="n">
        <v>5</v>
      </c>
    </row>
    <row r="66">
      <c r="A66" s="25">
        <f>IF(B66=0,"",ROW()-1)</f>
        <v/>
      </c>
      <c r="B66" s="26">
        <f>IFERROR(INDEX('Monit Non Financial'!$B$2:$B$400, MATCH(C66, 'Monit Non Financial'!$C$2:$C$400, 0)), IFERROR(INDEX('Monit Banks NBFC'!$B$2:$B$100, MATCH(C66, 'Monit Banks NBFC'!$C$2:$C$100, 0)), 0))</f>
        <v/>
      </c>
      <c r="C66" s="25" t="inlineStr">
        <is>
          <t>SASKEN</t>
        </is>
      </c>
      <c r="D66" s="25" t="inlineStr">
        <is>
          <t>Sasken Communication Technologies Limited</t>
        </is>
      </c>
      <c r="E66" s="25" t="inlineStr">
        <is>
          <t>IT - Software</t>
        </is>
      </c>
      <c r="F66" s="25" t="n">
        <v>2</v>
      </c>
      <c r="G66" s="25" t="inlineStr">
        <is>
          <t>No</t>
        </is>
      </c>
      <c r="H66" s="26" t="inlineStr">
        <is>
          <t>Yes</t>
        </is>
      </c>
      <c r="I66" s="26" t="n">
        <v>23</v>
      </c>
      <c r="J66" s="26" t="n">
        <v>23</v>
      </c>
    </row>
    <row r="67">
      <c r="A67" s="25">
        <f>IF(B67=0,"",ROW()-1)</f>
        <v/>
      </c>
      <c r="B67" s="26">
        <f>IFERROR(INDEX('Monit Non Financial'!$B$2:$B$400, MATCH(C67, 'Monit Non Financial'!$C$2:$C$400, 0)), IFERROR(INDEX('Monit Banks NBFC'!$B$2:$B$100, MATCH(C67, 'Monit Banks NBFC'!$C$2:$C$100, 0)), 0))</f>
        <v/>
      </c>
      <c r="C67" s="25" t="inlineStr">
        <is>
          <t>SANDHAR</t>
        </is>
      </c>
      <c r="D67" s="25" t="inlineStr">
        <is>
          <t>Sandhar Technologies Limited</t>
        </is>
      </c>
      <c r="E67" s="25" t="inlineStr">
        <is>
          <t>Auto Ancillaries - 2&amp;3 Wheelers</t>
        </is>
      </c>
      <c r="F67" s="25" t="n">
        <v>2</v>
      </c>
      <c r="G67" s="25" t="inlineStr">
        <is>
          <t>No</t>
        </is>
      </c>
      <c r="H67" s="26" t="inlineStr">
        <is>
          <t>Yes</t>
        </is>
      </c>
      <c r="I67" s="26" t="n">
        <v>25</v>
      </c>
      <c r="J67" s="26" t="n">
        <v>19</v>
      </c>
    </row>
    <row r="68">
      <c r="A68" s="25">
        <f>IF(B68=0,"",ROW()-1)</f>
        <v/>
      </c>
      <c r="B68" s="26">
        <f>IFERROR(INDEX('Monit Non Financial'!$B$2:$B$400, MATCH(C68, 'Monit Non Financial'!$C$2:$C$400, 0)), IFERROR(INDEX('Monit Banks NBFC'!$B$2:$B$100, MATCH(C68, 'Monit Banks NBFC'!$C$2:$C$100, 0)), 0))</f>
        <v/>
      </c>
      <c r="C68" s="25" t="inlineStr">
        <is>
          <t>KINGFA</t>
        </is>
      </c>
      <c r="D68" s="25" t="inlineStr">
        <is>
          <t>Kingfa Science &amp; Technology (india) Limited</t>
        </is>
      </c>
      <c r="E68" s="25" t="inlineStr">
        <is>
          <t>Plastics - Plastic &amp; Plastic Products</t>
        </is>
      </c>
      <c r="F68" s="25" t="n">
        <v>2</v>
      </c>
      <c r="G68" s="25" t="inlineStr">
        <is>
          <t>No</t>
        </is>
      </c>
      <c r="H68" s="26" t="inlineStr">
        <is>
          <t>Yes</t>
        </is>
      </c>
      <c r="I68" s="26" t="n">
        <v>19</v>
      </c>
      <c r="J68" s="26" t="n">
        <v>30</v>
      </c>
    </row>
    <row r="69">
      <c r="A69" s="25">
        <f>IF(B69=0,"",ROW()-1)</f>
        <v/>
      </c>
      <c r="B69" s="26">
        <f>IFERROR(INDEX('Monit Non Financial'!$B$2:$B$400, MATCH(C69, 'Monit Non Financial'!$C$2:$C$400, 0)), IFERROR(INDEX('Monit Banks NBFC'!$B$2:$B$100, MATCH(C69, 'Monit Banks NBFC'!$C$2:$C$100, 0)), 0))</f>
        <v/>
      </c>
      <c r="C69" s="25" t="inlineStr">
        <is>
          <t>V2RETAIL</t>
        </is>
      </c>
      <c r="D69" s="25" t="inlineStr">
        <is>
          <t>V2 Retail Limited</t>
        </is>
      </c>
      <c r="E69" s="25" t="inlineStr">
        <is>
          <t>Textiles - Readymade Apparel</t>
        </is>
      </c>
      <c r="F69" s="25" t="n">
        <v>2</v>
      </c>
      <c r="G69" s="25" t="inlineStr">
        <is>
          <t>No</t>
        </is>
      </c>
      <c r="H69" s="26" t="inlineStr">
        <is>
          <t>Yes</t>
        </is>
      </c>
      <c r="I69" s="26" t="n">
        <v>20</v>
      </c>
      <c r="J69" s="26" t="n">
        <v>24</v>
      </c>
    </row>
    <row r="70">
      <c r="A70" s="25">
        <f>IF(B70=0,"",ROW()-1)</f>
        <v/>
      </c>
      <c r="B70" s="26">
        <f>IFERROR(INDEX('Monit Non Financial'!$B$2:$B$400, MATCH(C70, 'Monit Non Financial'!$C$2:$C$400, 0)), IFERROR(INDEX('Monit Banks NBFC'!$B$2:$B$100, MATCH(C70, 'Monit Banks NBFC'!$C$2:$C$100, 0)), 0))</f>
        <v/>
      </c>
      <c r="C70" s="25" t="inlineStr">
        <is>
          <t>PREMIERENE</t>
        </is>
      </c>
      <c r="D70" s="25" t="inlineStr">
        <is>
          <t>Premier Energies Ltd</t>
        </is>
      </c>
      <c r="E70" s="25" t="inlineStr">
        <is>
          <t>Capital Goods - Solar</t>
        </is>
      </c>
      <c r="F70" s="25" t="n">
        <v>2</v>
      </c>
      <c r="G70" s="25" t="inlineStr">
        <is>
          <t>No</t>
        </is>
      </c>
      <c r="H70" s="26" t="inlineStr">
        <is>
          <t>Yes</t>
        </is>
      </c>
      <c r="I70" s="26" t="n">
        <v>19</v>
      </c>
      <c r="J70" s="26" t="n">
        <v>21</v>
      </c>
    </row>
    <row r="71">
      <c r="A71" s="25">
        <f>IF(B71=0,"",ROW()-1)</f>
        <v/>
      </c>
      <c r="B71" s="26">
        <f>IFERROR(INDEX('Monit Non Financial'!$B$2:$B$400, MATCH(C71, 'Monit Non Financial'!$C$2:$C$400, 0)), IFERROR(INDEX('Monit Banks NBFC'!$B$2:$B$100, MATCH(C71, 'Monit Banks NBFC'!$C$2:$C$100, 0)), 0))</f>
        <v/>
      </c>
      <c r="C71" s="25" t="inlineStr">
        <is>
          <t>NSLNISP</t>
        </is>
      </c>
      <c r="D71" s="25" t="inlineStr">
        <is>
          <t>NMDC Steel Ltd</t>
        </is>
      </c>
      <c r="E71" s="25" t="inlineStr">
        <is>
          <t>Steel</t>
        </is>
      </c>
      <c r="F71" s="25" t="n">
        <v>2</v>
      </c>
      <c r="G71" s="25" t="inlineStr">
        <is>
          <t>No</t>
        </is>
      </c>
      <c r="H71" s="26" t="inlineStr">
        <is>
          <t>Yes</t>
        </is>
      </c>
      <c r="I71" s="26" t="n">
        <v>24</v>
      </c>
      <c r="J71" s="26" t="n">
        <v>26</v>
      </c>
    </row>
    <row r="72">
      <c r="A72" s="25">
        <f>IF(B72=0,"",ROW()-1)</f>
        <v/>
      </c>
      <c r="B72" s="26">
        <f>IFERROR(INDEX('Monit Non Financial'!$B$2:$B$400, MATCH(C72, 'Monit Non Financial'!$C$2:$C$400, 0)), IFERROR(INDEX('Monit Banks NBFC'!$B$2:$B$100, MATCH(C72, 'Monit Banks NBFC'!$C$2:$C$100, 0)), 0))</f>
        <v/>
      </c>
      <c r="C72" s="25" t="inlineStr">
        <is>
          <t>ANTELOPUS</t>
        </is>
      </c>
      <c r="D72" s="25" t="inlineStr">
        <is>
          <t>Antelopus Selan Energy Ltd</t>
        </is>
      </c>
      <c r="E72" s="25" t="inlineStr">
        <is>
          <t>Oil Drilling &amp; Exploration</t>
        </is>
      </c>
      <c r="F72" s="25" t="n">
        <v>2</v>
      </c>
      <c r="G72" s="25" t="inlineStr">
        <is>
          <t>No</t>
        </is>
      </c>
      <c r="H72" s="26" t="inlineStr">
        <is>
          <t>Yes</t>
        </is>
      </c>
      <c r="I72" s="26" t="n">
        <v>20</v>
      </c>
      <c r="J72" s="26" t="n">
        <v>27</v>
      </c>
    </row>
    <row r="73">
      <c r="A73" s="25">
        <f>IF(B73=0,"",ROW()-1)</f>
        <v/>
      </c>
      <c r="B73" s="26">
        <f>IFERROR(INDEX('Monit Non Financial'!$B$2:$B$400, MATCH(C73, 'Monit Non Financial'!$C$2:$C$400, 0)), IFERROR(INDEX('Monit Banks NBFC'!$B$2:$B$100, MATCH(C73, 'Monit Banks NBFC'!$C$2:$C$100, 0)), 0))</f>
        <v/>
      </c>
      <c r="C73" s="25" t="inlineStr">
        <is>
          <t>ASTRAMICRO</t>
        </is>
      </c>
      <c r="D73" s="25" t="inlineStr">
        <is>
          <t>Astra Microwave Products Limited</t>
        </is>
      </c>
      <c r="E73" s="25" t="inlineStr">
        <is>
          <t>unknown</t>
        </is>
      </c>
      <c r="F73" s="25" t="n">
        <v>2</v>
      </c>
      <c r="G73" s="25" t="inlineStr">
        <is>
          <t>No</t>
        </is>
      </c>
      <c r="H73" s="26" t="inlineStr">
        <is>
          <t>Yes</t>
        </is>
      </c>
      <c r="I73" s="26" t="n">
        <v>0</v>
      </c>
      <c r="J73" s="26" t="n">
        <v>27</v>
      </c>
    </row>
    <row r="74">
      <c r="A74" s="25">
        <f>IF(B74=0,"",ROW()-1)</f>
        <v/>
      </c>
      <c r="B74" s="26">
        <f>IFERROR(INDEX('Monit Non Financial'!$B$2:$B$400, MATCH(C74, 'Monit Non Financial'!$C$2:$C$400, 0)), IFERROR(INDEX('Monit Banks NBFC'!$B$2:$B$100, MATCH(C74, 'Monit Banks NBFC'!$C$2:$C$100, 0)), 0))</f>
        <v/>
      </c>
      <c r="C74" s="25" t="inlineStr">
        <is>
          <t>JSWSTEEL</t>
        </is>
      </c>
      <c r="D74" s="25" t="inlineStr">
        <is>
          <t>Jsw Steel Limited</t>
        </is>
      </c>
      <c r="E74" s="25" t="inlineStr">
        <is>
          <t>Steel</t>
        </is>
      </c>
      <c r="F74" s="25" t="n">
        <v>2</v>
      </c>
      <c r="G74" s="25" t="inlineStr">
        <is>
          <t>52W Breakout</t>
        </is>
      </c>
      <c r="H74" s="26" t="inlineStr">
        <is>
          <t>Yes</t>
        </is>
      </c>
      <c r="I74" s="26" t="n">
        <v>12</v>
      </c>
      <c r="J74" s="26" t="n">
        <v>26</v>
      </c>
    </row>
    <row r="75">
      <c r="A75" s="25">
        <f>IF(B75=0,"",ROW()-1)</f>
        <v/>
      </c>
      <c r="B75" s="26">
        <f>IFERROR(INDEX('Monit Non Financial'!$B$2:$B$400, MATCH(C75, 'Monit Non Financial'!$C$2:$C$400, 0)), IFERROR(INDEX('Monit Banks NBFC'!$B$2:$B$100, MATCH(C75, 'Monit Banks NBFC'!$C$2:$C$100, 0)), 0))</f>
        <v/>
      </c>
      <c r="C75" s="25" t="inlineStr">
        <is>
          <t>VADILALIND</t>
        </is>
      </c>
      <c r="D75" s="25" t="inlineStr">
        <is>
          <t>Vadilal Industries Limited</t>
        </is>
      </c>
      <c r="E75" s="25" t="inlineStr">
        <is>
          <t>FMCG - Dairy Products</t>
        </is>
      </c>
      <c r="F75" s="25" t="n">
        <v>2</v>
      </c>
      <c r="G75" s="25" t="inlineStr">
        <is>
          <t>No</t>
        </is>
      </c>
      <c r="H75" s="26" t="inlineStr">
        <is>
          <t>Yes</t>
        </is>
      </c>
      <c r="I75" s="26" t="n">
        <v>20</v>
      </c>
      <c r="J75" s="26" t="n">
        <v>2</v>
      </c>
    </row>
    <row r="76">
      <c r="A76" s="25">
        <f>IF(B76=0,"",ROW()-1)</f>
        <v/>
      </c>
      <c r="B76" s="26">
        <f>IFERROR(INDEX('Monit Non Financial'!$B$2:$B$400, MATCH(C76, 'Monit Non Financial'!$C$2:$C$400, 0)), IFERROR(INDEX('Monit Banks NBFC'!$B$2:$B$100, MATCH(C76, 'Monit Banks NBFC'!$C$2:$C$100, 0)), 0))</f>
        <v/>
      </c>
      <c r="C76" s="25" t="inlineStr">
        <is>
          <t>YASHO</t>
        </is>
      </c>
      <c r="D76" s="25" t="inlineStr">
        <is>
          <t>Yasho Industries Ltd</t>
        </is>
      </c>
      <c r="E76" s="25" t="inlineStr">
        <is>
          <t>Speciality Chemicals</t>
        </is>
      </c>
      <c r="F76" s="25" t="n">
        <v>2</v>
      </c>
      <c r="G76" s="25" t="inlineStr">
        <is>
          <t>No</t>
        </is>
      </c>
      <c r="H76" s="26" t="inlineStr">
        <is>
          <t>Yes</t>
        </is>
      </c>
      <c r="I76" s="26" t="n">
        <v>21</v>
      </c>
      <c r="J76" s="26" t="n">
        <v>13</v>
      </c>
    </row>
    <row r="77">
      <c r="A77" s="25">
        <f>IF(B77=0,"",ROW()-1)</f>
        <v/>
      </c>
      <c r="B77" s="26">
        <f>IFERROR(INDEX('Monit Non Financial'!$B$2:$B$400, MATCH(C77, 'Monit Non Financial'!$C$2:$C$400, 0)), IFERROR(INDEX('Monit Banks NBFC'!$B$2:$B$100, MATCH(C77, 'Monit Banks NBFC'!$C$2:$C$100, 0)), 0))</f>
        <v/>
      </c>
      <c r="C77" s="25" t="inlineStr">
        <is>
          <t>SIGMAADV</t>
        </is>
      </c>
      <c r="D77" s="25" t="inlineStr">
        <is>
          <t>Sigma Advanced System Ltd</t>
        </is>
      </c>
      <c r="E77" s="25" t="inlineStr">
        <is>
          <t>Aerospace &amp; Defence - Equipments</t>
        </is>
      </c>
      <c r="F77" s="25" t="n">
        <v>2</v>
      </c>
      <c r="G77" s="25" t="inlineStr">
        <is>
          <t>No</t>
        </is>
      </c>
      <c r="H77" s="26" t="inlineStr">
        <is>
          <t>Yes</t>
        </is>
      </c>
      <c r="I77" s="26" t="n">
        <v>31</v>
      </c>
      <c r="J77" s="26" t="n">
        <v>30</v>
      </c>
    </row>
    <row r="78">
      <c r="A78" s="25">
        <f>IF(B78=0,"",ROW()-1)</f>
        <v/>
      </c>
      <c r="B78" s="26">
        <f>IFERROR(INDEX('Monit Non Financial'!$B$2:$B$400, MATCH(C78, 'Monit Non Financial'!$C$2:$C$400, 0)), IFERROR(INDEX('Monit Banks NBFC'!$B$2:$B$100, MATCH(C78, 'Monit Banks NBFC'!$C$2:$C$100, 0)), 0))</f>
        <v/>
      </c>
      <c r="C78" s="25" t="inlineStr">
        <is>
          <t>AEROFLEX</t>
        </is>
      </c>
      <c r="D78" s="25" t="inlineStr">
        <is>
          <t>Aeroflex Industries Ltd</t>
        </is>
      </c>
      <c r="E78" s="25" t="inlineStr">
        <is>
          <t>Stainless Steel</t>
        </is>
      </c>
      <c r="F78" s="25" t="n">
        <v>2</v>
      </c>
      <c r="G78" s="25" t="inlineStr">
        <is>
          <t>No</t>
        </is>
      </c>
      <c r="H78" s="26" t="inlineStr">
        <is>
          <t>Yes</t>
        </is>
      </c>
      <c r="I78" s="26" t="n">
        <v>19</v>
      </c>
      <c r="J78" s="26" t="n">
        <v>26</v>
      </c>
    </row>
    <row r="79">
      <c r="A79" s="25">
        <f>IF(B79=0,"",ROW()-1)</f>
        <v/>
      </c>
      <c r="B79" s="26">
        <f>IFERROR(INDEX('Monit Non Financial'!$B$2:$B$400, MATCH(C79, 'Monit Non Financial'!$C$2:$C$400, 0)), IFERROR(INDEX('Monit Banks NBFC'!$B$2:$B$100, MATCH(C79, 'Monit Banks NBFC'!$C$2:$C$100, 0)), 0))</f>
        <v/>
      </c>
      <c r="C79" s="25" t="inlineStr">
        <is>
          <t>ACMESOLAR</t>
        </is>
      </c>
      <c r="D79" s="25" t="inlineStr">
        <is>
          <t>ACME Solar Holdings Ltd</t>
        </is>
      </c>
      <c r="E79" s="25" t="inlineStr">
        <is>
          <t>Engineering - Turnkey Services</t>
        </is>
      </c>
      <c r="F79" s="25" t="n">
        <v>2</v>
      </c>
      <c r="G79" s="25" t="inlineStr">
        <is>
          <t>52W Breakout</t>
        </is>
      </c>
      <c r="H79" s="26" t="inlineStr">
        <is>
          <t>Yes</t>
        </is>
      </c>
      <c r="I79" s="26" t="n">
        <v>15</v>
      </c>
      <c r="J79" s="26" t="n">
        <v>19</v>
      </c>
    </row>
    <row r="80">
      <c r="A80" s="25">
        <f>IF(B80=0,"",ROW()-1)</f>
        <v/>
      </c>
      <c r="B80" s="26">
        <f>IFERROR(INDEX('Monit Non Financial'!$B$2:$B$400, MATCH(C80, 'Monit Non Financial'!$C$2:$C$400, 0)), IFERROR(INDEX('Monit Banks NBFC'!$B$2:$B$100, MATCH(C80, 'Monit Banks NBFC'!$C$2:$C$100, 0)), 0))</f>
        <v/>
      </c>
      <c r="C80" s="25" t="inlineStr">
        <is>
          <t>CRAFTSMAN</t>
        </is>
      </c>
      <c r="D80" s="25" t="inlineStr">
        <is>
          <t>Craftsman Automation Ltd</t>
        </is>
      </c>
      <c r="E80" s="25" t="inlineStr">
        <is>
          <t>Auto &amp; Auto Ancl - CV</t>
        </is>
      </c>
      <c r="F80" s="25" t="n">
        <v>2</v>
      </c>
      <c r="G80" s="25" t="inlineStr">
        <is>
          <t>No</t>
        </is>
      </c>
      <c r="H80" s="26" t="inlineStr">
        <is>
          <t>Yes</t>
        </is>
      </c>
      <c r="I80" s="26" t="n">
        <v>19</v>
      </c>
      <c r="J80" s="26" t="n">
        <v>30</v>
      </c>
    </row>
    <row r="81">
      <c r="A81" s="25">
        <f>IF(B81=0,"",ROW()-1)</f>
        <v/>
      </c>
      <c r="B81" s="26">
        <f>IFERROR(INDEX('Monit Non Financial'!$B$2:$B$400, MATCH(C81, 'Monit Non Financial'!$C$2:$C$400, 0)), IFERROR(INDEX('Monit Banks NBFC'!$B$2:$B$100, MATCH(C81, 'Monit Banks NBFC'!$C$2:$C$100, 0)), 0))</f>
        <v/>
      </c>
      <c r="C81" s="25" t="inlineStr">
        <is>
          <t>LLOYDSME</t>
        </is>
      </c>
      <c r="D81" s="25" t="inlineStr">
        <is>
          <t>Lloyds Metals &amp; Energy Ltd</t>
        </is>
      </c>
      <c r="E81" s="25" t="inlineStr">
        <is>
          <t>Mining/Minerals - Iron Ore</t>
        </is>
      </c>
      <c r="F81" s="25" t="n">
        <v>2</v>
      </c>
      <c r="G81" s="25" t="inlineStr">
        <is>
          <t>No</t>
        </is>
      </c>
      <c r="H81" s="26" t="inlineStr">
        <is>
          <t>Yes</t>
        </is>
      </c>
      <c r="I81" s="26" t="n">
        <v>23</v>
      </c>
      <c r="J81" s="26" t="n">
        <v>28</v>
      </c>
    </row>
    <row r="82">
      <c r="A82" s="25">
        <f>IF(B82=0,"",ROW()-1)</f>
        <v/>
      </c>
      <c r="B82" s="26">
        <f>IFERROR(INDEX('Monit Non Financial'!$B$2:$B$400, MATCH(C82, 'Monit Non Financial'!$C$2:$C$400, 0)), IFERROR(INDEX('Monit Banks NBFC'!$B$2:$B$100, MATCH(C82, 'Monit Banks NBFC'!$C$2:$C$100, 0)), 0))</f>
        <v/>
      </c>
      <c r="C82" s="25" t="inlineStr">
        <is>
          <t>DEEDEV</t>
        </is>
      </c>
      <c r="D82" s="25" t="inlineStr">
        <is>
          <t>DEE Development Engineers Ltd</t>
        </is>
      </c>
      <c r="E82" s="25" t="inlineStr">
        <is>
          <t>Steel - Tubes/Pipes</t>
        </is>
      </c>
      <c r="F82" s="25" t="n">
        <v>2</v>
      </c>
      <c r="G82" s="25" t="inlineStr">
        <is>
          <t>52W Breakout</t>
        </is>
      </c>
      <c r="H82" s="26" t="inlineStr">
        <is>
          <t>Yes</t>
        </is>
      </c>
      <c r="I82" s="26" t="n">
        <v>14</v>
      </c>
      <c r="J82" s="26" t="n">
        <v>30</v>
      </c>
    </row>
    <row r="83">
      <c r="A83" s="25">
        <f>IF(B83=0,"",ROW()-1)</f>
        <v/>
      </c>
      <c r="B83" s="26">
        <f>IFERROR(INDEX('Monit Non Financial'!$B$2:$B$400, MATCH(C83, 'Monit Non Financial'!$C$2:$C$400, 0)), IFERROR(INDEX('Monit Banks NBFC'!$B$2:$B$100, MATCH(C83, 'Monit Banks NBFC'!$C$2:$C$100, 0)), 0))</f>
        <v/>
      </c>
      <c r="C83" s="25" t="inlineStr">
        <is>
          <t>KRISHANA</t>
        </is>
      </c>
      <c r="D83" s="25" t="inlineStr">
        <is>
          <t>Krishana Phoschem Ltd</t>
        </is>
      </c>
      <c r="E83" s="25" t="inlineStr">
        <is>
          <t>Fertilisers</t>
        </is>
      </c>
      <c r="F83" s="25" t="n">
        <v>2</v>
      </c>
      <c r="G83" s="25" t="inlineStr">
        <is>
          <t>No</t>
        </is>
      </c>
      <c r="H83" s="26" t="inlineStr">
        <is>
          <t>Yes</t>
        </is>
      </c>
      <c r="I83" s="26" t="n">
        <v>24</v>
      </c>
      <c r="J83" s="26" t="n">
        <v>22</v>
      </c>
    </row>
    <row r="84">
      <c r="A84" s="25">
        <f>IF(B84=0,"",ROW()-1)</f>
        <v/>
      </c>
      <c r="B84" s="26">
        <f>IFERROR(INDEX('Monit Non Financial'!$B$2:$B$400, MATCH(C84, 'Monit Non Financial'!$C$2:$C$400, 0)), IFERROR(INDEX('Monit Banks NBFC'!$B$2:$B$100, MATCH(C84, 'Monit Banks NBFC'!$C$2:$C$100, 0)), 0))</f>
        <v/>
      </c>
      <c r="C84" s="25" t="inlineStr">
        <is>
          <t>VEDL</t>
        </is>
      </c>
      <c r="D84" s="25" t="inlineStr">
        <is>
          <t>Vedanta Limited</t>
        </is>
      </c>
      <c r="E84" s="25" t="inlineStr">
        <is>
          <t>Mining/Minerals</t>
        </is>
      </c>
      <c r="F84" s="25" t="n">
        <v>2</v>
      </c>
      <c r="G84" s="25" t="inlineStr">
        <is>
          <t>No</t>
        </is>
      </c>
      <c r="H84" s="26" t="inlineStr">
        <is>
          <t>Yes</t>
        </is>
      </c>
      <c r="I84" s="26" t="n">
        <v>20</v>
      </c>
      <c r="J84" s="26" t="n">
        <v>25</v>
      </c>
    </row>
  </sheetData>
  <autoFilter ref="A1:J84"/>
  <conditionalFormatting sqref="F2:F8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4" t="inlineStr">
        <is>
          <t>Model</t>
        </is>
      </c>
      <c r="B1" s="24" t="inlineStr">
        <is>
          <t>Section</t>
        </is>
      </c>
      <c r="C1" s="24" t="inlineStr">
        <is>
          <t>Criterion</t>
        </is>
      </c>
      <c r="D1" s="24" t="inlineStr">
        <is>
          <t>Question</t>
        </is>
      </c>
      <c r="E1" s="24" t="inlineStr">
        <is>
          <t>Source Row</t>
        </is>
      </c>
      <c r="F1" s="24" t="inlineStr">
        <is>
          <t>Score Formula</t>
        </is>
      </c>
      <c r="G1" s="24" t="inlineStr">
        <is>
          <t>Dropdown Options</t>
        </is>
      </c>
    </row>
    <row r="2">
      <c r="A2" s="25" t="inlineStr">
        <is>
          <t>Non Financial</t>
        </is>
      </c>
      <c r="B2" s="26" t="inlineStr">
        <is>
          <t>SOIC Ranking Sheet</t>
        </is>
      </c>
      <c r="C2" s="25" t="inlineStr">
        <is>
          <t>Industry Growth</t>
        </is>
      </c>
      <c r="D2" s="25" t="inlineStr">
        <is>
          <t>Is it a growing industry or a stagnant one?</t>
        </is>
      </c>
      <c r="E2" s="25" t="n">
        <v>8</v>
      </c>
      <c r="F2" s="25" t="inlineStr">
        <is>
          <t>'=IF(D8="Growing Industry",10,if(D8="Cyclical in an Upturn",5,0))</t>
        </is>
      </c>
      <c r="G2" s="25" t="inlineStr">
        <is>
          <t>"Growing Industry,Stagnant Industry,Cyclical in an Upturn"</t>
        </is>
      </c>
    </row>
    <row r="3">
      <c r="A3" s="25" t="inlineStr">
        <is>
          <t>Non Financial</t>
        </is>
      </c>
      <c r="B3" s="26" t="inlineStr">
        <is>
          <t>SOIC Ranking Sheet</t>
        </is>
      </c>
      <c r="C3" s="25" t="inlineStr">
        <is>
          <t>Competitiveness</t>
        </is>
      </c>
      <c r="D3" s="25" t="inlineStr">
        <is>
          <t>If one company controls the industry/If top 7 players are less than 50%, means crowded</t>
        </is>
      </c>
      <c r="E3" s="25" t="n">
        <v>9</v>
      </c>
      <c r="F3" s="25" t="inlineStr">
        <is>
          <t>'=IF(D9="Monopoly",10,IF(D9="Oligopoly",5,if(D9="Duopoly that cooperate",10,if(D9="Duopoly that compete",5,if(D9="Too many players with High ROCE",5,0)))))</t>
        </is>
      </c>
      <c r="G3" s="25" t="inlineStr">
        <is>
          <t>"Monopoly,Oligopoly,Duopoly That Cooperate,Duopoly That Compete,Too Many Players with High ROCE,Too Many Players with Low ROCE"</t>
        </is>
      </c>
    </row>
    <row r="4">
      <c r="A4" s="25" t="inlineStr">
        <is>
          <t>Non Financial</t>
        </is>
      </c>
      <c r="B4" s="26" t="inlineStr">
        <is>
          <t>SOIC Ranking Sheet</t>
        </is>
      </c>
      <c r="C4" s="25" t="inlineStr">
        <is>
          <t>Regulation</t>
        </is>
      </c>
      <c r="D4" s="25" t="inlineStr">
        <is>
          <t>Is there regulatory interference by the government?</t>
        </is>
      </c>
      <c r="E4" s="25" t="n">
        <v>10</v>
      </c>
      <c r="F4" s="25" t="inlineStr">
        <is>
          <t>'=IF(D10="No",5,0)</t>
        </is>
      </c>
      <c r="G4" s="25" t="inlineStr">
        <is>
          <t>"Yes,No"</t>
        </is>
      </c>
    </row>
    <row r="5">
      <c r="A5" s="25" t="inlineStr">
        <is>
          <t>Non Financial</t>
        </is>
      </c>
      <c r="B5" s="26" t="inlineStr">
        <is>
          <t>SOIC Ranking Sheet</t>
        </is>
      </c>
      <c r="C5" s="25" t="inlineStr">
        <is>
          <t>Sector Headwinds/Tailwind</t>
        </is>
      </c>
      <c r="D5" s="25" t="inlineStr">
        <is>
          <t>Near term tailwinds or headwinds?</t>
        </is>
      </c>
      <c r="E5" s="25" t="n">
        <v>11</v>
      </c>
      <c r="F5" s="25" t="inlineStr">
        <is>
          <t>'=IF(D11="Tailwind",10,0)</t>
        </is>
      </c>
      <c r="G5" s="25" t="inlineStr">
        <is>
          <t>"Tailwind,Headwind"</t>
        </is>
      </c>
    </row>
    <row r="6">
      <c r="A6" s="25" t="inlineStr">
        <is>
          <t>Non Financial</t>
        </is>
      </c>
      <c r="B6" s="26" t="inlineStr">
        <is>
          <t>SOIC Ranking Sheet</t>
        </is>
      </c>
      <c r="C6" s="25" t="inlineStr">
        <is>
          <t>Industry Type</t>
        </is>
      </c>
      <c r="D6" s="25" t="inlineStr">
        <is>
          <t>Structural or cyclical industry?</t>
        </is>
      </c>
      <c r="E6" s="25" t="n">
        <v>12</v>
      </c>
      <c r="F6" s="25" t="inlineStr">
        <is>
          <t>'=IF(D12="Structural (10 Years Consistency)",10,IF(D12="Shallow Cyclical (2 to 3 years growth)",5,0))</t>
        </is>
      </c>
      <c r="G6" s="25" t="inlineStr">
        <is>
          <t>"Structural (10 Years Consistency),Shallow Cyclical (2 to 3 Years Growth),Cyclical"</t>
        </is>
      </c>
    </row>
    <row r="7">
      <c r="A7" s="25" t="inlineStr">
        <is>
          <t>Non Financial</t>
        </is>
      </c>
      <c r="B7" s="26" t="inlineStr">
        <is>
          <t>SOIC Ranking Sheet</t>
        </is>
      </c>
      <c r="C7" s="25" t="inlineStr">
        <is>
          <t>Margins</t>
        </is>
      </c>
      <c r="D7" s="25" t="inlineStr">
        <is>
          <t>Are the margins much higher than normal? Explanation: Due to product mix or cycle</t>
        </is>
      </c>
      <c r="E7" s="25" t="n">
        <v>17</v>
      </c>
      <c r="F7" s="25" t="inlineStr">
        <is>
          <t>'=IF(D17="Yes due to Product Mix change or Operating Leverage",10,if(D17="Yes, these are peak margins",-5,if(D17="No",5,0)))</t>
        </is>
      </c>
      <c r="G7" s="25" t="inlineStr">
        <is>
          <t>"Yes due to Product Mix change or Operating Leverage,Yes, these are peak margins,No"</t>
        </is>
      </c>
    </row>
    <row r="8">
      <c r="A8" s="25" t="inlineStr">
        <is>
          <t>Non Financial</t>
        </is>
      </c>
      <c r="B8" s="26" t="inlineStr">
        <is>
          <t>SOIC Ranking Sheet</t>
        </is>
      </c>
      <c r="C8" s="25" t="inlineStr">
        <is>
          <t>Margins Stability</t>
        </is>
      </c>
      <c r="D8" s="25" t="inlineStr">
        <is>
          <t>Are the margins stable or volatile?</t>
        </is>
      </c>
      <c r="E8" s="25" t="n">
        <v>18</v>
      </c>
      <c r="F8" s="25" t="inlineStr">
        <is>
          <t>'=IF(D18="Stable",10,0)</t>
        </is>
      </c>
      <c r="G8" s="25" t="inlineStr">
        <is>
          <t>"Stable,Volatile"</t>
        </is>
      </c>
    </row>
    <row r="9">
      <c r="A9" s="25" t="inlineStr">
        <is>
          <t>Non Financial</t>
        </is>
      </c>
      <c r="B9" s="26" t="inlineStr">
        <is>
          <t>SOIC Ranking Sheet</t>
        </is>
      </c>
      <c r="C9" s="25" t="inlineStr">
        <is>
          <t>Growth</t>
        </is>
      </c>
      <c r="D9" s="25" t="inlineStr">
        <is>
          <t>Is the company growing faster than industry?</t>
        </is>
      </c>
      <c r="E9" s="25" t="n">
        <v>19</v>
      </c>
      <c r="F9" s="25" t="inlineStr">
        <is>
          <t>'=IF(D19="Yes",10,0)</t>
        </is>
      </c>
      <c r="G9" s="25" t="inlineStr">
        <is>
          <t>"Yes,No"</t>
        </is>
      </c>
    </row>
    <row r="10">
      <c r="A10" s="25" t="inlineStr">
        <is>
          <t>Non Financial</t>
        </is>
      </c>
      <c r="B10" s="26" t="inlineStr">
        <is>
          <t>SOIC Ranking Sheet</t>
        </is>
      </c>
      <c r="C10" s="25" t="inlineStr">
        <is>
          <t>Business Type</t>
        </is>
      </c>
      <c r="D10" s="25" t="inlineStr">
        <is>
          <t>Is it a B2C business, or B2G, Or B2B?</t>
        </is>
      </c>
      <c r="E10" s="25" t="n">
        <v>20</v>
      </c>
      <c r="F10" s="25" t="inlineStr">
        <is>
          <t>'=IF(D20="B2C",10,IF(D20="B2B",5,0))</t>
        </is>
      </c>
      <c r="G10" s="25" t="inlineStr">
        <is>
          <t>"B2C,B2B,B2G"</t>
        </is>
      </c>
    </row>
    <row r="11">
      <c r="A11" s="25" t="inlineStr">
        <is>
          <t>Non Financial</t>
        </is>
      </c>
      <c r="B11" s="26" t="inlineStr">
        <is>
          <t>SOIC Ranking Sheet</t>
        </is>
      </c>
      <c r="C11" s="25" t="inlineStr">
        <is>
          <t>Near term triggers</t>
        </is>
      </c>
      <c r="D11" s="25" t="inlineStr">
        <is>
          <t>Are there any triggers for growth in near term (4 to 6 quarters)? (Capacity, Margins, Cycle, New product, Geography etc)</t>
        </is>
      </c>
      <c r="E11" s="25" t="n">
        <v>21</v>
      </c>
      <c r="F11" s="25" t="inlineStr">
        <is>
          <t>'=IF(D21="Yes",10,0)</t>
        </is>
      </c>
      <c r="G11" s="25" t="inlineStr">
        <is>
          <t>"Yes,No"</t>
        </is>
      </c>
    </row>
    <row r="12">
      <c r="A12" s="25" t="inlineStr">
        <is>
          <t>Non Financial</t>
        </is>
      </c>
      <c r="B12" s="26" t="inlineStr">
        <is>
          <t>SOIC Ranking Sheet</t>
        </is>
      </c>
      <c r="C12" s="25" t="inlineStr">
        <is>
          <t>Type of Revenue</t>
        </is>
      </c>
      <c r="D12" s="25" t="inlineStr">
        <is>
          <t>Are the revenues annuity in nature or One time? (Annuity companies have repeat demand)</t>
        </is>
      </c>
      <c r="E12" s="25" t="n">
        <v>22</v>
      </c>
      <c r="F12" s="25" t="inlineStr">
        <is>
          <t>'=IF(D22="Fully Annuity",10,IF(D22="Higher Annuity, Lower One Time",5,IF(D22="Higher One Time, Lower Annuity",3,0)))</t>
        </is>
      </c>
      <c r="G12" s="25" t="inlineStr">
        <is>
          <t>"Fully Annuity,Higher Annuity, Lower One time,Higher One Time, Lower Annuity,Fully One Time"</t>
        </is>
      </c>
    </row>
    <row r="13">
      <c r="A13" s="25" t="inlineStr">
        <is>
          <t>Non Financial</t>
        </is>
      </c>
      <c r="B13" s="26" t="inlineStr">
        <is>
          <t>SOIC Ranking Sheet</t>
        </is>
      </c>
      <c r="C13" s="25" t="inlineStr">
        <is>
          <t>Capital Allocation</t>
        </is>
      </c>
      <c r="D13" s="25" t="inlineStr">
        <is>
          <t>How is the capital allocation? (No diworsification)</t>
        </is>
      </c>
      <c r="E13" s="25" t="n">
        <v>23</v>
      </c>
      <c r="F13" s="25" t="inlineStr">
        <is>
          <t>'=IF(D23="Good",10,0)</t>
        </is>
      </c>
      <c r="G13" s="25" t="inlineStr">
        <is>
          <t>"Good,Allocated capital in Non-core Areas"</t>
        </is>
      </c>
    </row>
    <row r="14">
      <c r="A14" s="25" t="inlineStr">
        <is>
          <t>Non Financial</t>
        </is>
      </c>
      <c r="B14" s="26" t="inlineStr">
        <is>
          <t>SOIC Ranking Sheet</t>
        </is>
      </c>
      <c r="C14" s="25" t="inlineStr">
        <is>
          <t>Medium term Growth</t>
        </is>
      </c>
      <c r="D14" s="25" t="inlineStr">
        <is>
          <t>Is there opportunity to grow for next 3-5 years?</t>
        </is>
      </c>
      <c r="E14" s="25" t="n">
        <v>24</v>
      </c>
      <c r="F14" s="25" t="inlineStr">
        <is>
          <t>'=IF(D24="Yes for more than 2 years",10,if(D24="Yes only for next 1 to 2 years",5,0))</t>
        </is>
      </c>
      <c r="G14" s="25" t="inlineStr">
        <is>
          <t>"Yes for more than 2 years,Yes only for next 1 to 2 years,No"</t>
        </is>
      </c>
    </row>
    <row r="15">
      <c r="A15" s="25" t="inlineStr">
        <is>
          <t>Non Financial</t>
        </is>
      </c>
      <c r="B15" s="26" t="inlineStr">
        <is>
          <t>SOIC Ranking Sheet</t>
        </is>
      </c>
      <c r="C15" s="25" t="inlineStr">
        <is>
          <t>ADX</t>
        </is>
      </c>
      <c r="D15" s="25" t="inlineStr">
        <is>
          <t>ADX 14 above 20 on weekly charts?</t>
        </is>
      </c>
      <c r="E15" s="25" t="n">
        <v>29</v>
      </c>
      <c r="F15" s="25" t="inlineStr">
        <is>
          <t>'=IF(D29="Above 40",20,IF(D29="20 to 40",10,IF(D29="0 to 20",-5,0)))</t>
        </is>
      </c>
      <c r="G15" s="25" t="inlineStr">
        <is>
          <t>"Above 40,20 to 40,0 to 20"</t>
        </is>
      </c>
    </row>
    <row r="16">
      <c r="A16" s="25" t="inlineStr">
        <is>
          <t>Non Financial</t>
        </is>
      </c>
      <c r="B16" s="26" t="inlineStr">
        <is>
          <t>SOIC Ranking Sheet</t>
        </is>
      </c>
      <c r="C16" s="25" t="inlineStr">
        <is>
          <t>RSI</t>
        </is>
      </c>
      <c r="D16" s="25" t="inlineStr">
        <is>
          <t>Where is the RSI on weekly charts?  Above 75, can lead to some near term correction</t>
        </is>
      </c>
      <c r="E16" s="25" t="n">
        <v>30</v>
      </c>
      <c r="F16" s="25" t="inlineStr">
        <is>
          <t>'=IF(D30="Between 50 to 75",10,IF(D30="Above 75",0,0))</t>
        </is>
      </c>
      <c r="G16" s="25" t="inlineStr">
        <is>
          <t>"Between 50 to 75,Above 75,Below 45"</t>
        </is>
      </c>
    </row>
    <row r="17">
      <c r="A17" s="25" t="inlineStr">
        <is>
          <t>Non Financial</t>
        </is>
      </c>
      <c r="B17" s="26" t="inlineStr">
        <is>
          <t>SOIC Ranking Sheet</t>
        </is>
      </c>
      <c r="C17" s="25" t="inlineStr">
        <is>
          <t>Stage Analysis</t>
        </is>
      </c>
      <c r="D17" s="25" t="inlineStr">
        <is>
          <t>What stage is the stock in? Stage 1(accumulation), Stage 2(mark up), Stage 3(distribution), Stage 4 (Mark down)</t>
        </is>
      </c>
      <c r="E17" s="25" t="n">
        <v>31</v>
      </c>
      <c r="F17" s="25" t="inlineStr">
        <is>
          <t>'=IF(D31="Stage 2",20,IF(D31="Stage 1",0,IF(D31="Stage 3",5,IF(D31="Stage 4",-5,0))))</t>
        </is>
      </c>
      <c r="G17" s="25" t="inlineStr">
        <is>
          <t>"Stage 1,Stage 2,Stage 3,Stage 4"</t>
        </is>
      </c>
    </row>
    <row r="18">
      <c r="A18" s="25" t="inlineStr">
        <is>
          <t>Non Financial</t>
        </is>
      </c>
      <c r="B18" s="26" t="inlineStr">
        <is>
          <t>SOIC Ranking Sheet</t>
        </is>
      </c>
      <c r="C18" s="25" t="inlineStr">
        <is>
          <t>Price Volume Action</t>
        </is>
      </c>
      <c r="D18" s="25" t="inlineStr">
        <is>
          <t>What is the Price Volume Action indicating? High Volume with high gain days with a +ve trend</t>
        </is>
      </c>
      <c r="E18" s="25" t="n">
        <v>32</v>
      </c>
      <c r="F18" s="25" t="inlineStr">
        <is>
          <t>'=IF(D32="Positive Trend",20,IF(D32="Negative Trend",-10,0))</t>
        </is>
      </c>
      <c r="G18" s="25" t="inlineStr">
        <is>
          <t>"Positive Trend,Negative Trend"</t>
        </is>
      </c>
    </row>
    <row r="19">
      <c r="A19" s="25" t="inlineStr">
        <is>
          <t>Non Financial</t>
        </is>
      </c>
      <c r="B19" s="26" t="inlineStr">
        <is>
          <t>SOIC Ranking Sheet</t>
        </is>
      </c>
      <c r="C19" s="25" t="inlineStr">
        <is>
          <t>Secondary Trend</t>
        </is>
      </c>
      <c r="D19" s="25" t="inlineStr">
        <is>
          <t>What is the secondary trend? (Sideways, upwards, downwards)</t>
        </is>
      </c>
      <c r="E19" s="25" t="n">
        <v>33</v>
      </c>
      <c r="F19" s="25" t="inlineStr">
        <is>
          <t>'=IF(D33="Uptrend",10,IF(D33="Sideways",5,0))</t>
        </is>
      </c>
      <c r="G19" s="25" t="inlineStr">
        <is>
          <t>"Uptrend,Sideways,Downtrend"</t>
        </is>
      </c>
    </row>
    <row r="20">
      <c r="A20" s="25" t="inlineStr">
        <is>
          <t>Non Financial</t>
        </is>
      </c>
      <c r="B20" s="26" t="inlineStr">
        <is>
          <t>SOIC Ranking Sheet</t>
        </is>
      </c>
      <c r="C20" s="25" t="inlineStr">
        <is>
          <t>Primary Trend</t>
        </is>
      </c>
      <c r="D20" s="25" t="inlineStr">
        <is>
          <t>What is the primary trend?  (Sideways, upwards, downwards)</t>
        </is>
      </c>
      <c r="E20" s="25" t="n">
        <v>34</v>
      </c>
      <c r="F20" s="25" t="inlineStr">
        <is>
          <t>'=IF(D34="Uptrend",10,IF(D34="Sideways",5,0))</t>
        </is>
      </c>
      <c r="G20" s="25" t="inlineStr">
        <is>
          <t>"Uptrend,Sideways,Downtrend"</t>
        </is>
      </c>
    </row>
    <row r="21">
      <c r="A21" s="25" t="inlineStr">
        <is>
          <t>Non Financial</t>
        </is>
      </c>
      <c r="B21" s="26" t="inlineStr">
        <is>
          <t>SOIC Ranking Sheet</t>
        </is>
      </c>
      <c r="C21" s="25" t="inlineStr">
        <is>
          <t>Resistance</t>
        </is>
      </c>
      <c r="D21" s="25" t="inlineStr">
        <is>
          <t>Is there any zone of resistance in the recent past?</t>
        </is>
      </c>
      <c r="E21" s="25" t="n">
        <v>35</v>
      </c>
      <c r="F21" s="25" t="inlineStr">
        <is>
          <t>'=IF(D35="Overhead supply in last 2 years in last 2 years",-5,if(D35="Close to 52 week high or retracement",5,if(D35="Blue sky scenario",10,if(D35="Long term Downtrend",-10,0))))</t>
        </is>
      </c>
      <c r="G21" s="25" t="inlineStr">
        <is>
          <t>"Overhead supply in last 2 years in last 2 years,Close to 52 week high or retracement,Blue sky scenario,Long term Downtrend"</t>
        </is>
      </c>
    </row>
    <row r="22">
      <c r="A22" s="25" t="inlineStr">
        <is>
          <t>Non Financial</t>
        </is>
      </c>
      <c r="B22" s="26" t="inlineStr">
        <is>
          <t>SOIC Ranking Sheet</t>
        </is>
      </c>
      <c r="C22" s="25" t="inlineStr">
        <is>
          <t>V-stop</t>
        </is>
      </c>
      <c r="D22" s="25" t="inlineStr">
        <is>
          <t>Is the Vstop Positive on weekly/Monthly time frame?</t>
        </is>
      </c>
      <c r="E22" s="25" t="n">
        <v>36</v>
      </c>
      <c r="F22" s="25" t="inlineStr">
        <is>
          <t>'=IF(D36="Yes",10,0)</t>
        </is>
      </c>
      <c r="G22" s="25" t="inlineStr">
        <is>
          <t>"Yes,No"</t>
        </is>
      </c>
    </row>
    <row r="23">
      <c r="A23" s="25" t="inlineStr">
        <is>
          <t>Non Financial</t>
        </is>
      </c>
      <c r="B23" s="26" t="inlineStr">
        <is>
          <t>SOIC Ranking Sheet</t>
        </is>
      </c>
      <c r="C23" s="25" t="inlineStr">
        <is>
          <t>PAT Growth</t>
        </is>
      </c>
      <c r="D23" s="25" t="inlineStr">
        <is>
          <t>Is the company growing its Profit After Tax at a rate of more than 20% per annum? (Expected to keep doing so)</t>
        </is>
      </c>
      <c r="E23" s="25" t="n">
        <v>41</v>
      </c>
      <c r="F23" s="25" t="inlineStr">
        <is>
          <t>'=IF(D41="More than 20%",10,IF(D41="Between 12 to 20%",5,IF(D41="Less than 12%",0,0)))</t>
        </is>
      </c>
      <c r="G23" s="25" t="inlineStr">
        <is>
          <t>"More than 20%,Between 12 to 20%,Less than 12%"</t>
        </is>
      </c>
    </row>
    <row r="24">
      <c r="A24" s="25" t="inlineStr">
        <is>
          <t>Non Financial</t>
        </is>
      </c>
      <c r="B24" s="26" t="inlineStr">
        <is>
          <t>SOIC Ranking Sheet</t>
        </is>
      </c>
      <c r="C24" s="25" t="inlineStr">
        <is>
          <t>Stock History</t>
        </is>
      </c>
      <c r="D24" s="25" t="inlineStr">
        <is>
          <t>Has the stock ever fallen 60%+ from it peak irrespective of market correcting?</t>
        </is>
      </c>
      <c r="E24" s="25" t="n">
        <v>42</v>
      </c>
      <c r="F24" s="25" t="inlineStr">
        <is>
          <t>'=IF(D42="No",10,0)</t>
        </is>
      </c>
      <c r="G24" s="25" t="inlineStr">
        <is>
          <t>"Yes,No"</t>
        </is>
      </c>
    </row>
    <row r="25">
      <c r="A25" s="25" t="inlineStr">
        <is>
          <t>Non Financial</t>
        </is>
      </c>
      <c r="B25" s="26" t="inlineStr">
        <is>
          <t>SOIC Ranking Sheet</t>
        </is>
      </c>
      <c r="C25" s="25" t="inlineStr">
        <is>
          <t>PE Ratio</t>
        </is>
      </c>
      <c r="D25" s="25" t="inlineStr">
        <is>
          <t>Is the PE ratio above 50? (Rarely companies with more than 50 PE make money)</t>
        </is>
      </c>
      <c r="E25" s="25" t="n">
        <v>43</v>
      </c>
      <c r="F25" s="25" t="inlineStr">
        <is>
          <t>'=IF(D43="NO",5,0)</t>
        </is>
      </c>
      <c r="G25" s="25" t="inlineStr">
        <is>
          <t>"Yes,No"</t>
        </is>
      </c>
    </row>
    <row r="26">
      <c r="A26" s="25" t="inlineStr">
        <is>
          <t>Non Financial</t>
        </is>
      </c>
      <c r="B26" s="26" t="inlineStr">
        <is>
          <t>SOIC Ranking Sheet</t>
        </is>
      </c>
      <c r="C26" s="25" t="inlineStr">
        <is>
          <t>PEG Ratio</t>
        </is>
      </c>
      <c r="D26" s="25" t="inlineStr">
        <is>
          <t>Is the PEG ratio less than 1.5 times? (PE/Last 3 years of PAT growth)</t>
        </is>
      </c>
      <c r="E26" s="25" t="n">
        <v>44</v>
      </c>
      <c r="F26" s="25" t="inlineStr">
        <is>
          <t>'=IF(D44="Above 2",0,IF(D44="Between 1.5 to 2",5,IF(D44="Less than 1.5",10,0)))</t>
        </is>
      </c>
      <c r="G26" s="25" t="inlineStr">
        <is>
          <t>"Above 2,Between 1.5 to 2,Less than 1.5"</t>
        </is>
      </c>
    </row>
    <row r="27">
      <c r="A27" s="25" t="inlineStr">
        <is>
          <t>Non Financial</t>
        </is>
      </c>
      <c r="B27" s="26" t="inlineStr">
        <is>
          <t>SOIC Ranking Sheet</t>
        </is>
      </c>
      <c r="C27" s="25" t="inlineStr">
        <is>
          <t>CFO to EBITDA</t>
        </is>
      </c>
      <c r="D27" s="25" t="inlineStr">
        <is>
          <t>How is the CFO to EBITDA conversion in the company?</t>
        </is>
      </c>
      <c r="E27" s="25" t="n">
        <v>49</v>
      </c>
      <c r="F27" s="25" t="inlineStr">
        <is>
          <t>'=IF(D49="Above 70%",10,IF(D49="Between 50% to 70%",5,IF(D49="Less than 50%",0,IF(D49="Negative",-10,if(D49="Less than 50% and Borrowings are increasing",-5,0)))))</t>
        </is>
      </c>
      <c r="G27" s="25" t="inlineStr">
        <is>
          <t>"Above 70%,Between 50% to 70%,Less than 50%,Less than 50% and Borrowings are increasing,Negative"</t>
        </is>
      </c>
    </row>
    <row r="28">
      <c r="A28" s="25" t="inlineStr">
        <is>
          <t>Non Financial</t>
        </is>
      </c>
      <c r="B28" s="26" t="inlineStr">
        <is>
          <t>SOIC Ranking Sheet</t>
        </is>
      </c>
      <c r="C28" s="25" t="inlineStr">
        <is>
          <t>Debt to Equity</t>
        </is>
      </c>
      <c r="D28" s="25" t="inlineStr">
        <is>
          <t>What is the Debt to Equity ratio of the company?</t>
        </is>
      </c>
      <c r="E28" s="25" t="n">
        <v>50</v>
      </c>
      <c r="F28" s="25" t="inlineStr">
        <is>
          <t>'=IF(D50="More than 1.2",-10,IF(D50="Between 0.7 to 1.2",0,IF(D50="Less than 0.7",10,0)))</t>
        </is>
      </c>
      <c r="G28" s="25" t="inlineStr">
        <is>
          <t>"More than 1.2,Between 0.7 to 1.2,Less than 0.7"</t>
        </is>
      </c>
    </row>
    <row r="29">
      <c r="A29" s="25" t="inlineStr">
        <is>
          <t>Non Financial</t>
        </is>
      </c>
      <c r="B29" s="26" t="inlineStr">
        <is>
          <t>SOIC Ranking Sheet</t>
        </is>
      </c>
      <c r="C29" s="25" t="inlineStr">
        <is>
          <t>Auditor Resignation</t>
        </is>
      </c>
      <c r="D29" s="25" t="inlineStr">
        <is>
          <t>Is there any resignation of auditor in last 3 years?</t>
        </is>
      </c>
      <c r="E29" s="25" t="n">
        <v>51</v>
      </c>
      <c r="F29" s="25" t="inlineStr">
        <is>
          <t>'=IF(D51="Yes",-10,0)</t>
        </is>
      </c>
      <c r="G29" s="25" t="inlineStr">
        <is>
          <t>"Yes,No"</t>
        </is>
      </c>
    </row>
    <row r="30">
      <c r="A30" s="25" t="inlineStr">
        <is>
          <t>Non Financial</t>
        </is>
      </c>
      <c r="B30" s="26" t="inlineStr">
        <is>
          <t>SOIC Ranking Sheet</t>
        </is>
      </c>
      <c r="C30" s="25" t="inlineStr">
        <is>
          <t>Contingent Liability</t>
        </is>
      </c>
      <c r="D30" s="25" t="inlineStr">
        <is>
          <t>What is the contingent liability to Net Worth of the company?</t>
        </is>
      </c>
      <c r="E30" s="25" t="n">
        <v>52</v>
      </c>
      <c r="F30" s="25" t="inlineStr">
        <is>
          <t>'=IF(D52="More than 15%",-10,IF(D52="Less than 15%",10,0))</t>
        </is>
      </c>
      <c r="G30" s="25" t="inlineStr">
        <is>
          <t>"More than 15%,Less than 15%"</t>
        </is>
      </c>
    </row>
    <row r="31">
      <c r="A31" s="25" t="inlineStr">
        <is>
          <t>Non Financial</t>
        </is>
      </c>
      <c r="B31" s="26" t="inlineStr">
        <is>
          <t>SOIC Ranking Sheet</t>
        </is>
      </c>
      <c r="C31" s="25" t="inlineStr">
        <is>
          <t>Pledging</t>
        </is>
      </c>
      <c r="D31" s="25" t="inlineStr">
        <is>
          <t>Is promoter holding pledged?</t>
        </is>
      </c>
      <c r="E31" s="25" t="n">
        <v>53</v>
      </c>
      <c r="F31" s="25" t="inlineStr">
        <is>
          <t>'=IF(D53="Yes, more than 10%",-10,IF(D53="No",10,0))</t>
        </is>
      </c>
      <c r="G31" s="25" t="inlineStr">
        <is>
          <t>"Yes, More Than 10%,Yes Upto 10%,No"</t>
        </is>
      </c>
    </row>
    <row r="32">
      <c r="A32" s="25" t="inlineStr">
        <is>
          <t>Banks &amp; NBFC</t>
        </is>
      </c>
      <c r="B32" s="26" t="inlineStr">
        <is>
          <t>SOIC Ranking Sheet for Banks &amp; NBFC</t>
        </is>
      </c>
      <c r="C32" s="25" t="inlineStr">
        <is>
          <t>Industry Growth</t>
        </is>
      </c>
      <c r="D32" s="25" t="inlineStr">
        <is>
          <t>Is it a growing industry or a stagnant one?</t>
        </is>
      </c>
      <c r="E32" s="25" t="n">
        <v>8</v>
      </c>
      <c r="F32" s="25" t="inlineStr">
        <is>
          <t>'=IF(D8="Growing Industry",10,if(D8="Cyclical in an Upturn",5,0))</t>
        </is>
      </c>
      <c r="G32" s="25" t="inlineStr">
        <is>
          <t>"Growing Industry,Stagnant Industry,Cyclical in an Upturn"</t>
        </is>
      </c>
    </row>
    <row r="33">
      <c r="A33" s="25" t="inlineStr">
        <is>
          <t>Banks &amp; NBFC</t>
        </is>
      </c>
      <c r="B33" s="26" t="inlineStr">
        <is>
          <t>SOIC Ranking Sheet for Banks &amp; NBFC</t>
        </is>
      </c>
      <c r="C33" s="25" t="inlineStr">
        <is>
          <t>Competitiveness</t>
        </is>
      </c>
      <c r="D33" s="25" t="inlineStr">
        <is>
          <t>If one company controls the industry/If top 7 players are less than 50%, means crowded</t>
        </is>
      </c>
      <c r="E33" s="25" t="n">
        <v>9</v>
      </c>
      <c r="F33" s="25" t="inlineStr">
        <is>
          <t>'=IF(D9="Fragmented with Low ROE",-5,IF(D9="Fragmented with High ROE",10,if(D9= "highly cyclical",5,0)))</t>
        </is>
      </c>
      <c r="G33" s="25" t="inlineStr">
        <is>
          <t>"Fragmented with Low ROE,Fragmented with High ROE,Highly Cyclical"</t>
        </is>
      </c>
    </row>
    <row r="34">
      <c r="A34" s="25" t="inlineStr">
        <is>
          <t>Banks &amp; NBFC</t>
        </is>
      </c>
      <c r="B34" s="26" t="inlineStr">
        <is>
          <t>SOIC Ranking Sheet for Banks &amp; NBFC</t>
        </is>
      </c>
      <c r="C34" s="25" t="inlineStr">
        <is>
          <t>Regulation</t>
        </is>
      </c>
      <c r="D34" s="25" t="inlineStr">
        <is>
          <t>Is there regulatory interference by the government?</t>
        </is>
      </c>
      <c r="E34" s="25" t="n">
        <v>10</v>
      </c>
      <c r="F34" s="25" t="inlineStr">
        <is>
          <t>'=IF(D10="No",5,0)</t>
        </is>
      </c>
      <c r="G34" s="25" t="inlineStr">
        <is>
          <t>"Yes,No"</t>
        </is>
      </c>
    </row>
    <row r="35">
      <c r="A35" s="25" t="inlineStr">
        <is>
          <t>Banks &amp; NBFC</t>
        </is>
      </c>
      <c r="B35" s="26" t="inlineStr">
        <is>
          <t>SOIC Ranking Sheet for Banks &amp; NBFC</t>
        </is>
      </c>
      <c r="C35" s="25" t="inlineStr">
        <is>
          <t>Sector Headwinds/Tailwind</t>
        </is>
      </c>
      <c r="D35" s="25" t="inlineStr">
        <is>
          <t>Near term tailwinds or headwinds?</t>
        </is>
      </c>
      <c r="E35" s="25" t="n">
        <v>11</v>
      </c>
      <c r="F35" s="25" t="inlineStr">
        <is>
          <t>'=IF(D11="Tailwind",10,0)</t>
        </is>
      </c>
      <c r="G35" s="25" t="inlineStr">
        <is>
          <t>"Tailwind,Headwind"</t>
        </is>
      </c>
    </row>
    <row r="36">
      <c r="A36" s="25" t="inlineStr">
        <is>
          <t>Banks &amp; NBFC</t>
        </is>
      </c>
      <c r="B36" s="26" t="inlineStr">
        <is>
          <t>SOIC Ranking Sheet for Banks &amp; NBFC</t>
        </is>
      </c>
      <c r="C36" s="25" t="inlineStr">
        <is>
          <t>Industry Type</t>
        </is>
      </c>
      <c r="D36" s="25" t="inlineStr">
        <is>
          <t>Structural or cyclical industry?</t>
        </is>
      </c>
      <c r="E36" s="25" t="n">
        <v>12</v>
      </c>
      <c r="F36" s="25" t="inlineStr">
        <is>
          <t>'=IF(D12="Structural (10 Years Consistency)",15,IF(D12="Shallow Cyclical (2 to 3 years growth)",10,if(D12 = "Cyclical in an Uptick",5,if(D12 = "Cyclical in an Downtick",-10,0))))</t>
        </is>
      </c>
      <c r="G36" s="25" t="inlineStr">
        <is>
          <t>"Structural (10 Years Consistency),Shallow Cyclical (2 to 3 Years Growth),Cyclical in an Uptick,Cyclical in Downtick"</t>
        </is>
      </c>
    </row>
    <row r="37">
      <c r="A37" s="25" t="inlineStr">
        <is>
          <t>Banks &amp; NBFC</t>
        </is>
      </c>
      <c r="B37" s="26" t="inlineStr">
        <is>
          <t>SOIC Ranking Sheet for Banks &amp; NBFC</t>
        </is>
      </c>
      <c r="C37" s="25" t="inlineStr">
        <is>
          <t>NIM</t>
        </is>
      </c>
      <c r="D37" s="25" t="inlineStr">
        <is>
          <t>Are the net interest margins higher than 3.5%? Explanation: NIM is (Interest Income - Interest Expense) / Advances</t>
        </is>
      </c>
      <c r="E37" s="25" t="n">
        <v>17</v>
      </c>
      <c r="F37" s="25" t="inlineStr">
        <is>
          <t>'=IF(D17="Yes",10,0)</t>
        </is>
      </c>
      <c r="G37" s="25" t="inlineStr">
        <is>
          <t>"Yes,No"</t>
        </is>
      </c>
    </row>
    <row r="38">
      <c r="A38" s="25" t="inlineStr">
        <is>
          <t>Banks &amp; NBFC</t>
        </is>
      </c>
      <c r="B38" s="26" t="inlineStr">
        <is>
          <t>SOIC Ranking Sheet for Banks &amp; NBFC</t>
        </is>
      </c>
      <c r="C38" s="25" t="inlineStr">
        <is>
          <t>CASA Ratio</t>
        </is>
      </c>
      <c r="D38" s="25" t="inlineStr">
        <is>
          <t>Is the CASA ratio higher than 40%?</t>
        </is>
      </c>
      <c r="E38" s="25" t="n">
        <v>18</v>
      </c>
      <c r="F38" s="25" t="inlineStr">
        <is>
          <t>'=IF(D18="Yes",10,0)</t>
        </is>
      </c>
      <c r="G38" s="25" t="inlineStr">
        <is>
          <t>"Yes,No,Not Applicable"</t>
        </is>
      </c>
    </row>
    <row r="39">
      <c r="A39" s="25" t="inlineStr">
        <is>
          <t>Banks &amp; NBFC</t>
        </is>
      </c>
      <c r="B39" s="26" t="inlineStr">
        <is>
          <t>SOIC Ranking Sheet for Banks &amp; NBFC</t>
        </is>
      </c>
      <c r="C39" s="25" t="inlineStr">
        <is>
          <t>Profit cyclicality</t>
        </is>
      </c>
      <c r="D39" s="25" t="inlineStr">
        <is>
          <t>Are the profits volatile?</t>
        </is>
      </c>
      <c r="E39" s="25" t="n">
        <v>19</v>
      </c>
      <c r="F39" s="25" t="inlineStr">
        <is>
          <t>'=IF(D19="No",10,0)</t>
        </is>
      </c>
      <c r="G39" s="25" t="inlineStr">
        <is>
          <t>"Yes,No"</t>
        </is>
      </c>
    </row>
    <row r="40">
      <c r="A40" s="25" t="inlineStr">
        <is>
          <t>Banks &amp; NBFC</t>
        </is>
      </c>
      <c r="B40" s="26" t="inlineStr">
        <is>
          <t>SOIC Ranking Sheet for Banks &amp; NBFC</t>
        </is>
      </c>
      <c r="C40" s="25" t="inlineStr">
        <is>
          <t>CAR Ratio</t>
        </is>
      </c>
      <c r="D40" s="25" t="inlineStr">
        <is>
          <t>Is capital adequacy ratio higher than 15%?</t>
        </is>
      </c>
      <c r="E40" s="25" t="n">
        <v>20</v>
      </c>
      <c r="F40" s="25" t="inlineStr">
        <is>
          <t>'=IF(D20="Yes",10,0)</t>
        </is>
      </c>
      <c r="G40" s="25" t="inlineStr">
        <is>
          <t>"Yes,No"</t>
        </is>
      </c>
    </row>
    <row r="41">
      <c r="A41" s="25" t="inlineStr">
        <is>
          <t>Banks &amp; NBFC</t>
        </is>
      </c>
      <c r="B41" s="26" t="inlineStr">
        <is>
          <t>SOIC Ranking Sheet for Banks &amp; NBFC</t>
        </is>
      </c>
      <c r="C41" s="25" t="inlineStr">
        <is>
          <t>Near term triggers</t>
        </is>
      </c>
      <c r="D41" s="25" t="inlineStr">
        <is>
          <t xml:space="preserve">Are there any triggers for growth in near term (4 to 6 quarters)? </t>
        </is>
      </c>
      <c r="E41" s="25" t="n">
        <v>21</v>
      </c>
      <c r="F41" s="25" t="inlineStr">
        <is>
          <t>'=IF(D21="Yes",10,0)</t>
        </is>
      </c>
      <c r="G41" s="25" t="inlineStr">
        <is>
          <t>"Yes,No"</t>
        </is>
      </c>
    </row>
    <row r="42">
      <c r="A42" s="25" t="inlineStr">
        <is>
          <t>Banks &amp; NBFC</t>
        </is>
      </c>
      <c r="B42" s="26" t="inlineStr">
        <is>
          <t>SOIC Ranking Sheet for Banks &amp; NBFC</t>
        </is>
      </c>
      <c r="C42" s="25" t="inlineStr">
        <is>
          <t>High P/BV</t>
        </is>
      </c>
      <c r="D42" s="25" t="inlineStr">
        <is>
          <t>Is the P/BV of a company higher than 3 times? Higher P/BV will be beneficial as less equity dilution</t>
        </is>
      </c>
      <c r="E42" s="25" t="n">
        <v>22</v>
      </c>
      <c r="F42" s="25" t="inlineStr">
        <is>
          <t>'=IF(D22="Yes",5,0)</t>
        </is>
      </c>
      <c r="G42" s="25" t="inlineStr">
        <is>
          <t>"Yes,No"</t>
        </is>
      </c>
    </row>
    <row r="43">
      <c r="A43" s="25" t="inlineStr">
        <is>
          <t>Banks &amp; NBFC</t>
        </is>
      </c>
      <c r="B43" s="26" t="inlineStr">
        <is>
          <t>SOIC Ranking Sheet for Banks &amp; NBFC</t>
        </is>
      </c>
      <c r="C43" s="25" t="inlineStr">
        <is>
          <t>Asset Quality Divergence</t>
        </is>
      </c>
      <c r="D43" s="25" t="inlineStr">
        <is>
          <t>Is there any case of asset quality divergence in the past?</t>
        </is>
      </c>
      <c r="E43" s="25" t="n">
        <v>28</v>
      </c>
      <c r="F43" s="25" t="inlineStr">
        <is>
          <t>'=IF(D28="No",10,IF(D28="Yes",-10,0))</t>
        </is>
      </c>
      <c r="G43" s="25" t="inlineStr">
        <is>
          <t>"No,Yes"</t>
        </is>
      </c>
    </row>
    <row r="44">
      <c r="A44" s="25" t="inlineStr">
        <is>
          <t>Banks &amp; NBFC</t>
        </is>
      </c>
      <c r="B44" s="26" t="inlineStr">
        <is>
          <t>SOIC Ranking Sheet for Banks &amp; NBFC</t>
        </is>
      </c>
      <c r="C44" s="25" t="inlineStr">
        <is>
          <t>Reported loss</t>
        </is>
      </c>
      <c r="D44" s="25" t="inlineStr">
        <is>
          <t>Has the company reported loss in any Year during the last 10 years?</t>
        </is>
      </c>
      <c r="E44" s="25" t="n">
        <v>29</v>
      </c>
      <c r="F44" s="25" t="inlineStr">
        <is>
          <t>'=IF(D29="No",10,0)</t>
        </is>
      </c>
      <c r="G44" s="25" t="inlineStr">
        <is>
          <t>"No,Yes"</t>
        </is>
      </c>
    </row>
    <row r="45">
      <c r="A45" s="25" t="inlineStr">
        <is>
          <t>Banks &amp; NBFC</t>
        </is>
      </c>
      <c r="B45" s="26" t="inlineStr">
        <is>
          <t>SOIC Ranking Sheet for Banks &amp; NBFC</t>
        </is>
      </c>
      <c r="C45" s="25" t="inlineStr">
        <is>
          <t>CEO Resignation</t>
        </is>
      </c>
      <c r="D45" s="25" t="inlineStr">
        <is>
          <t>Is there any resignation or retirement of CEO in last 3 years?</t>
        </is>
      </c>
      <c r="E45" s="25" t="n">
        <v>30</v>
      </c>
      <c r="F45" s="25" t="inlineStr">
        <is>
          <t>'=IF(D30="No",10,if(D30= "Yes CEO Resignation",-5,0))</t>
        </is>
      </c>
      <c r="G45" s="25" t="inlineStr">
        <is>
          <t>"No,Yes CEO Resignation,Yes CEO Retirement"</t>
        </is>
      </c>
    </row>
    <row r="46">
      <c r="A46" s="25" t="inlineStr">
        <is>
          <t>Banks &amp; NBFC</t>
        </is>
      </c>
      <c r="B46" s="26" t="inlineStr">
        <is>
          <t>SOIC Ranking Sheet for Banks &amp; NBFC</t>
        </is>
      </c>
      <c r="C46" s="25" t="inlineStr">
        <is>
          <t>GNPA</t>
        </is>
      </c>
      <c r="D46" s="25" t="inlineStr">
        <is>
          <t>Is Gross Non Performing Assets (GNPA) much higher than sector average?</t>
        </is>
      </c>
      <c r="E46" s="25" t="n">
        <v>31</v>
      </c>
      <c r="F46" s="25" t="inlineStr">
        <is>
          <t>'=IF(D31="No",10,IF(D31="Yes",-5,0))</t>
        </is>
      </c>
      <c r="G46" s="25" t="inlineStr">
        <is>
          <t>"No,Yes"</t>
        </is>
      </c>
    </row>
    <row r="47">
      <c r="A47" s="25" t="inlineStr">
        <is>
          <t>Banks &amp; NBFC</t>
        </is>
      </c>
      <c r="B47" s="26" t="inlineStr">
        <is>
          <t>SOIC Ranking Sheet for Banks &amp; NBFC</t>
        </is>
      </c>
      <c r="C47" s="25" t="inlineStr">
        <is>
          <t>KMP Resignation</t>
        </is>
      </c>
      <c r="D47" s="25" t="inlineStr">
        <is>
          <t>Is there any resignation of any other KMP like CFO, Auditor, Risk Officerin last 3 years?</t>
        </is>
      </c>
      <c r="E47" s="25" t="n">
        <v>32</v>
      </c>
      <c r="F47" s="25" t="inlineStr">
        <is>
          <t>'=IF(D32="No",5,IF(D32="Yes",-5,0))</t>
        </is>
      </c>
      <c r="G47" s="25" t="inlineStr">
        <is>
          <t>"No,Yes"</t>
        </is>
      </c>
    </row>
    <row r="48">
      <c r="A48" s="25" t="inlineStr">
        <is>
          <t>Banks &amp; NBFC</t>
        </is>
      </c>
      <c r="B48" s="26" t="inlineStr">
        <is>
          <t>SOIC Ranking Sheet for Banks &amp; NBFC</t>
        </is>
      </c>
      <c r="C48" s="25" t="inlineStr">
        <is>
          <t>Return on Assets</t>
        </is>
      </c>
      <c r="D48" s="25" t="inlineStr">
        <is>
          <t>Is Return on Assets (RoA) &gt; 1.9%</t>
        </is>
      </c>
      <c r="E48" s="25" t="n">
        <v>37</v>
      </c>
      <c r="F48" s="25" t="inlineStr">
        <is>
          <t>'=IF(D37="Yes",10,0)</t>
        </is>
      </c>
      <c r="G48" s="25" t="inlineStr">
        <is>
          <t>"Yes,No"</t>
        </is>
      </c>
    </row>
    <row r="49">
      <c r="A49" s="25" t="inlineStr">
        <is>
          <t>Banks &amp; NBFC</t>
        </is>
      </c>
      <c r="B49" s="26" t="inlineStr">
        <is>
          <t>SOIC Ranking Sheet for Banks &amp; NBFC</t>
        </is>
      </c>
      <c r="C49" s="25" t="inlineStr">
        <is>
          <t>Return on Equity</t>
        </is>
      </c>
      <c r="D49" s="25" t="inlineStr">
        <is>
          <t>Is Return on Equity (RoE) &gt; 15%</t>
        </is>
      </c>
      <c r="E49" s="25" t="n">
        <v>38</v>
      </c>
      <c r="F49" s="25" t="inlineStr">
        <is>
          <t>'=IF(D38="Yes",10,0)</t>
        </is>
      </c>
      <c r="G49" s="25" t="inlineStr">
        <is>
          <t>"Yes,No"</t>
        </is>
      </c>
    </row>
    <row r="50">
      <c r="A50" s="25" t="inlineStr">
        <is>
          <t>Banks &amp; NBFC</t>
        </is>
      </c>
      <c r="B50" s="26" t="inlineStr">
        <is>
          <t>SOIC Ranking Sheet for Banks &amp; NBFC</t>
        </is>
      </c>
      <c r="C50" s="25" t="inlineStr">
        <is>
          <t>AUM Growth</t>
        </is>
      </c>
      <c r="D50" s="25" t="inlineStr">
        <is>
          <t>Is AUM Growth above 20% YoY</t>
        </is>
      </c>
      <c r="E50" s="25" t="n">
        <v>39</v>
      </c>
      <c r="F50" s="25" t="inlineStr">
        <is>
          <t>'=IF(D39="Yes",10,0)</t>
        </is>
      </c>
      <c r="G50" s="25" t="inlineStr">
        <is>
          <t>"Yes,No"</t>
        </is>
      </c>
    </row>
    <row r="51">
      <c r="A51" s="25" t="inlineStr">
        <is>
          <t>Banks &amp; NBFC</t>
        </is>
      </c>
      <c r="B51" s="26" t="inlineStr">
        <is>
          <t>SOIC Ranking Sheet for Banks &amp; NBFC</t>
        </is>
      </c>
      <c r="C51" s="25" t="inlineStr">
        <is>
          <t>Price to Book Value</t>
        </is>
      </c>
      <c r="D51" s="25" t="inlineStr">
        <is>
          <t>What is the P/BV of the bank and AUM growth?</t>
        </is>
      </c>
      <c r="E51" s="25" t="n">
        <v>40</v>
      </c>
      <c r="F51" s="25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25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25" t="inlineStr">
        <is>
          <t>Banks &amp; NBFC</t>
        </is>
      </c>
      <c r="B52" s="26" t="inlineStr">
        <is>
          <t>SOIC Ranking Sheet for Banks &amp; NBFC</t>
        </is>
      </c>
      <c r="C52" s="25" t="inlineStr">
        <is>
          <t>ADX</t>
        </is>
      </c>
      <c r="D52" s="25" t="inlineStr">
        <is>
          <t>ADX 14 above 20 on weekly charts?</t>
        </is>
      </c>
      <c r="E52" s="25" t="n">
        <v>45</v>
      </c>
      <c r="F52" s="25" t="inlineStr">
        <is>
          <t>'=IF(D45="Above 40",20,IF(D45="20 to 40",10,IF(D45="0 to 20",-5,0)))</t>
        </is>
      </c>
      <c r="G52" s="25" t="inlineStr">
        <is>
          <t>"Above 40,20 to 40,0 to 20"</t>
        </is>
      </c>
    </row>
    <row r="53">
      <c r="A53" s="25" t="inlineStr">
        <is>
          <t>Banks &amp; NBFC</t>
        </is>
      </c>
      <c r="B53" s="26" t="inlineStr">
        <is>
          <t>SOIC Ranking Sheet for Banks &amp; NBFC</t>
        </is>
      </c>
      <c r="C53" s="25" t="inlineStr">
        <is>
          <t>RSI</t>
        </is>
      </c>
      <c r="D53" s="25" t="inlineStr">
        <is>
          <t>Where is the RSI on weekly charts?  Above 75, can lead to some near term correction</t>
        </is>
      </c>
      <c r="E53" s="25" t="n">
        <v>46</v>
      </c>
      <c r="F53" s="25" t="inlineStr">
        <is>
          <t>'=IF(D46="Between 50 to 75",10,IF(D46="Above 75",0,0))</t>
        </is>
      </c>
      <c r="G53" s="25" t="inlineStr">
        <is>
          <t>"Between 50 to 75,Above 75,Below 45"</t>
        </is>
      </c>
    </row>
    <row r="54">
      <c r="A54" s="25" t="inlineStr">
        <is>
          <t>Banks &amp; NBFC</t>
        </is>
      </c>
      <c r="B54" s="26" t="inlineStr">
        <is>
          <t>SOIC Ranking Sheet for Banks &amp; NBFC</t>
        </is>
      </c>
      <c r="C54" s="25" t="inlineStr">
        <is>
          <t>Stage Analysis</t>
        </is>
      </c>
      <c r="D54" s="25" t="inlineStr">
        <is>
          <t>What stage is the stock in? Stage 1(accumulation), Stage 2(mark up), Stage 3(distribution), Stage 4 (Mark down)</t>
        </is>
      </c>
      <c r="E54" s="25" t="n">
        <v>47</v>
      </c>
      <c r="F54" s="25" t="inlineStr">
        <is>
          <t>'=IF(D47="Stage 2",20,IF(D47="Stage 1",0,IF(D47="Stage 3",5,IF(D47="Stage 4",-5,0))))</t>
        </is>
      </c>
      <c r="G54" s="25" t="inlineStr">
        <is>
          <t>"Stage 1,Stage 2,Stage 3,Stage 4"</t>
        </is>
      </c>
    </row>
    <row r="55">
      <c r="A55" s="25" t="inlineStr">
        <is>
          <t>Banks &amp; NBFC</t>
        </is>
      </c>
      <c r="B55" s="26" t="inlineStr">
        <is>
          <t>SOIC Ranking Sheet for Banks &amp; NBFC</t>
        </is>
      </c>
      <c r="C55" s="25" t="inlineStr">
        <is>
          <t>Price Volume Action</t>
        </is>
      </c>
      <c r="D55" s="25" t="inlineStr">
        <is>
          <t>What is the Price Volume Action indicating? High Volume with high gain days with a +ve trend</t>
        </is>
      </c>
      <c r="E55" s="25" t="n">
        <v>48</v>
      </c>
      <c r="F55" s="25" t="inlineStr">
        <is>
          <t>'=IF(D48="Positive Trend",20,IF(D48="Negative Trend",-10,0))</t>
        </is>
      </c>
      <c r="G55" s="25" t="inlineStr">
        <is>
          <t>"Positive Trend,Negative Trend"</t>
        </is>
      </c>
    </row>
    <row r="56">
      <c r="A56" s="25" t="inlineStr">
        <is>
          <t>Banks &amp; NBFC</t>
        </is>
      </c>
      <c r="B56" s="26" t="inlineStr">
        <is>
          <t>SOIC Ranking Sheet for Banks &amp; NBFC</t>
        </is>
      </c>
      <c r="C56" s="25" t="inlineStr">
        <is>
          <t>Secondary Trend</t>
        </is>
      </c>
      <c r="D56" s="25" t="inlineStr">
        <is>
          <t>What is the secondary trend? (Sideways, upwards, downwards)</t>
        </is>
      </c>
      <c r="E56" s="25" t="n">
        <v>49</v>
      </c>
      <c r="F56" s="25" t="inlineStr">
        <is>
          <t>'=IF(D49="Uptrend",10,IF(D49="Sideways",5,0))</t>
        </is>
      </c>
      <c r="G56" s="25" t="inlineStr">
        <is>
          <t>"Uptrend,Sideways,Downtrend"</t>
        </is>
      </c>
    </row>
    <row r="57">
      <c r="A57" s="25" t="inlineStr">
        <is>
          <t>Banks &amp; NBFC</t>
        </is>
      </c>
      <c r="B57" s="26" t="inlineStr">
        <is>
          <t>SOIC Ranking Sheet for Banks &amp; NBFC</t>
        </is>
      </c>
      <c r="C57" s="25" t="inlineStr">
        <is>
          <t>Primary Trend</t>
        </is>
      </c>
      <c r="D57" s="25" t="inlineStr">
        <is>
          <t>What is the primary trend?  (Sideways, upwards, downwards)</t>
        </is>
      </c>
      <c r="E57" s="25" t="n">
        <v>50</v>
      </c>
      <c r="F57" s="25" t="inlineStr">
        <is>
          <t>'=IF(D50="Uptrend",10,IF(D50="Sideways",5,0))</t>
        </is>
      </c>
      <c r="G57" s="25" t="inlineStr">
        <is>
          <t>"Uptrend,Sideways,Downtrend"</t>
        </is>
      </c>
    </row>
    <row r="58">
      <c r="A58" s="25" t="inlineStr">
        <is>
          <t>Banks &amp; NBFC</t>
        </is>
      </c>
      <c r="B58" s="26" t="inlineStr">
        <is>
          <t>SOIC Ranking Sheet for Banks &amp; NBFC</t>
        </is>
      </c>
      <c r="C58" s="25" t="inlineStr">
        <is>
          <t>Resistance</t>
        </is>
      </c>
      <c r="D58" s="25" t="inlineStr">
        <is>
          <t>Is there any zone of resistance in the recent past?</t>
        </is>
      </c>
      <c r="E58" s="25" t="n">
        <v>51</v>
      </c>
      <c r="F58" s="25" t="inlineStr">
        <is>
          <t>'=IF(D51="Overhead supply in last 2 years in last 2 years",-5,if(D51="Close to 52 week high or retracement",5,if(D51="Blue sky scenario",10,if(D51="Long term Downtrend",-10,0))))</t>
        </is>
      </c>
      <c r="G58" s="25" t="inlineStr">
        <is>
          <t>"Overhead supply in last 2 years in last 2 years,Close to 52 week high or retracement,Blue sky scenario,Long term Downtrend"</t>
        </is>
      </c>
    </row>
    <row r="59">
      <c r="A59" s="25" t="inlineStr">
        <is>
          <t>Banks &amp; NBFC</t>
        </is>
      </c>
      <c r="B59" s="26" t="inlineStr">
        <is>
          <t>SOIC Ranking Sheet for Banks &amp; NBFC</t>
        </is>
      </c>
      <c r="C59" s="25" t="inlineStr">
        <is>
          <t>V-stop</t>
        </is>
      </c>
      <c r="D59" s="25" t="inlineStr">
        <is>
          <t>Is the Vstop Positive on weekly/Monthly time frame?</t>
        </is>
      </c>
      <c r="E59" s="25" t="n">
        <v>52</v>
      </c>
      <c r="F59" s="25" t="inlineStr">
        <is>
          <t>'=IF(D52="Yes",10,0)</t>
        </is>
      </c>
      <c r="G59" s="25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2026-06-02T16:18:04Z</dcterms:created>
  <dcterms:modified xmlns:dcterms="http://purl.org/dc/terms/" xmlns:xsi="http://www.w3.org/2001/XMLSchema-instance" xsi:type="dcterms:W3CDTF">2026-06-02T16:18:52Z</dcterms:modified>
</cp:coreProperties>
</file>